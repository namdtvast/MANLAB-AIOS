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/>
  <mc:AlternateContent xmlns:mc="http://schemas.openxmlformats.org/markup-compatibility/2006">
    <mc:Choice Requires="x15">
      <x15ac:absPath xmlns:x15ac="http://schemas.microsoft.com/office/spreadsheetml/2010/11/ac" url="/Users/namduongthanh/Dropbox (Personal)/2. CreTech/5. De xuat_De tai/2020. De tai_Chuan Bui/TLTK_Chuan Bui/Isokinetic/"/>
    </mc:Choice>
  </mc:AlternateContent>
  <xr:revisionPtr revIDLastSave="0" documentId="13_ncr:1_{20B3CC35-575A-D048-88A3-CB9A80119A6F}" xr6:coauthVersionLast="46" xr6:coauthVersionMax="46" xr10:uidLastSave="{00000000-0000-0000-0000-000000000000}"/>
  <bookViews>
    <workbookView xWindow="700" yWindow="460" windowWidth="28100" windowHeight="17540" activeTab="6" xr2:uid="{00000000-000D-0000-FFFF-FFFF00000000}"/>
  </bookViews>
  <sheets>
    <sheet name="Notes" sheetId="1" r:id="rId1"/>
    <sheet name="Pre-Test" sheetId="2" r:id="rId2"/>
    <sheet name="Run 1" sheetId="3" r:id="rId3"/>
    <sheet name="Run 2" sheetId="4" r:id="rId4"/>
    <sheet name="Run 3" sheetId="5" r:id="rId5"/>
    <sheet name="Results - Run 1" sheetId="6" r:id="rId6"/>
    <sheet name="Results - Run 2" sheetId="7" r:id="rId7"/>
    <sheet name="Results - Run 3" sheetId="8" r:id="rId8"/>
  </sheets>
  <definedNames>
    <definedName name="_">'Results - Run 1'!$O$17</definedName>
    <definedName name="A">'Pre-Test'!$D$11</definedName>
    <definedName name="Ai">'Pre-Test'!$D$12</definedName>
    <definedName name="An">'Pre-Test'!$Q$14</definedName>
    <definedName name="Bws_1">'Results - Run 1'!$O$23</definedName>
    <definedName name="Bws_2">'Results - Run 2'!$O$23</definedName>
    <definedName name="Bws_3">'Results - Run 3'!$O$23</definedName>
    <definedName name="Bwse">'Pre-Test'!$D$7</definedName>
    <definedName name="Ca_1">'Results - Run 1'!$O$30</definedName>
    <definedName name="Ca_2">'Results - Run 2'!$O$30</definedName>
    <definedName name="Ca_3">'Results - Run 3'!$O$30</definedName>
    <definedName name="Cf_1">'Results - Run 1'!$L$33</definedName>
    <definedName name="Cf_2">'Results - Run 2'!$L$33</definedName>
    <definedName name="Cf_3">'Results - Run 3'!$L$33</definedName>
    <definedName name="Cfe">'Pre-Test'!$L$8</definedName>
    <definedName name="COO">'Pre-Test'!$G$7</definedName>
    <definedName name="Cp">'Pre-Test'!$P$12</definedName>
    <definedName name="Cpp">'Pre-Test'!$P$11</definedName>
    <definedName name="D50I_1">'Results - Run 1'!$L$34</definedName>
    <definedName name="D50I_2">'Results - Run 2'!$L$34</definedName>
    <definedName name="D50I_3">'Results - Run 3'!$L$34</definedName>
    <definedName name="D50IV_1">'Results - Run 1'!$L$35</definedName>
    <definedName name="D50IV_2">'Results - Run 2'!$L$35</definedName>
    <definedName name="D50IV_3">'Results - Run 3'!$L$35</definedName>
    <definedName name="D50LL">'Pre-Test'!$L$9</definedName>
    <definedName name="D50LLh">'Pre-Test'!$L$10</definedName>
    <definedName name="D50T">'Pre-Test'!$L$11</definedName>
    <definedName name="Date">'Results - Run 2'!$D$3</definedName>
    <definedName name="dH_1">'Run 1'!$N$48</definedName>
    <definedName name="dH_2">'Run 2'!$N$48</definedName>
    <definedName name="dH_3">'Run 3'!$N$48</definedName>
    <definedName name="dHa">'Pre-Test'!$Q$9</definedName>
    <definedName name="dHe">'Pre-Test'!$L$14</definedName>
    <definedName name="dHh">'Run 1'!$Q$9</definedName>
    <definedName name="dHh_2">'Run 2'!$Q$9</definedName>
    <definedName name="dHh_3">'Run 3'!$Q$9</definedName>
    <definedName name="dHl">'Run 1'!$O$9</definedName>
    <definedName name="dHl_2">'Run 2'!$O$9</definedName>
    <definedName name="dHl_3">'Run 3'!$O$9</definedName>
    <definedName name="Dn">'Pre-Test'!$Q$13</definedName>
    <definedName name="dP_1">'Run 1'!$F$48</definedName>
    <definedName name="dP_2">'Run 2'!$F$48</definedName>
    <definedName name="dP_3">'Run 3'!$F$48</definedName>
    <definedName name="dPsqavg_1">'Run 1'!$U$44</definedName>
    <definedName name="dPsqavg_2">'Run 2'!$U$44</definedName>
    <definedName name="dPsqavg_3">'Run 3'!$U$44</definedName>
    <definedName name="Kp">'Pre-Test'!$Y$11</definedName>
    <definedName name="M1_1">'Results - Run 1'!$D$19</definedName>
    <definedName name="M1_2">'Results - Run 2'!$D$19</definedName>
    <definedName name="M1_3">'Results - Run 3'!$D$19</definedName>
    <definedName name="M2_1">'Results - Run 1'!$D$25</definedName>
    <definedName name="M2_2">'Results - Run 2'!$D$25</definedName>
    <definedName name="M2_3">'Results - Run 3'!$D$25</definedName>
    <definedName name="M3_1">'Results - Run 1'!$I$25</definedName>
    <definedName name="M3_2">'Results - Run 2'!$I$25</definedName>
    <definedName name="M3_3">'Results - Run 3'!$I$25</definedName>
    <definedName name="M4_1">'Results - Run 1'!$I$19</definedName>
    <definedName name="M4_2">'Results - Run 2'!$I$19</definedName>
    <definedName name="M4_3">'Results - Run 3'!$I$19</definedName>
    <definedName name="MB">'Pre-Test'!$Q$7</definedName>
    <definedName name="Md">'Pre-Test'!$G$10</definedName>
    <definedName name="Mw_1">'Results - Run 1'!$H$10</definedName>
    <definedName name="Mw_2">'Results - Run 2'!$H$10</definedName>
    <definedName name="Mw_3">'Results - Run 3'!$H$10</definedName>
    <definedName name="Mwe">'Pre-Test'!$G$11</definedName>
    <definedName name="N_1">'Run 1'!$H$13</definedName>
    <definedName name="N_2">'Run 2'!$H$13</definedName>
    <definedName name="N_3">'Run 3'!$H$13</definedName>
    <definedName name="NN">'Pre-Test'!$G$9</definedName>
    <definedName name="Nr_1">'Results - Run 1'!$C$36</definedName>
    <definedName name="Nr_2">'Results - Run 2'!$C$36</definedName>
    <definedName name="Nr_3">'Results - Run 3'!$C$36</definedName>
    <definedName name="Nre">'Pre-Test'!$L$13</definedName>
    <definedName name="OO">'Pre-Test'!$G$8</definedName>
    <definedName name="Pbar_1">'Run 1'!$D$7</definedName>
    <definedName name="Pbar_2">'Run 2'!$D$7</definedName>
    <definedName name="Pbar_3">'Run 3'!$D$7</definedName>
    <definedName name="Pbarp">'Pre-Test'!$D$8</definedName>
    <definedName name="Pg_1">'Run 1'!$D$8</definedName>
    <definedName name="Pg_2">'Run 2'!$D$8</definedName>
    <definedName name="Pg_3">'Run 3'!$D$8</definedName>
    <definedName name="Pgp">'Pre-Test'!$D$9</definedName>
    <definedName name="Ps_1">'Run 1'!$D$9</definedName>
    <definedName name="Ps_2">'Run 2'!$D$9</definedName>
    <definedName name="Ps_3">'Run 3'!$D$9</definedName>
    <definedName name="Psp">'Pre-Test'!$D$10</definedName>
    <definedName name="Pstd">'Pre-Test'!$F$14</definedName>
    <definedName name="Qs_1">'Results - Run 1'!$C$34</definedName>
    <definedName name="Qs_2">'Results - Run 2'!$C$34</definedName>
    <definedName name="Qs_3">'Results - Run 3'!$C$34</definedName>
    <definedName name="Qsd_1">'Results - Run 1'!$L$36</definedName>
    <definedName name="Qsd_2">'Results - Run 2'!$L$36</definedName>
    <definedName name="Qsd_3">'Results - Run 3'!$L$36</definedName>
    <definedName name="Qse">'Pre-Test'!$L$12</definedName>
    <definedName name="Qsst_1">'Results - Run 1'!$C$33</definedName>
    <definedName name="Qsst_2">'Results - Run 2'!$C$33</definedName>
    <definedName name="Qsst_3">'Results - Run 3'!$C$33</definedName>
    <definedName name="Qsw_1">'Results - Run 1'!$L$37</definedName>
    <definedName name="Qsw_2">'Results - Run 2'!$L$37</definedName>
    <definedName name="Qsw_3">'Results - Run 3'!$L$37</definedName>
    <definedName name="Time_1">'Run 1'!$B$48</definedName>
    <definedName name="Time_2">'Run 2'!$B$48</definedName>
    <definedName name="Time_3">'Run 3'!$B$48</definedName>
    <definedName name="Tm_1">'Run 1'!$I$47</definedName>
    <definedName name="Tm_2">'Run 2'!$I$47</definedName>
    <definedName name="Tm_3">'Run 3'!$I$47</definedName>
    <definedName name="Tme">'Pre-Test'!$Q$10</definedName>
    <definedName name="Tr_1">'Run 1'!$H$14</definedName>
    <definedName name="Tr_2">'Run 2'!$H$14</definedName>
    <definedName name="Tr_3">'Run 3'!$H$14</definedName>
    <definedName name="Ts_1">'Run 1'!$K$47</definedName>
    <definedName name="Ts_2">'Run 2'!$K$47</definedName>
    <definedName name="Ts_3">'Run 3'!$K$47</definedName>
    <definedName name="Tse">'Pre-Test'!$I$46</definedName>
    <definedName name="Tsh">'Run 1'!$Q$6</definedName>
    <definedName name="Tsh_2">'Run 2'!$Q$6</definedName>
    <definedName name="Tsh_3">'Run 3'!$Q$6</definedName>
    <definedName name="Tsl">'Run 1'!$O$6</definedName>
    <definedName name="Tsl_2">'Run 2'!$O$6</definedName>
    <definedName name="Tsl_3">'Run 3'!$O$6</definedName>
    <definedName name="Tstd">'Pre-Test'!$F$15</definedName>
    <definedName name="vis_1">'Results - Run 1'!$L$32</definedName>
    <definedName name="vis_2">'Results - Run 2'!$L$32</definedName>
    <definedName name="vis_3">'Results - Run 3'!$L$32</definedName>
    <definedName name="vise">'Pre-Test'!$L$7</definedName>
    <definedName name="Vm_1">'Run 1'!$D$48</definedName>
    <definedName name="Vm_2">'Run 2'!$D$48</definedName>
    <definedName name="Vm_3">'Run 3'!$D$48</definedName>
    <definedName name="Vms_1">'Results - Run 1'!$C$31</definedName>
    <definedName name="Vms_2">'Results - Run 2'!$C$31</definedName>
    <definedName name="Vms_3">'Results - Run 3'!$C$31</definedName>
    <definedName name="Vs_1">'Results - Run 1'!$C$37</definedName>
    <definedName name="Vs_2">'Results - Run 2'!$C$37</definedName>
    <definedName name="Vs_3">'Results - Run 3'!$C$37</definedName>
    <definedName name="Vws_1">'Results - Run 1'!$O$22</definedName>
    <definedName name="Vws_2">'Results - Run 2'!$O$22</definedName>
    <definedName name="Vws_3">'Results - Run 3'!$O$22</definedName>
    <definedName name="Y">'Pre-Test'!$Q$8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0" i="8" l="1"/>
  <c r="I25" i="8"/>
  <c r="D25" i="8"/>
  <c r="I24" i="8"/>
  <c r="D24" i="8"/>
  <c r="O22" i="8"/>
  <c r="C32" i="8" s="1"/>
  <c r="O20" i="8"/>
  <c r="I19" i="8"/>
  <c r="D19" i="8"/>
  <c r="E44" i="8" s="1"/>
  <c r="L44" i="8" s="1"/>
  <c r="I18" i="8"/>
  <c r="D18" i="8"/>
  <c r="O17" i="8"/>
  <c r="O18" i="8" s="1"/>
  <c r="P12" i="8"/>
  <c r="L11" i="8"/>
  <c r="D11" i="8"/>
  <c r="M10" i="8"/>
  <c r="K10" i="8"/>
  <c r="D10" i="8"/>
  <c r="M9" i="8"/>
  <c r="K9" i="8"/>
  <c r="L8" i="8"/>
  <c r="D8" i="8"/>
  <c r="L7" i="8"/>
  <c r="H7" i="8"/>
  <c r="D7" i="8"/>
  <c r="L6" i="8"/>
  <c r="H6" i="8"/>
  <c r="D6" i="8"/>
  <c r="O3" i="8"/>
  <c r="K3" i="8"/>
  <c r="D3" i="8"/>
  <c r="O2" i="8"/>
  <c r="K2" i="8"/>
  <c r="D2" i="8"/>
  <c r="O30" i="7"/>
  <c r="I25" i="7"/>
  <c r="D25" i="7"/>
  <c r="I24" i="7"/>
  <c r="D24" i="7"/>
  <c r="O22" i="7"/>
  <c r="C32" i="7" s="1"/>
  <c r="O20" i="7"/>
  <c r="I19" i="7"/>
  <c r="D19" i="7"/>
  <c r="E40" i="7" s="1"/>
  <c r="L40" i="7" s="1"/>
  <c r="O18" i="7"/>
  <c r="I18" i="7"/>
  <c r="D18" i="7"/>
  <c r="O17" i="7"/>
  <c r="P12" i="7"/>
  <c r="L11" i="7"/>
  <c r="D11" i="7"/>
  <c r="M10" i="7"/>
  <c r="K10" i="7"/>
  <c r="D10" i="7"/>
  <c r="M9" i="7"/>
  <c r="K9" i="7"/>
  <c r="L8" i="7"/>
  <c r="D8" i="7"/>
  <c r="L7" i="7"/>
  <c r="H7" i="7"/>
  <c r="D7" i="7"/>
  <c r="L6" i="7"/>
  <c r="H6" i="7"/>
  <c r="D6" i="7"/>
  <c r="O3" i="7"/>
  <c r="K3" i="7"/>
  <c r="D3" i="7"/>
  <c r="O2" i="7"/>
  <c r="K2" i="7"/>
  <c r="D2" i="7"/>
  <c r="O30" i="6"/>
  <c r="I25" i="6"/>
  <c r="E42" i="6" s="1"/>
  <c r="L42" i="6" s="1"/>
  <c r="D25" i="6"/>
  <c r="I24" i="6"/>
  <c r="D24" i="6"/>
  <c r="O20" i="6"/>
  <c r="O22" i="6" s="1"/>
  <c r="I19" i="6"/>
  <c r="E40" i="6" s="1"/>
  <c r="L40" i="6" s="1"/>
  <c r="D19" i="6"/>
  <c r="E44" i="6" s="1"/>
  <c r="L44" i="6" s="1"/>
  <c r="O18" i="6"/>
  <c r="I18" i="6"/>
  <c r="D18" i="6"/>
  <c r="O17" i="6"/>
  <c r="P12" i="6"/>
  <c r="L11" i="6"/>
  <c r="D11" i="6"/>
  <c r="M10" i="6"/>
  <c r="K10" i="6"/>
  <c r="D10" i="6"/>
  <c r="M9" i="6"/>
  <c r="K9" i="6"/>
  <c r="L8" i="6"/>
  <c r="D8" i="6"/>
  <c r="L7" i="6"/>
  <c r="H7" i="6"/>
  <c r="D7" i="6"/>
  <c r="L6" i="6"/>
  <c r="H6" i="6"/>
  <c r="D6" i="6"/>
  <c r="O3" i="6"/>
  <c r="K3" i="6"/>
  <c r="D3" i="6"/>
  <c r="O2" i="6"/>
  <c r="K2" i="6"/>
  <c r="D2" i="6"/>
  <c r="N48" i="5"/>
  <c r="P10" i="8" s="1"/>
  <c r="M48" i="5"/>
  <c r="K48" i="5"/>
  <c r="I48" i="5"/>
  <c r="F48" i="5"/>
  <c r="P7" i="8" s="1"/>
  <c r="D48" i="5"/>
  <c r="C31" i="8" s="1"/>
  <c r="K47" i="5"/>
  <c r="P9" i="8" s="1"/>
  <c r="I47" i="5"/>
  <c r="P8" i="8" s="1"/>
  <c r="U44" i="5"/>
  <c r="AE43" i="5"/>
  <c r="AI43" i="5" s="1"/>
  <c r="AG43" i="5" s="1"/>
  <c r="AD43" i="5" s="1"/>
  <c r="AA43" i="5"/>
  <c r="Y43" i="5"/>
  <c r="Z43" i="5" s="1"/>
  <c r="X43" i="5"/>
  <c r="W43" i="5"/>
  <c r="V43" i="5"/>
  <c r="U43" i="5"/>
  <c r="Q43" i="5"/>
  <c r="P43" i="5"/>
  <c r="R43" i="5" s="1"/>
  <c r="J43" i="5"/>
  <c r="C43" i="5"/>
  <c r="AE42" i="5"/>
  <c r="AI42" i="5" s="1"/>
  <c r="AG42" i="5" s="1"/>
  <c r="AD42" i="5" s="1"/>
  <c r="Y42" i="5"/>
  <c r="X42" i="5"/>
  <c r="W42" i="5"/>
  <c r="V42" i="5"/>
  <c r="U42" i="5"/>
  <c r="R42" i="5"/>
  <c r="Q42" i="5"/>
  <c r="P42" i="5"/>
  <c r="J42" i="5"/>
  <c r="C42" i="5"/>
  <c r="AH41" i="5"/>
  <c r="AF41" i="5" s="1"/>
  <c r="AC41" i="5" s="1"/>
  <c r="AE41" i="5"/>
  <c r="AI41" i="5" s="1"/>
  <c r="AG41" i="5" s="1"/>
  <c r="AD41" i="5" s="1"/>
  <c r="Y41" i="5"/>
  <c r="W41" i="5"/>
  <c r="X41" i="5" s="1"/>
  <c r="V41" i="5"/>
  <c r="U41" i="5"/>
  <c r="R41" i="5"/>
  <c r="Q41" i="5"/>
  <c r="P41" i="5"/>
  <c r="J41" i="5"/>
  <c r="C41" i="5"/>
  <c r="Z40" i="5"/>
  <c r="Y40" i="5"/>
  <c r="AA40" i="5" s="1"/>
  <c r="W40" i="5"/>
  <c r="X40" i="5" s="1"/>
  <c r="V40" i="5"/>
  <c r="U40" i="5"/>
  <c r="P40" i="5"/>
  <c r="J40" i="5"/>
  <c r="C40" i="5"/>
  <c r="Z39" i="5"/>
  <c r="Y39" i="5"/>
  <c r="AA39" i="5" s="1"/>
  <c r="W39" i="5"/>
  <c r="X39" i="5" s="1"/>
  <c r="U39" i="5"/>
  <c r="V39" i="5" s="1"/>
  <c r="P39" i="5"/>
  <c r="J39" i="5"/>
  <c r="C39" i="5"/>
  <c r="Z38" i="5"/>
  <c r="Y38" i="5"/>
  <c r="AA38" i="5" s="1"/>
  <c r="X38" i="5"/>
  <c r="W38" i="5"/>
  <c r="U38" i="5"/>
  <c r="V38" i="5" s="1"/>
  <c r="P38" i="5"/>
  <c r="J38" i="5"/>
  <c r="C38" i="5"/>
  <c r="AA37" i="5"/>
  <c r="Z37" i="5"/>
  <c r="Y37" i="5"/>
  <c r="X37" i="5"/>
  <c r="W37" i="5"/>
  <c r="U37" i="5"/>
  <c r="V37" i="5" s="1"/>
  <c r="Q37" i="5"/>
  <c r="P37" i="5"/>
  <c r="R37" i="5" s="1"/>
  <c r="J37" i="5"/>
  <c r="C37" i="5"/>
  <c r="AE36" i="5"/>
  <c r="AA36" i="5"/>
  <c r="Z36" i="5"/>
  <c r="Y36" i="5"/>
  <c r="X36" i="5"/>
  <c r="W36" i="5"/>
  <c r="V36" i="5"/>
  <c r="U36" i="5"/>
  <c r="Q36" i="5"/>
  <c r="P36" i="5"/>
  <c r="R36" i="5" s="1"/>
  <c r="J36" i="5"/>
  <c r="C36" i="5"/>
  <c r="AE35" i="5"/>
  <c r="AI35" i="5" s="1"/>
  <c r="AG35" i="5" s="1"/>
  <c r="AD35" i="5" s="1"/>
  <c r="AA35" i="5"/>
  <c r="Y35" i="5"/>
  <c r="Z35" i="5" s="1"/>
  <c r="X35" i="5"/>
  <c r="W35" i="5"/>
  <c r="V35" i="5"/>
  <c r="U35" i="5"/>
  <c r="Q35" i="5"/>
  <c r="P35" i="5"/>
  <c r="R35" i="5" s="1"/>
  <c r="J35" i="5"/>
  <c r="C35" i="5"/>
  <c r="AE34" i="5"/>
  <c r="AI34" i="5" s="1"/>
  <c r="AG34" i="5" s="1"/>
  <c r="AD34" i="5" s="1"/>
  <c r="Y34" i="5"/>
  <c r="X34" i="5"/>
  <c r="W34" i="5"/>
  <c r="V34" i="5"/>
  <c r="U34" i="5"/>
  <c r="R34" i="5"/>
  <c r="Q34" i="5"/>
  <c r="P34" i="5"/>
  <c r="J34" i="5"/>
  <c r="C34" i="5"/>
  <c r="AH33" i="5"/>
  <c r="AF33" i="5" s="1"/>
  <c r="AC33" i="5" s="1"/>
  <c r="AE33" i="5"/>
  <c r="AI33" i="5" s="1"/>
  <c r="AG33" i="5" s="1"/>
  <c r="AD33" i="5" s="1"/>
  <c r="Y33" i="5"/>
  <c r="W33" i="5"/>
  <c r="X33" i="5" s="1"/>
  <c r="V33" i="5"/>
  <c r="U33" i="5"/>
  <c r="R33" i="5"/>
  <c r="Q33" i="5"/>
  <c r="P33" i="5"/>
  <c r="J33" i="5"/>
  <c r="C33" i="5"/>
  <c r="Z32" i="5"/>
  <c r="Y32" i="5"/>
  <c r="AA32" i="5" s="1"/>
  <c r="W32" i="5"/>
  <c r="X32" i="5" s="1"/>
  <c r="V32" i="5"/>
  <c r="U32" i="5"/>
  <c r="P32" i="5"/>
  <c r="J32" i="5"/>
  <c r="C32" i="5"/>
  <c r="Z31" i="5"/>
  <c r="Y31" i="5"/>
  <c r="AA31" i="5" s="1"/>
  <c r="W31" i="5"/>
  <c r="X31" i="5" s="1"/>
  <c r="U31" i="5"/>
  <c r="V31" i="5" s="1"/>
  <c r="P31" i="5"/>
  <c r="J31" i="5"/>
  <c r="C31" i="5"/>
  <c r="Z30" i="5"/>
  <c r="Y30" i="5"/>
  <c r="AA30" i="5" s="1"/>
  <c r="X30" i="5"/>
  <c r="W30" i="5"/>
  <c r="U30" i="5"/>
  <c r="V30" i="5" s="1"/>
  <c r="P30" i="5"/>
  <c r="J30" i="5"/>
  <c r="C30" i="5"/>
  <c r="AA29" i="5"/>
  <c r="Z29" i="5"/>
  <c r="Y29" i="5"/>
  <c r="X29" i="5"/>
  <c r="W29" i="5"/>
  <c r="U29" i="5"/>
  <c r="V29" i="5" s="1"/>
  <c r="Q29" i="5"/>
  <c r="P29" i="5"/>
  <c r="R29" i="5" s="1"/>
  <c r="J29" i="5"/>
  <c r="C29" i="5"/>
  <c r="AE28" i="5"/>
  <c r="AA28" i="5"/>
  <c r="Z28" i="5"/>
  <c r="Y28" i="5"/>
  <c r="X28" i="5"/>
  <c r="W28" i="5"/>
  <c r="V28" i="5"/>
  <c r="U28" i="5"/>
  <c r="Q28" i="5"/>
  <c r="P28" i="5"/>
  <c r="R28" i="5" s="1"/>
  <c r="J28" i="5"/>
  <c r="C28" i="5"/>
  <c r="AE27" i="5"/>
  <c r="AI27" i="5" s="1"/>
  <c r="AG27" i="5" s="1"/>
  <c r="AD27" i="5" s="1"/>
  <c r="AA27" i="5"/>
  <c r="Y27" i="5"/>
  <c r="Z27" i="5" s="1"/>
  <c r="X27" i="5"/>
  <c r="W27" i="5"/>
  <c r="V27" i="5"/>
  <c r="U27" i="5"/>
  <c r="Q27" i="5"/>
  <c r="P27" i="5"/>
  <c r="R27" i="5" s="1"/>
  <c r="J27" i="5"/>
  <c r="C27" i="5"/>
  <c r="AE26" i="5"/>
  <c r="AI26" i="5" s="1"/>
  <c r="AG26" i="5" s="1"/>
  <c r="AD26" i="5" s="1"/>
  <c r="AA26" i="5"/>
  <c r="Y26" i="5"/>
  <c r="Z26" i="5" s="1"/>
  <c r="X26" i="5"/>
  <c r="W26" i="5"/>
  <c r="V26" i="5"/>
  <c r="U26" i="5"/>
  <c r="R26" i="5"/>
  <c r="Q26" i="5"/>
  <c r="P26" i="5"/>
  <c r="J26" i="5"/>
  <c r="C26" i="5"/>
  <c r="AH25" i="5"/>
  <c r="AF25" i="5" s="1"/>
  <c r="AC25" i="5" s="1"/>
  <c r="AE25" i="5"/>
  <c r="AI25" i="5" s="1"/>
  <c r="AG25" i="5" s="1"/>
  <c r="AD25" i="5" s="1"/>
  <c r="Y25" i="5"/>
  <c r="W25" i="5"/>
  <c r="X25" i="5" s="1"/>
  <c r="V25" i="5"/>
  <c r="U25" i="5"/>
  <c r="R25" i="5"/>
  <c r="Q25" i="5"/>
  <c r="P25" i="5"/>
  <c r="J25" i="5"/>
  <c r="C25" i="5"/>
  <c r="Z24" i="5"/>
  <c r="Y24" i="5"/>
  <c r="AA24" i="5" s="1"/>
  <c r="W24" i="5"/>
  <c r="X24" i="5" s="1"/>
  <c r="V24" i="5"/>
  <c r="U24" i="5"/>
  <c r="P24" i="5"/>
  <c r="J24" i="5"/>
  <c r="C24" i="5"/>
  <c r="Z23" i="5"/>
  <c r="Y23" i="5"/>
  <c r="AA23" i="5" s="1"/>
  <c r="W23" i="5"/>
  <c r="X23" i="5" s="1"/>
  <c r="U23" i="5"/>
  <c r="V23" i="5" s="1"/>
  <c r="P23" i="5"/>
  <c r="J23" i="5"/>
  <c r="C23" i="5"/>
  <c r="Z22" i="5"/>
  <c r="Y22" i="5"/>
  <c r="AA22" i="5" s="1"/>
  <c r="W22" i="5"/>
  <c r="X22" i="5" s="1"/>
  <c r="U22" i="5"/>
  <c r="V22" i="5" s="1"/>
  <c r="P22" i="5"/>
  <c r="J22" i="5"/>
  <c r="C22" i="5"/>
  <c r="AA21" i="5"/>
  <c r="Z21" i="5"/>
  <c r="Y21" i="5"/>
  <c r="X21" i="5"/>
  <c r="W21" i="5"/>
  <c r="U21" i="5"/>
  <c r="V21" i="5" s="1"/>
  <c r="Q21" i="5"/>
  <c r="P21" i="5"/>
  <c r="J21" i="5"/>
  <c r="C21" i="5"/>
  <c r="AE20" i="5"/>
  <c r="AA20" i="5"/>
  <c r="AA44" i="5" s="1"/>
  <c r="Z20" i="5"/>
  <c r="Z44" i="5" s="1"/>
  <c r="Y20" i="5"/>
  <c r="Y44" i="5" s="1"/>
  <c r="X20" i="5"/>
  <c r="X44" i="5" s="1"/>
  <c r="W20" i="5"/>
  <c r="W44" i="5" s="1"/>
  <c r="V20" i="5"/>
  <c r="V44" i="5" s="1"/>
  <c r="U20" i="5"/>
  <c r="Q20" i="5"/>
  <c r="P20" i="5"/>
  <c r="R20" i="5" s="1"/>
  <c r="C20" i="5"/>
  <c r="B48" i="5" s="1"/>
  <c r="H11" i="8" s="1"/>
  <c r="H15" i="5"/>
  <c r="N14" i="5"/>
  <c r="L14" i="5"/>
  <c r="H12" i="5"/>
  <c r="H11" i="5"/>
  <c r="D11" i="5"/>
  <c r="I10" i="5"/>
  <c r="G10" i="5"/>
  <c r="D10" i="5"/>
  <c r="I9" i="5"/>
  <c r="G9" i="5"/>
  <c r="D9" i="5"/>
  <c r="D9" i="8" s="1"/>
  <c r="H8" i="5"/>
  <c r="H7" i="5"/>
  <c r="M6" i="5"/>
  <c r="H6" i="5"/>
  <c r="D6" i="5"/>
  <c r="O3" i="5"/>
  <c r="D2" i="5"/>
  <c r="P48" i="4"/>
  <c r="N48" i="4"/>
  <c r="P10" i="7" s="1"/>
  <c r="M48" i="4"/>
  <c r="K48" i="4"/>
  <c r="K47" i="4" s="1"/>
  <c r="I48" i="4"/>
  <c r="I47" i="4" s="1"/>
  <c r="P8" i="7" s="1"/>
  <c r="F48" i="4"/>
  <c r="P7" i="7" s="1"/>
  <c r="D48" i="4"/>
  <c r="Z43" i="4"/>
  <c r="Y43" i="4"/>
  <c r="AA43" i="4" s="1"/>
  <c r="X43" i="4"/>
  <c r="W43" i="4"/>
  <c r="U43" i="4"/>
  <c r="V43" i="4" s="1"/>
  <c r="P43" i="4"/>
  <c r="J43" i="4"/>
  <c r="C43" i="4"/>
  <c r="AI42" i="4"/>
  <c r="AG42" i="4"/>
  <c r="AD42" i="4" s="1"/>
  <c r="AF42" i="4"/>
  <c r="AC42" i="4" s="1"/>
  <c r="AA42" i="4"/>
  <c r="Z42" i="4"/>
  <c r="Y42" i="4"/>
  <c r="W42" i="4"/>
  <c r="X42" i="4" s="1"/>
  <c r="U42" i="4"/>
  <c r="V42" i="4" s="1"/>
  <c r="P42" i="4"/>
  <c r="AE42" i="4" s="1"/>
  <c r="AH42" i="4" s="1"/>
  <c r="J42" i="4"/>
  <c r="C42" i="4"/>
  <c r="AA41" i="4"/>
  <c r="Z41" i="4"/>
  <c r="Y41" i="4"/>
  <c r="W41" i="4"/>
  <c r="X41" i="4" s="1"/>
  <c r="V41" i="4"/>
  <c r="U41" i="4"/>
  <c r="P41" i="4"/>
  <c r="R41" i="4" s="1"/>
  <c r="J41" i="4"/>
  <c r="C41" i="4"/>
  <c r="Y40" i="4"/>
  <c r="X40" i="4"/>
  <c r="W40" i="4"/>
  <c r="V40" i="4"/>
  <c r="U40" i="4"/>
  <c r="P40" i="4"/>
  <c r="R40" i="4" s="1"/>
  <c r="J40" i="4"/>
  <c r="C40" i="4"/>
  <c r="AH39" i="4"/>
  <c r="AF39" i="4" s="1"/>
  <c r="AC39" i="4" s="1"/>
  <c r="AG39" i="4"/>
  <c r="AD39" i="4" s="1"/>
  <c r="AE39" i="4"/>
  <c r="AI39" i="4" s="1"/>
  <c r="AA39" i="4"/>
  <c r="Y39" i="4"/>
  <c r="Z39" i="4" s="1"/>
  <c r="X39" i="4"/>
  <c r="W39" i="4"/>
  <c r="V39" i="4"/>
  <c r="U39" i="4"/>
  <c r="R39" i="4"/>
  <c r="Q39" i="4"/>
  <c r="P39" i="4"/>
  <c r="J39" i="4"/>
  <c r="C39" i="4"/>
  <c r="AH38" i="4"/>
  <c r="AF38" i="4" s="1"/>
  <c r="AC38" i="4" s="1"/>
  <c r="AG38" i="4"/>
  <c r="AD38" i="4" s="1"/>
  <c r="AE38" i="4"/>
  <c r="AI38" i="4" s="1"/>
  <c r="Y38" i="4"/>
  <c r="Z38" i="4" s="1"/>
  <c r="X38" i="4"/>
  <c r="W38" i="4"/>
  <c r="V38" i="4"/>
  <c r="U38" i="4"/>
  <c r="R38" i="4"/>
  <c r="Q38" i="4"/>
  <c r="P38" i="4"/>
  <c r="J38" i="4"/>
  <c r="C38" i="4"/>
  <c r="Y37" i="4"/>
  <c r="W37" i="4"/>
  <c r="X37" i="4" s="1"/>
  <c r="V37" i="4"/>
  <c r="U37" i="4"/>
  <c r="P37" i="4"/>
  <c r="AE37" i="4" s="1"/>
  <c r="J37" i="4"/>
  <c r="C37" i="4"/>
  <c r="AI36" i="4"/>
  <c r="AG36" i="4" s="1"/>
  <c r="AD36" i="4" s="1"/>
  <c r="AH36" i="4"/>
  <c r="AF36" i="4" s="1"/>
  <c r="AC36" i="4" s="1"/>
  <c r="AE36" i="4"/>
  <c r="Y36" i="4"/>
  <c r="W36" i="4"/>
  <c r="X36" i="4" s="1"/>
  <c r="V36" i="4"/>
  <c r="U36" i="4"/>
  <c r="R36" i="4"/>
  <c r="P36" i="4"/>
  <c r="Q36" i="4" s="1"/>
  <c r="J36" i="4"/>
  <c r="C36" i="4"/>
  <c r="Y35" i="4"/>
  <c r="AA35" i="4" s="1"/>
  <c r="X35" i="4"/>
  <c r="W35" i="4"/>
  <c r="U35" i="4"/>
  <c r="V35" i="4" s="1"/>
  <c r="R35" i="4"/>
  <c r="P35" i="4"/>
  <c r="J35" i="4"/>
  <c r="C35" i="4"/>
  <c r="AI34" i="4"/>
  <c r="AG34" i="4"/>
  <c r="AD34" i="4" s="1"/>
  <c r="AF34" i="4"/>
  <c r="AC34" i="4" s="1"/>
  <c r="AA34" i="4"/>
  <c r="Z34" i="4"/>
  <c r="Y34" i="4"/>
  <c r="W34" i="4"/>
  <c r="X34" i="4" s="1"/>
  <c r="U34" i="4"/>
  <c r="V34" i="4" s="1"/>
  <c r="R34" i="4"/>
  <c r="Q34" i="4"/>
  <c r="P34" i="4"/>
  <c r="AE34" i="4" s="1"/>
  <c r="AH34" i="4" s="1"/>
  <c r="J34" i="4"/>
  <c r="C34" i="4"/>
  <c r="AE33" i="4"/>
  <c r="AH33" i="4" s="1"/>
  <c r="AF33" i="4" s="1"/>
  <c r="AC33" i="4" s="1"/>
  <c r="AA33" i="4"/>
  <c r="Z33" i="4"/>
  <c r="Y33" i="4"/>
  <c r="W33" i="4"/>
  <c r="X33" i="4" s="1"/>
  <c r="U33" i="4"/>
  <c r="V33" i="4" s="1"/>
  <c r="Q33" i="4"/>
  <c r="P33" i="4"/>
  <c r="R33" i="4" s="1"/>
  <c r="J33" i="4"/>
  <c r="C33" i="4"/>
  <c r="AH32" i="4"/>
  <c r="AF32" i="4" s="1"/>
  <c r="AC32" i="4" s="1"/>
  <c r="AE32" i="4"/>
  <c r="AI32" i="4" s="1"/>
  <c r="AG32" i="4" s="1"/>
  <c r="AD32" i="4" s="1"/>
  <c r="Y32" i="4"/>
  <c r="AA32" i="4" s="1"/>
  <c r="X32" i="4"/>
  <c r="W32" i="4"/>
  <c r="U32" i="4"/>
  <c r="V32" i="4" s="1"/>
  <c r="Q32" i="4"/>
  <c r="P32" i="4"/>
  <c r="R32" i="4" s="1"/>
  <c r="J32" i="4"/>
  <c r="C32" i="4"/>
  <c r="AG31" i="4"/>
  <c r="AD31" i="4" s="1"/>
  <c r="AE31" i="4"/>
  <c r="AI31" i="4" s="1"/>
  <c r="AA31" i="4"/>
  <c r="Y31" i="4"/>
  <c r="Z31" i="4" s="1"/>
  <c r="X31" i="4"/>
  <c r="W31" i="4"/>
  <c r="V31" i="4"/>
  <c r="U31" i="4"/>
  <c r="R31" i="4"/>
  <c r="Q31" i="4"/>
  <c r="P31" i="4"/>
  <c r="J31" i="4"/>
  <c r="C31" i="4"/>
  <c r="AG30" i="4"/>
  <c r="AD30" i="4" s="1"/>
  <c r="AE30" i="4"/>
  <c r="AI30" i="4" s="1"/>
  <c r="AA30" i="4"/>
  <c r="Y30" i="4"/>
  <c r="Z30" i="4" s="1"/>
  <c r="X30" i="4"/>
  <c r="W30" i="4"/>
  <c r="V30" i="4"/>
  <c r="U30" i="4"/>
  <c r="R30" i="4"/>
  <c r="Q30" i="4"/>
  <c r="P30" i="4"/>
  <c r="J30" i="4"/>
  <c r="C30" i="4"/>
  <c r="AH29" i="4"/>
  <c r="AF29" i="4" s="1"/>
  <c r="AC29" i="4" s="1"/>
  <c r="AE29" i="4"/>
  <c r="AI29" i="4" s="1"/>
  <c r="AG29" i="4" s="1"/>
  <c r="AD29" i="4" s="1"/>
  <c r="Y29" i="4"/>
  <c r="AA29" i="4" s="1"/>
  <c r="W29" i="4"/>
  <c r="X29" i="4" s="1"/>
  <c r="V29" i="4"/>
  <c r="U29" i="4"/>
  <c r="R29" i="4"/>
  <c r="Q29" i="4"/>
  <c r="P29" i="4"/>
  <c r="J29" i="4"/>
  <c r="C29" i="4"/>
  <c r="AH28" i="4"/>
  <c r="AF28" i="4" s="1"/>
  <c r="AC28" i="4" s="1"/>
  <c r="AE28" i="4"/>
  <c r="AI28" i="4" s="1"/>
  <c r="AG28" i="4" s="1"/>
  <c r="AD28" i="4" s="1"/>
  <c r="Y28" i="4"/>
  <c r="AA28" i="4" s="1"/>
  <c r="W28" i="4"/>
  <c r="X28" i="4" s="1"/>
  <c r="V28" i="4"/>
  <c r="U28" i="4"/>
  <c r="R28" i="4"/>
  <c r="P28" i="4"/>
  <c r="Q28" i="4" s="1"/>
  <c r="J28" i="4"/>
  <c r="C28" i="4"/>
  <c r="Y27" i="4"/>
  <c r="AA27" i="4" s="1"/>
  <c r="W27" i="4"/>
  <c r="X27" i="4" s="1"/>
  <c r="U27" i="4"/>
  <c r="V27" i="4" s="1"/>
  <c r="P27" i="4"/>
  <c r="J27" i="4"/>
  <c r="C27" i="4"/>
  <c r="AE26" i="4"/>
  <c r="AI26" i="4" s="1"/>
  <c r="AG26" i="4" s="1"/>
  <c r="AD26" i="4" s="1"/>
  <c r="Y26" i="4"/>
  <c r="AA26" i="4" s="1"/>
  <c r="W26" i="4"/>
  <c r="X26" i="4" s="1"/>
  <c r="U26" i="4"/>
  <c r="V26" i="4" s="1"/>
  <c r="R26" i="4"/>
  <c r="P26" i="4"/>
  <c r="Q26" i="4" s="1"/>
  <c r="J26" i="4"/>
  <c r="C26" i="4"/>
  <c r="Z25" i="4"/>
  <c r="Y25" i="4"/>
  <c r="AA25" i="4" s="1"/>
  <c r="X25" i="4"/>
  <c r="W25" i="4"/>
  <c r="U25" i="4"/>
  <c r="V25" i="4" s="1"/>
  <c r="P25" i="4"/>
  <c r="J25" i="4"/>
  <c r="C25" i="4"/>
  <c r="AA24" i="4"/>
  <c r="Z24" i="4"/>
  <c r="Y24" i="4"/>
  <c r="W24" i="4"/>
  <c r="X24" i="4" s="1"/>
  <c r="U24" i="4"/>
  <c r="V24" i="4" s="1"/>
  <c r="R24" i="4"/>
  <c r="Q24" i="4"/>
  <c r="P24" i="4"/>
  <c r="AE24" i="4" s="1"/>
  <c r="J24" i="4"/>
  <c r="C24" i="4"/>
  <c r="AE23" i="4"/>
  <c r="AI23" i="4" s="1"/>
  <c r="AG23" i="4" s="1"/>
  <c r="AD23" i="4" s="1"/>
  <c r="Y23" i="4"/>
  <c r="AA23" i="4" s="1"/>
  <c r="X23" i="4"/>
  <c r="W23" i="4"/>
  <c r="V23" i="4"/>
  <c r="U23" i="4"/>
  <c r="P23" i="4"/>
  <c r="R23" i="4" s="1"/>
  <c r="J23" i="4"/>
  <c r="C23" i="4"/>
  <c r="AA22" i="4"/>
  <c r="Y22" i="4"/>
  <c r="Z22" i="4" s="1"/>
  <c r="X22" i="4"/>
  <c r="W22" i="4"/>
  <c r="U22" i="4"/>
  <c r="V22" i="4" s="1"/>
  <c r="Q22" i="4"/>
  <c r="P22" i="4"/>
  <c r="AE22" i="4" s="1"/>
  <c r="J22" i="4"/>
  <c r="C22" i="4"/>
  <c r="AE21" i="4"/>
  <c r="AA21" i="4"/>
  <c r="Y21" i="4"/>
  <c r="Z21" i="4" s="1"/>
  <c r="W21" i="4"/>
  <c r="X21" i="4" s="1"/>
  <c r="V21" i="4"/>
  <c r="U21" i="4"/>
  <c r="R21" i="4"/>
  <c r="Q21" i="4"/>
  <c r="P21" i="4"/>
  <c r="J21" i="4"/>
  <c r="C21" i="4"/>
  <c r="AH20" i="4"/>
  <c r="AF20" i="4"/>
  <c r="AC20" i="4" s="1"/>
  <c r="AE20" i="4"/>
  <c r="AI20" i="4" s="1"/>
  <c r="AG20" i="4" s="1"/>
  <c r="AD20" i="4" s="1"/>
  <c r="Y20" i="4"/>
  <c r="W20" i="4"/>
  <c r="X20" i="4" s="1"/>
  <c r="X44" i="4" s="1"/>
  <c r="V20" i="4"/>
  <c r="V44" i="4" s="1"/>
  <c r="U20" i="4"/>
  <c r="U44" i="4" s="1"/>
  <c r="P20" i="4"/>
  <c r="R20" i="4" s="1"/>
  <c r="C20" i="4"/>
  <c r="B48" i="4" s="1"/>
  <c r="H11" i="7" s="1"/>
  <c r="H15" i="4"/>
  <c r="N14" i="4"/>
  <c r="L14" i="4"/>
  <c r="H12" i="4"/>
  <c r="H11" i="4"/>
  <c r="D11" i="4"/>
  <c r="I10" i="4"/>
  <c r="G10" i="4"/>
  <c r="D10" i="4"/>
  <c r="I9" i="4"/>
  <c r="G9" i="4"/>
  <c r="D9" i="4"/>
  <c r="D9" i="7" s="1"/>
  <c r="H8" i="4"/>
  <c r="H7" i="4"/>
  <c r="M6" i="4"/>
  <c r="H6" i="4"/>
  <c r="D6" i="4"/>
  <c r="O3" i="4"/>
  <c r="D2" i="4"/>
  <c r="P48" i="3"/>
  <c r="N48" i="3"/>
  <c r="P10" i="6" s="1"/>
  <c r="M48" i="3"/>
  <c r="K48" i="3"/>
  <c r="K47" i="3" s="1"/>
  <c r="I48" i="3"/>
  <c r="I47" i="3" s="1"/>
  <c r="P8" i="6" s="1"/>
  <c r="F48" i="3"/>
  <c r="P7" i="6" s="1"/>
  <c r="D48" i="3"/>
  <c r="C31" i="6" s="1"/>
  <c r="C35" i="6" s="1"/>
  <c r="AE43" i="3"/>
  <c r="Y43" i="3"/>
  <c r="AA43" i="3" s="1"/>
  <c r="W43" i="3"/>
  <c r="X43" i="3" s="1"/>
  <c r="V43" i="3"/>
  <c r="U43" i="3"/>
  <c r="P43" i="3"/>
  <c r="R43" i="3" s="1"/>
  <c r="J43" i="3"/>
  <c r="C43" i="3"/>
  <c r="Y42" i="3"/>
  <c r="AA42" i="3" s="1"/>
  <c r="X42" i="3"/>
  <c r="W42" i="3"/>
  <c r="U42" i="3"/>
  <c r="V42" i="3" s="1"/>
  <c r="Q42" i="3"/>
  <c r="P42" i="3"/>
  <c r="J42" i="3"/>
  <c r="C42" i="3"/>
  <c r="AE41" i="3"/>
  <c r="AA41" i="3"/>
  <c r="Z41" i="3"/>
  <c r="Y41" i="3"/>
  <c r="W41" i="3"/>
  <c r="X41" i="3" s="1"/>
  <c r="U41" i="3"/>
  <c r="V41" i="3" s="1"/>
  <c r="R41" i="3"/>
  <c r="Q41" i="3"/>
  <c r="P41" i="3"/>
  <c r="J41" i="3"/>
  <c r="C41" i="3"/>
  <c r="AE40" i="3"/>
  <c r="AI40" i="3" s="1"/>
  <c r="AG40" i="3" s="1"/>
  <c r="AD40" i="3" s="1"/>
  <c r="Y40" i="3"/>
  <c r="X40" i="3"/>
  <c r="W40" i="3"/>
  <c r="V40" i="3"/>
  <c r="U40" i="3"/>
  <c r="P40" i="3"/>
  <c r="R40" i="3" s="1"/>
  <c r="J40" i="3"/>
  <c r="C40" i="3"/>
  <c r="AI39" i="3"/>
  <c r="AG39" i="3" s="1"/>
  <c r="AD39" i="3" s="1"/>
  <c r="AH39" i="3"/>
  <c r="AF39" i="3" s="1"/>
  <c r="AC39" i="3" s="1"/>
  <c r="Y39" i="3"/>
  <c r="AA39" i="3" s="1"/>
  <c r="X39" i="3"/>
  <c r="W39" i="3"/>
  <c r="U39" i="3"/>
  <c r="V39" i="3" s="1"/>
  <c r="R39" i="3"/>
  <c r="Q39" i="3"/>
  <c r="P39" i="3"/>
  <c r="AE39" i="3" s="1"/>
  <c r="J39" i="3"/>
  <c r="C39" i="3"/>
  <c r="AE38" i="3"/>
  <c r="Y38" i="3"/>
  <c r="AA38" i="3" s="1"/>
  <c r="W38" i="3"/>
  <c r="X38" i="3" s="1"/>
  <c r="U38" i="3"/>
  <c r="V38" i="3" s="1"/>
  <c r="R38" i="3"/>
  <c r="Q38" i="3"/>
  <c r="P38" i="3"/>
  <c r="J38" i="3"/>
  <c r="C38" i="3"/>
  <c r="Y37" i="3"/>
  <c r="AA37" i="3" s="1"/>
  <c r="X37" i="3"/>
  <c r="W37" i="3"/>
  <c r="V37" i="3"/>
  <c r="U37" i="3"/>
  <c r="P37" i="3"/>
  <c r="J37" i="3"/>
  <c r="C37" i="3"/>
  <c r="AA36" i="3"/>
  <c r="Z36" i="3"/>
  <c r="Y36" i="3"/>
  <c r="W36" i="3"/>
  <c r="X36" i="3" s="1"/>
  <c r="U36" i="3"/>
  <c r="V36" i="3" s="1"/>
  <c r="R36" i="3"/>
  <c r="Q36" i="3"/>
  <c r="P36" i="3"/>
  <c r="AE36" i="3" s="1"/>
  <c r="AH36" i="3" s="1"/>
  <c r="AF36" i="3" s="1"/>
  <c r="AC36" i="3" s="1"/>
  <c r="J36" i="3"/>
  <c r="C36" i="3"/>
  <c r="AE35" i="3"/>
  <c r="Y35" i="3"/>
  <c r="AA35" i="3" s="1"/>
  <c r="X35" i="3"/>
  <c r="W35" i="3"/>
  <c r="U35" i="3"/>
  <c r="V35" i="3" s="1"/>
  <c r="P35" i="3"/>
  <c r="R35" i="3" s="1"/>
  <c r="J35" i="3"/>
  <c r="C35" i="3"/>
  <c r="Y34" i="3"/>
  <c r="AA34" i="3" s="1"/>
  <c r="X34" i="3"/>
  <c r="W34" i="3"/>
  <c r="U34" i="3"/>
  <c r="V34" i="3" s="1"/>
  <c r="Q34" i="3"/>
  <c r="P34" i="3"/>
  <c r="J34" i="3"/>
  <c r="C34" i="3"/>
  <c r="AE33" i="3"/>
  <c r="AA33" i="3"/>
  <c r="Z33" i="3"/>
  <c r="Y33" i="3"/>
  <c r="W33" i="3"/>
  <c r="X33" i="3" s="1"/>
  <c r="U33" i="3"/>
  <c r="V33" i="3" s="1"/>
  <c r="R33" i="3"/>
  <c r="Q33" i="3"/>
  <c r="P33" i="3"/>
  <c r="J33" i="3"/>
  <c r="C33" i="3"/>
  <c r="AE32" i="3"/>
  <c r="AI32" i="3" s="1"/>
  <c r="AG32" i="3" s="1"/>
  <c r="AD32" i="3" s="1"/>
  <c r="Y32" i="3"/>
  <c r="W32" i="3"/>
  <c r="X32" i="3" s="1"/>
  <c r="V32" i="3"/>
  <c r="U32" i="3"/>
  <c r="P32" i="3"/>
  <c r="R32" i="3" s="1"/>
  <c r="J32" i="3"/>
  <c r="C32" i="3"/>
  <c r="AI31" i="3"/>
  <c r="AG31" i="3" s="1"/>
  <c r="AD31" i="3" s="1"/>
  <c r="AH31" i="3"/>
  <c r="AF31" i="3" s="1"/>
  <c r="AC31" i="3" s="1"/>
  <c r="Y31" i="3"/>
  <c r="AA31" i="3" s="1"/>
  <c r="X31" i="3"/>
  <c r="W31" i="3"/>
  <c r="U31" i="3"/>
  <c r="V31" i="3" s="1"/>
  <c r="R31" i="3"/>
  <c r="Q31" i="3"/>
  <c r="P31" i="3"/>
  <c r="AE31" i="3" s="1"/>
  <c r="J31" i="3"/>
  <c r="C31" i="3"/>
  <c r="AE30" i="3"/>
  <c r="Y30" i="3"/>
  <c r="AA30" i="3" s="1"/>
  <c r="W30" i="3"/>
  <c r="X30" i="3" s="1"/>
  <c r="U30" i="3"/>
  <c r="V30" i="3" s="1"/>
  <c r="R30" i="3"/>
  <c r="Q30" i="3"/>
  <c r="P30" i="3"/>
  <c r="J30" i="3"/>
  <c r="C30" i="3"/>
  <c r="Y29" i="3"/>
  <c r="AA29" i="3" s="1"/>
  <c r="X29" i="3"/>
  <c r="W29" i="3"/>
  <c r="V29" i="3"/>
  <c r="U29" i="3"/>
  <c r="P29" i="3"/>
  <c r="J29" i="3"/>
  <c r="C29" i="3"/>
  <c r="Y28" i="3"/>
  <c r="AA28" i="3" s="1"/>
  <c r="W28" i="3"/>
  <c r="X28" i="3" s="1"/>
  <c r="V28" i="3"/>
  <c r="U28" i="3"/>
  <c r="P28" i="3"/>
  <c r="AE28" i="3" s="1"/>
  <c r="J28" i="3"/>
  <c r="C28" i="3"/>
  <c r="Y27" i="3"/>
  <c r="AA27" i="3" s="1"/>
  <c r="X27" i="3"/>
  <c r="W27" i="3"/>
  <c r="U27" i="3"/>
  <c r="V27" i="3" s="1"/>
  <c r="P27" i="3"/>
  <c r="Q27" i="3" s="1"/>
  <c r="J27" i="3"/>
  <c r="C27" i="3"/>
  <c r="AA26" i="3"/>
  <c r="Z26" i="3"/>
  <c r="Y26" i="3"/>
  <c r="X26" i="3"/>
  <c r="W26" i="3"/>
  <c r="U26" i="3"/>
  <c r="V26" i="3" s="1"/>
  <c r="P26" i="3"/>
  <c r="AE26" i="3" s="1"/>
  <c r="AH26" i="3" s="1"/>
  <c r="AF26" i="3" s="1"/>
  <c r="AC26" i="3" s="1"/>
  <c r="J26" i="3"/>
  <c r="C26" i="3"/>
  <c r="AA25" i="3"/>
  <c r="Z25" i="3"/>
  <c r="Y25" i="3"/>
  <c r="W25" i="3"/>
  <c r="X25" i="3" s="1"/>
  <c r="U25" i="3"/>
  <c r="V25" i="3" s="1"/>
  <c r="R25" i="3"/>
  <c r="Q25" i="3"/>
  <c r="P25" i="3"/>
  <c r="AE25" i="3" s="1"/>
  <c r="J25" i="3"/>
  <c r="C25" i="3"/>
  <c r="AE24" i="3"/>
  <c r="AI24" i="3" s="1"/>
  <c r="AG24" i="3" s="1"/>
  <c r="AD24" i="3" s="1"/>
  <c r="Y24" i="3"/>
  <c r="AA24" i="3" s="1"/>
  <c r="W24" i="3"/>
  <c r="X24" i="3" s="1"/>
  <c r="U24" i="3"/>
  <c r="V24" i="3" s="1"/>
  <c r="Q24" i="3"/>
  <c r="P24" i="3"/>
  <c r="R24" i="3" s="1"/>
  <c r="J24" i="3"/>
  <c r="C24" i="3"/>
  <c r="AE23" i="3"/>
  <c r="AI23" i="3" s="1"/>
  <c r="AG23" i="3" s="1"/>
  <c r="AD23" i="3" s="1"/>
  <c r="Y23" i="3"/>
  <c r="AA23" i="3" s="1"/>
  <c r="X23" i="3"/>
  <c r="W23" i="3"/>
  <c r="V23" i="3"/>
  <c r="U23" i="3"/>
  <c r="P23" i="3"/>
  <c r="R23" i="3" s="1"/>
  <c r="J23" i="3"/>
  <c r="C23" i="3"/>
  <c r="Y22" i="3"/>
  <c r="AA22" i="3" s="1"/>
  <c r="X22" i="3"/>
  <c r="W22" i="3"/>
  <c r="V22" i="3"/>
  <c r="U22" i="3"/>
  <c r="P22" i="3"/>
  <c r="AE22" i="3" s="1"/>
  <c r="J22" i="3"/>
  <c r="C22" i="3"/>
  <c r="AA21" i="3"/>
  <c r="Z21" i="3"/>
  <c r="Y21" i="3"/>
  <c r="W21" i="3"/>
  <c r="X21" i="3" s="1"/>
  <c r="U21" i="3"/>
  <c r="V21" i="3" s="1"/>
  <c r="Q21" i="3"/>
  <c r="P21" i="3"/>
  <c r="AE21" i="3" s="1"/>
  <c r="J21" i="3"/>
  <c r="C21" i="3"/>
  <c r="AE20" i="3"/>
  <c r="AI20" i="3" s="1"/>
  <c r="AG20" i="3" s="1"/>
  <c r="AD20" i="3" s="1"/>
  <c r="Y20" i="3"/>
  <c r="AA20" i="3" s="1"/>
  <c r="AA44" i="3" s="1"/>
  <c r="W20" i="3"/>
  <c r="W44" i="3" s="1"/>
  <c r="V20" i="3"/>
  <c r="V44" i="3" s="1"/>
  <c r="U20" i="3"/>
  <c r="U44" i="3" s="1"/>
  <c r="P20" i="3"/>
  <c r="R20" i="3" s="1"/>
  <c r="C20" i="3"/>
  <c r="B48" i="3" s="1"/>
  <c r="H11" i="6" s="1"/>
  <c r="H15" i="3"/>
  <c r="D15" i="3"/>
  <c r="N14" i="3"/>
  <c r="L14" i="3"/>
  <c r="H12" i="3"/>
  <c r="H11" i="3"/>
  <c r="D11" i="3"/>
  <c r="I10" i="3"/>
  <c r="G10" i="3"/>
  <c r="D10" i="3"/>
  <c r="I9" i="3"/>
  <c r="G9" i="3"/>
  <c r="D9" i="3"/>
  <c r="D9" i="6" s="1"/>
  <c r="H8" i="3"/>
  <c r="H7" i="3"/>
  <c r="M6" i="3"/>
  <c r="H6" i="3"/>
  <c r="D6" i="3"/>
  <c r="O3" i="3"/>
  <c r="D2" i="3"/>
  <c r="I46" i="2"/>
  <c r="K6" i="5" s="1"/>
  <c r="F46" i="2"/>
  <c r="E46" i="2"/>
  <c r="C46" i="2"/>
  <c r="V45" i="2"/>
  <c r="U45" i="2"/>
  <c r="F45" i="2"/>
  <c r="G45" i="2" s="1"/>
  <c r="V44" i="2"/>
  <c r="U44" i="2"/>
  <c r="F44" i="2"/>
  <c r="G44" i="2" s="1"/>
  <c r="V43" i="2"/>
  <c r="U43" i="2"/>
  <c r="F43" i="2"/>
  <c r="G43" i="2" s="1"/>
  <c r="V42" i="2"/>
  <c r="U42" i="2"/>
  <c r="F42" i="2"/>
  <c r="G42" i="2" s="1"/>
  <c r="V41" i="2"/>
  <c r="U41" i="2"/>
  <c r="F41" i="2"/>
  <c r="G41" i="2" s="1"/>
  <c r="V40" i="2"/>
  <c r="U40" i="2"/>
  <c r="G40" i="2"/>
  <c r="F40" i="2"/>
  <c r="V39" i="2"/>
  <c r="U39" i="2"/>
  <c r="G39" i="2"/>
  <c r="F39" i="2"/>
  <c r="V38" i="2"/>
  <c r="U38" i="2"/>
  <c r="F38" i="2"/>
  <c r="G38" i="2" s="1"/>
  <c r="V37" i="2"/>
  <c r="U37" i="2"/>
  <c r="F37" i="2"/>
  <c r="G37" i="2" s="1"/>
  <c r="V36" i="2"/>
  <c r="U36" i="2"/>
  <c r="F36" i="2"/>
  <c r="G36" i="2" s="1"/>
  <c r="V35" i="2"/>
  <c r="U35" i="2"/>
  <c r="F35" i="2"/>
  <c r="G35" i="2" s="1"/>
  <c r="V34" i="2"/>
  <c r="U34" i="2"/>
  <c r="F34" i="2"/>
  <c r="G34" i="2" s="1"/>
  <c r="V33" i="2"/>
  <c r="U33" i="2"/>
  <c r="F33" i="2"/>
  <c r="G33" i="2" s="1"/>
  <c r="V32" i="2"/>
  <c r="U32" i="2"/>
  <c r="F32" i="2"/>
  <c r="G32" i="2" s="1"/>
  <c r="V31" i="2"/>
  <c r="U31" i="2"/>
  <c r="F31" i="2"/>
  <c r="G31" i="2" s="1"/>
  <c r="V30" i="2"/>
  <c r="U30" i="2"/>
  <c r="F30" i="2"/>
  <c r="G30" i="2" s="1"/>
  <c r="V29" i="2"/>
  <c r="U29" i="2"/>
  <c r="F29" i="2"/>
  <c r="G29" i="2" s="1"/>
  <c r="V28" i="2"/>
  <c r="U28" i="2"/>
  <c r="F28" i="2"/>
  <c r="G28" i="2" s="1"/>
  <c r="V27" i="2"/>
  <c r="U27" i="2"/>
  <c r="F27" i="2"/>
  <c r="G27" i="2" s="1"/>
  <c r="V26" i="2"/>
  <c r="U26" i="2"/>
  <c r="F26" i="2"/>
  <c r="G26" i="2" s="1"/>
  <c r="V25" i="2"/>
  <c r="U25" i="2"/>
  <c r="F25" i="2"/>
  <c r="G25" i="2" s="1"/>
  <c r="V24" i="2"/>
  <c r="U24" i="2"/>
  <c r="F24" i="2"/>
  <c r="G24" i="2" s="1"/>
  <c r="V23" i="2"/>
  <c r="U23" i="2"/>
  <c r="F23" i="2"/>
  <c r="G23" i="2" s="1"/>
  <c r="B23" i="2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V22" i="2"/>
  <c r="V46" i="2" s="1"/>
  <c r="U22" i="2"/>
  <c r="U46" i="2" s="1"/>
  <c r="F22" i="2"/>
  <c r="G22" i="2" s="1"/>
  <c r="G46" i="2" s="1"/>
  <c r="F15" i="2"/>
  <c r="Q14" i="2"/>
  <c r="D12" i="2"/>
  <c r="D10" i="2"/>
  <c r="G9" i="2"/>
  <c r="H8" i="6" s="1"/>
  <c r="AH21" i="3" l="1"/>
  <c r="AF21" i="3" s="1"/>
  <c r="AC21" i="3" s="1"/>
  <c r="AI21" i="3"/>
  <c r="AG21" i="3" s="1"/>
  <c r="AD21" i="3" s="1"/>
  <c r="AI22" i="3"/>
  <c r="AG22" i="3" s="1"/>
  <c r="AD22" i="3" s="1"/>
  <c r="AH22" i="3"/>
  <c r="AF22" i="3" s="1"/>
  <c r="AC22" i="3" s="1"/>
  <c r="AH25" i="3"/>
  <c r="AF25" i="3" s="1"/>
  <c r="AC25" i="3" s="1"/>
  <c r="AI25" i="3"/>
  <c r="AG25" i="3" s="1"/>
  <c r="AD25" i="3" s="1"/>
  <c r="AH28" i="3"/>
  <c r="AF28" i="3" s="1"/>
  <c r="AC28" i="3" s="1"/>
  <c r="AI28" i="3"/>
  <c r="AG28" i="3" s="1"/>
  <c r="AD28" i="3" s="1"/>
  <c r="AI26" i="3"/>
  <c r="AG26" i="3" s="1"/>
  <c r="AD26" i="3" s="1"/>
  <c r="AI21" i="4"/>
  <c r="AG21" i="4" s="1"/>
  <c r="AD21" i="4" s="1"/>
  <c r="AH21" i="4"/>
  <c r="AF21" i="4" s="1"/>
  <c r="AC21" i="4" s="1"/>
  <c r="AI43" i="3"/>
  <c r="AG43" i="3" s="1"/>
  <c r="AD43" i="3" s="1"/>
  <c r="AH43" i="3"/>
  <c r="AF43" i="3" s="1"/>
  <c r="AC43" i="3" s="1"/>
  <c r="AE25" i="4"/>
  <c r="R25" i="4"/>
  <c r="Q25" i="4"/>
  <c r="AA36" i="4"/>
  <c r="Z36" i="4"/>
  <c r="R21" i="3"/>
  <c r="Z27" i="3"/>
  <c r="Z29" i="3"/>
  <c r="AA32" i="3"/>
  <c r="Z32" i="3"/>
  <c r="AI36" i="3"/>
  <c r="AG36" i="3" s="1"/>
  <c r="AD36" i="3" s="1"/>
  <c r="AA40" i="3"/>
  <c r="Z40" i="3"/>
  <c r="P9" i="6"/>
  <c r="Q6" i="4"/>
  <c r="Q8" i="4" s="1"/>
  <c r="O6" i="4"/>
  <c r="O8" i="4" s="1"/>
  <c r="K6" i="4"/>
  <c r="AA20" i="4"/>
  <c r="AA44" i="4" s="1"/>
  <c r="Y44" i="4"/>
  <c r="Z20" i="4"/>
  <c r="Z44" i="4" s="1"/>
  <c r="AA34" i="5"/>
  <c r="Z34" i="5"/>
  <c r="AA42" i="5"/>
  <c r="Z42" i="5"/>
  <c r="X20" i="3"/>
  <c r="X44" i="3" s="1"/>
  <c r="Z22" i="3"/>
  <c r="AH23" i="3"/>
  <c r="AF23" i="3" s="1"/>
  <c r="AC23" i="3" s="1"/>
  <c r="Q26" i="3"/>
  <c r="Z28" i="3"/>
  <c r="AE29" i="3"/>
  <c r="R29" i="3"/>
  <c r="AI30" i="3"/>
  <c r="AG30" i="3" s="1"/>
  <c r="AD30" i="3" s="1"/>
  <c r="AH30" i="3"/>
  <c r="AF30" i="3" s="1"/>
  <c r="AC30" i="3" s="1"/>
  <c r="AI35" i="3"/>
  <c r="AG35" i="3" s="1"/>
  <c r="AD35" i="3" s="1"/>
  <c r="AH35" i="3"/>
  <c r="AF35" i="3" s="1"/>
  <c r="AC35" i="3" s="1"/>
  <c r="Z37" i="3"/>
  <c r="AI38" i="3"/>
  <c r="AG38" i="3" s="1"/>
  <c r="AD38" i="3" s="1"/>
  <c r="AH38" i="3"/>
  <c r="AF38" i="3" s="1"/>
  <c r="AC38" i="3" s="1"/>
  <c r="AI22" i="4"/>
  <c r="AG22" i="4" s="1"/>
  <c r="AD22" i="4" s="1"/>
  <c r="AH22" i="4"/>
  <c r="AF22" i="4" s="1"/>
  <c r="AC22" i="4" s="1"/>
  <c r="AA37" i="4"/>
  <c r="Z37" i="4"/>
  <c r="W44" i="4"/>
  <c r="K6" i="3"/>
  <c r="AH20" i="3"/>
  <c r="AF20" i="3" s="1"/>
  <c r="AC20" i="3" s="1"/>
  <c r="Q22" i="3"/>
  <c r="AH24" i="3"/>
  <c r="AF24" i="3" s="1"/>
  <c r="AC24" i="3" s="1"/>
  <c r="R26" i="3"/>
  <c r="R27" i="3"/>
  <c r="Q29" i="3"/>
  <c r="AI33" i="3"/>
  <c r="AG33" i="3" s="1"/>
  <c r="AD33" i="3" s="1"/>
  <c r="AH33" i="3"/>
  <c r="AF33" i="3" s="1"/>
  <c r="AC33" i="3" s="1"/>
  <c r="AI41" i="3"/>
  <c r="AG41" i="3" s="1"/>
  <c r="AD41" i="3" s="1"/>
  <c r="AH41" i="3"/>
  <c r="AF41" i="3" s="1"/>
  <c r="AC41" i="3" s="1"/>
  <c r="D12" i="3"/>
  <c r="Z20" i="3"/>
  <c r="Z44" i="3" s="1"/>
  <c r="R22" i="3"/>
  <c r="Z23" i="3"/>
  <c r="AE27" i="3"/>
  <c r="Q28" i="3"/>
  <c r="Z34" i="3"/>
  <c r="AE37" i="3"/>
  <c r="R37" i="3"/>
  <c r="Q37" i="3"/>
  <c r="Z42" i="3"/>
  <c r="Y44" i="3"/>
  <c r="H8" i="8"/>
  <c r="H8" i="7"/>
  <c r="D12" i="5"/>
  <c r="D12" i="4"/>
  <c r="G10" i="2"/>
  <c r="P11" i="8"/>
  <c r="P11" i="7"/>
  <c r="P11" i="6"/>
  <c r="D15" i="4"/>
  <c r="O6" i="3"/>
  <c r="O8" i="3" s="1"/>
  <c r="Q20" i="3"/>
  <c r="Q23" i="3"/>
  <c r="Z24" i="3"/>
  <c r="R28" i="3"/>
  <c r="Z31" i="3"/>
  <c r="AH32" i="3"/>
  <c r="AF32" i="3" s="1"/>
  <c r="AC32" i="3" s="1"/>
  <c r="Z39" i="3"/>
  <c r="AH40" i="3"/>
  <c r="AF40" i="3" s="1"/>
  <c r="AC40" i="3" s="1"/>
  <c r="AH24" i="4"/>
  <c r="AF24" i="4" s="1"/>
  <c r="AC24" i="4" s="1"/>
  <c r="AI24" i="4"/>
  <c r="AG24" i="4" s="1"/>
  <c r="AD24" i="4" s="1"/>
  <c r="AA40" i="4"/>
  <c r="Z40" i="4"/>
  <c r="D15" i="5"/>
  <c r="L7" i="2"/>
  <c r="Q6" i="3"/>
  <c r="Q8" i="3" s="1"/>
  <c r="AE34" i="3"/>
  <c r="R34" i="3"/>
  <c r="AE42" i="3"/>
  <c r="R42" i="3"/>
  <c r="AI37" i="4"/>
  <c r="AG37" i="4" s="1"/>
  <c r="AD37" i="4" s="1"/>
  <c r="AH37" i="4"/>
  <c r="AF37" i="4" s="1"/>
  <c r="AC37" i="4" s="1"/>
  <c r="Q32" i="5"/>
  <c r="AE32" i="5"/>
  <c r="R32" i="5"/>
  <c r="Q40" i="5"/>
  <c r="AE40" i="5"/>
  <c r="R40" i="5"/>
  <c r="AI20" i="5"/>
  <c r="AG20" i="5" s="1"/>
  <c r="AD20" i="5" s="1"/>
  <c r="AH20" i="5"/>
  <c r="AF20" i="5" s="1"/>
  <c r="AC20" i="5" s="1"/>
  <c r="C35" i="8"/>
  <c r="C33" i="8"/>
  <c r="C34" i="8" s="1"/>
  <c r="AE27" i="4"/>
  <c r="Q27" i="4"/>
  <c r="C31" i="7"/>
  <c r="C30" i="7"/>
  <c r="AE22" i="5"/>
  <c r="R22" i="5"/>
  <c r="Q22" i="5"/>
  <c r="Q24" i="5"/>
  <c r="AE24" i="5"/>
  <c r="AE31" i="5"/>
  <c r="R31" i="5"/>
  <c r="Q31" i="5"/>
  <c r="AE39" i="5"/>
  <c r="R39" i="5"/>
  <c r="Q39" i="5"/>
  <c r="R27" i="4"/>
  <c r="R24" i="5"/>
  <c r="AH27" i="5"/>
  <c r="AF27" i="5" s="1"/>
  <c r="AC27" i="5" s="1"/>
  <c r="AH35" i="5"/>
  <c r="AF35" i="5" s="1"/>
  <c r="AC35" i="5" s="1"/>
  <c r="AH43" i="5"/>
  <c r="AF43" i="5" s="1"/>
  <c r="AC43" i="5" s="1"/>
  <c r="C30" i="6"/>
  <c r="R22" i="4"/>
  <c r="AH23" i="4"/>
  <c r="AF23" i="4" s="1"/>
  <c r="AC23" i="4" s="1"/>
  <c r="AH30" i="4"/>
  <c r="AF30" i="4" s="1"/>
  <c r="AC30" i="4" s="1"/>
  <c r="AH31" i="4"/>
  <c r="AF31" i="4" s="1"/>
  <c r="AC31" i="4" s="1"/>
  <c r="AI33" i="4"/>
  <c r="AG33" i="4" s="1"/>
  <c r="AD33" i="4" s="1"/>
  <c r="P9" i="7"/>
  <c r="Q6" i="5"/>
  <c r="Q8" i="5" s="1"/>
  <c r="R21" i="5"/>
  <c r="AE21" i="5"/>
  <c r="AA25" i="5"/>
  <c r="Z25" i="5"/>
  <c r="O23" i="6"/>
  <c r="C32" i="6"/>
  <c r="C33" i="6"/>
  <c r="C34" i="6" s="1"/>
  <c r="Q32" i="3"/>
  <c r="Z35" i="3"/>
  <c r="Q40" i="3"/>
  <c r="Z43" i="3"/>
  <c r="Q20" i="4"/>
  <c r="Z23" i="4"/>
  <c r="AH26" i="4"/>
  <c r="AF26" i="4" s="1"/>
  <c r="AC26" i="4" s="1"/>
  <c r="Z35" i="4"/>
  <c r="AA38" i="4"/>
  <c r="AE43" i="4"/>
  <c r="Q43" i="4"/>
  <c r="AE23" i="5"/>
  <c r="Q23" i="5"/>
  <c r="AA33" i="5"/>
  <c r="Z33" i="5"/>
  <c r="AA41" i="5"/>
  <c r="Z41" i="5"/>
  <c r="Z30" i="3"/>
  <c r="Q35" i="3"/>
  <c r="Z38" i="3"/>
  <c r="Q43" i="3"/>
  <c r="Q23" i="4"/>
  <c r="Z26" i="4"/>
  <c r="Z28" i="4"/>
  <c r="Z29" i="4"/>
  <c r="Z32" i="4"/>
  <c r="Q37" i="4"/>
  <c r="Q40" i="4"/>
  <c r="Q41" i="4"/>
  <c r="Q42" i="4"/>
  <c r="R43" i="4"/>
  <c r="O6" i="5"/>
  <c r="O8" i="5" s="1"/>
  <c r="R23" i="5"/>
  <c r="AH26" i="5"/>
  <c r="AF26" i="5" s="1"/>
  <c r="AC26" i="5" s="1"/>
  <c r="AI28" i="5"/>
  <c r="AG28" i="5" s="1"/>
  <c r="AD28" i="5" s="1"/>
  <c r="AH28" i="5"/>
  <c r="AF28" i="5" s="1"/>
  <c r="AC28" i="5" s="1"/>
  <c r="AE30" i="5"/>
  <c r="R30" i="5"/>
  <c r="Q30" i="5"/>
  <c r="AH34" i="5"/>
  <c r="AF34" i="5" s="1"/>
  <c r="AC34" i="5" s="1"/>
  <c r="AI36" i="5"/>
  <c r="AG36" i="5" s="1"/>
  <c r="AD36" i="5" s="1"/>
  <c r="AH36" i="5"/>
  <c r="AF36" i="5" s="1"/>
  <c r="AC36" i="5" s="1"/>
  <c r="AE38" i="5"/>
  <c r="R38" i="5"/>
  <c r="Q38" i="5"/>
  <c r="AH42" i="5"/>
  <c r="AF42" i="5" s="1"/>
  <c r="AC42" i="5" s="1"/>
  <c r="Z27" i="4"/>
  <c r="AE35" i="4"/>
  <c r="Q35" i="4"/>
  <c r="R37" i="4"/>
  <c r="AE40" i="4"/>
  <c r="AE41" i="4"/>
  <c r="R42" i="4"/>
  <c r="AE29" i="5"/>
  <c r="AE37" i="5"/>
  <c r="E42" i="7"/>
  <c r="L42" i="7" s="1"/>
  <c r="O23" i="7"/>
  <c r="E40" i="8"/>
  <c r="L40" i="8" s="1"/>
  <c r="E44" i="7"/>
  <c r="L44" i="7" s="1"/>
  <c r="C30" i="8"/>
  <c r="E42" i="8"/>
  <c r="L42" i="8" s="1"/>
  <c r="O23" i="8"/>
  <c r="AH25" i="4" l="1"/>
  <c r="AF25" i="4" s="1"/>
  <c r="AC25" i="4" s="1"/>
  <c r="AI25" i="4"/>
  <c r="AG25" i="4" s="1"/>
  <c r="AD25" i="4" s="1"/>
  <c r="L8" i="5"/>
  <c r="L8" i="4"/>
  <c r="L8" i="3"/>
  <c r="L8" i="2"/>
  <c r="AI40" i="4"/>
  <c r="AG40" i="4" s="1"/>
  <c r="AD40" i="4" s="1"/>
  <c r="AH40" i="4"/>
  <c r="AF40" i="4" s="1"/>
  <c r="AC40" i="4" s="1"/>
  <c r="AI43" i="4"/>
  <c r="AG43" i="4" s="1"/>
  <c r="AD43" i="4" s="1"/>
  <c r="AH43" i="4"/>
  <c r="AF43" i="4" s="1"/>
  <c r="AC43" i="4" s="1"/>
  <c r="H9" i="8"/>
  <c r="H9" i="7"/>
  <c r="H9" i="6"/>
  <c r="D13" i="5"/>
  <c r="D13" i="4"/>
  <c r="G11" i="2"/>
  <c r="D13" i="3"/>
  <c r="AH30" i="5"/>
  <c r="AF30" i="5" s="1"/>
  <c r="AC30" i="5" s="1"/>
  <c r="AI30" i="5"/>
  <c r="AG30" i="5" s="1"/>
  <c r="AD30" i="5" s="1"/>
  <c r="AI27" i="3"/>
  <c r="AG27" i="3" s="1"/>
  <c r="AD27" i="3" s="1"/>
  <c r="AH27" i="3"/>
  <c r="AF27" i="3" s="1"/>
  <c r="AC27" i="3" s="1"/>
  <c r="AH41" i="4"/>
  <c r="AF41" i="4" s="1"/>
  <c r="AC41" i="4" s="1"/>
  <c r="AI41" i="4"/>
  <c r="AG41" i="4" s="1"/>
  <c r="AD41" i="4" s="1"/>
  <c r="AH23" i="5"/>
  <c r="AF23" i="5" s="1"/>
  <c r="AC23" i="5" s="1"/>
  <c r="AI23" i="5"/>
  <c r="AG23" i="5" s="1"/>
  <c r="AD23" i="5" s="1"/>
  <c r="L37" i="7"/>
  <c r="L36" i="7" s="1"/>
  <c r="L32" i="7"/>
  <c r="C36" i="7" s="1"/>
  <c r="H10" i="7"/>
  <c r="O24" i="7"/>
  <c r="C35" i="7"/>
  <c r="C33" i="7"/>
  <c r="C34" i="7" s="1"/>
  <c r="AH40" i="5"/>
  <c r="AF40" i="5" s="1"/>
  <c r="AC40" i="5" s="1"/>
  <c r="AI40" i="5"/>
  <c r="AG40" i="5" s="1"/>
  <c r="AD40" i="5" s="1"/>
  <c r="AH42" i="3"/>
  <c r="AF42" i="3" s="1"/>
  <c r="AC42" i="3" s="1"/>
  <c r="AI42" i="3"/>
  <c r="AG42" i="3" s="1"/>
  <c r="AD42" i="3" s="1"/>
  <c r="AI37" i="3"/>
  <c r="AG37" i="3" s="1"/>
  <c r="AD37" i="3" s="1"/>
  <c r="AH37" i="3"/>
  <c r="AF37" i="3" s="1"/>
  <c r="AC37" i="3" s="1"/>
  <c r="AI29" i="3"/>
  <c r="AG29" i="3" s="1"/>
  <c r="AD29" i="3" s="1"/>
  <c r="AH29" i="3"/>
  <c r="AF29" i="3" s="1"/>
  <c r="AC29" i="3" s="1"/>
  <c r="AH38" i="5"/>
  <c r="AF38" i="5" s="1"/>
  <c r="AC38" i="5" s="1"/>
  <c r="AI38" i="5"/>
  <c r="AG38" i="5" s="1"/>
  <c r="AD38" i="5" s="1"/>
  <c r="AH21" i="5"/>
  <c r="AF21" i="5" s="1"/>
  <c r="AC21" i="5" s="1"/>
  <c r="AI21" i="5"/>
  <c r="AG21" i="5" s="1"/>
  <c r="AD21" i="5" s="1"/>
  <c r="AH39" i="5"/>
  <c r="AF39" i="5" s="1"/>
  <c r="AC39" i="5" s="1"/>
  <c r="AI39" i="5"/>
  <c r="AG39" i="5" s="1"/>
  <c r="AD39" i="5" s="1"/>
  <c r="AH22" i="5"/>
  <c r="AF22" i="5" s="1"/>
  <c r="AC22" i="5" s="1"/>
  <c r="AI22" i="5"/>
  <c r="AG22" i="5" s="1"/>
  <c r="AD22" i="5" s="1"/>
  <c r="AH35" i="4"/>
  <c r="AF35" i="4" s="1"/>
  <c r="AC35" i="4" s="1"/>
  <c r="AI35" i="4"/>
  <c r="AG35" i="4" s="1"/>
  <c r="AD35" i="4" s="1"/>
  <c r="AH31" i="5"/>
  <c r="AF31" i="5" s="1"/>
  <c r="AC31" i="5" s="1"/>
  <c r="AI31" i="5"/>
  <c r="AG31" i="5" s="1"/>
  <c r="AD31" i="5" s="1"/>
  <c r="AH32" i="5"/>
  <c r="AF32" i="5" s="1"/>
  <c r="AC32" i="5" s="1"/>
  <c r="AI32" i="5"/>
  <c r="AG32" i="5" s="1"/>
  <c r="AD32" i="5" s="1"/>
  <c r="AI37" i="5"/>
  <c r="AG37" i="5" s="1"/>
  <c r="AD37" i="5" s="1"/>
  <c r="AH37" i="5"/>
  <c r="AF37" i="5" s="1"/>
  <c r="AC37" i="5" s="1"/>
  <c r="L32" i="8"/>
  <c r="C36" i="8" s="1"/>
  <c r="H10" i="8"/>
  <c r="L37" i="8"/>
  <c r="L36" i="8" s="1"/>
  <c r="O24" i="8"/>
  <c r="AI29" i="5"/>
  <c r="AG29" i="5" s="1"/>
  <c r="AD29" i="5" s="1"/>
  <c r="AH29" i="5"/>
  <c r="AF29" i="5" s="1"/>
  <c r="AC29" i="5" s="1"/>
  <c r="H10" i="6"/>
  <c r="L37" i="6"/>
  <c r="L36" i="6" s="1"/>
  <c r="L32" i="6"/>
  <c r="C36" i="6" s="1"/>
  <c r="O24" i="6"/>
  <c r="AH24" i="5"/>
  <c r="AF24" i="5" s="1"/>
  <c r="AC24" i="5" s="1"/>
  <c r="AI24" i="5"/>
  <c r="AG24" i="5" s="1"/>
  <c r="AD24" i="5" s="1"/>
  <c r="AI27" i="4"/>
  <c r="AG27" i="4" s="1"/>
  <c r="AD27" i="4" s="1"/>
  <c r="AH27" i="4"/>
  <c r="AF27" i="4" s="1"/>
  <c r="AC27" i="4" s="1"/>
  <c r="AI34" i="3"/>
  <c r="AG34" i="3" s="1"/>
  <c r="AD34" i="3" s="1"/>
  <c r="AH34" i="3"/>
  <c r="AF34" i="3" s="1"/>
  <c r="AC34" i="3" s="1"/>
  <c r="L35" i="6" l="1"/>
  <c r="L33" i="6"/>
  <c r="C37" i="6"/>
  <c r="L34" i="6"/>
  <c r="D14" i="4"/>
  <c r="D14" i="5"/>
  <c r="D14" i="3"/>
  <c r="L9" i="2"/>
  <c r="L10" i="2"/>
  <c r="L11" i="2" s="1"/>
  <c r="L12" i="2" s="1"/>
  <c r="L35" i="8"/>
  <c r="L34" i="8"/>
  <c r="L33" i="8"/>
  <c r="C37" i="8"/>
  <c r="L33" i="7"/>
  <c r="L35" i="7"/>
  <c r="L34" i="7"/>
  <c r="C37" i="7"/>
  <c r="O7" i="5" l="1"/>
  <c r="Q7" i="4"/>
  <c r="Q7" i="5"/>
  <c r="L7" i="5"/>
  <c r="L7" i="4"/>
  <c r="L13" i="2"/>
  <c r="L14" i="2" s="1"/>
  <c r="Q7" i="3"/>
  <c r="O7" i="4"/>
  <c r="N33" i="2"/>
  <c r="N31" i="2"/>
  <c r="N29" i="2"/>
  <c r="N27" i="2"/>
  <c r="N25" i="2"/>
  <c r="N23" i="2"/>
  <c r="O7" i="3"/>
  <c r="N32" i="2"/>
  <c r="N26" i="2"/>
  <c r="L7" i="3"/>
  <c r="N22" i="2"/>
  <c r="N24" i="2"/>
  <c r="N30" i="2"/>
  <c r="N28" i="2"/>
  <c r="X32" i="2" l="1"/>
  <c r="O32" i="2" s="1"/>
  <c r="Q32" i="2" s="1"/>
  <c r="Y32" i="2"/>
  <c r="P32" i="2" s="1"/>
  <c r="R32" i="2" s="1"/>
  <c r="Q9" i="5"/>
  <c r="J20" i="5"/>
  <c r="L9" i="5"/>
  <c r="Q9" i="4"/>
  <c r="L9" i="4"/>
  <c r="O9" i="5"/>
  <c r="L9" i="3"/>
  <c r="J20" i="4"/>
  <c r="Q9" i="3"/>
  <c r="J20" i="3"/>
  <c r="O9" i="3"/>
  <c r="O9" i="4"/>
  <c r="X28" i="2"/>
  <c r="O28" i="2" s="1"/>
  <c r="Q28" i="2" s="1"/>
  <c r="Y28" i="2"/>
  <c r="P28" i="2" s="1"/>
  <c r="R28" i="2" s="1"/>
  <c r="X23" i="2"/>
  <c r="O23" i="2" s="1"/>
  <c r="Q23" i="2" s="1"/>
  <c r="Y23" i="2"/>
  <c r="P23" i="2" s="1"/>
  <c r="R23" i="2" s="1"/>
  <c r="X30" i="2"/>
  <c r="O30" i="2" s="1"/>
  <c r="Q30" i="2" s="1"/>
  <c r="Y30" i="2"/>
  <c r="P30" i="2" s="1"/>
  <c r="R30" i="2" s="1"/>
  <c r="X25" i="2"/>
  <c r="O25" i="2" s="1"/>
  <c r="Q25" i="2" s="1"/>
  <c r="Y25" i="2"/>
  <c r="P25" i="2" s="1"/>
  <c r="R25" i="2" s="1"/>
  <c r="X24" i="2"/>
  <c r="O24" i="2" s="1"/>
  <c r="Q24" i="2" s="1"/>
  <c r="Y24" i="2"/>
  <c r="P24" i="2" s="1"/>
  <c r="R24" i="2" s="1"/>
  <c r="X22" i="2"/>
  <c r="O22" i="2" s="1"/>
  <c r="Q22" i="2" s="1"/>
  <c r="Y22" i="2"/>
  <c r="P22" i="2" s="1"/>
  <c r="R22" i="2" s="1"/>
  <c r="X31" i="2"/>
  <c r="O31" i="2" s="1"/>
  <c r="Q31" i="2" s="1"/>
  <c r="Y31" i="2"/>
  <c r="P31" i="2" s="1"/>
  <c r="R31" i="2" s="1"/>
  <c r="Y27" i="2"/>
  <c r="P27" i="2" s="1"/>
  <c r="R27" i="2" s="1"/>
  <c r="X27" i="2"/>
  <c r="O27" i="2" s="1"/>
  <c r="Q27" i="2" s="1"/>
  <c r="X29" i="2"/>
  <c r="O29" i="2" s="1"/>
  <c r="Q29" i="2" s="1"/>
  <c r="Y29" i="2"/>
  <c r="P29" i="2" s="1"/>
  <c r="R29" i="2" s="1"/>
  <c r="X26" i="2"/>
  <c r="O26" i="2" s="1"/>
  <c r="Q26" i="2" s="1"/>
  <c r="Y26" i="2"/>
  <c r="P26" i="2" s="1"/>
  <c r="R26" i="2" s="1"/>
  <c r="X33" i="2"/>
  <c r="O33" i="2" s="1"/>
  <c r="Q33" i="2" s="1"/>
  <c r="Y33" i="2"/>
  <c r="P33" i="2" s="1"/>
  <c r="R3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1" authorId="0" shapeId="0" xr:uid="{00000000-0006-0000-0100-000001000000}">
      <text>
        <r>
          <rPr>
            <sz val="10"/>
            <color rgb="FF000000"/>
            <rFont val="Arial"/>
          </rPr>
          <t>Cp for preliminary traverse pitot, Method 2.</t>
        </r>
      </text>
    </comment>
    <comment ref="P12" authorId="0" shapeId="0" xr:uid="{00000000-0006-0000-0100-000002000000}">
      <text>
        <r>
          <rPr>
            <sz val="10"/>
            <color rgb="FF000000"/>
            <rFont val="Arial"/>
          </rPr>
          <t xml:space="preserve">Cp for PM10 Pitot.
</t>
        </r>
      </text>
    </comment>
    <comment ref="Q13" authorId="0" shapeId="0" xr:uid="{00000000-0006-0000-0100-000003000000}">
      <text>
        <r>
          <rPr>
            <sz val="10"/>
            <color rgb="FF000000"/>
            <rFont val="Arial"/>
          </rPr>
          <t>Choose the optimum nozzle size from the blue highlighted nozzles.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9" authorId="0" shapeId="0" xr:uid="{00000000-0006-0000-0200-000001000000}">
      <text>
        <r>
          <rPr>
            <sz val="10"/>
            <color rgb="FF000000"/>
            <rFont val="Arial"/>
          </rPr>
          <t>Cp for preliminary traverse pitot, Method 2.</t>
        </r>
      </text>
    </comment>
    <comment ref="G10" authorId="0" shapeId="0" xr:uid="{00000000-0006-0000-0200-000002000000}">
      <text>
        <r>
          <rPr>
            <sz val="10"/>
            <color rgb="FF000000"/>
            <rFont val="Arial"/>
          </rPr>
          <t xml:space="preserve">Cp for PM10 Pitot.
</t>
        </r>
      </text>
    </comment>
    <comment ref="H11" authorId="0" shapeId="0" xr:uid="{00000000-0006-0000-0200-000003000000}">
      <text>
        <r>
          <rPr>
            <sz val="10"/>
            <color rgb="FF000000"/>
            <rFont val="Arial"/>
          </rPr>
          <t>Nozzle is chosen on the Pre-Test Sheet.</t>
        </r>
      </text>
    </comment>
    <comment ref="C17" authorId="0" shapeId="0" xr:uid="{00000000-0006-0000-0200-000004000000}">
      <text>
        <r>
          <rPr>
            <sz val="10"/>
            <color rgb="FF000000"/>
            <rFont val="Arial"/>
          </rPr>
          <t xml:space="preserve">Clock Time is calculated as the accumulated dwell times rounded to the nearest 15 seconds.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9" authorId="0" shapeId="0" xr:uid="{00000000-0006-0000-0300-000001000000}">
      <text>
        <r>
          <rPr>
            <sz val="10"/>
            <color rgb="FF000000"/>
            <rFont val="Arial"/>
          </rPr>
          <t>Cp for preliminary traverse pitot, Method 2.</t>
        </r>
      </text>
    </comment>
    <comment ref="G10" authorId="0" shapeId="0" xr:uid="{00000000-0006-0000-0300-000002000000}">
      <text>
        <r>
          <rPr>
            <sz val="10"/>
            <color rgb="FF000000"/>
            <rFont val="Arial"/>
          </rPr>
          <t xml:space="preserve">Cp for PM10 Pitot.
</t>
        </r>
      </text>
    </comment>
    <comment ref="H11" authorId="0" shapeId="0" xr:uid="{00000000-0006-0000-0300-000003000000}">
      <text>
        <r>
          <rPr>
            <sz val="10"/>
            <color rgb="FF000000"/>
            <rFont val="Arial"/>
          </rPr>
          <t>Nozzle is chosen on the Pre-Test Sheet.</t>
        </r>
      </text>
    </comment>
    <comment ref="C17" authorId="0" shapeId="0" xr:uid="{00000000-0006-0000-0300-000004000000}">
      <text>
        <r>
          <rPr>
            <sz val="10"/>
            <color rgb="FF000000"/>
            <rFont val="Arial"/>
          </rPr>
          <t xml:space="preserve">Clock Time is calculated as the accumulated dwell times rounded to the nearest 15 seconds.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9" authorId="0" shapeId="0" xr:uid="{00000000-0006-0000-0400-000001000000}">
      <text>
        <r>
          <rPr>
            <sz val="10"/>
            <color rgb="FF000000"/>
            <rFont val="Arial"/>
          </rPr>
          <t>Cp for preliminary traverse pitot, Method 2.</t>
        </r>
      </text>
    </comment>
    <comment ref="G10" authorId="0" shapeId="0" xr:uid="{00000000-0006-0000-0400-000002000000}">
      <text>
        <r>
          <rPr>
            <sz val="10"/>
            <color rgb="FF000000"/>
            <rFont val="Arial"/>
          </rPr>
          <t xml:space="preserve">Cp for PM10 Pitot.
</t>
        </r>
      </text>
    </comment>
    <comment ref="H11" authorId="0" shapeId="0" xr:uid="{00000000-0006-0000-0400-000003000000}">
      <text>
        <r>
          <rPr>
            <sz val="10"/>
            <color rgb="FF000000"/>
            <rFont val="Arial"/>
          </rPr>
          <t>Nozzle is chosen on the Pre-Test Sheet.</t>
        </r>
      </text>
    </comment>
    <comment ref="C17" authorId="0" shapeId="0" xr:uid="{00000000-0006-0000-0400-000004000000}">
      <text>
        <r>
          <rPr>
            <sz val="10"/>
            <color rgb="FF000000"/>
            <rFont val="Arial"/>
          </rPr>
          <t xml:space="preserve">Clock Time is calculated as the accumulated dwell times rounded to the nearest 15 seconds.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9" authorId="0" shapeId="0" xr:uid="{00000000-0006-0000-0500-000001000000}">
      <text>
        <r>
          <rPr>
            <sz val="10"/>
            <color rgb="FF000000"/>
            <rFont val="Arial"/>
          </rPr>
          <t>Cp for preliminary traverse pitot, Method 2.</t>
        </r>
      </text>
    </comment>
    <comment ref="K10" authorId="0" shapeId="0" xr:uid="{00000000-0006-0000-0500-000002000000}">
      <text>
        <r>
          <rPr>
            <sz val="10"/>
            <color rgb="FF000000"/>
            <rFont val="Arial"/>
          </rPr>
          <t xml:space="preserve">Cp for PM10 Pitot.
</t>
        </r>
      </text>
    </comment>
    <comment ref="L11" authorId="0" shapeId="0" xr:uid="{00000000-0006-0000-0500-000003000000}">
      <text>
        <r>
          <rPr>
            <sz val="10"/>
            <color rgb="FF000000"/>
            <rFont val="Arial"/>
          </rPr>
          <t>Nozzle is chosen on the Pre-Test Sheet.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9" authorId="0" shapeId="0" xr:uid="{00000000-0006-0000-0600-000001000000}">
      <text>
        <r>
          <rPr>
            <sz val="10"/>
            <color rgb="FF000000"/>
            <rFont val="Arial"/>
          </rPr>
          <t>Cp for preliminary traverse pitot, Method 2.</t>
        </r>
      </text>
    </comment>
    <comment ref="K10" authorId="0" shapeId="0" xr:uid="{00000000-0006-0000-0600-000002000000}">
      <text>
        <r>
          <rPr>
            <sz val="10"/>
            <color rgb="FF000000"/>
            <rFont val="Arial"/>
          </rPr>
          <t xml:space="preserve">Cp for PM10 Pitot.
</t>
        </r>
      </text>
    </comment>
    <comment ref="L11" authorId="0" shapeId="0" xr:uid="{00000000-0006-0000-0600-000003000000}">
      <text>
        <r>
          <rPr>
            <sz val="10"/>
            <color rgb="FF000000"/>
            <rFont val="Arial"/>
          </rPr>
          <t>Nozzle is chosen on the Pre-Test Sheet.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9" authorId="0" shapeId="0" xr:uid="{00000000-0006-0000-0700-000001000000}">
      <text>
        <r>
          <rPr>
            <sz val="10"/>
            <color rgb="FF000000"/>
            <rFont val="Arial"/>
          </rPr>
          <t>Cp for preliminary traverse pitot, Method 2.</t>
        </r>
      </text>
    </comment>
    <comment ref="K10" authorId="0" shapeId="0" xr:uid="{00000000-0006-0000-0700-000002000000}">
      <text>
        <r>
          <rPr>
            <sz val="10"/>
            <color rgb="FF000000"/>
            <rFont val="Arial"/>
          </rPr>
          <t xml:space="preserve">Cp for PM10 Pitot.
</t>
        </r>
      </text>
    </comment>
    <comment ref="L11" authorId="0" shapeId="0" xr:uid="{00000000-0006-0000-0700-000003000000}">
      <text>
        <r>
          <rPr>
            <sz val="10"/>
            <color rgb="FF000000"/>
            <rFont val="Arial"/>
          </rPr>
          <t>Nozzle is chosen on the Pre-Test Sheet.</t>
        </r>
      </text>
    </comment>
  </commentList>
</comments>
</file>

<file path=xl/sharedStrings.xml><?xml version="1.0" encoding="utf-8"?>
<sst xmlns="http://schemas.openxmlformats.org/spreadsheetml/2006/main" count="1059" uniqueCount="518">
  <si>
    <t>Spreadsheet ES-Method 201A-MASTER-V2.85.xlsx</t>
  </si>
  <si>
    <t>Version 2.85 (May 22, 2017)</t>
  </si>
  <si>
    <t>for</t>
  </si>
  <si>
    <t>U.S. EPA Method 201A  Determination of Filterable PM10 &amp; PM2.5 Emissions</t>
  </si>
  <si>
    <t>Copyright 2017</t>
  </si>
  <si>
    <t>by</t>
  </si>
  <si>
    <t>Environmental Supply Company, Inc.</t>
  </si>
  <si>
    <t>708 E Club Blvd</t>
  </si>
  <si>
    <t>Durham, NC  27704</t>
  </si>
  <si>
    <t>(919) 956-9688</t>
  </si>
  <si>
    <t>www.environsupply.com</t>
  </si>
  <si>
    <t>Notes:</t>
  </si>
  <si>
    <t>1.</t>
  </si>
  <si>
    <t>This color designates data entry.</t>
  </si>
  <si>
    <t>2.</t>
  </si>
  <si>
    <t>This color designates calculations.</t>
  </si>
  <si>
    <t>3.</t>
  </si>
  <si>
    <t>Tab button will move to next available data entry cell.</t>
  </si>
  <si>
    <t>4.</t>
  </si>
  <si>
    <t>All cells are protected except green data entry cells.  There is</t>
  </si>
  <si>
    <t>no password for protection.</t>
  </si>
  <si>
    <t>5.</t>
  </si>
  <si>
    <t>The Stack Area cell on the Pre-Test page will turn red if the</t>
  </si>
  <si>
    <t>stack area is too small or it will change to blue if blockage</t>
  </si>
  <si>
    <t xml:space="preserve">must be considered.  Nozzle calculations adjust for </t>
  </si>
  <si>
    <t>blockage if necessary.</t>
  </si>
  <si>
    <t xml:space="preserve">Location: </t>
  </si>
  <si>
    <t>Start Time:</t>
  </si>
  <si>
    <t xml:space="preserve">RUN No. </t>
  </si>
  <si>
    <t xml:space="preserve">Date: </t>
  </si>
  <si>
    <t>End Time:</t>
  </si>
  <si>
    <t xml:space="preserve">JOB No. </t>
  </si>
  <si>
    <t>STACK DATA</t>
  </si>
  <si>
    <t>PRE-TEST CALCULATIONS</t>
  </si>
  <si>
    <t>EQUIPMENT</t>
  </si>
  <si>
    <t>% Moisture:</t>
  </si>
  <si>
    <t>% est.</t>
  </si>
  <si>
    <r>
      <rPr>
        <b/>
        <sz val="10"/>
        <color rgb="FF000080"/>
        <rFont val="Arial"/>
      </rPr>
      <t>%CO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:</t>
    </r>
  </si>
  <si>
    <t>%</t>
  </si>
  <si>
    <r>
      <rPr>
        <b/>
        <sz val="10"/>
        <color rgb="FF000080"/>
        <rFont val="Arial"/>
      </rPr>
      <t xml:space="preserve">Viscocity </t>
    </r>
    <r>
      <rPr>
        <b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</si>
  <si>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t>mpoise</t>
  </si>
  <si>
    <t>METER BOX:</t>
  </si>
  <si>
    <t>Barometric:</t>
  </si>
  <si>
    <t>in Hg</t>
  </si>
  <si>
    <r>
      <rPr>
        <b/>
        <sz val="10"/>
        <color rgb="FF000080"/>
        <rFont val="Arial"/>
      </rPr>
      <t>%O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:</t>
    </r>
  </si>
  <si>
    <t>Cunningham:</t>
  </si>
  <si>
    <t>Y:</t>
  </si>
  <si>
    <t>Static Press:</t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</si>
  <si>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</si>
  <si>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b/>
        <sz val="10"/>
        <color rgb="FF000080"/>
        <rFont val="Arial"/>
      </rPr>
      <t>%N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/CO:</t>
    </r>
  </si>
  <si>
    <r>
      <rPr>
        <b/>
        <sz val="10"/>
        <color rgb="FF000080"/>
        <rFont val="Arial"/>
      </rPr>
      <t>D</t>
    </r>
    <r>
      <rPr>
        <b/>
        <vertAlign val="subscript"/>
        <sz val="10"/>
        <color rgb="FF000080"/>
        <rFont val="Arial"/>
      </rPr>
      <t>50LL</t>
    </r>
    <r>
      <rPr>
        <b/>
        <sz val="10"/>
        <color rgb="FF000080"/>
        <rFont val="Arial"/>
      </rPr>
      <t>:</t>
    </r>
  </si>
  <si>
    <r>
      <rPr>
        <sz val="11"/>
        <color rgb="FF000080"/>
        <rFont val="Noto Sans Symbols"/>
      </rPr>
      <t>m</t>
    </r>
    <r>
      <rPr>
        <sz val="11"/>
        <color rgb="FF000080"/>
        <rFont val="Arial"/>
      </rPr>
      <t>m</t>
    </r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</si>
  <si>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H@: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</si>
  <si>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</si>
  <si>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t>Stack Press:</t>
  </si>
  <si>
    <r>
      <rPr>
        <b/>
        <sz val="10"/>
        <color rgb="FF000080"/>
        <rFont val="Arial"/>
      </rPr>
      <t>M</t>
    </r>
    <r>
      <rPr>
        <b/>
        <vertAlign val="subscript"/>
        <sz val="10"/>
        <color rgb="FF000080"/>
        <rFont val="Arial"/>
      </rPr>
      <t>d</t>
    </r>
    <r>
      <rPr>
        <b/>
        <sz val="10"/>
        <color rgb="FF000080"/>
        <rFont val="Arial"/>
      </rPr>
      <t>:</t>
    </r>
  </si>
  <si>
    <t>lb/lb-mole</t>
  </si>
  <si>
    <r>
      <rPr>
        <b/>
        <sz val="10"/>
        <color rgb="FF000080"/>
        <rFont val="Arial"/>
      </rPr>
      <t>[N</t>
    </r>
    <r>
      <rPr>
        <b/>
        <vertAlign val="subscript"/>
        <sz val="10"/>
        <color rgb="FF000080"/>
        <rFont val="Arial"/>
      </rPr>
      <t>re</t>
    </r>
    <r>
      <rPr>
        <b/>
        <sz val="10"/>
        <color rgb="FF000080"/>
        <rFont val="Arial"/>
      </rPr>
      <t>&gt;3162] D</t>
    </r>
    <r>
      <rPr>
        <b/>
        <vertAlign val="subscript"/>
        <sz val="10"/>
        <color rgb="FF000080"/>
        <rFont val="Arial"/>
      </rPr>
      <t>50LL</t>
    </r>
    <r>
      <rPr>
        <b/>
        <sz val="10"/>
        <color rgb="FF000080"/>
        <rFont val="Arial"/>
      </rPr>
      <t>:</t>
    </r>
  </si>
  <si>
    <r>
      <rPr>
        <sz val="11"/>
        <color rgb="FF000080"/>
        <rFont val="Noto Sans Symbols"/>
      </rPr>
      <t>m</t>
    </r>
    <r>
      <rPr>
        <sz val="11"/>
        <color rgb="FF000080"/>
        <rFont val="Arial"/>
      </rPr>
      <t>m</t>
    </r>
  </si>
  <si>
    <r>
      <rPr>
        <b/>
        <sz val="10"/>
        <color rgb="FF000080"/>
        <rFont val="Arial"/>
      </rPr>
      <t>Estimated T</t>
    </r>
    <r>
      <rPr>
        <b/>
        <vertAlign val="subscript"/>
        <sz val="10"/>
        <color rgb="FF000080"/>
        <rFont val="Arial"/>
      </rPr>
      <t>m</t>
    </r>
    <r>
      <rPr>
        <b/>
        <sz val="10"/>
        <color rgb="FF000080"/>
        <rFont val="Arial"/>
      </rPr>
      <t>:</t>
    </r>
  </si>
  <si>
    <t>°F</t>
  </si>
  <si>
    <t>Stack Area:</t>
  </si>
  <si>
    <r>
      <rPr>
        <sz val="10"/>
        <color rgb="FF000080"/>
        <rFont val="Arial"/>
      </rPr>
      <t>ft</t>
    </r>
    <r>
      <rPr>
        <vertAlign val="superscript"/>
        <sz val="10"/>
        <color rgb="FF000080"/>
        <rFont val="Arial"/>
      </rPr>
      <t>2</t>
    </r>
  </si>
  <si>
    <r>
      <rPr>
        <b/>
        <sz val="10"/>
        <color rgb="FF000080"/>
        <rFont val="Arial"/>
      </rPr>
      <t>Est. M</t>
    </r>
    <r>
      <rPr>
        <b/>
        <vertAlign val="subscript"/>
        <sz val="10"/>
        <color rgb="FF000080"/>
        <rFont val="Arial"/>
      </rPr>
      <t>w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</si>
  <si>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D</t>
    </r>
    <r>
      <rPr>
        <b/>
        <vertAlign val="subscript"/>
        <sz val="10"/>
        <color rgb="FF000080"/>
        <rFont val="Arial"/>
      </rPr>
      <t>50T</t>
    </r>
    <r>
      <rPr>
        <b/>
        <sz val="10"/>
        <color rgb="FF000080"/>
        <rFont val="Arial"/>
      </rPr>
      <t>:</t>
    </r>
  </si>
  <si>
    <r>
      <rPr>
        <sz val="11"/>
        <color rgb="FF000080"/>
        <rFont val="Noto Sans Symbols"/>
      </rPr>
      <t>m</t>
    </r>
    <r>
      <rPr>
        <sz val="11"/>
        <color rgb="FF000080"/>
        <rFont val="Arial"/>
      </rPr>
      <t>m</t>
    </r>
  </si>
  <si>
    <t>Cp':</t>
  </si>
  <si>
    <t>S/N</t>
  </si>
  <si>
    <r>
      <rPr>
        <sz val="10"/>
        <color rgb="FF000080"/>
        <rFont val="Arial"/>
      </rPr>
      <t>in</t>
    </r>
    <r>
      <rPr>
        <vertAlign val="superscript"/>
        <sz val="10"/>
        <color rgb="FF000080"/>
        <rFont val="Arial"/>
      </rPr>
      <t>2</t>
    </r>
  </si>
  <si>
    <r>
      <rPr>
        <b/>
        <sz val="10"/>
        <color rgb="FF000080"/>
        <rFont val="Arial"/>
      </rPr>
      <t>Estimated Q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</si>
  <si>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t>acfm</t>
  </si>
  <si>
    <t>Cp:</t>
  </si>
  <si>
    <t>STANDARD</t>
  </si>
  <si>
    <r>
      <rPr>
        <b/>
        <sz val="10"/>
        <color rgb="FF000080"/>
        <rFont val="Arial"/>
      </rPr>
      <t>T</t>
    </r>
    <r>
      <rPr>
        <b/>
        <vertAlign val="subscript"/>
        <sz val="10"/>
        <color rgb="FF000080"/>
        <rFont val="Arial"/>
      </rPr>
      <t>std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</si>
  <si>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Estimated N</t>
    </r>
    <r>
      <rPr>
        <b/>
        <vertAlign val="subscript"/>
        <sz val="10"/>
        <color rgb="FF000080"/>
        <rFont val="Arial"/>
      </rPr>
      <t>re</t>
    </r>
    <r>
      <rPr>
        <b/>
        <sz val="10"/>
        <color rgb="FF000080"/>
        <rFont val="Arial"/>
      </rPr>
      <t>:</t>
    </r>
  </si>
  <si>
    <t>Nozzle Dia:</t>
  </si>
  <si>
    <t>inches</t>
  </si>
  <si>
    <t>CONDITIONS</t>
  </si>
  <si>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std</t>
    </r>
    <r>
      <rPr>
        <b/>
        <sz val="10"/>
        <color rgb="FF000080"/>
        <rFont val="Arial"/>
      </rPr>
      <t>:</t>
    </r>
  </si>
  <si>
    <t>inches Hg</t>
  </si>
  <si>
    <r>
      <rPr>
        <b/>
        <sz val="10"/>
        <color rgb="FF000080"/>
        <rFont val="Arial"/>
      </rPr>
      <t xml:space="preserve">Estimated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H: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</si>
  <si>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</si>
  <si>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t>Nozzle Area:</t>
  </si>
  <si>
    <r>
      <rPr>
        <sz val="10"/>
        <color rgb="FF000080"/>
        <rFont val="Arial"/>
      </rPr>
      <t>ft</t>
    </r>
    <r>
      <rPr>
        <vertAlign val="superscript"/>
        <sz val="10"/>
        <color rgb="FF000080"/>
        <rFont val="Arial"/>
      </rPr>
      <t>2</t>
    </r>
  </si>
  <si>
    <t>PRELIMINARY TRAVERSE</t>
  </si>
  <si>
    <t>NOZZLE SELECTION</t>
  </si>
  <si>
    <t>Sample Point</t>
  </si>
  <si>
    <t>Cyclonic Flow Check</t>
  </si>
  <si>
    <r>
      <rPr>
        <b/>
        <sz val="12"/>
        <color rgb="FF000080"/>
        <rFont val="Arial"/>
      </rPr>
      <t xml:space="preserve">Preliminary </t>
    </r>
    <r>
      <rPr>
        <b/>
        <sz val="12"/>
        <color rgb="FF000080"/>
        <rFont val="Symbol"/>
      </rPr>
      <t>D</t>
    </r>
    <r>
      <rPr>
        <b/>
        <sz val="12"/>
        <color rgb="FF000080"/>
        <rFont val="Arial"/>
      </rPr>
      <t>P (in. H</t>
    </r>
    <r>
      <rPr>
        <b/>
        <vertAlign val="subscript"/>
        <sz val="12"/>
        <color rgb="FF000080"/>
        <rFont val="Arial"/>
      </rPr>
      <t>2</t>
    </r>
    <r>
      <rPr>
        <b/>
        <sz val="12"/>
        <color rgb="FF000080"/>
        <rFont val="Arial"/>
      </rPr>
      <t>O)</t>
    </r>
  </si>
  <si>
    <t>Stack Temperature</t>
  </si>
  <si>
    <t>Nozzle</t>
  </si>
  <si>
    <t>Diam.</t>
  </si>
  <si>
    <t>Vn</t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</si>
  <si>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min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</si>
  <si>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max</t>
    </r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</si>
  <si>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min</t>
    </r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</si>
  <si>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max</t>
    </r>
  </si>
  <si>
    <t>Absolute Null Angle °</t>
  </si>
  <si>
    <r>
      <rPr>
        <b/>
        <sz val="12"/>
        <color rgb="FF000080"/>
        <rFont val="Arial"/>
      </rPr>
      <t>R</t>
    </r>
    <r>
      <rPr>
        <b/>
        <vertAlign val="subscript"/>
        <sz val="12"/>
        <color rgb="FF000080"/>
        <rFont val="Arial"/>
      </rPr>
      <t>(min)</t>
    </r>
  </si>
  <si>
    <r>
      <rPr>
        <b/>
        <sz val="12"/>
        <color rgb="FF000080"/>
        <rFont val="Arial"/>
      </rPr>
      <t>R</t>
    </r>
    <r>
      <rPr>
        <b/>
        <vertAlign val="subscript"/>
        <sz val="12"/>
        <color rgb="FF000080"/>
        <rFont val="Arial"/>
      </rPr>
      <t>(max)</t>
    </r>
  </si>
  <si>
    <t>Null Angle °</t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</si>
  <si>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m</t>
    </r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</si>
  <si>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s</t>
    </r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</si>
  <si>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s2</t>
    </r>
  </si>
  <si>
    <t>(°F)</t>
  </si>
  <si>
    <t>Dn (in)</t>
  </si>
  <si>
    <t>(fps)</t>
  </si>
  <si>
    <r>
      <rPr>
        <b/>
        <sz val="10"/>
        <color rgb="FF000080"/>
        <rFont val="Arial"/>
      </rPr>
      <t>( inches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O)</t>
    </r>
  </si>
  <si>
    <r>
      <rPr>
        <b/>
        <sz val="10"/>
        <color rgb="FF000080"/>
        <rFont val="Arial"/>
      </rPr>
      <t>sqrt</t>
    </r>
    <r>
      <rPr>
        <b/>
        <sz val="10"/>
        <color rgb="FF000080"/>
        <rFont val="GreekC"/>
      </rPr>
      <t>(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m</t>
    </r>
    <r>
      <rPr>
        <b/>
        <sz val="10"/>
        <color rgb="FF000080"/>
        <rFont val="Arial"/>
      </rPr>
      <t>)</t>
    </r>
  </si>
  <si>
    <t>NOTE:  This spreadsheet contains circular references, therefore, iterative calculation must be turned on in Excel.  In the 2010 version of Excel, the iterative calculation selection is located in File/Options/Formulas.</t>
  </si>
  <si>
    <t>(absolute ° )</t>
  </si>
  <si>
    <t>Test Personnel     (signature/date)</t>
  </si>
  <si>
    <t>Project Leader     (signature/date)</t>
  </si>
  <si>
    <t>ESTIMATES</t>
  </si>
  <si>
    <r>
      <rPr>
        <b/>
        <sz val="10"/>
        <color rgb="FF000080"/>
        <rFont val="Arial"/>
      </rPr>
      <t>+/- 50°F</t>
    </r>
    <r>
      <rPr>
        <b/>
        <sz val="10"/>
        <color rgb="FF000080"/>
        <rFont val="Symbol"/>
      </rPr>
      <t xml:space="preserve"> D</t>
    </r>
    <r>
      <rPr>
        <b/>
        <sz val="10"/>
        <color rgb="FF000080"/>
        <rFont val="Arial"/>
      </rPr>
      <t>H</t>
    </r>
  </si>
  <si>
    <t>Ts (°F):</t>
  </si>
  <si>
    <t>Tm (°F):</t>
  </si>
  <si>
    <t>Ts-50°</t>
  </si>
  <si>
    <t>Ts+50°</t>
  </si>
  <si>
    <t>Est. Qs:</t>
  </si>
  <si>
    <t>cfm</t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</si>
  <si>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</si>
  <si>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H@: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</si>
  <si>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</si>
  <si>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</si>
  <si>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</si>
  <si>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</si>
  <si>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H:</t>
    </r>
  </si>
  <si>
    <r>
      <rPr>
        <sz val="9"/>
        <color rgb="FF000080"/>
        <rFont val="Arial"/>
      </rPr>
      <t>in H</t>
    </r>
    <r>
      <rPr>
        <vertAlign val="subscript"/>
        <sz val="9"/>
        <color rgb="FF000080"/>
        <rFont val="Arial"/>
      </rPr>
      <t>2</t>
    </r>
    <r>
      <rPr>
        <sz val="9"/>
        <color rgb="FF000080"/>
        <rFont val="Arial"/>
      </rPr>
      <t>O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</si>
  <si>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H: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</si>
  <si>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H:</t>
    </r>
  </si>
  <si>
    <r>
      <rPr>
        <b/>
        <sz val="10"/>
        <color rgb="FF000080"/>
        <rFont val="Arial"/>
      </rPr>
      <t>%CO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:</t>
    </r>
  </si>
  <si>
    <t>LEAK CHECKS</t>
  </si>
  <si>
    <r>
      <rPr>
        <b/>
        <sz val="10"/>
        <color rgb="FF000080"/>
        <rFont val="Arial"/>
      </rPr>
      <t>%O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:</t>
    </r>
  </si>
  <si>
    <t>DGM initial</t>
  </si>
  <si>
    <t>cf</t>
  </si>
  <si>
    <r>
      <rPr>
        <b/>
        <sz val="10"/>
        <color rgb="FF000080"/>
        <rFont val="Arial"/>
      </rPr>
      <t>%N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/CO:</t>
    </r>
  </si>
  <si>
    <r>
      <rPr>
        <sz val="10"/>
        <color rgb="FF000080"/>
        <rFont val="Arial"/>
      </rPr>
      <t>ft</t>
    </r>
    <r>
      <rPr>
        <vertAlign val="superscript"/>
        <sz val="10"/>
        <color rgb="FF000080"/>
        <rFont val="Arial"/>
      </rPr>
      <t>2</t>
    </r>
  </si>
  <si>
    <t>DGM final</t>
  </si>
  <si>
    <r>
      <rPr>
        <b/>
        <sz val="10"/>
        <color rgb="FF000080"/>
        <rFont val="Arial"/>
      </rPr>
      <t>M</t>
    </r>
    <r>
      <rPr>
        <b/>
        <vertAlign val="subscript"/>
        <sz val="10"/>
        <color rgb="FF000080"/>
        <rFont val="Arial"/>
      </rPr>
      <t>d</t>
    </r>
    <r>
      <rPr>
        <b/>
        <sz val="10"/>
        <color rgb="FF000080"/>
        <rFont val="Arial"/>
      </rPr>
      <t>:</t>
    </r>
  </si>
  <si>
    <t># of Points:</t>
  </si>
  <si>
    <t>points</t>
  </si>
  <si>
    <t>Time</t>
  </si>
  <si>
    <t>min.</t>
  </si>
  <si>
    <r>
      <rPr>
        <b/>
        <sz val="10"/>
        <color rgb="FF000080"/>
        <rFont val="Arial"/>
      </rPr>
      <t>Est. M</t>
    </r>
    <r>
      <rPr>
        <b/>
        <vertAlign val="subscript"/>
        <sz val="10"/>
        <color rgb="FF000080"/>
        <rFont val="Arial"/>
      </rPr>
      <t>w</t>
    </r>
    <r>
      <rPr>
        <b/>
        <sz val="10"/>
        <color rgb="FF000080"/>
        <rFont val="Arial"/>
      </rPr>
      <t>:</t>
    </r>
  </si>
  <si>
    <t>Run Time:</t>
  </si>
  <si>
    <t>min</t>
  </si>
  <si>
    <t>Leak Rate</t>
  </si>
  <si>
    <r>
      <rPr>
        <b/>
        <sz val="10"/>
        <color rgb="FF000080"/>
        <rFont val="Arial"/>
      </rPr>
      <t>T</t>
    </r>
    <r>
      <rPr>
        <b/>
        <vertAlign val="subscript"/>
        <sz val="10"/>
        <color rgb="FF000080"/>
        <rFont val="Arial"/>
      </rPr>
      <t>std</t>
    </r>
    <r>
      <rPr>
        <b/>
        <sz val="10"/>
        <color rgb="FF000080"/>
        <rFont val="Arial"/>
      </rPr>
      <t>:</t>
    </r>
  </si>
  <si>
    <t>°R</t>
  </si>
  <si>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std</t>
    </r>
    <r>
      <rPr>
        <b/>
        <sz val="10"/>
        <color rgb="FF000080"/>
        <rFont val="Arial"/>
      </rPr>
      <t>:</t>
    </r>
  </si>
  <si>
    <t>Vacuum</t>
  </si>
  <si>
    <t>in. Hg</t>
  </si>
  <si>
    <t>Clock Time (min)</t>
  </si>
  <si>
    <r>
      <rPr>
        <b/>
        <sz val="10"/>
        <color rgb="FF000080"/>
        <rFont val="Arial"/>
      </rPr>
      <t>Dry Gas Meter Reading (ft</t>
    </r>
    <r>
      <rPr>
        <b/>
        <vertAlign val="superscript"/>
        <sz val="10"/>
        <color rgb="FF000080"/>
        <rFont val="Arial"/>
      </rPr>
      <t>3</t>
    </r>
    <r>
      <rPr>
        <b/>
        <sz val="10"/>
        <color rgb="FF000080"/>
        <rFont val="Arial"/>
      </rPr>
      <t>)</t>
    </r>
  </si>
  <si>
    <t>Pitot</t>
  </si>
  <si>
    <t>Gas Temperatures (°F)</t>
  </si>
  <si>
    <t>Orifice Press.</t>
  </si>
  <si>
    <t>Pump</t>
  </si>
  <si>
    <t>Gas Temps</t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</si>
  <si>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P</t>
    </r>
  </si>
  <si>
    <t>DGM</t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</si>
  <si>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H (in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0)</t>
    </r>
  </si>
  <si>
    <t>Vac.</t>
  </si>
  <si>
    <t>Imp.</t>
  </si>
  <si>
    <t>Qs (acfm)</t>
  </si>
  <si>
    <r>
      <rPr>
        <b/>
        <sz val="10"/>
        <color rgb="FF000080"/>
        <rFont val="Arial"/>
      </rPr>
      <t xml:space="preserve"> D</t>
    </r>
    <r>
      <rPr>
        <b/>
        <vertAlign val="subscript"/>
        <sz val="10"/>
        <color rgb="FF000080"/>
        <rFont val="Arial"/>
      </rPr>
      <t xml:space="preserve">50        [10 </t>
    </r>
    <r>
      <rPr>
        <b/>
        <vertAlign val="subscript"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m]</t>
    </r>
  </si>
  <si>
    <r>
      <rPr>
        <b/>
        <sz val="10"/>
        <color rgb="FF000080"/>
        <rFont val="Arial"/>
      </rPr>
      <t>D</t>
    </r>
    <r>
      <rPr>
        <b/>
        <vertAlign val="subscript"/>
        <sz val="10"/>
        <color rgb="FF000080"/>
        <rFont val="Arial"/>
      </rPr>
      <t xml:space="preserve">50   [2.5 </t>
    </r>
    <r>
      <rPr>
        <b/>
        <vertAlign val="subscript"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m]</t>
    </r>
  </si>
  <si>
    <r>
      <rPr>
        <b/>
        <sz val="10"/>
        <color rgb="FF000080"/>
        <rFont val="Arial"/>
      </rPr>
      <t>sqrt(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P) (in.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O)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</si>
  <si>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 xml:space="preserve"> (fps)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</si>
  <si>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ms</t>
    </r>
    <r>
      <rPr>
        <b/>
        <sz val="10"/>
        <color rgb="FF000080"/>
        <rFont val="Arial"/>
      </rPr>
      <t xml:space="preserve"> (dscf)</t>
    </r>
  </si>
  <si>
    <r>
      <rPr>
        <b/>
        <sz val="10"/>
        <color rgb="FF000080"/>
        <rFont val="Arial"/>
      </rPr>
      <t>Q</t>
    </r>
    <r>
      <rPr>
        <b/>
        <vertAlign val="subscript"/>
        <sz val="10"/>
        <color rgb="FF000080"/>
        <rFont val="Arial"/>
      </rPr>
      <t>Sst</t>
    </r>
    <r>
      <rPr>
        <b/>
        <sz val="10"/>
        <color rgb="FF000080"/>
        <rFont val="Arial"/>
      </rPr>
      <t xml:space="preserve"> (dscfm)</t>
    </r>
  </si>
  <si>
    <r>
      <rPr>
        <b/>
        <sz val="8"/>
        <color rgb="FF000080"/>
        <rFont val="Arial"/>
      </rPr>
      <t>Viscocity (</t>
    </r>
    <r>
      <rPr>
        <b/>
        <sz val="8"/>
        <color rgb="FF000080"/>
        <rFont val="Symbol"/>
      </rPr>
      <t>m</t>
    </r>
    <r>
      <rPr>
        <b/>
        <sz val="8"/>
        <color rgb="FF000080"/>
        <rFont val="Arial"/>
      </rPr>
      <t>m)</t>
    </r>
  </si>
  <si>
    <r>
      <rPr>
        <b/>
        <sz val="10"/>
        <color rgb="FF000080"/>
        <rFont val="Arial"/>
      </rPr>
      <t>N</t>
    </r>
    <r>
      <rPr>
        <b/>
        <vertAlign val="subscript"/>
        <sz val="10"/>
        <color rgb="FF000080"/>
        <rFont val="Arial"/>
      </rPr>
      <t>re Actual</t>
    </r>
  </si>
  <si>
    <r>
      <rPr>
        <b/>
        <sz val="8"/>
        <color rgb="FF000080"/>
        <rFont val="Arial"/>
      </rPr>
      <t>Re-estim. C</t>
    </r>
    <r>
      <rPr>
        <b/>
        <vertAlign val="subscript"/>
        <sz val="8"/>
        <color rgb="FF000080"/>
        <rFont val="Arial"/>
      </rPr>
      <t>r50</t>
    </r>
  </si>
  <si>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min</t>
    </r>
    <r>
      <rPr>
        <b/>
        <sz val="10"/>
        <color rgb="FF000080"/>
        <rFont val="Arial"/>
      </rPr>
      <t xml:space="preserve">
(</t>
    </r>
    <r>
      <rPr>
        <b/>
        <sz val="8"/>
        <color rgb="FF000080"/>
        <rFont val="Arial"/>
      </rPr>
      <t>in H</t>
    </r>
    <r>
      <rPr>
        <b/>
        <vertAlign val="subscript"/>
        <sz val="8"/>
        <color rgb="FF000080"/>
        <rFont val="Arial"/>
      </rPr>
      <t>2</t>
    </r>
    <r>
      <rPr>
        <b/>
        <sz val="8"/>
        <color rgb="FF000080"/>
        <rFont val="Arial"/>
      </rPr>
      <t>O</t>
    </r>
    <r>
      <rPr>
        <b/>
        <sz val="10"/>
        <color rgb="FF000080"/>
        <rFont val="Arial"/>
      </rPr>
      <t>)</t>
    </r>
  </si>
  <si>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max</t>
    </r>
    <r>
      <rPr>
        <b/>
        <sz val="10"/>
        <color rgb="FF000080"/>
        <rFont val="Arial"/>
      </rPr>
      <t xml:space="preserve">
(</t>
    </r>
    <r>
      <rPr>
        <b/>
        <sz val="8"/>
        <color rgb="FF000080"/>
        <rFont val="Arial"/>
      </rPr>
      <t>in H</t>
    </r>
    <r>
      <rPr>
        <b/>
        <vertAlign val="subscript"/>
        <sz val="8"/>
        <color rgb="FF000080"/>
        <rFont val="Arial"/>
      </rPr>
      <t>2</t>
    </r>
    <r>
      <rPr>
        <b/>
        <sz val="8"/>
        <color rgb="FF000080"/>
        <rFont val="Arial"/>
      </rPr>
      <t>O</t>
    </r>
    <r>
      <rPr>
        <b/>
        <sz val="10"/>
        <color rgb="FF000080"/>
        <rFont val="Arial"/>
      </rPr>
      <t>)</t>
    </r>
  </si>
  <si>
    <r>
      <rPr>
        <b/>
        <sz val="10"/>
        <color rgb="FF000080"/>
        <rFont val="Arial"/>
      </rPr>
      <t xml:space="preserve">Vn
</t>
    </r>
    <r>
      <rPr>
        <b/>
        <sz val="8"/>
        <color rgb="FF000080"/>
        <rFont val="Arial"/>
      </rPr>
      <t>(fps)</t>
    </r>
  </si>
  <si>
    <r>
      <rPr>
        <b/>
        <sz val="10"/>
        <color rgb="FF000080"/>
        <rFont val="Arial"/>
      </rPr>
      <t>V</t>
    </r>
    <r>
      <rPr>
        <b/>
        <vertAlign val="subscript"/>
        <sz val="9"/>
        <color rgb="FF000080"/>
        <rFont val="Arial"/>
      </rPr>
      <t xml:space="preserve">min
</t>
    </r>
    <r>
      <rPr>
        <b/>
        <vertAlign val="subscript"/>
        <sz val="10"/>
        <color rgb="FF000080"/>
        <rFont val="Arial"/>
      </rPr>
      <t>(fps)</t>
    </r>
  </si>
  <si>
    <r>
      <rPr>
        <b/>
        <sz val="10"/>
        <color rgb="FF000080"/>
        <rFont val="Arial"/>
      </rPr>
      <t>V</t>
    </r>
    <r>
      <rPr>
        <b/>
        <vertAlign val="subscript"/>
        <sz val="9"/>
        <color rgb="FF000080"/>
        <rFont val="Arial"/>
      </rPr>
      <t xml:space="preserve">max
</t>
    </r>
    <r>
      <rPr>
        <b/>
        <vertAlign val="subscript"/>
        <sz val="10"/>
        <color rgb="FF000080"/>
        <rFont val="Arial"/>
      </rPr>
      <t>(fps)</t>
    </r>
  </si>
  <si>
    <r>
      <rPr>
        <b/>
        <sz val="10"/>
        <color rgb="FF000080"/>
        <rFont val="Arial"/>
      </rPr>
      <t>R</t>
    </r>
    <r>
      <rPr>
        <b/>
        <vertAlign val="subscript"/>
        <sz val="9"/>
        <color rgb="FF000080"/>
        <rFont val="Arial"/>
      </rPr>
      <t>min</t>
    </r>
  </si>
  <si>
    <r>
      <rPr>
        <b/>
        <sz val="10"/>
        <color rgb="FF000080"/>
        <rFont val="Arial"/>
      </rPr>
      <t>R</t>
    </r>
    <r>
      <rPr>
        <b/>
        <vertAlign val="subscript"/>
        <sz val="9"/>
        <color rgb="FF000080"/>
        <rFont val="Arial"/>
      </rPr>
      <t>max</t>
    </r>
  </si>
  <si>
    <r>
      <rPr>
        <b/>
        <sz val="10"/>
        <color rgb="FF000080"/>
        <rFont val="Arial"/>
      </rPr>
      <t>("H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O)</t>
    </r>
  </si>
  <si>
    <t>Inlet</t>
  </si>
  <si>
    <t>Outlet</t>
  </si>
  <si>
    <t>Stack</t>
  </si>
  <si>
    <t>Ideal</t>
  </si>
  <si>
    <t>Actual</t>
  </si>
  <si>
    <t>(in Hg)</t>
  </si>
  <si>
    <t>Probe</t>
  </si>
  <si>
    <t>Filter</t>
  </si>
  <si>
    <t>Exit</t>
  </si>
  <si>
    <t>Averages</t>
  </si>
  <si>
    <t>Actual Run Time</t>
  </si>
  <si>
    <r>
      <rPr>
        <b/>
        <sz val="12"/>
        <color rgb="FF000080"/>
        <rFont val="Arial"/>
      </rPr>
      <t>V</t>
    </r>
    <r>
      <rPr>
        <b/>
        <vertAlign val="subscript"/>
        <sz val="12"/>
        <color rgb="FF000080"/>
        <rFont val="Arial"/>
      </rPr>
      <t>m</t>
    </r>
  </si>
  <si>
    <r>
      <rPr>
        <b/>
        <sz val="12"/>
        <color rgb="FF000080"/>
        <rFont val="Noto Sans Symbols"/>
      </rPr>
      <t>D</t>
    </r>
    <r>
      <rPr>
        <b/>
        <sz val="12"/>
        <color rgb="FF000080"/>
        <rFont val="Arial"/>
      </rPr>
      <t>P (avg)</t>
    </r>
  </si>
  <si>
    <r>
      <rPr>
        <b/>
        <sz val="10"/>
        <color rgb="FF000080"/>
        <rFont val="Arial"/>
      </rPr>
      <t>T</t>
    </r>
    <r>
      <rPr>
        <b/>
        <vertAlign val="subscript"/>
        <sz val="10"/>
        <color rgb="FF000080"/>
        <rFont val="Arial"/>
      </rPr>
      <t>m (avg)</t>
    </r>
  </si>
  <si>
    <r>
      <rPr>
        <b/>
        <sz val="10"/>
        <color rgb="FF000080"/>
        <rFont val="Arial"/>
      </rPr>
      <t>T</t>
    </r>
    <r>
      <rPr>
        <b/>
        <vertAlign val="subscript"/>
        <sz val="10"/>
        <color rgb="FF000080"/>
        <rFont val="Arial"/>
      </rPr>
      <t>s (avg)</t>
    </r>
  </si>
  <si>
    <t>Max</t>
  </si>
  <si>
    <r>
      <rPr>
        <b/>
        <sz val="10"/>
        <color rgb="FF000080"/>
        <rFont val="Noto Sans Symbols"/>
      </rPr>
      <t>DH</t>
    </r>
    <r>
      <rPr>
        <b/>
        <sz val="10"/>
        <color rgb="FF000080"/>
        <rFont val="Arial"/>
      </rPr>
      <t xml:space="preserve"> (avg)</t>
    </r>
  </si>
  <si>
    <r>
      <rPr>
        <b/>
        <sz val="12"/>
        <color rgb="FF000080"/>
        <rFont val="Arial"/>
      </rPr>
      <t>V</t>
    </r>
    <r>
      <rPr>
        <b/>
        <vertAlign val="subscript"/>
        <sz val="12"/>
        <color rgb="FF000080"/>
        <rFont val="Arial"/>
      </rPr>
      <t>s (avg)</t>
    </r>
  </si>
  <si>
    <r>
      <rPr>
        <b/>
        <sz val="10"/>
        <color rgb="FF000080"/>
        <rFont val="Arial"/>
      </rPr>
      <t>in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</t>
    </r>
  </si>
  <si>
    <r>
      <rPr>
        <b/>
        <sz val="10"/>
        <color rgb="FF000080"/>
        <rFont val="Arial"/>
      </rPr>
      <t>in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</t>
    </r>
  </si>
  <si>
    <t>fps</t>
  </si>
  <si>
    <r>
      <rPr>
        <b/>
        <sz val="10"/>
        <color rgb="FF000080"/>
        <rFont val="Arial"/>
      </rPr>
      <t>+/- 50°F</t>
    </r>
    <r>
      <rPr>
        <b/>
        <sz val="10"/>
        <color rgb="FF000080"/>
        <rFont val="Symbol"/>
      </rPr>
      <t xml:space="preserve"> D</t>
    </r>
    <r>
      <rPr>
        <b/>
        <sz val="10"/>
        <color rgb="FF000080"/>
        <rFont val="Arial"/>
      </rPr>
      <t>H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</si>
  <si>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</si>
  <si>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H@: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</si>
  <si>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</si>
  <si>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</si>
  <si>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</si>
  <si>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</si>
  <si>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H:</t>
    </r>
  </si>
  <si>
    <r>
      <rPr>
        <sz val="9"/>
        <color rgb="FF000080"/>
        <rFont val="Arial"/>
      </rPr>
      <t>in H</t>
    </r>
    <r>
      <rPr>
        <vertAlign val="subscript"/>
        <sz val="9"/>
        <color rgb="FF000080"/>
        <rFont val="Arial"/>
      </rPr>
      <t>2</t>
    </r>
    <r>
      <rPr>
        <sz val="9"/>
        <color rgb="FF000080"/>
        <rFont val="Arial"/>
      </rPr>
      <t>O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</si>
  <si>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H: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</si>
  <si>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H:</t>
    </r>
  </si>
  <si>
    <r>
      <rPr>
        <b/>
        <sz val="10"/>
        <color rgb="FF000080"/>
        <rFont val="Arial"/>
      </rPr>
      <t>%CO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</si>
  <si>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%O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</si>
  <si>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%N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/CO:</t>
    </r>
  </si>
  <si>
    <r>
      <rPr>
        <sz val="10"/>
        <color rgb="FF000080"/>
        <rFont val="Arial"/>
      </rPr>
      <t>ft</t>
    </r>
    <r>
      <rPr>
        <vertAlign val="superscript"/>
        <sz val="10"/>
        <color rgb="FF000080"/>
        <rFont val="Arial"/>
      </rPr>
      <t>2</t>
    </r>
  </si>
  <si>
    <r>
      <rPr>
        <b/>
        <sz val="10"/>
        <color rgb="FF000080"/>
        <rFont val="Arial"/>
      </rPr>
      <t>M</t>
    </r>
    <r>
      <rPr>
        <b/>
        <vertAlign val="subscript"/>
        <sz val="10"/>
        <color rgb="FF000080"/>
        <rFont val="Arial"/>
      </rPr>
      <t>d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</si>
  <si>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Est. M</t>
    </r>
    <r>
      <rPr>
        <b/>
        <vertAlign val="subscript"/>
        <sz val="10"/>
        <color rgb="FF000080"/>
        <rFont val="Arial"/>
      </rPr>
      <t>w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</si>
  <si>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T</t>
    </r>
    <r>
      <rPr>
        <b/>
        <vertAlign val="subscript"/>
        <sz val="10"/>
        <color rgb="FF000080"/>
        <rFont val="Arial"/>
      </rPr>
      <t>std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</si>
  <si>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std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</si>
  <si>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Dry Gas Meter Reading (ft</t>
    </r>
    <r>
      <rPr>
        <b/>
        <vertAlign val="superscript"/>
        <sz val="10"/>
        <color rgb="FF000080"/>
        <rFont val="Arial"/>
      </rPr>
      <t>3</t>
    </r>
    <r>
      <rPr>
        <b/>
        <sz val="10"/>
        <color rgb="FF000080"/>
        <rFont val="Arial"/>
      </rPr>
      <t>)</t>
    </r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</si>
  <si>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P</t>
    </r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</si>
  <si>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H (in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0)</t>
    </r>
  </si>
  <si>
    <r>
      <rPr>
        <b/>
        <sz val="10"/>
        <color rgb="FF000080"/>
        <rFont val="Arial"/>
      </rPr>
      <t xml:space="preserve"> D</t>
    </r>
    <r>
      <rPr>
        <b/>
        <vertAlign val="subscript"/>
        <sz val="10"/>
        <color rgb="FF000080"/>
        <rFont val="Arial"/>
      </rPr>
      <t xml:space="preserve">50        [10 </t>
    </r>
    <r>
      <rPr>
        <b/>
        <vertAlign val="subscript"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m]</t>
    </r>
  </si>
  <si>
    <r>
      <rPr>
        <b/>
        <sz val="10"/>
        <color rgb="FF000080"/>
        <rFont val="Arial"/>
      </rPr>
      <t>D</t>
    </r>
    <r>
      <rPr>
        <b/>
        <vertAlign val="subscript"/>
        <sz val="10"/>
        <color rgb="FF000080"/>
        <rFont val="Arial"/>
      </rPr>
      <t xml:space="preserve">50   [2.5 </t>
    </r>
    <r>
      <rPr>
        <b/>
        <vertAlign val="subscript"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m]</t>
    </r>
  </si>
  <si>
    <r>
      <rPr>
        <b/>
        <sz val="10"/>
        <color rgb="FF000080"/>
        <rFont val="Arial"/>
      </rPr>
      <t>sqrt(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P) (in.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O)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</si>
  <si>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 xml:space="preserve"> (fps)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</si>
  <si>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ms</t>
    </r>
    <r>
      <rPr>
        <b/>
        <sz val="10"/>
        <color rgb="FF000080"/>
        <rFont val="Arial"/>
      </rPr>
      <t xml:space="preserve"> (dscf)</t>
    </r>
  </si>
  <si>
    <r>
      <rPr>
        <b/>
        <sz val="10"/>
        <color rgb="FF000080"/>
        <rFont val="Arial"/>
      </rPr>
      <t>Q</t>
    </r>
    <r>
      <rPr>
        <b/>
        <vertAlign val="subscript"/>
        <sz val="10"/>
        <color rgb="FF000080"/>
        <rFont val="Arial"/>
      </rPr>
      <t>Sst</t>
    </r>
    <r>
      <rPr>
        <b/>
        <sz val="10"/>
        <color rgb="FF000080"/>
        <rFont val="Arial"/>
      </rPr>
      <t xml:space="preserve"> (dscfm)</t>
    </r>
  </si>
  <si>
    <r>
      <rPr>
        <b/>
        <sz val="8"/>
        <color rgb="FF000080"/>
        <rFont val="Arial"/>
      </rPr>
      <t>Viscocity (</t>
    </r>
    <r>
      <rPr>
        <b/>
        <sz val="8"/>
        <color rgb="FF000080"/>
        <rFont val="Symbol"/>
      </rPr>
      <t>m</t>
    </r>
    <r>
      <rPr>
        <b/>
        <sz val="8"/>
        <color rgb="FF000080"/>
        <rFont val="Arial"/>
      </rPr>
      <t>m)</t>
    </r>
  </si>
  <si>
    <r>
      <rPr>
        <b/>
        <sz val="10"/>
        <color rgb="FF000080"/>
        <rFont val="Arial"/>
      </rPr>
      <t>N</t>
    </r>
    <r>
      <rPr>
        <b/>
        <vertAlign val="subscript"/>
        <sz val="10"/>
        <color rgb="FF000080"/>
        <rFont val="Arial"/>
      </rPr>
      <t>re Actual</t>
    </r>
  </si>
  <si>
    <r>
      <rPr>
        <b/>
        <sz val="8"/>
        <color rgb="FF000080"/>
        <rFont val="Arial"/>
      </rPr>
      <t>Re-estim. C</t>
    </r>
    <r>
      <rPr>
        <b/>
        <vertAlign val="subscript"/>
        <sz val="8"/>
        <color rgb="FF000080"/>
        <rFont val="Arial"/>
      </rPr>
      <t>r50</t>
    </r>
  </si>
  <si>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min</t>
    </r>
    <r>
      <rPr>
        <b/>
        <sz val="10"/>
        <color rgb="FF000080"/>
        <rFont val="Arial"/>
      </rPr>
      <t xml:space="preserve">
(</t>
    </r>
    <r>
      <rPr>
        <b/>
        <sz val="8"/>
        <color rgb="FF000080"/>
        <rFont val="Arial"/>
      </rPr>
      <t>in H</t>
    </r>
    <r>
      <rPr>
        <b/>
        <vertAlign val="subscript"/>
        <sz val="8"/>
        <color rgb="FF000080"/>
        <rFont val="Arial"/>
      </rPr>
      <t>2</t>
    </r>
    <r>
      <rPr>
        <b/>
        <sz val="8"/>
        <color rgb="FF000080"/>
        <rFont val="Arial"/>
      </rPr>
      <t>O</t>
    </r>
    <r>
      <rPr>
        <b/>
        <sz val="10"/>
        <color rgb="FF000080"/>
        <rFont val="Arial"/>
      </rPr>
      <t>)</t>
    </r>
  </si>
  <si>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max</t>
    </r>
    <r>
      <rPr>
        <b/>
        <sz val="10"/>
        <color rgb="FF000080"/>
        <rFont val="Arial"/>
      </rPr>
      <t xml:space="preserve">
(</t>
    </r>
    <r>
      <rPr>
        <b/>
        <sz val="8"/>
        <color rgb="FF000080"/>
        <rFont val="Arial"/>
      </rPr>
      <t>in H</t>
    </r>
    <r>
      <rPr>
        <b/>
        <vertAlign val="subscript"/>
        <sz val="8"/>
        <color rgb="FF000080"/>
        <rFont val="Arial"/>
      </rPr>
      <t>2</t>
    </r>
    <r>
      <rPr>
        <b/>
        <sz val="8"/>
        <color rgb="FF000080"/>
        <rFont val="Arial"/>
      </rPr>
      <t>O</t>
    </r>
    <r>
      <rPr>
        <b/>
        <sz val="10"/>
        <color rgb="FF000080"/>
        <rFont val="Arial"/>
      </rPr>
      <t>)</t>
    </r>
  </si>
  <si>
    <r>
      <rPr>
        <b/>
        <sz val="10"/>
        <color rgb="FF000080"/>
        <rFont val="Arial"/>
      </rPr>
      <t xml:space="preserve">Vn
</t>
    </r>
    <r>
      <rPr>
        <b/>
        <sz val="8"/>
        <color rgb="FF000080"/>
        <rFont val="Arial"/>
      </rPr>
      <t>(fps)</t>
    </r>
  </si>
  <si>
    <r>
      <rPr>
        <b/>
        <sz val="10"/>
        <color rgb="FF000080"/>
        <rFont val="Arial"/>
      </rPr>
      <t>V</t>
    </r>
    <r>
      <rPr>
        <b/>
        <vertAlign val="subscript"/>
        <sz val="9"/>
        <color rgb="FF000080"/>
        <rFont val="Arial"/>
      </rPr>
      <t xml:space="preserve">min
</t>
    </r>
    <r>
      <rPr>
        <b/>
        <vertAlign val="subscript"/>
        <sz val="10"/>
        <color rgb="FF000080"/>
        <rFont val="Arial"/>
      </rPr>
      <t>(fps)</t>
    </r>
  </si>
  <si>
    <r>
      <rPr>
        <b/>
        <sz val="10"/>
        <color rgb="FF000080"/>
        <rFont val="Arial"/>
      </rPr>
      <t>V</t>
    </r>
    <r>
      <rPr>
        <b/>
        <vertAlign val="subscript"/>
        <sz val="9"/>
        <color rgb="FF000080"/>
        <rFont val="Arial"/>
      </rPr>
      <t xml:space="preserve">max
</t>
    </r>
    <r>
      <rPr>
        <b/>
        <vertAlign val="subscript"/>
        <sz val="10"/>
        <color rgb="FF000080"/>
        <rFont val="Arial"/>
      </rPr>
      <t>(fps)</t>
    </r>
  </si>
  <si>
    <r>
      <rPr>
        <b/>
        <sz val="10"/>
        <color rgb="FF000080"/>
        <rFont val="Arial"/>
      </rPr>
      <t>R</t>
    </r>
    <r>
      <rPr>
        <b/>
        <vertAlign val="subscript"/>
        <sz val="9"/>
        <color rgb="FF000080"/>
        <rFont val="Arial"/>
      </rPr>
      <t>min</t>
    </r>
  </si>
  <si>
    <r>
      <rPr>
        <b/>
        <sz val="10"/>
        <color rgb="FF000080"/>
        <rFont val="Arial"/>
      </rPr>
      <t>R</t>
    </r>
    <r>
      <rPr>
        <b/>
        <vertAlign val="subscript"/>
        <sz val="9"/>
        <color rgb="FF000080"/>
        <rFont val="Arial"/>
      </rPr>
      <t>max</t>
    </r>
  </si>
  <si>
    <r>
      <rPr>
        <b/>
        <sz val="10"/>
        <color rgb="FF000080"/>
        <rFont val="Arial"/>
      </rPr>
      <t>("H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O)</t>
    </r>
  </si>
  <si>
    <r>
      <rPr>
        <b/>
        <sz val="12"/>
        <color rgb="FF000080"/>
        <rFont val="Arial"/>
      </rPr>
      <t>V</t>
    </r>
    <r>
      <rPr>
        <b/>
        <vertAlign val="subscript"/>
        <sz val="12"/>
        <color rgb="FF000080"/>
        <rFont val="Arial"/>
      </rPr>
      <t>m</t>
    </r>
  </si>
  <si>
    <r>
      <rPr>
        <b/>
        <sz val="12"/>
        <color rgb="FF000080"/>
        <rFont val="Noto Sans Symbols"/>
      </rPr>
      <t>D</t>
    </r>
    <r>
      <rPr>
        <b/>
        <sz val="12"/>
        <color rgb="FF000080"/>
        <rFont val="Arial"/>
      </rPr>
      <t>P (avg)</t>
    </r>
  </si>
  <si>
    <r>
      <rPr>
        <b/>
        <sz val="10"/>
        <color rgb="FF000080"/>
        <rFont val="Arial"/>
      </rPr>
      <t>T</t>
    </r>
    <r>
      <rPr>
        <b/>
        <vertAlign val="subscript"/>
        <sz val="10"/>
        <color rgb="FF000080"/>
        <rFont val="Arial"/>
      </rPr>
      <t>m (avg)</t>
    </r>
  </si>
  <si>
    <r>
      <rPr>
        <b/>
        <sz val="10"/>
        <color rgb="FF000080"/>
        <rFont val="Arial"/>
      </rPr>
      <t>T</t>
    </r>
    <r>
      <rPr>
        <b/>
        <vertAlign val="subscript"/>
        <sz val="10"/>
        <color rgb="FF000080"/>
        <rFont val="Arial"/>
      </rPr>
      <t>s (avg)</t>
    </r>
  </si>
  <si>
    <r>
      <rPr>
        <b/>
        <sz val="10"/>
        <color rgb="FF000080"/>
        <rFont val="Noto Sans Symbols"/>
      </rPr>
      <t>DH</t>
    </r>
    <r>
      <rPr>
        <b/>
        <sz val="10"/>
        <color rgb="FF000080"/>
        <rFont val="Arial"/>
      </rPr>
      <t xml:space="preserve"> (avg)</t>
    </r>
  </si>
  <si>
    <r>
      <rPr>
        <b/>
        <sz val="12"/>
        <color rgb="FF000080"/>
        <rFont val="Arial"/>
      </rPr>
      <t>V</t>
    </r>
    <r>
      <rPr>
        <b/>
        <vertAlign val="subscript"/>
        <sz val="12"/>
        <color rgb="FF000080"/>
        <rFont val="Arial"/>
      </rPr>
      <t>s (avg)</t>
    </r>
  </si>
  <si>
    <r>
      <rPr>
        <b/>
        <sz val="10"/>
        <color rgb="FF000080"/>
        <rFont val="Arial"/>
      </rPr>
      <t>in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</t>
    </r>
  </si>
  <si>
    <r>
      <rPr>
        <b/>
        <sz val="10"/>
        <color rgb="FF000080"/>
        <rFont val="Arial"/>
      </rPr>
      <t>in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</t>
    </r>
  </si>
  <si>
    <r>
      <rPr>
        <b/>
        <sz val="10"/>
        <color rgb="FF000080"/>
        <rFont val="Arial"/>
      </rPr>
      <t>+/- 50°F</t>
    </r>
    <r>
      <rPr>
        <b/>
        <sz val="10"/>
        <color rgb="FF000080"/>
        <rFont val="Symbol"/>
      </rPr>
      <t xml:space="preserve"> D</t>
    </r>
    <r>
      <rPr>
        <b/>
        <sz val="10"/>
        <color rgb="FF000080"/>
        <rFont val="Arial"/>
      </rPr>
      <t>H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</si>
  <si>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</si>
  <si>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H@: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</si>
  <si>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</si>
  <si>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</si>
  <si>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</si>
  <si>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</si>
  <si>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H:</t>
    </r>
  </si>
  <si>
    <r>
      <rPr>
        <sz val="9"/>
        <color rgb="FF000080"/>
        <rFont val="Arial"/>
      </rPr>
      <t>in H</t>
    </r>
    <r>
      <rPr>
        <vertAlign val="subscript"/>
        <sz val="9"/>
        <color rgb="FF000080"/>
        <rFont val="Arial"/>
      </rPr>
      <t>2</t>
    </r>
    <r>
      <rPr>
        <sz val="9"/>
        <color rgb="FF000080"/>
        <rFont val="Arial"/>
      </rPr>
      <t>O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</si>
  <si>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H:</t>
    </r>
  </si>
  <si>
    <r>
      <rPr>
        <b/>
        <sz val="10"/>
        <color rgb="FF000080"/>
        <rFont val="Arial"/>
      </rPr>
      <t xml:space="preserve">Est.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H:</t>
    </r>
  </si>
  <si>
    <r>
      <rPr>
        <b/>
        <sz val="10"/>
        <color rgb="FF000080"/>
        <rFont val="Arial"/>
      </rPr>
      <t>%CO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</si>
  <si>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%O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</si>
  <si>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%N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/CO:</t>
    </r>
  </si>
  <si>
    <r>
      <rPr>
        <sz val="10"/>
        <color rgb="FF000080"/>
        <rFont val="Arial"/>
      </rPr>
      <t>ft</t>
    </r>
    <r>
      <rPr>
        <vertAlign val="superscript"/>
        <sz val="10"/>
        <color rgb="FF000080"/>
        <rFont val="Arial"/>
      </rPr>
      <t>2</t>
    </r>
  </si>
  <si>
    <r>
      <rPr>
        <b/>
        <sz val="10"/>
        <color rgb="FF000080"/>
        <rFont val="Arial"/>
      </rPr>
      <t>M</t>
    </r>
    <r>
      <rPr>
        <b/>
        <vertAlign val="subscript"/>
        <sz val="10"/>
        <color rgb="FF000080"/>
        <rFont val="Arial"/>
      </rPr>
      <t>d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</si>
  <si>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Est. M</t>
    </r>
    <r>
      <rPr>
        <b/>
        <vertAlign val="subscript"/>
        <sz val="10"/>
        <color rgb="FF000080"/>
        <rFont val="Arial"/>
      </rPr>
      <t>w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</si>
  <si>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T</t>
    </r>
    <r>
      <rPr>
        <b/>
        <vertAlign val="subscript"/>
        <sz val="10"/>
        <color rgb="FF000080"/>
        <rFont val="Arial"/>
      </rPr>
      <t>std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</si>
  <si>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std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</si>
  <si>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Dry Gas Meter Reading (ft</t>
    </r>
    <r>
      <rPr>
        <b/>
        <vertAlign val="superscript"/>
        <sz val="10"/>
        <color rgb="FF000080"/>
        <rFont val="Arial"/>
      </rPr>
      <t>3</t>
    </r>
    <r>
      <rPr>
        <b/>
        <sz val="10"/>
        <color rgb="FF000080"/>
        <rFont val="Arial"/>
      </rPr>
      <t>)</t>
    </r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</si>
  <si>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P</t>
    </r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</si>
  <si>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H (in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0)</t>
    </r>
  </si>
  <si>
    <r>
      <rPr>
        <b/>
        <sz val="10"/>
        <color rgb="FF000080"/>
        <rFont val="Arial"/>
      </rPr>
      <t xml:space="preserve"> D</t>
    </r>
    <r>
      <rPr>
        <b/>
        <vertAlign val="subscript"/>
        <sz val="10"/>
        <color rgb="FF000080"/>
        <rFont val="Arial"/>
      </rPr>
      <t xml:space="preserve">50        [10 </t>
    </r>
    <r>
      <rPr>
        <b/>
        <vertAlign val="subscript"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m]</t>
    </r>
  </si>
  <si>
    <r>
      <rPr>
        <b/>
        <sz val="10"/>
        <color rgb="FF000080"/>
        <rFont val="Arial"/>
      </rPr>
      <t>D</t>
    </r>
    <r>
      <rPr>
        <b/>
        <vertAlign val="subscript"/>
        <sz val="10"/>
        <color rgb="FF000080"/>
        <rFont val="Arial"/>
      </rPr>
      <t xml:space="preserve">50   [2.5 </t>
    </r>
    <r>
      <rPr>
        <b/>
        <vertAlign val="subscript"/>
        <sz val="10"/>
        <color rgb="FF000080"/>
        <rFont val="Symbol"/>
      </rPr>
      <t>m</t>
    </r>
    <r>
      <rPr>
        <b/>
        <vertAlign val="subscript"/>
        <sz val="10"/>
        <color rgb="FF000080"/>
        <rFont val="Arial"/>
      </rPr>
      <t>m]</t>
    </r>
  </si>
  <si>
    <r>
      <rPr>
        <b/>
        <sz val="10"/>
        <color rgb="FF000080"/>
        <rFont val="Arial"/>
      </rPr>
      <t>sqrt(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P) (in.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O)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</si>
  <si>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 xml:space="preserve"> (fps)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</si>
  <si>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ms</t>
    </r>
    <r>
      <rPr>
        <b/>
        <sz val="10"/>
        <color rgb="FF000080"/>
        <rFont val="Arial"/>
      </rPr>
      <t xml:space="preserve"> (dscf)</t>
    </r>
  </si>
  <si>
    <r>
      <rPr>
        <b/>
        <sz val="10"/>
        <color rgb="FF000080"/>
        <rFont val="Arial"/>
      </rPr>
      <t>Q</t>
    </r>
    <r>
      <rPr>
        <b/>
        <vertAlign val="subscript"/>
        <sz val="10"/>
        <color rgb="FF000080"/>
        <rFont val="Arial"/>
      </rPr>
      <t>Sst</t>
    </r>
    <r>
      <rPr>
        <b/>
        <sz val="10"/>
        <color rgb="FF000080"/>
        <rFont val="Arial"/>
      </rPr>
      <t xml:space="preserve"> (dscfm)</t>
    </r>
  </si>
  <si>
    <r>
      <rPr>
        <b/>
        <sz val="8"/>
        <color rgb="FF000080"/>
        <rFont val="Arial"/>
      </rPr>
      <t>Viscocity (</t>
    </r>
    <r>
      <rPr>
        <b/>
        <sz val="8"/>
        <color rgb="FF000080"/>
        <rFont val="Symbol"/>
      </rPr>
      <t>m</t>
    </r>
    <r>
      <rPr>
        <b/>
        <sz val="8"/>
        <color rgb="FF000080"/>
        <rFont val="Arial"/>
      </rPr>
      <t>m)</t>
    </r>
  </si>
  <si>
    <r>
      <rPr>
        <b/>
        <sz val="10"/>
        <color rgb="FF000080"/>
        <rFont val="Arial"/>
      </rPr>
      <t>N</t>
    </r>
    <r>
      <rPr>
        <b/>
        <vertAlign val="subscript"/>
        <sz val="10"/>
        <color rgb="FF000080"/>
        <rFont val="Arial"/>
      </rPr>
      <t>re Actual</t>
    </r>
  </si>
  <si>
    <r>
      <rPr>
        <b/>
        <sz val="8"/>
        <color rgb="FF000080"/>
        <rFont val="Arial"/>
      </rPr>
      <t>Re-estim. C</t>
    </r>
    <r>
      <rPr>
        <b/>
        <vertAlign val="subscript"/>
        <sz val="8"/>
        <color rgb="FF000080"/>
        <rFont val="Arial"/>
      </rPr>
      <t>r50</t>
    </r>
  </si>
  <si>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min</t>
    </r>
    <r>
      <rPr>
        <b/>
        <sz val="10"/>
        <color rgb="FF000080"/>
        <rFont val="Arial"/>
      </rPr>
      <t xml:space="preserve">
(</t>
    </r>
    <r>
      <rPr>
        <b/>
        <sz val="8"/>
        <color rgb="FF000080"/>
        <rFont val="Arial"/>
      </rPr>
      <t>in H</t>
    </r>
    <r>
      <rPr>
        <b/>
        <vertAlign val="subscript"/>
        <sz val="8"/>
        <color rgb="FF000080"/>
        <rFont val="Arial"/>
      </rPr>
      <t>2</t>
    </r>
    <r>
      <rPr>
        <b/>
        <sz val="8"/>
        <color rgb="FF000080"/>
        <rFont val="Arial"/>
      </rPr>
      <t>O</t>
    </r>
    <r>
      <rPr>
        <b/>
        <sz val="10"/>
        <color rgb="FF000080"/>
        <rFont val="Arial"/>
      </rPr>
      <t>)</t>
    </r>
  </si>
  <si>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max</t>
    </r>
    <r>
      <rPr>
        <b/>
        <sz val="10"/>
        <color rgb="FF000080"/>
        <rFont val="Arial"/>
      </rPr>
      <t xml:space="preserve">
(</t>
    </r>
    <r>
      <rPr>
        <b/>
        <sz val="8"/>
        <color rgb="FF000080"/>
        <rFont val="Arial"/>
      </rPr>
      <t>in H</t>
    </r>
    <r>
      <rPr>
        <b/>
        <vertAlign val="subscript"/>
        <sz val="8"/>
        <color rgb="FF000080"/>
        <rFont val="Arial"/>
      </rPr>
      <t>2</t>
    </r>
    <r>
      <rPr>
        <b/>
        <sz val="8"/>
        <color rgb="FF000080"/>
        <rFont val="Arial"/>
      </rPr>
      <t>O</t>
    </r>
    <r>
      <rPr>
        <b/>
        <sz val="10"/>
        <color rgb="FF000080"/>
        <rFont val="Arial"/>
      </rPr>
      <t>)</t>
    </r>
  </si>
  <si>
    <r>
      <rPr>
        <b/>
        <sz val="10"/>
        <color rgb="FF000080"/>
        <rFont val="Arial"/>
      </rPr>
      <t xml:space="preserve">Vn
</t>
    </r>
    <r>
      <rPr>
        <b/>
        <sz val="8"/>
        <color rgb="FF000080"/>
        <rFont val="Arial"/>
      </rPr>
      <t>(fps)</t>
    </r>
  </si>
  <si>
    <r>
      <rPr>
        <b/>
        <sz val="10"/>
        <color rgb="FF000080"/>
        <rFont val="Arial"/>
      </rPr>
      <t>V</t>
    </r>
    <r>
      <rPr>
        <b/>
        <vertAlign val="subscript"/>
        <sz val="9"/>
        <color rgb="FF000080"/>
        <rFont val="Arial"/>
      </rPr>
      <t xml:space="preserve">min
</t>
    </r>
    <r>
      <rPr>
        <b/>
        <vertAlign val="subscript"/>
        <sz val="10"/>
        <color rgb="FF000080"/>
        <rFont val="Arial"/>
      </rPr>
      <t>(fps)</t>
    </r>
  </si>
  <si>
    <r>
      <rPr>
        <b/>
        <sz val="10"/>
        <color rgb="FF000080"/>
        <rFont val="Arial"/>
      </rPr>
      <t>V</t>
    </r>
    <r>
      <rPr>
        <b/>
        <vertAlign val="subscript"/>
        <sz val="9"/>
        <color rgb="FF000080"/>
        <rFont val="Arial"/>
      </rPr>
      <t xml:space="preserve">max
</t>
    </r>
    <r>
      <rPr>
        <b/>
        <vertAlign val="subscript"/>
        <sz val="10"/>
        <color rgb="FF000080"/>
        <rFont val="Arial"/>
      </rPr>
      <t>(fps)</t>
    </r>
  </si>
  <si>
    <r>
      <rPr>
        <b/>
        <sz val="10"/>
        <color rgb="FF000080"/>
        <rFont val="Arial"/>
      </rPr>
      <t>R</t>
    </r>
    <r>
      <rPr>
        <b/>
        <vertAlign val="subscript"/>
        <sz val="9"/>
        <color rgb="FF000080"/>
        <rFont val="Arial"/>
      </rPr>
      <t>min</t>
    </r>
  </si>
  <si>
    <r>
      <rPr>
        <b/>
        <sz val="10"/>
        <color rgb="FF000080"/>
        <rFont val="Arial"/>
      </rPr>
      <t>R</t>
    </r>
    <r>
      <rPr>
        <b/>
        <vertAlign val="subscript"/>
        <sz val="9"/>
        <color rgb="FF000080"/>
        <rFont val="Arial"/>
      </rPr>
      <t>max</t>
    </r>
  </si>
  <si>
    <r>
      <rPr>
        <b/>
        <sz val="10"/>
        <color rgb="FF000080"/>
        <rFont val="Arial"/>
      </rPr>
      <t>("H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O)</t>
    </r>
  </si>
  <si>
    <r>
      <rPr>
        <b/>
        <sz val="12"/>
        <color rgb="FF000080"/>
        <rFont val="Arial"/>
      </rPr>
      <t>V</t>
    </r>
    <r>
      <rPr>
        <b/>
        <vertAlign val="subscript"/>
        <sz val="12"/>
        <color rgb="FF000080"/>
        <rFont val="Arial"/>
      </rPr>
      <t>m</t>
    </r>
  </si>
  <si>
    <r>
      <rPr>
        <b/>
        <sz val="12"/>
        <color rgb="FF000080"/>
        <rFont val="Noto Sans Symbols"/>
      </rPr>
      <t>D</t>
    </r>
    <r>
      <rPr>
        <b/>
        <sz val="12"/>
        <color rgb="FF000080"/>
        <rFont val="Arial"/>
      </rPr>
      <t>P (avg)</t>
    </r>
  </si>
  <si>
    <r>
      <rPr>
        <b/>
        <sz val="10"/>
        <color rgb="FF000080"/>
        <rFont val="Arial"/>
      </rPr>
      <t>T</t>
    </r>
    <r>
      <rPr>
        <b/>
        <vertAlign val="subscript"/>
        <sz val="10"/>
        <color rgb="FF000080"/>
        <rFont val="Arial"/>
      </rPr>
      <t>m (avg)</t>
    </r>
  </si>
  <si>
    <r>
      <rPr>
        <b/>
        <sz val="10"/>
        <color rgb="FF000080"/>
        <rFont val="Arial"/>
      </rPr>
      <t>T</t>
    </r>
    <r>
      <rPr>
        <b/>
        <vertAlign val="subscript"/>
        <sz val="10"/>
        <color rgb="FF000080"/>
        <rFont val="Arial"/>
      </rPr>
      <t>s (avg)</t>
    </r>
  </si>
  <si>
    <r>
      <rPr>
        <b/>
        <sz val="10"/>
        <color rgb="FF000080"/>
        <rFont val="Noto Sans Symbols"/>
      </rPr>
      <t>DH</t>
    </r>
    <r>
      <rPr>
        <b/>
        <sz val="10"/>
        <color rgb="FF000080"/>
        <rFont val="Arial"/>
      </rPr>
      <t xml:space="preserve"> (avg)</t>
    </r>
  </si>
  <si>
    <r>
      <rPr>
        <b/>
        <sz val="12"/>
        <color rgb="FF000080"/>
        <rFont val="Arial"/>
      </rPr>
      <t>V</t>
    </r>
    <r>
      <rPr>
        <b/>
        <vertAlign val="subscript"/>
        <sz val="12"/>
        <color rgb="FF000080"/>
        <rFont val="Arial"/>
      </rPr>
      <t>s (avg)</t>
    </r>
  </si>
  <si>
    <r>
      <rPr>
        <b/>
        <sz val="10"/>
        <color rgb="FF000080"/>
        <rFont val="Arial"/>
      </rPr>
      <t>in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</t>
    </r>
  </si>
  <si>
    <r>
      <rPr>
        <b/>
        <sz val="10"/>
        <color rgb="FF000080"/>
        <rFont val="Arial"/>
      </rPr>
      <t>in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</t>
    </r>
  </si>
  <si>
    <t>Molecular Weight</t>
  </si>
  <si>
    <t>AVERAGE TEST DATA</t>
  </si>
  <si>
    <t>%CO2:</t>
  </si>
  <si>
    <t>%O2:</t>
  </si>
  <si>
    <r>
      <rPr>
        <b/>
        <sz val="10"/>
        <color rgb="FF000080"/>
        <rFont val="Arial"/>
      </rPr>
      <t xml:space="preserve">Average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P: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</si>
  <si>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</si>
  <si>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</si>
  <si>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t>%N2/CO:</t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</si>
  <si>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H@: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</si>
  <si>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</si>
  <si>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b/>
        <sz val="10"/>
        <color rgb="FF000080"/>
        <rFont val="Arial"/>
      </rPr>
      <t>Average T</t>
    </r>
    <r>
      <rPr>
        <b/>
        <vertAlign val="subscript"/>
        <sz val="10"/>
        <color rgb="FF000080"/>
        <rFont val="Arial"/>
      </rPr>
      <t>m</t>
    </r>
    <r>
      <rPr>
        <b/>
        <sz val="10"/>
        <color rgb="FF000080"/>
        <rFont val="Arial"/>
      </rPr>
      <t>:</t>
    </r>
  </si>
  <si>
    <t>Md:</t>
  </si>
  <si>
    <r>
      <rPr>
        <b/>
        <sz val="10"/>
        <color rgb="FF000080"/>
        <rFont val="Arial"/>
      </rPr>
      <t>Average T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</si>
  <si>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r>
      <rPr>
        <sz val="10"/>
        <color rgb="FF000080"/>
        <rFont val="Arial"/>
      </rPr>
      <t>ft</t>
    </r>
    <r>
      <rPr>
        <vertAlign val="superscript"/>
        <sz val="10"/>
        <color rgb="FF000080"/>
        <rFont val="Arial"/>
      </rPr>
      <t>2</t>
    </r>
  </si>
  <si>
    <t>Actual Mw:</t>
  </si>
  <si>
    <r>
      <rPr>
        <b/>
        <sz val="10"/>
        <color rgb="FF000080"/>
        <rFont val="Arial"/>
      </rPr>
      <t xml:space="preserve">Average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H: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</si>
  <si>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</si>
  <si>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b/>
        <sz val="10"/>
        <color rgb="FF000080"/>
        <rFont val="Arial"/>
      </rPr>
      <t>T</t>
    </r>
    <r>
      <rPr>
        <b/>
        <vertAlign val="subscript"/>
        <sz val="10"/>
        <color rgb="FF000080"/>
        <rFont val="Arial"/>
      </rPr>
      <t>std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</si>
  <si>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std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</si>
  <si>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&lt;PM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 xml:space="preserve"> Filter Analysis</t>
    </r>
  </si>
  <si>
    <r>
      <rPr>
        <b/>
        <sz val="10"/>
        <color rgb="FF000080"/>
        <rFont val="Arial"/>
      </rPr>
      <t>&lt;PM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 xml:space="preserve"> Recovery Analysis</t>
    </r>
  </si>
  <si>
    <t>Moisture Analysis</t>
  </si>
  <si>
    <t>Container 1:</t>
  </si>
  <si>
    <t>mg</t>
  </si>
  <si>
    <t>Container 4:</t>
  </si>
  <si>
    <t>Container 6:</t>
  </si>
  <si>
    <t>g</t>
  </si>
  <si>
    <t>C1 + Filter Tare:</t>
  </si>
  <si>
    <t>Cont. 4 Tare:</t>
  </si>
  <si>
    <t>Silica Gel Tare:</t>
  </si>
  <si>
    <r>
      <rPr>
        <b/>
        <sz val="10"/>
        <color rgb="FF000080"/>
        <rFont val="Arial"/>
      </rPr>
      <t>Acetone V</t>
    </r>
    <r>
      <rPr>
        <b/>
        <vertAlign val="subscript"/>
        <sz val="10"/>
        <color rgb="FF000080"/>
        <rFont val="Arial"/>
      </rPr>
      <t>aw1</t>
    </r>
    <r>
      <rPr>
        <b/>
        <sz val="10"/>
        <color rgb="FF000080"/>
        <rFont val="Arial"/>
      </rPr>
      <t>:</t>
    </r>
  </si>
  <si>
    <t>ml</t>
  </si>
  <si>
    <r>
      <rPr>
        <b/>
        <sz val="10"/>
        <color rgb="FF000080"/>
        <rFont val="Arial"/>
      </rPr>
      <t>Acetone V</t>
    </r>
    <r>
      <rPr>
        <b/>
        <vertAlign val="subscript"/>
        <sz val="10"/>
        <color rgb="FF000080"/>
        <rFont val="Arial"/>
      </rPr>
      <t>aw4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</si>
  <si>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M</t>
    </r>
    <r>
      <rPr>
        <b/>
        <vertAlign val="subscript"/>
        <sz val="10"/>
        <color rgb="FF000080"/>
        <rFont val="Arial"/>
      </rPr>
      <t>sg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</si>
  <si>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W</t>
    </r>
    <r>
      <rPr>
        <b/>
        <vertAlign val="subscript"/>
        <sz val="10"/>
        <color rgb="FF000080"/>
        <rFont val="Arial"/>
      </rPr>
      <t>a1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</si>
  <si>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W</t>
    </r>
    <r>
      <rPr>
        <b/>
        <vertAlign val="subscript"/>
        <sz val="10"/>
        <color rgb="FF000080"/>
        <rFont val="Arial"/>
      </rPr>
      <t>a4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</si>
  <si>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wsg(std)</t>
    </r>
    <r>
      <rPr>
        <b/>
        <sz val="10"/>
        <color rgb="FF000080"/>
        <rFont val="Arial"/>
      </rPr>
      <t>:</t>
    </r>
  </si>
  <si>
    <t>scf</t>
  </si>
  <si>
    <r>
      <rPr>
        <b/>
        <sz val="10"/>
        <color rgb="FF000080"/>
        <rFont val="Arial"/>
      </rPr>
      <t>(Filter) M</t>
    </r>
    <r>
      <rPr>
        <b/>
        <vertAlign val="subscript"/>
        <sz val="10"/>
        <color rgb="FF000080"/>
        <rFont val="Arial"/>
      </rPr>
      <t>1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</si>
  <si>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(PM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>) M</t>
    </r>
    <r>
      <rPr>
        <b/>
        <vertAlign val="subscript"/>
        <sz val="10"/>
        <color rgb="FF000080"/>
        <rFont val="Arial"/>
      </rPr>
      <t>4</t>
    </r>
    <r>
      <rPr>
        <b/>
        <sz val="10"/>
        <color rgb="FF000080"/>
        <rFont val="Arial"/>
      </rPr>
      <t>:</t>
    </r>
  </si>
  <si>
    <t>Container 5:</t>
  </si>
  <si>
    <r>
      <rPr>
        <b/>
        <sz val="10"/>
        <color rgb="FF000080"/>
        <rFont val="Arial"/>
      </rPr>
      <t>&gt;PM</t>
    </r>
    <r>
      <rPr>
        <b/>
        <vertAlign val="subscript"/>
        <sz val="10"/>
        <color rgb="FF000080"/>
        <rFont val="Arial"/>
      </rPr>
      <t>10</t>
    </r>
    <r>
      <rPr>
        <b/>
        <sz val="10"/>
        <color rgb="FF000080"/>
        <rFont val="Arial"/>
      </rPr>
      <t xml:space="preserve"> Recovery Analysis</t>
    </r>
  </si>
  <si>
    <r>
      <rPr>
        <b/>
        <sz val="10"/>
        <color rgb="FF000080"/>
        <rFont val="Arial"/>
      </rPr>
      <t>PM</t>
    </r>
    <r>
      <rPr>
        <b/>
        <vertAlign val="subscript"/>
        <sz val="10"/>
        <color rgb="FF000080"/>
        <rFont val="Arial"/>
      </rPr>
      <t>2.5-10</t>
    </r>
    <r>
      <rPr>
        <b/>
        <sz val="10"/>
        <color rgb="FF000080"/>
        <rFont val="Arial"/>
      </rPr>
      <t xml:space="preserve"> Recovery Analysis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</si>
  <si>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wc(std)</t>
    </r>
    <r>
      <rPr>
        <b/>
        <sz val="10"/>
        <color rgb="FF000080"/>
        <rFont val="Arial"/>
      </rPr>
      <t>:</t>
    </r>
  </si>
  <si>
    <t>Container 2:</t>
  </si>
  <si>
    <t>Container 3:</t>
  </si>
  <si>
    <t>Cont. 2 Tare:</t>
  </si>
  <si>
    <t>Cont. 3 Tare:</t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</si>
  <si>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ws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</si>
  <si>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V</t>
    </r>
    <r>
      <rPr>
        <b/>
        <vertAlign val="subscript"/>
        <sz val="10"/>
        <color rgb="FF000080"/>
        <rFont val="Arial"/>
      </rPr>
      <t>aw2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</si>
  <si>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V</t>
    </r>
    <r>
      <rPr>
        <b/>
        <vertAlign val="subscript"/>
        <sz val="10"/>
        <color rgb="FF000080"/>
        <rFont val="Arial"/>
      </rPr>
      <t>aw3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</si>
  <si>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B</t>
    </r>
    <r>
      <rPr>
        <b/>
        <vertAlign val="subscript"/>
        <sz val="10"/>
        <color rgb="FF000080"/>
        <rFont val="Arial"/>
      </rPr>
      <t>ws</t>
    </r>
    <r>
      <rPr>
        <b/>
        <sz val="10"/>
        <color rgb="FF000080"/>
        <rFont val="Arial"/>
      </rPr>
      <t>:</t>
    </r>
  </si>
  <si>
    <r>
      <rPr>
        <sz val="10"/>
        <color rgb="FF000080"/>
        <rFont val="Arial"/>
      </rPr>
      <t>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0</t>
    </r>
  </si>
  <si>
    <r>
      <rPr>
        <b/>
        <sz val="10"/>
        <color rgb="FF000080"/>
        <rFont val="Arial"/>
      </rPr>
      <t>Acetone W</t>
    </r>
    <r>
      <rPr>
        <b/>
        <vertAlign val="subscript"/>
        <sz val="10"/>
        <color rgb="FF000080"/>
        <rFont val="Arial"/>
      </rPr>
      <t>a2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</si>
  <si>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W</t>
    </r>
    <r>
      <rPr>
        <b/>
        <vertAlign val="subscript"/>
        <sz val="10"/>
        <color rgb="FF000080"/>
        <rFont val="Arial"/>
      </rPr>
      <t>a3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</si>
  <si>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Actual %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O:</t>
    </r>
  </si>
  <si>
    <r>
      <rPr>
        <b/>
        <sz val="10"/>
        <color rgb="FF000080"/>
        <rFont val="Arial"/>
      </rPr>
      <t>(PM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>) M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</si>
  <si>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(PM</t>
    </r>
    <r>
      <rPr>
        <b/>
        <vertAlign val="subscript"/>
        <sz val="10"/>
        <color rgb="FF000080"/>
        <rFont val="Arial"/>
      </rPr>
      <t>10</t>
    </r>
    <r>
      <rPr>
        <b/>
        <sz val="10"/>
        <color rgb="FF000080"/>
        <rFont val="Arial"/>
      </rPr>
      <t>-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>) M</t>
    </r>
    <r>
      <rPr>
        <b/>
        <vertAlign val="subscript"/>
        <sz val="10"/>
        <color rgb="FF000080"/>
        <rFont val="Arial"/>
      </rPr>
      <t>3</t>
    </r>
    <r>
      <rPr>
        <b/>
        <sz val="10"/>
        <color rgb="FF000080"/>
        <rFont val="Arial"/>
      </rPr>
      <t>:</t>
    </r>
  </si>
  <si>
    <t>Acetone Blank Analysis</t>
  </si>
  <si>
    <t>Container 7:</t>
  </si>
  <si>
    <t>CALCULATIONS AND DATA ANALYSIS</t>
  </si>
  <si>
    <t>Container 7 Tare:</t>
  </si>
  <si>
    <r>
      <rPr>
        <b/>
        <sz val="10"/>
        <color rgb="FF000080"/>
        <rFont val="Arial"/>
      </rPr>
      <t>Acetone Density</t>
    </r>
    <r>
      <rPr>
        <b/>
        <sz val="10"/>
        <color rgb="FF000080"/>
        <rFont val="Symbol"/>
      </rPr>
      <t xml:space="preserve"> r</t>
    </r>
    <r>
      <rPr>
        <b/>
        <vertAlign val="subscript"/>
        <sz val="10"/>
        <color rgb="FF000080"/>
        <rFont val="Arial"/>
      </rPr>
      <t>a</t>
    </r>
    <r>
      <rPr>
        <b/>
        <sz val="10"/>
        <color rgb="FF000080"/>
        <rFont val="Arial"/>
      </rPr>
      <t>:</t>
    </r>
  </si>
  <si>
    <t>mg/ml</t>
  </si>
  <si>
    <r>
      <rPr>
        <b/>
        <sz val="10"/>
        <color rgb="FF000080"/>
        <rFont val="Arial"/>
      </rPr>
      <t>Blank Volume V</t>
    </r>
    <r>
      <rPr>
        <b/>
        <vertAlign val="subscript"/>
        <sz val="10"/>
        <color rgb="FF000080"/>
        <rFont val="Arial"/>
      </rPr>
      <t>aw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</si>
  <si>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m</t>
    </r>
    <r>
      <rPr>
        <b/>
        <sz val="10"/>
        <color rgb="FF000080"/>
        <rFont val="Arial"/>
      </rPr>
      <t>:</t>
    </r>
  </si>
  <si>
    <t>acf  -  [Actual Sample Volume]</t>
  </si>
  <si>
    <r>
      <rPr>
        <b/>
        <sz val="10"/>
        <color rgb="FF000080"/>
        <rFont val="Arial"/>
      </rPr>
      <t>Blank Conc.C</t>
    </r>
    <r>
      <rPr>
        <b/>
        <vertAlign val="subscript"/>
        <sz val="10"/>
        <color rgb="FF000080"/>
        <rFont val="Arial"/>
      </rPr>
      <t>a</t>
    </r>
    <r>
      <rPr>
        <b/>
        <sz val="10"/>
        <color rgb="FF000080"/>
        <rFont val="Arial"/>
      </rPr>
      <t>:</t>
    </r>
  </si>
  <si>
    <r>
      <rPr>
        <sz val="10"/>
        <color rgb="FF000080"/>
        <rFont val="Arial"/>
      </rPr>
      <t>mg</t>
    </r>
    <r>
      <rPr>
        <vertAlign val="subscript"/>
        <sz val="10"/>
        <color rgb="FF000080"/>
        <rFont val="Arial"/>
      </rPr>
      <t>r</t>
    </r>
    <r>
      <rPr>
        <sz val="10"/>
        <color rgb="FF000080"/>
        <rFont val="Arial"/>
      </rPr>
      <t>/mg</t>
    </r>
    <r>
      <rPr>
        <vertAlign val="subscript"/>
        <sz val="10"/>
        <color rgb="FF000080"/>
        <rFont val="Arial"/>
      </rPr>
      <t>v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</si>
  <si>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ms</t>
    </r>
    <r>
      <rPr>
        <b/>
        <sz val="10"/>
        <color rgb="FF000080"/>
        <rFont val="Arial"/>
      </rPr>
      <t>:</t>
    </r>
  </si>
  <si>
    <t>dscf  -  [Corrected Sample Volume (std)]</t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</si>
  <si>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ws</t>
    </r>
    <r>
      <rPr>
        <b/>
        <sz val="10"/>
        <color rgb="FF000080"/>
        <rFont val="Arial"/>
      </rPr>
      <t>:</t>
    </r>
  </si>
  <si>
    <t>scf  -  [Volume of Water Vapor]</t>
  </si>
  <si>
    <r>
      <rPr>
        <b/>
        <sz val="10"/>
        <color rgb="FF000080"/>
        <rFont val="Noto Sans Symbols"/>
      </rPr>
      <t>m</t>
    </r>
    <r>
      <rPr>
        <b/>
        <sz val="10"/>
        <color rgb="FF000080"/>
        <rFont val="Arial"/>
      </rPr>
      <t>:</t>
    </r>
  </si>
  <si>
    <t>mpoise  -  [Actual Gas Viscosity]</t>
  </si>
  <si>
    <r>
      <rPr>
        <b/>
        <sz val="10"/>
        <color rgb="FF000080"/>
        <rFont val="Arial"/>
      </rPr>
      <t>Q</t>
    </r>
    <r>
      <rPr>
        <b/>
        <vertAlign val="subscript"/>
        <sz val="10"/>
        <color rgb="FF000080"/>
        <rFont val="Arial"/>
      </rPr>
      <t>Sst</t>
    </r>
    <r>
      <rPr>
        <b/>
        <sz val="10"/>
        <color rgb="FF000080"/>
        <rFont val="Arial"/>
      </rPr>
      <t>:</t>
    </r>
  </si>
  <si>
    <t>dscfm  -  [Corrected Dry Sampling Rate (std)]</t>
  </si>
  <si>
    <r>
      <rPr>
        <b/>
        <sz val="10"/>
        <color rgb="FF000080"/>
        <rFont val="Arial"/>
      </rPr>
      <t>C</t>
    </r>
    <r>
      <rPr>
        <b/>
        <sz val="10"/>
        <color rgb="FF000080"/>
        <rFont val="Arial"/>
      </rPr>
      <t>:</t>
    </r>
  </si>
  <si>
    <t>[Cunningham Correction Factor]</t>
  </si>
  <si>
    <r>
      <rPr>
        <b/>
        <sz val="10"/>
        <color rgb="FF000080"/>
        <rFont val="Arial"/>
      </rPr>
      <t>Q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</si>
  <si>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t>acfm  -  [Actual Final Sampling Rate]</t>
  </si>
  <si>
    <r>
      <rPr>
        <b/>
        <sz val="10"/>
        <color rgb="FF000080"/>
        <rFont val="Arial"/>
      </rPr>
      <t>D</t>
    </r>
    <r>
      <rPr>
        <b/>
        <vertAlign val="subscript"/>
        <sz val="10"/>
        <color rgb="FF000080"/>
        <rFont val="Arial"/>
      </rPr>
      <t>50</t>
    </r>
    <r>
      <rPr>
        <b/>
        <sz val="10"/>
        <color rgb="FF000080"/>
        <rFont val="Arial"/>
      </rPr>
      <t>:</t>
    </r>
  </si>
  <si>
    <r>
      <rPr>
        <sz val="10"/>
        <color rgb="FF000080"/>
        <rFont val="Noto Sans Symbols"/>
      </rPr>
      <t>m</t>
    </r>
    <r>
      <rPr>
        <sz val="10"/>
        <color rgb="FF000080"/>
        <rFont val="Arial"/>
      </rPr>
      <t xml:space="preserve">meter  -  D50 for Cyclone 1 </t>
    </r>
  </si>
  <si>
    <t>I:</t>
  </si>
  <si>
    <t>%  -  [Percent Isokinetic Sampling]</t>
  </si>
  <si>
    <r>
      <rPr>
        <b/>
        <sz val="10"/>
        <color rgb="FF000080"/>
        <rFont val="Arial"/>
      </rPr>
      <t>D</t>
    </r>
    <r>
      <rPr>
        <b/>
        <vertAlign val="subscript"/>
        <sz val="10"/>
        <color rgb="FF000080"/>
        <rFont val="Arial"/>
      </rPr>
      <t>50IV</t>
    </r>
    <r>
      <rPr>
        <b/>
        <sz val="10"/>
        <color rgb="FF000080"/>
        <rFont val="Arial"/>
      </rPr>
      <t>:</t>
    </r>
  </si>
  <si>
    <r>
      <rPr>
        <sz val="10"/>
        <color rgb="FF000080"/>
        <rFont val="Noto Sans Symbols"/>
      </rPr>
      <t>m</t>
    </r>
    <r>
      <rPr>
        <sz val="10"/>
        <color rgb="FF000080"/>
        <rFont val="Arial"/>
      </rPr>
      <t>meter  -  D50 for Cyclone IV</t>
    </r>
  </si>
  <si>
    <r>
      <rPr>
        <b/>
        <sz val="10"/>
        <color rgb="FF000080"/>
        <rFont val="Arial"/>
      </rPr>
      <t>N</t>
    </r>
    <r>
      <rPr>
        <b/>
        <vertAlign val="subscript"/>
        <sz val="10"/>
        <color rgb="FF000080"/>
        <rFont val="Arial"/>
      </rPr>
      <t>re</t>
    </r>
    <r>
      <rPr>
        <b/>
        <sz val="10"/>
        <color rgb="FF000080"/>
        <rFont val="Arial"/>
      </rPr>
      <t>:</t>
    </r>
  </si>
  <si>
    <t>[Actual Reynolds Number]</t>
  </si>
  <si>
    <r>
      <rPr>
        <b/>
        <sz val="10"/>
        <color rgb="FF000080"/>
        <rFont val="Arial"/>
      </rPr>
      <t>Q</t>
    </r>
    <r>
      <rPr>
        <b/>
        <vertAlign val="subscript"/>
        <sz val="10"/>
        <color rgb="FF000080"/>
        <rFont val="Arial"/>
      </rPr>
      <t>sd(stack)</t>
    </r>
    <r>
      <rPr>
        <b/>
        <sz val="10"/>
        <color rgb="FF000080"/>
        <rFont val="Arial"/>
      </rPr>
      <t>:</t>
    </r>
  </si>
  <si>
    <t>dscf/hr  -  [Dry Stack Flow Rate (std)]</t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</si>
  <si>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s(avg)</t>
    </r>
    <r>
      <rPr>
        <b/>
        <sz val="10"/>
        <color rgb="FF000080"/>
        <rFont val="Arial"/>
      </rPr>
      <t>:</t>
    </r>
  </si>
  <si>
    <t>fps  -  [Average Stack Velocity]</t>
  </si>
  <si>
    <r>
      <rPr>
        <b/>
        <sz val="10"/>
        <color rgb="FF000080"/>
        <rFont val="Arial"/>
      </rPr>
      <t>Q</t>
    </r>
    <r>
      <rPr>
        <b/>
        <vertAlign val="subscript"/>
        <sz val="10"/>
        <color rgb="FF000080"/>
        <rFont val="Arial"/>
      </rPr>
      <t>sw(stack)</t>
    </r>
    <r>
      <rPr>
        <b/>
        <sz val="10"/>
        <color rgb="FF000080"/>
        <rFont val="Arial"/>
      </rPr>
      <t>:</t>
    </r>
  </si>
  <si>
    <t>scf/hr  -  [Wet Stack Flow Rate (std)]</t>
  </si>
  <si>
    <t>Concentrations</t>
  </si>
  <si>
    <t>Emission Rates</t>
  </si>
  <si>
    <r>
      <rPr>
        <b/>
        <sz val="10"/>
        <color rgb="FF000080"/>
        <rFont val="Arial"/>
      </rPr>
      <t>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>:</t>
    </r>
  </si>
  <si>
    <t>gr/dscf</t>
  </si>
  <si>
    <r>
      <rPr>
        <b/>
        <sz val="10"/>
        <color rgb="FF000080"/>
        <rFont val="Arial"/>
      </rPr>
      <t>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>:</t>
    </r>
  </si>
  <si>
    <t>lb/hr</t>
  </si>
  <si>
    <r>
      <rPr>
        <b/>
        <sz val="10"/>
        <color rgb="FF000080"/>
        <rFont val="Arial"/>
      </rPr>
      <t>PM</t>
    </r>
    <r>
      <rPr>
        <b/>
        <vertAlign val="subscript"/>
        <sz val="10"/>
        <color rgb="FF000080"/>
        <rFont val="Arial"/>
      </rPr>
      <t>10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</si>
  <si>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PM</t>
    </r>
    <r>
      <rPr>
        <b/>
        <vertAlign val="subscript"/>
        <sz val="10"/>
        <color rgb="FF000080"/>
        <rFont val="Arial"/>
      </rPr>
      <t>10</t>
    </r>
    <r>
      <rPr>
        <b/>
        <sz val="10"/>
        <color rgb="FF000080"/>
        <rFont val="Arial"/>
      </rPr>
      <t>:</t>
    </r>
  </si>
  <si>
    <t>Total PM:</t>
  </si>
  <si>
    <r>
      <rPr>
        <b/>
        <sz val="10"/>
        <color rgb="FF000080"/>
        <rFont val="Arial"/>
      </rPr>
      <t xml:space="preserve">Average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P: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</si>
  <si>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</si>
  <si>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</si>
  <si>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H@: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</si>
  <si>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</si>
  <si>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b/>
        <sz val="10"/>
        <color rgb="FF000080"/>
        <rFont val="Arial"/>
      </rPr>
      <t>Average T</t>
    </r>
    <r>
      <rPr>
        <b/>
        <vertAlign val="subscript"/>
        <sz val="10"/>
        <color rgb="FF000080"/>
        <rFont val="Arial"/>
      </rPr>
      <t>m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</si>
  <si>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Average T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</si>
  <si>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r>
      <rPr>
        <sz val="10"/>
        <color rgb="FF000080"/>
        <rFont val="Arial"/>
      </rPr>
      <t>ft</t>
    </r>
    <r>
      <rPr>
        <vertAlign val="superscript"/>
        <sz val="10"/>
        <color rgb="FF000080"/>
        <rFont val="Arial"/>
      </rPr>
      <t>2</t>
    </r>
  </si>
  <si>
    <r>
      <rPr>
        <b/>
        <sz val="10"/>
        <color rgb="FF000080"/>
        <rFont val="Arial"/>
      </rPr>
      <t xml:space="preserve">Average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H: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</si>
  <si>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</si>
  <si>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b/>
        <sz val="10"/>
        <color rgb="FF000080"/>
        <rFont val="Arial"/>
      </rPr>
      <t>T</t>
    </r>
    <r>
      <rPr>
        <b/>
        <vertAlign val="subscript"/>
        <sz val="10"/>
        <color rgb="FF000080"/>
        <rFont val="Arial"/>
      </rPr>
      <t>std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</si>
  <si>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std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</si>
  <si>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&lt;PM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 xml:space="preserve"> Filter Analysis</t>
    </r>
  </si>
  <si>
    <r>
      <rPr>
        <b/>
        <sz val="10"/>
        <color rgb="FF000080"/>
        <rFont val="Arial"/>
      </rPr>
      <t>&lt;PM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 xml:space="preserve"> Recovery Analysis</t>
    </r>
  </si>
  <si>
    <r>
      <rPr>
        <b/>
        <sz val="10"/>
        <color rgb="FF000080"/>
        <rFont val="Arial"/>
      </rPr>
      <t>Acetone V</t>
    </r>
    <r>
      <rPr>
        <b/>
        <vertAlign val="subscript"/>
        <sz val="10"/>
        <color rgb="FF000080"/>
        <rFont val="Arial"/>
      </rPr>
      <t>aw1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</si>
  <si>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V</t>
    </r>
    <r>
      <rPr>
        <b/>
        <vertAlign val="subscript"/>
        <sz val="10"/>
        <color rgb="FF000080"/>
        <rFont val="Arial"/>
      </rPr>
      <t>aw4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</si>
  <si>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M</t>
    </r>
    <r>
      <rPr>
        <b/>
        <vertAlign val="subscript"/>
        <sz val="10"/>
        <color rgb="FF000080"/>
        <rFont val="Arial"/>
      </rPr>
      <t>sg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</si>
  <si>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W</t>
    </r>
    <r>
      <rPr>
        <b/>
        <vertAlign val="subscript"/>
        <sz val="10"/>
        <color rgb="FF000080"/>
        <rFont val="Arial"/>
      </rPr>
      <t>a1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</si>
  <si>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W</t>
    </r>
    <r>
      <rPr>
        <b/>
        <vertAlign val="subscript"/>
        <sz val="10"/>
        <color rgb="FF000080"/>
        <rFont val="Arial"/>
      </rPr>
      <t>a4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</si>
  <si>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wsg(std)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</si>
  <si>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(Filter) M</t>
    </r>
    <r>
      <rPr>
        <b/>
        <vertAlign val="subscript"/>
        <sz val="10"/>
        <color rgb="FF000080"/>
        <rFont val="Arial"/>
      </rPr>
      <t>1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</si>
  <si>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(PM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>) M</t>
    </r>
    <r>
      <rPr>
        <b/>
        <vertAlign val="subscript"/>
        <sz val="10"/>
        <color rgb="FF000080"/>
        <rFont val="Arial"/>
      </rPr>
      <t>4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</si>
  <si>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&gt;PM</t>
    </r>
    <r>
      <rPr>
        <b/>
        <vertAlign val="subscript"/>
        <sz val="10"/>
        <color rgb="FF000080"/>
        <rFont val="Arial"/>
      </rPr>
      <t>10</t>
    </r>
    <r>
      <rPr>
        <b/>
        <sz val="10"/>
        <color rgb="FF000080"/>
        <rFont val="Arial"/>
      </rPr>
      <t xml:space="preserve"> Recovery Analysis</t>
    </r>
  </si>
  <si>
    <r>
      <rPr>
        <b/>
        <sz val="10"/>
        <color rgb="FF000080"/>
        <rFont val="Arial"/>
      </rPr>
      <t>PM</t>
    </r>
    <r>
      <rPr>
        <b/>
        <vertAlign val="subscript"/>
        <sz val="10"/>
        <color rgb="FF000080"/>
        <rFont val="Arial"/>
      </rPr>
      <t>2.5-10</t>
    </r>
    <r>
      <rPr>
        <b/>
        <sz val="10"/>
        <color rgb="FF000080"/>
        <rFont val="Arial"/>
      </rPr>
      <t xml:space="preserve"> Recovery Analysis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</si>
  <si>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wc(std)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</si>
  <si>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ws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</si>
  <si>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V</t>
    </r>
    <r>
      <rPr>
        <b/>
        <vertAlign val="subscript"/>
        <sz val="10"/>
        <color rgb="FF000080"/>
        <rFont val="Arial"/>
      </rPr>
      <t>aw2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</si>
  <si>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V</t>
    </r>
    <r>
      <rPr>
        <b/>
        <vertAlign val="subscript"/>
        <sz val="10"/>
        <color rgb="FF000080"/>
        <rFont val="Arial"/>
      </rPr>
      <t>aw3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</si>
  <si>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B</t>
    </r>
    <r>
      <rPr>
        <b/>
        <vertAlign val="subscript"/>
        <sz val="10"/>
        <color rgb="FF000080"/>
        <rFont val="Arial"/>
      </rPr>
      <t>ws</t>
    </r>
    <r>
      <rPr>
        <b/>
        <sz val="10"/>
        <color rgb="FF000080"/>
        <rFont val="Arial"/>
      </rPr>
      <t>:</t>
    </r>
  </si>
  <si>
    <r>
      <rPr>
        <sz val="10"/>
        <color rgb="FF000080"/>
        <rFont val="Arial"/>
      </rPr>
      <t>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0</t>
    </r>
  </si>
  <si>
    <r>
      <rPr>
        <b/>
        <sz val="10"/>
        <color rgb="FF000080"/>
        <rFont val="Arial"/>
      </rPr>
      <t>Acetone W</t>
    </r>
    <r>
      <rPr>
        <b/>
        <vertAlign val="subscript"/>
        <sz val="10"/>
        <color rgb="FF000080"/>
        <rFont val="Arial"/>
      </rPr>
      <t>a2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</si>
  <si>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W</t>
    </r>
    <r>
      <rPr>
        <b/>
        <vertAlign val="subscript"/>
        <sz val="10"/>
        <color rgb="FF000080"/>
        <rFont val="Arial"/>
      </rPr>
      <t>a3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</si>
  <si>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Actual %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O:</t>
    </r>
  </si>
  <si>
    <r>
      <rPr>
        <b/>
        <sz val="10"/>
        <color rgb="FF000080"/>
        <rFont val="Arial"/>
      </rPr>
      <t>(PM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>) M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</si>
  <si>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(PM</t>
    </r>
    <r>
      <rPr>
        <b/>
        <vertAlign val="subscript"/>
        <sz val="10"/>
        <color rgb="FF000080"/>
        <rFont val="Arial"/>
      </rPr>
      <t>10</t>
    </r>
    <r>
      <rPr>
        <b/>
        <sz val="10"/>
        <color rgb="FF000080"/>
        <rFont val="Arial"/>
      </rPr>
      <t>-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>) M</t>
    </r>
    <r>
      <rPr>
        <b/>
        <vertAlign val="subscript"/>
        <sz val="10"/>
        <color rgb="FF000080"/>
        <rFont val="Arial"/>
      </rPr>
      <t>3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</si>
  <si>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Density</t>
    </r>
    <r>
      <rPr>
        <b/>
        <sz val="10"/>
        <color rgb="FF000080"/>
        <rFont val="Symbol"/>
      </rPr>
      <t xml:space="preserve"> r</t>
    </r>
    <r>
      <rPr>
        <b/>
        <vertAlign val="subscript"/>
        <sz val="10"/>
        <color rgb="FF000080"/>
        <rFont val="Arial"/>
      </rPr>
      <t>a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</si>
  <si>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Blank Volume V</t>
    </r>
    <r>
      <rPr>
        <b/>
        <vertAlign val="subscript"/>
        <sz val="10"/>
        <color rgb="FF000080"/>
        <rFont val="Arial"/>
      </rPr>
      <t>aw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</si>
  <si>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m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</si>
  <si>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Blank Conc.C</t>
    </r>
    <r>
      <rPr>
        <b/>
        <vertAlign val="subscript"/>
        <sz val="10"/>
        <color rgb="FF000080"/>
        <rFont val="Arial"/>
      </rPr>
      <t>a</t>
    </r>
    <r>
      <rPr>
        <b/>
        <sz val="10"/>
        <color rgb="FF000080"/>
        <rFont val="Arial"/>
      </rPr>
      <t>:</t>
    </r>
  </si>
  <si>
    <r>
      <rPr>
        <sz val="10"/>
        <color rgb="FF000080"/>
        <rFont val="Arial"/>
      </rPr>
      <t>mg</t>
    </r>
    <r>
      <rPr>
        <vertAlign val="subscript"/>
        <sz val="10"/>
        <color rgb="FF000080"/>
        <rFont val="Arial"/>
      </rPr>
      <t>r</t>
    </r>
    <r>
      <rPr>
        <sz val="10"/>
        <color rgb="FF000080"/>
        <rFont val="Arial"/>
      </rPr>
      <t>/mg</t>
    </r>
    <r>
      <rPr>
        <vertAlign val="subscript"/>
        <sz val="10"/>
        <color rgb="FF000080"/>
        <rFont val="Arial"/>
      </rPr>
      <t>v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</si>
  <si>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ms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</si>
  <si>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ws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</si>
  <si>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Noto Sans Symbols"/>
      </rPr>
      <t>m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</si>
  <si>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Q</t>
    </r>
    <r>
      <rPr>
        <b/>
        <vertAlign val="subscript"/>
        <sz val="10"/>
        <color rgb="FF000080"/>
        <rFont val="Arial"/>
      </rPr>
      <t>Sst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</si>
  <si>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C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</si>
  <si>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Q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</si>
  <si>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D</t>
    </r>
    <r>
      <rPr>
        <b/>
        <vertAlign val="subscript"/>
        <sz val="10"/>
        <color rgb="FF000080"/>
        <rFont val="Arial"/>
      </rPr>
      <t>50</t>
    </r>
    <r>
      <rPr>
        <b/>
        <sz val="10"/>
        <color rgb="FF000080"/>
        <rFont val="Arial"/>
      </rPr>
      <t>:</t>
    </r>
  </si>
  <si>
    <r>
      <rPr>
        <sz val="10"/>
        <color rgb="FF000080"/>
        <rFont val="Noto Sans Symbols"/>
      </rPr>
      <t>m</t>
    </r>
    <r>
      <rPr>
        <sz val="10"/>
        <color rgb="FF000080"/>
        <rFont val="Arial"/>
      </rPr>
      <t xml:space="preserve">meter  -  D50 for Cyclone 1 </t>
    </r>
  </si>
  <si>
    <r>
      <rPr>
        <b/>
        <sz val="10"/>
        <color rgb="FF000080"/>
        <rFont val="Arial"/>
      </rPr>
      <t>D</t>
    </r>
    <r>
      <rPr>
        <b/>
        <vertAlign val="subscript"/>
        <sz val="10"/>
        <color rgb="FF000080"/>
        <rFont val="Arial"/>
      </rPr>
      <t>50IV</t>
    </r>
    <r>
      <rPr>
        <b/>
        <sz val="10"/>
        <color rgb="FF000080"/>
        <rFont val="Arial"/>
      </rPr>
      <t>:</t>
    </r>
  </si>
  <si>
    <r>
      <rPr>
        <sz val="10"/>
        <color rgb="FF000080"/>
        <rFont val="Noto Sans Symbols"/>
      </rPr>
      <t>m</t>
    </r>
    <r>
      <rPr>
        <sz val="10"/>
        <color rgb="FF000080"/>
        <rFont val="Arial"/>
      </rPr>
      <t>meter  -  D50 for Cyclone IV</t>
    </r>
  </si>
  <si>
    <r>
      <rPr>
        <b/>
        <sz val="10"/>
        <color rgb="FF000080"/>
        <rFont val="Arial"/>
      </rPr>
      <t>N</t>
    </r>
    <r>
      <rPr>
        <b/>
        <vertAlign val="subscript"/>
        <sz val="10"/>
        <color rgb="FF000080"/>
        <rFont val="Arial"/>
      </rPr>
      <t>re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</si>
  <si>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Q</t>
    </r>
    <r>
      <rPr>
        <b/>
        <vertAlign val="subscript"/>
        <sz val="10"/>
        <color rgb="FF000080"/>
        <rFont val="Arial"/>
      </rPr>
      <t>sd(stack)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</si>
  <si>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s(avg)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</si>
  <si>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Q</t>
    </r>
    <r>
      <rPr>
        <b/>
        <vertAlign val="subscript"/>
        <sz val="10"/>
        <color rgb="FF000080"/>
        <rFont val="Arial"/>
      </rPr>
      <t>sw(stack)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</si>
  <si>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</si>
  <si>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</si>
  <si>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PM</t>
    </r>
    <r>
      <rPr>
        <b/>
        <vertAlign val="subscript"/>
        <sz val="10"/>
        <color rgb="FF000080"/>
        <rFont val="Arial"/>
      </rPr>
      <t>10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</si>
  <si>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PM</t>
    </r>
    <r>
      <rPr>
        <b/>
        <vertAlign val="subscript"/>
        <sz val="10"/>
        <color rgb="FF000080"/>
        <rFont val="Arial"/>
      </rPr>
      <t>10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</si>
  <si>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 xml:space="preserve">Average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P: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</si>
  <si>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</si>
  <si>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</si>
  <si>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b/>
        <sz val="10"/>
        <color rgb="FF000080"/>
        <rFont val="Noto Sans Symbols"/>
      </rPr>
      <t>D</t>
    </r>
    <r>
      <rPr>
        <b/>
        <sz val="10"/>
        <color rgb="FF000080"/>
        <rFont val="Arial"/>
      </rPr>
      <t>H@: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</si>
  <si>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</si>
  <si>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b/>
        <sz val="10"/>
        <color rgb="FF000080"/>
        <rFont val="Arial"/>
      </rPr>
      <t>Average T</t>
    </r>
    <r>
      <rPr>
        <b/>
        <vertAlign val="subscript"/>
        <sz val="10"/>
        <color rgb="FF000080"/>
        <rFont val="Arial"/>
      </rPr>
      <t>m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</si>
  <si>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Average T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</si>
  <si>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r>
      <rPr>
        <sz val="10"/>
        <color rgb="FF000080"/>
        <rFont val="Arial"/>
      </rPr>
      <t>ft</t>
    </r>
    <r>
      <rPr>
        <vertAlign val="superscript"/>
        <sz val="10"/>
        <color rgb="FF000080"/>
        <rFont val="Arial"/>
      </rPr>
      <t>2</t>
    </r>
  </si>
  <si>
    <r>
      <rPr>
        <b/>
        <sz val="10"/>
        <color rgb="FF000080"/>
        <rFont val="Arial"/>
      </rPr>
      <t xml:space="preserve">Average </t>
    </r>
    <r>
      <rPr>
        <b/>
        <sz val="10"/>
        <color rgb="FF000080"/>
        <rFont val="Symbol"/>
      </rPr>
      <t>D</t>
    </r>
    <r>
      <rPr>
        <b/>
        <sz val="10"/>
        <color rgb="FF000080"/>
        <rFont val="Arial"/>
      </rPr>
      <t>H:</t>
    </r>
  </si>
  <si>
    <r>
      <rPr>
        <sz val="10"/>
        <color rgb="FF000080"/>
        <rFont val="Arial"/>
      </rPr>
      <t>in 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O</t>
    </r>
  </si>
  <si>
    <r>
      <rPr>
        <b/>
        <sz val="10"/>
        <color rgb="FF000080"/>
        <rFont val="Arial"/>
      </rPr>
      <t>T</t>
    </r>
    <r>
      <rPr>
        <b/>
        <vertAlign val="subscript"/>
        <sz val="10"/>
        <color rgb="FF000080"/>
        <rFont val="Arial"/>
      </rPr>
      <t>std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</si>
  <si>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P</t>
    </r>
    <r>
      <rPr>
        <b/>
        <vertAlign val="subscript"/>
        <sz val="10"/>
        <color rgb="FF000080"/>
        <rFont val="Arial"/>
      </rPr>
      <t>std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</si>
  <si>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&lt;PM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 xml:space="preserve"> Filter Analysis</t>
    </r>
  </si>
  <si>
    <r>
      <rPr>
        <b/>
        <sz val="10"/>
        <color rgb="FF000080"/>
        <rFont val="Arial"/>
      </rPr>
      <t>&lt;PM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 xml:space="preserve"> Recovery Analysis</t>
    </r>
  </si>
  <si>
    <r>
      <rPr>
        <b/>
        <sz val="10"/>
        <color rgb="FF000080"/>
        <rFont val="Arial"/>
      </rPr>
      <t>Acetone V</t>
    </r>
    <r>
      <rPr>
        <b/>
        <vertAlign val="subscript"/>
        <sz val="10"/>
        <color rgb="FF000080"/>
        <rFont val="Arial"/>
      </rPr>
      <t>aw1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</si>
  <si>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V</t>
    </r>
    <r>
      <rPr>
        <b/>
        <vertAlign val="subscript"/>
        <sz val="10"/>
        <color rgb="FF000080"/>
        <rFont val="Arial"/>
      </rPr>
      <t>aw4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</si>
  <si>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M</t>
    </r>
    <r>
      <rPr>
        <b/>
        <vertAlign val="subscript"/>
        <sz val="10"/>
        <color rgb="FF000080"/>
        <rFont val="Arial"/>
      </rPr>
      <t>sg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</si>
  <si>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W</t>
    </r>
    <r>
      <rPr>
        <b/>
        <vertAlign val="subscript"/>
        <sz val="10"/>
        <color rgb="FF000080"/>
        <rFont val="Arial"/>
      </rPr>
      <t>a1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</si>
  <si>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W</t>
    </r>
    <r>
      <rPr>
        <b/>
        <vertAlign val="subscript"/>
        <sz val="10"/>
        <color rgb="FF000080"/>
        <rFont val="Arial"/>
      </rPr>
      <t>a4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</si>
  <si>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wsg(std)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</si>
  <si>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(Filter) M</t>
    </r>
    <r>
      <rPr>
        <b/>
        <vertAlign val="subscript"/>
        <sz val="10"/>
        <color rgb="FF000080"/>
        <rFont val="Arial"/>
      </rPr>
      <t>1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</si>
  <si>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(PM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>) M</t>
    </r>
    <r>
      <rPr>
        <b/>
        <vertAlign val="subscript"/>
        <sz val="10"/>
        <color rgb="FF000080"/>
        <rFont val="Arial"/>
      </rPr>
      <t>4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</si>
  <si>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&gt;PM</t>
    </r>
    <r>
      <rPr>
        <b/>
        <vertAlign val="subscript"/>
        <sz val="10"/>
        <color rgb="FF000080"/>
        <rFont val="Arial"/>
      </rPr>
      <t>10</t>
    </r>
    <r>
      <rPr>
        <b/>
        <sz val="10"/>
        <color rgb="FF000080"/>
        <rFont val="Arial"/>
      </rPr>
      <t xml:space="preserve"> Recovery Analysis</t>
    </r>
  </si>
  <si>
    <r>
      <rPr>
        <b/>
        <sz val="10"/>
        <color rgb="FF000080"/>
        <rFont val="Arial"/>
      </rPr>
      <t>PM</t>
    </r>
    <r>
      <rPr>
        <b/>
        <vertAlign val="subscript"/>
        <sz val="10"/>
        <color rgb="FF000080"/>
        <rFont val="Arial"/>
      </rPr>
      <t>2.5-10</t>
    </r>
    <r>
      <rPr>
        <b/>
        <sz val="10"/>
        <color rgb="FF000080"/>
        <rFont val="Arial"/>
      </rPr>
      <t xml:space="preserve"> Recovery Analysis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</si>
  <si>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wc(std)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</si>
  <si>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ws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</si>
  <si>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V</t>
    </r>
    <r>
      <rPr>
        <b/>
        <vertAlign val="subscript"/>
        <sz val="10"/>
        <color rgb="FF000080"/>
        <rFont val="Arial"/>
      </rPr>
      <t>aw2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</si>
  <si>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V</t>
    </r>
    <r>
      <rPr>
        <b/>
        <vertAlign val="subscript"/>
        <sz val="10"/>
        <color rgb="FF000080"/>
        <rFont val="Arial"/>
      </rPr>
      <t>aw3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</si>
  <si>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B</t>
    </r>
    <r>
      <rPr>
        <b/>
        <vertAlign val="subscript"/>
        <sz val="10"/>
        <color rgb="FF000080"/>
        <rFont val="Arial"/>
      </rPr>
      <t>ws</t>
    </r>
    <r>
      <rPr>
        <b/>
        <sz val="10"/>
        <color rgb="FF000080"/>
        <rFont val="Arial"/>
      </rPr>
      <t>:</t>
    </r>
  </si>
  <si>
    <r>
      <rPr>
        <sz val="10"/>
        <color rgb="FF000080"/>
        <rFont val="Arial"/>
      </rPr>
      <t>H</t>
    </r>
    <r>
      <rPr>
        <vertAlign val="subscript"/>
        <sz val="10"/>
        <color rgb="FF000080"/>
        <rFont val="Arial"/>
      </rPr>
      <t>2</t>
    </r>
    <r>
      <rPr>
        <sz val="10"/>
        <color rgb="FF000080"/>
        <rFont val="Arial"/>
      </rPr>
      <t>0</t>
    </r>
  </si>
  <si>
    <r>
      <rPr>
        <b/>
        <sz val="10"/>
        <color rgb="FF000080"/>
        <rFont val="Arial"/>
      </rPr>
      <t>Acetone W</t>
    </r>
    <r>
      <rPr>
        <b/>
        <vertAlign val="subscript"/>
        <sz val="10"/>
        <color rgb="FF000080"/>
        <rFont val="Arial"/>
      </rPr>
      <t>a2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</si>
  <si>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W</t>
    </r>
    <r>
      <rPr>
        <b/>
        <vertAlign val="subscript"/>
        <sz val="10"/>
        <color rgb="FF000080"/>
        <rFont val="Arial"/>
      </rPr>
      <t>a3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</si>
  <si>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Actual % H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O:</t>
    </r>
  </si>
  <si>
    <r>
      <rPr>
        <b/>
        <sz val="10"/>
        <color rgb="FF000080"/>
        <rFont val="Arial"/>
      </rPr>
      <t>(PM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>) M</t>
    </r>
    <r>
      <rPr>
        <b/>
        <vertAlign val="subscript"/>
        <sz val="10"/>
        <color rgb="FF000080"/>
        <rFont val="Arial"/>
      </rPr>
      <t>2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</si>
  <si>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(PM</t>
    </r>
    <r>
      <rPr>
        <b/>
        <vertAlign val="subscript"/>
        <sz val="10"/>
        <color rgb="FF000080"/>
        <rFont val="Arial"/>
      </rPr>
      <t>10</t>
    </r>
    <r>
      <rPr>
        <b/>
        <sz val="10"/>
        <color rgb="FF000080"/>
        <rFont val="Arial"/>
      </rPr>
      <t>-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>) M</t>
    </r>
    <r>
      <rPr>
        <b/>
        <vertAlign val="subscript"/>
        <sz val="10"/>
        <color rgb="FF000080"/>
        <rFont val="Arial"/>
      </rPr>
      <t>3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</si>
  <si>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Acetone Density</t>
    </r>
    <r>
      <rPr>
        <b/>
        <sz val="10"/>
        <color rgb="FF000080"/>
        <rFont val="Symbol"/>
      </rPr>
      <t xml:space="preserve"> r</t>
    </r>
    <r>
      <rPr>
        <b/>
        <vertAlign val="subscript"/>
        <sz val="10"/>
        <color rgb="FF000080"/>
        <rFont val="Arial"/>
      </rPr>
      <t>a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</si>
  <si>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Blank Volume V</t>
    </r>
    <r>
      <rPr>
        <b/>
        <vertAlign val="subscript"/>
        <sz val="10"/>
        <color rgb="FF000080"/>
        <rFont val="Arial"/>
      </rPr>
      <t>aw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</si>
  <si>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m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</si>
  <si>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Blank Conc.C</t>
    </r>
    <r>
      <rPr>
        <b/>
        <vertAlign val="subscript"/>
        <sz val="10"/>
        <color rgb="FF000080"/>
        <rFont val="Arial"/>
      </rPr>
      <t>a</t>
    </r>
    <r>
      <rPr>
        <b/>
        <sz val="10"/>
        <color rgb="FF000080"/>
        <rFont val="Arial"/>
      </rPr>
      <t>:</t>
    </r>
  </si>
  <si>
    <r>
      <rPr>
        <sz val="10"/>
        <color rgb="FF000080"/>
        <rFont val="Arial"/>
      </rPr>
      <t>mg</t>
    </r>
    <r>
      <rPr>
        <vertAlign val="subscript"/>
        <sz val="10"/>
        <color rgb="FF000080"/>
        <rFont val="Arial"/>
      </rPr>
      <t>r</t>
    </r>
    <r>
      <rPr>
        <sz val="10"/>
        <color rgb="FF000080"/>
        <rFont val="Arial"/>
      </rPr>
      <t>/mg</t>
    </r>
    <r>
      <rPr>
        <vertAlign val="subscript"/>
        <sz val="10"/>
        <color rgb="FF000080"/>
        <rFont val="Arial"/>
      </rPr>
      <t>v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</si>
  <si>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ms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</si>
  <si>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ws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</si>
  <si>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Noto Sans Symbols"/>
      </rPr>
      <t>m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</si>
  <si>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Q</t>
    </r>
    <r>
      <rPr>
        <b/>
        <vertAlign val="subscript"/>
        <sz val="10"/>
        <color rgb="FF000080"/>
        <rFont val="Arial"/>
      </rPr>
      <t>Sst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</si>
  <si>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C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</si>
  <si>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Q</t>
    </r>
    <r>
      <rPr>
        <b/>
        <vertAlign val="subscript"/>
        <sz val="10"/>
        <color rgb="FF000080"/>
        <rFont val="Arial"/>
      </rPr>
      <t>s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</si>
  <si>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D</t>
    </r>
    <r>
      <rPr>
        <b/>
        <vertAlign val="subscript"/>
        <sz val="10"/>
        <color rgb="FF000080"/>
        <rFont val="Arial"/>
      </rPr>
      <t>50</t>
    </r>
    <r>
      <rPr>
        <b/>
        <sz val="10"/>
        <color rgb="FF000080"/>
        <rFont val="Arial"/>
      </rPr>
      <t>:</t>
    </r>
  </si>
  <si>
    <r>
      <rPr>
        <sz val="10"/>
        <color rgb="FF000080"/>
        <rFont val="Noto Sans Symbols"/>
      </rPr>
      <t>m</t>
    </r>
    <r>
      <rPr>
        <sz val="10"/>
        <color rgb="FF000080"/>
        <rFont val="Arial"/>
      </rPr>
      <t xml:space="preserve">meter  -  D50 for Cyclone 1 </t>
    </r>
  </si>
  <si>
    <r>
      <rPr>
        <b/>
        <sz val="10"/>
        <color rgb="FF000080"/>
        <rFont val="Arial"/>
      </rPr>
      <t>D</t>
    </r>
    <r>
      <rPr>
        <b/>
        <vertAlign val="subscript"/>
        <sz val="10"/>
        <color rgb="FF000080"/>
        <rFont val="Arial"/>
      </rPr>
      <t>50IV</t>
    </r>
    <r>
      <rPr>
        <b/>
        <sz val="10"/>
        <color rgb="FF000080"/>
        <rFont val="Arial"/>
      </rPr>
      <t>:</t>
    </r>
  </si>
  <si>
    <r>
      <rPr>
        <sz val="10"/>
        <color rgb="FF000080"/>
        <rFont val="Noto Sans Symbols"/>
      </rPr>
      <t>m</t>
    </r>
    <r>
      <rPr>
        <sz val="10"/>
        <color rgb="FF000080"/>
        <rFont val="Arial"/>
      </rPr>
      <t>meter  -  D50 for Cyclone IV</t>
    </r>
  </si>
  <si>
    <r>
      <rPr>
        <b/>
        <sz val="10"/>
        <color rgb="FF000080"/>
        <rFont val="Arial"/>
      </rPr>
      <t>N</t>
    </r>
    <r>
      <rPr>
        <b/>
        <vertAlign val="subscript"/>
        <sz val="10"/>
        <color rgb="FF000080"/>
        <rFont val="Arial"/>
      </rPr>
      <t>re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</si>
  <si>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Q</t>
    </r>
    <r>
      <rPr>
        <b/>
        <vertAlign val="subscript"/>
        <sz val="10"/>
        <color rgb="FF000080"/>
        <rFont val="Arial"/>
      </rPr>
      <t>sd(stack)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</si>
  <si>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V</t>
    </r>
    <r>
      <rPr>
        <b/>
        <vertAlign val="subscript"/>
        <sz val="10"/>
        <color rgb="FF000080"/>
        <rFont val="Arial"/>
      </rPr>
      <t>s(avg)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</si>
  <si>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Q</t>
    </r>
    <r>
      <rPr>
        <b/>
        <vertAlign val="subscript"/>
        <sz val="10"/>
        <color rgb="FF000080"/>
        <rFont val="Arial"/>
      </rPr>
      <t>sw(stack)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</si>
  <si>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</si>
  <si>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PM</t>
    </r>
    <r>
      <rPr>
        <b/>
        <vertAlign val="subscript"/>
        <sz val="10"/>
        <color rgb="FF000080"/>
        <rFont val="Arial"/>
      </rPr>
      <t>2.5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</si>
  <si>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PM</t>
    </r>
    <r>
      <rPr>
        <b/>
        <vertAlign val="subscript"/>
        <sz val="10"/>
        <color rgb="FF000080"/>
        <rFont val="Arial"/>
      </rPr>
      <t>10</t>
    </r>
    <r>
      <rPr>
        <b/>
        <sz val="10"/>
        <color rgb="FF000080"/>
        <rFont val="Arial"/>
      </rPr>
      <t>:</t>
    </r>
  </si>
  <si>
    <r>
      <rPr>
        <b/>
        <sz val="10"/>
        <color rgb="FF000080"/>
        <rFont val="Arial"/>
      </rPr>
      <t>PM</t>
    </r>
    <r>
      <rPr>
        <b/>
        <vertAlign val="subscript"/>
        <sz val="10"/>
        <color rgb="FF000080"/>
        <rFont val="Arial"/>
      </rPr>
      <t>10</t>
    </r>
    <r>
      <rPr>
        <b/>
        <sz val="10"/>
        <color rgb="FF000080"/>
        <rFont val="Arial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</si>
</sst>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\-mmm\-yyyy"/>
    <numFmt numFmtId="165" formatCode="0.000"/>
    <numFmt numFmtId="166" formatCode="0.00000"/>
    <numFmt numFmtId="167" formatCode="0.0000"/>
    <numFmt numFmtId="168" formatCode="0.0000000"/>
    <numFmt numFmtId="169" formatCode="0.00000E+00"/>
    <numFmt numFmtId="170" formatCode="0.0"/>
    <numFmt numFmtId="171" formatCode="0.000000"/>
  </numFmts>
  <fonts count="51">
    <font>
      <sz val="10"/>
      <color rgb="FF000000"/>
      <name val="Arial"/>
    </font>
    <font>
      <sz val="18"/>
      <color rgb="FF000080"/>
      <name val="Arial"/>
    </font>
    <font>
      <sz val="10"/>
      <name val="Arial"/>
    </font>
    <font>
      <sz val="10"/>
      <color rgb="FF000080"/>
      <name val="Arial"/>
    </font>
    <font>
      <b/>
      <sz val="12"/>
      <color rgb="FF000080"/>
      <name val="Arial"/>
    </font>
    <font>
      <b/>
      <sz val="16"/>
      <color rgb="FF000080"/>
      <name val="Arial"/>
    </font>
    <font>
      <sz val="10"/>
      <color rgb="FFFFFFFF"/>
      <name val="Arial"/>
    </font>
    <font>
      <b/>
      <sz val="10"/>
      <color rgb="FF000080"/>
      <name val="Arial"/>
    </font>
    <font>
      <sz val="10"/>
      <color theme="1"/>
      <name val="Arial"/>
    </font>
    <font>
      <sz val="8"/>
      <color rgb="FF000080"/>
      <name val="Arial"/>
    </font>
    <font>
      <b/>
      <sz val="14"/>
      <color rgb="FF000080"/>
      <name val="Arial"/>
    </font>
    <font>
      <sz val="11"/>
      <color rgb="FF000080"/>
      <name val="Noto Sans Symbols"/>
    </font>
    <font>
      <b/>
      <sz val="10"/>
      <color rgb="FF000080"/>
      <name val="Noto Sans Symbols"/>
    </font>
    <font>
      <b/>
      <sz val="20"/>
      <color rgb="FF000080"/>
      <name val="Arial"/>
    </font>
    <font>
      <sz val="10"/>
      <color rgb="FFFF0000"/>
      <name val="Arial"/>
    </font>
    <font>
      <b/>
      <sz val="8"/>
      <color rgb="FF000080"/>
      <name val="Arial"/>
    </font>
    <font>
      <sz val="10"/>
      <color rgb="FFFF6600"/>
      <name val="Arial"/>
    </font>
    <font>
      <b/>
      <sz val="12"/>
      <color rgb="FFFFFFFF"/>
      <name val="Arial"/>
    </font>
    <font>
      <b/>
      <sz val="14"/>
      <color rgb="FFFFFFFF"/>
      <name val="Arial"/>
    </font>
    <font>
      <b/>
      <sz val="16"/>
      <color rgb="FFFFFFFF"/>
      <name val="Arial"/>
    </font>
    <font>
      <sz val="14"/>
      <color rgb="FFFFFFFF"/>
      <name val="Arial"/>
    </font>
    <font>
      <b/>
      <sz val="11"/>
      <color rgb="FF000080"/>
      <name val="Arial"/>
    </font>
    <font>
      <sz val="9"/>
      <color rgb="FF000080"/>
      <name val="Arial"/>
    </font>
    <font>
      <b/>
      <sz val="9"/>
      <color rgb="FF000080"/>
      <name val="Arial"/>
    </font>
    <font>
      <sz val="14"/>
      <color theme="1"/>
      <name val="Arial"/>
    </font>
    <font>
      <b/>
      <sz val="12"/>
      <color rgb="FF000080"/>
      <name val="Noto Sans Symbols"/>
    </font>
    <font>
      <b/>
      <sz val="10"/>
      <color theme="1"/>
      <name val="Arial"/>
    </font>
    <font>
      <sz val="14"/>
      <color rgb="FF000080"/>
      <name val="Arial"/>
    </font>
    <font>
      <sz val="10"/>
      <color rgb="FF000080"/>
      <name val="Noto Sans Symbols"/>
    </font>
    <font>
      <b/>
      <sz val="12"/>
      <color theme="1"/>
      <name val="Arial"/>
    </font>
    <font>
      <b/>
      <vertAlign val="subscript"/>
      <sz val="10"/>
      <color rgb="FF000080"/>
      <name val="Arial"/>
    </font>
    <font>
      <b/>
      <sz val="10"/>
      <color rgb="FF000080"/>
      <name val="Symbol"/>
    </font>
    <font>
      <vertAlign val="subscript"/>
      <sz val="10"/>
      <color rgb="FF000080"/>
      <name val="Arial"/>
    </font>
    <font>
      <sz val="11"/>
      <color rgb="FF000080"/>
      <name val="Arial"/>
    </font>
    <font>
      <vertAlign val="superscript"/>
      <sz val="10"/>
      <color rgb="FF000080"/>
      <name val="Arial"/>
    </font>
    <font>
      <b/>
      <sz val="12"/>
      <color rgb="FF000080"/>
      <name val="Symbol"/>
    </font>
    <font>
      <b/>
      <vertAlign val="subscript"/>
      <sz val="12"/>
      <color rgb="FF000080"/>
      <name val="Arial"/>
    </font>
    <font>
      <b/>
      <sz val="10"/>
      <color rgb="FF000080"/>
      <name val="GreekC"/>
    </font>
    <font>
      <vertAlign val="subscript"/>
      <sz val="9"/>
      <color rgb="FF000080"/>
      <name val="Arial"/>
    </font>
    <font>
      <b/>
      <vertAlign val="superscript"/>
      <sz val="10"/>
      <color rgb="FF000080"/>
      <name val="Arial"/>
    </font>
    <font>
      <b/>
      <vertAlign val="subscript"/>
      <sz val="10"/>
      <color rgb="FF000080"/>
      <name val="Symbol"/>
    </font>
    <font>
      <b/>
      <sz val="8"/>
      <color rgb="FF000080"/>
      <name val="Symbol"/>
    </font>
    <font>
      <b/>
      <vertAlign val="subscript"/>
      <sz val="8"/>
      <color rgb="FF000080"/>
      <name val="Arial"/>
    </font>
    <font>
      <b/>
      <vertAlign val="subscript"/>
      <sz val="9"/>
      <color rgb="FF000080"/>
      <name val="Arial"/>
    </font>
    <font>
      <b/>
      <sz val="12"/>
      <color rgb="FF000080"/>
      <name val="Arial"/>
      <family val="2"/>
    </font>
    <font>
      <sz val="12"/>
      <name val="Arial"/>
      <family val="2"/>
    </font>
    <font>
      <sz val="12"/>
      <color rgb="FF000080"/>
      <name val="Arial"/>
      <family val="2"/>
    </font>
    <font>
      <sz val="12"/>
      <color rgb="FF000000"/>
      <name val="Arial"/>
      <family val="2"/>
    </font>
    <font>
      <b/>
      <sz val="8"/>
      <color rgb="FF000080"/>
      <name val="Arial"/>
      <family val="2"/>
    </font>
    <font>
      <sz val="8"/>
      <color rgb="FF000080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</fills>
  <borders count="15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5">
    <xf numFmtId="0" fontId="0" fillId="0" borderId="0" xfId="0" applyFont="1" applyAlignment="1"/>
    <xf numFmtId="0" fontId="3" fillId="0" borderId="0" xfId="0" applyFont="1"/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7" fillId="4" borderId="10" xfId="0" applyFont="1" applyFill="1" applyBorder="1" applyAlignment="1">
      <alignment horizontal="right" vertical="center"/>
    </xf>
    <xf numFmtId="18" fontId="8" fillId="0" borderId="0" xfId="0" applyNumberFormat="1" applyFont="1" applyAlignment="1">
      <alignment horizontal="left" vertical="center" shrinkToFit="1"/>
    </xf>
    <xf numFmtId="0" fontId="3" fillId="4" borderId="15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18" fontId="8" fillId="4" borderId="10" xfId="0" applyNumberFormat="1" applyFont="1" applyFill="1" applyBorder="1" applyAlignment="1">
      <alignment horizontal="left" vertical="center" shrinkToFit="1"/>
    </xf>
    <xf numFmtId="0" fontId="7" fillId="4" borderId="10" xfId="0" applyFont="1" applyFill="1" applyBorder="1" applyAlignment="1">
      <alignment horizontal="right" vertical="center" shrinkToFit="1"/>
    </xf>
    <xf numFmtId="0" fontId="7" fillId="4" borderId="10" xfId="0" applyFont="1" applyFill="1" applyBorder="1" applyAlignment="1">
      <alignment horizontal="center" vertical="center"/>
    </xf>
    <xf numFmtId="18" fontId="7" fillId="4" borderId="10" xfId="0" applyNumberFormat="1" applyFont="1" applyFill="1" applyBorder="1" applyAlignment="1">
      <alignment vertical="center"/>
    </xf>
    <xf numFmtId="0" fontId="3" fillId="4" borderId="10" xfId="0" applyFont="1" applyFill="1" applyBorder="1" applyAlignment="1">
      <alignment horizontal="right" vertical="center"/>
    </xf>
    <xf numFmtId="0" fontId="9" fillId="4" borderId="10" xfId="0" applyFont="1" applyFill="1" applyBorder="1" applyAlignment="1">
      <alignment horizontal="center" vertical="center" wrapText="1"/>
    </xf>
    <xf numFmtId="165" fontId="7" fillId="4" borderId="10" xfId="0" applyNumberFormat="1" applyFont="1" applyFill="1" applyBorder="1" applyAlignment="1">
      <alignment horizontal="center" vertical="center"/>
    </xf>
    <xf numFmtId="166" fontId="3" fillId="4" borderId="10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right" vertical="center"/>
    </xf>
    <xf numFmtId="0" fontId="7" fillId="3" borderId="2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 shrinkToFit="1"/>
    </xf>
    <xf numFmtId="2" fontId="7" fillId="3" borderId="29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 shrinkToFit="1"/>
    </xf>
    <xf numFmtId="2" fontId="3" fillId="4" borderId="8" xfId="0" applyNumberFormat="1" applyFont="1" applyFill="1" applyBorder="1" applyAlignment="1">
      <alignment horizontal="left" vertical="center" shrinkToFit="1"/>
    </xf>
    <xf numFmtId="1" fontId="3" fillId="4" borderId="10" xfId="0" applyNumberFormat="1" applyFont="1" applyFill="1" applyBorder="1" applyAlignment="1">
      <alignment horizontal="center" vertical="center"/>
    </xf>
    <xf numFmtId="2" fontId="7" fillId="3" borderId="36" xfId="0" applyNumberFormat="1" applyFont="1" applyFill="1" applyBorder="1" applyAlignment="1">
      <alignment horizontal="center" vertical="center"/>
    </xf>
    <xf numFmtId="2" fontId="3" fillId="4" borderId="10" xfId="0" applyNumberFormat="1" applyFont="1" applyFill="1" applyBorder="1" applyAlignment="1">
      <alignment horizontal="left" vertical="center" shrinkToFit="1"/>
    </xf>
    <xf numFmtId="0" fontId="3" fillId="4" borderId="15" xfId="0" applyFont="1" applyFill="1" applyBorder="1" applyAlignment="1">
      <alignment horizontal="left" vertical="center" shrinkToFit="1"/>
    </xf>
    <xf numFmtId="165" fontId="7" fillId="3" borderId="36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vertical="center"/>
    </xf>
    <xf numFmtId="168" fontId="3" fillId="4" borderId="10" xfId="0" applyNumberFormat="1" applyFont="1" applyFill="1" applyBorder="1" applyAlignment="1">
      <alignment horizontal="center" vertical="center"/>
    </xf>
    <xf numFmtId="2" fontId="7" fillId="2" borderId="36" xfId="0" applyNumberFormat="1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vertical="center"/>
    </xf>
    <xf numFmtId="0" fontId="12" fillId="4" borderId="10" xfId="0" applyFont="1" applyFill="1" applyBorder="1" applyAlignment="1">
      <alignment horizontal="right" vertical="center"/>
    </xf>
    <xf numFmtId="165" fontId="7" fillId="3" borderId="37" xfId="0" applyNumberFormat="1" applyFont="1" applyFill="1" applyBorder="1" applyAlignment="1">
      <alignment horizontal="center" vertical="center"/>
    </xf>
    <xf numFmtId="2" fontId="3" fillId="4" borderId="15" xfId="0" applyNumberFormat="1" applyFont="1" applyFill="1" applyBorder="1" applyAlignment="1">
      <alignment horizontal="left" vertical="center" shrinkToFit="1"/>
    </xf>
    <xf numFmtId="0" fontId="7" fillId="3" borderId="37" xfId="0" applyFont="1" applyFill="1" applyBorder="1" applyAlignment="1">
      <alignment horizontal="center" vertical="center"/>
    </xf>
    <xf numFmtId="2" fontId="3" fillId="4" borderId="15" xfId="0" applyNumberFormat="1" applyFont="1" applyFill="1" applyBorder="1" applyAlignment="1">
      <alignment horizontal="left" vertical="center"/>
    </xf>
    <xf numFmtId="169" fontId="3" fillId="4" borderId="10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vertical="center"/>
    </xf>
    <xf numFmtId="2" fontId="7" fillId="3" borderId="36" xfId="0" applyNumberFormat="1" applyFont="1" applyFill="1" applyBorder="1" applyAlignment="1">
      <alignment horizontal="center" vertical="center" shrinkToFit="1"/>
    </xf>
    <xf numFmtId="0" fontId="7" fillId="4" borderId="39" xfId="0" applyFont="1" applyFill="1" applyBorder="1" applyAlignment="1">
      <alignment horizontal="right" vertical="center"/>
    </xf>
    <xf numFmtId="0" fontId="7" fillId="4" borderId="36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170" fontId="7" fillId="2" borderId="36" xfId="0" applyNumberFormat="1" applyFont="1" applyFill="1" applyBorder="1" applyAlignment="1">
      <alignment horizontal="center" vertical="center" shrinkToFit="1"/>
    </xf>
    <xf numFmtId="0" fontId="3" fillId="0" borderId="27" xfId="0" applyFont="1" applyBorder="1" applyAlignment="1">
      <alignment vertical="center"/>
    </xf>
    <xf numFmtId="0" fontId="3" fillId="4" borderId="41" xfId="0" applyFont="1" applyFill="1" applyBorder="1" applyAlignment="1">
      <alignment vertical="center"/>
    </xf>
    <xf numFmtId="0" fontId="3" fillId="4" borderId="42" xfId="0" applyFont="1" applyFill="1" applyBorder="1" applyAlignment="1">
      <alignment vertical="center"/>
    </xf>
    <xf numFmtId="165" fontId="7" fillId="3" borderId="36" xfId="0" applyNumberFormat="1" applyFont="1" applyFill="1" applyBorder="1" applyAlignment="1">
      <alignment horizontal="center" vertical="center" shrinkToFit="1"/>
    </xf>
    <xf numFmtId="0" fontId="7" fillId="2" borderId="29" xfId="0" applyFont="1" applyFill="1" applyBorder="1" applyAlignment="1">
      <alignment horizontal="center" vertical="center"/>
    </xf>
    <xf numFmtId="165" fontId="7" fillId="3" borderId="10" xfId="0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left" vertical="center"/>
    </xf>
    <xf numFmtId="0" fontId="7" fillId="4" borderId="41" xfId="0" applyFont="1" applyFill="1" applyBorder="1" applyAlignment="1">
      <alignment horizontal="right" vertical="center"/>
    </xf>
    <xf numFmtId="0" fontId="7" fillId="2" borderId="41" xfId="0" applyFont="1" applyFill="1" applyBorder="1" applyAlignment="1">
      <alignment horizontal="center" vertical="center"/>
    </xf>
    <xf numFmtId="2" fontId="3" fillId="4" borderId="41" xfId="0" applyNumberFormat="1" applyFont="1" applyFill="1" applyBorder="1" applyAlignment="1">
      <alignment horizontal="left" vertical="center" shrinkToFit="1"/>
    </xf>
    <xf numFmtId="0" fontId="3" fillId="4" borderId="52" xfId="0" applyFont="1" applyFill="1" applyBorder="1" applyAlignment="1">
      <alignment vertical="center"/>
    </xf>
    <xf numFmtId="166" fontId="7" fillId="2" borderId="41" xfId="0" applyNumberFormat="1" applyFont="1" applyFill="1" applyBorder="1" applyAlignment="1">
      <alignment horizontal="center" vertical="center" shrinkToFit="1"/>
    </xf>
    <xf numFmtId="0" fontId="3" fillId="4" borderId="4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vertical="center"/>
    </xf>
    <xf numFmtId="0" fontId="14" fillId="4" borderId="10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 shrinkToFit="1"/>
    </xf>
    <xf numFmtId="0" fontId="7" fillId="5" borderId="10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5" borderId="62" xfId="0" applyFont="1" applyFill="1" applyBorder="1" applyAlignment="1">
      <alignment horizontal="center" vertical="center"/>
    </xf>
    <xf numFmtId="0" fontId="12" fillId="5" borderId="63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 shrinkToFit="1"/>
    </xf>
    <xf numFmtId="0" fontId="7" fillId="5" borderId="66" xfId="0" applyFont="1" applyFill="1" applyBorder="1" applyAlignment="1">
      <alignment horizontal="center" vertical="center" shrinkToFit="1"/>
    </xf>
    <xf numFmtId="0" fontId="3" fillId="4" borderId="67" xfId="0" applyFont="1" applyFill="1" applyBorder="1" applyAlignment="1">
      <alignment horizontal="center" vertical="center"/>
    </xf>
    <xf numFmtId="165" fontId="3" fillId="3" borderId="69" xfId="0" applyNumberFormat="1" applyFont="1" applyFill="1" applyBorder="1" applyAlignment="1">
      <alignment horizontal="center" vertical="center"/>
    </xf>
    <xf numFmtId="165" fontId="3" fillId="2" borderId="69" xfId="0" applyNumberFormat="1" applyFont="1" applyFill="1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/>
    </xf>
    <xf numFmtId="165" fontId="3" fillId="3" borderId="71" xfId="0" applyNumberFormat="1" applyFont="1" applyFill="1" applyBorder="1" applyAlignment="1">
      <alignment horizontal="center" vertical="center"/>
    </xf>
    <xf numFmtId="2" fontId="3" fillId="2" borderId="71" xfId="0" applyNumberFormat="1" applyFont="1" applyFill="1" applyBorder="1" applyAlignment="1">
      <alignment horizontal="center" vertical="center"/>
    </xf>
    <xf numFmtId="2" fontId="3" fillId="2" borderId="72" xfId="0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166" fontId="3" fillId="2" borderId="67" xfId="0" applyNumberFormat="1" applyFont="1" applyFill="1" applyBorder="1" applyAlignment="1">
      <alignment horizontal="center" vertical="center"/>
    </xf>
    <xf numFmtId="166" fontId="3" fillId="2" borderId="72" xfId="0" applyNumberFormat="1" applyFont="1" applyFill="1" applyBorder="1" applyAlignment="1">
      <alignment horizontal="center" vertical="center"/>
    </xf>
    <xf numFmtId="0" fontId="3" fillId="4" borderId="74" xfId="0" applyFont="1" applyFill="1" applyBorder="1" applyAlignment="1">
      <alignment horizontal="center" vertical="center"/>
    </xf>
    <xf numFmtId="165" fontId="3" fillId="3" borderId="6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0" fontId="3" fillId="3" borderId="74" xfId="0" applyFont="1" applyFill="1" applyBorder="1" applyAlignment="1">
      <alignment horizontal="center" vertical="center"/>
    </xf>
    <xf numFmtId="2" fontId="3" fillId="2" borderId="6" xfId="0" applyNumberFormat="1" applyFont="1" applyFill="1" applyBorder="1" applyAlignment="1">
      <alignment horizontal="center" vertical="center"/>
    </xf>
    <xf numFmtId="2" fontId="3" fillId="2" borderId="78" xfId="0" applyNumberFormat="1" applyFont="1" applyFill="1" applyBorder="1" applyAlignment="1">
      <alignment horizontal="center" vertical="center"/>
    </xf>
    <xf numFmtId="165" fontId="3" fillId="2" borderId="39" xfId="0" applyNumberFormat="1" applyFont="1" applyFill="1" applyBorder="1" applyAlignment="1">
      <alignment horizontal="center" vertical="center"/>
    </xf>
    <xf numFmtId="166" fontId="3" fillId="2" borderId="74" xfId="0" applyNumberFormat="1" applyFont="1" applyFill="1" applyBorder="1" applyAlignment="1">
      <alignment horizontal="center" vertical="center"/>
    </xf>
    <xf numFmtId="166" fontId="3" fillId="2" borderId="78" xfId="0" applyNumberFormat="1" applyFont="1" applyFill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165" fontId="3" fillId="3" borderId="80" xfId="0" applyNumberFormat="1" applyFont="1" applyFill="1" applyBorder="1" applyAlignment="1">
      <alignment horizontal="center" vertical="center"/>
    </xf>
    <xf numFmtId="2" fontId="3" fillId="2" borderId="80" xfId="0" applyNumberFormat="1" applyFont="1" applyFill="1" applyBorder="1" applyAlignment="1">
      <alignment horizontal="center" vertical="center"/>
    </xf>
    <xf numFmtId="2" fontId="3" fillId="2" borderId="81" xfId="0" applyNumberFormat="1" applyFont="1" applyFill="1" applyBorder="1" applyAlignment="1">
      <alignment horizontal="center" vertical="center"/>
    </xf>
    <xf numFmtId="166" fontId="3" fillId="2" borderId="79" xfId="0" applyNumberFormat="1" applyFont="1" applyFill="1" applyBorder="1" applyAlignment="1">
      <alignment horizontal="center" vertical="center"/>
    </xf>
    <xf numFmtId="166" fontId="3" fillId="2" borderId="81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vertical="top" wrapText="1"/>
    </xf>
    <xf numFmtId="165" fontId="3" fillId="4" borderId="10" xfId="0" applyNumberFormat="1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vertical="center"/>
    </xf>
    <xf numFmtId="0" fontId="3" fillId="4" borderId="79" xfId="0" applyFont="1" applyFill="1" applyBorder="1" applyAlignment="1">
      <alignment horizontal="center" vertical="center"/>
    </xf>
    <xf numFmtId="165" fontId="3" fillId="3" borderId="86" xfId="0" applyNumberFormat="1" applyFont="1" applyFill="1" applyBorder="1" applyAlignment="1">
      <alignment horizontal="center" vertical="center"/>
    </xf>
    <xf numFmtId="165" fontId="3" fillId="2" borderId="80" xfId="0" applyNumberFormat="1" applyFont="1" applyFill="1" applyBorder="1" applyAlignment="1">
      <alignment horizontal="center" vertical="center"/>
    </xf>
    <xf numFmtId="165" fontId="3" fillId="2" borderId="79" xfId="0" applyNumberFormat="1" applyFont="1" applyFill="1" applyBorder="1" applyAlignment="1">
      <alignment horizontal="center" vertical="center"/>
    </xf>
    <xf numFmtId="165" fontId="3" fillId="2" borderId="89" xfId="0" applyNumberFormat="1" applyFont="1" applyFill="1" applyBorder="1" applyAlignment="1">
      <alignment horizontal="center" vertical="center"/>
    </xf>
    <xf numFmtId="1" fontId="17" fillId="4" borderId="10" xfId="0" applyNumberFormat="1" applyFont="1" applyFill="1" applyBorder="1" applyAlignment="1">
      <alignment horizontal="right" vertical="center"/>
    </xf>
    <xf numFmtId="165" fontId="18" fillId="4" borderId="10" xfId="0" applyNumberFormat="1" applyFont="1" applyFill="1" applyBorder="1" applyAlignment="1">
      <alignment horizontal="center" vertical="center"/>
    </xf>
    <xf numFmtId="1" fontId="19" fillId="4" borderId="10" xfId="0" applyNumberFormat="1" applyFont="1" applyFill="1" applyBorder="1" applyAlignment="1">
      <alignment horizontal="right" vertical="center"/>
    </xf>
    <xf numFmtId="0" fontId="20" fillId="4" borderId="10" xfId="0" applyFont="1" applyFill="1" applyBorder="1" applyAlignment="1">
      <alignment horizontal="center" vertical="center"/>
    </xf>
    <xf numFmtId="165" fontId="3" fillId="2" borderId="91" xfId="0" applyNumberFormat="1" applyFont="1" applyFill="1" applyBorder="1" applyAlignment="1">
      <alignment horizontal="center" vertical="center"/>
    </xf>
    <xf numFmtId="165" fontId="3" fillId="4" borderId="10" xfId="0" applyNumberFormat="1" applyFont="1" applyFill="1" applyBorder="1" applyAlignment="1">
      <alignment horizontal="center" vertical="center" shrinkToFit="1"/>
    </xf>
    <xf numFmtId="0" fontId="3" fillId="4" borderId="10" xfId="0" applyFont="1" applyFill="1" applyBorder="1" applyAlignment="1">
      <alignment horizontal="center" vertical="center" shrinkToFit="1"/>
    </xf>
    <xf numFmtId="170" fontId="3" fillId="4" borderId="10" xfId="0" applyNumberFormat="1" applyFont="1" applyFill="1" applyBorder="1" applyAlignment="1">
      <alignment horizontal="center" vertical="center"/>
    </xf>
    <xf numFmtId="2" fontId="7" fillId="4" borderId="10" xfId="0" applyNumberFormat="1" applyFont="1" applyFill="1" applyBorder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21" fillId="4" borderId="10" xfId="0" applyFont="1" applyFill="1" applyBorder="1" applyAlignment="1">
      <alignment vertical="center"/>
    </xf>
    <xf numFmtId="2" fontId="21" fillId="4" borderId="10" xfId="0" applyNumberFormat="1" applyFont="1" applyFill="1" applyBorder="1" applyAlignment="1">
      <alignment horizontal="center" vertical="center"/>
    </xf>
    <xf numFmtId="165" fontId="21" fillId="4" borderId="10" xfId="0" applyNumberFormat="1" applyFont="1" applyFill="1" applyBorder="1" applyAlignment="1">
      <alignment horizontal="center" vertical="center"/>
    </xf>
    <xf numFmtId="170" fontId="21" fillId="4" borderId="10" xfId="0" applyNumberFormat="1" applyFont="1" applyFill="1" applyBorder="1" applyAlignment="1">
      <alignment horizontal="center" vertical="center"/>
    </xf>
    <xf numFmtId="165" fontId="7" fillId="4" borderId="41" xfId="0" applyNumberFormat="1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168" fontId="3" fillId="4" borderId="10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7" fillId="4" borderId="7" xfId="0" applyFont="1" applyFill="1" applyBorder="1" applyAlignment="1">
      <alignment horizontal="right" vertical="center" shrinkToFit="1"/>
    </xf>
    <xf numFmtId="0" fontId="7" fillId="4" borderId="8" xfId="0" applyFont="1" applyFill="1" applyBorder="1" applyAlignment="1">
      <alignment horizontal="right" vertical="center" shrinkToFit="1"/>
    </xf>
    <xf numFmtId="0" fontId="7" fillId="2" borderId="9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165" fontId="7" fillId="2" borderId="36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right" vertical="center"/>
    </xf>
    <xf numFmtId="167" fontId="7" fillId="2" borderId="96" xfId="0" applyNumberFormat="1" applyFont="1" applyFill="1" applyBorder="1" applyAlignment="1">
      <alignment horizontal="center" vertical="center"/>
    </xf>
    <xf numFmtId="167" fontId="7" fillId="2" borderId="40" xfId="0" applyNumberFormat="1" applyFont="1" applyFill="1" applyBorder="1" applyAlignment="1">
      <alignment horizontal="center" vertical="center"/>
    </xf>
    <xf numFmtId="165" fontId="7" fillId="2" borderId="37" xfId="0" applyNumberFormat="1" applyFont="1" applyFill="1" applyBorder="1" applyAlignment="1">
      <alignment horizontal="center" vertical="center"/>
    </xf>
    <xf numFmtId="0" fontId="7" fillId="0" borderId="82" xfId="0" applyFont="1" applyBorder="1" applyAlignment="1">
      <alignment horizontal="right" vertical="center"/>
    </xf>
    <xf numFmtId="0" fontId="7" fillId="2" borderId="36" xfId="0" applyFont="1" applyFill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 shrinkToFit="1"/>
    </xf>
    <xf numFmtId="0" fontId="7" fillId="2" borderId="36" xfId="0" applyFont="1" applyFill="1" applyBorder="1" applyAlignment="1">
      <alignment horizontal="center" vertical="center" shrinkToFit="1"/>
    </xf>
    <xf numFmtId="0" fontId="3" fillId="0" borderId="26" xfId="0" applyFont="1" applyBorder="1" applyAlignment="1">
      <alignment vertical="center"/>
    </xf>
    <xf numFmtId="165" fontId="7" fillId="2" borderId="41" xfId="0" applyNumberFormat="1" applyFont="1" applyFill="1" applyBorder="1" applyAlignment="1">
      <alignment horizontal="center" vertical="center"/>
    </xf>
    <xf numFmtId="2" fontId="22" fillId="4" borderId="42" xfId="0" applyNumberFormat="1" applyFont="1" applyFill="1" applyBorder="1" applyAlignment="1">
      <alignment horizontal="left" vertical="center" shrinkToFit="1"/>
    </xf>
    <xf numFmtId="165" fontId="7" fillId="4" borderId="41" xfId="0" applyNumberFormat="1" applyFont="1" applyFill="1" applyBorder="1" applyAlignment="1">
      <alignment horizontal="center" vertical="center" shrinkToFit="1"/>
    </xf>
    <xf numFmtId="165" fontId="7" fillId="2" borderId="42" xfId="0" applyNumberFormat="1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right" vertical="center" shrinkToFit="1"/>
    </xf>
    <xf numFmtId="0" fontId="3" fillId="4" borderId="10" xfId="0" applyFont="1" applyFill="1" applyBorder="1" applyAlignment="1">
      <alignment horizontal="left" vertical="center" shrinkToFit="1"/>
    </xf>
    <xf numFmtId="165" fontId="7" fillId="2" borderId="36" xfId="0" applyNumberFormat="1" applyFont="1" applyFill="1" applyBorder="1" applyAlignment="1">
      <alignment horizontal="center" vertical="center" shrinkToFit="1"/>
    </xf>
    <xf numFmtId="2" fontId="7" fillId="2" borderId="96" xfId="0" applyNumberFormat="1" applyFont="1" applyFill="1" applyBorder="1" applyAlignment="1">
      <alignment horizontal="center" vertical="center"/>
    </xf>
    <xf numFmtId="167" fontId="7" fillId="2" borderId="97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vertical="center"/>
    </xf>
    <xf numFmtId="170" fontId="7" fillId="2" borderId="96" xfId="0" applyNumberFormat="1" applyFont="1" applyFill="1" applyBorder="1" applyAlignment="1">
      <alignment horizontal="center" vertical="center" shrinkToFit="1"/>
    </xf>
    <xf numFmtId="0" fontId="7" fillId="3" borderId="36" xfId="0" applyFont="1" applyFill="1" applyBorder="1" applyAlignment="1">
      <alignment horizontal="center" vertical="center"/>
    </xf>
    <xf numFmtId="0" fontId="3" fillId="0" borderId="82" xfId="0" applyFont="1" applyBorder="1" applyAlignment="1">
      <alignment vertical="center"/>
    </xf>
    <xf numFmtId="2" fontId="7" fillId="2" borderId="97" xfId="0" applyNumberFormat="1" applyFont="1" applyFill="1" applyBorder="1" applyAlignment="1">
      <alignment horizontal="center" vertical="center"/>
    </xf>
    <xf numFmtId="2" fontId="7" fillId="3" borderId="41" xfId="0" applyNumberFormat="1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vertical="center"/>
    </xf>
    <xf numFmtId="0" fontId="7" fillId="4" borderId="99" xfId="0" applyFont="1" applyFill="1" applyBorder="1" applyAlignment="1">
      <alignment horizontal="right" vertical="center"/>
    </xf>
    <xf numFmtId="1" fontId="7" fillId="2" borderId="99" xfId="0" applyNumberFormat="1" applyFont="1" applyFill="1" applyBorder="1" applyAlignment="1">
      <alignment horizontal="center" vertical="center"/>
    </xf>
    <xf numFmtId="2" fontId="3" fillId="4" borderId="99" xfId="0" applyNumberFormat="1" applyFont="1" applyFill="1" applyBorder="1" applyAlignment="1">
      <alignment horizontal="left" vertical="center" shrinkToFit="1"/>
    </xf>
    <xf numFmtId="0" fontId="7" fillId="4" borderId="99" xfId="0" applyFont="1" applyFill="1" applyBorder="1" applyAlignment="1">
      <alignment horizontal="right" vertical="center" shrinkToFit="1"/>
    </xf>
    <xf numFmtId="2" fontId="7" fillId="2" borderId="99" xfId="0" applyNumberFormat="1" applyFont="1" applyFill="1" applyBorder="1" applyAlignment="1">
      <alignment horizontal="center" vertical="center"/>
    </xf>
    <xf numFmtId="2" fontId="3" fillId="4" borderId="100" xfId="0" applyNumberFormat="1" applyFont="1" applyFill="1" applyBorder="1" applyAlignment="1">
      <alignment horizontal="left" vertical="center" shrinkToFit="1"/>
    </xf>
    <xf numFmtId="0" fontId="7" fillId="5" borderId="7" xfId="0" applyFont="1" applyFill="1" applyBorder="1" applyAlignment="1">
      <alignment horizontal="center" vertical="center" shrinkToFit="1"/>
    </xf>
    <xf numFmtId="0" fontId="7" fillId="5" borderId="104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 shrinkToFit="1"/>
    </xf>
    <xf numFmtId="0" fontId="7" fillId="5" borderId="107" xfId="0" applyFont="1" applyFill="1" applyBorder="1" applyAlignment="1">
      <alignment horizontal="center" vertical="center"/>
    </xf>
    <xf numFmtId="0" fontId="7" fillId="5" borderId="109" xfId="0" applyFont="1" applyFill="1" applyBorder="1" applyAlignment="1">
      <alignment horizontal="center" vertical="center"/>
    </xf>
    <xf numFmtId="0" fontId="7" fillId="5" borderId="110" xfId="0" applyFont="1" applyFill="1" applyBorder="1" applyAlignment="1">
      <alignment horizontal="center" vertical="center"/>
    </xf>
    <xf numFmtId="0" fontId="7" fillId="5" borderId="115" xfId="0" applyFont="1" applyFill="1" applyBorder="1" applyAlignment="1">
      <alignment horizontal="center" vertical="center"/>
    </xf>
    <xf numFmtId="0" fontId="7" fillId="5" borderId="63" xfId="0" applyFont="1" applyFill="1" applyBorder="1" applyAlignment="1">
      <alignment horizontal="center" vertical="center"/>
    </xf>
    <xf numFmtId="0" fontId="7" fillId="5" borderId="116" xfId="0" applyFont="1" applyFill="1" applyBorder="1" applyAlignment="1">
      <alignment horizontal="center" vertical="center"/>
    </xf>
    <xf numFmtId="0" fontId="7" fillId="5" borderId="109" xfId="0" applyFont="1" applyFill="1" applyBorder="1" applyAlignment="1">
      <alignment horizontal="center" vertical="center" shrinkToFit="1"/>
    </xf>
    <xf numFmtId="0" fontId="7" fillId="5" borderId="117" xfId="0" applyFont="1" applyFill="1" applyBorder="1" applyAlignment="1">
      <alignment horizontal="center" vertical="center"/>
    </xf>
    <xf numFmtId="2" fontId="3" fillId="2" borderId="119" xfId="0" applyNumberFormat="1" applyFont="1" applyFill="1" applyBorder="1" applyAlignment="1">
      <alignment horizontal="center" vertical="center" shrinkToFit="1"/>
    </xf>
    <xf numFmtId="170" fontId="3" fillId="3" borderId="69" xfId="0" applyNumberFormat="1" applyFont="1" applyFill="1" applyBorder="1" applyAlignment="1">
      <alignment horizontal="center" vertical="center"/>
    </xf>
    <xf numFmtId="1" fontId="3" fillId="3" borderId="69" xfId="0" applyNumberFormat="1" applyFont="1" applyFill="1" applyBorder="1" applyAlignment="1">
      <alignment horizontal="center" vertical="center"/>
    </xf>
    <xf numFmtId="1" fontId="3" fillId="3" borderId="71" xfId="0" applyNumberFormat="1" applyFont="1" applyFill="1" applyBorder="1" applyAlignment="1">
      <alignment horizontal="center" vertical="center"/>
    </xf>
    <xf numFmtId="167" fontId="3" fillId="2" borderId="120" xfId="0" applyNumberFormat="1" applyFont="1" applyFill="1" applyBorder="1" applyAlignment="1">
      <alignment horizontal="center" vertical="center"/>
    </xf>
    <xf numFmtId="2" fontId="3" fillId="2" borderId="69" xfId="0" applyNumberFormat="1" applyFont="1" applyFill="1" applyBorder="1" applyAlignment="1">
      <alignment horizontal="center" vertical="center" shrinkToFit="1"/>
    </xf>
    <xf numFmtId="165" fontId="3" fillId="2" borderId="67" xfId="0" applyNumberFormat="1" applyFont="1" applyFill="1" applyBorder="1" applyAlignment="1">
      <alignment horizontal="center" vertical="center"/>
    </xf>
    <xf numFmtId="2" fontId="3" fillId="2" borderId="119" xfId="0" applyNumberFormat="1" applyFont="1" applyFill="1" applyBorder="1" applyAlignment="1">
      <alignment horizontal="center" vertical="center"/>
    </xf>
    <xf numFmtId="167" fontId="3" fillId="2" borderId="119" xfId="0" applyNumberFormat="1" applyFont="1" applyFill="1" applyBorder="1" applyAlignment="1">
      <alignment horizontal="center" vertical="center" shrinkToFit="1"/>
    </xf>
    <xf numFmtId="167" fontId="3" fillId="2" borderId="69" xfId="0" applyNumberFormat="1" applyFont="1" applyFill="1" applyBorder="1" applyAlignment="1">
      <alignment horizontal="center" vertical="center" shrinkToFit="1"/>
    </xf>
    <xf numFmtId="165" fontId="3" fillId="2" borderId="121" xfId="0" applyNumberFormat="1" applyFont="1" applyFill="1" applyBorder="1" applyAlignment="1">
      <alignment horizontal="center" vertical="center" shrinkToFit="1"/>
    </xf>
    <xf numFmtId="165" fontId="3" fillId="2" borderId="71" xfId="0" applyNumberFormat="1" applyFont="1" applyFill="1" applyBorder="1" applyAlignment="1">
      <alignment horizontal="center" vertical="center"/>
    </xf>
    <xf numFmtId="2" fontId="3" fillId="2" borderId="72" xfId="0" applyNumberFormat="1" applyFont="1" applyFill="1" applyBorder="1" applyAlignment="1">
      <alignment horizontal="center" vertical="center" shrinkToFit="1"/>
    </xf>
    <xf numFmtId="2" fontId="3" fillId="2" borderId="6" xfId="0" applyNumberFormat="1" applyFont="1" applyFill="1" applyBorder="1" applyAlignment="1">
      <alignment horizontal="center" vertical="center" shrinkToFit="1"/>
    </xf>
    <xf numFmtId="170" fontId="3" fillId="3" borderId="6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167" fontId="3" fillId="2" borderId="122" xfId="0" applyNumberFormat="1" applyFont="1" applyFill="1" applyBorder="1" applyAlignment="1">
      <alignment horizontal="center" vertical="center"/>
    </xf>
    <xf numFmtId="165" fontId="3" fillId="2" borderId="74" xfId="0" applyNumberFormat="1" applyFont="1" applyFill="1" applyBorder="1" applyAlignment="1">
      <alignment horizontal="center" vertical="center"/>
    </xf>
    <xf numFmtId="167" fontId="3" fillId="2" borderId="6" xfId="0" applyNumberFormat="1" applyFont="1" applyFill="1" applyBorder="1" applyAlignment="1">
      <alignment horizontal="center" vertical="center" shrinkToFit="1"/>
    </xf>
    <xf numFmtId="165" fontId="3" fillId="2" borderId="78" xfId="0" applyNumberFormat="1" applyFont="1" applyFill="1" applyBorder="1" applyAlignment="1">
      <alignment horizontal="center" vertical="center" shrinkToFit="1"/>
    </xf>
    <xf numFmtId="2" fontId="3" fillId="2" borderId="78" xfId="0" applyNumberFormat="1" applyFont="1" applyFill="1" applyBorder="1" applyAlignment="1">
      <alignment horizontal="center" vertical="center" shrinkToFit="1"/>
    </xf>
    <xf numFmtId="2" fontId="3" fillId="2" borderId="80" xfId="0" applyNumberFormat="1" applyFont="1" applyFill="1" applyBorder="1" applyAlignment="1">
      <alignment horizontal="center" vertical="center" shrinkToFit="1"/>
    </xf>
    <xf numFmtId="165" fontId="3" fillId="3" borderId="123" xfId="0" applyNumberFormat="1" applyFont="1" applyFill="1" applyBorder="1" applyAlignment="1">
      <alignment horizontal="center" vertical="center"/>
    </xf>
    <xf numFmtId="170" fontId="3" fillId="3" borderId="123" xfId="0" applyNumberFormat="1" applyFont="1" applyFill="1" applyBorder="1" applyAlignment="1">
      <alignment horizontal="center" vertical="center"/>
    </xf>
    <xf numFmtId="170" fontId="3" fillId="3" borderId="80" xfId="0" applyNumberFormat="1" applyFont="1" applyFill="1" applyBorder="1" applyAlignment="1">
      <alignment horizontal="center" vertical="center"/>
    </xf>
    <xf numFmtId="1" fontId="3" fillId="3" borderId="80" xfId="0" applyNumberFormat="1" applyFont="1" applyFill="1" applyBorder="1" applyAlignment="1">
      <alignment horizontal="center" vertical="center"/>
    </xf>
    <xf numFmtId="167" fontId="3" fillId="2" borderId="80" xfId="0" applyNumberFormat="1" applyFont="1" applyFill="1" applyBorder="1" applyAlignment="1">
      <alignment horizontal="center" vertical="center"/>
    </xf>
    <xf numFmtId="165" fontId="3" fillId="2" borderId="124" xfId="0" applyNumberFormat="1" applyFont="1" applyFill="1" applyBorder="1" applyAlignment="1">
      <alignment horizontal="center" vertical="center"/>
    </xf>
    <xf numFmtId="2" fontId="3" fillId="2" borderId="125" xfId="0" applyNumberFormat="1" applyFont="1" applyFill="1" applyBorder="1" applyAlignment="1">
      <alignment horizontal="center" vertical="center"/>
    </xf>
    <xf numFmtId="167" fontId="3" fillId="2" borderId="125" xfId="0" applyNumberFormat="1" applyFont="1" applyFill="1" applyBorder="1" applyAlignment="1">
      <alignment horizontal="center" vertical="center" shrinkToFit="1"/>
    </xf>
    <xf numFmtId="2" fontId="3" fillId="2" borderId="125" xfId="0" applyNumberFormat="1" applyFont="1" applyFill="1" applyBorder="1" applyAlignment="1">
      <alignment horizontal="center" vertical="center" shrinkToFit="1"/>
    </xf>
    <xf numFmtId="165" fontId="3" fillId="2" borderId="126" xfId="0" applyNumberFormat="1" applyFont="1" applyFill="1" applyBorder="1" applyAlignment="1">
      <alignment horizontal="center" vertical="center" shrinkToFit="1"/>
    </xf>
    <xf numFmtId="2" fontId="3" fillId="2" borderId="81" xfId="0" applyNumberFormat="1" applyFont="1" applyFill="1" applyBorder="1" applyAlignment="1">
      <alignment horizontal="center" vertical="center" shrinkToFit="1"/>
    </xf>
    <xf numFmtId="1" fontId="4" fillId="4" borderId="10" xfId="0" applyNumberFormat="1" applyFont="1" applyFill="1" applyBorder="1" applyAlignment="1">
      <alignment horizontal="right" vertical="center"/>
    </xf>
    <xf numFmtId="165" fontId="10" fillId="4" borderId="10" xfId="0" applyNumberFormat="1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vertical="center"/>
    </xf>
    <xf numFmtId="1" fontId="5" fillId="4" borderId="10" xfId="0" applyNumberFormat="1" applyFont="1" applyFill="1" applyBorder="1" applyAlignment="1">
      <alignment horizontal="right" vertical="center"/>
    </xf>
    <xf numFmtId="170" fontId="10" fillId="4" borderId="10" xfId="0" applyNumberFormat="1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165" fontId="3" fillId="2" borderId="127" xfId="0" applyNumberFormat="1" applyFont="1" applyFill="1" applyBorder="1" applyAlignment="1">
      <alignment horizontal="center" vertical="center" shrinkToFit="1"/>
    </xf>
    <xf numFmtId="165" fontId="3" fillId="2" borderId="123" xfId="0" applyNumberFormat="1" applyFont="1" applyFill="1" applyBorder="1" applyAlignment="1">
      <alignment horizontal="center" vertical="center" shrinkToFit="1"/>
    </xf>
    <xf numFmtId="167" fontId="3" fillId="2" borderId="123" xfId="0" applyNumberFormat="1" applyFont="1" applyFill="1" applyBorder="1" applyAlignment="1">
      <alignment horizontal="center" vertical="center" shrinkToFit="1"/>
    </xf>
    <xf numFmtId="2" fontId="3" fillId="2" borderId="123" xfId="0" applyNumberFormat="1" applyFont="1" applyFill="1" applyBorder="1" applyAlignment="1">
      <alignment horizontal="center" vertical="center" shrinkToFit="1"/>
    </xf>
    <xf numFmtId="165" fontId="3" fillId="2" borderId="128" xfId="0" applyNumberFormat="1" applyFont="1" applyFill="1" applyBorder="1" applyAlignment="1">
      <alignment horizontal="center" vertical="center" shrinkToFit="1"/>
    </xf>
    <xf numFmtId="0" fontId="3" fillId="4" borderId="10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70" fontId="7" fillId="2" borderId="130" xfId="0" applyNumberFormat="1" applyFont="1" applyFill="1" applyBorder="1" applyAlignment="1">
      <alignment horizontal="center" vertical="center"/>
    </xf>
    <xf numFmtId="0" fontId="7" fillId="2" borderId="122" xfId="0" applyFont="1" applyFill="1" applyBorder="1" applyAlignment="1">
      <alignment vertical="center"/>
    </xf>
    <xf numFmtId="0" fontId="7" fillId="5" borderId="96" xfId="0" applyFont="1" applyFill="1" applyBorder="1" applyAlignment="1">
      <alignment horizontal="center" vertical="center" wrapText="1"/>
    </xf>
    <xf numFmtId="2" fontId="7" fillId="2" borderId="131" xfId="0" applyNumberFormat="1" applyFont="1" applyFill="1" applyBorder="1" applyAlignment="1">
      <alignment horizontal="center" vertical="center"/>
    </xf>
    <xf numFmtId="0" fontId="7" fillId="2" borderId="97" xfId="0" applyFont="1" applyFill="1" applyBorder="1" applyAlignment="1">
      <alignment horizontal="center" vertical="center"/>
    </xf>
    <xf numFmtId="165" fontId="7" fillId="2" borderId="132" xfId="0" applyNumberFormat="1" applyFont="1" applyFill="1" applyBorder="1" applyAlignment="1">
      <alignment vertical="center" shrinkToFit="1"/>
    </xf>
    <xf numFmtId="0" fontId="7" fillId="2" borderId="97" xfId="0" applyFont="1" applyFill="1" applyBorder="1" applyAlignment="1">
      <alignment vertical="center" shrinkToFit="1"/>
    </xf>
    <xf numFmtId="170" fontId="7" fillId="2" borderId="133" xfId="0" applyNumberFormat="1" applyFont="1" applyFill="1" applyBorder="1" applyAlignment="1">
      <alignment horizontal="center" vertical="center"/>
    </xf>
    <xf numFmtId="0" fontId="7" fillId="2" borderId="134" xfId="0" applyFont="1" applyFill="1" applyBorder="1" applyAlignment="1">
      <alignment vertical="center"/>
    </xf>
    <xf numFmtId="1" fontId="7" fillId="2" borderId="132" xfId="0" applyNumberFormat="1" applyFont="1" applyFill="1" applyBorder="1" applyAlignment="1">
      <alignment horizontal="center" vertical="center"/>
    </xf>
    <xf numFmtId="165" fontId="7" fillId="2" borderId="132" xfId="0" applyNumberFormat="1" applyFont="1" applyFill="1" applyBorder="1" applyAlignment="1">
      <alignment horizontal="center" vertical="center" shrinkToFit="1"/>
    </xf>
    <xf numFmtId="165" fontId="7" fillId="2" borderId="135" xfId="0" applyNumberFormat="1" applyFont="1" applyFill="1" applyBorder="1" applyAlignment="1">
      <alignment vertical="center" shrinkToFit="1"/>
    </xf>
    <xf numFmtId="165" fontId="7" fillId="2" borderId="136" xfId="0" applyNumberFormat="1" applyFont="1" applyFill="1" applyBorder="1" applyAlignment="1">
      <alignment vertical="center" shrinkToFit="1"/>
    </xf>
    <xf numFmtId="0" fontId="5" fillId="4" borderId="10" xfId="0" applyFont="1" applyFill="1" applyBorder="1" applyAlignment="1">
      <alignment horizontal="center" vertical="center" textRotation="90"/>
    </xf>
    <xf numFmtId="165" fontId="6" fillId="4" borderId="10" xfId="0" applyNumberFormat="1" applyFont="1" applyFill="1" applyBorder="1" applyAlignment="1">
      <alignment vertical="center"/>
    </xf>
    <xf numFmtId="167" fontId="7" fillId="4" borderId="10" xfId="0" applyNumberFormat="1" applyFont="1" applyFill="1" applyBorder="1" applyAlignment="1">
      <alignment vertical="center" shrinkToFit="1"/>
    </xf>
    <xf numFmtId="0" fontId="7" fillId="4" borderId="10" xfId="0" applyFont="1" applyFill="1" applyBorder="1" applyAlignment="1">
      <alignment vertical="center" shrinkToFit="1"/>
    </xf>
    <xf numFmtId="0" fontId="26" fillId="4" borderId="10" xfId="0" applyFont="1" applyFill="1" applyBorder="1" applyAlignment="1">
      <alignment horizontal="center" vertical="center" shrinkToFit="1"/>
    </xf>
    <xf numFmtId="3" fontId="7" fillId="4" borderId="10" xfId="0" applyNumberFormat="1" applyFont="1" applyFill="1" applyBorder="1" applyAlignment="1">
      <alignment vertical="center"/>
    </xf>
    <xf numFmtId="3" fontId="7" fillId="4" borderId="10" xfId="0" applyNumberFormat="1" applyFont="1" applyFill="1" applyBorder="1" applyAlignment="1">
      <alignment vertical="center" shrinkToFit="1"/>
    </xf>
    <xf numFmtId="170" fontId="7" fillId="4" borderId="10" xfId="0" applyNumberFormat="1" applyFont="1" applyFill="1" applyBorder="1" applyAlignment="1">
      <alignment horizontal="center" vertical="center" shrinkToFit="1"/>
    </xf>
    <xf numFmtId="2" fontId="7" fillId="4" borderId="10" xfId="0" applyNumberFormat="1" applyFont="1" applyFill="1" applyBorder="1" applyAlignment="1">
      <alignment vertical="center" shrinkToFit="1"/>
    </xf>
    <xf numFmtId="165" fontId="7" fillId="4" borderId="10" xfId="0" applyNumberFormat="1" applyFont="1" applyFill="1" applyBorder="1" applyAlignment="1">
      <alignment vertical="center" shrinkToFit="1"/>
    </xf>
    <xf numFmtId="170" fontId="7" fillId="4" borderId="10" xfId="0" applyNumberFormat="1" applyFont="1" applyFill="1" applyBorder="1" applyAlignment="1">
      <alignment horizontal="center" vertical="center"/>
    </xf>
    <xf numFmtId="167" fontId="7" fillId="4" borderId="10" xfId="0" applyNumberFormat="1" applyFont="1" applyFill="1" applyBorder="1" applyAlignment="1">
      <alignment horizontal="center" vertical="center" shrinkToFit="1"/>
    </xf>
    <xf numFmtId="167" fontId="3" fillId="2" borderId="6" xfId="0" applyNumberFormat="1" applyFont="1" applyFill="1" applyBorder="1" applyAlignment="1">
      <alignment horizontal="center" vertical="center"/>
    </xf>
    <xf numFmtId="1" fontId="3" fillId="3" borderId="123" xfId="0" applyNumberFormat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 wrapText="1"/>
    </xf>
    <xf numFmtId="2" fontId="7" fillId="2" borderId="29" xfId="0" applyNumberFormat="1" applyFont="1" applyFill="1" applyBorder="1" applyAlignment="1">
      <alignment horizontal="center" vertical="center"/>
    </xf>
    <xf numFmtId="2" fontId="7" fillId="2" borderId="29" xfId="0" applyNumberFormat="1" applyFont="1" applyFill="1" applyBorder="1" applyAlignment="1">
      <alignment horizontal="center" vertical="center" shrinkToFit="1"/>
    </xf>
    <xf numFmtId="0" fontId="7" fillId="4" borderId="137" xfId="0" applyFont="1" applyFill="1" applyBorder="1" applyAlignment="1">
      <alignment vertical="center"/>
    </xf>
    <xf numFmtId="0" fontId="7" fillId="4" borderId="96" xfId="0" applyFont="1" applyFill="1" applyBorder="1" applyAlignment="1">
      <alignment horizontal="right" vertical="center"/>
    </xf>
    <xf numFmtId="0" fontId="3" fillId="4" borderId="138" xfId="0" applyFont="1" applyFill="1" applyBorder="1" applyAlignment="1">
      <alignment horizontal="left" vertical="center" shrinkToFit="1"/>
    </xf>
    <xf numFmtId="0" fontId="3" fillId="4" borderId="137" xfId="0" applyFont="1" applyFill="1" applyBorder="1" applyAlignment="1">
      <alignment vertical="center"/>
    </xf>
    <xf numFmtId="2" fontId="3" fillId="4" borderId="138" xfId="0" applyNumberFormat="1" applyFont="1" applyFill="1" applyBorder="1" applyAlignment="1">
      <alignment horizontal="left" vertical="center" shrinkToFit="1"/>
    </xf>
    <xf numFmtId="2" fontId="7" fillId="2" borderId="10" xfId="0" applyNumberFormat="1" applyFont="1" applyFill="1" applyBorder="1" applyAlignment="1">
      <alignment horizontal="center" vertical="center" shrinkToFit="1"/>
    </xf>
    <xf numFmtId="2" fontId="7" fillId="2" borderId="41" xfId="0" applyNumberFormat="1" applyFont="1" applyFill="1" applyBorder="1" applyAlignment="1">
      <alignment horizontal="center" vertical="center"/>
    </xf>
    <xf numFmtId="167" fontId="7" fillId="2" borderId="41" xfId="0" applyNumberFormat="1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right" vertical="center" shrinkToFit="1"/>
    </xf>
    <xf numFmtId="2" fontId="7" fillId="4" borderId="10" xfId="0" applyNumberFormat="1" applyFont="1" applyFill="1" applyBorder="1" applyAlignment="1">
      <alignment horizontal="center" vertical="center"/>
    </xf>
    <xf numFmtId="2" fontId="7" fillId="2" borderId="41" xfId="0" applyNumberFormat="1" applyFont="1" applyFill="1" applyBorder="1" applyAlignment="1">
      <alignment horizontal="center" vertical="center" shrinkToFit="1"/>
    </xf>
    <xf numFmtId="2" fontId="3" fillId="4" borderId="42" xfId="0" applyNumberFormat="1" applyFont="1" applyFill="1" applyBorder="1" applyAlignment="1">
      <alignment horizontal="left" vertical="center" shrinkToFit="1"/>
    </xf>
    <xf numFmtId="0" fontId="3" fillId="4" borderId="42" xfId="0" applyFont="1" applyFill="1" applyBorder="1" applyAlignment="1">
      <alignment vertical="center" shrinkToFit="1"/>
    </xf>
    <xf numFmtId="0" fontId="28" fillId="4" borderId="10" xfId="0" applyFont="1" applyFill="1" applyBorder="1" applyAlignment="1">
      <alignment vertical="center"/>
    </xf>
    <xf numFmtId="171" fontId="4" fillId="4" borderId="10" xfId="0" applyNumberFormat="1" applyFont="1" applyFill="1" applyBorder="1" applyAlignment="1">
      <alignment horizontal="center" vertical="center"/>
    </xf>
    <xf numFmtId="171" fontId="29" fillId="4" borderId="10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2" fillId="0" borderId="5" xfId="0" applyFont="1" applyBorder="1"/>
    <xf numFmtId="170" fontId="3" fillId="2" borderId="75" xfId="0" applyNumberFormat="1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77" xfId="0" applyFont="1" applyBorder="1"/>
    <xf numFmtId="170" fontId="3" fillId="2" borderId="84" xfId="0" applyNumberFormat="1" applyFont="1" applyFill="1" applyBorder="1" applyAlignment="1">
      <alignment horizontal="center" vertical="center"/>
    </xf>
    <xf numFmtId="0" fontId="2" fillId="0" borderId="87" xfId="0" applyFont="1" applyBorder="1"/>
    <xf numFmtId="170" fontId="3" fillId="2" borderId="46" xfId="0" applyNumberFormat="1" applyFont="1" applyFill="1" applyBorder="1" applyAlignment="1">
      <alignment horizontal="center" vertical="center"/>
    </xf>
    <xf numFmtId="0" fontId="2" fillId="0" borderId="92" xfId="0" applyFont="1" applyBorder="1"/>
    <xf numFmtId="0" fontId="7" fillId="4" borderId="18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2" fillId="0" borderId="21" xfId="0" applyFont="1" applyBorder="1"/>
    <xf numFmtId="0" fontId="2" fillId="0" borderId="82" xfId="0" applyFont="1" applyBorder="1"/>
    <xf numFmtId="0" fontId="2" fillId="0" borderId="83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49" fontId="7" fillId="3" borderId="12" xfId="0" applyNumberFormat="1" applyFont="1" applyFill="1" applyBorder="1" applyAlignment="1">
      <alignment horizontal="left" vertical="center" shrinkToFit="1"/>
    </xf>
    <xf numFmtId="0" fontId="2" fillId="0" borderId="13" xfId="0" applyFont="1" applyBorder="1"/>
    <xf numFmtId="0" fontId="2" fillId="0" borderId="14" xfId="0" applyFont="1" applyBorder="1"/>
    <xf numFmtId="21" fontId="7" fillId="3" borderId="12" xfId="0" applyNumberFormat="1" applyFont="1" applyFill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left" vertical="center" shrinkToFit="1"/>
    </xf>
    <xf numFmtId="164" fontId="7" fillId="3" borderId="16" xfId="0" applyNumberFormat="1" applyFont="1" applyFill="1" applyBorder="1" applyAlignment="1">
      <alignment horizontal="center" vertical="center" shrinkToFit="1"/>
    </xf>
    <xf numFmtId="0" fontId="10" fillId="5" borderId="18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10" fillId="5" borderId="18" xfId="0" applyFont="1" applyFill="1" applyBorder="1" applyAlignment="1">
      <alignment horizontal="center" vertical="center" shrinkToFit="1"/>
    </xf>
    <xf numFmtId="0" fontId="2" fillId="0" borderId="25" xfId="0" applyFont="1" applyBorder="1"/>
    <xf numFmtId="0" fontId="4" fillId="5" borderId="18" xfId="0" applyFont="1" applyFill="1" applyBorder="1" applyAlignment="1">
      <alignment horizontal="center" vertical="center" shrinkToFit="1"/>
    </xf>
    <xf numFmtId="0" fontId="7" fillId="4" borderId="30" xfId="0" applyFont="1" applyFill="1" applyBorder="1" applyAlignment="1">
      <alignment horizontal="right" vertical="center" shrinkToFit="1"/>
    </xf>
    <xf numFmtId="0" fontId="2" fillId="0" borderId="31" xfId="0" applyFont="1" applyBorder="1"/>
    <xf numFmtId="0" fontId="2" fillId="0" borderId="32" xfId="0" applyFont="1" applyBorder="1"/>
    <xf numFmtId="2" fontId="7" fillId="2" borderId="33" xfId="0" applyNumberFormat="1" applyFont="1" applyFill="1" applyBorder="1" applyAlignment="1">
      <alignment horizontal="center" vertical="center" shrinkToFit="1"/>
    </xf>
    <xf numFmtId="0" fontId="2" fillId="0" borderId="34" xfId="0" applyFont="1" applyBorder="1"/>
    <xf numFmtId="49" fontId="7" fillId="3" borderId="33" xfId="0" applyNumberFormat="1" applyFont="1" applyFill="1" applyBorder="1" applyAlignment="1">
      <alignment horizontal="center" vertical="center" shrinkToFit="1"/>
    </xf>
    <xf numFmtId="0" fontId="2" fillId="0" borderId="35" xfId="0" applyFont="1" applyBorder="1"/>
    <xf numFmtId="0" fontId="7" fillId="4" borderId="1" xfId="0" applyFont="1" applyFill="1" applyBorder="1" applyAlignment="1">
      <alignment horizontal="right" vertical="center" shrinkToFit="1"/>
    </xf>
    <xf numFmtId="167" fontId="7" fillId="2" borderId="16" xfId="0" applyNumberFormat="1" applyFont="1" applyFill="1" applyBorder="1" applyAlignment="1">
      <alignment horizontal="center" vertical="center" shrinkToFit="1"/>
    </xf>
    <xf numFmtId="2" fontId="7" fillId="2" borderId="16" xfId="0" applyNumberFormat="1" applyFont="1" applyFill="1" applyBorder="1" applyAlignment="1">
      <alignment horizontal="center" vertical="center" shrinkToFit="1"/>
    </xf>
    <xf numFmtId="0" fontId="7" fillId="4" borderId="38" xfId="0" applyFont="1" applyFill="1" applyBorder="1" applyAlignment="1">
      <alignment horizontal="right" vertical="center" shrinkToFit="1"/>
    </xf>
    <xf numFmtId="0" fontId="7" fillId="5" borderId="43" xfId="0" applyFont="1" applyFill="1" applyBorder="1" applyAlignment="1">
      <alignment horizontal="center" vertical="center" shrinkToFit="1"/>
    </xf>
    <xf numFmtId="0" fontId="2" fillId="0" borderId="44" xfId="0" applyFont="1" applyBorder="1"/>
    <xf numFmtId="0" fontId="7" fillId="4" borderId="45" xfId="0" applyFont="1" applyFill="1" applyBorder="1" applyAlignment="1">
      <alignment horizontal="right" vertical="center" shrinkToFit="1"/>
    </xf>
    <xf numFmtId="1" fontId="7" fillId="2" borderId="16" xfId="0" applyNumberFormat="1" applyFont="1" applyFill="1" applyBorder="1" applyAlignment="1">
      <alignment horizontal="center" vertical="center" shrinkToFit="1"/>
    </xf>
    <xf numFmtId="0" fontId="7" fillId="4" borderId="46" xfId="0" applyFont="1" applyFill="1" applyBorder="1" applyAlignment="1">
      <alignment horizontal="right" vertical="center" shrinkToFit="1"/>
    </xf>
    <xf numFmtId="0" fontId="2" fillId="0" borderId="47" xfId="0" applyFont="1" applyBorder="1"/>
    <xf numFmtId="0" fontId="2" fillId="0" borderId="49" xfId="0" applyFont="1" applyBorder="1"/>
    <xf numFmtId="165" fontId="7" fillId="2" borderId="50" xfId="0" applyNumberFormat="1" applyFont="1" applyFill="1" applyBorder="1" applyAlignment="1">
      <alignment horizontal="center" vertical="center" shrinkToFit="1"/>
    </xf>
    <xf numFmtId="0" fontId="2" fillId="0" borderId="51" xfId="0" applyFont="1" applyBorder="1"/>
    <xf numFmtId="0" fontId="7" fillId="5" borderId="45" xfId="0" applyFont="1" applyFill="1" applyBorder="1" applyAlignment="1">
      <alignment horizontal="center" vertical="center"/>
    </xf>
    <xf numFmtId="0" fontId="2" fillId="0" borderId="61" xfId="0" applyFont="1" applyBorder="1"/>
    <xf numFmtId="0" fontId="7" fillId="5" borderId="1" xfId="0" applyFont="1" applyFill="1" applyBorder="1" applyAlignment="1">
      <alignment horizontal="center" vertical="center" shrinkToFit="1"/>
    </xf>
    <xf numFmtId="0" fontId="7" fillId="5" borderId="46" xfId="0" applyFont="1" applyFill="1" applyBorder="1" applyAlignment="1">
      <alignment horizontal="center" vertical="center" shrinkToFit="1"/>
    </xf>
    <xf numFmtId="0" fontId="2" fillId="0" borderId="48" xfId="0" applyFont="1" applyBorder="1"/>
    <xf numFmtId="0" fontId="13" fillId="5" borderId="18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/>
    </xf>
    <xf numFmtId="0" fontId="15" fillId="5" borderId="53" xfId="0" applyFont="1" applyFill="1" applyBorder="1" applyAlignment="1">
      <alignment horizontal="center" vertical="center" textRotation="90" wrapText="1"/>
    </xf>
    <xf numFmtId="0" fontId="2" fillId="0" borderId="55" xfId="0" applyFont="1" applyBorder="1"/>
    <xf numFmtId="0" fontId="2" fillId="0" borderId="60" xfId="0" applyFont="1" applyBorder="1"/>
    <xf numFmtId="0" fontId="7" fillId="5" borderId="54" xfId="0" applyFont="1" applyFill="1" applyBorder="1" applyAlignment="1">
      <alignment horizontal="center" vertical="center" shrinkToFit="1"/>
    </xf>
    <xf numFmtId="0" fontId="2" fillId="0" borderId="56" xfId="0" applyFont="1" applyBorder="1"/>
    <xf numFmtId="0" fontId="2" fillId="0" borderId="57" xfId="0" applyFont="1" applyBorder="1"/>
    <xf numFmtId="0" fontId="2" fillId="0" borderId="58" xfId="0" applyFont="1" applyBorder="1"/>
    <xf numFmtId="0" fontId="2" fillId="0" borderId="59" xfId="0" applyFont="1" applyBorder="1"/>
    <xf numFmtId="0" fontId="7" fillId="5" borderId="18" xfId="0" applyFont="1" applyFill="1" applyBorder="1" applyAlignment="1">
      <alignment horizontal="center" vertical="center" wrapText="1"/>
    </xf>
    <xf numFmtId="0" fontId="4" fillId="5" borderId="53" xfId="0" applyFont="1" applyFill="1" applyBorder="1" applyAlignment="1">
      <alignment horizontal="center" vertical="center" wrapText="1"/>
    </xf>
    <xf numFmtId="170" fontId="3" fillId="2" borderId="73" xfId="0" applyNumberFormat="1" applyFont="1" applyFill="1" applyBorder="1" applyAlignment="1">
      <alignment horizontal="center" vertical="center"/>
    </xf>
    <xf numFmtId="170" fontId="3" fillId="3" borderId="75" xfId="0" applyNumberFormat="1" applyFont="1" applyFill="1" applyBorder="1" applyAlignment="1">
      <alignment horizontal="center" vertical="center" shrinkToFit="1"/>
    </xf>
    <xf numFmtId="0" fontId="2" fillId="0" borderId="76" xfId="0" applyFont="1" applyBorder="1"/>
    <xf numFmtId="170" fontId="3" fillId="3" borderId="84" xfId="0" applyNumberFormat="1" applyFont="1" applyFill="1" applyBorder="1" applyAlignment="1">
      <alignment horizontal="center" vertical="center" shrinkToFit="1"/>
    </xf>
    <xf numFmtId="0" fontId="2" fillId="0" borderId="85" xfId="0" applyFont="1" applyBorder="1"/>
    <xf numFmtId="170" fontId="3" fillId="2" borderId="4" xfId="0" applyNumberFormat="1" applyFont="1" applyFill="1" applyBorder="1" applyAlignment="1">
      <alignment horizontal="center" vertical="center" shrinkToFit="1"/>
    </xf>
    <xf numFmtId="0" fontId="2" fillId="0" borderId="88" xfId="0" applyFont="1" applyBorder="1"/>
    <xf numFmtId="0" fontId="3" fillId="4" borderId="30" xfId="0" applyFont="1" applyFill="1" applyBorder="1" applyAlignment="1">
      <alignment horizontal="center" vertical="center"/>
    </xf>
    <xf numFmtId="0" fontId="12" fillId="5" borderId="64" xfId="0" applyFont="1" applyFill="1" applyBorder="1" applyAlignment="1">
      <alignment horizontal="center" vertical="center" shrinkToFit="1"/>
    </xf>
    <xf numFmtId="0" fontId="2" fillId="0" borderId="65" xfId="0" applyFont="1" applyBorder="1"/>
    <xf numFmtId="170" fontId="3" fillId="3" borderId="68" xfId="0" applyNumberFormat="1" applyFont="1" applyFill="1" applyBorder="1" applyAlignment="1">
      <alignment horizontal="center" vertical="center" shrinkToFit="1"/>
    </xf>
    <xf numFmtId="165" fontId="3" fillId="2" borderId="68" xfId="0" applyNumberFormat="1" applyFont="1" applyFill="1" applyBorder="1" applyAlignment="1">
      <alignment horizontal="center" vertical="center" shrinkToFit="1"/>
    </xf>
    <xf numFmtId="0" fontId="2" fillId="0" borderId="70" xfId="0" applyFont="1" applyBorder="1"/>
    <xf numFmtId="165" fontId="3" fillId="2" borderId="75" xfId="0" applyNumberFormat="1" applyFont="1" applyFill="1" applyBorder="1" applyAlignment="1">
      <alignment horizontal="center" vertical="center" shrinkToFit="1"/>
    </xf>
    <xf numFmtId="165" fontId="3" fillId="2" borderId="90" xfId="0" applyNumberFormat="1" applyFont="1" applyFill="1" applyBorder="1" applyAlignment="1">
      <alignment horizontal="center" vertical="center" shrinkToFit="1"/>
    </xf>
    <xf numFmtId="165" fontId="3" fillId="2" borderId="84" xfId="0" applyNumberFormat="1" applyFont="1" applyFill="1" applyBorder="1" applyAlignment="1">
      <alignment horizontal="center" vertical="center" shrinkToFit="1"/>
    </xf>
    <xf numFmtId="0" fontId="7" fillId="5" borderId="54" xfId="0" applyFont="1" applyFill="1" applyBorder="1" applyAlignment="1">
      <alignment horizontal="center" vertical="center" wrapText="1"/>
    </xf>
    <xf numFmtId="0" fontId="2" fillId="0" borderId="106" xfId="0" applyFont="1" applyBorder="1"/>
    <xf numFmtId="0" fontId="2" fillId="0" borderId="114" xfId="0" applyFont="1" applyBorder="1"/>
    <xf numFmtId="167" fontId="3" fillId="3" borderId="68" xfId="0" applyNumberFormat="1" applyFont="1" applyFill="1" applyBorder="1" applyAlignment="1">
      <alignment horizontal="center" vertical="center" shrinkToFit="1"/>
    </xf>
    <xf numFmtId="167" fontId="3" fillId="3" borderId="75" xfId="0" applyNumberFormat="1" applyFont="1" applyFill="1" applyBorder="1" applyAlignment="1">
      <alignment horizontal="center" vertical="center" shrinkToFit="1"/>
    </xf>
    <xf numFmtId="0" fontId="25" fillId="5" borderId="54" xfId="0" applyFont="1" applyFill="1" applyBorder="1" applyAlignment="1">
      <alignment horizontal="center" vertical="center"/>
    </xf>
    <xf numFmtId="0" fontId="2" fillId="0" borderId="129" xfId="0" applyFont="1" applyBorder="1"/>
    <xf numFmtId="0" fontId="7" fillId="5" borderId="30" xfId="0" applyFont="1" applyFill="1" applyBorder="1" applyAlignment="1">
      <alignment horizontal="center" vertical="center" shrinkToFit="1"/>
    </xf>
    <xf numFmtId="0" fontId="12" fillId="5" borderId="54" xfId="0" applyFont="1" applyFill="1" applyBorder="1" applyAlignment="1">
      <alignment horizontal="center" vertical="center" wrapText="1"/>
    </xf>
    <xf numFmtId="0" fontId="4" fillId="5" borderId="54" xfId="0" applyFont="1" applyFill="1" applyBorder="1" applyAlignment="1">
      <alignment horizontal="center" vertical="center"/>
    </xf>
    <xf numFmtId="165" fontId="7" fillId="2" borderId="50" xfId="0" applyNumberFormat="1" applyFont="1" applyFill="1" applyBorder="1" applyAlignment="1">
      <alignment vertical="center" shrinkToFit="1"/>
    </xf>
    <xf numFmtId="165" fontId="7" fillId="2" borderId="50" xfId="0" applyNumberFormat="1" applyFont="1" applyFill="1" applyBorder="1" applyAlignment="1">
      <alignment horizontal="center" vertical="center"/>
    </xf>
    <xf numFmtId="167" fontId="3" fillId="3" borderId="46" xfId="0" applyNumberFormat="1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 vertical="center" shrinkToFit="1"/>
    </xf>
    <xf numFmtId="167" fontId="7" fillId="4" borderId="1" xfId="0" applyNumberFormat="1" applyFont="1" applyFill="1" applyBorder="1" applyAlignment="1">
      <alignment vertical="center" shrinkToFit="1"/>
    </xf>
    <xf numFmtId="2" fontId="7" fillId="4" borderId="1" xfId="0" applyNumberFormat="1" applyFont="1" applyFill="1" applyBorder="1" applyAlignment="1">
      <alignment vertical="center" shrinkToFit="1"/>
    </xf>
    <xf numFmtId="3" fontId="7" fillId="4" borderId="1" xfId="0" applyNumberFormat="1" applyFont="1" applyFill="1" applyBorder="1" applyAlignment="1">
      <alignment vertical="center" shrinkToFit="1"/>
    </xf>
    <xf numFmtId="0" fontId="7" fillId="4" borderId="1" xfId="0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left" vertical="center" shrinkToFit="1"/>
    </xf>
    <xf numFmtId="21" fontId="7" fillId="3" borderId="12" xfId="0" applyNumberFormat="1" applyFont="1" applyFill="1" applyBorder="1" applyAlignment="1">
      <alignment horizontal="left" vertical="center" shrinkToFit="1"/>
    </xf>
    <xf numFmtId="21" fontId="7" fillId="3" borderId="16" xfId="0" applyNumberFormat="1" applyFont="1" applyFill="1" applyBorder="1" applyAlignment="1">
      <alignment horizontal="left" vertical="center" shrinkToFit="1"/>
    </xf>
    <xf numFmtId="0" fontId="4" fillId="5" borderId="4" xfId="0" applyFont="1" applyFill="1" applyBorder="1" applyAlignment="1">
      <alignment horizontal="center" vertical="center" shrinkToFit="1"/>
    </xf>
    <xf numFmtId="0" fontId="2" fillId="0" borderId="93" xfId="0" applyFont="1" applyBorder="1"/>
    <xf numFmtId="0" fontId="2" fillId="0" borderId="94" xfId="0" applyFont="1" applyBorder="1"/>
    <xf numFmtId="0" fontId="7" fillId="5" borderId="4" xfId="0" applyFont="1" applyFill="1" applyBorder="1" applyAlignment="1">
      <alignment horizontal="center" vertical="center" shrinkToFit="1"/>
    </xf>
    <xf numFmtId="0" fontId="4" fillId="5" borderId="43" xfId="0" applyFont="1" applyFill="1" applyBorder="1" applyAlignment="1">
      <alignment horizontal="center" vertical="center" shrinkToFit="1"/>
    </xf>
    <xf numFmtId="0" fontId="7" fillId="5" borderId="4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0" borderId="98" xfId="0" applyFont="1" applyBorder="1"/>
    <xf numFmtId="0" fontId="7" fillId="3" borderId="73" xfId="0" applyFont="1" applyFill="1" applyBorder="1" applyAlignment="1">
      <alignment horizontal="center" vertical="center"/>
    </xf>
    <xf numFmtId="0" fontId="7" fillId="3" borderId="7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167" fontId="7" fillId="2" borderId="16" xfId="0" applyNumberFormat="1" applyFont="1" applyFill="1" applyBorder="1" applyAlignment="1">
      <alignment horizontal="center" vertical="center"/>
    </xf>
    <xf numFmtId="0" fontId="7" fillId="3" borderId="50" xfId="0" applyFont="1" applyFill="1" applyBorder="1" applyAlignment="1">
      <alignment horizontal="center" vertical="center"/>
    </xf>
    <xf numFmtId="0" fontId="7" fillId="3" borderId="84" xfId="0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horizontal="center" vertical="center"/>
    </xf>
    <xf numFmtId="0" fontId="7" fillId="5" borderId="111" xfId="0" applyFont="1" applyFill="1" applyBorder="1" applyAlignment="1">
      <alignment horizontal="center" vertical="center" shrinkToFit="1"/>
    </xf>
    <xf numFmtId="0" fontId="2" fillId="0" borderId="118" xfId="0" applyFont="1" applyBorder="1"/>
    <xf numFmtId="0" fontId="7" fillId="5" borderId="53" xfId="0" applyFont="1" applyFill="1" applyBorder="1" applyAlignment="1">
      <alignment horizontal="center" vertical="center" wrapText="1"/>
    </xf>
    <xf numFmtId="0" fontId="2" fillId="0" borderId="113" xfId="0" applyFont="1" applyBorder="1"/>
    <xf numFmtId="165" fontId="7" fillId="5" borderId="53" xfId="0" applyNumberFormat="1" applyFont="1" applyFill="1" applyBorder="1" applyAlignment="1">
      <alignment horizontal="center" vertical="center" wrapText="1"/>
    </xf>
    <xf numFmtId="0" fontId="7" fillId="5" borderId="53" xfId="0" applyFont="1" applyFill="1" applyBorder="1" applyAlignment="1">
      <alignment horizontal="center" vertical="center"/>
    </xf>
    <xf numFmtId="0" fontId="15" fillId="5" borderId="53" xfId="0" applyFont="1" applyFill="1" applyBorder="1" applyAlignment="1">
      <alignment horizontal="center" vertical="center" wrapText="1"/>
    </xf>
    <xf numFmtId="0" fontId="7" fillId="5" borderId="53" xfId="0" applyFont="1" applyFill="1" applyBorder="1" applyAlignment="1">
      <alignment horizontal="center" vertical="center" shrinkToFit="1"/>
    </xf>
    <xf numFmtId="0" fontId="15" fillId="5" borderId="101" xfId="0" applyFont="1" applyFill="1" applyBorder="1" applyAlignment="1">
      <alignment horizontal="center" vertical="center" textRotation="90" wrapText="1"/>
    </xf>
    <xf numFmtId="0" fontId="2" fillId="0" borderId="105" xfId="0" applyFont="1" applyBorder="1"/>
    <xf numFmtId="0" fontId="2" fillId="0" borderId="112" xfId="0" applyFont="1" applyBorder="1"/>
    <xf numFmtId="0" fontId="23" fillId="5" borderId="53" xfId="0" applyFont="1" applyFill="1" applyBorder="1" applyAlignment="1">
      <alignment horizontal="center" vertical="center" wrapText="1"/>
    </xf>
    <xf numFmtId="0" fontId="7" fillId="5" borderId="102" xfId="0" applyFont="1" applyFill="1" applyBorder="1" applyAlignment="1">
      <alignment horizontal="center" vertical="center" shrinkToFit="1"/>
    </xf>
    <xf numFmtId="0" fontId="2" fillId="0" borderId="103" xfId="0" applyFont="1" applyBorder="1"/>
    <xf numFmtId="0" fontId="12" fillId="5" borderId="12" xfId="0" applyFont="1" applyFill="1" applyBorder="1" applyAlignment="1">
      <alignment horizontal="center" vertical="center" shrinkToFit="1"/>
    </xf>
    <xf numFmtId="0" fontId="2" fillId="0" borderId="108" xfId="0" applyFont="1" applyBorder="1"/>
    <xf numFmtId="0" fontId="3" fillId="4" borderId="139" xfId="0" applyFont="1" applyFill="1" applyBorder="1" applyAlignment="1">
      <alignment horizontal="center" vertical="center"/>
    </xf>
    <xf numFmtId="0" fontId="2" fillId="0" borderId="140" xfId="0" applyFont="1" applyBorder="1"/>
    <xf numFmtId="0" fontId="2" fillId="0" borderId="141" xfId="0" applyFont="1" applyBorder="1"/>
    <xf numFmtId="21" fontId="7" fillId="2" borderId="12" xfId="0" applyNumberFormat="1" applyFont="1" applyFill="1" applyBorder="1" applyAlignment="1">
      <alignment horizontal="left" vertical="center" shrinkToFit="1"/>
    </xf>
    <xf numFmtId="164" fontId="7" fillId="2" borderId="16" xfId="0" applyNumberFormat="1" applyFont="1" applyFill="1" applyBorder="1" applyAlignment="1">
      <alignment horizontal="center" vertical="center" shrinkToFit="1"/>
    </xf>
    <xf numFmtId="0" fontId="7" fillId="4" borderId="43" xfId="0" applyFont="1" applyFill="1" applyBorder="1" applyAlignment="1">
      <alignment horizontal="right" vertical="center" shrinkToFit="1"/>
    </xf>
    <xf numFmtId="0" fontId="7" fillId="3" borderId="33" xfId="0" applyFont="1" applyFill="1" applyBorder="1" applyAlignment="1">
      <alignment horizontal="center" vertical="center" shrinkToFit="1"/>
    </xf>
    <xf numFmtId="0" fontId="7" fillId="3" borderId="30" xfId="0" applyFont="1" applyFill="1" applyBorder="1" applyAlignment="1">
      <alignment horizontal="center" vertical="center" shrinkToFit="1"/>
    </xf>
    <xf numFmtId="0" fontId="7" fillId="5" borderId="4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shrinkToFit="1"/>
    </xf>
    <xf numFmtId="0" fontId="7" fillId="3" borderId="16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165" fontId="7" fillId="2" borderId="16" xfId="0" applyNumberFormat="1" applyFont="1" applyFill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 shrinkToFit="1"/>
    </xf>
    <xf numFmtId="1" fontId="7" fillId="2" borderId="16" xfId="0" applyNumberFormat="1" applyFont="1" applyFill="1" applyBorder="1" applyAlignment="1">
      <alignment horizontal="center" vertical="center"/>
    </xf>
    <xf numFmtId="2" fontId="7" fillId="2" borderId="16" xfId="0" applyNumberFormat="1" applyFont="1" applyFill="1" applyBorder="1" applyAlignment="1">
      <alignment horizontal="center" vertical="center"/>
    </xf>
    <xf numFmtId="166" fontId="4" fillId="2" borderId="12" xfId="0" applyNumberFormat="1" applyFont="1" applyFill="1" applyBorder="1" applyAlignment="1">
      <alignment horizontal="center" vertical="center"/>
    </xf>
    <xf numFmtId="0" fontId="27" fillId="5" borderId="143" xfId="0" applyFont="1" applyFill="1" applyBorder="1" applyAlignment="1">
      <alignment horizontal="center" vertical="center" shrinkToFit="1"/>
    </xf>
    <xf numFmtId="0" fontId="2" fillId="0" borderId="144" xfId="0" applyFont="1" applyBorder="1"/>
    <xf numFmtId="0" fontId="2" fillId="0" borderId="145" xfId="0" applyFont="1" applyBorder="1"/>
    <xf numFmtId="0" fontId="2" fillId="0" borderId="146" xfId="0" applyFont="1" applyBorder="1"/>
    <xf numFmtId="0" fontId="2" fillId="0" borderId="147" xfId="0" applyFont="1" applyBorder="1"/>
    <xf numFmtId="0" fontId="2" fillId="0" borderId="148" xfId="0" applyFont="1" applyBorder="1"/>
    <xf numFmtId="167" fontId="7" fillId="2" borderId="1" xfId="0" applyNumberFormat="1" applyFont="1" applyFill="1" applyBorder="1" applyAlignment="1">
      <alignment horizontal="center" vertical="center"/>
    </xf>
    <xf numFmtId="166" fontId="7" fillId="2" borderId="16" xfId="0" applyNumberFormat="1" applyFont="1" applyFill="1" applyBorder="1" applyAlignment="1">
      <alignment horizontal="center" vertical="center"/>
    </xf>
    <xf numFmtId="166" fontId="7" fillId="2" borderId="1" xfId="0" applyNumberFormat="1" applyFont="1" applyFill="1" applyBorder="1" applyAlignment="1">
      <alignment horizontal="center" vertical="center"/>
    </xf>
    <xf numFmtId="165" fontId="7" fillId="2" borderId="16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 shrinkToFit="1"/>
    </xf>
    <xf numFmtId="170" fontId="7" fillId="2" borderId="50" xfId="0" applyNumberFormat="1" applyFont="1" applyFill="1" applyBorder="1" applyAlignment="1">
      <alignment horizontal="center" vertical="center" shrinkToFit="1"/>
    </xf>
    <xf numFmtId="0" fontId="7" fillId="2" borderId="50" xfId="0" applyFont="1" applyFill="1" applyBorder="1" applyAlignment="1">
      <alignment horizontal="center" vertical="center" shrinkToFit="1"/>
    </xf>
    <xf numFmtId="0" fontId="7" fillId="5" borderId="142" xfId="0" applyFont="1" applyFill="1" applyBorder="1" applyAlignment="1">
      <alignment horizontal="center" vertical="center"/>
    </xf>
    <xf numFmtId="0" fontId="5" fillId="4" borderId="143" xfId="0" applyFont="1" applyFill="1" applyBorder="1" applyAlignment="1">
      <alignment horizontal="center" vertical="center"/>
    </xf>
    <xf numFmtId="167" fontId="4" fillId="2" borderId="12" xfId="0" applyNumberFormat="1" applyFont="1" applyFill="1" applyBorder="1" applyAlignment="1">
      <alignment horizontal="center" vertical="center"/>
    </xf>
    <xf numFmtId="165" fontId="7" fillId="2" borderId="12" xfId="0" applyNumberFormat="1" applyFont="1" applyFill="1" applyBorder="1" applyAlignment="1">
      <alignment horizontal="center" vertical="center"/>
    </xf>
    <xf numFmtId="4" fontId="7" fillId="2" borderId="16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shrinkToFit="1"/>
    </xf>
    <xf numFmtId="0" fontId="7" fillId="2" borderId="12" xfId="0" applyFont="1" applyFill="1" applyBorder="1" applyAlignment="1">
      <alignment horizontal="left" vertical="center" shrinkToFit="1"/>
    </xf>
    <xf numFmtId="49" fontId="7" fillId="2" borderId="16" xfId="0" applyNumberFormat="1" applyFont="1" applyFill="1" applyBorder="1" applyAlignment="1">
      <alignment horizontal="left" vertical="center" shrinkToFit="1"/>
    </xf>
    <xf numFmtId="0" fontId="2" fillId="0" borderId="149" xfId="0" applyFont="1" applyBorder="1"/>
    <xf numFmtId="0" fontId="44" fillId="2" borderId="4" xfId="0" applyFont="1" applyFill="1" applyBorder="1"/>
    <xf numFmtId="0" fontId="45" fillId="0" borderId="5" xfId="0" applyFont="1" applyBorder="1"/>
    <xf numFmtId="0" fontId="46" fillId="0" borderId="0" xfId="0" applyFont="1"/>
    <xf numFmtId="0" fontId="47" fillId="0" borderId="0" xfId="0" applyFont="1" applyAlignment="1"/>
    <xf numFmtId="0" fontId="48" fillId="0" borderId="0" xfId="0" applyFont="1"/>
    <xf numFmtId="0" fontId="49" fillId="0" borderId="0" xfId="0" applyFont="1"/>
    <xf numFmtId="0" fontId="48" fillId="0" borderId="0" xfId="0" applyFont="1" applyAlignment="1">
      <alignment horizontal="left" shrinkToFit="1"/>
    </xf>
    <xf numFmtId="0" fontId="50" fillId="0" borderId="0" xfId="0" applyFont="1" applyAlignment="1"/>
    <xf numFmtId="0" fontId="50" fillId="0" borderId="0" xfId="0" applyFont="1" applyAlignment="1"/>
    <xf numFmtId="0" fontId="48" fillId="0" borderId="0" xfId="0" quotePrefix="1" applyFont="1"/>
    <xf numFmtId="0" fontId="49" fillId="3" borderId="6" xfId="0" applyFont="1" applyFill="1" applyBorder="1"/>
    <xf numFmtId="0" fontId="49" fillId="2" borderId="6" xfId="0" applyFont="1" applyFill="1" applyBorder="1"/>
  </cellXfs>
  <cellStyles count="1">
    <cellStyle name="Normal" xfId="0" builtinId="0"/>
  </cellStyles>
  <dxfs count="45"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92D050"/>
          <bgColor rgb="FF92D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92D050"/>
          <bgColor rgb="FF92D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92D050"/>
          <bgColor rgb="FF92D05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80"/>
      </font>
      <fill>
        <patternFill patternType="solid">
          <fgColor rgb="FFCCFFCC"/>
          <bgColor rgb="FFCCFFCC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3366FF"/>
          <bgColor rgb="FF3366FF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000080"/>
      </font>
      <fill>
        <patternFill patternType="solid">
          <fgColor rgb="FFCCFFCC"/>
          <bgColor rgb="FFCCFFCC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3366FF"/>
          <bgColor rgb="FF3366FF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/>
        <color rgb="FFFFFFFF"/>
      </font>
      <fill>
        <patternFill patternType="solid">
          <fgColor rgb="FF0000FF"/>
          <bgColor rgb="FF0000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zoomScale="229" workbookViewId="0">
      <selection activeCell="A5" sqref="A5:J5"/>
    </sheetView>
  </sheetViews>
  <sheetFormatPr baseColWidth="10" defaultColWidth="14.5" defaultRowHeight="15" customHeight="1"/>
  <cols>
    <col min="1" max="10" width="9.1640625" customWidth="1"/>
    <col min="11" max="26" width="8.6640625" customWidth="1"/>
  </cols>
  <sheetData>
    <row r="1" spans="1:26" ht="12.75" customHeight="1">
      <c r="A1" s="271" t="s">
        <v>0</v>
      </c>
      <c r="B1" s="272"/>
      <c r="C1" s="272"/>
      <c r="D1" s="272"/>
      <c r="E1" s="272"/>
      <c r="F1" s="272"/>
      <c r="G1" s="272"/>
      <c r="H1" s="272"/>
      <c r="I1" s="272"/>
      <c r="J1" s="27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271" t="s">
        <v>1</v>
      </c>
      <c r="B2" s="272"/>
      <c r="C2" s="272"/>
      <c r="D2" s="272"/>
      <c r="E2" s="272"/>
      <c r="F2" s="272"/>
      <c r="G2" s="272"/>
      <c r="H2" s="272"/>
      <c r="I2" s="272"/>
      <c r="J2" s="27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274" t="s">
        <v>2</v>
      </c>
      <c r="B3" s="275"/>
      <c r="C3" s="275"/>
      <c r="D3" s="275"/>
      <c r="E3" s="275"/>
      <c r="F3" s="275"/>
      <c r="G3" s="275"/>
      <c r="H3" s="275"/>
      <c r="I3" s="275"/>
      <c r="J3" s="27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276"/>
      <c r="B4" s="275"/>
      <c r="C4" s="275"/>
      <c r="D4" s="275"/>
      <c r="E4" s="275"/>
      <c r="F4" s="275"/>
      <c r="G4" s="275"/>
      <c r="H4" s="275"/>
      <c r="I4" s="275"/>
      <c r="J4" s="27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277" t="s">
        <v>3</v>
      </c>
      <c r="B5" s="272"/>
      <c r="C5" s="272"/>
      <c r="D5" s="272"/>
      <c r="E5" s="272"/>
      <c r="F5" s="272"/>
      <c r="G5" s="272"/>
      <c r="H5" s="272"/>
      <c r="I5" s="272"/>
      <c r="J5" s="27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276"/>
      <c r="B6" s="275"/>
      <c r="C6" s="275"/>
      <c r="D6" s="275"/>
      <c r="E6" s="275"/>
      <c r="F6" s="275"/>
      <c r="G6" s="275"/>
      <c r="H6" s="275"/>
      <c r="I6" s="275"/>
      <c r="J6" s="27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276"/>
      <c r="B7" s="275"/>
      <c r="C7" s="275"/>
      <c r="D7" s="275"/>
      <c r="E7" s="275"/>
      <c r="F7" s="275"/>
      <c r="G7" s="275"/>
      <c r="H7" s="275"/>
      <c r="I7" s="275"/>
      <c r="J7" s="27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274"/>
      <c r="B8" s="275"/>
      <c r="C8" s="275"/>
      <c r="D8" s="275"/>
      <c r="E8" s="275"/>
      <c r="F8" s="275"/>
      <c r="G8" s="275"/>
      <c r="H8" s="275"/>
      <c r="I8" s="275"/>
      <c r="J8" s="27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274" t="s">
        <v>4</v>
      </c>
      <c r="B9" s="275"/>
      <c r="C9" s="275"/>
      <c r="D9" s="275"/>
      <c r="E9" s="275"/>
      <c r="F9" s="275"/>
      <c r="G9" s="275"/>
      <c r="H9" s="275"/>
      <c r="I9" s="275"/>
      <c r="J9" s="27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274" t="s">
        <v>5</v>
      </c>
      <c r="B10" s="275"/>
      <c r="C10" s="275"/>
      <c r="D10" s="275"/>
      <c r="E10" s="275"/>
      <c r="F10" s="275"/>
      <c r="G10" s="275"/>
      <c r="H10" s="275"/>
      <c r="I10" s="275"/>
      <c r="J10" s="27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274" t="s">
        <v>6</v>
      </c>
      <c r="B11" s="275"/>
      <c r="C11" s="275"/>
      <c r="D11" s="275"/>
      <c r="E11" s="275"/>
      <c r="F11" s="275"/>
      <c r="G11" s="275"/>
      <c r="H11" s="275"/>
      <c r="I11" s="275"/>
      <c r="J11" s="27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274" t="s">
        <v>7</v>
      </c>
      <c r="B12" s="275"/>
      <c r="C12" s="275"/>
      <c r="D12" s="275"/>
      <c r="E12" s="275"/>
      <c r="F12" s="275"/>
      <c r="G12" s="275"/>
      <c r="H12" s="275"/>
      <c r="I12" s="275"/>
      <c r="J12" s="27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274" t="s">
        <v>8</v>
      </c>
      <c r="B13" s="275"/>
      <c r="C13" s="275"/>
      <c r="D13" s="275"/>
      <c r="E13" s="275"/>
      <c r="F13" s="275"/>
      <c r="G13" s="275"/>
      <c r="H13" s="275"/>
      <c r="I13" s="275"/>
      <c r="J13" s="27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274" t="s">
        <v>9</v>
      </c>
      <c r="B14" s="275"/>
      <c r="C14" s="275"/>
      <c r="D14" s="275"/>
      <c r="E14" s="275"/>
      <c r="F14" s="275"/>
      <c r="G14" s="275"/>
      <c r="H14" s="275"/>
      <c r="I14" s="275"/>
      <c r="J14" s="27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274"/>
      <c r="B15" s="275"/>
      <c r="C15" s="275"/>
      <c r="D15" s="275"/>
      <c r="E15" s="275"/>
      <c r="F15" s="275"/>
      <c r="G15" s="275"/>
      <c r="H15" s="275"/>
      <c r="I15" s="275"/>
      <c r="J15" s="27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274" t="s">
        <v>10</v>
      </c>
      <c r="B16" s="275"/>
      <c r="C16" s="275"/>
      <c r="D16" s="275"/>
      <c r="E16" s="275"/>
      <c r="F16" s="275"/>
      <c r="G16" s="275"/>
      <c r="H16" s="275"/>
      <c r="I16" s="275"/>
      <c r="J16" s="27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s="456" customFormat="1" ht="12.75" customHeight="1">
      <c r="A20" s="453" t="s">
        <v>11</v>
      </c>
      <c r="B20" s="454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  <c r="P20" s="455"/>
      <c r="Q20" s="455"/>
      <c r="R20" s="455"/>
      <c r="S20" s="455"/>
      <c r="T20" s="455"/>
      <c r="U20" s="455"/>
      <c r="V20" s="455"/>
      <c r="W20" s="455"/>
      <c r="X20" s="455"/>
      <c r="Y20" s="455"/>
      <c r="Z20" s="455"/>
    </row>
    <row r="21" spans="1:26" s="461" customFormat="1" ht="12.75" customHeight="1">
      <c r="A21" s="458"/>
      <c r="B21" s="458"/>
      <c r="C21" s="458"/>
      <c r="D21" s="458"/>
      <c r="E21" s="458"/>
      <c r="F21" s="458"/>
      <c r="G21" s="458"/>
      <c r="H21" s="458"/>
      <c r="I21" s="458"/>
      <c r="J21" s="458"/>
      <c r="K21" s="458"/>
      <c r="L21" s="458"/>
      <c r="M21" s="458"/>
      <c r="N21" s="458"/>
      <c r="O21" s="458"/>
      <c r="P21" s="458"/>
      <c r="Q21" s="458"/>
      <c r="R21" s="458"/>
      <c r="S21" s="458"/>
      <c r="T21" s="458"/>
      <c r="U21" s="458"/>
      <c r="V21" s="458"/>
      <c r="W21" s="458"/>
      <c r="X21" s="458"/>
      <c r="Y21" s="458"/>
      <c r="Z21" s="458"/>
    </row>
    <row r="22" spans="1:26" s="461" customFormat="1" ht="12.75" customHeight="1">
      <c r="A22" s="458"/>
      <c r="B22" s="458"/>
      <c r="C22" s="458"/>
      <c r="D22" s="458"/>
      <c r="E22" s="458"/>
      <c r="F22" s="458"/>
      <c r="G22" s="458"/>
      <c r="H22" s="458"/>
      <c r="I22" s="458"/>
      <c r="J22" s="458"/>
      <c r="K22" s="458"/>
      <c r="L22" s="458"/>
      <c r="M22" s="458"/>
      <c r="N22" s="458"/>
      <c r="O22" s="458"/>
      <c r="P22" s="458"/>
      <c r="Q22" s="458"/>
      <c r="R22" s="458"/>
      <c r="S22" s="458"/>
      <c r="T22" s="458"/>
      <c r="U22" s="458"/>
      <c r="V22" s="458"/>
      <c r="W22" s="458"/>
      <c r="X22" s="458"/>
      <c r="Y22" s="458"/>
      <c r="Z22" s="458"/>
    </row>
    <row r="23" spans="1:26" s="461" customFormat="1" ht="12.75" customHeight="1">
      <c r="A23" s="462" t="s">
        <v>12</v>
      </c>
      <c r="B23" s="463"/>
      <c r="C23" s="457" t="s">
        <v>13</v>
      </c>
      <c r="D23" s="457"/>
      <c r="E23" s="457"/>
      <c r="F23" s="457"/>
      <c r="G23" s="458"/>
      <c r="H23" s="458"/>
      <c r="I23" s="458"/>
      <c r="J23" s="458"/>
      <c r="K23" s="458"/>
      <c r="L23" s="458"/>
      <c r="M23" s="458"/>
      <c r="N23" s="458"/>
      <c r="O23" s="458"/>
      <c r="P23" s="458"/>
      <c r="Q23" s="458"/>
      <c r="R23" s="458"/>
      <c r="S23" s="458"/>
      <c r="T23" s="458"/>
      <c r="U23" s="458"/>
      <c r="V23" s="458"/>
      <c r="W23" s="458"/>
      <c r="X23" s="458"/>
      <c r="Y23" s="458"/>
      <c r="Z23" s="458"/>
    </row>
    <row r="24" spans="1:26" s="461" customFormat="1" ht="12.75" customHeight="1">
      <c r="A24" s="457"/>
      <c r="B24" s="458"/>
      <c r="C24" s="457"/>
      <c r="D24" s="457"/>
      <c r="E24" s="457"/>
      <c r="F24" s="457"/>
      <c r="G24" s="458"/>
      <c r="H24" s="458"/>
      <c r="I24" s="458"/>
      <c r="J24" s="458"/>
      <c r="K24" s="458"/>
      <c r="L24" s="458"/>
      <c r="M24" s="458"/>
      <c r="N24" s="458"/>
      <c r="O24" s="458"/>
      <c r="P24" s="458"/>
      <c r="Q24" s="458"/>
      <c r="R24" s="458"/>
      <c r="S24" s="458"/>
      <c r="T24" s="458"/>
      <c r="U24" s="458"/>
      <c r="V24" s="458"/>
      <c r="W24" s="458"/>
      <c r="X24" s="458"/>
      <c r="Y24" s="458"/>
      <c r="Z24" s="458"/>
    </row>
    <row r="25" spans="1:26" s="461" customFormat="1" ht="12.75" customHeight="1">
      <c r="A25" s="462" t="s">
        <v>14</v>
      </c>
      <c r="B25" s="464"/>
      <c r="C25" s="457" t="s">
        <v>15</v>
      </c>
      <c r="D25" s="457"/>
      <c r="E25" s="457"/>
      <c r="F25" s="457"/>
      <c r="G25" s="458"/>
      <c r="H25" s="458"/>
      <c r="I25" s="458"/>
      <c r="J25" s="458"/>
      <c r="K25" s="458"/>
      <c r="L25" s="458"/>
      <c r="M25" s="458"/>
      <c r="N25" s="458"/>
      <c r="O25" s="458"/>
      <c r="P25" s="458"/>
      <c r="Q25" s="458"/>
      <c r="R25" s="458"/>
      <c r="S25" s="458"/>
      <c r="T25" s="458"/>
      <c r="U25" s="458"/>
      <c r="V25" s="458"/>
      <c r="W25" s="458"/>
      <c r="X25" s="458"/>
      <c r="Y25" s="458"/>
      <c r="Z25" s="458"/>
    </row>
    <row r="26" spans="1:26" s="461" customFormat="1" ht="12.75" customHeight="1">
      <c r="A26" s="457"/>
      <c r="B26" s="458"/>
      <c r="C26" s="458"/>
      <c r="D26" s="458"/>
      <c r="E26" s="458"/>
      <c r="F26" s="458"/>
      <c r="G26" s="458"/>
      <c r="H26" s="458"/>
      <c r="I26" s="458"/>
      <c r="J26" s="458"/>
      <c r="K26" s="458"/>
      <c r="L26" s="458"/>
      <c r="M26" s="458"/>
      <c r="N26" s="458"/>
      <c r="O26" s="458"/>
      <c r="P26" s="458"/>
      <c r="Q26" s="458"/>
      <c r="R26" s="458"/>
      <c r="S26" s="458"/>
      <c r="T26" s="458"/>
      <c r="U26" s="458"/>
      <c r="V26" s="458"/>
      <c r="W26" s="458"/>
      <c r="X26" s="458"/>
      <c r="Y26" s="458"/>
      <c r="Z26" s="458"/>
    </row>
    <row r="27" spans="1:26" s="461" customFormat="1" ht="12.75" customHeight="1">
      <c r="A27" s="462" t="s">
        <v>16</v>
      </c>
      <c r="B27" s="457" t="s">
        <v>17</v>
      </c>
      <c r="C27" s="458"/>
      <c r="D27" s="458"/>
      <c r="E27" s="458"/>
      <c r="F27" s="458"/>
      <c r="G27" s="458"/>
      <c r="H27" s="458"/>
      <c r="I27" s="458"/>
      <c r="J27" s="458"/>
      <c r="K27" s="458"/>
      <c r="L27" s="458"/>
      <c r="M27" s="458"/>
      <c r="N27" s="458"/>
      <c r="O27" s="458"/>
      <c r="P27" s="458"/>
      <c r="Q27" s="458"/>
      <c r="R27" s="458"/>
      <c r="S27" s="458"/>
      <c r="T27" s="458"/>
      <c r="U27" s="458"/>
      <c r="V27" s="458"/>
      <c r="W27" s="458"/>
      <c r="X27" s="458"/>
      <c r="Y27" s="458"/>
      <c r="Z27" s="458"/>
    </row>
    <row r="28" spans="1:26" s="461" customFormat="1" ht="12.75" customHeight="1">
      <c r="A28" s="458"/>
      <c r="B28" s="458"/>
      <c r="C28" s="458"/>
      <c r="D28" s="458"/>
      <c r="E28" s="458"/>
      <c r="F28" s="458"/>
      <c r="G28" s="458"/>
      <c r="H28" s="458"/>
      <c r="I28" s="458"/>
      <c r="J28" s="458"/>
      <c r="K28" s="458"/>
      <c r="L28" s="458"/>
      <c r="M28" s="458"/>
      <c r="N28" s="458"/>
      <c r="O28" s="458"/>
      <c r="P28" s="458"/>
      <c r="Q28" s="458"/>
      <c r="R28" s="458"/>
      <c r="S28" s="458"/>
      <c r="T28" s="458"/>
      <c r="U28" s="458"/>
      <c r="V28" s="458"/>
      <c r="W28" s="458"/>
      <c r="X28" s="458"/>
      <c r="Y28" s="458"/>
      <c r="Z28" s="458"/>
    </row>
    <row r="29" spans="1:26" s="461" customFormat="1" ht="12.75" customHeight="1">
      <c r="A29" s="462" t="s">
        <v>18</v>
      </c>
      <c r="B29" s="457" t="s">
        <v>19</v>
      </c>
      <c r="C29" s="458"/>
      <c r="D29" s="458"/>
      <c r="E29" s="458"/>
      <c r="F29" s="458"/>
      <c r="G29" s="458"/>
      <c r="H29" s="458"/>
      <c r="I29" s="458"/>
      <c r="J29" s="458"/>
      <c r="K29" s="458"/>
      <c r="L29" s="458"/>
      <c r="M29" s="458"/>
      <c r="N29" s="458"/>
      <c r="O29" s="458"/>
      <c r="P29" s="458"/>
      <c r="Q29" s="458"/>
      <c r="R29" s="458"/>
      <c r="S29" s="458"/>
      <c r="T29" s="458"/>
      <c r="U29" s="458"/>
      <c r="V29" s="458"/>
      <c r="W29" s="458"/>
      <c r="X29" s="458"/>
      <c r="Y29" s="458"/>
      <c r="Z29" s="458"/>
    </row>
    <row r="30" spans="1:26" s="461" customFormat="1" ht="12.75" customHeight="1">
      <c r="A30" s="458"/>
      <c r="B30" s="457" t="s">
        <v>20</v>
      </c>
      <c r="C30" s="458"/>
      <c r="D30" s="458"/>
      <c r="E30" s="458"/>
      <c r="F30" s="458"/>
      <c r="G30" s="458"/>
      <c r="H30" s="458"/>
      <c r="I30" s="458"/>
      <c r="J30" s="458"/>
      <c r="K30" s="458"/>
      <c r="L30" s="458"/>
      <c r="M30" s="458"/>
      <c r="N30" s="458"/>
      <c r="O30" s="458"/>
      <c r="P30" s="458"/>
      <c r="Q30" s="458"/>
      <c r="R30" s="458"/>
      <c r="S30" s="458"/>
      <c r="T30" s="458"/>
      <c r="U30" s="458"/>
      <c r="V30" s="458"/>
      <c r="W30" s="458"/>
      <c r="X30" s="458"/>
      <c r="Y30" s="458"/>
      <c r="Z30" s="458"/>
    </row>
    <row r="31" spans="1:26" s="461" customFormat="1" ht="12.75" customHeight="1">
      <c r="A31" s="458"/>
      <c r="B31" s="458"/>
      <c r="C31" s="458"/>
      <c r="D31" s="458"/>
      <c r="E31" s="458"/>
      <c r="F31" s="458"/>
      <c r="G31" s="458"/>
      <c r="H31" s="458"/>
      <c r="I31" s="458"/>
      <c r="J31" s="458"/>
      <c r="K31" s="458"/>
      <c r="L31" s="458"/>
      <c r="M31" s="458"/>
      <c r="N31" s="458"/>
      <c r="O31" s="458"/>
      <c r="P31" s="458"/>
      <c r="Q31" s="458"/>
      <c r="R31" s="458"/>
      <c r="S31" s="458"/>
      <c r="T31" s="458"/>
      <c r="U31" s="458"/>
      <c r="V31" s="458"/>
      <c r="W31" s="458"/>
      <c r="X31" s="458"/>
      <c r="Y31" s="458"/>
      <c r="Z31" s="458"/>
    </row>
    <row r="32" spans="1:26" s="461" customFormat="1" ht="12.75" customHeight="1">
      <c r="A32" s="462" t="s">
        <v>21</v>
      </c>
      <c r="B32" s="459" t="s">
        <v>22</v>
      </c>
      <c r="C32" s="460"/>
      <c r="D32" s="460"/>
      <c r="E32" s="460"/>
      <c r="F32" s="460"/>
      <c r="G32" s="460"/>
      <c r="H32" s="460"/>
      <c r="I32" s="460"/>
      <c r="J32" s="460"/>
      <c r="K32" s="458"/>
      <c r="L32" s="458"/>
      <c r="M32" s="458"/>
      <c r="N32" s="458"/>
      <c r="O32" s="458"/>
      <c r="P32" s="458"/>
      <c r="Q32" s="458"/>
      <c r="R32" s="458"/>
      <c r="S32" s="458"/>
      <c r="T32" s="458"/>
      <c r="U32" s="458"/>
      <c r="V32" s="458"/>
      <c r="W32" s="458"/>
      <c r="X32" s="458"/>
      <c r="Y32" s="458"/>
      <c r="Z32" s="458"/>
    </row>
    <row r="33" spans="1:26" s="461" customFormat="1" ht="12.75" customHeight="1">
      <c r="A33" s="458"/>
      <c r="B33" s="459" t="s">
        <v>23</v>
      </c>
      <c r="C33" s="460"/>
      <c r="D33" s="460"/>
      <c r="E33" s="460"/>
      <c r="F33" s="460"/>
      <c r="G33" s="460"/>
      <c r="H33" s="460"/>
      <c r="I33" s="460"/>
      <c r="J33" s="460"/>
      <c r="K33" s="458"/>
      <c r="L33" s="458"/>
      <c r="M33" s="458"/>
      <c r="N33" s="458"/>
      <c r="O33" s="458"/>
      <c r="P33" s="458"/>
      <c r="Q33" s="458"/>
      <c r="R33" s="458"/>
      <c r="S33" s="458"/>
      <c r="T33" s="458"/>
      <c r="U33" s="458"/>
      <c r="V33" s="458"/>
      <c r="W33" s="458"/>
      <c r="X33" s="458"/>
      <c r="Y33" s="458"/>
      <c r="Z33" s="458"/>
    </row>
    <row r="34" spans="1:26" s="461" customFormat="1" ht="12.75" customHeight="1">
      <c r="A34" s="458"/>
      <c r="B34" s="459" t="s">
        <v>24</v>
      </c>
      <c r="C34" s="460"/>
      <c r="D34" s="460"/>
      <c r="E34" s="460"/>
      <c r="F34" s="460"/>
      <c r="G34" s="460"/>
      <c r="H34" s="460"/>
      <c r="I34" s="460"/>
      <c r="J34" s="460"/>
      <c r="K34" s="458"/>
      <c r="L34" s="458"/>
      <c r="M34" s="458"/>
      <c r="N34" s="458"/>
      <c r="O34" s="458"/>
      <c r="P34" s="458"/>
      <c r="Q34" s="458"/>
      <c r="R34" s="458"/>
      <c r="S34" s="458"/>
      <c r="T34" s="458"/>
      <c r="U34" s="458"/>
      <c r="V34" s="458"/>
      <c r="W34" s="458"/>
      <c r="X34" s="458"/>
      <c r="Y34" s="458"/>
      <c r="Z34" s="458"/>
    </row>
    <row r="35" spans="1:26" s="461" customFormat="1" ht="12.75" customHeight="1">
      <c r="A35" s="458"/>
      <c r="B35" s="459" t="s">
        <v>25</v>
      </c>
      <c r="C35" s="460"/>
      <c r="D35" s="460"/>
      <c r="E35" s="460"/>
      <c r="F35" s="460"/>
      <c r="G35" s="460"/>
      <c r="H35" s="460"/>
      <c r="I35" s="460"/>
      <c r="J35" s="460"/>
      <c r="K35" s="458"/>
      <c r="L35" s="458"/>
      <c r="M35" s="458"/>
      <c r="N35" s="458"/>
      <c r="O35" s="458"/>
      <c r="P35" s="458"/>
      <c r="Q35" s="458"/>
      <c r="R35" s="458"/>
      <c r="S35" s="458"/>
      <c r="T35" s="458"/>
      <c r="U35" s="458"/>
      <c r="V35" s="458"/>
      <c r="W35" s="458"/>
      <c r="X35" s="458"/>
      <c r="Y35" s="458"/>
      <c r="Z35" s="458"/>
    </row>
    <row r="36" spans="1:26" s="461" customFormat="1" ht="12.75" customHeight="1">
      <c r="A36" s="458"/>
      <c r="B36" s="458"/>
      <c r="C36" s="458"/>
      <c r="D36" s="458"/>
      <c r="E36" s="458"/>
      <c r="F36" s="458"/>
      <c r="G36" s="458"/>
      <c r="H36" s="458"/>
      <c r="I36" s="458"/>
      <c r="J36" s="458"/>
      <c r="K36" s="458"/>
      <c r="L36" s="458"/>
      <c r="M36" s="458"/>
      <c r="N36" s="458"/>
      <c r="O36" s="458"/>
      <c r="P36" s="458"/>
      <c r="Q36" s="458"/>
      <c r="R36" s="458"/>
      <c r="S36" s="458"/>
      <c r="T36" s="458"/>
      <c r="U36" s="458"/>
      <c r="V36" s="458"/>
      <c r="W36" s="458"/>
      <c r="X36" s="458"/>
      <c r="Y36" s="458"/>
      <c r="Z36" s="458"/>
    </row>
    <row r="37" spans="1:26" s="461" customFormat="1" ht="12.75" customHeight="1">
      <c r="A37" s="458"/>
      <c r="B37" s="458"/>
      <c r="C37" s="458"/>
      <c r="D37" s="458"/>
      <c r="E37" s="458"/>
      <c r="F37" s="458"/>
      <c r="G37" s="458"/>
      <c r="H37" s="458"/>
      <c r="I37" s="458"/>
      <c r="J37" s="458"/>
      <c r="K37" s="458"/>
      <c r="L37" s="458"/>
      <c r="M37" s="458"/>
      <c r="N37" s="458"/>
      <c r="O37" s="458"/>
      <c r="P37" s="458"/>
      <c r="Q37" s="458"/>
      <c r="R37" s="458"/>
      <c r="S37" s="458"/>
      <c r="T37" s="458"/>
      <c r="U37" s="458"/>
      <c r="V37" s="458"/>
      <c r="W37" s="458"/>
      <c r="X37" s="458"/>
      <c r="Y37" s="458"/>
      <c r="Z37" s="458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B32:J32"/>
    <mergeCell ref="B33:J33"/>
    <mergeCell ref="B34:J34"/>
    <mergeCell ref="B35:J35"/>
    <mergeCell ref="A8:J8"/>
    <mergeCell ref="A9:J9"/>
    <mergeCell ref="A10:J10"/>
    <mergeCell ref="A11:J11"/>
    <mergeCell ref="A12:J12"/>
    <mergeCell ref="A13:J13"/>
    <mergeCell ref="A14:J14"/>
    <mergeCell ref="A6:J6"/>
    <mergeCell ref="A7:J7"/>
    <mergeCell ref="A15:J15"/>
    <mergeCell ref="A16:J16"/>
    <mergeCell ref="A20:B20"/>
    <mergeCell ref="A1:J1"/>
    <mergeCell ref="A2:J2"/>
    <mergeCell ref="A3:J3"/>
    <mergeCell ref="A4:J4"/>
    <mergeCell ref="A5:J5"/>
  </mergeCells>
  <printOptions horizontalCentered="1"/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000"/>
  <sheetViews>
    <sheetView zoomScale="136" workbookViewId="0">
      <selection activeCell="E9" sqref="E9"/>
    </sheetView>
  </sheetViews>
  <sheetFormatPr baseColWidth="10" defaultColWidth="14.5" defaultRowHeight="15" customHeight="1"/>
  <cols>
    <col min="1" max="1" width="1" customWidth="1"/>
    <col min="2" max="2" width="4.83203125" customWidth="1"/>
    <col min="3" max="3" width="8.5" customWidth="1"/>
    <col min="4" max="4" width="7.5" customWidth="1"/>
    <col min="5" max="6" width="8.83203125" customWidth="1"/>
    <col min="7" max="8" width="6.33203125" customWidth="1"/>
    <col min="9" max="9" width="6.5" customWidth="1"/>
    <col min="10" max="10" width="6.33203125" customWidth="1"/>
    <col min="11" max="11" width="1" customWidth="1"/>
    <col min="12" max="12" width="7.5" customWidth="1"/>
    <col min="13" max="16" width="6.33203125" customWidth="1"/>
    <col min="17" max="17" width="6.5" customWidth="1"/>
    <col min="18" max="18" width="6.33203125" customWidth="1"/>
    <col min="19" max="20" width="1" customWidth="1"/>
    <col min="21" max="21" width="9.6640625" customWidth="1"/>
    <col min="22" max="23" width="6.33203125" customWidth="1"/>
    <col min="24" max="24" width="9.6640625" customWidth="1"/>
    <col min="25" max="25" width="13.6640625" customWidth="1"/>
    <col min="26" max="26" width="6.5" customWidth="1"/>
    <col min="27" max="30" width="6.33203125" customWidth="1"/>
  </cols>
  <sheetData>
    <row r="1" spans="1:30" ht="5.2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/>
      <c r="U1" s="5"/>
      <c r="V1" s="5"/>
      <c r="W1" s="6"/>
      <c r="X1" s="7"/>
      <c r="Y1" s="7"/>
      <c r="Z1" s="5"/>
      <c r="AA1" s="5"/>
      <c r="AB1" s="5"/>
      <c r="AC1" s="5"/>
      <c r="AD1" s="5"/>
    </row>
    <row r="2" spans="1:30" ht="15" customHeight="1">
      <c r="A2" s="8"/>
      <c r="B2" s="9"/>
      <c r="C2" s="10" t="s">
        <v>26</v>
      </c>
      <c r="D2" s="294"/>
      <c r="E2" s="295"/>
      <c r="F2" s="295"/>
      <c r="G2" s="295"/>
      <c r="H2" s="296"/>
      <c r="I2" s="9"/>
      <c r="J2" s="10" t="s">
        <v>27</v>
      </c>
      <c r="K2" s="297"/>
      <c r="L2" s="295"/>
      <c r="M2" s="296"/>
      <c r="N2" s="11"/>
      <c r="O2" s="10" t="s">
        <v>28</v>
      </c>
      <c r="P2" s="298"/>
      <c r="Q2" s="295"/>
      <c r="R2" s="296"/>
      <c r="S2" s="12"/>
      <c r="T2" s="5"/>
      <c r="U2" s="5"/>
      <c r="V2" s="5"/>
      <c r="W2" s="6"/>
      <c r="X2" s="13"/>
      <c r="Y2" s="14"/>
      <c r="Z2" s="5"/>
      <c r="AA2" s="5"/>
      <c r="AB2" s="5"/>
      <c r="AC2" s="5"/>
      <c r="AD2" s="5"/>
    </row>
    <row r="3" spans="1:30" ht="15" customHeight="1">
      <c r="A3" s="8"/>
      <c r="B3" s="9"/>
      <c r="C3" s="10" t="s">
        <v>29</v>
      </c>
      <c r="D3" s="299"/>
      <c r="E3" s="280"/>
      <c r="F3" s="9"/>
      <c r="G3" s="9"/>
      <c r="H3" s="9"/>
      <c r="I3" s="9"/>
      <c r="J3" s="10" t="s">
        <v>30</v>
      </c>
      <c r="K3" s="297"/>
      <c r="L3" s="295"/>
      <c r="M3" s="296"/>
      <c r="N3" s="15"/>
      <c r="O3" s="10" t="s">
        <v>31</v>
      </c>
      <c r="P3" s="294"/>
      <c r="Q3" s="295"/>
      <c r="R3" s="296"/>
      <c r="S3" s="12"/>
      <c r="T3" s="5"/>
      <c r="U3" s="16"/>
      <c r="V3" s="17"/>
      <c r="W3" s="10"/>
      <c r="X3" s="13"/>
      <c r="Y3" s="14"/>
      <c r="Z3" s="5"/>
      <c r="AA3" s="5"/>
      <c r="AB3" s="5"/>
      <c r="AC3" s="5"/>
      <c r="AD3" s="5"/>
    </row>
    <row r="4" spans="1:30" ht="6" customHeight="1">
      <c r="A4" s="8"/>
      <c r="B4" s="5"/>
      <c r="C4" s="10"/>
      <c r="D4" s="18"/>
      <c r="E4" s="5"/>
      <c r="F4" s="5"/>
      <c r="G4" s="5"/>
      <c r="H4" s="5"/>
      <c r="I4" s="5"/>
      <c r="J4" s="19"/>
      <c r="K4" s="5"/>
      <c r="L4" s="5"/>
      <c r="M4" s="5"/>
      <c r="N4" s="5"/>
      <c r="O4" s="5"/>
      <c r="P4" s="5"/>
      <c r="Q4" s="20"/>
      <c r="R4" s="20"/>
      <c r="S4" s="12"/>
      <c r="T4" s="5"/>
      <c r="U4" s="5"/>
      <c r="V4" s="10"/>
      <c r="W4" s="21"/>
      <c r="X4" s="22"/>
      <c r="Y4" s="22"/>
      <c r="Z4" s="5"/>
      <c r="AA4" s="5"/>
      <c r="AB4" s="5"/>
      <c r="AC4" s="5"/>
      <c r="AD4" s="5"/>
    </row>
    <row r="5" spans="1:30" ht="15" customHeight="1">
      <c r="A5" s="8"/>
      <c r="B5" s="300" t="s">
        <v>32</v>
      </c>
      <c r="C5" s="287"/>
      <c r="D5" s="287"/>
      <c r="E5" s="287"/>
      <c r="F5" s="287"/>
      <c r="G5" s="287"/>
      <c r="H5" s="301"/>
      <c r="I5" s="305" t="s">
        <v>33</v>
      </c>
      <c r="J5" s="287"/>
      <c r="K5" s="287"/>
      <c r="L5" s="287"/>
      <c r="M5" s="287"/>
      <c r="N5" s="288"/>
      <c r="O5" s="307" t="s">
        <v>34</v>
      </c>
      <c r="P5" s="287"/>
      <c r="Q5" s="287"/>
      <c r="R5" s="288"/>
      <c r="S5" s="12"/>
      <c r="T5" s="5"/>
      <c r="U5" s="5"/>
      <c r="V5" s="10"/>
      <c r="W5" s="17"/>
      <c r="X5" s="22"/>
      <c r="Y5" s="22"/>
      <c r="Z5" s="5"/>
      <c r="AA5" s="5"/>
      <c r="AB5" s="5"/>
      <c r="AC5" s="5"/>
      <c r="AD5" s="5"/>
    </row>
    <row r="6" spans="1:30" ht="15" customHeight="1">
      <c r="A6" s="8"/>
      <c r="B6" s="302"/>
      <c r="C6" s="303"/>
      <c r="D6" s="303"/>
      <c r="E6" s="303"/>
      <c r="F6" s="303"/>
      <c r="G6" s="303"/>
      <c r="H6" s="304"/>
      <c r="I6" s="302"/>
      <c r="J6" s="303"/>
      <c r="K6" s="303"/>
      <c r="L6" s="303"/>
      <c r="M6" s="303"/>
      <c r="N6" s="306"/>
      <c r="O6" s="291"/>
      <c r="P6" s="292"/>
      <c r="Q6" s="292"/>
      <c r="R6" s="293"/>
      <c r="S6" s="12"/>
      <c r="T6" s="5"/>
      <c r="U6" s="5"/>
      <c r="V6" s="10"/>
      <c r="W6" s="21"/>
      <c r="X6" s="22"/>
      <c r="Y6" s="22"/>
      <c r="Z6" s="5"/>
      <c r="AA6" s="5"/>
      <c r="AB6" s="5"/>
      <c r="AC6" s="5"/>
      <c r="AD6" s="5"/>
    </row>
    <row r="7" spans="1:30" ht="15" customHeight="1">
      <c r="A7" s="8"/>
      <c r="B7" s="2"/>
      <c r="C7" s="23" t="s">
        <v>35</v>
      </c>
      <c r="D7" s="24"/>
      <c r="E7" s="25" t="s">
        <v>36</v>
      </c>
      <c r="F7" s="23" t="s">
        <v>37</v>
      </c>
      <c r="G7" s="26"/>
      <c r="H7" s="27" t="s">
        <v>38</v>
      </c>
      <c r="I7" s="308" t="s">
        <v>39</v>
      </c>
      <c r="J7" s="309"/>
      <c r="K7" s="310"/>
      <c r="L7" s="311" t="str">
        <f>IF(ISNUMBER(Tse),-150.3162+13.4622*SQRT(Tse+460)+3861530/(Tse+460)^2+0.591123*(1-Bwse/100)*OO-91.9723*Bwse/100+0.0000151761*Bwse/100*(Tse+460)^2,"-")</f>
        <v>-</v>
      </c>
      <c r="M7" s="312"/>
      <c r="N7" s="28" t="s">
        <v>40</v>
      </c>
      <c r="O7" s="2"/>
      <c r="P7" s="23" t="s">
        <v>41</v>
      </c>
      <c r="Q7" s="313"/>
      <c r="R7" s="314"/>
      <c r="S7" s="12"/>
      <c r="T7" s="5"/>
      <c r="U7" s="5"/>
      <c r="V7" s="5"/>
      <c r="W7" s="6"/>
      <c r="X7" s="22"/>
      <c r="Y7" s="29"/>
      <c r="Z7" s="5"/>
      <c r="AA7" s="5"/>
      <c r="AB7" s="5"/>
      <c r="AC7" s="5"/>
      <c r="AD7" s="5"/>
    </row>
    <row r="8" spans="1:30" ht="15" customHeight="1">
      <c r="A8" s="8"/>
      <c r="B8" s="8"/>
      <c r="C8" s="10" t="s">
        <v>42</v>
      </c>
      <c r="D8" s="30"/>
      <c r="E8" s="31" t="s">
        <v>43</v>
      </c>
      <c r="F8" s="10" t="s">
        <v>44</v>
      </c>
      <c r="G8" s="30"/>
      <c r="H8" s="32" t="s">
        <v>38</v>
      </c>
      <c r="I8" s="315" t="s">
        <v>45</v>
      </c>
      <c r="J8" s="272"/>
      <c r="K8" s="273"/>
      <c r="L8" s="316" t="str">
        <f>IF(ISNUMBER(vise),1+0.0057193*(vise/Psp/2.25)*SQRT((Tse+460)/Mwe),"-")</f>
        <v>-</v>
      </c>
      <c r="M8" s="280"/>
      <c r="N8" s="5"/>
      <c r="O8" s="8"/>
      <c r="P8" s="10" t="s">
        <v>46</v>
      </c>
      <c r="Q8" s="33"/>
      <c r="R8" s="34"/>
      <c r="S8" s="12"/>
      <c r="T8" s="5"/>
      <c r="U8" s="5"/>
      <c r="V8" s="5"/>
      <c r="W8" s="5"/>
      <c r="X8" s="22"/>
      <c r="Y8" s="35"/>
      <c r="Z8" s="5"/>
      <c r="AA8" s="5"/>
      <c r="AB8" s="5"/>
      <c r="AC8" s="5"/>
      <c r="AD8" s="5"/>
    </row>
    <row r="9" spans="1:30" ht="15" customHeight="1">
      <c r="A9" s="8"/>
      <c r="B9" s="8"/>
      <c r="C9" s="10" t="s">
        <v>47</v>
      </c>
      <c r="D9" s="30"/>
      <c r="E9" s="31" t="s">
        <v>48</v>
      </c>
      <c r="F9" s="10" t="s">
        <v>49</v>
      </c>
      <c r="G9" s="36" t="str">
        <f>IF(AND(ISNUMBER(COO),ISNUMBER(OO)),100-COO-OO,"-")</f>
        <v>-</v>
      </c>
      <c r="H9" s="32" t="s">
        <v>38</v>
      </c>
      <c r="I9" s="315" t="s">
        <v>50</v>
      </c>
      <c r="J9" s="272"/>
      <c r="K9" s="273"/>
      <c r="L9" s="317" t="str">
        <f>IF(ISNUMBER(Cfe),9.507*Cfe^0.3007*(Mwe*Psp/(Tse+460))^0.1993,"-")</f>
        <v>-</v>
      </c>
      <c r="M9" s="280"/>
      <c r="N9" s="37" t="s">
        <v>51</v>
      </c>
      <c r="O9" s="8"/>
      <c r="P9" s="38" t="s">
        <v>52</v>
      </c>
      <c r="Q9" s="39"/>
      <c r="R9" s="40" t="s">
        <v>53</v>
      </c>
      <c r="S9" s="12"/>
      <c r="T9" s="5"/>
      <c r="U9" s="5"/>
      <c r="V9" s="5"/>
      <c r="W9" s="5"/>
      <c r="X9" s="22"/>
      <c r="Y9" s="22"/>
      <c r="Z9" s="5"/>
      <c r="AA9" s="5"/>
      <c r="AB9" s="5"/>
      <c r="AC9" s="5"/>
      <c r="AD9" s="5"/>
    </row>
    <row r="10" spans="1:30" ht="15" customHeight="1">
      <c r="A10" s="8"/>
      <c r="B10" s="8"/>
      <c r="C10" s="10" t="s">
        <v>54</v>
      </c>
      <c r="D10" s="36" t="str">
        <f>IF(AND(ISNUMBER(Pgp),ISNUMBER(Pbarp)),Pbarp+Pgp/13.6,"-")</f>
        <v>-</v>
      </c>
      <c r="E10" s="31" t="s">
        <v>43</v>
      </c>
      <c r="F10" s="10" t="s">
        <v>55</v>
      </c>
      <c r="G10" s="36" t="str">
        <f>IF(ISNUMBER(NN),0.44*COO+0.32*OO+0.28*NN,"-")</f>
        <v>-</v>
      </c>
      <c r="H10" s="40" t="s">
        <v>56</v>
      </c>
      <c r="I10" s="315" t="s">
        <v>57</v>
      </c>
      <c r="J10" s="272"/>
      <c r="K10" s="273"/>
      <c r="L10" s="317" t="str">
        <f>IF(ISNUMBER(Cfe),IF(Nre&gt;3162,10.0959*Cfe^0.44*(Mwe*Psp/(Tse+460))^0.06,"-"),"-")</f>
        <v>-</v>
      </c>
      <c r="M10" s="280"/>
      <c r="N10" s="37" t="s">
        <v>58</v>
      </c>
      <c r="O10" s="318" t="s">
        <v>59</v>
      </c>
      <c r="P10" s="296"/>
      <c r="Q10" s="41"/>
      <c r="R10" s="42" t="s">
        <v>60</v>
      </c>
      <c r="S10" s="12"/>
      <c r="T10" s="5"/>
      <c r="U10" s="5"/>
      <c r="V10" s="5"/>
      <c r="W10" s="6"/>
      <c r="X10" s="22"/>
      <c r="Y10" s="43"/>
      <c r="Z10" s="5"/>
      <c r="AA10" s="5"/>
      <c r="AB10" s="5"/>
      <c r="AC10" s="5"/>
      <c r="AD10" s="5"/>
    </row>
    <row r="11" spans="1:30" ht="15" customHeight="1">
      <c r="A11" s="8"/>
      <c r="B11" s="44"/>
      <c r="C11" s="10" t="s">
        <v>61</v>
      </c>
      <c r="D11" s="45"/>
      <c r="E11" s="5" t="s">
        <v>62</v>
      </c>
      <c r="F11" s="10" t="s">
        <v>63</v>
      </c>
      <c r="G11" s="36" t="str">
        <f>IF(ISNUMBER(Md),Md*(1-Bwse/100)+18*Bwse/100,"-")</f>
        <v>-</v>
      </c>
      <c r="H11" s="40" t="s">
        <v>56</v>
      </c>
      <c r="I11" s="315" t="s">
        <v>64</v>
      </c>
      <c r="J11" s="272"/>
      <c r="K11" s="273"/>
      <c r="L11" s="317" t="str">
        <f>IF(ISNUMBER(D50LLh),(11+D50LLh)/2,IF(ISNUMBER(D50LL),(11+D50LL)/2,"-"))</f>
        <v>-</v>
      </c>
      <c r="M11" s="280"/>
      <c r="N11" s="37" t="s">
        <v>65</v>
      </c>
      <c r="O11" s="46" t="s">
        <v>66</v>
      </c>
      <c r="P11" s="33"/>
      <c r="Q11" s="47" t="s">
        <v>67</v>
      </c>
      <c r="R11" s="48"/>
      <c r="S11" s="12"/>
      <c r="T11" s="5"/>
      <c r="U11" s="5"/>
      <c r="V11" s="5"/>
      <c r="W11" s="6"/>
      <c r="X11" s="22"/>
      <c r="Y11" s="22"/>
      <c r="Z11" s="5"/>
      <c r="AA11" s="5"/>
      <c r="AB11" s="5"/>
      <c r="AC11" s="5"/>
      <c r="AD11" s="5"/>
    </row>
    <row r="12" spans="1:30" ht="15" customHeight="1">
      <c r="A12" s="8"/>
      <c r="B12" s="8"/>
      <c r="C12" s="10" t="s">
        <v>61</v>
      </c>
      <c r="D12" s="49" t="str">
        <f>IF(ISNUMBER(A),A*144,"-")</f>
        <v>-</v>
      </c>
      <c r="E12" s="50" t="s">
        <v>68</v>
      </c>
      <c r="F12" s="51"/>
      <c r="G12" s="51"/>
      <c r="H12" s="52"/>
      <c r="I12" s="315" t="s">
        <v>69</v>
      </c>
      <c r="J12" s="272"/>
      <c r="K12" s="273"/>
      <c r="L12" s="316" t="str">
        <f>IF(ISNUMBER(D50T),0.07296*vise*((Tse+460)/Mwe/Psp)^0.2949*(1/D50T)^1.4102,"-")</f>
        <v>-</v>
      </c>
      <c r="M12" s="280"/>
      <c r="N12" s="5" t="s">
        <v>70</v>
      </c>
      <c r="O12" s="46" t="s">
        <v>71</v>
      </c>
      <c r="P12" s="53"/>
      <c r="Q12" s="47" t="s">
        <v>67</v>
      </c>
      <c r="R12" s="48"/>
      <c r="S12" s="12"/>
      <c r="T12" s="5"/>
      <c r="U12" s="5"/>
      <c r="V12" s="5"/>
      <c r="W12" s="6"/>
      <c r="X12" s="22"/>
      <c r="Y12" s="22"/>
      <c r="Z12" s="5"/>
      <c r="AA12" s="5"/>
      <c r="AB12" s="5"/>
      <c r="AC12" s="5"/>
      <c r="AD12" s="5"/>
    </row>
    <row r="13" spans="1:30" ht="15" customHeight="1">
      <c r="A13" s="8"/>
      <c r="B13" s="319" t="s">
        <v>72</v>
      </c>
      <c r="C13" s="309"/>
      <c r="D13" s="320"/>
      <c r="E13" s="23" t="s">
        <v>73</v>
      </c>
      <c r="F13" s="54">
        <v>68</v>
      </c>
      <c r="G13" s="3" t="s">
        <v>60</v>
      </c>
      <c r="H13" s="4"/>
      <c r="I13" s="321" t="s">
        <v>74</v>
      </c>
      <c r="J13" s="272"/>
      <c r="K13" s="273"/>
      <c r="L13" s="322" t="str">
        <f>IF(ISNUMBER(Qse),864000*Psp*Mwe/(Tse+460)*Qse/vise,"-")</f>
        <v>-</v>
      </c>
      <c r="M13" s="280"/>
      <c r="N13" s="5"/>
      <c r="O13" s="8"/>
      <c r="P13" s="10" t="s">
        <v>75</v>
      </c>
      <c r="Q13" s="55"/>
      <c r="R13" s="56" t="s">
        <v>76</v>
      </c>
      <c r="S13" s="12"/>
      <c r="T13" s="5"/>
      <c r="U13" s="5"/>
      <c r="V13" s="5"/>
      <c r="W13" s="6"/>
      <c r="X13" s="22"/>
      <c r="Y13" s="22"/>
      <c r="Z13" s="5"/>
      <c r="AA13" s="5"/>
      <c r="AB13" s="5"/>
      <c r="AC13" s="5"/>
      <c r="AD13" s="5"/>
    </row>
    <row r="14" spans="1:30" ht="15" customHeight="1">
      <c r="A14" s="8"/>
      <c r="B14" s="331" t="s">
        <v>77</v>
      </c>
      <c r="C14" s="324"/>
      <c r="D14" s="332"/>
      <c r="E14" s="57" t="s">
        <v>78</v>
      </c>
      <c r="F14" s="58">
        <v>29.92</v>
      </c>
      <c r="G14" s="51" t="s">
        <v>79</v>
      </c>
      <c r="H14" s="52"/>
      <c r="I14" s="323" t="s">
        <v>80</v>
      </c>
      <c r="J14" s="324"/>
      <c r="K14" s="325"/>
      <c r="L14" s="326" t="str">
        <f>IF(ISNUMBER(Nre),(Qse*(1-Bwse/100)*Psp/(Tse+460))^2*1.083*(Tme+460)*Md*dHa/Pbarp,"-")</f>
        <v>-</v>
      </c>
      <c r="M14" s="327"/>
      <c r="N14" s="59" t="s">
        <v>81</v>
      </c>
      <c r="O14" s="60"/>
      <c r="P14" s="57" t="s">
        <v>82</v>
      </c>
      <c r="Q14" s="61" t="str">
        <f>IF(ISNUMBER(Dn),PI()*Dn^2/4/144,"-")</f>
        <v>-</v>
      </c>
      <c r="R14" s="62" t="s">
        <v>83</v>
      </c>
      <c r="S14" s="12"/>
      <c r="T14" s="5"/>
      <c r="U14" s="5"/>
      <c r="V14" s="5"/>
      <c r="W14" s="6"/>
      <c r="X14" s="22"/>
      <c r="Y14" s="22"/>
      <c r="Z14" s="5"/>
      <c r="AA14" s="5"/>
      <c r="AB14" s="5"/>
      <c r="AC14" s="5"/>
      <c r="AD14" s="5"/>
    </row>
    <row r="15" spans="1:30" ht="5.25" customHeight="1">
      <c r="A15" s="8"/>
      <c r="B15" s="5"/>
      <c r="C15" s="5"/>
      <c r="D15" s="5"/>
      <c r="E15" s="5"/>
      <c r="F15" s="6">
        <f>IF(ISNUMBER(F13),F13+460,"")</f>
        <v>528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12"/>
      <c r="T15" s="5"/>
      <c r="U15" s="5"/>
      <c r="V15" s="5"/>
      <c r="W15" s="6"/>
      <c r="X15" s="22"/>
      <c r="Y15" s="22"/>
      <c r="Z15" s="5"/>
      <c r="AA15" s="5"/>
      <c r="AB15" s="5"/>
      <c r="AC15" s="5"/>
      <c r="AD15" s="5"/>
    </row>
    <row r="16" spans="1:30" ht="15" customHeight="1">
      <c r="A16" s="8"/>
      <c r="B16" s="333" t="s">
        <v>84</v>
      </c>
      <c r="C16" s="287"/>
      <c r="D16" s="287"/>
      <c r="E16" s="287"/>
      <c r="F16" s="287"/>
      <c r="G16" s="287"/>
      <c r="H16" s="287"/>
      <c r="I16" s="287"/>
      <c r="J16" s="288"/>
      <c r="K16" s="63"/>
      <c r="L16" s="334" t="s">
        <v>85</v>
      </c>
      <c r="M16" s="287"/>
      <c r="N16" s="287"/>
      <c r="O16" s="287"/>
      <c r="P16" s="287"/>
      <c r="Q16" s="287"/>
      <c r="R16" s="288"/>
      <c r="S16" s="12"/>
      <c r="T16" s="5"/>
      <c r="U16" s="5"/>
      <c r="V16" s="5"/>
      <c r="W16" s="6"/>
      <c r="X16" s="7"/>
      <c r="Y16" s="7"/>
      <c r="Z16" s="5"/>
      <c r="AA16" s="5"/>
      <c r="AB16" s="5"/>
      <c r="AC16" s="5"/>
      <c r="AD16" s="5"/>
    </row>
    <row r="17" spans="1:30" ht="15" customHeight="1">
      <c r="A17" s="8"/>
      <c r="B17" s="291"/>
      <c r="C17" s="292"/>
      <c r="D17" s="292"/>
      <c r="E17" s="292"/>
      <c r="F17" s="292"/>
      <c r="G17" s="292"/>
      <c r="H17" s="292"/>
      <c r="I17" s="292"/>
      <c r="J17" s="293"/>
      <c r="K17" s="63"/>
      <c r="L17" s="291"/>
      <c r="M17" s="292"/>
      <c r="N17" s="292"/>
      <c r="O17" s="292"/>
      <c r="P17" s="292"/>
      <c r="Q17" s="292"/>
      <c r="R17" s="293"/>
      <c r="S17" s="12"/>
      <c r="T17" s="5"/>
      <c r="U17" s="5"/>
      <c r="V17" s="5"/>
      <c r="W17" s="5"/>
      <c r="X17" s="7"/>
      <c r="Y17" s="7"/>
      <c r="Z17" s="5"/>
      <c r="AA17" s="5"/>
      <c r="AB17" s="5"/>
      <c r="AC17" s="5"/>
      <c r="AD17" s="5"/>
    </row>
    <row r="18" spans="1:30" ht="4.5" customHeight="1">
      <c r="A18" s="8"/>
      <c r="B18" s="5"/>
      <c r="C18" s="5"/>
      <c r="D18" s="5"/>
      <c r="E18" s="5"/>
      <c r="F18" s="5"/>
      <c r="G18" s="5"/>
      <c r="H18" s="5"/>
      <c r="I18" s="5"/>
      <c r="J18" s="5"/>
      <c r="K18" s="64"/>
      <c r="L18" s="5"/>
      <c r="M18" s="5"/>
      <c r="N18" s="5"/>
      <c r="O18" s="5"/>
      <c r="P18" s="5"/>
      <c r="Q18" s="5"/>
      <c r="R18" s="5"/>
      <c r="S18" s="12"/>
      <c r="T18" s="5"/>
      <c r="U18" s="5"/>
      <c r="V18" s="5"/>
      <c r="W18" s="5"/>
      <c r="X18" s="7"/>
      <c r="Y18" s="7"/>
      <c r="Z18" s="5"/>
      <c r="AA18" s="5"/>
      <c r="AB18" s="5"/>
      <c r="AC18" s="5"/>
      <c r="AD18" s="5"/>
    </row>
    <row r="19" spans="1:30" ht="15" customHeight="1">
      <c r="A19" s="8"/>
      <c r="B19" s="335" t="s">
        <v>86</v>
      </c>
      <c r="C19" s="338" t="s">
        <v>87</v>
      </c>
      <c r="D19" s="288"/>
      <c r="E19" s="307" t="s">
        <v>88</v>
      </c>
      <c r="F19" s="287"/>
      <c r="G19" s="287"/>
      <c r="H19" s="288"/>
      <c r="I19" s="343" t="s">
        <v>89</v>
      </c>
      <c r="J19" s="288"/>
      <c r="K19" s="6"/>
      <c r="L19" s="65"/>
      <c r="M19" s="66"/>
      <c r="N19" s="66"/>
      <c r="O19" s="66"/>
      <c r="P19" s="66"/>
      <c r="Q19" s="67"/>
      <c r="R19" s="68"/>
      <c r="S19" s="12"/>
      <c r="T19" s="5"/>
      <c r="U19" s="5"/>
      <c r="V19" s="5"/>
      <c r="W19" s="5"/>
      <c r="X19" s="7"/>
      <c r="Y19" s="7"/>
      <c r="Z19" s="5"/>
      <c r="AA19" s="5"/>
      <c r="AB19" s="5"/>
      <c r="AC19" s="5"/>
      <c r="AD19" s="5"/>
    </row>
    <row r="20" spans="1:30" ht="15" customHeight="1">
      <c r="A20" s="8"/>
      <c r="B20" s="336"/>
      <c r="C20" s="339"/>
      <c r="D20" s="340"/>
      <c r="E20" s="341"/>
      <c r="F20" s="342"/>
      <c r="G20" s="342"/>
      <c r="H20" s="340"/>
      <c r="I20" s="302"/>
      <c r="J20" s="306"/>
      <c r="K20" s="6"/>
      <c r="L20" s="69" t="s">
        <v>90</v>
      </c>
      <c r="M20" s="70" t="s">
        <v>91</v>
      </c>
      <c r="N20" s="70" t="s">
        <v>92</v>
      </c>
      <c r="O20" s="70" t="s">
        <v>93</v>
      </c>
      <c r="P20" s="70" t="s">
        <v>94</v>
      </c>
      <c r="Q20" s="71" t="s">
        <v>95</v>
      </c>
      <c r="R20" s="72" t="s">
        <v>96</v>
      </c>
      <c r="S20" s="12"/>
      <c r="T20" s="5"/>
      <c r="U20" s="5"/>
      <c r="V20" s="343" t="s">
        <v>97</v>
      </c>
      <c r="W20" s="288"/>
      <c r="X20" s="344" t="s">
        <v>98</v>
      </c>
      <c r="Y20" s="344" t="s">
        <v>99</v>
      </c>
      <c r="Z20" s="5"/>
      <c r="AA20" s="5"/>
      <c r="AB20" s="5"/>
      <c r="AC20" s="5"/>
      <c r="AD20" s="5"/>
    </row>
    <row r="21" spans="1:30" ht="15" customHeight="1">
      <c r="A21" s="8"/>
      <c r="B21" s="337"/>
      <c r="C21" s="330" t="s">
        <v>100</v>
      </c>
      <c r="D21" s="329"/>
      <c r="E21" s="73" t="s">
        <v>101</v>
      </c>
      <c r="F21" s="74" t="s">
        <v>102</v>
      </c>
      <c r="G21" s="353" t="s">
        <v>103</v>
      </c>
      <c r="H21" s="354"/>
      <c r="I21" s="328" t="s">
        <v>104</v>
      </c>
      <c r="J21" s="329"/>
      <c r="K21" s="6"/>
      <c r="L21" s="75" t="s">
        <v>67</v>
      </c>
      <c r="M21" s="76" t="s">
        <v>105</v>
      </c>
      <c r="N21" s="70" t="s">
        <v>106</v>
      </c>
      <c r="O21" s="70" t="s">
        <v>106</v>
      </c>
      <c r="P21" s="70" t="s">
        <v>106</v>
      </c>
      <c r="Q21" s="330" t="s">
        <v>107</v>
      </c>
      <c r="R21" s="329"/>
      <c r="S21" s="12"/>
      <c r="T21" s="5"/>
      <c r="U21" s="77" t="s">
        <v>108</v>
      </c>
      <c r="V21" s="291"/>
      <c r="W21" s="293"/>
      <c r="X21" s="337"/>
      <c r="Y21" s="337"/>
      <c r="Z21" s="5"/>
      <c r="AA21" s="5"/>
      <c r="AB21" s="5"/>
      <c r="AC21" s="5"/>
      <c r="AD21" s="5"/>
    </row>
    <row r="22" spans="1:30" ht="15" customHeight="1">
      <c r="A22" s="8"/>
      <c r="B22" s="78">
        <v>1</v>
      </c>
      <c r="C22" s="355"/>
      <c r="D22" s="320"/>
      <c r="E22" s="79"/>
      <c r="F22" s="80" t="str">
        <f t="shared" ref="F22:F45" si="0">IF(ISNUMBER(E22),E22*(Cp/Cpp)^2,"-")</f>
        <v>-</v>
      </c>
      <c r="G22" s="356" t="str">
        <f t="shared" ref="G22:G45" si="1">IF(ISNUMBER(F22),IF(A&lt;7.227,F22*(1/(1-22/Ai))^2,"-"),"-")</f>
        <v>-</v>
      </c>
      <c r="H22" s="320"/>
      <c r="I22" s="355"/>
      <c r="J22" s="357"/>
      <c r="K22" s="6"/>
      <c r="L22" s="81"/>
      <c r="M22" s="82"/>
      <c r="N22" s="83" t="str">
        <f t="shared" ref="N22:N33" si="2">IF(ISNUMBER(Qse),3.055775*Qse/(M22)^2,"-")</f>
        <v>-</v>
      </c>
      <c r="O22" s="83" t="str">
        <f t="shared" ref="O22:O33" si="3">IF(ISNUMBER(X22),N22*X22,"-")</f>
        <v>-</v>
      </c>
      <c r="P22" s="83" t="str">
        <f t="shared" ref="P22:P33" si="4">IF(ISNUMBER(Y22),N22*Y22,"-")</f>
        <v>-</v>
      </c>
      <c r="Q22" s="83" t="str">
        <f t="shared" ref="Q22:Q33" si="5">IF(ISNUMBER(O22),0.00013686*Psp*Mwe*(O22)^2/(Tse+460)/Cp^2,"-")</f>
        <v>-</v>
      </c>
      <c r="R22" s="84" t="str">
        <f t="shared" ref="R22:R33" si="6">IF(ISNUMBER(P22),0.00013686*Psp*Mwe*(P22)^2/(Tse+460)/Cp^2,"-")</f>
        <v>-</v>
      </c>
      <c r="S22" s="12"/>
      <c r="T22" s="5"/>
      <c r="U22" s="85" t="str">
        <f t="shared" ref="U22:U45" si="7">IF(ISNUMBER(E22),SQRT(E22),"-")</f>
        <v>-</v>
      </c>
      <c r="V22" s="345" t="str">
        <f t="shared" ref="V22:V45" si="8">IF(ISNUMBER(C22),ABS(C22),"-")</f>
        <v>-</v>
      </c>
      <c r="W22" s="312"/>
      <c r="X22" s="86" t="str">
        <f t="shared" ref="X22:X33" si="9">IF(ISNUMBER(N22),IF((0.2603*vise*SQRT(Qse))/(N22)^1.5&gt;0.3072,0.5,(0.2457+SQRT(0.3072-(0.2603*vise*SQRT(Qse))/(N22)^1.5))),"-")</f>
        <v>-</v>
      </c>
      <c r="Y22" s="87" t="str">
        <f t="shared" ref="Y22:Y33" si="10">IF(ISNUMBER(N22),IF((0.4457+SQRT(0.569+(0.2603*vise*SQRT(Qse))/(N22)^1.5))&gt;1.5,1.5,(0.4457+SQRT(0.569+(0.2603*vise*SQRT(Qse))/(N22)^1.5))),"-")</f>
        <v>-</v>
      </c>
      <c r="Z22" s="5"/>
      <c r="AA22" s="5"/>
      <c r="AB22" s="5"/>
      <c r="AC22" s="5"/>
      <c r="AD22" s="5"/>
    </row>
    <row r="23" spans="1:30" ht="15" customHeight="1">
      <c r="A23" s="8"/>
      <c r="B23" s="88">
        <f t="shared" ref="B23:B45" si="11">B22+1</f>
        <v>2</v>
      </c>
      <c r="C23" s="346"/>
      <c r="D23" s="347"/>
      <c r="E23" s="89"/>
      <c r="F23" s="90" t="str">
        <f t="shared" si="0"/>
        <v>-</v>
      </c>
      <c r="G23" s="358" t="str">
        <f t="shared" si="1"/>
        <v>-</v>
      </c>
      <c r="H23" s="347"/>
      <c r="I23" s="346"/>
      <c r="J23" s="281"/>
      <c r="K23" s="6"/>
      <c r="L23" s="91"/>
      <c r="M23" s="89"/>
      <c r="N23" s="92" t="str">
        <f t="shared" si="2"/>
        <v>-</v>
      </c>
      <c r="O23" s="92" t="str">
        <f t="shared" si="3"/>
        <v>-</v>
      </c>
      <c r="P23" s="92" t="str">
        <f t="shared" si="4"/>
        <v>-</v>
      </c>
      <c r="Q23" s="92" t="str">
        <f t="shared" si="5"/>
        <v>-</v>
      </c>
      <c r="R23" s="93" t="str">
        <f t="shared" si="6"/>
        <v>-</v>
      </c>
      <c r="S23" s="12"/>
      <c r="T23" s="5"/>
      <c r="U23" s="94" t="str">
        <f t="shared" si="7"/>
        <v>-</v>
      </c>
      <c r="V23" s="279" t="str">
        <f t="shared" si="8"/>
        <v>-</v>
      </c>
      <c r="W23" s="280"/>
      <c r="X23" s="95" t="str">
        <f t="shared" si="9"/>
        <v>-</v>
      </c>
      <c r="Y23" s="96" t="str">
        <f t="shared" si="10"/>
        <v>-</v>
      </c>
      <c r="Z23" s="5"/>
      <c r="AA23" s="5"/>
      <c r="AB23" s="5"/>
      <c r="AC23" s="5"/>
      <c r="AD23" s="5"/>
    </row>
    <row r="24" spans="1:30" ht="15" customHeight="1">
      <c r="A24" s="8"/>
      <c r="B24" s="88">
        <f t="shared" si="11"/>
        <v>3</v>
      </c>
      <c r="C24" s="346"/>
      <c r="D24" s="347"/>
      <c r="E24" s="89"/>
      <c r="F24" s="90" t="str">
        <f t="shared" si="0"/>
        <v>-</v>
      </c>
      <c r="G24" s="358" t="str">
        <f t="shared" si="1"/>
        <v>-</v>
      </c>
      <c r="H24" s="347"/>
      <c r="I24" s="346"/>
      <c r="J24" s="281"/>
      <c r="K24" s="6"/>
      <c r="L24" s="91"/>
      <c r="M24" s="89"/>
      <c r="N24" s="92" t="str">
        <f t="shared" si="2"/>
        <v>-</v>
      </c>
      <c r="O24" s="92" t="str">
        <f t="shared" si="3"/>
        <v>-</v>
      </c>
      <c r="P24" s="92" t="str">
        <f t="shared" si="4"/>
        <v>-</v>
      </c>
      <c r="Q24" s="92" t="str">
        <f t="shared" si="5"/>
        <v>-</v>
      </c>
      <c r="R24" s="93" t="str">
        <f t="shared" si="6"/>
        <v>-</v>
      </c>
      <c r="S24" s="12"/>
      <c r="T24" s="5"/>
      <c r="U24" s="94" t="str">
        <f t="shared" si="7"/>
        <v>-</v>
      </c>
      <c r="V24" s="279" t="str">
        <f t="shared" si="8"/>
        <v>-</v>
      </c>
      <c r="W24" s="280"/>
      <c r="X24" s="95" t="str">
        <f t="shared" si="9"/>
        <v>-</v>
      </c>
      <c r="Y24" s="96" t="str">
        <f t="shared" si="10"/>
        <v>-</v>
      </c>
      <c r="Z24" s="5"/>
      <c r="AA24" s="5"/>
      <c r="AB24" s="5"/>
      <c r="AC24" s="5"/>
      <c r="AD24" s="5"/>
    </row>
    <row r="25" spans="1:30" ht="15" customHeight="1">
      <c r="A25" s="8"/>
      <c r="B25" s="88">
        <f t="shared" si="11"/>
        <v>4</v>
      </c>
      <c r="C25" s="346"/>
      <c r="D25" s="347"/>
      <c r="E25" s="89"/>
      <c r="F25" s="90" t="str">
        <f t="shared" si="0"/>
        <v>-</v>
      </c>
      <c r="G25" s="358" t="str">
        <f t="shared" si="1"/>
        <v>-</v>
      </c>
      <c r="H25" s="347"/>
      <c r="I25" s="346"/>
      <c r="J25" s="281"/>
      <c r="K25" s="6"/>
      <c r="L25" s="91"/>
      <c r="M25" s="89"/>
      <c r="N25" s="92" t="str">
        <f t="shared" si="2"/>
        <v>-</v>
      </c>
      <c r="O25" s="92" t="str">
        <f t="shared" si="3"/>
        <v>-</v>
      </c>
      <c r="P25" s="92" t="str">
        <f t="shared" si="4"/>
        <v>-</v>
      </c>
      <c r="Q25" s="92" t="str">
        <f t="shared" si="5"/>
        <v>-</v>
      </c>
      <c r="R25" s="93" t="str">
        <f t="shared" si="6"/>
        <v>-</v>
      </c>
      <c r="S25" s="12"/>
      <c r="T25" s="5"/>
      <c r="U25" s="94" t="str">
        <f t="shared" si="7"/>
        <v>-</v>
      </c>
      <c r="V25" s="279" t="str">
        <f t="shared" si="8"/>
        <v>-</v>
      </c>
      <c r="W25" s="280"/>
      <c r="X25" s="95" t="str">
        <f t="shared" si="9"/>
        <v>-</v>
      </c>
      <c r="Y25" s="96" t="str">
        <f t="shared" si="10"/>
        <v>-</v>
      </c>
      <c r="Z25" s="5"/>
      <c r="AA25" s="5"/>
      <c r="AB25" s="5"/>
      <c r="AC25" s="5"/>
      <c r="AD25" s="5"/>
    </row>
    <row r="26" spans="1:30" ht="15" customHeight="1">
      <c r="A26" s="8"/>
      <c r="B26" s="88">
        <f t="shared" si="11"/>
        <v>5</v>
      </c>
      <c r="C26" s="346"/>
      <c r="D26" s="347"/>
      <c r="E26" s="89"/>
      <c r="F26" s="90" t="str">
        <f t="shared" si="0"/>
        <v>-</v>
      </c>
      <c r="G26" s="358" t="str">
        <f t="shared" si="1"/>
        <v>-</v>
      </c>
      <c r="H26" s="347"/>
      <c r="I26" s="346"/>
      <c r="J26" s="281"/>
      <c r="K26" s="6"/>
      <c r="L26" s="91"/>
      <c r="M26" s="89"/>
      <c r="N26" s="92" t="str">
        <f t="shared" si="2"/>
        <v>-</v>
      </c>
      <c r="O26" s="92" t="str">
        <f t="shared" si="3"/>
        <v>-</v>
      </c>
      <c r="P26" s="92" t="str">
        <f t="shared" si="4"/>
        <v>-</v>
      </c>
      <c r="Q26" s="92" t="str">
        <f t="shared" si="5"/>
        <v>-</v>
      </c>
      <c r="R26" s="93" t="str">
        <f t="shared" si="6"/>
        <v>-</v>
      </c>
      <c r="S26" s="12"/>
      <c r="T26" s="5"/>
      <c r="U26" s="94" t="str">
        <f t="shared" si="7"/>
        <v>-</v>
      </c>
      <c r="V26" s="279" t="str">
        <f t="shared" si="8"/>
        <v>-</v>
      </c>
      <c r="W26" s="280"/>
      <c r="X26" s="95" t="str">
        <f t="shared" si="9"/>
        <v>-</v>
      </c>
      <c r="Y26" s="96" t="str">
        <f t="shared" si="10"/>
        <v>-</v>
      </c>
      <c r="Z26" s="5"/>
      <c r="AA26" s="5"/>
      <c r="AB26" s="5"/>
      <c r="AC26" s="5"/>
      <c r="AD26" s="5"/>
    </row>
    <row r="27" spans="1:30" ht="15" customHeight="1">
      <c r="A27" s="8"/>
      <c r="B27" s="88">
        <f t="shared" si="11"/>
        <v>6</v>
      </c>
      <c r="C27" s="346"/>
      <c r="D27" s="347"/>
      <c r="E27" s="89"/>
      <c r="F27" s="90" t="str">
        <f t="shared" si="0"/>
        <v>-</v>
      </c>
      <c r="G27" s="358" t="str">
        <f t="shared" si="1"/>
        <v>-</v>
      </c>
      <c r="H27" s="347"/>
      <c r="I27" s="346"/>
      <c r="J27" s="281"/>
      <c r="K27" s="6"/>
      <c r="L27" s="91"/>
      <c r="M27" s="89"/>
      <c r="N27" s="92" t="str">
        <f t="shared" si="2"/>
        <v>-</v>
      </c>
      <c r="O27" s="92" t="str">
        <f t="shared" si="3"/>
        <v>-</v>
      </c>
      <c r="P27" s="92" t="str">
        <f t="shared" si="4"/>
        <v>-</v>
      </c>
      <c r="Q27" s="92" t="str">
        <f t="shared" si="5"/>
        <v>-</v>
      </c>
      <c r="R27" s="93" t="str">
        <f t="shared" si="6"/>
        <v>-</v>
      </c>
      <c r="S27" s="12"/>
      <c r="T27" s="5"/>
      <c r="U27" s="94" t="str">
        <f t="shared" si="7"/>
        <v>-</v>
      </c>
      <c r="V27" s="279" t="str">
        <f t="shared" si="8"/>
        <v>-</v>
      </c>
      <c r="W27" s="280"/>
      <c r="X27" s="95" t="str">
        <f t="shared" si="9"/>
        <v>-</v>
      </c>
      <c r="Y27" s="96" t="str">
        <f t="shared" si="10"/>
        <v>-</v>
      </c>
      <c r="Z27" s="5"/>
      <c r="AA27" s="5"/>
      <c r="AB27" s="5"/>
      <c r="AC27" s="5"/>
      <c r="AD27" s="5"/>
    </row>
    <row r="28" spans="1:30" ht="15" customHeight="1">
      <c r="A28" s="8"/>
      <c r="B28" s="88">
        <f t="shared" si="11"/>
        <v>7</v>
      </c>
      <c r="C28" s="346"/>
      <c r="D28" s="347"/>
      <c r="E28" s="89"/>
      <c r="F28" s="90" t="str">
        <f t="shared" si="0"/>
        <v>-</v>
      </c>
      <c r="G28" s="358" t="str">
        <f t="shared" si="1"/>
        <v>-</v>
      </c>
      <c r="H28" s="347"/>
      <c r="I28" s="346"/>
      <c r="J28" s="281"/>
      <c r="K28" s="6"/>
      <c r="L28" s="91"/>
      <c r="M28" s="89"/>
      <c r="N28" s="92" t="str">
        <f t="shared" si="2"/>
        <v>-</v>
      </c>
      <c r="O28" s="92" t="str">
        <f t="shared" si="3"/>
        <v>-</v>
      </c>
      <c r="P28" s="92" t="str">
        <f t="shared" si="4"/>
        <v>-</v>
      </c>
      <c r="Q28" s="92" t="str">
        <f t="shared" si="5"/>
        <v>-</v>
      </c>
      <c r="R28" s="93" t="str">
        <f t="shared" si="6"/>
        <v>-</v>
      </c>
      <c r="S28" s="12"/>
      <c r="T28" s="5"/>
      <c r="U28" s="94" t="str">
        <f t="shared" si="7"/>
        <v>-</v>
      </c>
      <c r="V28" s="279" t="str">
        <f t="shared" si="8"/>
        <v>-</v>
      </c>
      <c r="W28" s="280"/>
      <c r="X28" s="95" t="str">
        <f t="shared" si="9"/>
        <v>-</v>
      </c>
      <c r="Y28" s="96" t="str">
        <f t="shared" si="10"/>
        <v>-</v>
      </c>
      <c r="Z28" s="5"/>
      <c r="AA28" s="5"/>
      <c r="AB28" s="5"/>
      <c r="AC28" s="5"/>
      <c r="AD28" s="5"/>
    </row>
    <row r="29" spans="1:30" ht="15" customHeight="1">
      <c r="A29" s="8"/>
      <c r="B29" s="88">
        <f t="shared" si="11"/>
        <v>8</v>
      </c>
      <c r="C29" s="346"/>
      <c r="D29" s="347"/>
      <c r="E29" s="89"/>
      <c r="F29" s="90" t="str">
        <f t="shared" si="0"/>
        <v>-</v>
      </c>
      <c r="G29" s="358" t="str">
        <f t="shared" si="1"/>
        <v>-</v>
      </c>
      <c r="H29" s="347"/>
      <c r="I29" s="346"/>
      <c r="J29" s="281"/>
      <c r="K29" s="6"/>
      <c r="L29" s="91"/>
      <c r="M29" s="89"/>
      <c r="N29" s="92" t="str">
        <f t="shared" si="2"/>
        <v>-</v>
      </c>
      <c r="O29" s="92" t="str">
        <f t="shared" si="3"/>
        <v>-</v>
      </c>
      <c r="P29" s="92" t="str">
        <f t="shared" si="4"/>
        <v>-</v>
      </c>
      <c r="Q29" s="92" t="str">
        <f t="shared" si="5"/>
        <v>-</v>
      </c>
      <c r="R29" s="93" t="str">
        <f t="shared" si="6"/>
        <v>-</v>
      </c>
      <c r="S29" s="12"/>
      <c r="T29" s="5"/>
      <c r="U29" s="94" t="str">
        <f t="shared" si="7"/>
        <v>-</v>
      </c>
      <c r="V29" s="279" t="str">
        <f t="shared" si="8"/>
        <v>-</v>
      </c>
      <c r="W29" s="280"/>
      <c r="X29" s="95" t="str">
        <f t="shared" si="9"/>
        <v>-</v>
      </c>
      <c r="Y29" s="96" t="str">
        <f t="shared" si="10"/>
        <v>-</v>
      </c>
      <c r="Z29" s="5"/>
      <c r="AA29" s="5"/>
      <c r="AB29" s="5"/>
      <c r="AC29" s="5"/>
      <c r="AD29" s="5"/>
    </row>
    <row r="30" spans="1:30" ht="15" customHeight="1">
      <c r="A30" s="8"/>
      <c r="B30" s="88">
        <f t="shared" si="11"/>
        <v>9</v>
      </c>
      <c r="C30" s="346"/>
      <c r="D30" s="347"/>
      <c r="E30" s="89"/>
      <c r="F30" s="90" t="str">
        <f t="shared" si="0"/>
        <v>-</v>
      </c>
      <c r="G30" s="358" t="str">
        <f t="shared" si="1"/>
        <v>-</v>
      </c>
      <c r="H30" s="347"/>
      <c r="I30" s="346"/>
      <c r="J30" s="281"/>
      <c r="K30" s="6"/>
      <c r="L30" s="91"/>
      <c r="M30" s="89"/>
      <c r="N30" s="92" t="str">
        <f t="shared" si="2"/>
        <v>-</v>
      </c>
      <c r="O30" s="92" t="str">
        <f t="shared" si="3"/>
        <v>-</v>
      </c>
      <c r="P30" s="92" t="str">
        <f t="shared" si="4"/>
        <v>-</v>
      </c>
      <c r="Q30" s="92" t="str">
        <f t="shared" si="5"/>
        <v>-</v>
      </c>
      <c r="R30" s="93" t="str">
        <f t="shared" si="6"/>
        <v>-</v>
      </c>
      <c r="S30" s="12"/>
      <c r="T30" s="5"/>
      <c r="U30" s="94" t="str">
        <f t="shared" si="7"/>
        <v>-</v>
      </c>
      <c r="V30" s="279" t="str">
        <f t="shared" si="8"/>
        <v>-</v>
      </c>
      <c r="W30" s="280"/>
      <c r="X30" s="95" t="str">
        <f t="shared" si="9"/>
        <v>-</v>
      </c>
      <c r="Y30" s="96" t="str">
        <f t="shared" si="10"/>
        <v>-</v>
      </c>
      <c r="Z30" s="5"/>
      <c r="AA30" s="5"/>
      <c r="AB30" s="5"/>
      <c r="AC30" s="5"/>
      <c r="AD30" s="5"/>
    </row>
    <row r="31" spans="1:30" ht="15" customHeight="1">
      <c r="A31" s="8"/>
      <c r="B31" s="88">
        <f t="shared" si="11"/>
        <v>10</v>
      </c>
      <c r="C31" s="346"/>
      <c r="D31" s="347"/>
      <c r="E31" s="89"/>
      <c r="F31" s="90" t="str">
        <f t="shared" si="0"/>
        <v>-</v>
      </c>
      <c r="G31" s="358" t="str">
        <f t="shared" si="1"/>
        <v>-</v>
      </c>
      <c r="H31" s="347"/>
      <c r="I31" s="346"/>
      <c r="J31" s="281"/>
      <c r="K31" s="6"/>
      <c r="L31" s="91"/>
      <c r="M31" s="89"/>
      <c r="N31" s="92" t="str">
        <f t="shared" si="2"/>
        <v>-</v>
      </c>
      <c r="O31" s="92" t="str">
        <f t="shared" si="3"/>
        <v>-</v>
      </c>
      <c r="P31" s="92" t="str">
        <f t="shared" si="4"/>
        <v>-</v>
      </c>
      <c r="Q31" s="92" t="str">
        <f t="shared" si="5"/>
        <v>-</v>
      </c>
      <c r="R31" s="93" t="str">
        <f t="shared" si="6"/>
        <v>-</v>
      </c>
      <c r="S31" s="12"/>
      <c r="T31" s="5"/>
      <c r="U31" s="94" t="str">
        <f t="shared" si="7"/>
        <v>-</v>
      </c>
      <c r="V31" s="279" t="str">
        <f t="shared" si="8"/>
        <v>-</v>
      </c>
      <c r="W31" s="280"/>
      <c r="X31" s="95" t="str">
        <f t="shared" si="9"/>
        <v>-</v>
      </c>
      <c r="Y31" s="96" t="str">
        <f t="shared" si="10"/>
        <v>-</v>
      </c>
      <c r="Z31" s="5"/>
      <c r="AA31" s="5"/>
      <c r="AB31" s="5"/>
      <c r="AC31" s="5"/>
      <c r="AD31" s="5"/>
    </row>
    <row r="32" spans="1:30" ht="15" customHeight="1">
      <c r="A32" s="8"/>
      <c r="B32" s="88">
        <f t="shared" si="11"/>
        <v>11</v>
      </c>
      <c r="C32" s="346"/>
      <c r="D32" s="347"/>
      <c r="E32" s="89"/>
      <c r="F32" s="90" t="str">
        <f t="shared" si="0"/>
        <v>-</v>
      </c>
      <c r="G32" s="358" t="str">
        <f t="shared" si="1"/>
        <v>-</v>
      </c>
      <c r="H32" s="347"/>
      <c r="I32" s="346"/>
      <c r="J32" s="281"/>
      <c r="K32" s="6"/>
      <c r="L32" s="91"/>
      <c r="M32" s="89"/>
      <c r="N32" s="92" t="str">
        <f t="shared" si="2"/>
        <v>-</v>
      </c>
      <c r="O32" s="92" t="str">
        <f t="shared" si="3"/>
        <v>-</v>
      </c>
      <c r="P32" s="92" t="str">
        <f t="shared" si="4"/>
        <v>-</v>
      </c>
      <c r="Q32" s="92" t="str">
        <f t="shared" si="5"/>
        <v>-</v>
      </c>
      <c r="R32" s="93" t="str">
        <f t="shared" si="6"/>
        <v>-</v>
      </c>
      <c r="S32" s="12"/>
      <c r="T32" s="5"/>
      <c r="U32" s="94" t="str">
        <f t="shared" si="7"/>
        <v>-</v>
      </c>
      <c r="V32" s="279" t="str">
        <f t="shared" si="8"/>
        <v>-</v>
      </c>
      <c r="W32" s="280"/>
      <c r="X32" s="95" t="str">
        <f t="shared" si="9"/>
        <v>-</v>
      </c>
      <c r="Y32" s="96" t="str">
        <f t="shared" si="10"/>
        <v>-</v>
      </c>
      <c r="Z32" s="5"/>
      <c r="AA32" s="5"/>
      <c r="AB32" s="5"/>
      <c r="AC32" s="5"/>
      <c r="AD32" s="5"/>
    </row>
    <row r="33" spans="1:30" ht="15" customHeight="1">
      <c r="A33" s="8"/>
      <c r="B33" s="88">
        <f t="shared" si="11"/>
        <v>12</v>
      </c>
      <c r="C33" s="346"/>
      <c r="D33" s="347"/>
      <c r="E33" s="89"/>
      <c r="F33" s="90" t="str">
        <f t="shared" si="0"/>
        <v>-</v>
      </c>
      <c r="G33" s="358" t="str">
        <f t="shared" si="1"/>
        <v>-</v>
      </c>
      <c r="H33" s="347"/>
      <c r="I33" s="346"/>
      <c r="J33" s="281"/>
      <c r="K33" s="6"/>
      <c r="L33" s="97"/>
      <c r="M33" s="98"/>
      <c r="N33" s="99" t="str">
        <f t="shared" si="2"/>
        <v>-</v>
      </c>
      <c r="O33" s="99" t="str">
        <f t="shared" si="3"/>
        <v>-</v>
      </c>
      <c r="P33" s="99" t="str">
        <f t="shared" si="4"/>
        <v>-</v>
      </c>
      <c r="Q33" s="99" t="str">
        <f t="shared" si="5"/>
        <v>-</v>
      </c>
      <c r="R33" s="100" t="str">
        <f t="shared" si="6"/>
        <v>-</v>
      </c>
      <c r="S33" s="12"/>
      <c r="T33" s="5"/>
      <c r="U33" s="94" t="str">
        <f t="shared" si="7"/>
        <v>-</v>
      </c>
      <c r="V33" s="279" t="str">
        <f t="shared" si="8"/>
        <v>-</v>
      </c>
      <c r="W33" s="280"/>
      <c r="X33" s="101" t="str">
        <f t="shared" si="9"/>
        <v>-</v>
      </c>
      <c r="Y33" s="102" t="str">
        <f t="shared" si="10"/>
        <v>-</v>
      </c>
      <c r="Z33" s="5"/>
      <c r="AA33" s="5"/>
      <c r="AB33" s="5"/>
      <c r="AC33" s="5"/>
      <c r="AD33" s="5"/>
    </row>
    <row r="34" spans="1:30" ht="15" customHeight="1">
      <c r="A34" s="8"/>
      <c r="B34" s="88">
        <f t="shared" si="11"/>
        <v>13</v>
      </c>
      <c r="C34" s="346"/>
      <c r="D34" s="347"/>
      <c r="E34" s="89"/>
      <c r="F34" s="90" t="str">
        <f t="shared" si="0"/>
        <v>-</v>
      </c>
      <c r="G34" s="358" t="str">
        <f t="shared" si="1"/>
        <v>-</v>
      </c>
      <c r="H34" s="347"/>
      <c r="I34" s="346"/>
      <c r="J34" s="281"/>
      <c r="K34" s="6"/>
      <c r="L34" s="5"/>
      <c r="M34" s="5"/>
      <c r="N34" s="5"/>
      <c r="O34" s="5"/>
      <c r="P34" s="5"/>
      <c r="Q34" s="5"/>
      <c r="R34" s="5"/>
      <c r="S34" s="12"/>
      <c r="T34" s="5"/>
      <c r="U34" s="94" t="str">
        <f t="shared" si="7"/>
        <v>-</v>
      </c>
      <c r="V34" s="279" t="str">
        <f t="shared" si="8"/>
        <v>-</v>
      </c>
      <c r="W34" s="281"/>
      <c r="X34" s="7"/>
      <c r="Y34" s="7"/>
      <c r="Z34" s="5"/>
      <c r="AA34" s="5"/>
      <c r="AB34" s="5"/>
      <c r="AC34" s="5"/>
      <c r="AD34" s="5"/>
    </row>
    <row r="35" spans="1:30" ht="15" customHeight="1">
      <c r="A35" s="8"/>
      <c r="B35" s="88">
        <f t="shared" si="11"/>
        <v>14</v>
      </c>
      <c r="C35" s="346"/>
      <c r="D35" s="347"/>
      <c r="E35" s="89"/>
      <c r="F35" s="90" t="str">
        <f t="shared" si="0"/>
        <v>-</v>
      </c>
      <c r="G35" s="358" t="str">
        <f t="shared" si="1"/>
        <v>-</v>
      </c>
      <c r="H35" s="347"/>
      <c r="I35" s="346"/>
      <c r="J35" s="281"/>
      <c r="K35" s="6"/>
      <c r="L35" s="286" t="s">
        <v>109</v>
      </c>
      <c r="M35" s="287"/>
      <c r="N35" s="287"/>
      <c r="O35" s="287"/>
      <c r="P35" s="287"/>
      <c r="Q35" s="287"/>
      <c r="R35" s="288"/>
      <c r="S35" s="12"/>
      <c r="T35" s="5"/>
      <c r="U35" s="94" t="str">
        <f t="shared" si="7"/>
        <v>-</v>
      </c>
      <c r="V35" s="279" t="str">
        <f t="shared" si="8"/>
        <v>-</v>
      </c>
      <c r="W35" s="281"/>
      <c r="X35" s="7"/>
      <c r="Y35" s="7"/>
      <c r="Z35" s="5"/>
      <c r="AA35" s="5"/>
      <c r="AB35" s="5"/>
      <c r="AC35" s="5"/>
      <c r="AD35" s="5"/>
    </row>
    <row r="36" spans="1:30" ht="15" customHeight="1">
      <c r="A36" s="8"/>
      <c r="B36" s="88">
        <f t="shared" si="11"/>
        <v>15</v>
      </c>
      <c r="C36" s="346"/>
      <c r="D36" s="347"/>
      <c r="E36" s="89"/>
      <c r="F36" s="90" t="str">
        <f t="shared" si="0"/>
        <v>-</v>
      </c>
      <c r="G36" s="358" t="str">
        <f t="shared" si="1"/>
        <v>-</v>
      </c>
      <c r="H36" s="347"/>
      <c r="I36" s="346"/>
      <c r="J36" s="281"/>
      <c r="K36" s="6"/>
      <c r="L36" s="289"/>
      <c r="M36" s="275"/>
      <c r="N36" s="275"/>
      <c r="O36" s="275"/>
      <c r="P36" s="275"/>
      <c r="Q36" s="275"/>
      <c r="R36" s="290"/>
      <c r="S36" s="12"/>
      <c r="T36" s="5"/>
      <c r="U36" s="94" t="str">
        <f t="shared" si="7"/>
        <v>-</v>
      </c>
      <c r="V36" s="279" t="str">
        <f t="shared" si="8"/>
        <v>-</v>
      </c>
      <c r="W36" s="281"/>
      <c r="X36" s="7"/>
      <c r="Y36" s="7"/>
      <c r="Z36" s="5"/>
      <c r="AA36" s="5"/>
      <c r="AB36" s="5"/>
      <c r="AC36" s="5"/>
      <c r="AD36" s="5"/>
    </row>
    <row r="37" spans="1:30" ht="15" customHeight="1">
      <c r="A37" s="8"/>
      <c r="B37" s="88">
        <f t="shared" si="11"/>
        <v>16</v>
      </c>
      <c r="C37" s="346"/>
      <c r="D37" s="347"/>
      <c r="E37" s="89"/>
      <c r="F37" s="90" t="str">
        <f t="shared" si="0"/>
        <v>-</v>
      </c>
      <c r="G37" s="358" t="str">
        <f t="shared" si="1"/>
        <v>-</v>
      </c>
      <c r="H37" s="347"/>
      <c r="I37" s="346"/>
      <c r="J37" s="281"/>
      <c r="K37" s="6"/>
      <c r="L37" s="289"/>
      <c r="M37" s="275"/>
      <c r="N37" s="275"/>
      <c r="O37" s="275"/>
      <c r="P37" s="275"/>
      <c r="Q37" s="275"/>
      <c r="R37" s="290"/>
      <c r="S37" s="12"/>
      <c r="T37" s="5"/>
      <c r="U37" s="94" t="str">
        <f t="shared" si="7"/>
        <v>-</v>
      </c>
      <c r="V37" s="279" t="str">
        <f t="shared" si="8"/>
        <v>-</v>
      </c>
      <c r="W37" s="281"/>
      <c r="X37" s="7"/>
      <c r="Y37" s="7"/>
      <c r="Z37" s="5"/>
      <c r="AA37" s="5"/>
      <c r="AB37" s="5"/>
      <c r="AC37" s="5"/>
      <c r="AD37" s="5"/>
    </row>
    <row r="38" spans="1:30" ht="15" customHeight="1">
      <c r="A38" s="8"/>
      <c r="B38" s="88">
        <f t="shared" si="11"/>
        <v>17</v>
      </c>
      <c r="C38" s="346"/>
      <c r="D38" s="347"/>
      <c r="E38" s="89"/>
      <c r="F38" s="90" t="str">
        <f t="shared" si="0"/>
        <v>-</v>
      </c>
      <c r="G38" s="358" t="str">
        <f t="shared" si="1"/>
        <v>-</v>
      </c>
      <c r="H38" s="347"/>
      <c r="I38" s="346"/>
      <c r="J38" s="281"/>
      <c r="K38" s="6"/>
      <c r="L38" s="289"/>
      <c r="M38" s="275"/>
      <c r="N38" s="275"/>
      <c r="O38" s="275"/>
      <c r="P38" s="275"/>
      <c r="Q38" s="275"/>
      <c r="R38" s="290"/>
      <c r="S38" s="12"/>
      <c r="T38" s="5"/>
      <c r="U38" s="94" t="str">
        <f t="shared" si="7"/>
        <v>-</v>
      </c>
      <c r="V38" s="279" t="str">
        <f t="shared" si="8"/>
        <v>-</v>
      </c>
      <c r="W38" s="281"/>
      <c r="X38" s="7"/>
      <c r="Y38" s="7"/>
      <c r="Z38" s="5"/>
      <c r="AA38" s="5"/>
      <c r="AB38" s="5"/>
      <c r="AC38" s="5"/>
      <c r="AD38" s="5"/>
    </row>
    <row r="39" spans="1:30" ht="15" customHeight="1">
      <c r="A39" s="8"/>
      <c r="B39" s="88">
        <f t="shared" si="11"/>
        <v>18</v>
      </c>
      <c r="C39" s="346"/>
      <c r="D39" s="347"/>
      <c r="E39" s="89"/>
      <c r="F39" s="90" t="str">
        <f t="shared" si="0"/>
        <v>-</v>
      </c>
      <c r="G39" s="358" t="str">
        <f t="shared" si="1"/>
        <v>-</v>
      </c>
      <c r="H39" s="347"/>
      <c r="I39" s="346"/>
      <c r="J39" s="281"/>
      <c r="K39" s="6"/>
      <c r="L39" s="291"/>
      <c r="M39" s="292"/>
      <c r="N39" s="292"/>
      <c r="O39" s="292"/>
      <c r="P39" s="292"/>
      <c r="Q39" s="292"/>
      <c r="R39" s="293"/>
      <c r="S39" s="12"/>
      <c r="T39" s="5"/>
      <c r="U39" s="94" t="str">
        <f t="shared" si="7"/>
        <v>-</v>
      </c>
      <c r="V39" s="279" t="str">
        <f t="shared" si="8"/>
        <v>-</v>
      </c>
      <c r="W39" s="281"/>
      <c r="X39" s="7"/>
      <c r="Y39" s="7"/>
      <c r="Z39" s="5"/>
      <c r="AA39" s="5"/>
      <c r="AB39" s="5"/>
      <c r="AC39" s="5"/>
      <c r="AD39" s="5"/>
    </row>
    <row r="40" spans="1:30" ht="15" customHeight="1">
      <c r="A40" s="8"/>
      <c r="B40" s="88">
        <f t="shared" si="11"/>
        <v>19</v>
      </c>
      <c r="C40" s="346"/>
      <c r="D40" s="347"/>
      <c r="E40" s="89"/>
      <c r="F40" s="90" t="str">
        <f t="shared" si="0"/>
        <v>-</v>
      </c>
      <c r="G40" s="358" t="str">
        <f t="shared" si="1"/>
        <v>-</v>
      </c>
      <c r="H40" s="347"/>
      <c r="I40" s="346"/>
      <c r="J40" s="281"/>
      <c r="K40" s="6"/>
      <c r="L40" s="103"/>
      <c r="M40" s="103"/>
      <c r="N40" s="103"/>
      <c r="O40" s="103"/>
      <c r="P40" s="103"/>
      <c r="Q40" s="103"/>
      <c r="R40" s="103"/>
      <c r="S40" s="12"/>
      <c r="T40" s="5"/>
      <c r="U40" s="94" t="str">
        <f t="shared" si="7"/>
        <v>-</v>
      </c>
      <c r="V40" s="279" t="str">
        <f t="shared" si="8"/>
        <v>-</v>
      </c>
      <c r="W40" s="281"/>
      <c r="X40" s="7"/>
      <c r="Y40" s="7"/>
      <c r="Z40" s="5"/>
      <c r="AA40" s="5"/>
      <c r="AB40" s="5"/>
      <c r="AC40" s="5"/>
      <c r="AD40" s="5"/>
    </row>
    <row r="41" spans="1:30" ht="15" customHeight="1">
      <c r="A41" s="8"/>
      <c r="B41" s="88">
        <f t="shared" si="11"/>
        <v>20</v>
      </c>
      <c r="C41" s="346"/>
      <c r="D41" s="347"/>
      <c r="E41" s="89"/>
      <c r="F41" s="90" t="str">
        <f t="shared" si="0"/>
        <v>-</v>
      </c>
      <c r="G41" s="358" t="str">
        <f t="shared" si="1"/>
        <v>-</v>
      </c>
      <c r="H41" s="347"/>
      <c r="I41" s="346"/>
      <c r="J41" s="281"/>
      <c r="K41" s="6"/>
      <c r="L41" s="103"/>
      <c r="M41" s="103"/>
      <c r="N41" s="103"/>
      <c r="O41" s="103"/>
      <c r="P41" s="103"/>
      <c r="Q41" s="103"/>
      <c r="R41" s="103"/>
      <c r="S41" s="12"/>
      <c r="T41" s="5"/>
      <c r="U41" s="94" t="str">
        <f t="shared" si="7"/>
        <v>-</v>
      </c>
      <c r="V41" s="279" t="str">
        <f t="shared" si="8"/>
        <v>-</v>
      </c>
      <c r="W41" s="281"/>
      <c r="X41" s="7"/>
      <c r="Y41" s="7"/>
      <c r="Z41" s="5"/>
      <c r="AA41" s="5"/>
      <c r="AB41" s="5"/>
      <c r="AC41" s="5"/>
      <c r="AD41" s="5"/>
    </row>
    <row r="42" spans="1:30" ht="15" customHeight="1">
      <c r="A42" s="8"/>
      <c r="B42" s="88">
        <f t="shared" si="11"/>
        <v>21</v>
      </c>
      <c r="C42" s="346"/>
      <c r="D42" s="347"/>
      <c r="E42" s="89"/>
      <c r="F42" s="90" t="str">
        <f t="shared" si="0"/>
        <v>-</v>
      </c>
      <c r="G42" s="358" t="str">
        <f t="shared" si="1"/>
        <v>-</v>
      </c>
      <c r="H42" s="347"/>
      <c r="I42" s="346"/>
      <c r="J42" s="281"/>
      <c r="K42" s="6"/>
      <c r="L42" s="103"/>
      <c r="M42" s="103"/>
      <c r="N42" s="103"/>
      <c r="O42" s="103"/>
      <c r="P42" s="103"/>
      <c r="Q42" s="103"/>
      <c r="R42" s="103"/>
      <c r="S42" s="12"/>
      <c r="T42" s="5"/>
      <c r="U42" s="94" t="str">
        <f t="shared" si="7"/>
        <v>-</v>
      </c>
      <c r="V42" s="279" t="str">
        <f t="shared" si="8"/>
        <v>-</v>
      </c>
      <c r="W42" s="281"/>
      <c r="X42" s="7"/>
      <c r="Y42" s="7"/>
      <c r="Z42" s="5"/>
      <c r="AA42" s="5"/>
      <c r="AB42" s="5"/>
      <c r="AC42" s="5"/>
      <c r="AD42" s="5"/>
    </row>
    <row r="43" spans="1:30" ht="15" customHeight="1">
      <c r="A43" s="8"/>
      <c r="B43" s="88">
        <f t="shared" si="11"/>
        <v>22</v>
      </c>
      <c r="C43" s="346"/>
      <c r="D43" s="347"/>
      <c r="E43" s="89"/>
      <c r="F43" s="90" t="str">
        <f t="shared" si="0"/>
        <v>-</v>
      </c>
      <c r="G43" s="358" t="str">
        <f t="shared" si="1"/>
        <v>-</v>
      </c>
      <c r="H43" s="347"/>
      <c r="I43" s="346"/>
      <c r="J43" s="281"/>
      <c r="K43" s="5"/>
      <c r="L43" s="5"/>
      <c r="M43" s="5"/>
      <c r="N43" s="104"/>
      <c r="O43" s="5"/>
      <c r="P43" s="5"/>
      <c r="Q43" s="5"/>
      <c r="R43" s="105"/>
      <c r="S43" s="12"/>
      <c r="T43" s="5"/>
      <c r="U43" s="94" t="str">
        <f t="shared" si="7"/>
        <v>-</v>
      </c>
      <c r="V43" s="279" t="str">
        <f t="shared" si="8"/>
        <v>-</v>
      </c>
      <c r="W43" s="281"/>
      <c r="X43" s="7"/>
      <c r="Y43" s="7"/>
      <c r="Z43" s="5"/>
      <c r="AA43" s="5"/>
      <c r="AB43" s="5"/>
      <c r="AC43" s="5"/>
      <c r="AD43" s="5"/>
    </row>
    <row r="44" spans="1:30" ht="15" customHeight="1">
      <c r="A44" s="8"/>
      <c r="B44" s="88">
        <f t="shared" si="11"/>
        <v>23</v>
      </c>
      <c r="C44" s="346"/>
      <c r="D44" s="347"/>
      <c r="E44" s="89"/>
      <c r="F44" s="90" t="str">
        <f t="shared" si="0"/>
        <v>-</v>
      </c>
      <c r="G44" s="358" t="str">
        <f t="shared" si="1"/>
        <v>-</v>
      </c>
      <c r="H44" s="347"/>
      <c r="I44" s="346"/>
      <c r="J44" s="281"/>
      <c r="K44" s="5"/>
      <c r="L44" s="5"/>
      <c r="M44" s="5"/>
      <c r="N44" s="104"/>
      <c r="O44" s="5"/>
      <c r="P44" s="5"/>
      <c r="Q44" s="5"/>
      <c r="R44" s="5"/>
      <c r="S44" s="12"/>
      <c r="T44" s="5"/>
      <c r="U44" s="94" t="str">
        <f t="shared" si="7"/>
        <v>-</v>
      </c>
      <c r="V44" s="279" t="str">
        <f t="shared" si="8"/>
        <v>-</v>
      </c>
      <c r="W44" s="281"/>
      <c r="X44" s="7"/>
      <c r="Y44" s="7"/>
      <c r="Z44" s="5"/>
      <c r="AA44" s="5"/>
      <c r="AB44" s="5"/>
      <c r="AC44" s="5"/>
      <c r="AD44" s="5"/>
    </row>
    <row r="45" spans="1:30" ht="15" customHeight="1">
      <c r="A45" s="8"/>
      <c r="B45" s="106">
        <f t="shared" si="11"/>
        <v>24</v>
      </c>
      <c r="C45" s="348"/>
      <c r="D45" s="349"/>
      <c r="E45" s="107"/>
      <c r="F45" s="108" t="str">
        <f t="shared" si="0"/>
        <v>-</v>
      </c>
      <c r="G45" s="360" t="str">
        <f t="shared" si="1"/>
        <v>-</v>
      </c>
      <c r="H45" s="349"/>
      <c r="I45" s="348"/>
      <c r="J45" s="283"/>
      <c r="K45" s="105"/>
      <c r="L45" s="5"/>
      <c r="M45" s="5"/>
      <c r="N45" s="104"/>
      <c r="O45" s="5"/>
      <c r="P45" s="5"/>
      <c r="Q45" s="5"/>
      <c r="R45" s="5"/>
      <c r="S45" s="12"/>
      <c r="T45" s="5"/>
      <c r="U45" s="109" t="str">
        <f t="shared" si="7"/>
        <v>-</v>
      </c>
      <c r="V45" s="282" t="str">
        <f t="shared" si="8"/>
        <v>-</v>
      </c>
      <c r="W45" s="283"/>
      <c r="X45" s="7"/>
      <c r="Y45" s="7"/>
      <c r="Z45" s="5"/>
      <c r="AA45" s="5"/>
      <c r="AB45" s="5"/>
      <c r="AC45" s="5"/>
      <c r="AD45" s="5"/>
    </row>
    <row r="46" spans="1:30" ht="15" customHeight="1">
      <c r="A46" s="8"/>
      <c r="B46" s="7"/>
      <c r="C46" s="350" t="str">
        <f>IF(ISNUMBER(V22),AVERAGE(V22:W45),"-")</f>
        <v>-</v>
      </c>
      <c r="D46" s="351"/>
      <c r="E46" s="110" t="str">
        <f t="shared" ref="E46:F46" si="12">IF(ISNUMBER(E22),AVERAGE(E22:E45),"-")</f>
        <v>-</v>
      </c>
      <c r="F46" s="110" t="str">
        <f t="shared" si="12"/>
        <v>-</v>
      </c>
      <c r="G46" s="359" t="str">
        <f>IF(ISNUMBER(G22),AVERAGE(G22:H45),"-")</f>
        <v>-</v>
      </c>
      <c r="H46" s="351"/>
      <c r="I46" s="359" t="str">
        <f>IF(ISNUMBER(I22),AVERAGE(I22:J45),"-")</f>
        <v>-</v>
      </c>
      <c r="J46" s="278"/>
      <c r="K46" s="111"/>
      <c r="L46" s="111"/>
      <c r="M46" s="112"/>
      <c r="N46" s="104"/>
      <c r="O46" s="5"/>
      <c r="P46" s="113"/>
      <c r="Q46" s="114"/>
      <c r="R46" s="114"/>
      <c r="S46" s="12"/>
      <c r="T46" s="5"/>
      <c r="U46" s="115" t="str">
        <f>IF(ISNUMBER(U22),AVERAGE(U22:U45),"-")</f>
        <v>-</v>
      </c>
      <c r="V46" s="284" t="str">
        <f>IF(ISNUMBER(V22),AVERAGE(V22:W45),"-")</f>
        <v>-</v>
      </c>
      <c r="W46" s="285"/>
      <c r="X46" s="7"/>
      <c r="Y46" s="7"/>
      <c r="Z46" s="5"/>
      <c r="AA46" s="5"/>
      <c r="AB46" s="5"/>
      <c r="AC46" s="5"/>
      <c r="AD46" s="5"/>
    </row>
    <row r="47" spans="1:30" ht="15" customHeight="1">
      <c r="A47" s="8"/>
      <c r="B47" s="7"/>
      <c r="C47" s="352" t="s">
        <v>110</v>
      </c>
      <c r="D47" s="310"/>
      <c r="E47" s="116"/>
      <c r="F47" s="117"/>
      <c r="G47" s="104"/>
      <c r="H47" s="118"/>
      <c r="I47" s="118"/>
      <c r="J47" s="29"/>
      <c r="K47" s="111"/>
      <c r="L47" s="111"/>
      <c r="M47" s="112"/>
      <c r="N47" s="104"/>
      <c r="O47" s="5"/>
      <c r="P47" s="113"/>
      <c r="Q47" s="114"/>
      <c r="R47" s="114"/>
      <c r="S47" s="12"/>
      <c r="T47" s="5"/>
      <c r="U47" s="5"/>
      <c r="V47" s="5"/>
      <c r="W47" s="6"/>
      <c r="X47" s="7"/>
      <c r="Y47" s="7"/>
      <c r="Z47" s="5"/>
      <c r="AA47" s="5"/>
      <c r="AB47" s="5"/>
      <c r="AC47" s="5"/>
      <c r="AD47" s="5"/>
    </row>
    <row r="48" spans="1:30" ht="15" customHeight="1">
      <c r="A48" s="8"/>
      <c r="B48" s="7"/>
      <c r="C48" s="7"/>
      <c r="D48" s="119"/>
      <c r="E48" s="116"/>
      <c r="F48" s="117"/>
      <c r="G48" s="104"/>
      <c r="H48" s="118"/>
      <c r="I48" s="118"/>
      <c r="J48" s="29"/>
      <c r="K48" s="111"/>
      <c r="L48" s="111"/>
      <c r="M48" s="112"/>
      <c r="N48" s="104"/>
      <c r="O48" s="5"/>
      <c r="P48" s="113"/>
      <c r="Q48" s="114"/>
      <c r="R48" s="114"/>
      <c r="S48" s="12"/>
      <c r="T48" s="5"/>
      <c r="U48" s="5"/>
      <c r="V48" s="5"/>
      <c r="W48" s="6"/>
      <c r="X48" s="7"/>
      <c r="Y48" s="7"/>
      <c r="Z48" s="5"/>
      <c r="AA48" s="5"/>
      <c r="AB48" s="5"/>
      <c r="AC48" s="5"/>
      <c r="AD48" s="5"/>
    </row>
    <row r="49" spans="1:30" ht="15" customHeight="1">
      <c r="A49" s="8"/>
      <c r="B49" s="7"/>
      <c r="C49" s="7"/>
      <c r="D49" s="119"/>
      <c r="E49" s="116"/>
      <c r="F49" s="117"/>
      <c r="G49" s="104"/>
      <c r="H49" s="118"/>
      <c r="I49" s="118"/>
      <c r="J49" s="29"/>
      <c r="K49" s="111"/>
      <c r="L49" s="111"/>
      <c r="M49" s="112"/>
      <c r="N49" s="120"/>
      <c r="O49" s="5"/>
      <c r="P49" s="113"/>
      <c r="Q49" s="114"/>
      <c r="R49" s="114"/>
      <c r="S49" s="12"/>
      <c r="T49" s="5"/>
      <c r="U49" s="5"/>
      <c r="V49" s="5"/>
      <c r="W49" s="6"/>
      <c r="X49" s="7"/>
      <c r="Y49" s="7"/>
      <c r="Z49" s="5"/>
      <c r="AA49" s="5"/>
      <c r="AB49" s="5"/>
      <c r="AC49" s="5"/>
      <c r="AD49" s="5"/>
    </row>
    <row r="50" spans="1:30" ht="15" customHeight="1">
      <c r="A50" s="8"/>
      <c r="B50" s="51"/>
      <c r="C50" s="51"/>
      <c r="D50" s="51"/>
      <c r="E50" s="51"/>
      <c r="F50" s="51"/>
      <c r="G50" s="51"/>
      <c r="H50" s="51"/>
      <c r="I50" s="51"/>
      <c r="J50" s="5"/>
      <c r="K50" s="51"/>
      <c r="L50" s="51"/>
      <c r="M50" s="51"/>
      <c r="N50" s="51"/>
      <c r="O50" s="51"/>
      <c r="P50" s="51"/>
      <c r="Q50" s="51"/>
      <c r="R50" s="51"/>
      <c r="S50" s="12"/>
      <c r="T50" s="5"/>
      <c r="U50" s="5"/>
      <c r="V50" s="5"/>
      <c r="W50" s="6"/>
      <c r="X50" s="7"/>
      <c r="Y50" s="7"/>
      <c r="Z50" s="5"/>
      <c r="AA50" s="5"/>
      <c r="AB50" s="5"/>
      <c r="AC50" s="5"/>
      <c r="AD50" s="5"/>
    </row>
    <row r="51" spans="1:30" ht="15" customHeight="1">
      <c r="A51" s="8"/>
      <c r="B51" s="121"/>
      <c r="C51" s="121" t="s">
        <v>111</v>
      </c>
      <c r="D51" s="122"/>
      <c r="E51" s="122"/>
      <c r="F51" s="123"/>
      <c r="G51" s="123"/>
      <c r="H51" s="124"/>
      <c r="I51" s="124"/>
      <c r="J51" s="5"/>
      <c r="K51" s="121"/>
      <c r="L51" s="121" t="s">
        <v>112</v>
      </c>
      <c r="M51" s="122"/>
      <c r="N51" s="122"/>
      <c r="O51" s="123"/>
      <c r="P51" s="123"/>
      <c r="Q51" s="124"/>
      <c r="R51" s="124"/>
      <c r="S51" s="12"/>
      <c r="T51" s="5"/>
      <c r="U51" s="5"/>
      <c r="V51" s="5"/>
      <c r="W51" s="6"/>
      <c r="X51" s="7"/>
      <c r="Y51" s="7"/>
      <c r="Z51" s="5"/>
      <c r="AA51" s="5"/>
      <c r="AB51" s="5"/>
      <c r="AC51" s="5"/>
      <c r="AD51" s="5"/>
    </row>
    <row r="52" spans="1:30" ht="5.25" customHeight="1">
      <c r="A52" s="60"/>
      <c r="B52" s="51"/>
      <c r="C52" s="51"/>
      <c r="D52" s="51"/>
      <c r="E52" s="51"/>
      <c r="F52" s="51"/>
      <c r="G52" s="51"/>
      <c r="H52" s="125"/>
      <c r="I52" s="51"/>
      <c r="J52" s="51"/>
      <c r="K52" s="51"/>
      <c r="L52" s="126"/>
      <c r="M52" s="125"/>
      <c r="N52" s="51"/>
      <c r="O52" s="126"/>
      <c r="P52" s="126"/>
      <c r="Q52" s="126"/>
      <c r="R52" s="126"/>
      <c r="S52" s="52"/>
      <c r="T52" s="5"/>
      <c r="U52" s="5"/>
      <c r="V52" s="5"/>
      <c r="W52" s="6"/>
      <c r="X52" s="7"/>
      <c r="Y52" s="7"/>
      <c r="Z52" s="5"/>
      <c r="AA52" s="5"/>
      <c r="AB52" s="5"/>
      <c r="AC52" s="5"/>
      <c r="AD52" s="5"/>
    </row>
    <row r="53" spans="1:30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6"/>
      <c r="X53" s="7"/>
      <c r="Y53" s="7"/>
      <c r="Z53" s="5"/>
      <c r="AA53" s="5"/>
      <c r="AB53" s="5"/>
      <c r="AC53" s="5"/>
      <c r="AD53" s="5"/>
    </row>
    <row r="54" spans="1:30" ht="1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6"/>
      <c r="X54" s="7"/>
      <c r="Y54" s="7"/>
      <c r="Z54" s="5"/>
      <c r="AA54" s="5"/>
      <c r="AB54" s="5"/>
      <c r="AC54" s="5"/>
      <c r="AD54" s="5"/>
    </row>
    <row r="55" spans="1:30" ht="15" customHeight="1">
      <c r="A55" s="5"/>
      <c r="B55" s="5"/>
      <c r="C55" s="5"/>
      <c r="D55" s="5"/>
      <c r="E55" s="5"/>
      <c r="F55" s="5"/>
      <c r="G55" s="12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6"/>
      <c r="X55" s="7"/>
      <c r="Y55" s="7"/>
      <c r="Z55" s="5"/>
      <c r="AA55" s="5"/>
      <c r="AB55" s="5"/>
      <c r="AC55" s="5"/>
      <c r="AD55" s="5"/>
    </row>
    <row r="56" spans="1:30" ht="1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6"/>
      <c r="X56" s="7"/>
      <c r="Y56" s="7"/>
      <c r="Z56" s="5"/>
      <c r="AA56" s="5"/>
      <c r="AB56" s="5"/>
      <c r="AC56" s="5"/>
      <c r="AD56" s="5"/>
    </row>
    <row r="57" spans="1:30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6"/>
      <c r="X57" s="7"/>
      <c r="Y57" s="7"/>
      <c r="Z57" s="5"/>
      <c r="AA57" s="5"/>
      <c r="AB57" s="5"/>
      <c r="AC57" s="5"/>
      <c r="AD57" s="5"/>
    </row>
    <row r="58" spans="1:30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6"/>
      <c r="X58" s="7"/>
      <c r="Y58" s="7"/>
      <c r="Z58" s="5"/>
      <c r="AA58" s="5"/>
      <c r="AB58" s="5"/>
      <c r="AC58" s="5"/>
      <c r="AD58" s="5"/>
    </row>
    <row r="59" spans="1:30" ht="1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6"/>
      <c r="X59" s="7"/>
      <c r="Y59" s="7"/>
      <c r="Z59" s="5"/>
      <c r="AA59" s="5"/>
      <c r="AB59" s="5"/>
      <c r="AC59" s="5"/>
      <c r="AD59" s="5"/>
    </row>
    <row r="60" spans="1:30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6"/>
      <c r="X60" s="7"/>
      <c r="Y60" s="7"/>
      <c r="Z60" s="5"/>
      <c r="AA60" s="5"/>
      <c r="AB60" s="5"/>
      <c r="AC60" s="5"/>
      <c r="AD60" s="5"/>
    </row>
    <row r="61" spans="1:30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6"/>
      <c r="X61" s="7"/>
      <c r="Y61" s="7"/>
      <c r="Z61" s="5"/>
      <c r="AA61" s="5"/>
      <c r="AB61" s="5"/>
      <c r="AC61" s="5"/>
      <c r="AD61" s="5"/>
    </row>
    <row r="62" spans="1:30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6"/>
      <c r="X62" s="7"/>
      <c r="Y62" s="7"/>
      <c r="Z62" s="5"/>
      <c r="AA62" s="5"/>
      <c r="AB62" s="5"/>
      <c r="AC62" s="5"/>
      <c r="AD62" s="5"/>
    </row>
    <row r="63" spans="1:30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6"/>
      <c r="X63" s="7"/>
      <c r="Y63" s="7"/>
      <c r="Z63" s="5"/>
      <c r="AA63" s="5"/>
      <c r="AB63" s="5"/>
      <c r="AC63" s="5"/>
      <c r="AD63" s="5"/>
    </row>
    <row r="64" spans="1:30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6"/>
      <c r="X64" s="7"/>
      <c r="Y64" s="7"/>
      <c r="Z64" s="5"/>
      <c r="AA64" s="5"/>
      <c r="AB64" s="5"/>
      <c r="AC64" s="5"/>
      <c r="AD64" s="5"/>
    </row>
    <row r="65" spans="1:30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6"/>
      <c r="X65" s="7"/>
      <c r="Y65" s="7"/>
      <c r="Z65" s="5"/>
      <c r="AA65" s="5"/>
      <c r="AB65" s="5"/>
      <c r="AC65" s="5"/>
      <c r="AD65" s="5"/>
    </row>
    <row r="66" spans="1:30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6"/>
      <c r="X66" s="7"/>
      <c r="Y66" s="7"/>
      <c r="Z66" s="5"/>
      <c r="AA66" s="5"/>
      <c r="AB66" s="5"/>
      <c r="AC66" s="5"/>
      <c r="AD66" s="5"/>
    </row>
    <row r="67" spans="1:30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6"/>
      <c r="X67" s="7"/>
      <c r="Y67" s="7"/>
      <c r="Z67" s="5"/>
      <c r="AA67" s="5"/>
      <c r="AB67" s="5"/>
      <c r="AC67" s="5"/>
      <c r="AD67" s="5"/>
    </row>
    <row r="68" spans="1:30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6"/>
      <c r="X68" s="7"/>
      <c r="Y68" s="7"/>
      <c r="Z68" s="5"/>
      <c r="AA68" s="5"/>
      <c r="AB68" s="5"/>
      <c r="AC68" s="5"/>
      <c r="AD68" s="5"/>
    </row>
    <row r="69" spans="1:30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6"/>
      <c r="X69" s="7"/>
      <c r="Y69" s="7"/>
      <c r="Z69" s="5"/>
      <c r="AA69" s="5"/>
      <c r="AB69" s="5"/>
      <c r="AC69" s="5"/>
      <c r="AD69" s="5"/>
    </row>
    <row r="70" spans="1:30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6"/>
      <c r="X70" s="7"/>
      <c r="Y70" s="7"/>
      <c r="Z70" s="5"/>
      <c r="AA70" s="5"/>
      <c r="AB70" s="5"/>
      <c r="AC70" s="5"/>
      <c r="AD70" s="5"/>
    </row>
    <row r="71" spans="1:30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6"/>
      <c r="X71" s="7"/>
      <c r="Y71" s="7"/>
      <c r="Z71" s="5"/>
      <c r="AA71" s="5"/>
      <c r="AB71" s="5"/>
      <c r="AC71" s="5"/>
      <c r="AD71" s="5"/>
    </row>
    <row r="72" spans="1:30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6"/>
      <c r="X72" s="7"/>
      <c r="Y72" s="7"/>
      <c r="Z72" s="5"/>
      <c r="AA72" s="5"/>
      <c r="AB72" s="5"/>
      <c r="AC72" s="5"/>
      <c r="AD72" s="5"/>
    </row>
    <row r="73" spans="1:30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6"/>
      <c r="X73" s="7"/>
      <c r="Y73" s="7"/>
      <c r="Z73" s="5"/>
      <c r="AA73" s="5"/>
      <c r="AB73" s="5"/>
      <c r="AC73" s="5"/>
      <c r="AD73" s="5"/>
    </row>
    <row r="74" spans="1:30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6"/>
      <c r="X74" s="7"/>
      <c r="Y74" s="7"/>
      <c r="Z74" s="5"/>
      <c r="AA74" s="5"/>
      <c r="AB74" s="5"/>
      <c r="AC74" s="5"/>
      <c r="AD74" s="5"/>
    </row>
    <row r="75" spans="1:30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6"/>
      <c r="X75" s="7"/>
      <c r="Y75" s="7"/>
      <c r="Z75" s="5"/>
      <c r="AA75" s="5"/>
      <c r="AB75" s="5"/>
      <c r="AC75" s="5"/>
      <c r="AD75" s="5"/>
    </row>
    <row r="76" spans="1:30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6"/>
      <c r="X76" s="7"/>
      <c r="Y76" s="7"/>
      <c r="Z76" s="5"/>
      <c r="AA76" s="5"/>
      <c r="AB76" s="5"/>
      <c r="AC76" s="5"/>
      <c r="AD76" s="5"/>
    </row>
    <row r="77" spans="1:30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6"/>
      <c r="X77" s="7"/>
      <c r="Y77" s="7"/>
      <c r="Z77" s="5"/>
      <c r="AA77" s="5"/>
      <c r="AB77" s="5"/>
      <c r="AC77" s="5"/>
      <c r="AD77" s="5"/>
    </row>
    <row r="78" spans="1:30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6"/>
      <c r="X78" s="7"/>
      <c r="Y78" s="7"/>
      <c r="Z78" s="5"/>
      <c r="AA78" s="5"/>
      <c r="AB78" s="5"/>
      <c r="AC78" s="5"/>
      <c r="AD78" s="5"/>
    </row>
    <row r="79" spans="1:30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6"/>
      <c r="X79" s="7"/>
      <c r="Y79" s="7"/>
      <c r="Z79" s="5"/>
      <c r="AA79" s="5"/>
      <c r="AB79" s="5"/>
      <c r="AC79" s="5"/>
      <c r="AD79" s="5"/>
    </row>
    <row r="80" spans="1:30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6"/>
      <c r="X80" s="7"/>
      <c r="Y80" s="7"/>
      <c r="Z80" s="5"/>
      <c r="AA80" s="5"/>
      <c r="AB80" s="5"/>
      <c r="AC80" s="5"/>
      <c r="AD80" s="5"/>
    </row>
    <row r="81" spans="1:30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6"/>
      <c r="X81" s="7"/>
      <c r="Y81" s="7"/>
      <c r="Z81" s="5"/>
      <c r="AA81" s="5"/>
      <c r="AB81" s="5"/>
      <c r="AC81" s="5"/>
      <c r="AD81" s="5"/>
    </row>
    <row r="82" spans="1:30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6"/>
      <c r="X82" s="7"/>
      <c r="Y82" s="7"/>
      <c r="Z82" s="5"/>
      <c r="AA82" s="5"/>
      <c r="AB82" s="5"/>
      <c r="AC82" s="5"/>
      <c r="AD82" s="5"/>
    </row>
    <row r="83" spans="1:30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6"/>
      <c r="X83" s="7"/>
      <c r="Y83" s="7"/>
      <c r="Z83" s="5"/>
      <c r="AA83" s="5"/>
      <c r="AB83" s="5"/>
      <c r="AC83" s="5"/>
      <c r="AD83" s="5"/>
    </row>
    <row r="84" spans="1:30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6"/>
      <c r="X84" s="7"/>
      <c r="Y84" s="7"/>
      <c r="Z84" s="5"/>
      <c r="AA84" s="5"/>
      <c r="AB84" s="5"/>
      <c r="AC84" s="5"/>
      <c r="AD84" s="5"/>
    </row>
    <row r="85" spans="1:30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6"/>
      <c r="X85" s="7"/>
      <c r="Y85" s="7"/>
      <c r="Z85" s="5"/>
      <c r="AA85" s="5"/>
      <c r="AB85" s="5"/>
      <c r="AC85" s="5"/>
      <c r="AD85" s="5"/>
    </row>
    <row r="86" spans="1:30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6"/>
      <c r="X86" s="7"/>
      <c r="Y86" s="7"/>
      <c r="Z86" s="5"/>
      <c r="AA86" s="5"/>
      <c r="AB86" s="5"/>
      <c r="AC86" s="5"/>
      <c r="AD86" s="5"/>
    </row>
    <row r="87" spans="1:30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6"/>
      <c r="X87" s="7"/>
      <c r="Y87" s="7"/>
      <c r="Z87" s="5"/>
      <c r="AA87" s="5"/>
      <c r="AB87" s="5"/>
      <c r="AC87" s="5"/>
      <c r="AD87" s="5"/>
    </row>
    <row r="88" spans="1:30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6"/>
      <c r="X88" s="7"/>
      <c r="Y88" s="7"/>
      <c r="Z88" s="5"/>
      <c r="AA88" s="5"/>
      <c r="AB88" s="5"/>
      <c r="AC88" s="5"/>
      <c r="AD88" s="5"/>
    </row>
    <row r="89" spans="1:30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6"/>
      <c r="X89" s="7"/>
      <c r="Y89" s="7"/>
      <c r="Z89" s="5"/>
      <c r="AA89" s="5"/>
      <c r="AB89" s="5"/>
      <c r="AC89" s="5"/>
      <c r="AD89" s="5"/>
    </row>
    <row r="90" spans="1:30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6"/>
      <c r="X90" s="7"/>
      <c r="Y90" s="7"/>
      <c r="Z90" s="5"/>
      <c r="AA90" s="5"/>
      <c r="AB90" s="5"/>
      <c r="AC90" s="5"/>
      <c r="AD90" s="5"/>
    </row>
    <row r="91" spans="1:30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6"/>
      <c r="X91" s="7"/>
      <c r="Y91" s="7"/>
      <c r="Z91" s="5"/>
      <c r="AA91" s="5"/>
      <c r="AB91" s="5"/>
      <c r="AC91" s="5"/>
      <c r="AD91" s="5"/>
    </row>
    <row r="92" spans="1:30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6"/>
      <c r="X92" s="7"/>
      <c r="Y92" s="7"/>
      <c r="Z92" s="5"/>
      <c r="AA92" s="5"/>
      <c r="AB92" s="5"/>
      <c r="AC92" s="5"/>
      <c r="AD92" s="5"/>
    </row>
    <row r="93" spans="1:30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6"/>
      <c r="X93" s="7"/>
      <c r="Y93" s="7"/>
      <c r="Z93" s="5"/>
      <c r="AA93" s="5"/>
      <c r="AB93" s="5"/>
      <c r="AC93" s="5"/>
      <c r="AD93" s="5"/>
    </row>
    <row r="94" spans="1:30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6"/>
      <c r="X94" s="7"/>
      <c r="Y94" s="7"/>
      <c r="Z94" s="5"/>
      <c r="AA94" s="5"/>
      <c r="AB94" s="5"/>
      <c r="AC94" s="5"/>
      <c r="AD94" s="5"/>
    </row>
    <row r="95" spans="1:30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6"/>
      <c r="X95" s="7"/>
      <c r="Y95" s="7"/>
      <c r="Z95" s="5"/>
      <c r="AA95" s="5"/>
      <c r="AB95" s="5"/>
      <c r="AC95" s="5"/>
      <c r="AD95" s="5"/>
    </row>
    <row r="96" spans="1:30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6"/>
      <c r="X96" s="7"/>
      <c r="Y96" s="7"/>
      <c r="Z96" s="5"/>
      <c r="AA96" s="5"/>
      <c r="AB96" s="5"/>
      <c r="AC96" s="5"/>
      <c r="AD96" s="5"/>
    </row>
    <row r="97" spans="1:30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6"/>
      <c r="X97" s="7"/>
      <c r="Y97" s="7"/>
      <c r="Z97" s="5"/>
      <c r="AA97" s="5"/>
      <c r="AB97" s="5"/>
      <c r="AC97" s="5"/>
      <c r="AD97" s="5"/>
    </row>
    <row r="98" spans="1:30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6"/>
      <c r="X98" s="7"/>
      <c r="Y98" s="7"/>
      <c r="Z98" s="5"/>
      <c r="AA98" s="5"/>
      <c r="AB98" s="5"/>
      <c r="AC98" s="5"/>
      <c r="AD98" s="5"/>
    </row>
    <row r="99" spans="1:30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6"/>
      <c r="X99" s="7"/>
      <c r="Y99" s="7"/>
      <c r="Z99" s="5"/>
      <c r="AA99" s="5"/>
      <c r="AB99" s="5"/>
      <c r="AC99" s="5"/>
      <c r="AD99" s="5"/>
    </row>
    <row r="100" spans="1:30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6"/>
      <c r="X100" s="7"/>
      <c r="Y100" s="7"/>
      <c r="Z100" s="5"/>
      <c r="AA100" s="5"/>
      <c r="AB100" s="5"/>
      <c r="AC100" s="5"/>
      <c r="AD100" s="5"/>
    </row>
    <row r="101" spans="1:30" ht="1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6"/>
      <c r="X101" s="7"/>
      <c r="Y101" s="7"/>
      <c r="Z101" s="5"/>
      <c r="AA101" s="5"/>
      <c r="AB101" s="5"/>
      <c r="AC101" s="5"/>
      <c r="AD101" s="5"/>
    </row>
    <row r="102" spans="1:30" ht="1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6"/>
      <c r="X102" s="7"/>
      <c r="Y102" s="7"/>
      <c r="Z102" s="5"/>
      <c r="AA102" s="5"/>
      <c r="AB102" s="5"/>
      <c r="AC102" s="5"/>
      <c r="AD102" s="5"/>
    </row>
    <row r="103" spans="1:30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6"/>
      <c r="X103" s="7"/>
      <c r="Y103" s="7"/>
      <c r="Z103" s="5"/>
      <c r="AA103" s="5"/>
      <c r="AB103" s="5"/>
      <c r="AC103" s="5"/>
      <c r="AD103" s="5"/>
    </row>
    <row r="104" spans="1:30" ht="1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6"/>
      <c r="X104" s="7"/>
      <c r="Y104" s="7"/>
      <c r="Z104" s="5"/>
      <c r="AA104" s="5"/>
      <c r="AB104" s="5"/>
      <c r="AC104" s="5"/>
      <c r="AD104" s="5"/>
    </row>
    <row r="105" spans="1:30" ht="1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6"/>
      <c r="X105" s="7"/>
      <c r="Y105" s="7"/>
      <c r="Z105" s="5"/>
      <c r="AA105" s="5"/>
      <c r="AB105" s="5"/>
      <c r="AC105" s="5"/>
      <c r="AD105" s="5"/>
    </row>
    <row r="106" spans="1:30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6"/>
      <c r="X106" s="7"/>
      <c r="Y106" s="7"/>
      <c r="Z106" s="5"/>
      <c r="AA106" s="5"/>
      <c r="AB106" s="5"/>
      <c r="AC106" s="5"/>
      <c r="AD106" s="5"/>
    </row>
    <row r="107" spans="1:30" ht="1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6"/>
      <c r="X107" s="7"/>
      <c r="Y107" s="7"/>
      <c r="Z107" s="5"/>
      <c r="AA107" s="5"/>
      <c r="AB107" s="5"/>
      <c r="AC107" s="5"/>
      <c r="AD107" s="5"/>
    </row>
    <row r="108" spans="1:30" ht="1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6"/>
      <c r="X108" s="7"/>
      <c r="Y108" s="7"/>
      <c r="Z108" s="5"/>
      <c r="AA108" s="5"/>
      <c r="AB108" s="5"/>
      <c r="AC108" s="5"/>
      <c r="AD108" s="5"/>
    </row>
    <row r="109" spans="1:30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6"/>
      <c r="X109" s="7"/>
      <c r="Y109" s="7"/>
      <c r="Z109" s="5"/>
      <c r="AA109" s="5"/>
      <c r="AB109" s="5"/>
      <c r="AC109" s="5"/>
      <c r="AD109" s="5"/>
    </row>
    <row r="110" spans="1:30" ht="1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6"/>
      <c r="X110" s="7"/>
      <c r="Y110" s="7"/>
      <c r="Z110" s="5"/>
      <c r="AA110" s="5"/>
      <c r="AB110" s="5"/>
      <c r="AC110" s="5"/>
      <c r="AD110" s="5"/>
    </row>
    <row r="111" spans="1:30" ht="1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6"/>
      <c r="X111" s="7"/>
      <c r="Y111" s="7"/>
      <c r="Z111" s="5"/>
      <c r="AA111" s="5"/>
      <c r="AB111" s="5"/>
      <c r="AC111" s="5"/>
      <c r="AD111" s="5"/>
    </row>
    <row r="112" spans="1:30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6"/>
      <c r="X112" s="7"/>
      <c r="Y112" s="7"/>
      <c r="Z112" s="5"/>
      <c r="AA112" s="5"/>
      <c r="AB112" s="5"/>
      <c r="AC112" s="5"/>
      <c r="AD112" s="5"/>
    </row>
    <row r="113" spans="1:30" ht="1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6"/>
      <c r="X113" s="7"/>
      <c r="Y113" s="7"/>
      <c r="Z113" s="5"/>
      <c r="AA113" s="5"/>
      <c r="AB113" s="5"/>
      <c r="AC113" s="5"/>
      <c r="AD113" s="5"/>
    </row>
    <row r="114" spans="1:30" ht="1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6"/>
      <c r="X114" s="7"/>
      <c r="Y114" s="7"/>
      <c r="Z114" s="5"/>
      <c r="AA114" s="5"/>
      <c r="AB114" s="5"/>
      <c r="AC114" s="5"/>
      <c r="AD114" s="5"/>
    </row>
    <row r="115" spans="1:30" ht="1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6"/>
      <c r="X115" s="7"/>
      <c r="Y115" s="7"/>
      <c r="Z115" s="5"/>
      <c r="AA115" s="5"/>
      <c r="AB115" s="5"/>
      <c r="AC115" s="5"/>
      <c r="AD115" s="5"/>
    </row>
    <row r="116" spans="1:30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6"/>
      <c r="X116" s="7"/>
      <c r="Y116" s="7"/>
      <c r="Z116" s="5"/>
      <c r="AA116" s="5"/>
      <c r="AB116" s="5"/>
      <c r="AC116" s="5"/>
      <c r="AD116" s="5"/>
    </row>
    <row r="117" spans="1:30" ht="1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6"/>
      <c r="X117" s="7"/>
      <c r="Y117" s="7"/>
      <c r="Z117" s="5"/>
      <c r="AA117" s="5"/>
      <c r="AB117" s="5"/>
      <c r="AC117" s="5"/>
      <c r="AD117" s="5"/>
    </row>
    <row r="118" spans="1:30" ht="1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6"/>
      <c r="X118" s="7"/>
      <c r="Y118" s="7"/>
      <c r="Z118" s="5"/>
      <c r="AA118" s="5"/>
      <c r="AB118" s="5"/>
      <c r="AC118" s="5"/>
      <c r="AD118" s="5"/>
    </row>
    <row r="119" spans="1:30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6"/>
      <c r="X119" s="7"/>
      <c r="Y119" s="7"/>
      <c r="Z119" s="5"/>
      <c r="AA119" s="5"/>
      <c r="AB119" s="5"/>
      <c r="AC119" s="5"/>
      <c r="AD119" s="5"/>
    </row>
    <row r="120" spans="1:30" ht="1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6"/>
      <c r="X120" s="7"/>
      <c r="Y120" s="7"/>
      <c r="Z120" s="5"/>
      <c r="AA120" s="5"/>
      <c r="AB120" s="5"/>
      <c r="AC120" s="5"/>
      <c r="AD120" s="5"/>
    </row>
    <row r="121" spans="1:30" ht="1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6"/>
      <c r="X121" s="7"/>
      <c r="Y121" s="7"/>
      <c r="Z121" s="5"/>
      <c r="AA121" s="5"/>
      <c r="AB121" s="5"/>
      <c r="AC121" s="5"/>
      <c r="AD121" s="5"/>
    </row>
    <row r="122" spans="1:30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6"/>
      <c r="X122" s="7"/>
      <c r="Y122" s="7"/>
      <c r="Z122" s="5"/>
      <c r="AA122" s="5"/>
      <c r="AB122" s="5"/>
      <c r="AC122" s="5"/>
      <c r="AD122" s="5"/>
    </row>
    <row r="123" spans="1:30" ht="1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6"/>
      <c r="X123" s="7"/>
      <c r="Y123" s="7"/>
      <c r="Z123" s="5"/>
      <c r="AA123" s="5"/>
      <c r="AB123" s="5"/>
      <c r="AC123" s="5"/>
      <c r="AD123" s="5"/>
    </row>
    <row r="124" spans="1:30" ht="1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6"/>
      <c r="X124" s="7"/>
      <c r="Y124" s="7"/>
      <c r="Z124" s="5"/>
      <c r="AA124" s="5"/>
      <c r="AB124" s="5"/>
      <c r="AC124" s="5"/>
      <c r="AD124" s="5"/>
    </row>
    <row r="125" spans="1:30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6"/>
      <c r="X125" s="7"/>
      <c r="Y125" s="7"/>
      <c r="Z125" s="5"/>
      <c r="AA125" s="5"/>
      <c r="AB125" s="5"/>
      <c r="AC125" s="5"/>
      <c r="AD125" s="5"/>
    </row>
    <row r="126" spans="1:30" ht="1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6"/>
      <c r="X126" s="7"/>
      <c r="Y126" s="7"/>
      <c r="Z126" s="5"/>
      <c r="AA126" s="5"/>
      <c r="AB126" s="5"/>
      <c r="AC126" s="5"/>
      <c r="AD126" s="5"/>
    </row>
    <row r="127" spans="1:30" ht="1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6"/>
      <c r="X127" s="7"/>
      <c r="Y127" s="7"/>
      <c r="Z127" s="5"/>
      <c r="AA127" s="5"/>
      <c r="AB127" s="5"/>
      <c r="AC127" s="5"/>
      <c r="AD127" s="5"/>
    </row>
    <row r="128" spans="1:30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6"/>
      <c r="X128" s="7"/>
      <c r="Y128" s="7"/>
      <c r="Z128" s="5"/>
      <c r="AA128" s="5"/>
      <c r="AB128" s="5"/>
      <c r="AC128" s="5"/>
      <c r="AD128" s="5"/>
    </row>
    <row r="129" spans="1:30" ht="1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6"/>
      <c r="X129" s="7"/>
      <c r="Y129" s="7"/>
      <c r="Z129" s="5"/>
      <c r="AA129" s="5"/>
      <c r="AB129" s="5"/>
      <c r="AC129" s="5"/>
      <c r="AD129" s="5"/>
    </row>
    <row r="130" spans="1:30" ht="1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6"/>
      <c r="X130" s="7"/>
      <c r="Y130" s="7"/>
      <c r="Z130" s="5"/>
      <c r="AA130" s="5"/>
      <c r="AB130" s="5"/>
      <c r="AC130" s="5"/>
      <c r="AD130" s="5"/>
    </row>
    <row r="131" spans="1:30" ht="1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6"/>
      <c r="X131" s="7"/>
      <c r="Y131" s="7"/>
      <c r="Z131" s="5"/>
      <c r="AA131" s="5"/>
      <c r="AB131" s="5"/>
      <c r="AC131" s="5"/>
      <c r="AD131" s="5"/>
    </row>
    <row r="132" spans="1:30" ht="1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6"/>
      <c r="X132" s="7"/>
      <c r="Y132" s="7"/>
      <c r="Z132" s="5"/>
      <c r="AA132" s="5"/>
      <c r="AB132" s="5"/>
      <c r="AC132" s="5"/>
      <c r="AD132" s="5"/>
    </row>
    <row r="133" spans="1:30" ht="1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6"/>
      <c r="X133" s="7"/>
      <c r="Y133" s="7"/>
      <c r="Z133" s="5"/>
      <c r="AA133" s="5"/>
      <c r="AB133" s="5"/>
      <c r="AC133" s="5"/>
      <c r="AD133" s="5"/>
    </row>
    <row r="134" spans="1:30" ht="1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6"/>
      <c r="X134" s="7"/>
      <c r="Y134" s="7"/>
      <c r="Z134" s="5"/>
      <c r="AA134" s="5"/>
      <c r="AB134" s="5"/>
      <c r="AC134" s="5"/>
      <c r="AD134" s="5"/>
    </row>
    <row r="135" spans="1:30" ht="1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6"/>
      <c r="X135" s="7"/>
      <c r="Y135" s="7"/>
      <c r="Z135" s="5"/>
      <c r="AA135" s="5"/>
      <c r="AB135" s="5"/>
      <c r="AC135" s="5"/>
      <c r="AD135" s="5"/>
    </row>
    <row r="136" spans="1:30" ht="1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6"/>
      <c r="X136" s="7"/>
      <c r="Y136" s="7"/>
      <c r="Z136" s="5"/>
      <c r="AA136" s="5"/>
      <c r="AB136" s="5"/>
      <c r="AC136" s="5"/>
      <c r="AD136" s="5"/>
    </row>
    <row r="137" spans="1:30" ht="1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6"/>
      <c r="X137" s="7"/>
      <c r="Y137" s="7"/>
      <c r="Z137" s="5"/>
      <c r="AA137" s="5"/>
      <c r="AB137" s="5"/>
      <c r="AC137" s="5"/>
      <c r="AD137" s="5"/>
    </row>
    <row r="138" spans="1:30" ht="1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6"/>
      <c r="X138" s="7"/>
      <c r="Y138" s="7"/>
      <c r="Z138" s="5"/>
      <c r="AA138" s="5"/>
      <c r="AB138" s="5"/>
      <c r="AC138" s="5"/>
      <c r="AD138" s="5"/>
    </row>
    <row r="139" spans="1:30" ht="1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6"/>
      <c r="X139" s="7"/>
      <c r="Y139" s="7"/>
      <c r="Z139" s="5"/>
      <c r="AA139" s="5"/>
      <c r="AB139" s="5"/>
      <c r="AC139" s="5"/>
      <c r="AD139" s="5"/>
    </row>
    <row r="140" spans="1:30" ht="1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6"/>
      <c r="X140" s="7"/>
      <c r="Y140" s="7"/>
      <c r="Z140" s="5"/>
      <c r="AA140" s="5"/>
      <c r="AB140" s="5"/>
      <c r="AC140" s="5"/>
      <c r="AD140" s="5"/>
    </row>
    <row r="141" spans="1:30" ht="1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6"/>
      <c r="X141" s="7"/>
      <c r="Y141" s="7"/>
      <c r="Z141" s="5"/>
      <c r="AA141" s="5"/>
      <c r="AB141" s="5"/>
      <c r="AC141" s="5"/>
      <c r="AD141" s="5"/>
    </row>
    <row r="142" spans="1:30" ht="1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6"/>
      <c r="X142" s="7"/>
      <c r="Y142" s="7"/>
      <c r="Z142" s="5"/>
      <c r="AA142" s="5"/>
      <c r="AB142" s="5"/>
      <c r="AC142" s="5"/>
      <c r="AD142" s="5"/>
    </row>
    <row r="143" spans="1:30" ht="1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6"/>
      <c r="X143" s="7"/>
      <c r="Y143" s="7"/>
      <c r="Z143" s="5"/>
      <c r="AA143" s="5"/>
      <c r="AB143" s="5"/>
      <c r="AC143" s="5"/>
      <c r="AD143" s="5"/>
    </row>
    <row r="144" spans="1:30" ht="1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6"/>
      <c r="X144" s="7"/>
      <c r="Y144" s="7"/>
      <c r="Z144" s="5"/>
      <c r="AA144" s="5"/>
      <c r="AB144" s="5"/>
      <c r="AC144" s="5"/>
      <c r="AD144" s="5"/>
    </row>
    <row r="145" spans="1:30" ht="1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6"/>
      <c r="X145" s="7"/>
      <c r="Y145" s="7"/>
      <c r="Z145" s="5"/>
      <c r="AA145" s="5"/>
      <c r="AB145" s="5"/>
      <c r="AC145" s="5"/>
      <c r="AD145" s="5"/>
    </row>
    <row r="146" spans="1:30" ht="1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6"/>
      <c r="X146" s="7"/>
      <c r="Y146" s="7"/>
      <c r="Z146" s="5"/>
      <c r="AA146" s="5"/>
      <c r="AB146" s="5"/>
      <c r="AC146" s="5"/>
      <c r="AD146" s="5"/>
    </row>
    <row r="147" spans="1:30" ht="1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6"/>
      <c r="X147" s="7"/>
      <c r="Y147" s="7"/>
      <c r="Z147" s="5"/>
      <c r="AA147" s="5"/>
      <c r="AB147" s="5"/>
      <c r="AC147" s="5"/>
      <c r="AD147" s="5"/>
    </row>
    <row r="148" spans="1:30" ht="1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6"/>
      <c r="X148" s="7"/>
      <c r="Y148" s="7"/>
      <c r="Z148" s="5"/>
      <c r="AA148" s="5"/>
      <c r="AB148" s="5"/>
      <c r="AC148" s="5"/>
      <c r="AD148" s="5"/>
    </row>
    <row r="149" spans="1:30" ht="1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6"/>
      <c r="X149" s="7"/>
      <c r="Y149" s="7"/>
      <c r="Z149" s="5"/>
      <c r="AA149" s="5"/>
      <c r="AB149" s="5"/>
      <c r="AC149" s="5"/>
      <c r="AD149" s="5"/>
    </row>
    <row r="150" spans="1:30" ht="1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6"/>
      <c r="X150" s="7"/>
      <c r="Y150" s="7"/>
      <c r="Z150" s="5"/>
      <c r="AA150" s="5"/>
      <c r="AB150" s="5"/>
      <c r="AC150" s="5"/>
      <c r="AD150" s="5"/>
    </row>
    <row r="151" spans="1:30" ht="1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6"/>
      <c r="X151" s="7"/>
      <c r="Y151" s="7"/>
      <c r="Z151" s="5"/>
      <c r="AA151" s="5"/>
      <c r="AB151" s="5"/>
      <c r="AC151" s="5"/>
      <c r="AD151" s="5"/>
    </row>
    <row r="152" spans="1:30" ht="1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6"/>
      <c r="X152" s="7"/>
      <c r="Y152" s="7"/>
      <c r="Z152" s="5"/>
      <c r="AA152" s="5"/>
      <c r="AB152" s="5"/>
      <c r="AC152" s="5"/>
      <c r="AD152" s="5"/>
    </row>
    <row r="153" spans="1:30" ht="1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6"/>
      <c r="X153" s="7"/>
      <c r="Y153" s="7"/>
      <c r="Z153" s="5"/>
      <c r="AA153" s="5"/>
      <c r="AB153" s="5"/>
      <c r="AC153" s="5"/>
      <c r="AD153" s="5"/>
    </row>
    <row r="154" spans="1:30" ht="1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6"/>
      <c r="X154" s="7"/>
      <c r="Y154" s="7"/>
      <c r="Z154" s="5"/>
      <c r="AA154" s="5"/>
      <c r="AB154" s="5"/>
      <c r="AC154" s="5"/>
      <c r="AD154" s="5"/>
    </row>
    <row r="155" spans="1:30" ht="1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6"/>
      <c r="X155" s="7"/>
      <c r="Y155" s="7"/>
      <c r="Z155" s="5"/>
      <c r="AA155" s="5"/>
      <c r="AB155" s="5"/>
      <c r="AC155" s="5"/>
      <c r="AD155" s="5"/>
    </row>
    <row r="156" spans="1:30" ht="1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6"/>
      <c r="X156" s="7"/>
      <c r="Y156" s="7"/>
      <c r="Z156" s="5"/>
      <c r="AA156" s="5"/>
      <c r="AB156" s="5"/>
      <c r="AC156" s="5"/>
      <c r="AD156" s="5"/>
    </row>
    <row r="157" spans="1:30" ht="1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6"/>
      <c r="X157" s="7"/>
      <c r="Y157" s="7"/>
      <c r="Z157" s="5"/>
      <c r="AA157" s="5"/>
      <c r="AB157" s="5"/>
      <c r="AC157" s="5"/>
      <c r="AD157" s="5"/>
    </row>
    <row r="158" spans="1:30" ht="1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6"/>
      <c r="X158" s="7"/>
      <c r="Y158" s="7"/>
      <c r="Z158" s="5"/>
      <c r="AA158" s="5"/>
      <c r="AB158" s="5"/>
      <c r="AC158" s="5"/>
      <c r="AD158" s="5"/>
    </row>
    <row r="159" spans="1:30" ht="1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6"/>
      <c r="X159" s="7"/>
      <c r="Y159" s="7"/>
      <c r="Z159" s="5"/>
      <c r="AA159" s="5"/>
      <c r="AB159" s="5"/>
      <c r="AC159" s="5"/>
      <c r="AD159" s="5"/>
    </row>
    <row r="160" spans="1:30" ht="1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6"/>
      <c r="X160" s="7"/>
      <c r="Y160" s="7"/>
      <c r="Z160" s="5"/>
      <c r="AA160" s="5"/>
      <c r="AB160" s="5"/>
      <c r="AC160" s="5"/>
      <c r="AD160" s="5"/>
    </row>
    <row r="161" spans="1:30" ht="1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6"/>
      <c r="X161" s="7"/>
      <c r="Y161" s="7"/>
      <c r="Z161" s="5"/>
      <c r="AA161" s="5"/>
      <c r="AB161" s="5"/>
      <c r="AC161" s="5"/>
      <c r="AD161" s="5"/>
    </row>
    <row r="162" spans="1:30" ht="1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6"/>
      <c r="X162" s="7"/>
      <c r="Y162" s="7"/>
      <c r="Z162" s="5"/>
      <c r="AA162" s="5"/>
      <c r="AB162" s="5"/>
      <c r="AC162" s="5"/>
      <c r="AD162" s="5"/>
    </row>
    <row r="163" spans="1:30" ht="1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6"/>
      <c r="X163" s="7"/>
      <c r="Y163" s="7"/>
      <c r="Z163" s="5"/>
      <c r="AA163" s="5"/>
      <c r="AB163" s="5"/>
      <c r="AC163" s="5"/>
      <c r="AD163" s="5"/>
    </row>
    <row r="164" spans="1:30" ht="1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6"/>
      <c r="X164" s="7"/>
      <c r="Y164" s="7"/>
      <c r="Z164" s="5"/>
      <c r="AA164" s="5"/>
      <c r="AB164" s="5"/>
      <c r="AC164" s="5"/>
      <c r="AD164" s="5"/>
    </row>
    <row r="165" spans="1:30" ht="1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6"/>
      <c r="X165" s="7"/>
      <c r="Y165" s="7"/>
      <c r="Z165" s="5"/>
      <c r="AA165" s="5"/>
      <c r="AB165" s="5"/>
      <c r="AC165" s="5"/>
      <c r="AD165" s="5"/>
    </row>
    <row r="166" spans="1:30" ht="1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6"/>
      <c r="X166" s="7"/>
      <c r="Y166" s="7"/>
      <c r="Z166" s="5"/>
      <c r="AA166" s="5"/>
      <c r="AB166" s="5"/>
      <c r="AC166" s="5"/>
      <c r="AD166" s="5"/>
    </row>
    <row r="167" spans="1:30" ht="1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6"/>
      <c r="X167" s="7"/>
      <c r="Y167" s="7"/>
      <c r="Z167" s="5"/>
      <c r="AA167" s="5"/>
      <c r="AB167" s="5"/>
      <c r="AC167" s="5"/>
      <c r="AD167" s="5"/>
    </row>
    <row r="168" spans="1:30" ht="1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6"/>
      <c r="X168" s="7"/>
      <c r="Y168" s="7"/>
      <c r="Z168" s="5"/>
      <c r="AA168" s="5"/>
      <c r="AB168" s="5"/>
      <c r="AC168" s="5"/>
      <c r="AD168" s="5"/>
    </row>
    <row r="169" spans="1:30" ht="1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6"/>
      <c r="X169" s="7"/>
      <c r="Y169" s="7"/>
      <c r="Z169" s="5"/>
      <c r="AA169" s="5"/>
      <c r="AB169" s="5"/>
      <c r="AC169" s="5"/>
      <c r="AD169" s="5"/>
    </row>
    <row r="170" spans="1:30" ht="1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6"/>
      <c r="X170" s="7"/>
      <c r="Y170" s="7"/>
      <c r="Z170" s="5"/>
      <c r="AA170" s="5"/>
      <c r="AB170" s="5"/>
      <c r="AC170" s="5"/>
      <c r="AD170" s="5"/>
    </row>
    <row r="171" spans="1:30" ht="1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6"/>
      <c r="X171" s="7"/>
      <c r="Y171" s="7"/>
      <c r="Z171" s="5"/>
      <c r="AA171" s="5"/>
      <c r="AB171" s="5"/>
      <c r="AC171" s="5"/>
      <c r="AD171" s="5"/>
    </row>
    <row r="172" spans="1:30" ht="1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6"/>
      <c r="X172" s="7"/>
      <c r="Y172" s="7"/>
      <c r="Z172" s="5"/>
      <c r="AA172" s="5"/>
      <c r="AB172" s="5"/>
      <c r="AC172" s="5"/>
      <c r="AD172" s="5"/>
    </row>
    <row r="173" spans="1:30" ht="1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6"/>
      <c r="X173" s="7"/>
      <c r="Y173" s="7"/>
      <c r="Z173" s="5"/>
      <c r="AA173" s="5"/>
      <c r="AB173" s="5"/>
      <c r="AC173" s="5"/>
      <c r="AD173" s="5"/>
    </row>
    <row r="174" spans="1:30" ht="1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6"/>
      <c r="X174" s="7"/>
      <c r="Y174" s="7"/>
      <c r="Z174" s="5"/>
      <c r="AA174" s="5"/>
      <c r="AB174" s="5"/>
      <c r="AC174" s="5"/>
      <c r="AD174" s="5"/>
    </row>
    <row r="175" spans="1:30" ht="1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6"/>
      <c r="X175" s="7"/>
      <c r="Y175" s="7"/>
      <c r="Z175" s="5"/>
      <c r="AA175" s="5"/>
      <c r="AB175" s="5"/>
      <c r="AC175" s="5"/>
      <c r="AD175" s="5"/>
    </row>
    <row r="176" spans="1:30" ht="1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6"/>
      <c r="X176" s="7"/>
      <c r="Y176" s="7"/>
      <c r="Z176" s="5"/>
      <c r="AA176" s="5"/>
      <c r="AB176" s="5"/>
      <c r="AC176" s="5"/>
      <c r="AD176" s="5"/>
    </row>
    <row r="177" spans="1:30" ht="1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6"/>
      <c r="X177" s="7"/>
      <c r="Y177" s="7"/>
      <c r="Z177" s="5"/>
      <c r="AA177" s="5"/>
      <c r="AB177" s="5"/>
      <c r="AC177" s="5"/>
      <c r="AD177" s="5"/>
    </row>
    <row r="178" spans="1:30" ht="1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6"/>
      <c r="X178" s="7"/>
      <c r="Y178" s="7"/>
      <c r="Z178" s="5"/>
      <c r="AA178" s="5"/>
      <c r="AB178" s="5"/>
      <c r="AC178" s="5"/>
      <c r="AD178" s="5"/>
    </row>
    <row r="179" spans="1:30" ht="1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6"/>
      <c r="X179" s="7"/>
      <c r="Y179" s="7"/>
      <c r="Z179" s="5"/>
      <c r="AA179" s="5"/>
      <c r="AB179" s="5"/>
      <c r="AC179" s="5"/>
      <c r="AD179" s="5"/>
    </row>
    <row r="180" spans="1:30" ht="1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6"/>
      <c r="X180" s="7"/>
      <c r="Y180" s="7"/>
      <c r="Z180" s="5"/>
      <c r="AA180" s="5"/>
      <c r="AB180" s="5"/>
      <c r="AC180" s="5"/>
      <c r="AD180" s="5"/>
    </row>
    <row r="181" spans="1:30" ht="1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6"/>
      <c r="X181" s="7"/>
      <c r="Y181" s="7"/>
      <c r="Z181" s="5"/>
      <c r="AA181" s="5"/>
      <c r="AB181" s="5"/>
      <c r="AC181" s="5"/>
      <c r="AD181" s="5"/>
    </row>
    <row r="182" spans="1:30" ht="1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6"/>
      <c r="X182" s="7"/>
      <c r="Y182" s="7"/>
      <c r="Z182" s="5"/>
      <c r="AA182" s="5"/>
      <c r="AB182" s="5"/>
      <c r="AC182" s="5"/>
      <c r="AD182" s="5"/>
    </row>
    <row r="183" spans="1:30" ht="1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6"/>
      <c r="X183" s="7"/>
      <c r="Y183" s="7"/>
      <c r="Z183" s="5"/>
      <c r="AA183" s="5"/>
      <c r="AB183" s="5"/>
      <c r="AC183" s="5"/>
      <c r="AD183" s="5"/>
    </row>
    <row r="184" spans="1:30" ht="1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6"/>
      <c r="X184" s="7"/>
      <c r="Y184" s="7"/>
      <c r="Z184" s="5"/>
      <c r="AA184" s="5"/>
      <c r="AB184" s="5"/>
      <c r="AC184" s="5"/>
      <c r="AD184" s="5"/>
    </row>
    <row r="185" spans="1:30" ht="1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6"/>
      <c r="X185" s="7"/>
      <c r="Y185" s="7"/>
      <c r="Z185" s="5"/>
      <c r="AA185" s="5"/>
      <c r="AB185" s="5"/>
      <c r="AC185" s="5"/>
      <c r="AD185" s="5"/>
    </row>
    <row r="186" spans="1:30" ht="1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6"/>
      <c r="X186" s="7"/>
      <c r="Y186" s="7"/>
      <c r="Z186" s="5"/>
      <c r="AA186" s="5"/>
      <c r="AB186" s="5"/>
      <c r="AC186" s="5"/>
      <c r="AD186" s="5"/>
    </row>
    <row r="187" spans="1:30" ht="1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6"/>
      <c r="X187" s="7"/>
      <c r="Y187" s="7"/>
      <c r="Z187" s="5"/>
      <c r="AA187" s="5"/>
      <c r="AB187" s="5"/>
      <c r="AC187" s="5"/>
      <c r="AD187" s="5"/>
    </row>
    <row r="188" spans="1:30" ht="1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6"/>
      <c r="X188" s="7"/>
      <c r="Y188" s="7"/>
      <c r="Z188" s="5"/>
      <c r="AA188" s="5"/>
      <c r="AB188" s="5"/>
      <c r="AC188" s="5"/>
      <c r="AD188" s="5"/>
    </row>
    <row r="189" spans="1:30" ht="1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6"/>
      <c r="X189" s="7"/>
      <c r="Y189" s="7"/>
      <c r="Z189" s="5"/>
      <c r="AA189" s="5"/>
      <c r="AB189" s="5"/>
      <c r="AC189" s="5"/>
      <c r="AD189" s="5"/>
    </row>
    <row r="190" spans="1:30" ht="1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6"/>
      <c r="X190" s="7"/>
      <c r="Y190" s="7"/>
      <c r="Z190" s="5"/>
      <c r="AA190" s="5"/>
      <c r="AB190" s="5"/>
      <c r="AC190" s="5"/>
      <c r="AD190" s="5"/>
    </row>
    <row r="191" spans="1:30" ht="1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6"/>
      <c r="X191" s="7"/>
      <c r="Y191" s="7"/>
      <c r="Z191" s="5"/>
      <c r="AA191" s="5"/>
      <c r="AB191" s="5"/>
      <c r="AC191" s="5"/>
      <c r="AD191" s="5"/>
    </row>
    <row r="192" spans="1:30" ht="1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6"/>
      <c r="X192" s="7"/>
      <c r="Y192" s="7"/>
      <c r="Z192" s="5"/>
      <c r="AA192" s="5"/>
      <c r="AB192" s="5"/>
      <c r="AC192" s="5"/>
      <c r="AD192" s="5"/>
    </row>
    <row r="193" spans="1:30" ht="1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6"/>
      <c r="X193" s="7"/>
      <c r="Y193" s="7"/>
      <c r="Z193" s="5"/>
      <c r="AA193" s="5"/>
      <c r="AB193" s="5"/>
      <c r="AC193" s="5"/>
      <c r="AD193" s="5"/>
    </row>
    <row r="194" spans="1:30" ht="1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6"/>
      <c r="X194" s="7"/>
      <c r="Y194" s="7"/>
      <c r="Z194" s="5"/>
      <c r="AA194" s="5"/>
      <c r="AB194" s="5"/>
      <c r="AC194" s="5"/>
      <c r="AD194" s="5"/>
    </row>
    <row r="195" spans="1:30" ht="1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6"/>
      <c r="X195" s="7"/>
      <c r="Y195" s="7"/>
      <c r="Z195" s="5"/>
      <c r="AA195" s="5"/>
      <c r="AB195" s="5"/>
      <c r="AC195" s="5"/>
      <c r="AD195" s="5"/>
    </row>
    <row r="196" spans="1:30" ht="1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6"/>
      <c r="X196" s="7"/>
      <c r="Y196" s="7"/>
      <c r="Z196" s="5"/>
      <c r="AA196" s="5"/>
      <c r="AB196" s="5"/>
      <c r="AC196" s="5"/>
      <c r="AD196" s="5"/>
    </row>
    <row r="197" spans="1:30" ht="1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6"/>
      <c r="X197" s="7"/>
      <c r="Y197" s="7"/>
      <c r="Z197" s="5"/>
      <c r="AA197" s="5"/>
      <c r="AB197" s="5"/>
      <c r="AC197" s="5"/>
      <c r="AD197" s="5"/>
    </row>
    <row r="198" spans="1:30" ht="1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6"/>
      <c r="X198" s="7"/>
      <c r="Y198" s="7"/>
      <c r="Z198" s="5"/>
      <c r="AA198" s="5"/>
      <c r="AB198" s="5"/>
      <c r="AC198" s="5"/>
      <c r="AD198" s="5"/>
    </row>
    <row r="199" spans="1:30" ht="1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6"/>
      <c r="X199" s="7"/>
      <c r="Y199" s="7"/>
      <c r="Z199" s="5"/>
      <c r="AA199" s="5"/>
      <c r="AB199" s="5"/>
      <c r="AC199" s="5"/>
      <c r="AD199" s="5"/>
    </row>
    <row r="200" spans="1:30" ht="1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6"/>
      <c r="X200" s="7"/>
      <c r="Y200" s="7"/>
      <c r="Z200" s="5"/>
      <c r="AA200" s="5"/>
      <c r="AB200" s="5"/>
      <c r="AC200" s="5"/>
      <c r="AD200" s="5"/>
    </row>
    <row r="201" spans="1:30" ht="1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6"/>
      <c r="X201" s="7"/>
      <c r="Y201" s="7"/>
      <c r="Z201" s="5"/>
      <c r="AA201" s="5"/>
      <c r="AB201" s="5"/>
      <c r="AC201" s="5"/>
      <c r="AD201" s="5"/>
    </row>
    <row r="202" spans="1:30" ht="1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6"/>
      <c r="X202" s="7"/>
      <c r="Y202" s="7"/>
      <c r="Z202" s="5"/>
      <c r="AA202" s="5"/>
      <c r="AB202" s="5"/>
      <c r="AC202" s="5"/>
      <c r="AD202" s="5"/>
    </row>
    <row r="203" spans="1:30" ht="1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6"/>
      <c r="X203" s="7"/>
      <c r="Y203" s="7"/>
      <c r="Z203" s="5"/>
      <c r="AA203" s="5"/>
      <c r="AB203" s="5"/>
      <c r="AC203" s="5"/>
      <c r="AD203" s="5"/>
    </row>
    <row r="204" spans="1:30" ht="1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6"/>
      <c r="X204" s="7"/>
      <c r="Y204" s="7"/>
      <c r="Z204" s="5"/>
      <c r="AA204" s="5"/>
      <c r="AB204" s="5"/>
      <c r="AC204" s="5"/>
      <c r="AD204" s="5"/>
    </row>
    <row r="205" spans="1:30" ht="1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6"/>
      <c r="X205" s="7"/>
      <c r="Y205" s="7"/>
      <c r="Z205" s="5"/>
      <c r="AA205" s="5"/>
      <c r="AB205" s="5"/>
      <c r="AC205" s="5"/>
      <c r="AD205" s="5"/>
    </row>
    <row r="206" spans="1:30" ht="1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6"/>
      <c r="X206" s="7"/>
      <c r="Y206" s="7"/>
      <c r="Z206" s="5"/>
      <c r="AA206" s="5"/>
      <c r="AB206" s="5"/>
      <c r="AC206" s="5"/>
      <c r="AD206" s="5"/>
    </row>
    <row r="207" spans="1:30" ht="1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6"/>
      <c r="X207" s="7"/>
      <c r="Y207" s="7"/>
      <c r="Z207" s="5"/>
      <c r="AA207" s="5"/>
      <c r="AB207" s="5"/>
      <c r="AC207" s="5"/>
      <c r="AD207" s="5"/>
    </row>
    <row r="208" spans="1:30" ht="1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6"/>
      <c r="X208" s="7"/>
      <c r="Y208" s="7"/>
      <c r="Z208" s="5"/>
      <c r="AA208" s="5"/>
      <c r="AB208" s="5"/>
      <c r="AC208" s="5"/>
      <c r="AD208" s="5"/>
    </row>
    <row r="209" spans="1:30" ht="1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6"/>
      <c r="X209" s="7"/>
      <c r="Y209" s="7"/>
      <c r="Z209" s="5"/>
      <c r="AA209" s="5"/>
      <c r="AB209" s="5"/>
      <c r="AC209" s="5"/>
      <c r="AD209" s="5"/>
    </row>
    <row r="210" spans="1:30" ht="1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6"/>
      <c r="X210" s="7"/>
      <c r="Y210" s="7"/>
      <c r="Z210" s="5"/>
      <c r="AA210" s="5"/>
      <c r="AB210" s="5"/>
      <c r="AC210" s="5"/>
      <c r="AD210" s="5"/>
    </row>
    <row r="211" spans="1:30" ht="1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6"/>
      <c r="X211" s="7"/>
      <c r="Y211" s="7"/>
      <c r="Z211" s="5"/>
      <c r="AA211" s="5"/>
      <c r="AB211" s="5"/>
      <c r="AC211" s="5"/>
      <c r="AD211" s="5"/>
    </row>
    <row r="212" spans="1:30" ht="1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6"/>
      <c r="X212" s="7"/>
      <c r="Y212" s="7"/>
      <c r="Z212" s="5"/>
      <c r="AA212" s="5"/>
      <c r="AB212" s="5"/>
      <c r="AC212" s="5"/>
      <c r="AD212" s="5"/>
    </row>
    <row r="213" spans="1:30" ht="1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6"/>
      <c r="X213" s="7"/>
      <c r="Y213" s="7"/>
      <c r="Z213" s="5"/>
      <c r="AA213" s="5"/>
      <c r="AB213" s="5"/>
      <c r="AC213" s="5"/>
      <c r="AD213" s="5"/>
    </row>
    <row r="214" spans="1:30" ht="1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6"/>
      <c r="X214" s="7"/>
      <c r="Y214" s="7"/>
      <c r="Z214" s="5"/>
      <c r="AA214" s="5"/>
      <c r="AB214" s="5"/>
      <c r="AC214" s="5"/>
      <c r="AD214" s="5"/>
    </row>
    <row r="215" spans="1:30" ht="1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6"/>
      <c r="X215" s="7"/>
      <c r="Y215" s="7"/>
      <c r="Z215" s="5"/>
      <c r="AA215" s="5"/>
      <c r="AB215" s="5"/>
      <c r="AC215" s="5"/>
      <c r="AD215" s="5"/>
    </row>
    <row r="216" spans="1:30" ht="1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6"/>
      <c r="X216" s="7"/>
      <c r="Y216" s="7"/>
      <c r="Z216" s="5"/>
      <c r="AA216" s="5"/>
      <c r="AB216" s="5"/>
      <c r="AC216" s="5"/>
      <c r="AD216" s="5"/>
    </row>
    <row r="217" spans="1:30" ht="1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6"/>
      <c r="X217" s="7"/>
      <c r="Y217" s="7"/>
      <c r="Z217" s="5"/>
      <c r="AA217" s="5"/>
      <c r="AB217" s="5"/>
      <c r="AC217" s="5"/>
      <c r="AD217" s="5"/>
    </row>
    <row r="218" spans="1:30" ht="1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6"/>
      <c r="X218" s="7"/>
      <c r="Y218" s="7"/>
      <c r="Z218" s="5"/>
      <c r="AA218" s="5"/>
      <c r="AB218" s="5"/>
      <c r="AC218" s="5"/>
      <c r="AD218" s="5"/>
    </row>
    <row r="219" spans="1:30" ht="1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6"/>
      <c r="X219" s="7"/>
      <c r="Y219" s="7"/>
      <c r="Z219" s="5"/>
      <c r="AA219" s="5"/>
      <c r="AB219" s="5"/>
      <c r="AC219" s="5"/>
      <c r="AD219" s="5"/>
    </row>
    <row r="220" spans="1:30" ht="1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6"/>
      <c r="X220" s="7"/>
      <c r="Y220" s="7"/>
      <c r="Z220" s="5"/>
      <c r="AA220" s="5"/>
      <c r="AB220" s="5"/>
      <c r="AC220" s="5"/>
      <c r="AD220" s="5"/>
    </row>
    <row r="221" spans="1:30" ht="1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6"/>
      <c r="X221" s="7"/>
      <c r="Y221" s="7"/>
      <c r="Z221" s="5"/>
      <c r="AA221" s="5"/>
      <c r="AB221" s="5"/>
      <c r="AC221" s="5"/>
      <c r="AD221" s="5"/>
    </row>
    <row r="222" spans="1:30" ht="1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6"/>
      <c r="X222" s="7"/>
      <c r="Y222" s="7"/>
      <c r="Z222" s="5"/>
      <c r="AA222" s="5"/>
      <c r="AB222" s="5"/>
      <c r="AC222" s="5"/>
      <c r="AD222" s="5"/>
    </row>
    <row r="223" spans="1:30" ht="1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6"/>
      <c r="X223" s="7"/>
      <c r="Y223" s="7"/>
      <c r="Z223" s="5"/>
      <c r="AA223" s="5"/>
      <c r="AB223" s="5"/>
      <c r="AC223" s="5"/>
      <c r="AD223" s="5"/>
    </row>
    <row r="224" spans="1:30" ht="1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6"/>
      <c r="X224" s="7"/>
      <c r="Y224" s="7"/>
      <c r="Z224" s="5"/>
      <c r="AA224" s="5"/>
      <c r="AB224" s="5"/>
      <c r="AC224" s="5"/>
      <c r="AD224" s="5"/>
    </row>
    <row r="225" spans="1:30" ht="1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6"/>
      <c r="X225" s="7"/>
      <c r="Y225" s="7"/>
      <c r="Z225" s="5"/>
      <c r="AA225" s="5"/>
      <c r="AB225" s="5"/>
      <c r="AC225" s="5"/>
      <c r="AD225" s="5"/>
    </row>
    <row r="226" spans="1:30" ht="1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6"/>
      <c r="X226" s="7"/>
      <c r="Y226" s="7"/>
      <c r="Z226" s="5"/>
      <c r="AA226" s="5"/>
      <c r="AB226" s="5"/>
      <c r="AC226" s="5"/>
      <c r="AD226" s="5"/>
    </row>
    <row r="227" spans="1:30" ht="1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6"/>
      <c r="X227" s="7"/>
      <c r="Y227" s="7"/>
      <c r="Z227" s="5"/>
      <c r="AA227" s="5"/>
      <c r="AB227" s="5"/>
      <c r="AC227" s="5"/>
      <c r="AD227" s="5"/>
    </row>
    <row r="228" spans="1:30" ht="1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6"/>
      <c r="X228" s="7"/>
      <c r="Y228" s="7"/>
      <c r="Z228" s="5"/>
      <c r="AA228" s="5"/>
      <c r="AB228" s="5"/>
      <c r="AC228" s="5"/>
      <c r="AD228" s="5"/>
    </row>
    <row r="229" spans="1:30" ht="1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6"/>
      <c r="X229" s="7"/>
      <c r="Y229" s="7"/>
      <c r="Z229" s="5"/>
      <c r="AA229" s="5"/>
      <c r="AB229" s="5"/>
      <c r="AC229" s="5"/>
      <c r="AD229" s="5"/>
    </row>
    <row r="230" spans="1:30" ht="1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6"/>
      <c r="X230" s="7"/>
      <c r="Y230" s="7"/>
      <c r="Z230" s="5"/>
      <c r="AA230" s="5"/>
      <c r="AB230" s="5"/>
      <c r="AC230" s="5"/>
      <c r="AD230" s="5"/>
    </row>
    <row r="231" spans="1:30" ht="1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6"/>
      <c r="X231" s="7"/>
      <c r="Y231" s="7"/>
      <c r="Z231" s="5"/>
      <c r="AA231" s="5"/>
      <c r="AB231" s="5"/>
      <c r="AC231" s="5"/>
      <c r="AD231" s="5"/>
    </row>
    <row r="232" spans="1:30" ht="1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6"/>
      <c r="X232" s="7"/>
      <c r="Y232" s="7"/>
      <c r="Z232" s="5"/>
      <c r="AA232" s="5"/>
      <c r="AB232" s="5"/>
      <c r="AC232" s="5"/>
      <c r="AD232" s="5"/>
    </row>
    <row r="233" spans="1:30" ht="1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6"/>
      <c r="X233" s="7"/>
      <c r="Y233" s="7"/>
      <c r="Z233" s="5"/>
      <c r="AA233" s="5"/>
      <c r="AB233" s="5"/>
      <c r="AC233" s="5"/>
      <c r="AD233" s="5"/>
    </row>
    <row r="234" spans="1:30" ht="1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6"/>
      <c r="X234" s="7"/>
      <c r="Y234" s="7"/>
      <c r="Z234" s="5"/>
      <c r="AA234" s="5"/>
      <c r="AB234" s="5"/>
      <c r="AC234" s="5"/>
      <c r="AD234" s="5"/>
    </row>
    <row r="235" spans="1:30" ht="1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6"/>
      <c r="X235" s="7"/>
      <c r="Y235" s="7"/>
      <c r="Z235" s="5"/>
      <c r="AA235" s="5"/>
      <c r="AB235" s="5"/>
      <c r="AC235" s="5"/>
      <c r="AD235" s="5"/>
    </row>
    <row r="236" spans="1:30" ht="1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6"/>
      <c r="X236" s="7"/>
      <c r="Y236" s="7"/>
      <c r="Z236" s="5"/>
      <c r="AA236" s="5"/>
      <c r="AB236" s="5"/>
      <c r="AC236" s="5"/>
      <c r="AD236" s="5"/>
    </row>
    <row r="237" spans="1:30" ht="1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6"/>
      <c r="X237" s="7"/>
      <c r="Y237" s="7"/>
      <c r="Z237" s="5"/>
      <c r="AA237" s="5"/>
      <c r="AB237" s="5"/>
      <c r="AC237" s="5"/>
      <c r="AD237" s="5"/>
    </row>
    <row r="238" spans="1:30" ht="1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6"/>
      <c r="X238" s="7"/>
      <c r="Y238" s="7"/>
      <c r="Z238" s="5"/>
      <c r="AA238" s="5"/>
      <c r="AB238" s="5"/>
      <c r="AC238" s="5"/>
      <c r="AD238" s="5"/>
    </row>
    <row r="239" spans="1:30" ht="1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6"/>
      <c r="X239" s="7"/>
      <c r="Y239" s="7"/>
      <c r="Z239" s="5"/>
      <c r="AA239" s="5"/>
      <c r="AB239" s="5"/>
      <c r="AC239" s="5"/>
      <c r="AD239" s="5"/>
    </row>
    <row r="240" spans="1:30" ht="1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6"/>
      <c r="X240" s="7"/>
      <c r="Y240" s="7"/>
      <c r="Z240" s="5"/>
      <c r="AA240" s="5"/>
      <c r="AB240" s="5"/>
      <c r="AC240" s="5"/>
      <c r="AD240" s="5"/>
    </row>
    <row r="241" spans="1:30" ht="1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6"/>
      <c r="X241" s="7"/>
      <c r="Y241" s="7"/>
      <c r="Z241" s="5"/>
      <c r="AA241" s="5"/>
      <c r="AB241" s="5"/>
      <c r="AC241" s="5"/>
      <c r="AD241" s="5"/>
    </row>
    <row r="242" spans="1:30" ht="1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6"/>
      <c r="X242" s="7"/>
      <c r="Y242" s="7"/>
      <c r="Z242" s="5"/>
      <c r="AA242" s="5"/>
      <c r="AB242" s="5"/>
      <c r="AC242" s="5"/>
      <c r="AD242" s="5"/>
    </row>
    <row r="243" spans="1:30" ht="1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6"/>
      <c r="X243" s="7"/>
      <c r="Y243" s="7"/>
      <c r="Z243" s="5"/>
      <c r="AA243" s="5"/>
      <c r="AB243" s="5"/>
      <c r="AC243" s="5"/>
      <c r="AD243" s="5"/>
    </row>
    <row r="244" spans="1:30" ht="1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6"/>
      <c r="X244" s="7"/>
      <c r="Y244" s="7"/>
      <c r="Z244" s="5"/>
      <c r="AA244" s="5"/>
      <c r="AB244" s="5"/>
      <c r="AC244" s="5"/>
      <c r="AD244" s="5"/>
    </row>
    <row r="245" spans="1:30" ht="1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6"/>
      <c r="X245" s="7"/>
      <c r="Y245" s="7"/>
      <c r="Z245" s="5"/>
      <c r="AA245" s="5"/>
      <c r="AB245" s="5"/>
      <c r="AC245" s="5"/>
      <c r="AD245" s="5"/>
    </row>
    <row r="246" spans="1:30" ht="1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6"/>
      <c r="X246" s="7"/>
      <c r="Y246" s="7"/>
      <c r="Z246" s="5"/>
      <c r="AA246" s="5"/>
      <c r="AB246" s="5"/>
      <c r="AC246" s="5"/>
      <c r="AD246" s="5"/>
    </row>
    <row r="247" spans="1:30" ht="1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6"/>
      <c r="X247" s="7"/>
      <c r="Y247" s="7"/>
      <c r="Z247" s="5"/>
      <c r="AA247" s="5"/>
      <c r="AB247" s="5"/>
      <c r="AC247" s="5"/>
      <c r="AD247" s="5"/>
    </row>
    <row r="248" spans="1:30" ht="1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6"/>
      <c r="X248" s="7"/>
      <c r="Y248" s="7"/>
      <c r="Z248" s="5"/>
      <c r="AA248" s="5"/>
      <c r="AB248" s="5"/>
      <c r="AC248" s="5"/>
      <c r="AD248" s="5"/>
    </row>
    <row r="249" spans="1:30" ht="1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6"/>
      <c r="X249" s="7"/>
      <c r="Y249" s="7"/>
      <c r="Z249" s="5"/>
      <c r="AA249" s="5"/>
      <c r="AB249" s="5"/>
      <c r="AC249" s="5"/>
      <c r="AD249" s="5"/>
    </row>
    <row r="250" spans="1:30" ht="1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6"/>
      <c r="X250" s="7"/>
      <c r="Y250" s="7"/>
      <c r="Z250" s="5"/>
      <c r="AA250" s="5"/>
      <c r="AB250" s="5"/>
      <c r="AC250" s="5"/>
      <c r="AD250" s="5"/>
    </row>
    <row r="251" spans="1:30" ht="1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6"/>
      <c r="X251" s="7"/>
      <c r="Y251" s="7"/>
      <c r="Z251" s="5"/>
      <c r="AA251" s="5"/>
      <c r="AB251" s="5"/>
      <c r="AC251" s="5"/>
      <c r="AD251" s="5"/>
    </row>
    <row r="252" spans="1:30" ht="15.75" customHeight="1">
      <c r="A252" s="5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5"/>
      <c r="T252" s="5"/>
      <c r="U252" s="5"/>
      <c r="V252" s="5"/>
      <c r="W252" s="6"/>
      <c r="X252" s="7"/>
      <c r="Y252" s="7"/>
      <c r="Z252" s="5"/>
      <c r="AA252" s="5"/>
      <c r="AB252" s="5"/>
      <c r="AC252" s="5"/>
      <c r="AD252" s="5"/>
    </row>
    <row r="253" spans="1:30" ht="15.75" customHeight="1">
      <c r="A253" s="5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5"/>
      <c r="T253" s="5"/>
      <c r="U253" s="5"/>
      <c r="V253" s="5"/>
      <c r="W253" s="6"/>
      <c r="X253" s="7"/>
      <c r="Y253" s="7"/>
      <c r="Z253" s="5"/>
      <c r="AA253" s="5"/>
      <c r="AB253" s="5"/>
      <c r="AC253" s="5"/>
      <c r="AD253" s="5"/>
    </row>
    <row r="254" spans="1:30" ht="15.75" customHeight="1">
      <c r="A254" s="5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5"/>
      <c r="T254" s="5"/>
      <c r="U254" s="5"/>
      <c r="V254" s="5"/>
      <c r="W254" s="6"/>
      <c r="X254" s="7"/>
      <c r="Y254" s="7"/>
      <c r="Z254" s="5"/>
      <c r="AA254" s="5"/>
      <c r="AB254" s="5"/>
      <c r="AC254" s="5"/>
      <c r="AD254" s="5"/>
    </row>
    <row r="255" spans="1:30" ht="15.75" customHeight="1">
      <c r="A255" s="5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5"/>
      <c r="T255" s="5"/>
      <c r="U255" s="5"/>
      <c r="V255" s="5"/>
      <c r="W255" s="6"/>
      <c r="X255" s="7"/>
      <c r="Y255" s="7"/>
      <c r="Z255" s="5"/>
      <c r="AA255" s="5"/>
      <c r="AB255" s="5"/>
      <c r="AC255" s="5"/>
      <c r="AD255" s="5"/>
    </row>
    <row r="256" spans="1:30" ht="15.75" customHeight="1">
      <c r="A256" s="5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5"/>
      <c r="T256" s="5"/>
      <c r="U256" s="5"/>
      <c r="V256" s="5"/>
      <c r="W256" s="6"/>
      <c r="X256" s="7"/>
      <c r="Y256" s="7"/>
      <c r="Z256" s="5"/>
      <c r="AA256" s="5"/>
      <c r="AB256" s="5"/>
      <c r="AC256" s="5"/>
      <c r="AD256" s="5"/>
    </row>
    <row r="257" spans="1:30" ht="15.75" customHeight="1">
      <c r="A257" s="5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5"/>
      <c r="T257" s="5"/>
      <c r="U257" s="5"/>
      <c r="V257" s="5"/>
      <c r="W257" s="6"/>
      <c r="X257" s="7"/>
      <c r="Y257" s="7"/>
      <c r="Z257" s="5"/>
      <c r="AA257" s="5"/>
      <c r="AB257" s="5"/>
      <c r="AC257" s="5"/>
      <c r="AD257" s="5"/>
    </row>
    <row r="258" spans="1:30" ht="15.75" customHeight="1">
      <c r="A258" s="5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5"/>
      <c r="T258" s="5"/>
      <c r="U258" s="5"/>
      <c r="V258" s="5"/>
      <c r="W258" s="6"/>
      <c r="X258" s="7"/>
      <c r="Y258" s="7"/>
      <c r="Z258" s="5"/>
      <c r="AA258" s="5"/>
      <c r="AB258" s="5"/>
      <c r="AC258" s="5"/>
      <c r="AD258" s="5"/>
    </row>
    <row r="259" spans="1:30" ht="15.75" customHeight="1">
      <c r="A259" s="5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5"/>
      <c r="T259" s="5"/>
      <c r="U259" s="5"/>
      <c r="V259" s="5"/>
      <c r="W259" s="6"/>
      <c r="X259" s="7"/>
      <c r="Y259" s="7"/>
      <c r="Z259" s="5"/>
      <c r="AA259" s="5"/>
      <c r="AB259" s="5"/>
      <c r="AC259" s="5"/>
      <c r="AD259" s="5"/>
    </row>
    <row r="260" spans="1:30" ht="15.75" customHeight="1">
      <c r="A260" s="5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5"/>
      <c r="T260" s="5"/>
      <c r="U260" s="5"/>
      <c r="V260" s="5"/>
      <c r="W260" s="6"/>
      <c r="X260" s="7"/>
      <c r="Y260" s="7"/>
      <c r="Z260" s="5"/>
      <c r="AA260" s="5"/>
      <c r="AB260" s="5"/>
      <c r="AC260" s="5"/>
      <c r="AD260" s="5"/>
    </row>
    <row r="261" spans="1:30" ht="15.75" customHeight="1">
      <c r="A261" s="5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5"/>
      <c r="T261" s="5"/>
      <c r="U261" s="5"/>
      <c r="V261" s="5"/>
      <c r="W261" s="6"/>
      <c r="X261" s="7"/>
      <c r="Y261" s="7"/>
      <c r="Z261" s="5"/>
      <c r="AA261" s="5"/>
      <c r="AB261" s="5"/>
      <c r="AC261" s="5"/>
      <c r="AD261" s="5"/>
    </row>
    <row r="262" spans="1:30" ht="15.75" customHeight="1">
      <c r="A262" s="5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5"/>
      <c r="T262" s="5"/>
      <c r="U262" s="5"/>
      <c r="V262" s="5"/>
      <c r="W262" s="6"/>
      <c r="X262" s="7"/>
      <c r="Y262" s="7"/>
      <c r="Z262" s="5"/>
      <c r="AA262" s="5"/>
      <c r="AB262" s="5"/>
      <c r="AC262" s="5"/>
      <c r="AD262" s="5"/>
    </row>
    <row r="263" spans="1:30" ht="15.75" customHeight="1">
      <c r="A263" s="5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5"/>
      <c r="T263" s="5"/>
      <c r="U263" s="5"/>
      <c r="V263" s="5"/>
      <c r="W263" s="6"/>
      <c r="X263" s="7"/>
      <c r="Y263" s="7"/>
      <c r="Z263" s="5"/>
      <c r="AA263" s="5"/>
      <c r="AB263" s="5"/>
      <c r="AC263" s="5"/>
      <c r="AD263" s="5"/>
    </row>
    <row r="264" spans="1:30" ht="15.75" customHeight="1">
      <c r="A264" s="5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5"/>
      <c r="T264" s="5"/>
      <c r="U264" s="5"/>
      <c r="V264" s="5"/>
      <c r="W264" s="6"/>
      <c r="X264" s="7"/>
      <c r="Y264" s="7"/>
      <c r="Z264" s="5"/>
      <c r="AA264" s="5"/>
      <c r="AB264" s="5"/>
      <c r="AC264" s="5"/>
      <c r="AD264" s="5"/>
    </row>
    <row r="265" spans="1:30" ht="15.75" customHeight="1">
      <c r="A265" s="5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5"/>
      <c r="T265" s="5"/>
      <c r="U265" s="5"/>
      <c r="V265" s="5"/>
      <c r="W265" s="6"/>
      <c r="X265" s="7"/>
      <c r="Y265" s="7"/>
      <c r="Z265" s="5"/>
      <c r="AA265" s="5"/>
      <c r="AB265" s="5"/>
      <c r="AC265" s="5"/>
      <c r="AD265" s="5"/>
    </row>
    <row r="266" spans="1:30" ht="15.75" customHeight="1">
      <c r="A266" s="5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5"/>
      <c r="T266" s="5"/>
      <c r="U266" s="5"/>
      <c r="V266" s="5"/>
      <c r="W266" s="6"/>
      <c r="X266" s="7"/>
      <c r="Y266" s="7"/>
      <c r="Z266" s="5"/>
      <c r="AA266" s="5"/>
      <c r="AB266" s="5"/>
      <c r="AC266" s="5"/>
      <c r="AD266" s="5"/>
    </row>
    <row r="267" spans="1:30" ht="15.75" customHeight="1">
      <c r="A267" s="5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5"/>
      <c r="T267" s="5"/>
      <c r="U267" s="5"/>
      <c r="V267" s="5"/>
      <c r="W267" s="6"/>
      <c r="X267" s="7"/>
      <c r="Y267" s="7"/>
      <c r="Z267" s="5"/>
      <c r="AA267" s="5"/>
      <c r="AB267" s="5"/>
      <c r="AC267" s="5"/>
      <c r="AD267" s="5"/>
    </row>
    <row r="268" spans="1:30" ht="15.75" customHeight="1">
      <c r="A268" s="5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5"/>
      <c r="T268" s="5"/>
      <c r="U268" s="5"/>
      <c r="V268" s="5"/>
      <c r="W268" s="6"/>
      <c r="X268" s="7"/>
      <c r="Y268" s="7"/>
      <c r="Z268" s="5"/>
      <c r="AA268" s="5"/>
      <c r="AB268" s="5"/>
      <c r="AC268" s="5"/>
      <c r="AD268" s="5"/>
    </row>
    <row r="269" spans="1:30" ht="15.75" customHeight="1">
      <c r="A269" s="5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5"/>
      <c r="T269" s="5"/>
      <c r="U269" s="5"/>
      <c r="V269" s="5"/>
      <c r="W269" s="6"/>
      <c r="X269" s="7"/>
      <c r="Y269" s="7"/>
      <c r="Z269" s="5"/>
      <c r="AA269" s="5"/>
      <c r="AB269" s="5"/>
      <c r="AC269" s="5"/>
      <c r="AD269" s="5"/>
    </row>
    <row r="270" spans="1:30" ht="15.75" customHeight="1">
      <c r="A270" s="5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5"/>
      <c r="T270" s="5"/>
      <c r="U270" s="5"/>
      <c r="V270" s="5"/>
      <c r="W270" s="6"/>
      <c r="X270" s="7"/>
      <c r="Y270" s="7"/>
      <c r="Z270" s="5"/>
      <c r="AA270" s="5"/>
      <c r="AB270" s="5"/>
      <c r="AC270" s="5"/>
      <c r="AD270" s="5"/>
    </row>
    <row r="271" spans="1:30" ht="15.75" customHeight="1">
      <c r="A271" s="5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5"/>
      <c r="T271" s="5"/>
      <c r="U271" s="5"/>
      <c r="V271" s="5"/>
      <c r="W271" s="6"/>
      <c r="X271" s="7"/>
      <c r="Y271" s="7"/>
      <c r="Z271" s="5"/>
      <c r="AA271" s="5"/>
      <c r="AB271" s="5"/>
      <c r="AC271" s="5"/>
      <c r="AD271" s="5"/>
    </row>
    <row r="272" spans="1:30" ht="15.75" customHeight="1">
      <c r="A272" s="5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5"/>
      <c r="T272" s="5"/>
      <c r="U272" s="5"/>
      <c r="V272" s="5"/>
      <c r="W272" s="6"/>
      <c r="X272" s="7"/>
      <c r="Y272" s="7"/>
      <c r="Z272" s="5"/>
      <c r="AA272" s="5"/>
      <c r="AB272" s="5"/>
      <c r="AC272" s="5"/>
      <c r="AD272" s="5"/>
    </row>
    <row r="273" spans="1:30" ht="15.75" customHeight="1">
      <c r="A273" s="5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5"/>
      <c r="T273" s="5"/>
      <c r="U273" s="5"/>
      <c r="V273" s="5"/>
      <c r="W273" s="6"/>
      <c r="X273" s="7"/>
      <c r="Y273" s="7"/>
      <c r="Z273" s="5"/>
      <c r="AA273" s="5"/>
      <c r="AB273" s="5"/>
      <c r="AC273" s="5"/>
      <c r="AD273" s="5"/>
    </row>
    <row r="274" spans="1:30" ht="15.75" customHeight="1">
      <c r="A274" s="5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5"/>
      <c r="T274" s="5"/>
      <c r="U274" s="5"/>
      <c r="V274" s="5"/>
      <c r="W274" s="6"/>
      <c r="X274" s="7"/>
      <c r="Y274" s="7"/>
      <c r="Z274" s="5"/>
      <c r="AA274" s="5"/>
      <c r="AB274" s="5"/>
      <c r="AC274" s="5"/>
      <c r="AD274" s="5"/>
    </row>
    <row r="275" spans="1:30" ht="15.75" customHeight="1">
      <c r="A275" s="5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5"/>
      <c r="T275" s="5"/>
      <c r="U275" s="5"/>
      <c r="V275" s="5"/>
      <c r="W275" s="6"/>
      <c r="X275" s="7"/>
      <c r="Y275" s="7"/>
      <c r="Z275" s="5"/>
      <c r="AA275" s="5"/>
      <c r="AB275" s="5"/>
      <c r="AC275" s="5"/>
      <c r="AD275" s="5"/>
    </row>
    <row r="276" spans="1:30" ht="15.75" customHeight="1">
      <c r="A276" s="5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5"/>
      <c r="T276" s="5"/>
      <c r="U276" s="5"/>
      <c r="V276" s="5"/>
      <c r="W276" s="6"/>
      <c r="X276" s="7"/>
      <c r="Y276" s="7"/>
      <c r="Z276" s="5"/>
      <c r="AA276" s="5"/>
      <c r="AB276" s="5"/>
      <c r="AC276" s="5"/>
      <c r="AD276" s="5"/>
    </row>
    <row r="277" spans="1:30" ht="15.75" customHeight="1">
      <c r="A277" s="5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5"/>
      <c r="T277" s="5"/>
      <c r="U277" s="5"/>
      <c r="V277" s="5"/>
      <c r="W277" s="6"/>
      <c r="X277" s="7"/>
      <c r="Y277" s="7"/>
      <c r="Z277" s="5"/>
      <c r="AA277" s="5"/>
      <c r="AB277" s="5"/>
      <c r="AC277" s="5"/>
      <c r="AD277" s="5"/>
    </row>
    <row r="278" spans="1:30" ht="15.75" customHeight="1">
      <c r="A278" s="5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5"/>
      <c r="T278" s="5"/>
      <c r="U278" s="5"/>
      <c r="V278" s="5"/>
      <c r="W278" s="6"/>
      <c r="X278" s="7"/>
      <c r="Y278" s="7"/>
      <c r="Z278" s="5"/>
      <c r="AA278" s="5"/>
      <c r="AB278" s="5"/>
      <c r="AC278" s="5"/>
      <c r="AD278" s="5"/>
    </row>
    <row r="279" spans="1:30" ht="15.75" customHeight="1">
      <c r="A279" s="5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5"/>
      <c r="T279" s="5"/>
      <c r="U279" s="5"/>
      <c r="V279" s="5"/>
      <c r="W279" s="6"/>
      <c r="X279" s="7"/>
      <c r="Y279" s="7"/>
      <c r="Z279" s="5"/>
      <c r="AA279" s="5"/>
      <c r="AB279" s="5"/>
      <c r="AC279" s="5"/>
      <c r="AD279" s="5"/>
    </row>
    <row r="280" spans="1:30" ht="15.75" customHeight="1">
      <c r="A280" s="5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5"/>
      <c r="T280" s="5"/>
      <c r="U280" s="5"/>
      <c r="V280" s="5"/>
      <c r="W280" s="6"/>
      <c r="X280" s="7"/>
      <c r="Y280" s="7"/>
      <c r="Z280" s="5"/>
      <c r="AA280" s="5"/>
      <c r="AB280" s="5"/>
      <c r="AC280" s="5"/>
      <c r="AD280" s="5"/>
    </row>
    <row r="281" spans="1:30" ht="15.75" customHeight="1">
      <c r="A281" s="5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5"/>
      <c r="T281" s="5"/>
      <c r="U281" s="5"/>
      <c r="V281" s="5"/>
      <c r="W281" s="6"/>
      <c r="X281" s="7"/>
      <c r="Y281" s="7"/>
      <c r="Z281" s="5"/>
      <c r="AA281" s="5"/>
      <c r="AB281" s="5"/>
      <c r="AC281" s="5"/>
      <c r="AD281" s="5"/>
    </row>
    <row r="282" spans="1:30" ht="15.75" customHeight="1">
      <c r="A282" s="5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5"/>
      <c r="T282" s="5"/>
      <c r="U282" s="5"/>
      <c r="V282" s="5"/>
      <c r="W282" s="6"/>
      <c r="X282" s="7"/>
      <c r="Y282" s="7"/>
      <c r="Z282" s="5"/>
      <c r="AA282" s="5"/>
      <c r="AB282" s="5"/>
      <c r="AC282" s="5"/>
      <c r="AD282" s="5"/>
    </row>
    <row r="283" spans="1:30" ht="15.75" customHeight="1">
      <c r="A283" s="5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5"/>
      <c r="T283" s="5"/>
      <c r="U283" s="5"/>
      <c r="V283" s="5"/>
      <c r="W283" s="6"/>
      <c r="X283" s="7"/>
      <c r="Y283" s="7"/>
      <c r="Z283" s="5"/>
      <c r="AA283" s="5"/>
      <c r="AB283" s="5"/>
      <c r="AC283" s="5"/>
      <c r="AD283" s="5"/>
    </row>
    <row r="284" spans="1:30" ht="15.75" customHeight="1">
      <c r="A284" s="5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5"/>
      <c r="T284" s="5"/>
      <c r="U284" s="5"/>
      <c r="V284" s="5"/>
      <c r="W284" s="6"/>
      <c r="X284" s="7"/>
      <c r="Y284" s="7"/>
      <c r="Z284" s="5"/>
      <c r="AA284" s="5"/>
      <c r="AB284" s="5"/>
      <c r="AC284" s="5"/>
      <c r="AD284" s="5"/>
    </row>
    <row r="285" spans="1:30" ht="15.75" customHeight="1">
      <c r="A285" s="5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5"/>
      <c r="T285" s="5"/>
      <c r="U285" s="5"/>
      <c r="V285" s="5"/>
      <c r="W285" s="6"/>
      <c r="X285" s="7"/>
      <c r="Y285" s="7"/>
      <c r="Z285" s="5"/>
      <c r="AA285" s="5"/>
      <c r="AB285" s="5"/>
      <c r="AC285" s="5"/>
      <c r="AD285" s="5"/>
    </row>
    <row r="286" spans="1:30" ht="15.75" customHeight="1">
      <c r="A286" s="5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5"/>
      <c r="T286" s="5"/>
      <c r="U286" s="5"/>
      <c r="V286" s="5"/>
      <c r="W286" s="6"/>
      <c r="X286" s="7"/>
      <c r="Y286" s="7"/>
      <c r="Z286" s="5"/>
      <c r="AA286" s="5"/>
      <c r="AB286" s="5"/>
      <c r="AC286" s="5"/>
      <c r="AD286" s="5"/>
    </row>
    <row r="287" spans="1:30" ht="15.75" customHeight="1">
      <c r="A287" s="5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5"/>
      <c r="T287" s="5"/>
      <c r="U287" s="5"/>
      <c r="V287" s="5"/>
      <c r="W287" s="6"/>
      <c r="X287" s="7"/>
      <c r="Y287" s="7"/>
      <c r="Z287" s="5"/>
      <c r="AA287" s="5"/>
      <c r="AB287" s="5"/>
      <c r="AC287" s="5"/>
      <c r="AD287" s="5"/>
    </row>
    <row r="288" spans="1:30" ht="15.75" customHeight="1">
      <c r="A288" s="5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5"/>
      <c r="T288" s="5"/>
      <c r="U288" s="5"/>
      <c r="V288" s="5"/>
      <c r="W288" s="6"/>
      <c r="X288" s="7"/>
      <c r="Y288" s="7"/>
      <c r="Z288" s="5"/>
      <c r="AA288" s="5"/>
      <c r="AB288" s="5"/>
      <c r="AC288" s="5"/>
      <c r="AD288" s="5"/>
    </row>
    <row r="289" spans="1:30" ht="15.75" customHeight="1">
      <c r="A289" s="5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5"/>
      <c r="T289" s="5"/>
      <c r="U289" s="5"/>
      <c r="V289" s="5"/>
      <c r="W289" s="6"/>
      <c r="X289" s="7"/>
      <c r="Y289" s="7"/>
      <c r="Z289" s="5"/>
      <c r="AA289" s="5"/>
      <c r="AB289" s="5"/>
      <c r="AC289" s="5"/>
      <c r="AD289" s="5"/>
    </row>
    <row r="290" spans="1:30" ht="15.75" customHeight="1">
      <c r="A290" s="5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5"/>
      <c r="T290" s="5"/>
      <c r="U290" s="5"/>
      <c r="V290" s="5"/>
      <c r="W290" s="6"/>
      <c r="X290" s="7"/>
      <c r="Y290" s="7"/>
      <c r="Z290" s="5"/>
      <c r="AA290" s="5"/>
      <c r="AB290" s="5"/>
      <c r="AC290" s="5"/>
      <c r="AD290" s="5"/>
    </row>
    <row r="291" spans="1:30" ht="15.75" customHeight="1">
      <c r="A291" s="5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5"/>
      <c r="T291" s="5"/>
      <c r="U291" s="5"/>
      <c r="V291" s="5"/>
      <c r="W291" s="6"/>
      <c r="X291" s="7"/>
      <c r="Y291" s="7"/>
      <c r="Z291" s="5"/>
      <c r="AA291" s="5"/>
      <c r="AB291" s="5"/>
      <c r="AC291" s="5"/>
      <c r="AD291" s="5"/>
    </row>
    <row r="292" spans="1:30" ht="15.75" customHeight="1">
      <c r="A292" s="5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5"/>
      <c r="T292" s="5"/>
      <c r="U292" s="5"/>
      <c r="V292" s="5"/>
      <c r="W292" s="6"/>
      <c r="X292" s="7"/>
      <c r="Y292" s="7"/>
      <c r="Z292" s="5"/>
      <c r="AA292" s="5"/>
      <c r="AB292" s="5"/>
      <c r="AC292" s="5"/>
      <c r="AD292" s="5"/>
    </row>
    <row r="293" spans="1:30" ht="15.75" customHeight="1">
      <c r="A293" s="5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5"/>
      <c r="T293" s="5"/>
      <c r="U293" s="5"/>
      <c r="V293" s="5"/>
      <c r="W293" s="6"/>
      <c r="X293" s="7"/>
      <c r="Y293" s="7"/>
      <c r="Z293" s="5"/>
      <c r="AA293" s="5"/>
      <c r="AB293" s="5"/>
      <c r="AC293" s="5"/>
      <c r="AD293" s="5"/>
    </row>
    <row r="294" spans="1:30" ht="15.75" customHeight="1">
      <c r="A294" s="5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5"/>
      <c r="T294" s="5"/>
      <c r="U294" s="5"/>
      <c r="V294" s="5"/>
      <c r="W294" s="6"/>
      <c r="X294" s="7"/>
      <c r="Y294" s="7"/>
      <c r="Z294" s="5"/>
      <c r="AA294" s="5"/>
      <c r="AB294" s="5"/>
      <c r="AC294" s="5"/>
      <c r="AD294" s="5"/>
    </row>
    <row r="295" spans="1:30" ht="15.75" customHeight="1">
      <c r="A295" s="5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5"/>
      <c r="T295" s="5"/>
      <c r="U295" s="5"/>
      <c r="V295" s="5"/>
      <c r="W295" s="6"/>
      <c r="X295" s="7"/>
      <c r="Y295" s="7"/>
      <c r="Z295" s="5"/>
      <c r="AA295" s="5"/>
      <c r="AB295" s="5"/>
      <c r="AC295" s="5"/>
      <c r="AD295" s="5"/>
    </row>
    <row r="296" spans="1:30" ht="15.75" customHeight="1">
      <c r="A296" s="5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5"/>
      <c r="T296" s="5"/>
      <c r="U296" s="5"/>
      <c r="V296" s="5"/>
      <c r="W296" s="6"/>
      <c r="X296" s="7"/>
      <c r="Y296" s="7"/>
      <c r="Z296" s="5"/>
      <c r="AA296" s="5"/>
      <c r="AB296" s="5"/>
      <c r="AC296" s="5"/>
      <c r="AD296" s="5"/>
    </row>
    <row r="297" spans="1:30" ht="15.75" customHeight="1">
      <c r="A297" s="5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5"/>
      <c r="T297" s="5"/>
      <c r="U297" s="5"/>
      <c r="V297" s="5"/>
      <c r="W297" s="6"/>
      <c r="X297" s="7"/>
      <c r="Y297" s="7"/>
      <c r="Z297" s="5"/>
      <c r="AA297" s="5"/>
      <c r="AB297" s="5"/>
      <c r="AC297" s="5"/>
      <c r="AD297" s="5"/>
    </row>
    <row r="298" spans="1:30" ht="15.75" customHeight="1">
      <c r="A298" s="5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5"/>
      <c r="T298" s="5"/>
      <c r="U298" s="5"/>
      <c r="V298" s="5"/>
      <c r="W298" s="6"/>
      <c r="X298" s="7"/>
      <c r="Y298" s="7"/>
      <c r="Z298" s="5"/>
      <c r="AA298" s="5"/>
      <c r="AB298" s="5"/>
      <c r="AC298" s="5"/>
      <c r="AD298" s="5"/>
    </row>
    <row r="299" spans="1:30" ht="15.75" customHeight="1">
      <c r="A299" s="5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5"/>
      <c r="T299" s="5"/>
      <c r="U299" s="5"/>
      <c r="V299" s="5"/>
      <c r="W299" s="6"/>
      <c r="X299" s="7"/>
      <c r="Y299" s="7"/>
      <c r="Z299" s="5"/>
      <c r="AA299" s="5"/>
      <c r="AB299" s="5"/>
      <c r="AC299" s="5"/>
      <c r="AD299" s="5"/>
    </row>
    <row r="300" spans="1:30" ht="15.75" customHeight="1">
      <c r="A300" s="5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5"/>
      <c r="T300" s="5"/>
      <c r="U300" s="5"/>
      <c r="V300" s="5"/>
      <c r="W300" s="6"/>
      <c r="X300" s="7"/>
      <c r="Y300" s="7"/>
      <c r="Z300" s="5"/>
      <c r="AA300" s="5"/>
      <c r="AB300" s="5"/>
      <c r="AC300" s="5"/>
      <c r="AD300" s="5"/>
    </row>
    <row r="301" spans="1:30" ht="15.75" customHeight="1">
      <c r="A301" s="5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5"/>
      <c r="T301" s="5"/>
      <c r="U301" s="5"/>
      <c r="V301" s="5"/>
      <c r="W301" s="6"/>
      <c r="X301" s="7"/>
      <c r="Y301" s="7"/>
      <c r="Z301" s="5"/>
      <c r="AA301" s="5"/>
      <c r="AB301" s="5"/>
      <c r="AC301" s="5"/>
      <c r="AD301" s="5"/>
    </row>
    <row r="302" spans="1:30" ht="15.75" customHeight="1">
      <c r="A302" s="5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5"/>
      <c r="T302" s="5"/>
      <c r="U302" s="5"/>
      <c r="V302" s="5"/>
      <c r="W302" s="6"/>
      <c r="X302" s="7"/>
      <c r="Y302" s="7"/>
      <c r="Z302" s="5"/>
      <c r="AA302" s="5"/>
      <c r="AB302" s="5"/>
      <c r="AC302" s="5"/>
      <c r="AD302" s="5"/>
    </row>
    <row r="303" spans="1:30" ht="15.75" customHeight="1">
      <c r="A303" s="5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5"/>
      <c r="T303" s="5"/>
      <c r="U303" s="5"/>
      <c r="V303" s="5"/>
      <c r="W303" s="6"/>
      <c r="X303" s="7"/>
      <c r="Y303" s="7"/>
      <c r="Z303" s="5"/>
      <c r="AA303" s="5"/>
      <c r="AB303" s="5"/>
      <c r="AC303" s="5"/>
      <c r="AD303" s="5"/>
    </row>
    <row r="304" spans="1:30" ht="15.75" customHeight="1">
      <c r="A304" s="5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5"/>
      <c r="T304" s="5"/>
      <c r="U304" s="5"/>
      <c r="V304" s="5"/>
      <c r="W304" s="6"/>
      <c r="X304" s="7"/>
      <c r="Y304" s="7"/>
      <c r="Z304" s="5"/>
      <c r="AA304" s="5"/>
      <c r="AB304" s="5"/>
      <c r="AC304" s="5"/>
      <c r="AD304" s="5"/>
    </row>
    <row r="305" spans="1:30" ht="15.75" customHeight="1">
      <c r="A305" s="5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5"/>
      <c r="T305" s="5"/>
      <c r="U305" s="5"/>
      <c r="V305" s="5"/>
      <c r="W305" s="6"/>
      <c r="X305" s="7"/>
      <c r="Y305" s="7"/>
      <c r="Z305" s="5"/>
      <c r="AA305" s="5"/>
      <c r="AB305" s="5"/>
      <c r="AC305" s="5"/>
      <c r="AD305" s="5"/>
    </row>
    <row r="306" spans="1:30" ht="15.75" customHeight="1">
      <c r="A306" s="5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5"/>
      <c r="T306" s="5"/>
      <c r="U306" s="5"/>
      <c r="V306" s="5"/>
      <c r="W306" s="6"/>
      <c r="X306" s="7"/>
      <c r="Y306" s="7"/>
      <c r="Z306" s="5"/>
      <c r="AA306" s="5"/>
      <c r="AB306" s="5"/>
      <c r="AC306" s="5"/>
      <c r="AD306" s="5"/>
    </row>
    <row r="307" spans="1:30" ht="15.75" customHeight="1">
      <c r="A307" s="5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5"/>
      <c r="T307" s="5"/>
      <c r="U307" s="5"/>
      <c r="V307" s="5"/>
      <c r="W307" s="6"/>
      <c r="X307" s="7"/>
      <c r="Y307" s="7"/>
      <c r="Z307" s="5"/>
      <c r="AA307" s="5"/>
      <c r="AB307" s="5"/>
      <c r="AC307" s="5"/>
      <c r="AD307" s="5"/>
    </row>
    <row r="308" spans="1:30" ht="15.75" customHeight="1">
      <c r="A308" s="5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5"/>
      <c r="T308" s="5"/>
      <c r="U308" s="5"/>
      <c r="V308" s="5"/>
      <c r="W308" s="6"/>
      <c r="X308" s="7"/>
      <c r="Y308" s="7"/>
      <c r="Z308" s="5"/>
      <c r="AA308" s="5"/>
      <c r="AB308" s="5"/>
      <c r="AC308" s="5"/>
      <c r="AD308" s="5"/>
    </row>
    <row r="309" spans="1:30" ht="15.75" customHeight="1">
      <c r="A309" s="5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5"/>
      <c r="T309" s="5"/>
      <c r="U309" s="5"/>
      <c r="V309" s="5"/>
      <c r="W309" s="6"/>
      <c r="X309" s="7"/>
      <c r="Y309" s="7"/>
      <c r="Z309" s="5"/>
      <c r="AA309" s="5"/>
      <c r="AB309" s="5"/>
      <c r="AC309" s="5"/>
      <c r="AD309" s="5"/>
    </row>
    <row r="310" spans="1:30" ht="15.75" customHeight="1">
      <c r="A310" s="5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5"/>
      <c r="T310" s="5"/>
      <c r="U310" s="5"/>
      <c r="V310" s="5"/>
      <c r="W310" s="6"/>
      <c r="X310" s="7"/>
      <c r="Y310" s="7"/>
      <c r="Z310" s="5"/>
      <c r="AA310" s="5"/>
      <c r="AB310" s="5"/>
      <c r="AC310" s="5"/>
      <c r="AD310" s="5"/>
    </row>
    <row r="311" spans="1:30" ht="15.75" customHeight="1">
      <c r="A311" s="5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5"/>
      <c r="T311" s="5"/>
      <c r="U311" s="5"/>
      <c r="V311" s="5"/>
      <c r="W311" s="6"/>
      <c r="X311" s="7"/>
      <c r="Y311" s="7"/>
      <c r="Z311" s="5"/>
      <c r="AA311" s="5"/>
      <c r="AB311" s="5"/>
      <c r="AC311" s="5"/>
      <c r="AD311" s="5"/>
    </row>
    <row r="312" spans="1:30" ht="15.75" customHeight="1">
      <c r="A312" s="5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5"/>
      <c r="T312" s="5"/>
      <c r="U312" s="5"/>
      <c r="V312" s="5"/>
      <c r="W312" s="6"/>
      <c r="X312" s="7"/>
      <c r="Y312" s="7"/>
      <c r="Z312" s="5"/>
      <c r="AA312" s="5"/>
      <c r="AB312" s="5"/>
      <c r="AC312" s="5"/>
      <c r="AD312" s="5"/>
    </row>
    <row r="313" spans="1:30" ht="15.75" customHeight="1">
      <c r="A313" s="5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5"/>
      <c r="T313" s="5"/>
      <c r="U313" s="5"/>
      <c r="V313" s="5"/>
      <c r="W313" s="6"/>
      <c r="X313" s="7"/>
      <c r="Y313" s="7"/>
      <c r="Z313" s="5"/>
      <c r="AA313" s="5"/>
      <c r="AB313" s="5"/>
      <c r="AC313" s="5"/>
      <c r="AD313" s="5"/>
    </row>
    <row r="314" spans="1:30" ht="15.75" customHeight="1">
      <c r="A314" s="5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5"/>
      <c r="T314" s="5"/>
      <c r="U314" s="5"/>
      <c r="V314" s="5"/>
      <c r="W314" s="6"/>
      <c r="X314" s="7"/>
      <c r="Y314" s="7"/>
      <c r="Z314" s="5"/>
      <c r="AA314" s="5"/>
      <c r="AB314" s="5"/>
      <c r="AC314" s="5"/>
      <c r="AD314" s="5"/>
    </row>
    <row r="315" spans="1:30" ht="15.75" customHeight="1">
      <c r="A315" s="5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5"/>
      <c r="T315" s="5"/>
      <c r="U315" s="5"/>
      <c r="V315" s="5"/>
      <c r="W315" s="6"/>
      <c r="X315" s="7"/>
      <c r="Y315" s="7"/>
      <c r="Z315" s="5"/>
      <c r="AA315" s="5"/>
      <c r="AB315" s="5"/>
      <c r="AC315" s="5"/>
      <c r="AD315" s="5"/>
    </row>
    <row r="316" spans="1:30" ht="15.75" customHeight="1">
      <c r="A316" s="5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5"/>
      <c r="T316" s="5"/>
      <c r="U316" s="5"/>
      <c r="V316" s="5"/>
      <c r="W316" s="6"/>
      <c r="X316" s="7"/>
      <c r="Y316" s="7"/>
      <c r="Z316" s="5"/>
      <c r="AA316" s="5"/>
      <c r="AB316" s="5"/>
      <c r="AC316" s="5"/>
      <c r="AD316" s="5"/>
    </row>
    <row r="317" spans="1:30" ht="15.75" customHeight="1">
      <c r="A317" s="5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5"/>
      <c r="T317" s="5"/>
      <c r="U317" s="5"/>
      <c r="V317" s="5"/>
      <c r="W317" s="6"/>
      <c r="X317" s="7"/>
      <c r="Y317" s="7"/>
      <c r="Z317" s="5"/>
      <c r="AA317" s="5"/>
      <c r="AB317" s="5"/>
      <c r="AC317" s="5"/>
      <c r="AD317" s="5"/>
    </row>
    <row r="318" spans="1:30" ht="15.75" customHeight="1">
      <c r="A318" s="5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5"/>
      <c r="T318" s="5"/>
      <c r="U318" s="5"/>
      <c r="V318" s="5"/>
      <c r="W318" s="6"/>
      <c r="X318" s="7"/>
      <c r="Y318" s="7"/>
      <c r="Z318" s="5"/>
      <c r="AA318" s="5"/>
      <c r="AB318" s="5"/>
      <c r="AC318" s="5"/>
      <c r="AD318" s="5"/>
    </row>
    <row r="319" spans="1:30" ht="15.75" customHeight="1">
      <c r="A319" s="5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5"/>
      <c r="T319" s="5"/>
      <c r="U319" s="5"/>
      <c r="V319" s="5"/>
      <c r="W319" s="6"/>
      <c r="X319" s="7"/>
      <c r="Y319" s="7"/>
      <c r="Z319" s="5"/>
      <c r="AA319" s="5"/>
      <c r="AB319" s="5"/>
      <c r="AC319" s="5"/>
      <c r="AD319" s="5"/>
    </row>
    <row r="320" spans="1:30" ht="15.75" customHeight="1">
      <c r="A320" s="5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5"/>
      <c r="T320" s="5"/>
      <c r="U320" s="5"/>
      <c r="V320" s="5"/>
      <c r="W320" s="6"/>
      <c r="X320" s="7"/>
      <c r="Y320" s="7"/>
      <c r="Z320" s="5"/>
      <c r="AA320" s="5"/>
      <c r="AB320" s="5"/>
      <c r="AC320" s="5"/>
      <c r="AD320" s="5"/>
    </row>
    <row r="321" spans="1:30" ht="15.75" customHeight="1">
      <c r="A321" s="5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5"/>
      <c r="T321" s="5"/>
      <c r="U321" s="5"/>
      <c r="V321" s="5"/>
      <c r="W321" s="6"/>
      <c r="X321" s="7"/>
      <c r="Y321" s="7"/>
      <c r="Z321" s="5"/>
      <c r="AA321" s="5"/>
      <c r="AB321" s="5"/>
      <c r="AC321" s="5"/>
      <c r="AD321" s="5"/>
    </row>
    <row r="322" spans="1:30" ht="15.75" customHeight="1">
      <c r="A322" s="5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5"/>
      <c r="T322" s="5"/>
      <c r="U322" s="5"/>
      <c r="V322" s="5"/>
      <c r="W322" s="6"/>
      <c r="X322" s="7"/>
      <c r="Y322" s="7"/>
      <c r="Z322" s="5"/>
      <c r="AA322" s="5"/>
      <c r="AB322" s="5"/>
      <c r="AC322" s="5"/>
      <c r="AD322" s="5"/>
    </row>
    <row r="323" spans="1:30" ht="15.75" customHeight="1">
      <c r="A323" s="5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5"/>
      <c r="T323" s="5"/>
      <c r="U323" s="5"/>
      <c r="V323" s="5"/>
      <c r="W323" s="6"/>
      <c r="X323" s="7"/>
      <c r="Y323" s="7"/>
      <c r="Z323" s="5"/>
      <c r="AA323" s="5"/>
      <c r="AB323" s="5"/>
      <c r="AC323" s="5"/>
      <c r="AD323" s="5"/>
    </row>
    <row r="324" spans="1:30" ht="15.75" customHeight="1">
      <c r="A324" s="5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5"/>
      <c r="T324" s="5"/>
      <c r="U324" s="5"/>
      <c r="V324" s="5"/>
      <c r="W324" s="6"/>
      <c r="X324" s="7"/>
      <c r="Y324" s="7"/>
      <c r="Z324" s="5"/>
      <c r="AA324" s="5"/>
      <c r="AB324" s="5"/>
      <c r="AC324" s="5"/>
      <c r="AD324" s="5"/>
    </row>
    <row r="325" spans="1:30" ht="15.75" customHeight="1">
      <c r="A325" s="5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5"/>
      <c r="T325" s="5"/>
      <c r="U325" s="5"/>
      <c r="V325" s="5"/>
      <c r="W325" s="6"/>
      <c r="X325" s="7"/>
      <c r="Y325" s="7"/>
      <c r="Z325" s="5"/>
      <c r="AA325" s="5"/>
      <c r="AB325" s="5"/>
      <c r="AC325" s="5"/>
      <c r="AD325" s="5"/>
    </row>
    <row r="326" spans="1:30" ht="15.75" customHeight="1">
      <c r="A326" s="5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5"/>
      <c r="T326" s="5"/>
      <c r="U326" s="5"/>
      <c r="V326" s="5"/>
      <c r="W326" s="6"/>
      <c r="X326" s="7"/>
      <c r="Y326" s="7"/>
      <c r="Z326" s="5"/>
      <c r="AA326" s="5"/>
      <c r="AB326" s="5"/>
      <c r="AC326" s="5"/>
      <c r="AD326" s="5"/>
    </row>
    <row r="327" spans="1:30" ht="15.75" customHeight="1">
      <c r="A327" s="5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5"/>
      <c r="T327" s="5"/>
      <c r="U327" s="5"/>
      <c r="V327" s="5"/>
      <c r="W327" s="6"/>
      <c r="X327" s="7"/>
      <c r="Y327" s="7"/>
      <c r="Z327" s="5"/>
      <c r="AA327" s="5"/>
      <c r="AB327" s="5"/>
      <c r="AC327" s="5"/>
      <c r="AD327" s="5"/>
    </row>
    <row r="328" spans="1:30" ht="15.75" customHeight="1">
      <c r="A328" s="5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5"/>
      <c r="T328" s="5"/>
      <c r="U328" s="5"/>
      <c r="V328" s="5"/>
      <c r="W328" s="6"/>
      <c r="X328" s="7"/>
      <c r="Y328" s="7"/>
      <c r="Z328" s="5"/>
      <c r="AA328" s="5"/>
      <c r="AB328" s="5"/>
      <c r="AC328" s="5"/>
      <c r="AD328" s="5"/>
    </row>
    <row r="329" spans="1:30" ht="15.75" customHeight="1">
      <c r="A329" s="5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5"/>
      <c r="T329" s="5"/>
      <c r="U329" s="5"/>
      <c r="V329" s="5"/>
      <c r="W329" s="6"/>
      <c r="X329" s="7"/>
      <c r="Y329" s="7"/>
      <c r="Z329" s="5"/>
      <c r="AA329" s="5"/>
      <c r="AB329" s="5"/>
      <c r="AC329" s="5"/>
      <c r="AD329" s="5"/>
    </row>
    <row r="330" spans="1:30" ht="15.75" customHeight="1">
      <c r="A330" s="5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5"/>
      <c r="T330" s="5"/>
      <c r="U330" s="5"/>
      <c r="V330" s="5"/>
      <c r="W330" s="6"/>
      <c r="X330" s="7"/>
      <c r="Y330" s="7"/>
      <c r="Z330" s="5"/>
      <c r="AA330" s="5"/>
      <c r="AB330" s="5"/>
      <c r="AC330" s="5"/>
      <c r="AD330" s="5"/>
    </row>
    <row r="331" spans="1:30" ht="15.75" customHeight="1">
      <c r="A331" s="5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5"/>
      <c r="T331" s="5"/>
      <c r="U331" s="5"/>
      <c r="V331" s="5"/>
      <c r="W331" s="6"/>
      <c r="X331" s="7"/>
      <c r="Y331" s="7"/>
      <c r="Z331" s="5"/>
      <c r="AA331" s="5"/>
      <c r="AB331" s="5"/>
      <c r="AC331" s="5"/>
      <c r="AD331" s="5"/>
    </row>
    <row r="332" spans="1:30" ht="15.75" customHeight="1">
      <c r="A332" s="5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5"/>
      <c r="T332" s="5"/>
      <c r="U332" s="5"/>
      <c r="V332" s="5"/>
      <c r="W332" s="6"/>
      <c r="X332" s="7"/>
      <c r="Y332" s="7"/>
      <c r="Z332" s="5"/>
      <c r="AA332" s="5"/>
      <c r="AB332" s="5"/>
      <c r="AC332" s="5"/>
      <c r="AD332" s="5"/>
    </row>
    <row r="333" spans="1:30" ht="15.75" customHeight="1">
      <c r="A333" s="5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5"/>
      <c r="T333" s="5"/>
      <c r="U333" s="5"/>
      <c r="V333" s="5"/>
      <c r="W333" s="6"/>
      <c r="X333" s="7"/>
      <c r="Y333" s="7"/>
      <c r="Z333" s="5"/>
      <c r="AA333" s="5"/>
      <c r="AB333" s="5"/>
      <c r="AC333" s="5"/>
      <c r="AD333" s="5"/>
    </row>
    <row r="334" spans="1:30" ht="15.75" customHeight="1">
      <c r="A334" s="5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5"/>
      <c r="T334" s="5"/>
      <c r="U334" s="5"/>
      <c r="V334" s="5"/>
      <c r="W334" s="6"/>
      <c r="X334" s="7"/>
      <c r="Y334" s="7"/>
      <c r="Z334" s="5"/>
      <c r="AA334" s="5"/>
      <c r="AB334" s="5"/>
      <c r="AC334" s="5"/>
      <c r="AD334" s="5"/>
    </row>
    <row r="335" spans="1:30" ht="15.75" customHeight="1">
      <c r="A335" s="5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5"/>
      <c r="T335" s="5"/>
      <c r="U335" s="5"/>
      <c r="V335" s="5"/>
      <c r="W335" s="6"/>
      <c r="X335" s="7"/>
      <c r="Y335" s="7"/>
      <c r="Z335" s="5"/>
      <c r="AA335" s="5"/>
      <c r="AB335" s="5"/>
      <c r="AC335" s="5"/>
      <c r="AD335" s="5"/>
    </row>
    <row r="336" spans="1:30" ht="15.75" customHeight="1">
      <c r="A336" s="5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5"/>
      <c r="T336" s="5"/>
      <c r="U336" s="5"/>
      <c r="V336" s="5"/>
      <c r="W336" s="6"/>
      <c r="X336" s="7"/>
      <c r="Y336" s="7"/>
      <c r="Z336" s="5"/>
      <c r="AA336" s="5"/>
      <c r="AB336" s="5"/>
      <c r="AC336" s="5"/>
      <c r="AD336" s="5"/>
    </row>
    <row r="337" spans="1:30" ht="15.75" customHeight="1">
      <c r="A337" s="5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5"/>
      <c r="T337" s="5"/>
      <c r="U337" s="5"/>
      <c r="V337" s="5"/>
      <c r="W337" s="6"/>
      <c r="X337" s="7"/>
      <c r="Y337" s="7"/>
      <c r="Z337" s="5"/>
      <c r="AA337" s="5"/>
      <c r="AB337" s="5"/>
      <c r="AC337" s="5"/>
      <c r="AD337" s="5"/>
    </row>
    <row r="338" spans="1:30" ht="15.75" customHeight="1">
      <c r="A338" s="5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5"/>
      <c r="T338" s="5"/>
      <c r="U338" s="5"/>
      <c r="V338" s="5"/>
      <c r="W338" s="6"/>
      <c r="X338" s="7"/>
      <c r="Y338" s="7"/>
      <c r="Z338" s="5"/>
      <c r="AA338" s="5"/>
      <c r="AB338" s="5"/>
      <c r="AC338" s="5"/>
      <c r="AD338" s="5"/>
    </row>
    <row r="339" spans="1:30" ht="15.75" customHeight="1">
      <c r="A339" s="5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5"/>
      <c r="T339" s="5"/>
      <c r="U339" s="5"/>
      <c r="V339" s="5"/>
      <c r="W339" s="6"/>
      <c r="X339" s="7"/>
      <c r="Y339" s="7"/>
      <c r="Z339" s="5"/>
      <c r="AA339" s="5"/>
      <c r="AB339" s="5"/>
      <c r="AC339" s="5"/>
      <c r="AD339" s="5"/>
    </row>
    <row r="340" spans="1:30" ht="15.75" customHeight="1">
      <c r="A340" s="5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5"/>
      <c r="T340" s="5"/>
      <c r="U340" s="5"/>
      <c r="V340" s="5"/>
      <c r="W340" s="6"/>
      <c r="X340" s="7"/>
      <c r="Y340" s="7"/>
      <c r="Z340" s="5"/>
      <c r="AA340" s="5"/>
      <c r="AB340" s="5"/>
      <c r="AC340" s="5"/>
      <c r="AD340" s="5"/>
    </row>
    <row r="341" spans="1:30" ht="15.75" customHeight="1">
      <c r="A341" s="5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5"/>
      <c r="T341" s="5"/>
      <c r="U341" s="5"/>
      <c r="V341" s="5"/>
      <c r="W341" s="6"/>
      <c r="X341" s="7"/>
      <c r="Y341" s="7"/>
      <c r="Z341" s="5"/>
      <c r="AA341" s="5"/>
      <c r="AB341" s="5"/>
      <c r="AC341" s="5"/>
      <c r="AD341" s="5"/>
    </row>
    <row r="342" spans="1:30" ht="15.75" customHeight="1">
      <c r="A342" s="5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5"/>
      <c r="T342" s="5"/>
      <c r="U342" s="5"/>
      <c r="V342" s="5"/>
      <c r="W342" s="6"/>
      <c r="X342" s="7"/>
      <c r="Y342" s="7"/>
      <c r="Z342" s="5"/>
      <c r="AA342" s="5"/>
      <c r="AB342" s="5"/>
      <c r="AC342" s="5"/>
      <c r="AD342" s="5"/>
    </row>
    <row r="343" spans="1:30" ht="15.75" customHeight="1">
      <c r="A343" s="5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5"/>
      <c r="T343" s="5"/>
      <c r="U343" s="5"/>
      <c r="V343" s="5"/>
      <c r="W343" s="6"/>
      <c r="X343" s="7"/>
      <c r="Y343" s="7"/>
      <c r="Z343" s="5"/>
      <c r="AA343" s="5"/>
      <c r="AB343" s="5"/>
      <c r="AC343" s="5"/>
      <c r="AD343" s="5"/>
    </row>
    <row r="344" spans="1:30" ht="15.75" customHeight="1">
      <c r="A344" s="5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5"/>
      <c r="T344" s="5"/>
      <c r="U344" s="5"/>
      <c r="V344" s="5"/>
      <c r="W344" s="6"/>
      <c r="X344" s="7"/>
      <c r="Y344" s="7"/>
      <c r="Z344" s="5"/>
      <c r="AA344" s="5"/>
      <c r="AB344" s="5"/>
      <c r="AC344" s="5"/>
      <c r="AD344" s="5"/>
    </row>
    <row r="345" spans="1:30" ht="15.75" customHeight="1">
      <c r="A345" s="5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5"/>
      <c r="T345" s="5"/>
      <c r="U345" s="5"/>
      <c r="V345" s="5"/>
      <c r="W345" s="6"/>
      <c r="X345" s="7"/>
      <c r="Y345" s="7"/>
      <c r="Z345" s="5"/>
      <c r="AA345" s="5"/>
      <c r="AB345" s="5"/>
      <c r="AC345" s="5"/>
      <c r="AD345" s="5"/>
    </row>
    <row r="346" spans="1:30" ht="15.75" customHeight="1">
      <c r="A346" s="5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5"/>
      <c r="T346" s="5"/>
      <c r="U346" s="5"/>
      <c r="V346" s="5"/>
      <c r="W346" s="6"/>
      <c r="X346" s="7"/>
      <c r="Y346" s="7"/>
      <c r="Z346" s="5"/>
      <c r="AA346" s="5"/>
      <c r="AB346" s="5"/>
      <c r="AC346" s="5"/>
      <c r="AD346" s="5"/>
    </row>
    <row r="347" spans="1:30" ht="15.75" customHeight="1">
      <c r="A347" s="5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5"/>
      <c r="T347" s="5"/>
      <c r="U347" s="5"/>
      <c r="V347" s="5"/>
      <c r="W347" s="6"/>
      <c r="X347" s="7"/>
      <c r="Y347" s="7"/>
      <c r="Z347" s="5"/>
      <c r="AA347" s="5"/>
      <c r="AB347" s="5"/>
      <c r="AC347" s="5"/>
      <c r="AD347" s="5"/>
    </row>
    <row r="348" spans="1:30" ht="15.75" customHeight="1">
      <c r="A348" s="5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5"/>
      <c r="T348" s="5"/>
      <c r="U348" s="5"/>
      <c r="V348" s="5"/>
      <c r="W348" s="6"/>
      <c r="X348" s="7"/>
      <c r="Y348" s="7"/>
      <c r="Z348" s="5"/>
      <c r="AA348" s="5"/>
      <c r="AB348" s="5"/>
      <c r="AC348" s="5"/>
      <c r="AD348" s="5"/>
    </row>
    <row r="349" spans="1:30" ht="15.75" customHeight="1">
      <c r="A349" s="5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5"/>
      <c r="T349" s="5"/>
      <c r="U349" s="5"/>
      <c r="V349" s="5"/>
      <c r="W349" s="6"/>
      <c r="X349" s="7"/>
      <c r="Y349" s="7"/>
      <c r="Z349" s="5"/>
      <c r="AA349" s="5"/>
      <c r="AB349" s="5"/>
      <c r="AC349" s="5"/>
      <c r="AD349" s="5"/>
    </row>
    <row r="350" spans="1:30" ht="15.75" customHeight="1">
      <c r="A350" s="5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5"/>
      <c r="T350" s="5"/>
      <c r="U350" s="5"/>
      <c r="V350" s="5"/>
      <c r="W350" s="6"/>
      <c r="X350" s="7"/>
      <c r="Y350" s="7"/>
      <c r="Z350" s="5"/>
      <c r="AA350" s="5"/>
      <c r="AB350" s="5"/>
      <c r="AC350" s="5"/>
      <c r="AD350" s="5"/>
    </row>
    <row r="351" spans="1:30" ht="15.75" customHeight="1">
      <c r="A351" s="5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5"/>
      <c r="T351" s="5"/>
      <c r="U351" s="5"/>
      <c r="V351" s="5"/>
      <c r="W351" s="6"/>
      <c r="X351" s="7"/>
      <c r="Y351" s="7"/>
      <c r="Z351" s="5"/>
      <c r="AA351" s="5"/>
      <c r="AB351" s="5"/>
      <c r="AC351" s="5"/>
      <c r="AD351" s="5"/>
    </row>
    <row r="352" spans="1:30" ht="15.75" customHeight="1">
      <c r="A352" s="5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5"/>
      <c r="T352" s="5"/>
      <c r="U352" s="5"/>
      <c r="V352" s="5"/>
      <c r="W352" s="6"/>
      <c r="X352" s="7"/>
      <c r="Y352" s="7"/>
      <c r="Z352" s="5"/>
      <c r="AA352" s="5"/>
      <c r="AB352" s="5"/>
      <c r="AC352" s="5"/>
      <c r="AD352" s="5"/>
    </row>
    <row r="353" spans="1:30" ht="15.75" customHeight="1">
      <c r="A353" s="5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5"/>
      <c r="T353" s="5"/>
      <c r="U353" s="5"/>
      <c r="V353" s="5"/>
      <c r="W353" s="6"/>
      <c r="X353" s="7"/>
      <c r="Y353" s="7"/>
      <c r="Z353" s="5"/>
      <c r="AA353" s="5"/>
      <c r="AB353" s="5"/>
      <c r="AC353" s="5"/>
      <c r="AD353" s="5"/>
    </row>
    <row r="354" spans="1:30" ht="15.75" customHeight="1">
      <c r="A354" s="5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5"/>
      <c r="T354" s="5"/>
      <c r="U354" s="5"/>
      <c r="V354" s="5"/>
      <c r="W354" s="6"/>
      <c r="X354" s="7"/>
      <c r="Y354" s="7"/>
      <c r="Z354" s="5"/>
      <c r="AA354" s="5"/>
      <c r="AB354" s="5"/>
      <c r="AC354" s="5"/>
      <c r="AD354" s="5"/>
    </row>
    <row r="355" spans="1:30" ht="15.75" customHeight="1">
      <c r="A355" s="5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5"/>
      <c r="T355" s="5"/>
      <c r="U355" s="5"/>
      <c r="V355" s="5"/>
      <c r="W355" s="6"/>
      <c r="X355" s="7"/>
      <c r="Y355" s="7"/>
      <c r="Z355" s="5"/>
      <c r="AA355" s="5"/>
      <c r="AB355" s="5"/>
      <c r="AC355" s="5"/>
      <c r="AD355" s="5"/>
    </row>
    <row r="356" spans="1:30" ht="15.75" customHeight="1">
      <c r="A356" s="5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5"/>
      <c r="T356" s="5"/>
      <c r="U356" s="5"/>
      <c r="V356" s="5"/>
      <c r="W356" s="6"/>
      <c r="X356" s="7"/>
      <c r="Y356" s="7"/>
      <c r="Z356" s="5"/>
      <c r="AA356" s="5"/>
      <c r="AB356" s="5"/>
      <c r="AC356" s="5"/>
      <c r="AD356" s="5"/>
    </row>
    <row r="357" spans="1:30" ht="15.75" customHeight="1">
      <c r="A357" s="5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5"/>
      <c r="T357" s="5"/>
      <c r="U357" s="5"/>
      <c r="V357" s="5"/>
      <c r="W357" s="6"/>
      <c r="X357" s="7"/>
      <c r="Y357" s="7"/>
      <c r="Z357" s="5"/>
      <c r="AA357" s="5"/>
      <c r="AB357" s="5"/>
      <c r="AC357" s="5"/>
      <c r="AD357" s="5"/>
    </row>
    <row r="358" spans="1:30" ht="15.75" customHeight="1">
      <c r="A358" s="5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5"/>
      <c r="T358" s="5"/>
      <c r="U358" s="5"/>
      <c r="V358" s="5"/>
      <c r="W358" s="6"/>
      <c r="X358" s="7"/>
      <c r="Y358" s="7"/>
      <c r="Z358" s="5"/>
      <c r="AA358" s="5"/>
      <c r="AB358" s="5"/>
      <c r="AC358" s="5"/>
      <c r="AD358" s="5"/>
    </row>
    <row r="359" spans="1:30" ht="15.75" customHeight="1">
      <c r="A359" s="5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5"/>
      <c r="T359" s="5"/>
      <c r="U359" s="5"/>
      <c r="V359" s="5"/>
      <c r="W359" s="6"/>
      <c r="X359" s="7"/>
      <c r="Y359" s="7"/>
      <c r="Z359" s="5"/>
      <c r="AA359" s="5"/>
      <c r="AB359" s="5"/>
      <c r="AC359" s="5"/>
      <c r="AD359" s="5"/>
    </row>
    <row r="360" spans="1:30" ht="15.75" customHeight="1">
      <c r="A360" s="5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5"/>
      <c r="T360" s="5"/>
      <c r="U360" s="5"/>
      <c r="V360" s="5"/>
      <c r="W360" s="6"/>
      <c r="X360" s="7"/>
      <c r="Y360" s="7"/>
      <c r="Z360" s="5"/>
      <c r="AA360" s="5"/>
      <c r="AB360" s="5"/>
      <c r="AC360" s="5"/>
      <c r="AD360" s="5"/>
    </row>
    <row r="361" spans="1:30" ht="15.75" customHeight="1">
      <c r="A361" s="5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5"/>
      <c r="T361" s="5"/>
      <c r="U361" s="5"/>
      <c r="V361" s="5"/>
      <c r="W361" s="6"/>
      <c r="X361" s="7"/>
      <c r="Y361" s="7"/>
      <c r="Z361" s="5"/>
      <c r="AA361" s="5"/>
      <c r="AB361" s="5"/>
      <c r="AC361" s="5"/>
      <c r="AD361" s="5"/>
    </row>
    <row r="362" spans="1:30" ht="15.75" customHeight="1">
      <c r="A362" s="5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5"/>
      <c r="T362" s="5"/>
      <c r="U362" s="5"/>
      <c r="V362" s="5"/>
      <c r="W362" s="6"/>
      <c r="X362" s="7"/>
      <c r="Y362" s="7"/>
      <c r="Z362" s="5"/>
      <c r="AA362" s="5"/>
      <c r="AB362" s="5"/>
      <c r="AC362" s="5"/>
      <c r="AD362" s="5"/>
    </row>
    <row r="363" spans="1:30" ht="15.75" customHeight="1">
      <c r="A363" s="5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5"/>
      <c r="T363" s="5"/>
      <c r="U363" s="5"/>
      <c r="V363" s="5"/>
      <c r="W363" s="6"/>
      <c r="X363" s="7"/>
      <c r="Y363" s="7"/>
      <c r="Z363" s="5"/>
      <c r="AA363" s="5"/>
      <c r="AB363" s="5"/>
      <c r="AC363" s="5"/>
      <c r="AD363" s="5"/>
    </row>
    <row r="364" spans="1:30" ht="15.75" customHeight="1">
      <c r="A364" s="5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5"/>
      <c r="T364" s="5"/>
      <c r="U364" s="5"/>
      <c r="V364" s="5"/>
      <c r="W364" s="6"/>
      <c r="X364" s="7"/>
      <c r="Y364" s="7"/>
      <c r="Z364" s="5"/>
      <c r="AA364" s="5"/>
      <c r="AB364" s="5"/>
      <c r="AC364" s="5"/>
      <c r="AD364" s="5"/>
    </row>
    <row r="365" spans="1:30" ht="15.75" customHeight="1">
      <c r="A365" s="5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5"/>
      <c r="T365" s="5"/>
      <c r="U365" s="5"/>
      <c r="V365" s="5"/>
      <c r="W365" s="6"/>
      <c r="X365" s="7"/>
      <c r="Y365" s="7"/>
      <c r="Z365" s="5"/>
      <c r="AA365" s="5"/>
      <c r="AB365" s="5"/>
      <c r="AC365" s="5"/>
      <c r="AD365" s="5"/>
    </row>
    <row r="366" spans="1:30" ht="15.75" customHeight="1">
      <c r="A366" s="5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5"/>
      <c r="T366" s="5"/>
      <c r="U366" s="5"/>
      <c r="V366" s="5"/>
      <c r="W366" s="6"/>
      <c r="X366" s="7"/>
      <c r="Y366" s="7"/>
      <c r="Z366" s="5"/>
      <c r="AA366" s="5"/>
      <c r="AB366" s="5"/>
      <c r="AC366" s="5"/>
      <c r="AD366" s="5"/>
    </row>
    <row r="367" spans="1:30" ht="15.75" customHeight="1">
      <c r="A367" s="5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5"/>
      <c r="T367" s="5"/>
      <c r="U367" s="5"/>
      <c r="V367" s="5"/>
      <c r="W367" s="6"/>
      <c r="X367" s="7"/>
      <c r="Y367" s="7"/>
      <c r="Z367" s="5"/>
      <c r="AA367" s="5"/>
      <c r="AB367" s="5"/>
      <c r="AC367" s="5"/>
      <c r="AD367" s="5"/>
    </row>
    <row r="368" spans="1:30" ht="15.75" customHeight="1">
      <c r="A368" s="5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5"/>
      <c r="T368" s="5"/>
      <c r="U368" s="5"/>
      <c r="V368" s="5"/>
      <c r="W368" s="6"/>
      <c r="X368" s="7"/>
      <c r="Y368" s="7"/>
      <c r="Z368" s="5"/>
      <c r="AA368" s="5"/>
      <c r="AB368" s="5"/>
      <c r="AC368" s="5"/>
      <c r="AD368" s="5"/>
    </row>
    <row r="369" spans="1:30" ht="15.75" customHeight="1">
      <c r="A369" s="5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5"/>
      <c r="T369" s="5"/>
      <c r="U369" s="5"/>
      <c r="V369" s="5"/>
      <c r="W369" s="6"/>
      <c r="X369" s="7"/>
      <c r="Y369" s="7"/>
      <c r="Z369" s="5"/>
      <c r="AA369" s="5"/>
      <c r="AB369" s="5"/>
      <c r="AC369" s="5"/>
      <c r="AD369" s="5"/>
    </row>
    <row r="370" spans="1:30" ht="15.75" customHeight="1">
      <c r="A370" s="5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5"/>
      <c r="T370" s="5"/>
      <c r="U370" s="5"/>
      <c r="V370" s="5"/>
      <c r="W370" s="6"/>
      <c r="X370" s="7"/>
      <c r="Y370" s="7"/>
      <c r="Z370" s="5"/>
      <c r="AA370" s="5"/>
      <c r="AB370" s="5"/>
      <c r="AC370" s="5"/>
      <c r="AD370" s="5"/>
    </row>
    <row r="371" spans="1:30" ht="15.75" customHeight="1">
      <c r="A371" s="5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5"/>
      <c r="T371" s="5"/>
      <c r="U371" s="5"/>
      <c r="V371" s="5"/>
      <c r="W371" s="6"/>
      <c r="X371" s="7"/>
      <c r="Y371" s="7"/>
      <c r="Z371" s="5"/>
      <c r="AA371" s="5"/>
      <c r="AB371" s="5"/>
      <c r="AC371" s="5"/>
      <c r="AD371" s="5"/>
    </row>
    <row r="372" spans="1:30" ht="15.75" customHeight="1">
      <c r="A372" s="5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5"/>
      <c r="T372" s="5"/>
      <c r="U372" s="5"/>
      <c r="V372" s="5"/>
      <c r="W372" s="6"/>
      <c r="X372" s="7"/>
      <c r="Y372" s="7"/>
      <c r="Z372" s="5"/>
      <c r="AA372" s="5"/>
      <c r="AB372" s="5"/>
      <c r="AC372" s="5"/>
      <c r="AD372" s="5"/>
    </row>
    <row r="373" spans="1:30" ht="15.75" customHeight="1">
      <c r="A373" s="5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5"/>
      <c r="T373" s="5"/>
      <c r="U373" s="5"/>
      <c r="V373" s="5"/>
      <c r="W373" s="6"/>
      <c r="X373" s="7"/>
      <c r="Y373" s="7"/>
      <c r="Z373" s="5"/>
      <c r="AA373" s="5"/>
      <c r="AB373" s="5"/>
      <c r="AC373" s="5"/>
      <c r="AD373" s="5"/>
    </row>
    <row r="374" spans="1:30" ht="15.75" customHeight="1">
      <c r="A374" s="5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5"/>
      <c r="T374" s="5"/>
      <c r="U374" s="5"/>
      <c r="V374" s="5"/>
      <c r="W374" s="6"/>
      <c r="X374" s="7"/>
      <c r="Y374" s="7"/>
      <c r="Z374" s="5"/>
      <c r="AA374" s="5"/>
      <c r="AB374" s="5"/>
      <c r="AC374" s="5"/>
      <c r="AD374" s="5"/>
    </row>
    <row r="375" spans="1:30" ht="15.75" customHeight="1">
      <c r="A375" s="5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5"/>
      <c r="T375" s="5"/>
      <c r="U375" s="5"/>
      <c r="V375" s="5"/>
      <c r="W375" s="6"/>
      <c r="X375" s="7"/>
      <c r="Y375" s="7"/>
      <c r="Z375" s="5"/>
      <c r="AA375" s="5"/>
      <c r="AB375" s="5"/>
      <c r="AC375" s="5"/>
      <c r="AD375" s="5"/>
    </row>
    <row r="376" spans="1:30" ht="15.75" customHeight="1">
      <c r="A376" s="5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5"/>
      <c r="T376" s="5"/>
      <c r="U376" s="5"/>
      <c r="V376" s="5"/>
      <c r="W376" s="6"/>
      <c r="X376" s="7"/>
      <c r="Y376" s="7"/>
      <c r="Z376" s="5"/>
      <c r="AA376" s="5"/>
      <c r="AB376" s="5"/>
      <c r="AC376" s="5"/>
      <c r="AD376" s="5"/>
    </row>
    <row r="377" spans="1:30" ht="15.75" customHeight="1">
      <c r="A377" s="5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5"/>
      <c r="T377" s="5"/>
      <c r="U377" s="5"/>
      <c r="V377" s="5"/>
      <c r="W377" s="6"/>
      <c r="X377" s="7"/>
      <c r="Y377" s="7"/>
      <c r="Z377" s="5"/>
      <c r="AA377" s="5"/>
      <c r="AB377" s="5"/>
      <c r="AC377" s="5"/>
      <c r="AD377" s="5"/>
    </row>
    <row r="378" spans="1:30" ht="15.75" customHeight="1">
      <c r="A378" s="5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5"/>
      <c r="T378" s="5"/>
      <c r="U378" s="5"/>
      <c r="V378" s="5"/>
      <c r="W378" s="6"/>
      <c r="X378" s="7"/>
      <c r="Y378" s="7"/>
      <c r="Z378" s="5"/>
      <c r="AA378" s="5"/>
      <c r="AB378" s="5"/>
      <c r="AC378" s="5"/>
      <c r="AD378" s="5"/>
    </row>
    <row r="379" spans="1:30" ht="15.75" customHeight="1">
      <c r="A379" s="5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5"/>
      <c r="T379" s="5"/>
      <c r="U379" s="5"/>
      <c r="V379" s="5"/>
      <c r="W379" s="6"/>
      <c r="X379" s="7"/>
      <c r="Y379" s="7"/>
      <c r="Z379" s="5"/>
      <c r="AA379" s="5"/>
      <c r="AB379" s="5"/>
      <c r="AC379" s="5"/>
      <c r="AD379" s="5"/>
    </row>
    <row r="380" spans="1:30" ht="15.75" customHeight="1">
      <c r="A380" s="5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5"/>
      <c r="T380" s="5"/>
      <c r="U380" s="5"/>
      <c r="V380" s="5"/>
      <c r="W380" s="6"/>
      <c r="X380" s="7"/>
      <c r="Y380" s="7"/>
      <c r="Z380" s="5"/>
      <c r="AA380" s="5"/>
      <c r="AB380" s="5"/>
      <c r="AC380" s="5"/>
      <c r="AD380" s="5"/>
    </row>
    <row r="381" spans="1:30" ht="15.75" customHeight="1">
      <c r="A381" s="5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5"/>
      <c r="T381" s="5"/>
      <c r="U381" s="5"/>
      <c r="V381" s="5"/>
      <c r="W381" s="6"/>
      <c r="X381" s="7"/>
      <c r="Y381" s="7"/>
      <c r="Z381" s="5"/>
      <c r="AA381" s="5"/>
      <c r="AB381" s="5"/>
      <c r="AC381" s="5"/>
      <c r="AD381" s="5"/>
    </row>
    <row r="382" spans="1:30" ht="15.75" customHeight="1">
      <c r="A382" s="5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5"/>
      <c r="T382" s="5"/>
      <c r="U382" s="5"/>
      <c r="V382" s="5"/>
      <c r="W382" s="6"/>
      <c r="X382" s="7"/>
      <c r="Y382" s="7"/>
      <c r="Z382" s="5"/>
      <c r="AA382" s="5"/>
      <c r="AB382" s="5"/>
      <c r="AC382" s="5"/>
      <c r="AD382" s="5"/>
    </row>
    <row r="383" spans="1:30" ht="15.75" customHeight="1">
      <c r="A383" s="5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5"/>
      <c r="T383" s="5"/>
      <c r="U383" s="5"/>
      <c r="V383" s="5"/>
      <c r="W383" s="6"/>
      <c r="X383" s="7"/>
      <c r="Y383" s="7"/>
      <c r="Z383" s="5"/>
      <c r="AA383" s="5"/>
      <c r="AB383" s="5"/>
      <c r="AC383" s="5"/>
      <c r="AD383" s="5"/>
    </row>
    <row r="384" spans="1:30" ht="15.75" customHeight="1">
      <c r="A384" s="5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5"/>
      <c r="T384" s="5"/>
      <c r="U384" s="5"/>
      <c r="V384" s="5"/>
      <c r="W384" s="6"/>
      <c r="X384" s="7"/>
      <c r="Y384" s="7"/>
      <c r="Z384" s="5"/>
      <c r="AA384" s="5"/>
      <c r="AB384" s="5"/>
      <c r="AC384" s="5"/>
      <c r="AD384" s="5"/>
    </row>
    <row r="385" spans="1:30" ht="15.75" customHeight="1">
      <c r="A385" s="5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5"/>
      <c r="T385" s="5"/>
      <c r="U385" s="5"/>
      <c r="V385" s="5"/>
      <c r="W385" s="6"/>
      <c r="X385" s="7"/>
      <c r="Y385" s="7"/>
      <c r="Z385" s="5"/>
      <c r="AA385" s="5"/>
      <c r="AB385" s="5"/>
      <c r="AC385" s="5"/>
      <c r="AD385" s="5"/>
    </row>
    <row r="386" spans="1:30" ht="15.75" customHeight="1">
      <c r="A386" s="5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5"/>
      <c r="T386" s="5"/>
      <c r="U386" s="5"/>
      <c r="V386" s="5"/>
      <c r="W386" s="6"/>
      <c r="X386" s="7"/>
      <c r="Y386" s="7"/>
      <c r="Z386" s="5"/>
      <c r="AA386" s="5"/>
      <c r="AB386" s="5"/>
      <c r="AC386" s="5"/>
      <c r="AD386" s="5"/>
    </row>
    <row r="387" spans="1:30" ht="15.75" customHeight="1">
      <c r="A387" s="5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5"/>
      <c r="T387" s="5"/>
      <c r="U387" s="5"/>
      <c r="V387" s="5"/>
      <c r="W387" s="6"/>
      <c r="X387" s="7"/>
      <c r="Y387" s="7"/>
      <c r="Z387" s="5"/>
      <c r="AA387" s="5"/>
      <c r="AB387" s="5"/>
      <c r="AC387" s="5"/>
      <c r="AD387" s="5"/>
    </row>
    <row r="388" spans="1:30" ht="15.75" customHeight="1">
      <c r="A388" s="5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5"/>
      <c r="T388" s="5"/>
      <c r="U388" s="5"/>
      <c r="V388" s="5"/>
      <c r="W388" s="6"/>
      <c r="X388" s="7"/>
      <c r="Y388" s="7"/>
      <c r="Z388" s="5"/>
      <c r="AA388" s="5"/>
      <c r="AB388" s="5"/>
      <c r="AC388" s="5"/>
      <c r="AD388" s="5"/>
    </row>
    <row r="389" spans="1:30" ht="15.75" customHeight="1">
      <c r="A389" s="5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5"/>
      <c r="T389" s="5"/>
      <c r="U389" s="5"/>
      <c r="V389" s="5"/>
      <c r="W389" s="6"/>
      <c r="X389" s="7"/>
      <c r="Y389" s="7"/>
      <c r="Z389" s="5"/>
      <c r="AA389" s="5"/>
      <c r="AB389" s="5"/>
      <c r="AC389" s="5"/>
      <c r="AD389" s="5"/>
    </row>
    <row r="390" spans="1:30" ht="15.75" customHeight="1">
      <c r="A390" s="5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5"/>
      <c r="T390" s="5"/>
      <c r="U390" s="5"/>
      <c r="V390" s="5"/>
      <c r="W390" s="6"/>
      <c r="X390" s="7"/>
      <c r="Y390" s="7"/>
      <c r="Z390" s="5"/>
      <c r="AA390" s="5"/>
      <c r="AB390" s="5"/>
      <c r="AC390" s="5"/>
      <c r="AD390" s="5"/>
    </row>
    <row r="391" spans="1:30" ht="15.75" customHeight="1">
      <c r="A391" s="5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5"/>
      <c r="T391" s="5"/>
      <c r="U391" s="5"/>
      <c r="V391" s="5"/>
      <c r="W391" s="6"/>
      <c r="X391" s="7"/>
      <c r="Y391" s="7"/>
      <c r="Z391" s="5"/>
      <c r="AA391" s="5"/>
      <c r="AB391" s="5"/>
      <c r="AC391" s="5"/>
      <c r="AD391" s="5"/>
    </row>
    <row r="392" spans="1:30" ht="15.75" customHeight="1">
      <c r="A392" s="5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5"/>
      <c r="T392" s="5"/>
      <c r="U392" s="5"/>
      <c r="V392" s="5"/>
      <c r="W392" s="6"/>
      <c r="X392" s="7"/>
      <c r="Y392" s="7"/>
      <c r="Z392" s="5"/>
      <c r="AA392" s="5"/>
      <c r="AB392" s="5"/>
      <c r="AC392" s="5"/>
      <c r="AD392" s="5"/>
    </row>
    <row r="393" spans="1:30" ht="15.75" customHeight="1">
      <c r="A393" s="5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5"/>
      <c r="T393" s="5"/>
      <c r="U393" s="5"/>
      <c r="V393" s="5"/>
      <c r="W393" s="6"/>
      <c r="X393" s="7"/>
      <c r="Y393" s="7"/>
      <c r="Z393" s="5"/>
      <c r="AA393" s="5"/>
      <c r="AB393" s="5"/>
      <c r="AC393" s="5"/>
      <c r="AD393" s="5"/>
    </row>
    <row r="394" spans="1:30" ht="15.75" customHeight="1">
      <c r="A394" s="5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5"/>
      <c r="T394" s="5"/>
      <c r="U394" s="5"/>
      <c r="V394" s="5"/>
      <c r="W394" s="6"/>
      <c r="X394" s="7"/>
      <c r="Y394" s="7"/>
      <c r="Z394" s="5"/>
      <c r="AA394" s="5"/>
      <c r="AB394" s="5"/>
      <c r="AC394" s="5"/>
      <c r="AD394" s="5"/>
    </row>
    <row r="395" spans="1:30" ht="15.75" customHeight="1">
      <c r="A395" s="5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5"/>
      <c r="T395" s="5"/>
      <c r="U395" s="5"/>
      <c r="V395" s="5"/>
      <c r="W395" s="6"/>
      <c r="X395" s="7"/>
      <c r="Y395" s="7"/>
      <c r="Z395" s="5"/>
      <c r="AA395" s="5"/>
      <c r="AB395" s="5"/>
      <c r="AC395" s="5"/>
      <c r="AD395" s="5"/>
    </row>
    <row r="396" spans="1:30" ht="15.75" customHeight="1">
      <c r="A396" s="5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5"/>
      <c r="T396" s="5"/>
      <c r="U396" s="5"/>
      <c r="V396" s="5"/>
      <c r="W396" s="6"/>
      <c r="X396" s="7"/>
      <c r="Y396" s="7"/>
      <c r="Z396" s="5"/>
      <c r="AA396" s="5"/>
      <c r="AB396" s="5"/>
      <c r="AC396" s="5"/>
      <c r="AD396" s="5"/>
    </row>
    <row r="397" spans="1:30" ht="15.75" customHeight="1">
      <c r="A397" s="5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5"/>
      <c r="T397" s="5"/>
      <c r="U397" s="5"/>
      <c r="V397" s="5"/>
      <c r="W397" s="6"/>
      <c r="X397" s="7"/>
      <c r="Y397" s="7"/>
      <c r="Z397" s="5"/>
      <c r="AA397" s="5"/>
      <c r="AB397" s="5"/>
      <c r="AC397" s="5"/>
      <c r="AD397" s="5"/>
    </row>
    <row r="398" spans="1:30" ht="15.75" customHeight="1">
      <c r="A398" s="5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5"/>
      <c r="T398" s="5"/>
      <c r="U398" s="5"/>
      <c r="V398" s="5"/>
      <c r="W398" s="6"/>
      <c r="X398" s="7"/>
      <c r="Y398" s="7"/>
      <c r="Z398" s="5"/>
      <c r="AA398" s="5"/>
      <c r="AB398" s="5"/>
      <c r="AC398" s="5"/>
      <c r="AD398" s="5"/>
    </row>
    <row r="399" spans="1:30" ht="15.75" customHeight="1">
      <c r="A399" s="5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5"/>
      <c r="T399" s="5"/>
      <c r="U399" s="5"/>
      <c r="V399" s="5"/>
      <c r="W399" s="6"/>
      <c r="X399" s="7"/>
      <c r="Y399" s="7"/>
      <c r="Z399" s="5"/>
      <c r="AA399" s="5"/>
      <c r="AB399" s="5"/>
      <c r="AC399" s="5"/>
      <c r="AD399" s="5"/>
    </row>
    <row r="400" spans="1:30" ht="15.75" customHeight="1">
      <c r="A400" s="5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5"/>
      <c r="T400" s="5"/>
      <c r="U400" s="5"/>
      <c r="V400" s="5"/>
      <c r="W400" s="6"/>
      <c r="X400" s="7"/>
      <c r="Y400" s="7"/>
      <c r="Z400" s="5"/>
      <c r="AA400" s="5"/>
      <c r="AB400" s="5"/>
      <c r="AC400" s="5"/>
      <c r="AD400" s="5"/>
    </row>
    <row r="401" spans="1:30" ht="15.75" customHeight="1">
      <c r="A401" s="5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5"/>
      <c r="T401" s="5"/>
      <c r="U401" s="5"/>
      <c r="V401" s="5"/>
      <c r="W401" s="6"/>
      <c r="X401" s="7"/>
      <c r="Y401" s="7"/>
      <c r="Z401" s="5"/>
      <c r="AA401" s="5"/>
      <c r="AB401" s="5"/>
      <c r="AC401" s="5"/>
      <c r="AD401" s="5"/>
    </row>
    <row r="402" spans="1:30" ht="15.75" customHeight="1">
      <c r="A402" s="5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5"/>
      <c r="T402" s="5"/>
      <c r="U402" s="5"/>
      <c r="V402" s="5"/>
      <c r="W402" s="6"/>
      <c r="X402" s="7"/>
      <c r="Y402" s="7"/>
      <c r="Z402" s="5"/>
      <c r="AA402" s="5"/>
      <c r="AB402" s="5"/>
      <c r="AC402" s="5"/>
      <c r="AD402" s="5"/>
    </row>
    <row r="403" spans="1:30" ht="15.75" customHeight="1">
      <c r="A403" s="5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5"/>
      <c r="T403" s="5"/>
      <c r="U403" s="5"/>
      <c r="V403" s="5"/>
      <c r="W403" s="6"/>
      <c r="X403" s="7"/>
      <c r="Y403" s="7"/>
      <c r="Z403" s="5"/>
      <c r="AA403" s="5"/>
      <c r="AB403" s="5"/>
      <c r="AC403" s="5"/>
      <c r="AD403" s="5"/>
    </row>
    <row r="404" spans="1:30" ht="15.75" customHeight="1">
      <c r="A404" s="5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5"/>
      <c r="T404" s="5"/>
      <c r="U404" s="5"/>
      <c r="V404" s="5"/>
      <c r="W404" s="6"/>
      <c r="X404" s="7"/>
      <c r="Y404" s="7"/>
      <c r="Z404" s="5"/>
      <c r="AA404" s="5"/>
      <c r="AB404" s="5"/>
      <c r="AC404" s="5"/>
      <c r="AD404" s="5"/>
    </row>
    <row r="405" spans="1:30" ht="15.75" customHeight="1">
      <c r="A405" s="5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5"/>
      <c r="T405" s="5"/>
      <c r="U405" s="5"/>
      <c r="V405" s="5"/>
      <c r="W405" s="6"/>
      <c r="X405" s="7"/>
      <c r="Y405" s="7"/>
      <c r="Z405" s="5"/>
      <c r="AA405" s="5"/>
      <c r="AB405" s="5"/>
      <c r="AC405" s="5"/>
      <c r="AD405" s="5"/>
    </row>
    <row r="406" spans="1:30" ht="15.75" customHeight="1">
      <c r="A406" s="5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5"/>
      <c r="T406" s="5"/>
      <c r="U406" s="5"/>
      <c r="V406" s="5"/>
      <c r="W406" s="6"/>
      <c r="X406" s="7"/>
      <c r="Y406" s="7"/>
      <c r="Z406" s="5"/>
      <c r="AA406" s="5"/>
      <c r="AB406" s="5"/>
      <c r="AC406" s="5"/>
      <c r="AD406" s="5"/>
    </row>
    <row r="407" spans="1:30" ht="15.75" customHeight="1">
      <c r="A407" s="5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5"/>
      <c r="T407" s="5"/>
      <c r="U407" s="5"/>
      <c r="V407" s="5"/>
      <c r="W407" s="6"/>
      <c r="X407" s="7"/>
      <c r="Y407" s="7"/>
      <c r="Z407" s="5"/>
      <c r="AA407" s="5"/>
      <c r="AB407" s="5"/>
      <c r="AC407" s="5"/>
      <c r="AD407" s="5"/>
    </row>
    <row r="408" spans="1:30" ht="15.75" customHeight="1">
      <c r="A408" s="5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5"/>
      <c r="T408" s="5"/>
      <c r="U408" s="5"/>
      <c r="V408" s="5"/>
      <c r="W408" s="6"/>
      <c r="X408" s="7"/>
      <c r="Y408" s="7"/>
      <c r="Z408" s="5"/>
      <c r="AA408" s="5"/>
      <c r="AB408" s="5"/>
      <c r="AC408" s="5"/>
      <c r="AD408" s="5"/>
    </row>
    <row r="409" spans="1:30" ht="15.75" customHeight="1">
      <c r="A409" s="5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5"/>
      <c r="T409" s="5"/>
      <c r="U409" s="5"/>
      <c r="V409" s="5"/>
      <c r="W409" s="6"/>
      <c r="X409" s="7"/>
      <c r="Y409" s="7"/>
      <c r="Z409" s="5"/>
      <c r="AA409" s="5"/>
      <c r="AB409" s="5"/>
      <c r="AC409" s="5"/>
      <c r="AD409" s="5"/>
    </row>
    <row r="410" spans="1:30" ht="15.75" customHeight="1">
      <c r="A410" s="5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5"/>
      <c r="T410" s="5"/>
      <c r="U410" s="5"/>
      <c r="V410" s="5"/>
      <c r="W410" s="6"/>
      <c r="X410" s="7"/>
      <c r="Y410" s="7"/>
      <c r="Z410" s="5"/>
      <c r="AA410" s="5"/>
      <c r="AB410" s="5"/>
      <c r="AC410" s="5"/>
      <c r="AD410" s="5"/>
    </row>
    <row r="411" spans="1:30" ht="15.75" customHeight="1">
      <c r="A411" s="5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5"/>
      <c r="T411" s="5"/>
      <c r="U411" s="5"/>
      <c r="V411" s="5"/>
      <c r="W411" s="6"/>
      <c r="X411" s="7"/>
      <c r="Y411" s="7"/>
      <c r="Z411" s="5"/>
      <c r="AA411" s="5"/>
      <c r="AB411" s="5"/>
      <c r="AC411" s="5"/>
      <c r="AD411" s="5"/>
    </row>
    <row r="412" spans="1:30" ht="15.75" customHeight="1">
      <c r="A412" s="5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5"/>
      <c r="T412" s="5"/>
      <c r="U412" s="5"/>
      <c r="V412" s="5"/>
      <c r="W412" s="6"/>
      <c r="X412" s="7"/>
      <c r="Y412" s="7"/>
      <c r="Z412" s="5"/>
      <c r="AA412" s="5"/>
      <c r="AB412" s="5"/>
      <c r="AC412" s="5"/>
      <c r="AD412" s="5"/>
    </row>
    <row r="413" spans="1:30" ht="15.75" customHeight="1">
      <c r="A413" s="5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5"/>
      <c r="T413" s="5"/>
      <c r="U413" s="5"/>
      <c r="V413" s="5"/>
      <c r="W413" s="6"/>
      <c r="X413" s="7"/>
      <c r="Y413" s="7"/>
      <c r="Z413" s="5"/>
      <c r="AA413" s="5"/>
      <c r="AB413" s="5"/>
      <c r="AC413" s="5"/>
      <c r="AD413" s="5"/>
    </row>
    <row r="414" spans="1:30" ht="15.75" customHeight="1">
      <c r="A414" s="5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5"/>
      <c r="T414" s="5"/>
      <c r="U414" s="5"/>
      <c r="V414" s="5"/>
      <c r="W414" s="6"/>
      <c r="X414" s="7"/>
      <c r="Y414" s="7"/>
      <c r="Z414" s="5"/>
      <c r="AA414" s="5"/>
      <c r="AB414" s="5"/>
      <c r="AC414" s="5"/>
      <c r="AD414" s="5"/>
    </row>
    <row r="415" spans="1:30" ht="15.75" customHeight="1">
      <c r="A415" s="5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5"/>
      <c r="T415" s="5"/>
      <c r="U415" s="5"/>
      <c r="V415" s="5"/>
      <c r="W415" s="6"/>
      <c r="X415" s="7"/>
      <c r="Y415" s="7"/>
      <c r="Z415" s="5"/>
      <c r="AA415" s="5"/>
      <c r="AB415" s="5"/>
      <c r="AC415" s="5"/>
      <c r="AD415" s="5"/>
    </row>
    <row r="416" spans="1:30" ht="15.75" customHeight="1">
      <c r="A416" s="5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5"/>
      <c r="T416" s="5"/>
      <c r="U416" s="5"/>
      <c r="V416" s="5"/>
      <c r="W416" s="6"/>
      <c r="X416" s="7"/>
      <c r="Y416" s="7"/>
      <c r="Z416" s="5"/>
      <c r="AA416" s="5"/>
      <c r="AB416" s="5"/>
      <c r="AC416" s="5"/>
      <c r="AD416" s="5"/>
    </row>
    <row r="417" spans="1:30" ht="15.75" customHeight="1">
      <c r="A417" s="5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5"/>
      <c r="T417" s="5"/>
      <c r="U417" s="5"/>
      <c r="V417" s="5"/>
      <c r="W417" s="6"/>
      <c r="X417" s="7"/>
      <c r="Y417" s="7"/>
      <c r="Z417" s="5"/>
      <c r="AA417" s="5"/>
      <c r="AB417" s="5"/>
      <c r="AC417" s="5"/>
      <c r="AD417" s="5"/>
    </row>
    <row r="418" spans="1:30" ht="15.75" customHeight="1">
      <c r="A418" s="5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5"/>
      <c r="T418" s="5"/>
      <c r="U418" s="5"/>
      <c r="V418" s="5"/>
      <c r="W418" s="6"/>
      <c r="X418" s="7"/>
      <c r="Y418" s="7"/>
      <c r="Z418" s="5"/>
      <c r="AA418" s="5"/>
      <c r="AB418" s="5"/>
      <c r="AC418" s="5"/>
      <c r="AD418" s="5"/>
    </row>
    <row r="419" spans="1:30" ht="15.75" customHeight="1">
      <c r="A419" s="5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5"/>
      <c r="T419" s="5"/>
      <c r="U419" s="5"/>
      <c r="V419" s="5"/>
      <c r="W419" s="6"/>
      <c r="X419" s="7"/>
      <c r="Y419" s="7"/>
      <c r="Z419" s="5"/>
      <c r="AA419" s="5"/>
      <c r="AB419" s="5"/>
      <c r="AC419" s="5"/>
      <c r="AD419" s="5"/>
    </row>
    <row r="420" spans="1:30" ht="15.75" customHeight="1">
      <c r="A420" s="5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5"/>
      <c r="T420" s="5"/>
      <c r="U420" s="5"/>
      <c r="V420" s="5"/>
      <c r="W420" s="6"/>
      <c r="X420" s="7"/>
      <c r="Y420" s="7"/>
      <c r="Z420" s="5"/>
      <c r="AA420" s="5"/>
      <c r="AB420" s="5"/>
      <c r="AC420" s="5"/>
      <c r="AD420" s="5"/>
    </row>
    <row r="421" spans="1:30" ht="15.75" customHeight="1">
      <c r="A421" s="5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5"/>
      <c r="T421" s="5"/>
      <c r="U421" s="5"/>
      <c r="V421" s="5"/>
      <c r="W421" s="6"/>
      <c r="X421" s="7"/>
      <c r="Y421" s="7"/>
      <c r="Z421" s="5"/>
      <c r="AA421" s="5"/>
      <c r="AB421" s="5"/>
      <c r="AC421" s="5"/>
      <c r="AD421" s="5"/>
    </row>
    <row r="422" spans="1:30" ht="15.75" customHeight="1">
      <c r="A422" s="5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5"/>
      <c r="T422" s="5"/>
      <c r="U422" s="5"/>
      <c r="V422" s="5"/>
      <c r="W422" s="6"/>
      <c r="X422" s="7"/>
      <c r="Y422" s="7"/>
      <c r="Z422" s="5"/>
      <c r="AA422" s="5"/>
      <c r="AB422" s="5"/>
      <c r="AC422" s="5"/>
      <c r="AD422" s="5"/>
    </row>
    <row r="423" spans="1:30" ht="15.75" customHeight="1">
      <c r="A423" s="5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5"/>
      <c r="T423" s="5"/>
      <c r="U423" s="5"/>
      <c r="V423" s="5"/>
      <c r="W423" s="6"/>
      <c r="X423" s="7"/>
      <c r="Y423" s="7"/>
      <c r="Z423" s="5"/>
      <c r="AA423" s="5"/>
      <c r="AB423" s="5"/>
      <c r="AC423" s="5"/>
      <c r="AD423" s="5"/>
    </row>
    <row r="424" spans="1:30" ht="15.75" customHeight="1">
      <c r="A424" s="5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5"/>
      <c r="T424" s="5"/>
      <c r="U424" s="5"/>
      <c r="V424" s="5"/>
      <c r="W424" s="6"/>
      <c r="X424" s="7"/>
      <c r="Y424" s="7"/>
      <c r="Z424" s="5"/>
      <c r="AA424" s="5"/>
      <c r="AB424" s="5"/>
      <c r="AC424" s="5"/>
      <c r="AD424" s="5"/>
    </row>
    <row r="425" spans="1:30" ht="15.75" customHeight="1">
      <c r="A425" s="5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5"/>
      <c r="T425" s="5"/>
      <c r="U425" s="5"/>
      <c r="V425" s="5"/>
      <c r="W425" s="6"/>
      <c r="X425" s="7"/>
      <c r="Y425" s="7"/>
      <c r="Z425" s="5"/>
      <c r="AA425" s="5"/>
      <c r="AB425" s="5"/>
      <c r="AC425" s="5"/>
      <c r="AD425" s="5"/>
    </row>
    <row r="426" spans="1:30" ht="15.75" customHeight="1">
      <c r="A426" s="5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5"/>
      <c r="T426" s="5"/>
      <c r="U426" s="5"/>
      <c r="V426" s="5"/>
      <c r="W426" s="6"/>
      <c r="X426" s="7"/>
      <c r="Y426" s="7"/>
      <c r="Z426" s="5"/>
      <c r="AA426" s="5"/>
      <c r="AB426" s="5"/>
      <c r="AC426" s="5"/>
      <c r="AD426" s="5"/>
    </row>
    <row r="427" spans="1:30" ht="15.75" customHeight="1">
      <c r="A427" s="5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5"/>
      <c r="T427" s="5"/>
      <c r="U427" s="5"/>
      <c r="V427" s="5"/>
      <c r="W427" s="6"/>
      <c r="X427" s="7"/>
      <c r="Y427" s="7"/>
      <c r="Z427" s="5"/>
      <c r="AA427" s="5"/>
      <c r="AB427" s="5"/>
      <c r="AC427" s="5"/>
      <c r="AD427" s="5"/>
    </row>
    <row r="428" spans="1:30" ht="15.75" customHeight="1">
      <c r="A428" s="5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5"/>
      <c r="T428" s="5"/>
      <c r="U428" s="5"/>
      <c r="V428" s="5"/>
      <c r="W428" s="6"/>
      <c r="X428" s="7"/>
      <c r="Y428" s="7"/>
      <c r="Z428" s="5"/>
      <c r="AA428" s="5"/>
      <c r="AB428" s="5"/>
      <c r="AC428" s="5"/>
      <c r="AD428" s="5"/>
    </row>
    <row r="429" spans="1:30" ht="15.75" customHeight="1">
      <c r="A429" s="5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5"/>
      <c r="T429" s="5"/>
      <c r="U429" s="5"/>
      <c r="V429" s="5"/>
      <c r="W429" s="6"/>
      <c r="X429" s="7"/>
      <c r="Y429" s="7"/>
      <c r="Z429" s="5"/>
      <c r="AA429" s="5"/>
      <c r="AB429" s="5"/>
      <c r="AC429" s="5"/>
      <c r="AD429" s="5"/>
    </row>
    <row r="430" spans="1:30" ht="15.75" customHeight="1">
      <c r="A430" s="5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5"/>
      <c r="T430" s="5"/>
      <c r="U430" s="5"/>
      <c r="V430" s="5"/>
      <c r="W430" s="6"/>
      <c r="X430" s="7"/>
      <c r="Y430" s="7"/>
      <c r="Z430" s="5"/>
      <c r="AA430" s="5"/>
      <c r="AB430" s="5"/>
      <c r="AC430" s="5"/>
      <c r="AD430" s="5"/>
    </row>
    <row r="431" spans="1:30" ht="15.75" customHeight="1">
      <c r="A431" s="5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5"/>
      <c r="T431" s="5"/>
      <c r="U431" s="5"/>
      <c r="V431" s="5"/>
      <c r="W431" s="6"/>
      <c r="X431" s="7"/>
      <c r="Y431" s="7"/>
      <c r="Z431" s="5"/>
      <c r="AA431" s="5"/>
      <c r="AB431" s="5"/>
      <c r="AC431" s="5"/>
      <c r="AD431" s="5"/>
    </row>
    <row r="432" spans="1:30" ht="15.75" customHeight="1">
      <c r="A432" s="5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5"/>
      <c r="T432" s="5"/>
      <c r="U432" s="5"/>
      <c r="V432" s="5"/>
      <c r="W432" s="6"/>
      <c r="X432" s="7"/>
      <c r="Y432" s="7"/>
      <c r="Z432" s="5"/>
      <c r="AA432" s="5"/>
      <c r="AB432" s="5"/>
      <c r="AC432" s="5"/>
      <c r="AD432" s="5"/>
    </row>
    <row r="433" spans="1:30" ht="15.75" customHeight="1">
      <c r="A433" s="5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5"/>
      <c r="T433" s="5"/>
      <c r="U433" s="5"/>
      <c r="V433" s="5"/>
      <c r="W433" s="6"/>
      <c r="X433" s="7"/>
      <c r="Y433" s="7"/>
      <c r="Z433" s="5"/>
      <c r="AA433" s="5"/>
      <c r="AB433" s="5"/>
      <c r="AC433" s="5"/>
      <c r="AD433" s="5"/>
    </row>
    <row r="434" spans="1:30" ht="15.75" customHeight="1">
      <c r="A434" s="5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5"/>
      <c r="T434" s="5"/>
      <c r="U434" s="5"/>
      <c r="V434" s="5"/>
      <c r="W434" s="6"/>
      <c r="X434" s="7"/>
      <c r="Y434" s="7"/>
      <c r="Z434" s="5"/>
      <c r="AA434" s="5"/>
      <c r="AB434" s="5"/>
      <c r="AC434" s="5"/>
      <c r="AD434" s="5"/>
    </row>
    <row r="435" spans="1:30" ht="15.75" customHeight="1">
      <c r="A435" s="5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5"/>
      <c r="T435" s="5"/>
      <c r="U435" s="5"/>
      <c r="V435" s="5"/>
      <c r="W435" s="6"/>
      <c r="X435" s="7"/>
      <c r="Y435" s="7"/>
      <c r="Z435" s="5"/>
      <c r="AA435" s="5"/>
      <c r="AB435" s="5"/>
      <c r="AC435" s="5"/>
      <c r="AD435" s="5"/>
    </row>
    <row r="436" spans="1:30" ht="15.75" customHeight="1">
      <c r="A436" s="5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5"/>
      <c r="T436" s="5"/>
      <c r="U436" s="5"/>
      <c r="V436" s="5"/>
      <c r="W436" s="6"/>
      <c r="X436" s="7"/>
      <c r="Y436" s="7"/>
      <c r="Z436" s="5"/>
      <c r="AA436" s="5"/>
      <c r="AB436" s="5"/>
      <c r="AC436" s="5"/>
      <c r="AD436" s="5"/>
    </row>
    <row r="437" spans="1:30" ht="15.75" customHeight="1">
      <c r="A437" s="5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5"/>
      <c r="T437" s="5"/>
      <c r="U437" s="5"/>
      <c r="V437" s="5"/>
      <c r="W437" s="6"/>
      <c r="X437" s="7"/>
      <c r="Y437" s="7"/>
      <c r="Z437" s="5"/>
      <c r="AA437" s="5"/>
      <c r="AB437" s="5"/>
      <c r="AC437" s="5"/>
      <c r="AD437" s="5"/>
    </row>
    <row r="438" spans="1:30" ht="15.75" customHeight="1">
      <c r="A438" s="5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5"/>
      <c r="T438" s="5"/>
      <c r="U438" s="5"/>
      <c r="V438" s="5"/>
      <c r="W438" s="6"/>
      <c r="X438" s="7"/>
      <c r="Y438" s="7"/>
      <c r="Z438" s="5"/>
      <c r="AA438" s="5"/>
      <c r="AB438" s="5"/>
      <c r="AC438" s="5"/>
      <c r="AD438" s="5"/>
    </row>
    <row r="439" spans="1:30" ht="15.75" customHeight="1">
      <c r="A439" s="5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5"/>
      <c r="T439" s="5"/>
      <c r="U439" s="5"/>
      <c r="V439" s="5"/>
      <c r="W439" s="6"/>
      <c r="X439" s="7"/>
      <c r="Y439" s="7"/>
      <c r="Z439" s="5"/>
      <c r="AA439" s="5"/>
      <c r="AB439" s="5"/>
      <c r="AC439" s="5"/>
      <c r="AD439" s="5"/>
    </row>
    <row r="440" spans="1:30" ht="15.75" customHeight="1">
      <c r="A440" s="5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5"/>
      <c r="T440" s="5"/>
      <c r="U440" s="5"/>
      <c r="V440" s="5"/>
      <c r="W440" s="6"/>
      <c r="X440" s="7"/>
      <c r="Y440" s="7"/>
      <c r="Z440" s="5"/>
      <c r="AA440" s="5"/>
      <c r="AB440" s="5"/>
      <c r="AC440" s="5"/>
      <c r="AD440" s="5"/>
    </row>
    <row r="441" spans="1:30" ht="15.75" customHeight="1">
      <c r="A441" s="5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5"/>
      <c r="T441" s="5"/>
      <c r="U441" s="5"/>
      <c r="V441" s="5"/>
      <c r="W441" s="6"/>
      <c r="X441" s="7"/>
      <c r="Y441" s="7"/>
      <c r="Z441" s="5"/>
      <c r="AA441" s="5"/>
      <c r="AB441" s="5"/>
      <c r="AC441" s="5"/>
      <c r="AD441" s="5"/>
    </row>
    <row r="442" spans="1:30" ht="15.75" customHeight="1">
      <c r="A442" s="5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5"/>
      <c r="T442" s="5"/>
      <c r="U442" s="5"/>
      <c r="V442" s="5"/>
      <c r="W442" s="6"/>
      <c r="X442" s="7"/>
      <c r="Y442" s="7"/>
      <c r="Z442" s="5"/>
      <c r="AA442" s="5"/>
      <c r="AB442" s="5"/>
      <c r="AC442" s="5"/>
      <c r="AD442" s="5"/>
    </row>
    <row r="443" spans="1:30" ht="15.75" customHeight="1">
      <c r="A443" s="5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5"/>
      <c r="T443" s="5"/>
      <c r="U443" s="5"/>
      <c r="V443" s="5"/>
      <c r="W443" s="6"/>
      <c r="X443" s="7"/>
      <c r="Y443" s="7"/>
      <c r="Z443" s="5"/>
      <c r="AA443" s="5"/>
      <c r="AB443" s="5"/>
      <c r="AC443" s="5"/>
      <c r="AD443" s="5"/>
    </row>
    <row r="444" spans="1:30" ht="15.75" customHeight="1">
      <c r="A444" s="5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5"/>
      <c r="T444" s="5"/>
      <c r="U444" s="5"/>
      <c r="V444" s="5"/>
      <c r="W444" s="6"/>
      <c r="X444" s="7"/>
      <c r="Y444" s="7"/>
      <c r="Z444" s="5"/>
      <c r="AA444" s="5"/>
      <c r="AB444" s="5"/>
      <c r="AC444" s="5"/>
      <c r="AD444" s="5"/>
    </row>
    <row r="445" spans="1:30" ht="15.75" customHeight="1">
      <c r="A445" s="5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5"/>
      <c r="T445" s="5"/>
      <c r="U445" s="5"/>
      <c r="V445" s="5"/>
      <c r="W445" s="6"/>
      <c r="X445" s="7"/>
      <c r="Y445" s="7"/>
      <c r="Z445" s="5"/>
      <c r="AA445" s="5"/>
      <c r="AB445" s="5"/>
      <c r="AC445" s="5"/>
      <c r="AD445" s="5"/>
    </row>
    <row r="446" spans="1:30" ht="15.75" customHeight="1">
      <c r="A446" s="5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5"/>
      <c r="T446" s="5"/>
      <c r="U446" s="5"/>
      <c r="V446" s="5"/>
      <c r="W446" s="6"/>
      <c r="X446" s="7"/>
      <c r="Y446" s="7"/>
      <c r="Z446" s="5"/>
      <c r="AA446" s="5"/>
      <c r="AB446" s="5"/>
      <c r="AC446" s="5"/>
      <c r="AD446" s="5"/>
    </row>
    <row r="447" spans="1:30" ht="15.75" customHeight="1">
      <c r="A447" s="5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5"/>
      <c r="T447" s="5"/>
      <c r="U447" s="5"/>
      <c r="V447" s="5"/>
      <c r="W447" s="6"/>
      <c r="X447" s="7"/>
      <c r="Y447" s="7"/>
      <c r="Z447" s="5"/>
      <c r="AA447" s="5"/>
      <c r="AB447" s="5"/>
      <c r="AC447" s="5"/>
      <c r="AD447" s="5"/>
    </row>
    <row r="448" spans="1:30" ht="15.75" customHeight="1">
      <c r="A448" s="5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5"/>
      <c r="T448" s="5"/>
      <c r="U448" s="5"/>
      <c r="V448" s="5"/>
      <c r="W448" s="6"/>
      <c r="X448" s="7"/>
      <c r="Y448" s="7"/>
      <c r="Z448" s="5"/>
      <c r="AA448" s="5"/>
      <c r="AB448" s="5"/>
      <c r="AC448" s="5"/>
      <c r="AD448" s="5"/>
    </row>
    <row r="449" spans="1:30" ht="15.75" customHeight="1">
      <c r="A449" s="5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5"/>
      <c r="T449" s="5"/>
      <c r="U449" s="5"/>
      <c r="V449" s="5"/>
      <c r="W449" s="6"/>
      <c r="X449" s="7"/>
      <c r="Y449" s="7"/>
      <c r="Z449" s="5"/>
      <c r="AA449" s="5"/>
      <c r="AB449" s="5"/>
      <c r="AC449" s="5"/>
      <c r="AD449" s="5"/>
    </row>
    <row r="450" spans="1:30" ht="15.75" customHeight="1">
      <c r="A450" s="5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5"/>
      <c r="T450" s="5"/>
      <c r="U450" s="5"/>
      <c r="V450" s="5"/>
      <c r="W450" s="6"/>
      <c r="X450" s="7"/>
      <c r="Y450" s="7"/>
      <c r="Z450" s="5"/>
      <c r="AA450" s="5"/>
      <c r="AB450" s="5"/>
      <c r="AC450" s="5"/>
      <c r="AD450" s="5"/>
    </row>
    <row r="451" spans="1:30" ht="15.75" customHeight="1">
      <c r="A451" s="5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5"/>
      <c r="T451" s="5"/>
      <c r="U451" s="5"/>
      <c r="V451" s="5"/>
      <c r="W451" s="6"/>
      <c r="X451" s="7"/>
      <c r="Y451" s="7"/>
      <c r="Z451" s="5"/>
      <c r="AA451" s="5"/>
      <c r="AB451" s="5"/>
      <c r="AC451" s="5"/>
      <c r="AD451" s="5"/>
    </row>
    <row r="452" spans="1:30" ht="15.75" customHeight="1">
      <c r="A452" s="5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5"/>
      <c r="T452" s="5"/>
      <c r="U452" s="5"/>
      <c r="V452" s="5"/>
      <c r="W452" s="6"/>
      <c r="X452" s="7"/>
      <c r="Y452" s="7"/>
      <c r="Z452" s="5"/>
      <c r="AA452" s="5"/>
      <c r="AB452" s="5"/>
      <c r="AC452" s="5"/>
      <c r="AD452" s="5"/>
    </row>
    <row r="453" spans="1:30" ht="15.75" customHeight="1">
      <c r="A453" s="5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5"/>
      <c r="T453" s="5"/>
      <c r="U453" s="5"/>
      <c r="V453" s="5"/>
      <c r="W453" s="6"/>
      <c r="X453" s="7"/>
      <c r="Y453" s="7"/>
      <c r="Z453" s="5"/>
      <c r="AA453" s="5"/>
      <c r="AB453" s="5"/>
      <c r="AC453" s="5"/>
      <c r="AD453" s="5"/>
    </row>
    <row r="454" spans="1:30" ht="15.75" customHeight="1">
      <c r="A454" s="5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5"/>
      <c r="T454" s="5"/>
      <c r="U454" s="5"/>
      <c r="V454" s="5"/>
      <c r="W454" s="6"/>
      <c r="X454" s="7"/>
      <c r="Y454" s="7"/>
      <c r="Z454" s="5"/>
      <c r="AA454" s="5"/>
      <c r="AB454" s="5"/>
      <c r="AC454" s="5"/>
      <c r="AD454" s="5"/>
    </row>
    <row r="455" spans="1:30" ht="15.75" customHeight="1">
      <c r="A455" s="5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5"/>
      <c r="T455" s="5"/>
      <c r="U455" s="5"/>
      <c r="V455" s="5"/>
      <c r="W455" s="6"/>
      <c r="X455" s="7"/>
      <c r="Y455" s="7"/>
      <c r="Z455" s="5"/>
      <c r="AA455" s="5"/>
      <c r="AB455" s="5"/>
      <c r="AC455" s="5"/>
      <c r="AD455" s="5"/>
    </row>
    <row r="456" spans="1:30" ht="15.75" customHeight="1">
      <c r="A456" s="5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5"/>
      <c r="T456" s="5"/>
      <c r="U456" s="5"/>
      <c r="V456" s="5"/>
      <c r="W456" s="6"/>
      <c r="X456" s="7"/>
      <c r="Y456" s="7"/>
      <c r="Z456" s="5"/>
      <c r="AA456" s="5"/>
      <c r="AB456" s="5"/>
      <c r="AC456" s="5"/>
      <c r="AD456" s="5"/>
    </row>
    <row r="457" spans="1:30" ht="15.75" customHeight="1">
      <c r="A457" s="5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5"/>
      <c r="T457" s="5"/>
      <c r="U457" s="5"/>
      <c r="V457" s="5"/>
      <c r="W457" s="6"/>
      <c r="X457" s="7"/>
      <c r="Y457" s="7"/>
      <c r="Z457" s="5"/>
      <c r="AA457" s="5"/>
      <c r="AB457" s="5"/>
      <c r="AC457" s="5"/>
      <c r="AD457" s="5"/>
    </row>
    <row r="458" spans="1:30" ht="15.75" customHeight="1">
      <c r="A458" s="5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5"/>
      <c r="T458" s="5"/>
      <c r="U458" s="5"/>
      <c r="V458" s="5"/>
      <c r="W458" s="6"/>
      <c r="X458" s="7"/>
      <c r="Y458" s="7"/>
      <c r="Z458" s="5"/>
      <c r="AA458" s="5"/>
      <c r="AB458" s="5"/>
      <c r="AC458" s="5"/>
      <c r="AD458" s="5"/>
    </row>
    <row r="459" spans="1:30" ht="15.75" customHeight="1">
      <c r="A459" s="5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5"/>
      <c r="T459" s="5"/>
      <c r="U459" s="5"/>
      <c r="V459" s="5"/>
      <c r="W459" s="6"/>
      <c r="X459" s="7"/>
      <c r="Y459" s="7"/>
      <c r="Z459" s="5"/>
      <c r="AA459" s="5"/>
      <c r="AB459" s="5"/>
      <c r="AC459" s="5"/>
      <c r="AD459" s="5"/>
    </row>
    <row r="460" spans="1:30" ht="15.75" customHeight="1">
      <c r="A460" s="5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5"/>
      <c r="T460" s="5"/>
      <c r="U460" s="5"/>
      <c r="V460" s="5"/>
      <c r="W460" s="6"/>
      <c r="X460" s="7"/>
      <c r="Y460" s="7"/>
      <c r="Z460" s="5"/>
      <c r="AA460" s="5"/>
      <c r="AB460" s="5"/>
      <c r="AC460" s="5"/>
      <c r="AD460" s="5"/>
    </row>
    <row r="461" spans="1:30" ht="15.75" customHeight="1">
      <c r="A461" s="5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5"/>
      <c r="T461" s="5"/>
      <c r="U461" s="5"/>
      <c r="V461" s="5"/>
      <c r="W461" s="6"/>
      <c r="X461" s="7"/>
      <c r="Y461" s="7"/>
      <c r="Z461" s="5"/>
      <c r="AA461" s="5"/>
      <c r="AB461" s="5"/>
      <c r="AC461" s="5"/>
      <c r="AD461" s="5"/>
    </row>
    <row r="462" spans="1:30" ht="15.75" customHeight="1">
      <c r="A462" s="5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5"/>
      <c r="T462" s="5"/>
      <c r="U462" s="5"/>
      <c r="V462" s="5"/>
      <c r="W462" s="6"/>
      <c r="X462" s="7"/>
      <c r="Y462" s="7"/>
      <c r="Z462" s="5"/>
      <c r="AA462" s="5"/>
      <c r="AB462" s="5"/>
      <c r="AC462" s="5"/>
      <c r="AD462" s="5"/>
    </row>
    <row r="463" spans="1:30" ht="15.75" customHeight="1">
      <c r="A463" s="5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5"/>
      <c r="T463" s="5"/>
      <c r="U463" s="5"/>
      <c r="V463" s="5"/>
      <c r="W463" s="6"/>
      <c r="X463" s="7"/>
      <c r="Y463" s="7"/>
      <c r="Z463" s="5"/>
      <c r="AA463" s="5"/>
      <c r="AB463" s="5"/>
      <c r="AC463" s="5"/>
      <c r="AD463" s="5"/>
    </row>
    <row r="464" spans="1:30" ht="15.75" customHeight="1">
      <c r="A464" s="5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5"/>
      <c r="T464" s="5"/>
      <c r="U464" s="5"/>
      <c r="V464" s="5"/>
      <c r="W464" s="6"/>
      <c r="X464" s="7"/>
      <c r="Y464" s="7"/>
      <c r="Z464" s="5"/>
      <c r="AA464" s="5"/>
      <c r="AB464" s="5"/>
      <c r="AC464" s="5"/>
      <c r="AD464" s="5"/>
    </row>
    <row r="465" spans="1:30" ht="15.75" customHeight="1">
      <c r="A465" s="5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5"/>
      <c r="T465" s="5"/>
      <c r="U465" s="5"/>
      <c r="V465" s="5"/>
      <c r="W465" s="6"/>
      <c r="X465" s="7"/>
      <c r="Y465" s="7"/>
      <c r="Z465" s="5"/>
      <c r="AA465" s="5"/>
      <c r="AB465" s="5"/>
      <c r="AC465" s="5"/>
      <c r="AD465" s="5"/>
    </row>
    <row r="466" spans="1:30" ht="15.75" customHeight="1">
      <c r="A466" s="5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5"/>
      <c r="T466" s="5"/>
      <c r="U466" s="5"/>
      <c r="V466" s="5"/>
      <c r="W466" s="6"/>
      <c r="X466" s="7"/>
      <c r="Y466" s="7"/>
      <c r="Z466" s="5"/>
      <c r="AA466" s="5"/>
      <c r="AB466" s="5"/>
      <c r="AC466" s="5"/>
      <c r="AD466" s="5"/>
    </row>
    <row r="467" spans="1:30" ht="15.75" customHeight="1">
      <c r="A467" s="5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5"/>
      <c r="T467" s="5"/>
      <c r="U467" s="5"/>
      <c r="V467" s="5"/>
      <c r="W467" s="6"/>
      <c r="X467" s="7"/>
      <c r="Y467" s="7"/>
      <c r="Z467" s="5"/>
      <c r="AA467" s="5"/>
      <c r="AB467" s="5"/>
      <c r="AC467" s="5"/>
      <c r="AD467" s="5"/>
    </row>
    <row r="468" spans="1:30" ht="15.75" customHeight="1">
      <c r="A468" s="5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5"/>
      <c r="T468" s="5"/>
      <c r="U468" s="5"/>
      <c r="V468" s="5"/>
      <c r="W468" s="6"/>
      <c r="X468" s="7"/>
      <c r="Y468" s="7"/>
      <c r="Z468" s="5"/>
      <c r="AA468" s="5"/>
      <c r="AB468" s="5"/>
      <c r="AC468" s="5"/>
      <c r="AD468" s="5"/>
    </row>
    <row r="469" spans="1:30" ht="15.75" customHeight="1">
      <c r="A469" s="5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5"/>
      <c r="T469" s="5"/>
      <c r="U469" s="5"/>
      <c r="V469" s="5"/>
      <c r="W469" s="6"/>
      <c r="X469" s="7"/>
      <c r="Y469" s="7"/>
      <c r="Z469" s="5"/>
      <c r="AA469" s="5"/>
      <c r="AB469" s="5"/>
      <c r="AC469" s="5"/>
      <c r="AD469" s="5"/>
    </row>
    <row r="470" spans="1:30" ht="15.75" customHeight="1">
      <c r="A470" s="5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5"/>
      <c r="T470" s="5"/>
      <c r="U470" s="5"/>
      <c r="V470" s="5"/>
      <c r="W470" s="6"/>
      <c r="X470" s="7"/>
      <c r="Y470" s="7"/>
      <c r="Z470" s="5"/>
      <c r="AA470" s="5"/>
      <c r="AB470" s="5"/>
      <c r="AC470" s="5"/>
      <c r="AD470" s="5"/>
    </row>
    <row r="471" spans="1:30" ht="15.75" customHeight="1">
      <c r="A471" s="5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5"/>
      <c r="T471" s="5"/>
      <c r="U471" s="5"/>
      <c r="V471" s="5"/>
      <c r="W471" s="6"/>
      <c r="X471" s="7"/>
      <c r="Y471" s="7"/>
      <c r="Z471" s="5"/>
      <c r="AA471" s="5"/>
      <c r="AB471" s="5"/>
      <c r="AC471" s="5"/>
      <c r="AD471" s="5"/>
    </row>
    <row r="472" spans="1:30" ht="15.75" customHeight="1">
      <c r="A472" s="5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5"/>
      <c r="T472" s="5"/>
      <c r="U472" s="5"/>
      <c r="V472" s="5"/>
      <c r="W472" s="6"/>
      <c r="X472" s="7"/>
      <c r="Y472" s="7"/>
      <c r="Z472" s="5"/>
      <c r="AA472" s="5"/>
      <c r="AB472" s="5"/>
      <c r="AC472" s="5"/>
      <c r="AD472" s="5"/>
    </row>
    <row r="473" spans="1:30" ht="15.75" customHeight="1">
      <c r="A473" s="5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5"/>
      <c r="T473" s="5"/>
      <c r="U473" s="5"/>
      <c r="V473" s="5"/>
      <c r="W473" s="6"/>
      <c r="X473" s="7"/>
      <c r="Y473" s="7"/>
      <c r="Z473" s="5"/>
      <c r="AA473" s="5"/>
      <c r="AB473" s="5"/>
      <c r="AC473" s="5"/>
      <c r="AD473" s="5"/>
    </row>
    <row r="474" spans="1:30" ht="15.75" customHeight="1">
      <c r="A474" s="5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5"/>
      <c r="T474" s="5"/>
      <c r="U474" s="5"/>
      <c r="V474" s="5"/>
      <c r="W474" s="6"/>
      <c r="X474" s="7"/>
      <c r="Y474" s="7"/>
      <c r="Z474" s="5"/>
      <c r="AA474" s="5"/>
      <c r="AB474" s="5"/>
      <c r="AC474" s="5"/>
      <c r="AD474" s="5"/>
    </row>
    <row r="475" spans="1:30" ht="15.75" customHeight="1">
      <c r="A475" s="5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5"/>
      <c r="T475" s="5"/>
      <c r="U475" s="5"/>
      <c r="V475" s="5"/>
      <c r="W475" s="6"/>
      <c r="X475" s="7"/>
      <c r="Y475" s="7"/>
      <c r="Z475" s="5"/>
      <c r="AA475" s="5"/>
      <c r="AB475" s="5"/>
      <c r="AC475" s="5"/>
      <c r="AD475" s="5"/>
    </row>
    <row r="476" spans="1:30" ht="15.75" customHeight="1">
      <c r="A476" s="5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5"/>
      <c r="T476" s="5"/>
      <c r="U476" s="5"/>
      <c r="V476" s="5"/>
      <c r="W476" s="6"/>
      <c r="X476" s="7"/>
      <c r="Y476" s="7"/>
      <c r="Z476" s="5"/>
      <c r="AA476" s="5"/>
      <c r="AB476" s="5"/>
      <c r="AC476" s="5"/>
      <c r="AD476" s="5"/>
    </row>
    <row r="477" spans="1:30" ht="15.75" customHeight="1">
      <c r="A477" s="5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5"/>
      <c r="T477" s="5"/>
      <c r="U477" s="5"/>
      <c r="V477" s="5"/>
      <c r="W477" s="6"/>
      <c r="X477" s="7"/>
      <c r="Y477" s="7"/>
      <c r="Z477" s="5"/>
      <c r="AA477" s="5"/>
      <c r="AB477" s="5"/>
      <c r="AC477" s="5"/>
      <c r="AD477" s="5"/>
    </row>
    <row r="478" spans="1:30" ht="15.75" customHeight="1">
      <c r="A478" s="5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5"/>
      <c r="T478" s="5"/>
      <c r="U478" s="5"/>
      <c r="V478" s="5"/>
      <c r="W478" s="6"/>
      <c r="X478" s="7"/>
      <c r="Y478" s="7"/>
      <c r="Z478" s="5"/>
      <c r="AA478" s="5"/>
      <c r="AB478" s="5"/>
      <c r="AC478" s="5"/>
      <c r="AD478" s="5"/>
    </row>
    <row r="479" spans="1:30" ht="15.75" customHeight="1">
      <c r="A479" s="5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5"/>
      <c r="T479" s="5"/>
      <c r="U479" s="5"/>
      <c r="V479" s="5"/>
      <c r="W479" s="6"/>
      <c r="X479" s="7"/>
      <c r="Y479" s="7"/>
      <c r="Z479" s="5"/>
      <c r="AA479" s="5"/>
      <c r="AB479" s="5"/>
      <c r="AC479" s="5"/>
      <c r="AD479" s="5"/>
    </row>
    <row r="480" spans="1:30" ht="15.75" customHeight="1">
      <c r="A480" s="5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5"/>
      <c r="T480" s="5"/>
      <c r="U480" s="5"/>
      <c r="V480" s="5"/>
      <c r="W480" s="6"/>
      <c r="X480" s="7"/>
      <c r="Y480" s="7"/>
      <c r="Z480" s="5"/>
      <c r="AA480" s="5"/>
      <c r="AB480" s="5"/>
      <c r="AC480" s="5"/>
      <c r="AD480" s="5"/>
    </row>
    <row r="481" spans="1:30" ht="15.75" customHeight="1">
      <c r="A481" s="5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5"/>
      <c r="T481" s="5"/>
      <c r="U481" s="5"/>
      <c r="V481" s="5"/>
      <c r="W481" s="6"/>
      <c r="X481" s="7"/>
      <c r="Y481" s="7"/>
      <c r="Z481" s="5"/>
      <c r="AA481" s="5"/>
      <c r="AB481" s="5"/>
      <c r="AC481" s="5"/>
      <c r="AD481" s="5"/>
    </row>
    <row r="482" spans="1:30" ht="15.75" customHeight="1">
      <c r="A482" s="5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5"/>
      <c r="T482" s="5"/>
      <c r="U482" s="5"/>
      <c r="V482" s="5"/>
      <c r="W482" s="6"/>
      <c r="X482" s="7"/>
      <c r="Y482" s="7"/>
      <c r="Z482" s="5"/>
      <c r="AA482" s="5"/>
      <c r="AB482" s="5"/>
      <c r="AC482" s="5"/>
      <c r="AD482" s="5"/>
    </row>
    <row r="483" spans="1:30" ht="15.75" customHeight="1">
      <c r="A483" s="5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5"/>
      <c r="T483" s="5"/>
      <c r="U483" s="5"/>
      <c r="V483" s="5"/>
      <c r="W483" s="6"/>
      <c r="X483" s="7"/>
      <c r="Y483" s="7"/>
      <c r="Z483" s="5"/>
      <c r="AA483" s="5"/>
      <c r="AB483" s="5"/>
      <c r="AC483" s="5"/>
      <c r="AD483" s="5"/>
    </row>
    <row r="484" spans="1:30" ht="15.75" customHeight="1">
      <c r="A484" s="5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5"/>
      <c r="T484" s="5"/>
      <c r="U484" s="5"/>
      <c r="V484" s="5"/>
      <c r="W484" s="6"/>
      <c r="X484" s="7"/>
      <c r="Y484" s="7"/>
      <c r="Z484" s="5"/>
      <c r="AA484" s="5"/>
      <c r="AB484" s="5"/>
      <c r="AC484" s="5"/>
      <c r="AD484" s="5"/>
    </row>
    <row r="485" spans="1:30" ht="15.75" customHeight="1">
      <c r="A485" s="5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5"/>
      <c r="T485" s="5"/>
      <c r="U485" s="5"/>
      <c r="V485" s="5"/>
      <c r="W485" s="6"/>
      <c r="X485" s="7"/>
      <c r="Y485" s="7"/>
      <c r="Z485" s="5"/>
      <c r="AA485" s="5"/>
      <c r="AB485" s="5"/>
      <c r="AC485" s="5"/>
      <c r="AD485" s="5"/>
    </row>
    <row r="486" spans="1:30" ht="15.75" customHeight="1">
      <c r="A486" s="5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5"/>
      <c r="T486" s="5"/>
      <c r="U486" s="5"/>
      <c r="V486" s="5"/>
      <c r="W486" s="6"/>
      <c r="X486" s="7"/>
      <c r="Y486" s="7"/>
      <c r="Z486" s="5"/>
      <c r="AA486" s="5"/>
      <c r="AB486" s="5"/>
      <c r="AC486" s="5"/>
      <c r="AD486" s="5"/>
    </row>
    <row r="487" spans="1:30" ht="15.75" customHeight="1">
      <c r="A487" s="5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5"/>
      <c r="T487" s="5"/>
      <c r="U487" s="5"/>
      <c r="V487" s="5"/>
      <c r="W487" s="6"/>
      <c r="X487" s="7"/>
      <c r="Y487" s="7"/>
      <c r="Z487" s="5"/>
      <c r="AA487" s="5"/>
      <c r="AB487" s="5"/>
      <c r="AC487" s="5"/>
      <c r="AD487" s="5"/>
    </row>
    <row r="488" spans="1:30" ht="15.75" customHeight="1">
      <c r="A488" s="5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5"/>
      <c r="T488" s="5"/>
      <c r="U488" s="5"/>
      <c r="V488" s="5"/>
      <c r="W488" s="6"/>
      <c r="X488" s="7"/>
      <c r="Y488" s="7"/>
      <c r="Z488" s="5"/>
      <c r="AA488" s="5"/>
      <c r="AB488" s="5"/>
      <c r="AC488" s="5"/>
      <c r="AD488" s="5"/>
    </row>
    <row r="489" spans="1:30" ht="15.75" customHeight="1">
      <c r="A489" s="5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5"/>
      <c r="T489" s="5"/>
      <c r="U489" s="5"/>
      <c r="V489" s="5"/>
      <c r="W489" s="6"/>
      <c r="X489" s="7"/>
      <c r="Y489" s="7"/>
      <c r="Z489" s="5"/>
      <c r="AA489" s="5"/>
      <c r="AB489" s="5"/>
      <c r="AC489" s="5"/>
      <c r="AD489" s="5"/>
    </row>
    <row r="490" spans="1:30" ht="15.75" customHeight="1">
      <c r="A490" s="5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5"/>
      <c r="T490" s="5"/>
      <c r="U490" s="5"/>
      <c r="V490" s="5"/>
      <c r="W490" s="6"/>
      <c r="X490" s="7"/>
      <c r="Y490" s="7"/>
      <c r="Z490" s="5"/>
      <c r="AA490" s="5"/>
      <c r="AB490" s="5"/>
      <c r="AC490" s="5"/>
      <c r="AD490" s="5"/>
    </row>
    <row r="491" spans="1:30" ht="15.75" customHeight="1">
      <c r="A491" s="5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5"/>
      <c r="T491" s="5"/>
      <c r="U491" s="5"/>
      <c r="V491" s="5"/>
      <c r="W491" s="6"/>
      <c r="X491" s="7"/>
      <c r="Y491" s="7"/>
      <c r="Z491" s="5"/>
      <c r="AA491" s="5"/>
      <c r="AB491" s="5"/>
      <c r="AC491" s="5"/>
      <c r="AD491" s="5"/>
    </row>
    <row r="492" spans="1:30" ht="15.75" customHeight="1">
      <c r="A492" s="5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5"/>
      <c r="T492" s="5"/>
      <c r="U492" s="5"/>
      <c r="V492" s="5"/>
      <c r="W492" s="6"/>
      <c r="X492" s="7"/>
      <c r="Y492" s="7"/>
      <c r="Z492" s="5"/>
      <c r="AA492" s="5"/>
      <c r="AB492" s="5"/>
      <c r="AC492" s="5"/>
      <c r="AD492" s="5"/>
    </row>
    <row r="493" spans="1:30" ht="15.75" customHeight="1">
      <c r="A493" s="5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5"/>
      <c r="T493" s="5"/>
      <c r="U493" s="5"/>
      <c r="V493" s="5"/>
      <c r="W493" s="6"/>
      <c r="X493" s="7"/>
      <c r="Y493" s="7"/>
      <c r="Z493" s="5"/>
      <c r="AA493" s="5"/>
      <c r="AB493" s="5"/>
      <c r="AC493" s="5"/>
      <c r="AD493" s="5"/>
    </row>
    <row r="494" spans="1:30" ht="15.75" customHeight="1">
      <c r="A494" s="5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5"/>
      <c r="T494" s="5"/>
      <c r="U494" s="5"/>
      <c r="V494" s="5"/>
      <c r="W494" s="6"/>
      <c r="X494" s="7"/>
      <c r="Y494" s="7"/>
      <c r="Z494" s="5"/>
      <c r="AA494" s="5"/>
      <c r="AB494" s="5"/>
      <c r="AC494" s="5"/>
      <c r="AD494" s="5"/>
    </row>
    <row r="495" spans="1:30" ht="15.75" customHeight="1">
      <c r="A495" s="5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5"/>
      <c r="T495" s="5"/>
      <c r="U495" s="5"/>
      <c r="V495" s="5"/>
      <c r="W495" s="6"/>
      <c r="X495" s="7"/>
      <c r="Y495" s="7"/>
      <c r="Z495" s="5"/>
      <c r="AA495" s="5"/>
      <c r="AB495" s="5"/>
      <c r="AC495" s="5"/>
      <c r="AD495" s="5"/>
    </row>
    <row r="496" spans="1:30" ht="15.75" customHeight="1">
      <c r="A496" s="5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5"/>
      <c r="T496" s="5"/>
      <c r="U496" s="5"/>
      <c r="V496" s="5"/>
      <c r="W496" s="6"/>
      <c r="X496" s="7"/>
      <c r="Y496" s="7"/>
      <c r="Z496" s="5"/>
      <c r="AA496" s="5"/>
      <c r="AB496" s="5"/>
      <c r="AC496" s="5"/>
      <c r="AD496" s="5"/>
    </row>
    <row r="497" spans="1:30" ht="15.75" customHeight="1">
      <c r="A497" s="5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5"/>
      <c r="T497" s="5"/>
      <c r="U497" s="5"/>
      <c r="V497" s="5"/>
      <c r="W497" s="6"/>
      <c r="X497" s="7"/>
      <c r="Y497" s="7"/>
      <c r="Z497" s="5"/>
      <c r="AA497" s="5"/>
      <c r="AB497" s="5"/>
      <c r="AC497" s="5"/>
      <c r="AD497" s="5"/>
    </row>
    <row r="498" spans="1:30" ht="15.75" customHeight="1">
      <c r="A498" s="5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5"/>
      <c r="T498" s="5"/>
      <c r="U498" s="5"/>
      <c r="V498" s="5"/>
      <c r="W498" s="6"/>
      <c r="X498" s="7"/>
      <c r="Y498" s="7"/>
      <c r="Z498" s="5"/>
      <c r="AA498" s="5"/>
      <c r="AB498" s="5"/>
      <c r="AC498" s="5"/>
      <c r="AD498" s="5"/>
    </row>
    <row r="499" spans="1:30" ht="15.75" customHeight="1">
      <c r="A499" s="5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5"/>
      <c r="T499" s="5"/>
      <c r="U499" s="5"/>
      <c r="V499" s="5"/>
      <c r="W499" s="6"/>
      <c r="X499" s="7"/>
      <c r="Y499" s="7"/>
      <c r="Z499" s="5"/>
      <c r="AA499" s="5"/>
      <c r="AB499" s="5"/>
      <c r="AC499" s="5"/>
      <c r="AD499" s="5"/>
    </row>
    <row r="500" spans="1:30" ht="15.75" customHeight="1">
      <c r="A500" s="5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5"/>
      <c r="T500" s="5"/>
      <c r="U500" s="5"/>
      <c r="V500" s="5"/>
      <c r="W500" s="6"/>
      <c r="X500" s="7"/>
      <c r="Y500" s="7"/>
      <c r="Z500" s="5"/>
      <c r="AA500" s="5"/>
      <c r="AB500" s="5"/>
      <c r="AC500" s="5"/>
      <c r="AD500" s="5"/>
    </row>
    <row r="501" spans="1:30" ht="15.75" customHeight="1">
      <c r="A501" s="5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5"/>
      <c r="T501" s="5"/>
      <c r="U501" s="5"/>
      <c r="V501" s="5"/>
      <c r="W501" s="6"/>
      <c r="X501" s="7"/>
      <c r="Y501" s="7"/>
      <c r="Z501" s="5"/>
      <c r="AA501" s="5"/>
      <c r="AB501" s="5"/>
      <c r="AC501" s="5"/>
      <c r="AD501" s="5"/>
    </row>
    <row r="502" spans="1:30" ht="15.75" customHeight="1">
      <c r="A502" s="5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5"/>
      <c r="T502" s="5"/>
      <c r="U502" s="5"/>
      <c r="V502" s="5"/>
      <c r="W502" s="6"/>
      <c r="X502" s="7"/>
      <c r="Y502" s="7"/>
      <c r="Z502" s="5"/>
      <c r="AA502" s="5"/>
      <c r="AB502" s="5"/>
      <c r="AC502" s="5"/>
      <c r="AD502" s="5"/>
    </row>
    <row r="503" spans="1:30" ht="15.75" customHeight="1">
      <c r="A503" s="5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5"/>
      <c r="T503" s="5"/>
      <c r="U503" s="5"/>
      <c r="V503" s="5"/>
      <c r="W503" s="6"/>
      <c r="X503" s="7"/>
      <c r="Y503" s="7"/>
      <c r="Z503" s="5"/>
      <c r="AA503" s="5"/>
      <c r="AB503" s="5"/>
      <c r="AC503" s="5"/>
      <c r="AD503" s="5"/>
    </row>
    <row r="504" spans="1:30" ht="15.75" customHeight="1">
      <c r="A504" s="5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5"/>
      <c r="T504" s="5"/>
      <c r="U504" s="5"/>
      <c r="V504" s="5"/>
      <c r="W504" s="6"/>
      <c r="X504" s="7"/>
      <c r="Y504" s="7"/>
      <c r="Z504" s="5"/>
      <c r="AA504" s="5"/>
      <c r="AB504" s="5"/>
      <c r="AC504" s="5"/>
      <c r="AD504" s="5"/>
    </row>
    <row r="505" spans="1:30" ht="15.75" customHeight="1">
      <c r="A505" s="5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5"/>
      <c r="T505" s="5"/>
      <c r="U505" s="5"/>
      <c r="V505" s="5"/>
      <c r="W505" s="6"/>
      <c r="X505" s="7"/>
      <c r="Y505" s="7"/>
      <c r="Z505" s="5"/>
      <c r="AA505" s="5"/>
      <c r="AB505" s="5"/>
      <c r="AC505" s="5"/>
      <c r="AD505" s="5"/>
    </row>
    <row r="506" spans="1:30" ht="15.75" customHeight="1">
      <c r="A506" s="5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5"/>
      <c r="T506" s="5"/>
      <c r="U506" s="5"/>
      <c r="V506" s="5"/>
      <c r="W506" s="6"/>
      <c r="X506" s="7"/>
      <c r="Y506" s="7"/>
      <c r="Z506" s="5"/>
      <c r="AA506" s="5"/>
      <c r="AB506" s="5"/>
      <c r="AC506" s="5"/>
      <c r="AD506" s="5"/>
    </row>
    <row r="507" spans="1:30" ht="15.75" customHeight="1">
      <c r="A507" s="5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5"/>
      <c r="T507" s="5"/>
      <c r="U507" s="5"/>
      <c r="V507" s="5"/>
      <c r="W507" s="6"/>
      <c r="X507" s="7"/>
      <c r="Y507" s="7"/>
      <c r="Z507" s="5"/>
      <c r="AA507" s="5"/>
      <c r="AB507" s="5"/>
      <c r="AC507" s="5"/>
      <c r="AD507" s="5"/>
    </row>
    <row r="508" spans="1:30" ht="15.75" customHeight="1">
      <c r="A508" s="5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5"/>
      <c r="T508" s="5"/>
      <c r="U508" s="5"/>
      <c r="V508" s="5"/>
      <c r="W508" s="6"/>
      <c r="X508" s="7"/>
      <c r="Y508" s="7"/>
      <c r="Z508" s="5"/>
      <c r="AA508" s="5"/>
      <c r="AB508" s="5"/>
      <c r="AC508" s="5"/>
      <c r="AD508" s="5"/>
    </row>
    <row r="509" spans="1:30" ht="15.75" customHeight="1">
      <c r="A509" s="5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5"/>
      <c r="T509" s="5"/>
      <c r="U509" s="5"/>
      <c r="V509" s="5"/>
      <c r="W509" s="6"/>
      <c r="X509" s="7"/>
      <c r="Y509" s="7"/>
      <c r="Z509" s="5"/>
      <c r="AA509" s="5"/>
      <c r="AB509" s="5"/>
      <c r="AC509" s="5"/>
      <c r="AD509" s="5"/>
    </row>
    <row r="510" spans="1:30" ht="15.75" customHeight="1">
      <c r="A510" s="5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5"/>
      <c r="T510" s="5"/>
      <c r="U510" s="5"/>
      <c r="V510" s="5"/>
      <c r="W510" s="6"/>
      <c r="X510" s="7"/>
      <c r="Y510" s="7"/>
      <c r="Z510" s="5"/>
      <c r="AA510" s="5"/>
      <c r="AB510" s="5"/>
      <c r="AC510" s="5"/>
      <c r="AD510" s="5"/>
    </row>
    <row r="511" spans="1:30" ht="15.75" customHeight="1">
      <c r="A511" s="5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5"/>
      <c r="T511" s="5"/>
      <c r="U511" s="5"/>
      <c r="V511" s="5"/>
      <c r="W511" s="6"/>
      <c r="X511" s="7"/>
      <c r="Y511" s="7"/>
      <c r="Z511" s="5"/>
      <c r="AA511" s="5"/>
      <c r="AB511" s="5"/>
      <c r="AC511" s="5"/>
      <c r="AD511" s="5"/>
    </row>
    <row r="512" spans="1:30" ht="15.75" customHeight="1">
      <c r="A512" s="5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5"/>
      <c r="T512" s="5"/>
      <c r="U512" s="5"/>
      <c r="V512" s="5"/>
      <c r="W512" s="6"/>
      <c r="X512" s="7"/>
      <c r="Y512" s="7"/>
      <c r="Z512" s="5"/>
      <c r="AA512" s="5"/>
      <c r="AB512" s="5"/>
      <c r="AC512" s="5"/>
      <c r="AD512" s="5"/>
    </row>
    <row r="513" spans="1:30" ht="15.75" customHeight="1">
      <c r="A513" s="5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5"/>
      <c r="T513" s="5"/>
      <c r="U513" s="5"/>
      <c r="V513" s="5"/>
      <c r="W513" s="6"/>
      <c r="X513" s="7"/>
      <c r="Y513" s="7"/>
      <c r="Z513" s="5"/>
      <c r="AA513" s="5"/>
      <c r="AB513" s="5"/>
      <c r="AC513" s="5"/>
      <c r="AD513" s="5"/>
    </row>
    <row r="514" spans="1:30" ht="15.75" customHeight="1">
      <c r="A514" s="5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5"/>
      <c r="T514" s="5"/>
      <c r="U514" s="5"/>
      <c r="V514" s="5"/>
      <c r="W514" s="6"/>
      <c r="X514" s="7"/>
      <c r="Y514" s="7"/>
      <c r="Z514" s="5"/>
      <c r="AA514" s="5"/>
      <c r="AB514" s="5"/>
      <c r="AC514" s="5"/>
      <c r="AD514" s="5"/>
    </row>
    <row r="515" spans="1:30" ht="15.75" customHeight="1">
      <c r="A515" s="5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5"/>
      <c r="T515" s="5"/>
      <c r="U515" s="5"/>
      <c r="V515" s="5"/>
      <c r="W515" s="6"/>
      <c r="X515" s="7"/>
      <c r="Y515" s="7"/>
      <c r="Z515" s="5"/>
      <c r="AA515" s="5"/>
      <c r="AB515" s="5"/>
      <c r="AC515" s="5"/>
      <c r="AD515" s="5"/>
    </row>
    <row r="516" spans="1:30" ht="15.75" customHeight="1">
      <c r="A516" s="5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5"/>
      <c r="T516" s="5"/>
      <c r="U516" s="5"/>
      <c r="V516" s="5"/>
      <c r="W516" s="6"/>
      <c r="X516" s="7"/>
      <c r="Y516" s="7"/>
      <c r="Z516" s="5"/>
      <c r="AA516" s="5"/>
      <c r="AB516" s="5"/>
      <c r="AC516" s="5"/>
      <c r="AD516" s="5"/>
    </row>
    <row r="517" spans="1:30" ht="15.75" customHeight="1">
      <c r="A517" s="5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5"/>
      <c r="T517" s="5"/>
      <c r="U517" s="5"/>
      <c r="V517" s="5"/>
      <c r="W517" s="6"/>
      <c r="X517" s="7"/>
      <c r="Y517" s="7"/>
      <c r="Z517" s="5"/>
      <c r="AA517" s="5"/>
      <c r="AB517" s="5"/>
      <c r="AC517" s="5"/>
      <c r="AD517" s="5"/>
    </row>
    <row r="518" spans="1:30" ht="15.75" customHeight="1">
      <c r="A518" s="5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5"/>
      <c r="T518" s="5"/>
      <c r="U518" s="5"/>
      <c r="V518" s="5"/>
      <c r="W518" s="6"/>
      <c r="X518" s="7"/>
      <c r="Y518" s="7"/>
      <c r="Z518" s="5"/>
      <c r="AA518" s="5"/>
      <c r="AB518" s="5"/>
      <c r="AC518" s="5"/>
      <c r="AD518" s="5"/>
    </row>
    <row r="519" spans="1:30" ht="15.75" customHeight="1">
      <c r="A519" s="5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5"/>
      <c r="T519" s="5"/>
      <c r="U519" s="5"/>
      <c r="V519" s="5"/>
      <c r="W519" s="6"/>
      <c r="X519" s="7"/>
      <c r="Y519" s="7"/>
      <c r="Z519" s="5"/>
      <c r="AA519" s="5"/>
      <c r="AB519" s="5"/>
      <c r="AC519" s="5"/>
      <c r="AD519" s="5"/>
    </row>
    <row r="520" spans="1:30" ht="15.75" customHeight="1">
      <c r="A520" s="5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5"/>
      <c r="T520" s="5"/>
      <c r="U520" s="5"/>
      <c r="V520" s="5"/>
      <c r="W520" s="6"/>
      <c r="X520" s="7"/>
      <c r="Y520" s="7"/>
      <c r="Z520" s="5"/>
      <c r="AA520" s="5"/>
      <c r="AB520" s="5"/>
      <c r="AC520" s="5"/>
      <c r="AD520" s="5"/>
    </row>
    <row r="521" spans="1:30" ht="15.75" customHeight="1">
      <c r="A521" s="5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5"/>
      <c r="T521" s="5"/>
      <c r="U521" s="5"/>
      <c r="V521" s="5"/>
      <c r="W521" s="6"/>
      <c r="X521" s="7"/>
      <c r="Y521" s="7"/>
      <c r="Z521" s="5"/>
      <c r="AA521" s="5"/>
      <c r="AB521" s="5"/>
      <c r="AC521" s="5"/>
      <c r="AD521" s="5"/>
    </row>
    <row r="522" spans="1:30" ht="15.75" customHeight="1">
      <c r="A522" s="5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5"/>
      <c r="T522" s="5"/>
      <c r="U522" s="5"/>
      <c r="V522" s="5"/>
      <c r="W522" s="6"/>
      <c r="X522" s="7"/>
      <c r="Y522" s="7"/>
      <c r="Z522" s="5"/>
      <c r="AA522" s="5"/>
      <c r="AB522" s="5"/>
      <c r="AC522" s="5"/>
      <c r="AD522" s="5"/>
    </row>
    <row r="523" spans="1:30" ht="15.75" customHeight="1">
      <c r="A523" s="5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5"/>
      <c r="T523" s="5"/>
      <c r="U523" s="5"/>
      <c r="V523" s="5"/>
      <c r="W523" s="6"/>
      <c r="X523" s="7"/>
      <c r="Y523" s="7"/>
      <c r="Z523" s="5"/>
      <c r="AA523" s="5"/>
      <c r="AB523" s="5"/>
      <c r="AC523" s="5"/>
      <c r="AD523" s="5"/>
    </row>
    <row r="524" spans="1:30" ht="15.75" customHeight="1">
      <c r="A524" s="5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5"/>
      <c r="T524" s="5"/>
      <c r="U524" s="5"/>
      <c r="V524" s="5"/>
      <c r="W524" s="6"/>
      <c r="X524" s="7"/>
      <c r="Y524" s="7"/>
      <c r="Z524" s="5"/>
      <c r="AA524" s="5"/>
      <c r="AB524" s="5"/>
      <c r="AC524" s="5"/>
      <c r="AD524" s="5"/>
    </row>
    <row r="525" spans="1:30" ht="15.75" customHeight="1">
      <c r="A525" s="5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5"/>
      <c r="T525" s="5"/>
      <c r="U525" s="5"/>
      <c r="V525" s="5"/>
      <c r="W525" s="6"/>
      <c r="X525" s="7"/>
      <c r="Y525" s="7"/>
      <c r="Z525" s="5"/>
      <c r="AA525" s="5"/>
      <c r="AB525" s="5"/>
      <c r="AC525" s="5"/>
      <c r="AD525" s="5"/>
    </row>
    <row r="526" spans="1:30" ht="15.75" customHeight="1">
      <c r="A526" s="5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5"/>
      <c r="T526" s="5"/>
      <c r="U526" s="5"/>
      <c r="V526" s="5"/>
      <c r="W526" s="6"/>
      <c r="X526" s="7"/>
      <c r="Y526" s="7"/>
      <c r="Z526" s="5"/>
      <c r="AA526" s="5"/>
      <c r="AB526" s="5"/>
      <c r="AC526" s="5"/>
      <c r="AD526" s="5"/>
    </row>
    <row r="527" spans="1:30" ht="15.75" customHeight="1">
      <c r="A527" s="5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5"/>
      <c r="T527" s="5"/>
      <c r="U527" s="5"/>
      <c r="V527" s="5"/>
      <c r="W527" s="6"/>
      <c r="X527" s="7"/>
      <c r="Y527" s="7"/>
      <c r="Z527" s="5"/>
      <c r="AA527" s="5"/>
      <c r="AB527" s="5"/>
      <c r="AC527" s="5"/>
      <c r="AD527" s="5"/>
    </row>
    <row r="528" spans="1:30" ht="15.75" customHeight="1">
      <c r="A528" s="5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5"/>
      <c r="T528" s="5"/>
      <c r="U528" s="5"/>
      <c r="V528" s="5"/>
      <c r="W528" s="6"/>
      <c r="X528" s="7"/>
      <c r="Y528" s="7"/>
      <c r="Z528" s="5"/>
      <c r="AA528" s="5"/>
      <c r="AB528" s="5"/>
      <c r="AC528" s="5"/>
      <c r="AD528" s="5"/>
    </row>
    <row r="529" spans="1:30" ht="15.75" customHeight="1">
      <c r="A529" s="5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5"/>
      <c r="T529" s="5"/>
      <c r="U529" s="5"/>
      <c r="V529" s="5"/>
      <c r="W529" s="6"/>
      <c r="X529" s="7"/>
      <c r="Y529" s="7"/>
      <c r="Z529" s="5"/>
      <c r="AA529" s="5"/>
      <c r="AB529" s="5"/>
      <c r="AC529" s="5"/>
      <c r="AD529" s="5"/>
    </row>
    <row r="530" spans="1:30" ht="15.75" customHeight="1">
      <c r="A530" s="5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5"/>
      <c r="T530" s="5"/>
      <c r="U530" s="5"/>
      <c r="V530" s="5"/>
      <c r="W530" s="6"/>
      <c r="X530" s="7"/>
      <c r="Y530" s="7"/>
      <c r="Z530" s="5"/>
      <c r="AA530" s="5"/>
      <c r="AB530" s="5"/>
      <c r="AC530" s="5"/>
      <c r="AD530" s="5"/>
    </row>
    <row r="531" spans="1:30" ht="15.75" customHeight="1">
      <c r="A531" s="5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5"/>
      <c r="T531" s="5"/>
      <c r="U531" s="5"/>
      <c r="V531" s="5"/>
      <c r="W531" s="6"/>
      <c r="X531" s="7"/>
      <c r="Y531" s="7"/>
      <c r="Z531" s="5"/>
      <c r="AA531" s="5"/>
      <c r="AB531" s="5"/>
      <c r="AC531" s="5"/>
      <c r="AD531" s="5"/>
    </row>
    <row r="532" spans="1:30" ht="15.75" customHeight="1">
      <c r="A532" s="5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5"/>
      <c r="T532" s="5"/>
      <c r="U532" s="5"/>
      <c r="V532" s="5"/>
      <c r="W532" s="6"/>
      <c r="X532" s="7"/>
      <c r="Y532" s="7"/>
      <c r="Z532" s="5"/>
      <c r="AA532" s="5"/>
      <c r="AB532" s="5"/>
      <c r="AC532" s="5"/>
      <c r="AD532" s="5"/>
    </row>
    <row r="533" spans="1:30" ht="15.75" customHeight="1">
      <c r="A533" s="5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5"/>
      <c r="T533" s="5"/>
      <c r="U533" s="5"/>
      <c r="V533" s="5"/>
      <c r="W533" s="6"/>
      <c r="X533" s="7"/>
      <c r="Y533" s="7"/>
      <c r="Z533" s="5"/>
      <c r="AA533" s="5"/>
      <c r="AB533" s="5"/>
      <c r="AC533" s="5"/>
      <c r="AD533" s="5"/>
    </row>
    <row r="534" spans="1:30" ht="15.75" customHeight="1">
      <c r="A534" s="5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5"/>
      <c r="T534" s="5"/>
      <c r="U534" s="5"/>
      <c r="V534" s="5"/>
      <c r="W534" s="6"/>
      <c r="X534" s="7"/>
      <c r="Y534" s="7"/>
      <c r="Z534" s="5"/>
      <c r="AA534" s="5"/>
      <c r="AB534" s="5"/>
      <c r="AC534" s="5"/>
      <c r="AD534" s="5"/>
    </row>
    <row r="535" spans="1:30" ht="15.75" customHeight="1">
      <c r="A535" s="5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5"/>
      <c r="T535" s="5"/>
      <c r="U535" s="5"/>
      <c r="V535" s="5"/>
      <c r="W535" s="6"/>
      <c r="X535" s="7"/>
      <c r="Y535" s="7"/>
      <c r="Z535" s="5"/>
      <c r="AA535" s="5"/>
      <c r="AB535" s="5"/>
      <c r="AC535" s="5"/>
      <c r="AD535" s="5"/>
    </row>
    <row r="536" spans="1:30" ht="15.75" customHeight="1">
      <c r="A536" s="5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5"/>
      <c r="T536" s="5"/>
      <c r="U536" s="5"/>
      <c r="V536" s="5"/>
      <c r="W536" s="6"/>
      <c r="X536" s="7"/>
      <c r="Y536" s="7"/>
      <c r="Z536" s="5"/>
      <c r="AA536" s="5"/>
      <c r="AB536" s="5"/>
      <c r="AC536" s="5"/>
      <c r="AD536" s="5"/>
    </row>
    <row r="537" spans="1:30" ht="15.75" customHeight="1">
      <c r="A537" s="5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5"/>
      <c r="T537" s="5"/>
      <c r="U537" s="5"/>
      <c r="V537" s="5"/>
      <c r="W537" s="6"/>
      <c r="X537" s="7"/>
      <c r="Y537" s="7"/>
      <c r="Z537" s="5"/>
      <c r="AA537" s="5"/>
      <c r="AB537" s="5"/>
      <c r="AC537" s="5"/>
      <c r="AD537" s="5"/>
    </row>
    <row r="538" spans="1:30" ht="15.75" customHeight="1">
      <c r="A538" s="5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5"/>
      <c r="T538" s="5"/>
      <c r="U538" s="5"/>
      <c r="V538" s="5"/>
      <c r="W538" s="6"/>
      <c r="X538" s="7"/>
      <c r="Y538" s="7"/>
      <c r="Z538" s="5"/>
      <c r="AA538" s="5"/>
      <c r="AB538" s="5"/>
      <c r="AC538" s="5"/>
      <c r="AD538" s="5"/>
    </row>
    <row r="539" spans="1:30" ht="15.75" customHeight="1">
      <c r="A539" s="5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5"/>
      <c r="T539" s="5"/>
      <c r="U539" s="5"/>
      <c r="V539" s="5"/>
      <c r="W539" s="6"/>
      <c r="X539" s="7"/>
      <c r="Y539" s="7"/>
      <c r="Z539" s="5"/>
      <c r="AA539" s="5"/>
      <c r="AB539" s="5"/>
      <c r="AC539" s="5"/>
      <c r="AD539" s="5"/>
    </row>
    <row r="540" spans="1:30" ht="15.75" customHeight="1">
      <c r="A540" s="5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5"/>
      <c r="T540" s="5"/>
      <c r="U540" s="5"/>
      <c r="V540" s="5"/>
      <c r="W540" s="6"/>
      <c r="X540" s="7"/>
      <c r="Y540" s="7"/>
      <c r="Z540" s="5"/>
      <c r="AA540" s="5"/>
      <c r="AB540" s="5"/>
      <c r="AC540" s="5"/>
      <c r="AD540" s="5"/>
    </row>
    <row r="541" spans="1:30" ht="15.75" customHeight="1">
      <c r="A541" s="5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5"/>
      <c r="T541" s="5"/>
      <c r="U541" s="5"/>
      <c r="V541" s="5"/>
      <c r="W541" s="6"/>
      <c r="X541" s="7"/>
      <c r="Y541" s="7"/>
      <c r="Z541" s="5"/>
      <c r="AA541" s="5"/>
      <c r="AB541" s="5"/>
      <c r="AC541" s="5"/>
      <c r="AD541" s="5"/>
    </row>
    <row r="542" spans="1:30" ht="15.75" customHeight="1">
      <c r="A542" s="5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5"/>
      <c r="T542" s="5"/>
      <c r="U542" s="5"/>
      <c r="V542" s="5"/>
      <c r="W542" s="6"/>
      <c r="X542" s="7"/>
      <c r="Y542" s="7"/>
      <c r="Z542" s="5"/>
      <c r="AA542" s="5"/>
      <c r="AB542" s="5"/>
      <c r="AC542" s="5"/>
      <c r="AD542" s="5"/>
    </row>
    <row r="543" spans="1:30" ht="15.75" customHeight="1">
      <c r="A543" s="5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5"/>
      <c r="T543" s="5"/>
      <c r="U543" s="5"/>
      <c r="V543" s="5"/>
      <c r="W543" s="6"/>
      <c r="X543" s="7"/>
      <c r="Y543" s="7"/>
      <c r="Z543" s="5"/>
      <c r="AA543" s="5"/>
      <c r="AB543" s="5"/>
      <c r="AC543" s="5"/>
      <c r="AD543" s="5"/>
    </row>
    <row r="544" spans="1:30" ht="15.75" customHeight="1">
      <c r="A544" s="5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5"/>
      <c r="T544" s="5"/>
      <c r="U544" s="5"/>
      <c r="V544" s="5"/>
      <c r="W544" s="6"/>
      <c r="X544" s="7"/>
      <c r="Y544" s="7"/>
      <c r="Z544" s="5"/>
      <c r="AA544" s="5"/>
      <c r="AB544" s="5"/>
      <c r="AC544" s="5"/>
      <c r="AD544" s="5"/>
    </row>
    <row r="545" spans="1:30" ht="15.75" customHeight="1">
      <c r="A545" s="5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5"/>
      <c r="T545" s="5"/>
      <c r="U545" s="5"/>
      <c r="V545" s="5"/>
      <c r="W545" s="6"/>
      <c r="X545" s="7"/>
      <c r="Y545" s="7"/>
      <c r="Z545" s="5"/>
      <c r="AA545" s="5"/>
      <c r="AB545" s="5"/>
      <c r="AC545" s="5"/>
      <c r="AD545" s="5"/>
    </row>
    <row r="546" spans="1:30" ht="15.75" customHeight="1">
      <c r="A546" s="5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5"/>
      <c r="T546" s="5"/>
      <c r="U546" s="5"/>
      <c r="V546" s="5"/>
      <c r="W546" s="6"/>
      <c r="X546" s="7"/>
      <c r="Y546" s="7"/>
      <c r="Z546" s="5"/>
      <c r="AA546" s="5"/>
      <c r="AB546" s="5"/>
      <c r="AC546" s="5"/>
      <c r="AD546" s="5"/>
    </row>
    <row r="547" spans="1:30" ht="15.75" customHeight="1">
      <c r="A547" s="5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5"/>
      <c r="T547" s="5"/>
      <c r="U547" s="5"/>
      <c r="V547" s="5"/>
      <c r="W547" s="6"/>
      <c r="X547" s="7"/>
      <c r="Y547" s="7"/>
      <c r="Z547" s="5"/>
      <c r="AA547" s="5"/>
      <c r="AB547" s="5"/>
      <c r="AC547" s="5"/>
      <c r="AD547" s="5"/>
    </row>
    <row r="548" spans="1:30" ht="15.75" customHeight="1">
      <c r="A548" s="5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5"/>
      <c r="T548" s="5"/>
      <c r="U548" s="5"/>
      <c r="V548" s="5"/>
      <c r="W548" s="6"/>
      <c r="X548" s="7"/>
      <c r="Y548" s="7"/>
      <c r="Z548" s="5"/>
      <c r="AA548" s="5"/>
      <c r="AB548" s="5"/>
      <c r="AC548" s="5"/>
      <c r="AD548" s="5"/>
    </row>
    <row r="549" spans="1:30" ht="15.75" customHeight="1">
      <c r="A549" s="5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5"/>
      <c r="T549" s="5"/>
      <c r="U549" s="5"/>
      <c r="V549" s="5"/>
      <c r="W549" s="6"/>
      <c r="X549" s="7"/>
      <c r="Y549" s="7"/>
      <c r="Z549" s="5"/>
      <c r="AA549" s="5"/>
      <c r="AB549" s="5"/>
      <c r="AC549" s="5"/>
      <c r="AD549" s="5"/>
    </row>
    <row r="550" spans="1:30" ht="15.75" customHeight="1">
      <c r="A550" s="5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5"/>
      <c r="T550" s="5"/>
      <c r="U550" s="5"/>
      <c r="V550" s="5"/>
      <c r="W550" s="6"/>
      <c r="X550" s="7"/>
      <c r="Y550" s="7"/>
      <c r="Z550" s="5"/>
      <c r="AA550" s="5"/>
      <c r="AB550" s="5"/>
      <c r="AC550" s="5"/>
      <c r="AD550" s="5"/>
    </row>
    <row r="551" spans="1:30" ht="15.75" customHeight="1">
      <c r="A551" s="5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5"/>
      <c r="T551" s="5"/>
      <c r="U551" s="5"/>
      <c r="V551" s="5"/>
      <c r="W551" s="6"/>
      <c r="X551" s="7"/>
      <c r="Y551" s="7"/>
      <c r="Z551" s="5"/>
      <c r="AA551" s="5"/>
      <c r="AB551" s="5"/>
      <c r="AC551" s="5"/>
      <c r="AD551" s="5"/>
    </row>
    <row r="552" spans="1:30" ht="15.75" customHeight="1">
      <c r="A552" s="5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5"/>
      <c r="T552" s="5"/>
      <c r="U552" s="5"/>
      <c r="V552" s="5"/>
      <c r="W552" s="6"/>
      <c r="X552" s="7"/>
      <c r="Y552" s="7"/>
      <c r="Z552" s="5"/>
      <c r="AA552" s="5"/>
      <c r="AB552" s="5"/>
      <c r="AC552" s="5"/>
      <c r="AD552" s="5"/>
    </row>
    <row r="553" spans="1:30" ht="15.75" customHeight="1">
      <c r="A553" s="5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5"/>
      <c r="T553" s="5"/>
      <c r="U553" s="5"/>
      <c r="V553" s="5"/>
      <c r="W553" s="6"/>
      <c r="X553" s="7"/>
      <c r="Y553" s="7"/>
      <c r="Z553" s="5"/>
      <c r="AA553" s="5"/>
      <c r="AB553" s="5"/>
      <c r="AC553" s="5"/>
      <c r="AD553" s="5"/>
    </row>
    <row r="554" spans="1:30" ht="15.75" customHeight="1">
      <c r="A554" s="5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5"/>
      <c r="T554" s="5"/>
      <c r="U554" s="5"/>
      <c r="V554" s="5"/>
      <c r="W554" s="6"/>
      <c r="X554" s="7"/>
      <c r="Y554" s="7"/>
      <c r="Z554" s="5"/>
      <c r="AA554" s="5"/>
      <c r="AB554" s="5"/>
      <c r="AC554" s="5"/>
      <c r="AD554" s="5"/>
    </row>
    <row r="555" spans="1:30" ht="15.75" customHeight="1">
      <c r="A555" s="5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5"/>
      <c r="T555" s="5"/>
      <c r="U555" s="5"/>
      <c r="V555" s="5"/>
      <c r="W555" s="6"/>
      <c r="X555" s="7"/>
      <c r="Y555" s="7"/>
      <c r="Z555" s="5"/>
      <c r="AA555" s="5"/>
      <c r="AB555" s="5"/>
      <c r="AC555" s="5"/>
      <c r="AD555" s="5"/>
    </row>
    <row r="556" spans="1:30" ht="15.75" customHeight="1">
      <c r="A556" s="5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5"/>
      <c r="T556" s="5"/>
      <c r="U556" s="5"/>
      <c r="V556" s="5"/>
      <c r="W556" s="6"/>
      <c r="X556" s="7"/>
      <c r="Y556" s="7"/>
      <c r="Z556" s="5"/>
      <c r="AA556" s="5"/>
      <c r="AB556" s="5"/>
      <c r="AC556" s="5"/>
      <c r="AD556" s="5"/>
    </row>
    <row r="557" spans="1:30" ht="15.75" customHeight="1">
      <c r="A557" s="5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5"/>
      <c r="T557" s="5"/>
      <c r="U557" s="5"/>
      <c r="V557" s="5"/>
      <c r="W557" s="6"/>
      <c r="X557" s="7"/>
      <c r="Y557" s="7"/>
      <c r="Z557" s="5"/>
      <c r="AA557" s="5"/>
      <c r="AB557" s="5"/>
      <c r="AC557" s="5"/>
      <c r="AD557" s="5"/>
    </row>
    <row r="558" spans="1:30" ht="15.75" customHeight="1">
      <c r="A558" s="5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5"/>
      <c r="T558" s="5"/>
      <c r="U558" s="5"/>
      <c r="V558" s="5"/>
      <c r="W558" s="6"/>
      <c r="X558" s="7"/>
      <c r="Y558" s="7"/>
      <c r="Z558" s="5"/>
      <c r="AA558" s="5"/>
      <c r="AB558" s="5"/>
      <c r="AC558" s="5"/>
      <c r="AD558" s="5"/>
    </row>
    <row r="559" spans="1:30" ht="15.75" customHeight="1">
      <c r="A559" s="5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5"/>
      <c r="T559" s="5"/>
      <c r="U559" s="5"/>
      <c r="V559" s="5"/>
      <c r="W559" s="6"/>
      <c r="X559" s="7"/>
      <c r="Y559" s="7"/>
      <c r="Z559" s="5"/>
      <c r="AA559" s="5"/>
      <c r="AB559" s="5"/>
      <c r="AC559" s="5"/>
      <c r="AD559" s="5"/>
    </row>
    <row r="560" spans="1:30" ht="15.75" customHeight="1">
      <c r="A560" s="5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5"/>
      <c r="T560" s="5"/>
      <c r="U560" s="5"/>
      <c r="V560" s="5"/>
      <c r="W560" s="6"/>
      <c r="X560" s="7"/>
      <c r="Y560" s="7"/>
      <c r="Z560" s="5"/>
      <c r="AA560" s="5"/>
      <c r="AB560" s="5"/>
      <c r="AC560" s="5"/>
      <c r="AD560" s="5"/>
    </row>
    <row r="561" spans="1:30" ht="15.75" customHeight="1">
      <c r="A561" s="5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5"/>
      <c r="T561" s="5"/>
      <c r="U561" s="5"/>
      <c r="V561" s="5"/>
      <c r="W561" s="6"/>
      <c r="X561" s="7"/>
      <c r="Y561" s="7"/>
      <c r="Z561" s="5"/>
      <c r="AA561" s="5"/>
      <c r="AB561" s="5"/>
      <c r="AC561" s="5"/>
      <c r="AD561" s="5"/>
    </row>
    <row r="562" spans="1:30" ht="15.75" customHeight="1">
      <c r="A562" s="5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5"/>
      <c r="T562" s="5"/>
      <c r="U562" s="5"/>
      <c r="V562" s="5"/>
      <c r="W562" s="6"/>
      <c r="X562" s="7"/>
      <c r="Y562" s="7"/>
      <c r="Z562" s="5"/>
      <c r="AA562" s="5"/>
      <c r="AB562" s="5"/>
      <c r="AC562" s="5"/>
      <c r="AD562" s="5"/>
    </row>
    <row r="563" spans="1:30" ht="15.75" customHeight="1">
      <c r="A563" s="5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5"/>
      <c r="T563" s="5"/>
      <c r="U563" s="5"/>
      <c r="V563" s="5"/>
      <c r="W563" s="6"/>
      <c r="X563" s="7"/>
      <c r="Y563" s="7"/>
      <c r="Z563" s="5"/>
      <c r="AA563" s="5"/>
      <c r="AB563" s="5"/>
      <c r="AC563" s="5"/>
      <c r="AD563" s="5"/>
    </row>
    <row r="564" spans="1:30" ht="15.75" customHeight="1">
      <c r="A564" s="5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5"/>
      <c r="T564" s="5"/>
      <c r="U564" s="5"/>
      <c r="V564" s="5"/>
      <c r="W564" s="6"/>
      <c r="X564" s="7"/>
      <c r="Y564" s="7"/>
      <c r="Z564" s="5"/>
      <c r="AA564" s="5"/>
      <c r="AB564" s="5"/>
      <c r="AC564" s="5"/>
      <c r="AD564" s="5"/>
    </row>
    <row r="565" spans="1:30" ht="15.75" customHeight="1">
      <c r="A565" s="5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5"/>
      <c r="T565" s="5"/>
      <c r="U565" s="5"/>
      <c r="V565" s="5"/>
      <c r="W565" s="6"/>
      <c r="X565" s="7"/>
      <c r="Y565" s="7"/>
      <c r="Z565" s="5"/>
      <c r="AA565" s="5"/>
      <c r="AB565" s="5"/>
      <c r="AC565" s="5"/>
      <c r="AD565" s="5"/>
    </row>
    <row r="566" spans="1:30" ht="15.75" customHeight="1">
      <c r="A566" s="5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5"/>
      <c r="T566" s="5"/>
      <c r="U566" s="5"/>
      <c r="V566" s="5"/>
      <c r="W566" s="6"/>
      <c r="X566" s="7"/>
      <c r="Y566" s="7"/>
      <c r="Z566" s="5"/>
      <c r="AA566" s="5"/>
      <c r="AB566" s="5"/>
      <c r="AC566" s="5"/>
      <c r="AD566" s="5"/>
    </row>
    <row r="567" spans="1:30" ht="15.75" customHeight="1">
      <c r="A567" s="5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5"/>
      <c r="T567" s="5"/>
      <c r="U567" s="5"/>
      <c r="V567" s="5"/>
      <c r="W567" s="6"/>
      <c r="X567" s="7"/>
      <c r="Y567" s="7"/>
      <c r="Z567" s="5"/>
      <c r="AA567" s="5"/>
      <c r="AB567" s="5"/>
      <c r="AC567" s="5"/>
      <c r="AD567" s="5"/>
    </row>
    <row r="568" spans="1:30" ht="15.75" customHeight="1">
      <c r="A568" s="5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5"/>
      <c r="T568" s="5"/>
      <c r="U568" s="5"/>
      <c r="V568" s="5"/>
      <c r="W568" s="6"/>
      <c r="X568" s="7"/>
      <c r="Y568" s="7"/>
      <c r="Z568" s="5"/>
      <c r="AA568" s="5"/>
      <c r="AB568" s="5"/>
      <c r="AC568" s="5"/>
      <c r="AD568" s="5"/>
    </row>
    <row r="569" spans="1:30" ht="15.75" customHeight="1">
      <c r="A569" s="5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5"/>
      <c r="T569" s="5"/>
      <c r="U569" s="5"/>
      <c r="V569" s="5"/>
      <c r="W569" s="6"/>
      <c r="X569" s="7"/>
      <c r="Y569" s="7"/>
      <c r="Z569" s="5"/>
      <c r="AA569" s="5"/>
      <c r="AB569" s="5"/>
      <c r="AC569" s="5"/>
      <c r="AD569" s="5"/>
    </row>
    <row r="570" spans="1:30" ht="15.75" customHeight="1">
      <c r="A570" s="5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5"/>
      <c r="T570" s="5"/>
      <c r="U570" s="5"/>
      <c r="V570" s="5"/>
      <c r="W570" s="6"/>
      <c r="X570" s="7"/>
      <c r="Y570" s="7"/>
      <c r="Z570" s="5"/>
      <c r="AA570" s="5"/>
      <c r="AB570" s="5"/>
      <c r="AC570" s="5"/>
      <c r="AD570" s="5"/>
    </row>
    <row r="571" spans="1:30" ht="15.75" customHeight="1">
      <c r="A571" s="5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5"/>
      <c r="T571" s="5"/>
      <c r="U571" s="5"/>
      <c r="V571" s="5"/>
      <c r="W571" s="6"/>
      <c r="X571" s="7"/>
      <c r="Y571" s="7"/>
      <c r="Z571" s="5"/>
      <c r="AA571" s="5"/>
      <c r="AB571" s="5"/>
      <c r="AC571" s="5"/>
      <c r="AD571" s="5"/>
    </row>
    <row r="572" spans="1:30" ht="15.75" customHeight="1">
      <c r="A572" s="5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5"/>
      <c r="T572" s="5"/>
      <c r="U572" s="5"/>
      <c r="V572" s="5"/>
      <c r="W572" s="6"/>
      <c r="X572" s="7"/>
      <c r="Y572" s="7"/>
      <c r="Z572" s="5"/>
      <c r="AA572" s="5"/>
      <c r="AB572" s="5"/>
      <c r="AC572" s="5"/>
      <c r="AD572" s="5"/>
    </row>
    <row r="573" spans="1:30" ht="15.75" customHeight="1">
      <c r="A573" s="5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5"/>
      <c r="T573" s="5"/>
      <c r="U573" s="5"/>
      <c r="V573" s="5"/>
      <c r="W573" s="6"/>
      <c r="X573" s="7"/>
      <c r="Y573" s="7"/>
      <c r="Z573" s="5"/>
      <c r="AA573" s="5"/>
      <c r="AB573" s="5"/>
      <c r="AC573" s="5"/>
      <c r="AD573" s="5"/>
    </row>
    <row r="574" spans="1:30" ht="15.75" customHeight="1">
      <c r="A574" s="5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5"/>
      <c r="T574" s="5"/>
      <c r="U574" s="5"/>
      <c r="V574" s="5"/>
      <c r="W574" s="6"/>
      <c r="X574" s="7"/>
      <c r="Y574" s="7"/>
      <c r="Z574" s="5"/>
      <c r="AA574" s="5"/>
      <c r="AB574" s="5"/>
      <c r="AC574" s="5"/>
      <c r="AD574" s="5"/>
    </row>
    <row r="575" spans="1:30" ht="15.75" customHeight="1">
      <c r="A575" s="5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5"/>
      <c r="T575" s="5"/>
      <c r="U575" s="5"/>
      <c r="V575" s="5"/>
      <c r="W575" s="6"/>
      <c r="X575" s="7"/>
      <c r="Y575" s="7"/>
      <c r="Z575" s="5"/>
      <c r="AA575" s="5"/>
      <c r="AB575" s="5"/>
      <c r="AC575" s="5"/>
      <c r="AD575" s="5"/>
    </row>
    <row r="576" spans="1:30" ht="15.75" customHeight="1">
      <c r="A576" s="5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5"/>
      <c r="T576" s="5"/>
      <c r="U576" s="5"/>
      <c r="V576" s="5"/>
      <c r="W576" s="6"/>
      <c r="X576" s="7"/>
      <c r="Y576" s="7"/>
      <c r="Z576" s="5"/>
      <c r="AA576" s="5"/>
      <c r="AB576" s="5"/>
      <c r="AC576" s="5"/>
      <c r="AD576" s="5"/>
    </row>
    <row r="577" spans="1:30" ht="15.75" customHeight="1">
      <c r="A577" s="5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5"/>
      <c r="T577" s="5"/>
      <c r="U577" s="5"/>
      <c r="V577" s="5"/>
      <c r="W577" s="6"/>
      <c r="X577" s="7"/>
      <c r="Y577" s="7"/>
      <c r="Z577" s="5"/>
      <c r="AA577" s="5"/>
      <c r="AB577" s="5"/>
      <c r="AC577" s="5"/>
      <c r="AD577" s="5"/>
    </row>
    <row r="578" spans="1:30" ht="15.75" customHeight="1">
      <c r="A578" s="5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5"/>
      <c r="T578" s="5"/>
      <c r="U578" s="5"/>
      <c r="V578" s="5"/>
      <c r="W578" s="6"/>
      <c r="X578" s="7"/>
      <c r="Y578" s="7"/>
      <c r="Z578" s="5"/>
      <c r="AA578" s="5"/>
      <c r="AB578" s="5"/>
      <c r="AC578" s="5"/>
      <c r="AD578" s="5"/>
    </row>
    <row r="579" spans="1:30" ht="15.75" customHeight="1">
      <c r="A579" s="5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5"/>
      <c r="T579" s="5"/>
      <c r="U579" s="5"/>
      <c r="V579" s="5"/>
      <c r="W579" s="6"/>
      <c r="X579" s="7"/>
      <c r="Y579" s="7"/>
      <c r="Z579" s="5"/>
      <c r="AA579" s="5"/>
      <c r="AB579" s="5"/>
      <c r="AC579" s="5"/>
      <c r="AD579" s="5"/>
    </row>
    <row r="580" spans="1:30" ht="15.75" customHeight="1">
      <c r="A580" s="5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5"/>
      <c r="T580" s="5"/>
      <c r="U580" s="5"/>
      <c r="V580" s="5"/>
      <c r="W580" s="6"/>
      <c r="X580" s="7"/>
      <c r="Y580" s="7"/>
      <c r="Z580" s="5"/>
      <c r="AA580" s="5"/>
      <c r="AB580" s="5"/>
      <c r="AC580" s="5"/>
      <c r="AD580" s="5"/>
    </row>
    <row r="581" spans="1:30" ht="15.75" customHeight="1">
      <c r="A581" s="5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5"/>
      <c r="T581" s="5"/>
      <c r="U581" s="5"/>
      <c r="V581" s="5"/>
      <c r="W581" s="6"/>
      <c r="X581" s="7"/>
      <c r="Y581" s="7"/>
      <c r="Z581" s="5"/>
      <c r="AA581" s="5"/>
      <c r="AB581" s="5"/>
      <c r="AC581" s="5"/>
      <c r="AD581" s="5"/>
    </row>
    <row r="582" spans="1:30" ht="15.75" customHeight="1">
      <c r="A582" s="5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5"/>
      <c r="T582" s="5"/>
      <c r="U582" s="5"/>
      <c r="V582" s="5"/>
      <c r="W582" s="6"/>
      <c r="X582" s="7"/>
      <c r="Y582" s="7"/>
      <c r="Z582" s="5"/>
      <c r="AA582" s="5"/>
      <c r="AB582" s="5"/>
      <c r="AC582" s="5"/>
      <c r="AD582" s="5"/>
    </row>
    <row r="583" spans="1:30" ht="15.75" customHeight="1">
      <c r="A583" s="5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5"/>
      <c r="T583" s="5"/>
      <c r="U583" s="5"/>
      <c r="V583" s="5"/>
      <c r="W583" s="6"/>
      <c r="X583" s="7"/>
      <c r="Y583" s="7"/>
      <c r="Z583" s="5"/>
      <c r="AA583" s="5"/>
      <c r="AB583" s="5"/>
      <c r="AC583" s="5"/>
      <c r="AD583" s="5"/>
    </row>
    <row r="584" spans="1:30" ht="15.75" customHeight="1">
      <c r="A584" s="5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5"/>
      <c r="T584" s="5"/>
      <c r="U584" s="5"/>
      <c r="V584" s="5"/>
      <c r="W584" s="6"/>
      <c r="X584" s="7"/>
      <c r="Y584" s="7"/>
      <c r="Z584" s="5"/>
      <c r="AA584" s="5"/>
      <c r="AB584" s="5"/>
      <c r="AC584" s="5"/>
      <c r="AD584" s="5"/>
    </row>
    <row r="585" spans="1:30" ht="15.75" customHeight="1">
      <c r="A585" s="5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5"/>
      <c r="T585" s="5"/>
      <c r="U585" s="5"/>
      <c r="V585" s="5"/>
      <c r="W585" s="6"/>
      <c r="X585" s="7"/>
      <c r="Y585" s="7"/>
      <c r="Z585" s="5"/>
      <c r="AA585" s="5"/>
      <c r="AB585" s="5"/>
      <c r="AC585" s="5"/>
      <c r="AD585" s="5"/>
    </row>
    <row r="586" spans="1:30" ht="15.75" customHeight="1">
      <c r="A586" s="5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5"/>
      <c r="T586" s="5"/>
      <c r="U586" s="5"/>
      <c r="V586" s="5"/>
      <c r="W586" s="6"/>
      <c r="X586" s="7"/>
      <c r="Y586" s="7"/>
      <c r="Z586" s="5"/>
      <c r="AA586" s="5"/>
      <c r="AB586" s="5"/>
      <c r="AC586" s="5"/>
      <c r="AD586" s="5"/>
    </row>
    <row r="587" spans="1:30" ht="15.75" customHeight="1">
      <c r="A587" s="5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5"/>
      <c r="T587" s="5"/>
      <c r="U587" s="5"/>
      <c r="V587" s="5"/>
      <c r="W587" s="6"/>
      <c r="X587" s="7"/>
      <c r="Y587" s="7"/>
      <c r="Z587" s="5"/>
      <c r="AA587" s="5"/>
      <c r="AB587" s="5"/>
      <c r="AC587" s="5"/>
      <c r="AD587" s="5"/>
    </row>
    <row r="588" spans="1:30" ht="15.75" customHeight="1">
      <c r="A588" s="5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5"/>
      <c r="T588" s="5"/>
      <c r="U588" s="5"/>
      <c r="V588" s="5"/>
      <c r="W588" s="6"/>
      <c r="X588" s="7"/>
      <c r="Y588" s="7"/>
      <c r="Z588" s="5"/>
      <c r="AA588" s="5"/>
      <c r="AB588" s="5"/>
      <c r="AC588" s="5"/>
      <c r="AD588" s="5"/>
    </row>
    <row r="589" spans="1:30" ht="15.75" customHeight="1">
      <c r="A589" s="5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5"/>
      <c r="T589" s="5"/>
      <c r="U589" s="5"/>
      <c r="V589" s="5"/>
      <c r="W589" s="6"/>
      <c r="X589" s="7"/>
      <c r="Y589" s="7"/>
      <c r="Z589" s="5"/>
      <c r="AA589" s="5"/>
      <c r="AB589" s="5"/>
      <c r="AC589" s="5"/>
      <c r="AD589" s="5"/>
    </row>
    <row r="590" spans="1:30" ht="15.75" customHeight="1">
      <c r="A590" s="5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5"/>
      <c r="T590" s="5"/>
      <c r="U590" s="5"/>
      <c r="V590" s="5"/>
      <c r="W590" s="6"/>
      <c r="X590" s="7"/>
      <c r="Y590" s="7"/>
      <c r="Z590" s="5"/>
      <c r="AA590" s="5"/>
      <c r="AB590" s="5"/>
      <c r="AC590" s="5"/>
      <c r="AD590" s="5"/>
    </row>
    <row r="591" spans="1:30" ht="15.75" customHeight="1">
      <c r="A591" s="5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5"/>
      <c r="T591" s="5"/>
      <c r="U591" s="5"/>
      <c r="V591" s="5"/>
      <c r="W591" s="6"/>
      <c r="X591" s="7"/>
      <c r="Y591" s="7"/>
      <c r="Z591" s="5"/>
      <c r="AA591" s="5"/>
      <c r="AB591" s="5"/>
      <c r="AC591" s="5"/>
      <c r="AD591" s="5"/>
    </row>
    <row r="592" spans="1:30" ht="15.75" customHeight="1">
      <c r="A592" s="5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5"/>
      <c r="T592" s="5"/>
      <c r="U592" s="5"/>
      <c r="V592" s="5"/>
      <c r="W592" s="6"/>
      <c r="X592" s="7"/>
      <c r="Y592" s="7"/>
      <c r="Z592" s="5"/>
      <c r="AA592" s="5"/>
      <c r="AB592" s="5"/>
      <c r="AC592" s="5"/>
      <c r="AD592" s="5"/>
    </row>
    <row r="593" spans="1:30" ht="15.75" customHeight="1">
      <c r="A593" s="5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5"/>
      <c r="T593" s="5"/>
      <c r="U593" s="5"/>
      <c r="V593" s="5"/>
      <c r="W593" s="6"/>
      <c r="X593" s="7"/>
      <c r="Y593" s="7"/>
      <c r="Z593" s="5"/>
      <c r="AA593" s="5"/>
      <c r="AB593" s="5"/>
      <c r="AC593" s="5"/>
      <c r="AD593" s="5"/>
    </row>
    <row r="594" spans="1:30" ht="15.75" customHeight="1">
      <c r="A594" s="5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5"/>
      <c r="T594" s="5"/>
      <c r="U594" s="5"/>
      <c r="V594" s="5"/>
      <c r="W594" s="6"/>
      <c r="X594" s="7"/>
      <c r="Y594" s="7"/>
      <c r="Z594" s="5"/>
      <c r="AA594" s="5"/>
      <c r="AB594" s="5"/>
      <c r="AC594" s="5"/>
      <c r="AD594" s="5"/>
    </row>
    <row r="595" spans="1:30" ht="15.75" customHeight="1">
      <c r="A595" s="5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5"/>
      <c r="T595" s="5"/>
      <c r="U595" s="5"/>
      <c r="V595" s="5"/>
      <c r="W595" s="6"/>
      <c r="X595" s="7"/>
      <c r="Y595" s="7"/>
      <c r="Z595" s="5"/>
      <c r="AA595" s="5"/>
      <c r="AB595" s="5"/>
      <c r="AC595" s="5"/>
      <c r="AD595" s="5"/>
    </row>
    <row r="596" spans="1:30" ht="15.75" customHeight="1">
      <c r="A596" s="5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5"/>
      <c r="T596" s="5"/>
      <c r="U596" s="5"/>
      <c r="V596" s="5"/>
      <c r="W596" s="6"/>
      <c r="X596" s="7"/>
      <c r="Y596" s="7"/>
      <c r="Z596" s="5"/>
      <c r="AA596" s="5"/>
      <c r="AB596" s="5"/>
      <c r="AC596" s="5"/>
      <c r="AD596" s="5"/>
    </row>
    <row r="597" spans="1:30" ht="15.75" customHeight="1">
      <c r="A597" s="5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5"/>
      <c r="T597" s="5"/>
      <c r="U597" s="5"/>
      <c r="V597" s="5"/>
      <c r="W597" s="6"/>
      <c r="X597" s="7"/>
      <c r="Y597" s="7"/>
      <c r="Z597" s="5"/>
      <c r="AA597" s="5"/>
      <c r="AB597" s="5"/>
      <c r="AC597" s="5"/>
      <c r="AD597" s="5"/>
    </row>
    <row r="598" spans="1:30" ht="15.75" customHeight="1">
      <c r="A598" s="5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5"/>
      <c r="T598" s="5"/>
      <c r="U598" s="5"/>
      <c r="V598" s="5"/>
      <c r="W598" s="6"/>
      <c r="X598" s="7"/>
      <c r="Y598" s="7"/>
      <c r="Z598" s="5"/>
      <c r="AA598" s="5"/>
      <c r="AB598" s="5"/>
      <c r="AC598" s="5"/>
      <c r="AD598" s="5"/>
    </row>
    <row r="599" spans="1:30" ht="15.75" customHeight="1">
      <c r="A599" s="5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5"/>
      <c r="T599" s="5"/>
      <c r="U599" s="5"/>
      <c r="V599" s="5"/>
      <c r="W599" s="6"/>
      <c r="X599" s="7"/>
      <c r="Y599" s="7"/>
      <c r="Z599" s="5"/>
      <c r="AA599" s="5"/>
      <c r="AB599" s="5"/>
      <c r="AC599" s="5"/>
      <c r="AD599" s="5"/>
    </row>
    <row r="600" spans="1:30" ht="15.75" customHeight="1">
      <c r="A600" s="5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5"/>
      <c r="T600" s="5"/>
      <c r="U600" s="5"/>
      <c r="V600" s="5"/>
      <c r="W600" s="6"/>
      <c r="X600" s="7"/>
      <c r="Y600" s="7"/>
      <c r="Z600" s="5"/>
      <c r="AA600" s="5"/>
      <c r="AB600" s="5"/>
      <c r="AC600" s="5"/>
      <c r="AD600" s="5"/>
    </row>
    <row r="601" spans="1:30" ht="15.75" customHeight="1">
      <c r="A601" s="5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5"/>
      <c r="T601" s="5"/>
      <c r="U601" s="5"/>
      <c r="V601" s="5"/>
      <c r="W601" s="6"/>
      <c r="X601" s="7"/>
      <c r="Y601" s="7"/>
      <c r="Z601" s="5"/>
      <c r="AA601" s="5"/>
      <c r="AB601" s="5"/>
      <c r="AC601" s="5"/>
      <c r="AD601" s="5"/>
    </row>
    <row r="602" spans="1:30" ht="15.75" customHeight="1">
      <c r="A602" s="5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5"/>
      <c r="T602" s="5"/>
      <c r="U602" s="5"/>
      <c r="V602" s="5"/>
      <c r="W602" s="6"/>
      <c r="X602" s="7"/>
      <c r="Y602" s="7"/>
      <c r="Z602" s="5"/>
      <c r="AA602" s="5"/>
      <c r="AB602" s="5"/>
      <c r="AC602" s="5"/>
      <c r="AD602" s="5"/>
    </row>
    <row r="603" spans="1:30" ht="15.75" customHeight="1">
      <c r="A603" s="5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5"/>
      <c r="T603" s="5"/>
      <c r="U603" s="5"/>
      <c r="V603" s="5"/>
      <c r="W603" s="6"/>
      <c r="X603" s="7"/>
      <c r="Y603" s="7"/>
      <c r="Z603" s="5"/>
      <c r="AA603" s="5"/>
      <c r="AB603" s="5"/>
      <c r="AC603" s="5"/>
      <c r="AD603" s="5"/>
    </row>
    <row r="604" spans="1:30" ht="15.75" customHeight="1">
      <c r="A604" s="5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5"/>
      <c r="T604" s="5"/>
      <c r="U604" s="5"/>
      <c r="V604" s="5"/>
      <c r="W604" s="6"/>
      <c r="X604" s="7"/>
      <c r="Y604" s="7"/>
      <c r="Z604" s="5"/>
      <c r="AA604" s="5"/>
      <c r="AB604" s="5"/>
      <c r="AC604" s="5"/>
      <c r="AD604" s="5"/>
    </row>
    <row r="605" spans="1:30" ht="15.75" customHeight="1">
      <c r="A605" s="5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5"/>
      <c r="T605" s="5"/>
      <c r="U605" s="5"/>
      <c r="V605" s="5"/>
      <c r="W605" s="6"/>
      <c r="X605" s="7"/>
      <c r="Y605" s="7"/>
      <c r="Z605" s="5"/>
      <c r="AA605" s="5"/>
      <c r="AB605" s="5"/>
      <c r="AC605" s="5"/>
      <c r="AD605" s="5"/>
    </row>
    <row r="606" spans="1:30" ht="15.75" customHeight="1">
      <c r="A606" s="5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5"/>
      <c r="T606" s="5"/>
      <c r="U606" s="5"/>
      <c r="V606" s="5"/>
      <c r="W606" s="6"/>
      <c r="X606" s="7"/>
      <c r="Y606" s="7"/>
      <c r="Z606" s="5"/>
      <c r="AA606" s="5"/>
      <c r="AB606" s="5"/>
      <c r="AC606" s="5"/>
      <c r="AD606" s="5"/>
    </row>
    <row r="607" spans="1:30" ht="15.75" customHeight="1">
      <c r="A607" s="5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5"/>
      <c r="T607" s="5"/>
      <c r="U607" s="5"/>
      <c r="V607" s="5"/>
      <c r="W607" s="6"/>
      <c r="X607" s="7"/>
      <c r="Y607" s="7"/>
      <c r="Z607" s="5"/>
      <c r="AA607" s="5"/>
      <c r="AB607" s="5"/>
      <c r="AC607" s="5"/>
      <c r="AD607" s="5"/>
    </row>
    <row r="608" spans="1:30" ht="15.75" customHeight="1">
      <c r="A608" s="5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5"/>
      <c r="T608" s="5"/>
      <c r="U608" s="5"/>
      <c r="V608" s="5"/>
      <c r="W608" s="6"/>
      <c r="X608" s="7"/>
      <c r="Y608" s="7"/>
      <c r="Z608" s="5"/>
      <c r="AA608" s="5"/>
      <c r="AB608" s="5"/>
      <c r="AC608" s="5"/>
      <c r="AD608" s="5"/>
    </row>
    <row r="609" spans="1:30" ht="15.75" customHeight="1">
      <c r="A609" s="5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5"/>
      <c r="T609" s="5"/>
      <c r="U609" s="5"/>
      <c r="V609" s="5"/>
      <c r="W609" s="6"/>
      <c r="X609" s="7"/>
      <c r="Y609" s="7"/>
      <c r="Z609" s="5"/>
      <c r="AA609" s="5"/>
      <c r="AB609" s="5"/>
      <c r="AC609" s="5"/>
      <c r="AD609" s="5"/>
    </row>
    <row r="610" spans="1:30" ht="15.75" customHeight="1">
      <c r="A610" s="5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5"/>
      <c r="T610" s="5"/>
      <c r="U610" s="5"/>
      <c r="V610" s="5"/>
      <c r="W610" s="6"/>
      <c r="X610" s="7"/>
      <c r="Y610" s="7"/>
      <c r="Z610" s="5"/>
      <c r="AA610" s="5"/>
      <c r="AB610" s="5"/>
      <c r="AC610" s="5"/>
      <c r="AD610" s="5"/>
    </row>
    <row r="611" spans="1:30" ht="15.75" customHeight="1">
      <c r="A611" s="5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5"/>
      <c r="T611" s="5"/>
      <c r="U611" s="5"/>
      <c r="V611" s="5"/>
      <c r="W611" s="6"/>
      <c r="X611" s="7"/>
      <c r="Y611" s="7"/>
      <c r="Z611" s="5"/>
      <c r="AA611" s="5"/>
      <c r="AB611" s="5"/>
      <c r="AC611" s="5"/>
      <c r="AD611" s="5"/>
    </row>
    <row r="612" spans="1:30" ht="15.75" customHeight="1">
      <c r="A612" s="5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5"/>
      <c r="T612" s="5"/>
      <c r="U612" s="5"/>
      <c r="V612" s="5"/>
      <c r="W612" s="6"/>
      <c r="X612" s="7"/>
      <c r="Y612" s="7"/>
      <c r="Z612" s="5"/>
      <c r="AA612" s="5"/>
      <c r="AB612" s="5"/>
      <c r="AC612" s="5"/>
      <c r="AD612" s="5"/>
    </row>
    <row r="613" spans="1:30" ht="15.75" customHeight="1">
      <c r="A613" s="5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5"/>
      <c r="T613" s="5"/>
      <c r="U613" s="5"/>
      <c r="V613" s="5"/>
      <c r="W613" s="6"/>
      <c r="X613" s="7"/>
      <c r="Y613" s="7"/>
      <c r="Z613" s="5"/>
      <c r="AA613" s="5"/>
      <c r="AB613" s="5"/>
      <c r="AC613" s="5"/>
      <c r="AD613" s="5"/>
    </row>
    <row r="614" spans="1:30" ht="15.75" customHeight="1">
      <c r="A614" s="5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5"/>
      <c r="T614" s="5"/>
      <c r="U614" s="5"/>
      <c r="V614" s="5"/>
      <c r="W614" s="6"/>
      <c r="X614" s="7"/>
      <c r="Y614" s="7"/>
      <c r="Z614" s="5"/>
      <c r="AA614" s="5"/>
      <c r="AB614" s="5"/>
      <c r="AC614" s="5"/>
      <c r="AD614" s="5"/>
    </row>
    <row r="615" spans="1:30" ht="15.75" customHeight="1">
      <c r="A615" s="5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5"/>
      <c r="T615" s="5"/>
      <c r="U615" s="5"/>
      <c r="V615" s="5"/>
      <c r="W615" s="6"/>
      <c r="X615" s="7"/>
      <c r="Y615" s="7"/>
      <c r="Z615" s="5"/>
      <c r="AA615" s="5"/>
      <c r="AB615" s="5"/>
      <c r="AC615" s="5"/>
      <c r="AD615" s="5"/>
    </row>
    <row r="616" spans="1:30" ht="15.75" customHeight="1">
      <c r="A616" s="5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5"/>
      <c r="T616" s="5"/>
      <c r="U616" s="5"/>
      <c r="V616" s="5"/>
      <c r="W616" s="6"/>
      <c r="X616" s="7"/>
      <c r="Y616" s="7"/>
      <c r="Z616" s="5"/>
      <c r="AA616" s="5"/>
      <c r="AB616" s="5"/>
      <c r="AC616" s="5"/>
      <c r="AD616" s="5"/>
    </row>
    <row r="617" spans="1:30" ht="15.75" customHeight="1">
      <c r="A617" s="5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5"/>
      <c r="T617" s="5"/>
      <c r="U617" s="5"/>
      <c r="V617" s="5"/>
      <c r="W617" s="6"/>
      <c r="X617" s="7"/>
      <c r="Y617" s="7"/>
      <c r="Z617" s="5"/>
      <c r="AA617" s="5"/>
      <c r="AB617" s="5"/>
      <c r="AC617" s="5"/>
      <c r="AD617" s="5"/>
    </row>
    <row r="618" spans="1:30" ht="15.75" customHeight="1">
      <c r="A618" s="5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5"/>
      <c r="T618" s="5"/>
      <c r="U618" s="5"/>
      <c r="V618" s="5"/>
      <c r="W618" s="6"/>
      <c r="X618" s="7"/>
      <c r="Y618" s="7"/>
      <c r="Z618" s="5"/>
      <c r="AA618" s="5"/>
      <c r="AB618" s="5"/>
      <c r="AC618" s="5"/>
      <c r="AD618" s="5"/>
    </row>
    <row r="619" spans="1:30" ht="15.75" customHeight="1">
      <c r="A619" s="5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5"/>
      <c r="T619" s="5"/>
      <c r="U619" s="5"/>
      <c r="V619" s="5"/>
      <c r="W619" s="6"/>
      <c r="X619" s="7"/>
      <c r="Y619" s="7"/>
      <c r="Z619" s="5"/>
      <c r="AA619" s="5"/>
      <c r="AB619" s="5"/>
      <c r="AC619" s="5"/>
      <c r="AD619" s="5"/>
    </row>
    <row r="620" spans="1:30" ht="15.75" customHeight="1">
      <c r="A620" s="5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5"/>
      <c r="T620" s="5"/>
      <c r="U620" s="5"/>
      <c r="V620" s="5"/>
      <c r="W620" s="6"/>
      <c r="X620" s="7"/>
      <c r="Y620" s="7"/>
      <c r="Z620" s="5"/>
      <c r="AA620" s="5"/>
      <c r="AB620" s="5"/>
      <c r="AC620" s="5"/>
      <c r="AD620" s="5"/>
    </row>
    <row r="621" spans="1:30" ht="15.75" customHeight="1">
      <c r="A621" s="5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5"/>
      <c r="T621" s="5"/>
      <c r="U621" s="5"/>
      <c r="V621" s="5"/>
      <c r="W621" s="6"/>
      <c r="X621" s="7"/>
      <c r="Y621" s="7"/>
      <c r="Z621" s="5"/>
      <c r="AA621" s="5"/>
      <c r="AB621" s="5"/>
      <c r="AC621" s="5"/>
      <c r="AD621" s="5"/>
    </row>
    <row r="622" spans="1:30" ht="15.75" customHeight="1">
      <c r="A622" s="5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5"/>
      <c r="T622" s="5"/>
      <c r="U622" s="5"/>
      <c r="V622" s="5"/>
      <c r="W622" s="6"/>
      <c r="X622" s="7"/>
      <c r="Y622" s="7"/>
      <c r="Z622" s="5"/>
      <c r="AA622" s="5"/>
      <c r="AB622" s="5"/>
      <c r="AC622" s="5"/>
      <c r="AD622" s="5"/>
    </row>
    <row r="623" spans="1:30" ht="15.75" customHeight="1">
      <c r="A623" s="5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5"/>
      <c r="T623" s="5"/>
      <c r="U623" s="5"/>
      <c r="V623" s="5"/>
      <c r="W623" s="6"/>
      <c r="X623" s="7"/>
      <c r="Y623" s="7"/>
      <c r="Z623" s="5"/>
      <c r="AA623" s="5"/>
      <c r="AB623" s="5"/>
      <c r="AC623" s="5"/>
      <c r="AD623" s="5"/>
    </row>
    <row r="624" spans="1:30" ht="15.75" customHeight="1">
      <c r="A624" s="5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5"/>
      <c r="T624" s="5"/>
      <c r="U624" s="5"/>
      <c r="V624" s="5"/>
      <c r="W624" s="6"/>
      <c r="X624" s="7"/>
      <c r="Y624" s="7"/>
      <c r="Z624" s="5"/>
      <c r="AA624" s="5"/>
      <c r="AB624" s="5"/>
      <c r="AC624" s="5"/>
      <c r="AD624" s="5"/>
    </row>
    <row r="625" spans="1:30" ht="15.75" customHeight="1">
      <c r="A625" s="5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5"/>
      <c r="T625" s="5"/>
      <c r="U625" s="5"/>
      <c r="V625" s="5"/>
      <c r="W625" s="6"/>
      <c r="X625" s="7"/>
      <c r="Y625" s="7"/>
      <c r="Z625" s="5"/>
      <c r="AA625" s="5"/>
      <c r="AB625" s="5"/>
      <c r="AC625" s="5"/>
      <c r="AD625" s="5"/>
    </row>
    <row r="626" spans="1:30" ht="15.75" customHeight="1">
      <c r="A626" s="5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5"/>
      <c r="T626" s="5"/>
      <c r="U626" s="5"/>
      <c r="V626" s="5"/>
      <c r="W626" s="6"/>
      <c r="X626" s="7"/>
      <c r="Y626" s="7"/>
      <c r="Z626" s="5"/>
      <c r="AA626" s="5"/>
      <c r="AB626" s="5"/>
      <c r="AC626" s="5"/>
      <c r="AD626" s="5"/>
    </row>
    <row r="627" spans="1:30" ht="15.75" customHeight="1">
      <c r="A627" s="5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5"/>
      <c r="T627" s="5"/>
      <c r="U627" s="5"/>
      <c r="V627" s="5"/>
      <c r="W627" s="6"/>
      <c r="X627" s="7"/>
      <c r="Y627" s="7"/>
      <c r="Z627" s="5"/>
      <c r="AA627" s="5"/>
      <c r="AB627" s="5"/>
      <c r="AC627" s="5"/>
      <c r="AD627" s="5"/>
    </row>
    <row r="628" spans="1:30" ht="15.75" customHeight="1">
      <c r="A628" s="5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5"/>
      <c r="T628" s="5"/>
      <c r="U628" s="5"/>
      <c r="V628" s="5"/>
      <c r="W628" s="6"/>
      <c r="X628" s="7"/>
      <c r="Y628" s="7"/>
      <c r="Z628" s="5"/>
      <c r="AA628" s="5"/>
      <c r="AB628" s="5"/>
      <c r="AC628" s="5"/>
      <c r="AD628" s="5"/>
    </row>
    <row r="629" spans="1:30" ht="15.75" customHeight="1">
      <c r="A629" s="5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5"/>
      <c r="T629" s="5"/>
      <c r="U629" s="5"/>
      <c r="V629" s="5"/>
      <c r="W629" s="6"/>
      <c r="X629" s="7"/>
      <c r="Y629" s="7"/>
      <c r="Z629" s="5"/>
      <c r="AA629" s="5"/>
      <c r="AB629" s="5"/>
      <c r="AC629" s="5"/>
      <c r="AD629" s="5"/>
    </row>
    <row r="630" spans="1:30" ht="15.75" customHeight="1">
      <c r="A630" s="5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5"/>
      <c r="T630" s="5"/>
      <c r="U630" s="5"/>
      <c r="V630" s="5"/>
      <c r="W630" s="6"/>
      <c r="X630" s="7"/>
      <c r="Y630" s="7"/>
      <c r="Z630" s="5"/>
      <c r="AA630" s="5"/>
      <c r="AB630" s="5"/>
      <c r="AC630" s="5"/>
      <c r="AD630" s="5"/>
    </row>
    <row r="631" spans="1:30" ht="15.75" customHeight="1">
      <c r="A631" s="5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5"/>
      <c r="T631" s="5"/>
      <c r="U631" s="5"/>
      <c r="V631" s="5"/>
      <c r="W631" s="6"/>
      <c r="X631" s="7"/>
      <c r="Y631" s="7"/>
      <c r="Z631" s="5"/>
      <c r="AA631" s="5"/>
      <c r="AB631" s="5"/>
      <c r="AC631" s="5"/>
      <c r="AD631" s="5"/>
    </row>
    <row r="632" spans="1:30" ht="15.75" customHeight="1">
      <c r="A632" s="5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5"/>
      <c r="T632" s="5"/>
      <c r="U632" s="5"/>
      <c r="V632" s="5"/>
      <c r="W632" s="6"/>
      <c r="X632" s="7"/>
      <c r="Y632" s="7"/>
      <c r="Z632" s="5"/>
      <c r="AA632" s="5"/>
      <c r="AB632" s="5"/>
      <c r="AC632" s="5"/>
      <c r="AD632" s="5"/>
    </row>
    <row r="633" spans="1:30" ht="15.75" customHeight="1">
      <c r="A633" s="5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5"/>
      <c r="T633" s="5"/>
      <c r="U633" s="5"/>
      <c r="V633" s="5"/>
      <c r="W633" s="6"/>
      <c r="X633" s="7"/>
      <c r="Y633" s="7"/>
      <c r="Z633" s="5"/>
      <c r="AA633" s="5"/>
      <c r="AB633" s="5"/>
      <c r="AC633" s="5"/>
      <c r="AD633" s="5"/>
    </row>
    <row r="634" spans="1:30" ht="15.75" customHeight="1">
      <c r="A634" s="5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5"/>
      <c r="T634" s="5"/>
      <c r="U634" s="5"/>
      <c r="V634" s="5"/>
      <c r="W634" s="6"/>
      <c r="X634" s="7"/>
      <c r="Y634" s="7"/>
      <c r="Z634" s="5"/>
      <c r="AA634" s="5"/>
      <c r="AB634" s="5"/>
      <c r="AC634" s="5"/>
      <c r="AD634" s="5"/>
    </row>
    <row r="635" spans="1:30" ht="15.75" customHeight="1">
      <c r="A635" s="5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5"/>
      <c r="T635" s="5"/>
      <c r="U635" s="5"/>
      <c r="V635" s="5"/>
      <c r="W635" s="6"/>
      <c r="X635" s="7"/>
      <c r="Y635" s="7"/>
      <c r="Z635" s="5"/>
      <c r="AA635" s="5"/>
      <c r="AB635" s="5"/>
      <c r="AC635" s="5"/>
      <c r="AD635" s="5"/>
    </row>
    <row r="636" spans="1:30" ht="15.75" customHeight="1">
      <c r="A636" s="5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5"/>
      <c r="T636" s="5"/>
      <c r="U636" s="5"/>
      <c r="V636" s="5"/>
      <c r="W636" s="6"/>
      <c r="X636" s="7"/>
      <c r="Y636" s="7"/>
      <c r="Z636" s="5"/>
      <c r="AA636" s="5"/>
      <c r="AB636" s="5"/>
      <c r="AC636" s="5"/>
      <c r="AD636" s="5"/>
    </row>
    <row r="637" spans="1:30" ht="15.75" customHeight="1">
      <c r="A637" s="5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5"/>
      <c r="T637" s="5"/>
      <c r="U637" s="5"/>
      <c r="V637" s="5"/>
      <c r="W637" s="6"/>
      <c r="X637" s="7"/>
      <c r="Y637" s="7"/>
      <c r="Z637" s="5"/>
      <c r="AA637" s="5"/>
      <c r="AB637" s="5"/>
      <c r="AC637" s="5"/>
      <c r="AD637" s="5"/>
    </row>
    <row r="638" spans="1:30" ht="15.75" customHeight="1">
      <c r="A638" s="5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5"/>
      <c r="T638" s="5"/>
      <c r="U638" s="5"/>
      <c r="V638" s="5"/>
      <c r="W638" s="6"/>
      <c r="X638" s="7"/>
      <c r="Y638" s="7"/>
      <c r="Z638" s="5"/>
      <c r="AA638" s="5"/>
      <c r="AB638" s="5"/>
      <c r="AC638" s="5"/>
      <c r="AD638" s="5"/>
    </row>
    <row r="639" spans="1:30" ht="15.75" customHeight="1">
      <c r="A639" s="5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5"/>
      <c r="T639" s="5"/>
      <c r="U639" s="5"/>
      <c r="V639" s="5"/>
      <c r="W639" s="6"/>
      <c r="X639" s="7"/>
      <c r="Y639" s="7"/>
      <c r="Z639" s="5"/>
      <c r="AA639" s="5"/>
      <c r="AB639" s="5"/>
      <c r="AC639" s="5"/>
      <c r="AD639" s="5"/>
    </row>
    <row r="640" spans="1:30" ht="15.75" customHeight="1">
      <c r="A640" s="5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5"/>
      <c r="T640" s="5"/>
      <c r="U640" s="5"/>
      <c r="V640" s="5"/>
      <c r="W640" s="6"/>
      <c r="X640" s="7"/>
      <c r="Y640" s="7"/>
      <c r="Z640" s="5"/>
      <c r="AA640" s="5"/>
      <c r="AB640" s="5"/>
      <c r="AC640" s="5"/>
      <c r="AD640" s="5"/>
    </row>
    <row r="641" spans="1:30" ht="15.75" customHeight="1">
      <c r="A641" s="5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5"/>
      <c r="T641" s="5"/>
      <c r="U641" s="5"/>
      <c r="V641" s="5"/>
      <c r="W641" s="6"/>
      <c r="X641" s="7"/>
      <c r="Y641" s="7"/>
      <c r="Z641" s="5"/>
      <c r="AA641" s="5"/>
      <c r="AB641" s="5"/>
      <c r="AC641" s="5"/>
      <c r="AD641" s="5"/>
    </row>
    <row r="642" spans="1:30" ht="15.75" customHeight="1">
      <c r="A642" s="5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5"/>
      <c r="T642" s="5"/>
      <c r="U642" s="5"/>
      <c r="V642" s="5"/>
      <c r="W642" s="6"/>
      <c r="X642" s="7"/>
      <c r="Y642" s="7"/>
      <c r="Z642" s="5"/>
      <c r="AA642" s="5"/>
      <c r="AB642" s="5"/>
      <c r="AC642" s="5"/>
      <c r="AD642" s="5"/>
    </row>
    <row r="643" spans="1:30" ht="15.75" customHeight="1">
      <c r="A643" s="5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5"/>
      <c r="T643" s="5"/>
      <c r="U643" s="5"/>
      <c r="V643" s="5"/>
      <c r="W643" s="6"/>
      <c r="X643" s="7"/>
      <c r="Y643" s="7"/>
      <c r="Z643" s="5"/>
      <c r="AA643" s="5"/>
      <c r="AB643" s="5"/>
      <c r="AC643" s="5"/>
      <c r="AD643" s="5"/>
    </row>
    <row r="644" spans="1:30" ht="15.75" customHeight="1">
      <c r="A644" s="5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5"/>
      <c r="T644" s="5"/>
      <c r="U644" s="5"/>
      <c r="V644" s="5"/>
      <c r="W644" s="6"/>
      <c r="X644" s="7"/>
      <c r="Y644" s="7"/>
      <c r="Z644" s="5"/>
      <c r="AA644" s="5"/>
      <c r="AB644" s="5"/>
      <c r="AC644" s="5"/>
      <c r="AD644" s="5"/>
    </row>
    <row r="645" spans="1:30" ht="15.75" customHeight="1">
      <c r="A645" s="5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5"/>
      <c r="T645" s="5"/>
      <c r="U645" s="5"/>
      <c r="V645" s="5"/>
      <c r="W645" s="6"/>
      <c r="X645" s="7"/>
      <c r="Y645" s="7"/>
      <c r="Z645" s="5"/>
      <c r="AA645" s="5"/>
      <c r="AB645" s="5"/>
      <c r="AC645" s="5"/>
      <c r="AD645" s="5"/>
    </row>
    <row r="646" spans="1:30" ht="15.75" customHeight="1">
      <c r="A646" s="5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5"/>
      <c r="T646" s="5"/>
      <c r="U646" s="5"/>
      <c r="V646" s="5"/>
      <c r="W646" s="6"/>
      <c r="X646" s="7"/>
      <c r="Y646" s="7"/>
      <c r="Z646" s="5"/>
      <c r="AA646" s="5"/>
      <c r="AB646" s="5"/>
      <c r="AC646" s="5"/>
      <c r="AD646" s="5"/>
    </row>
    <row r="647" spans="1:30" ht="15.75" customHeight="1">
      <c r="A647" s="5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5"/>
      <c r="T647" s="5"/>
      <c r="U647" s="5"/>
      <c r="V647" s="5"/>
      <c r="W647" s="6"/>
      <c r="X647" s="7"/>
      <c r="Y647" s="7"/>
      <c r="Z647" s="5"/>
      <c r="AA647" s="5"/>
      <c r="AB647" s="5"/>
      <c r="AC647" s="5"/>
      <c r="AD647" s="5"/>
    </row>
    <row r="648" spans="1:30" ht="15.75" customHeight="1">
      <c r="A648" s="5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5"/>
      <c r="T648" s="5"/>
      <c r="U648" s="5"/>
      <c r="V648" s="5"/>
      <c r="W648" s="6"/>
      <c r="X648" s="7"/>
      <c r="Y648" s="7"/>
      <c r="Z648" s="5"/>
      <c r="AA648" s="5"/>
      <c r="AB648" s="5"/>
      <c r="AC648" s="5"/>
      <c r="AD648" s="5"/>
    </row>
    <row r="649" spans="1:30" ht="15.75" customHeight="1">
      <c r="A649" s="5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5"/>
      <c r="T649" s="5"/>
      <c r="U649" s="5"/>
      <c r="V649" s="5"/>
      <c r="W649" s="6"/>
      <c r="X649" s="7"/>
      <c r="Y649" s="7"/>
      <c r="Z649" s="5"/>
      <c r="AA649" s="5"/>
      <c r="AB649" s="5"/>
      <c r="AC649" s="5"/>
      <c r="AD649" s="5"/>
    </row>
    <row r="650" spans="1:30" ht="15.75" customHeight="1">
      <c r="A650" s="5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5"/>
      <c r="T650" s="5"/>
      <c r="U650" s="5"/>
      <c r="V650" s="5"/>
      <c r="W650" s="6"/>
      <c r="X650" s="7"/>
      <c r="Y650" s="7"/>
      <c r="Z650" s="5"/>
      <c r="AA650" s="5"/>
      <c r="AB650" s="5"/>
      <c r="AC650" s="5"/>
      <c r="AD650" s="5"/>
    </row>
    <row r="651" spans="1:30" ht="15.75" customHeight="1">
      <c r="A651" s="5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5"/>
      <c r="T651" s="5"/>
      <c r="U651" s="5"/>
      <c r="V651" s="5"/>
      <c r="W651" s="6"/>
      <c r="X651" s="7"/>
      <c r="Y651" s="7"/>
      <c r="Z651" s="5"/>
      <c r="AA651" s="5"/>
      <c r="AB651" s="5"/>
      <c r="AC651" s="5"/>
      <c r="AD651" s="5"/>
    </row>
    <row r="652" spans="1:30" ht="15.75" customHeight="1">
      <c r="A652" s="5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5"/>
      <c r="T652" s="5"/>
      <c r="U652" s="5"/>
      <c r="V652" s="5"/>
      <c r="W652" s="6"/>
      <c r="X652" s="7"/>
      <c r="Y652" s="7"/>
      <c r="Z652" s="5"/>
      <c r="AA652" s="5"/>
      <c r="AB652" s="5"/>
      <c r="AC652" s="5"/>
      <c r="AD652" s="5"/>
    </row>
    <row r="653" spans="1:30" ht="15.75" customHeight="1">
      <c r="A653" s="5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5"/>
      <c r="T653" s="5"/>
      <c r="U653" s="5"/>
      <c r="V653" s="5"/>
      <c r="W653" s="6"/>
      <c r="X653" s="7"/>
      <c r="Y653" s="7"/>
      <c r="Z653" s="5"/>
      <c r="AA653" s="5"/>
      <c r="AB653" s="5"/>
      <c r="AC653" s="5"/>
      <c r="AD653" s="5"/>
    </row>
    <row r="654" spans="1:30" ht="15.75" customHeight="1">
      <c r="A654" s="5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5"/>
      <c r="T654" s="5"/>
      <c r="U654" s="5"/>
      <c r="V654" s="5"/>
      <c r="W654" s="6"/>
      <c r="X654" s="7"/>
      <c r="Y654" s="7"/>
      <c r="Z654" s="5"/>
      <c r="AA654" s="5"/>
      <c r="AB654" s="5"/>
      <c r="AC654" s="5"/>
      <c r="AD654" s="5"/>
    </row>
    <row r="655" spans="1:30" ht="15.75" customHeight="1">
      <c r="A655" s="5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5"/>
      <c r="T655" s="5"/>
      <c r="U655" s="5"/>
      <c r="V655" s="5"/>
      <c r="W655" s="6"/>
      <c r="X655" s="7"/>
      <c r="Y655" s="7"/>
      <c r="Z655" s="5"/>
      <c r="AA655" s="5"/>
      <c r="AB655" s="5"/>
      <c r="AC655" s="5"/>
      <c r="AD655" s="5"/>
    </row>
    <row r="656" spans="1:30" ht="15.75" customHeight="1">
      <c r="A656" s="5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5"/>
      <c r="T656" s="5"/>
      <c r="U656" s="5"/>
      <c r="V656" s="5"/>
      <c r="W656" s="6"/>
      <c r="X656" s="7"/>
      <c r="Y656" s="7"/>
      <c r="Z656" s="5"/>
      <c r="AA656" s="5"/>
      <c r="AB656" s="5"/>
      <c r="AC656" s="5"/>
      <c r="AD656" s="5"/>
    </row>
    <row r="657" spans="1:30" ht="15.75" customHeight="1">
      <c r="A657" s="5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5"/>
      <c r="T657" s="5"/>
      <c r="U657" s="5"/>
      <c r="V657" s="5"/>
      <c r="W657" s="6"/>
      <c r="X657" s="7"/>
      <c r="Y657" s="7"/>
      <c r="Z657" s="5"/>
      <c r="AA657" s="5"/>
      <c r="AB657" s="5"/>
      <c r="AC657" s="5"/>
      <c r="AD657" s="5"/>
    </row>
    <row r="658" spans="1:30" ht="15.75" customHeight="1">
      <c r="A658" s="5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5"/>
      <c r="T658" s="5"/>
      <c r="U658" s="5"/>
      <c r="V658" s="5"/>
      <c r="W658" s="6"/>
      <c r="X658" s="7"/>
      <c r="Y658" s="7"/>
      <c r="Z658" s="5"/>
      <c r="AA658" s="5"/>
      <c r="AB658" s="5"/>
      <c r="AC658" s="5"/>
      <c r="AD658" s="5"/>
    </row>
    <row r="659" spans="1:30" ht="15.75" customHeight="1">
      <c r="A659" s="5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5"/>
      <c r="T659" s="5"/>
      <c r="U659" s="5"/>
      <c r="V659" s="5"/>
      <c r="W659" s="6"/>
      <c r="X659" s="7"/>
      <c r="Y659" s="7"/>
      <c r="Z659" s="5"/>
      <c r="AA659" s="5"/>
      <c r="AB659" s="5"/>
      <c r="AC659" s="5"/>
      <c r="AD659" s="5"/>
    </row>
    <row r="660" spans="1:30" ht="15.75" customHeight="1">
      <c r="A660" s="5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5"/>
      <c r="T660" s="5"/>
      <c r="U660" s="5"/>
      <c r="V660" s="5"/>
      <c r="W660" s="6"/>
      <c r="X660" s="7"/>
      <c r="Y660" s="7"/>
      <c r="Z660" s="5"/>
      <c r="AA660" s="5"/>
      <c r="AB660" s="5"/>
      <c r="AC660" s="5"/>
      <c r="AD660" s="5"/>
    </row>
    <row r="661" spans="1:30" ht="15.75" customHeight="1">
      <c r="A661" s="5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5"/>
      <c r="T661" s="5"/>
      <c r="U661" s="5"/>
      <c r="V661" s="5"/>
      <c r="W661" s="6"/>
      <c r="X661" s="7"/>
      <c r="Y661" s="7"/>
      <c r="Z661" s="5"/>
      <c r="AA661" s="5"/>
      <c r="AB661" s="5"/>
      <c r="AC661" s="5"/>
      <c r="AD661" s="5"/>
    </row>
    <row r="662" spans="1:30" ht="15.75" customHeight="1">
      <c r="A662" s="5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5"/>
      <c r="T662" s="5"/>
      <c r="U662" s="5"/>
      <c r="V662" s="5"/>
      <c r="W662" s="6"/>
      <c r="X662" s="7"/>
      <c r="Y662" s="7"/>
      <c r="Z662" s="5"/>
      <c r="AA662" s="5"/>
      <c r="AB662" s="5"/>
      <c r="AC662" s="5"/>
      <c r="AD662" s="5"/>
    </row>
    <row r="663" spans="1:30" ht="15.75" customHeight="1">
      <c r="A663" s="5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5"/>
      <c r="T663" s="5"/>
      <c r="U663" s="5"/>
      <c r="V663" s="5"/>
      <c r="W663" s="6"/>
      <c r="X663" s="7"/>
      <c r="Y663" s="7"/>
      <c r="Z663" s="5"/>
      <c r="AA663" s="5"/>
      <c r="AB663" s="5"/>
      <c r="AC663" s="5"/>
      <c r="AD663" s="5"/>
    </row>
    <row r="664" spans="1:30" ht="15.75" customHeight="1">
      <c r="A664" s="5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5"/>
      <c r="T664" s="5"/>
      <c r="U664" s="5"/>
      <c r="V664" s="5"/>
      <c r="W664" s="6"/>
      <c r="X664" s="7"/>
      <c r="Y664" s="7"/>
      <c r="Z664" s="5"/>
      <c r="AA664" s="5"/>
      <c r="AB664" s="5"/>
      <c r="AC664" s="5"/>
      <c r="AD664" s="5"/>
    </row>
    <row r="665" spans="1:30" ht="15.75" customHeight="1">
      <c r="A665" s="5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5"/>
      <c r="T665" s="5"/>
      <c r="U665" s="5"/>
      <c r="V665" s="5"/>
      <c r="W665" s="6"/>
      <c r="X665" s="7"/>
      <c r="Y665" s="7"/>
      <c r="Z665" s="5"/>
      <c r="AA665" s="5"/>
      <c r="AB665" s="5"/>
      <c r="AC665" s="5"/>
      <c r="AD665" s="5"/>
    </row>
    <row r="666" spans="1:30" ht="15.75" customHeight="1">
      <c r="A666" s="5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5"/>
      <c r="T666" s="5"/>
      <c r="U666" s="5"/>
      <c r="V666" s="5"/>
      <c r="W666" s="6"/>
      <c r="X666" s="7"/>
      <c r="Y666" s="7"/>
      <c r="Z666" s="5"/>
      <c r="AA666" s="5"/>
      <c r="AB666" s="5"/>
      <c r="AC666" s="5"/>
      <c r="AD666" s="5"/>
    </row>
    <row r="667" spans="1:30" ht="15.75" customHeight="1">
      <c r="A667" s="5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5"/>
      <c r="T667" s="5"/>
      <c r="U667" s="5"/>
      <c r="V667" s="5"/>
      <c r="W667" s="6"/>
      <c r="X667" s="7"/>
      <c r="Y667" s="7"/>
      <c r="Z667" s="5"/>
      <c r="AA667" s="5"/>
      <c r="AB667" s="5"/>
      <c r="AC667" s="5"/>
      <c r="AD667" s="5"/>
    </row>
    <row r="668" spans="1:30" ht="15.75" customHeight="1">
      <c r="A668" s="5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5"/>
      <c r="T668" s="5"/>
      <c r="U668" s="5"/>
      <c r="V668" s="5"/>
      <c r="W668" s="6"/>
      <c r="X668" s="7"/>
      <c r="Y668" s="7"/>
      <c r="Z668" s="5"/>
      <c r="AA668" s="5"/>
      <c r="AB668" s="5"/>
      <c r="AC668" s="5"/>
      <c r="AD668" s="5"/>
    </row>
    <row r="669" spans="1:30" ht="15.75" customHeight="1">
      <c r="A669" s="5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5"/>
      <c r="T669" s="5"/>
      <c r="U669" s="5"/>
      <c r="V669" s="5"/>
      <c r="W669" s="6"/>
      <c r="X669" s="7"/>
      <c r="Y669" s="7"/>
      <c r="Z669" s="5"/>
      <c r="AA669" s="5"/>
      <c r="AB669" s="5"/>
      <c r="AC669" s="5"/>
      <c r="AD669" s="5"/>
    </row>
    <row r="670" spans="1:30" ht="15.75" customHeight="1">
      <c r="A670" s="5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5"/>
      <c r="T670" s="5"/>
      <c r="U670" s="5"/>
      <c r="V670" s="5"/>
      <c r="W670" s="6"/>
      <c r="X670" s="7"/>
      <c r="Y670" s="7"/>
      <c r="Z670" s="5"/>
      <c r="AA670" s="5"/>
      <c r="AB670" s="5"/>
      <c r="AC670" s="5"/>
      <c r="AD670" s="5"/>
    </row>
    <row r="671" spans="1:30" ht="15.75" customHeight="1">
      <c r="A671" s="5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5"/>
      <c r="T671" s="5"/>
      <c r="U671" s="5"/>
      <c r="V671" s="5"/>
      <c r="W671" s="6"/>
      <c r="X671" s="7"/>
      <c r="Y671" s="7"/>
      <c r="Z671" s="5"/>
      <c r="AA671" s="5"/>
      <c r="AB671" s="5"/>
      <c r="AC671" s="5"/>
      <c r="AD671" s="5"/>
    </row>
    <row r="672" spans="1:30" ht="15.75" customHeight="1">
      <c r="A672" s="5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5"/>
      <c r="T672" s="5"/>
      <c r="U672" s="5"/>
      <c r="V672" s="5"/>
      <c r="W672" s="6"/>
      <c r="X672" s="7"/>
      <c r="Y672" s="7"/>
      <c r="Z672" s="5"/>
      <c r="AA672" s="5"/>
      <c r="AB672" s="5"/>
      <c r="AC672" s="5"/>
      <c r="AD672" s="5"/>
    </row>
    <row r="673" spans="1:30" ht="15.75" customHeight="1">
      <c r="A673" s="5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5"/>
      <c r="T673" s="5"/>
      <c r="U673" s="5"/>
      <c r="V673" s="5"/>
      <c r="W673" s="6"/>
      <c r="X673" s="7"/>
      <c r="Y673" s="7"/>
      <c r="Z673" s="5"/>
      <c r="AA673" s="5"/>
      <c r="AB673" s="5"/>
      <c r="AC673" s="5"/>
      <c r="AD673" s="5"/>
    </row>
    <row r="674" spans="1:30" ht="15.75" customHeight="1">
      <c r="A674" s="5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5"/>
      <c r="T674" s="5"/>
      <c r="U674" s="5"/>
      <c r="V674" s="5"/>
      <c r="W674" s="6"/>
      <c r="X674" s="7"/>
      <c r="Y674" s="7"/>
      <c r="Z674" s="5"/>
      <c r="AA674" s="5"/>
      <c r="AB674" s="5"/>
      <c r="AC674" s="5"/>
      <c r="AD674" s="5"/>
    </row>
    <row r="675" spans="1:30" ht="15.75" customHeight="1">
      <c r="A675" s="5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5"/>
      <c r="T675" s="5"/>
      <c r="U675" s="5"/>
      <c r="V675" s="5"/>
      <c r="W675" s="6"/>
      <c r="X675" s="7"/>
      <c r="Y675" s="7"/>
      <c r="Z675" s="5"/>
      <c r="AA675" s="5"/>
      <c r="AB675" s="5"/>
      <c r="AC675" s="5"/>
      <c r="AD675" s="5"/>
    </row>
    <row r="676" spans="1:30" ht="15.75" customHeight="1">
      <c r="A676" s="5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5"/>
      <c r="T676" s="5"/>
      <c r="U676" s="5"/>
      <c r="V676" s="5"/>
      <c r="W676" s="6"/>
      <c r="X676" s="7"/>
      <c r="Y676" s="7"/>
      <c r="Z676" s="5"/>
      <c r="AA676" s="5"/>
      <c r="AB676" s="5"/>
      <c r="AC676" s="5"/>
      <c r="AD676" s="5"/>
    </row>
    <row r="677" spans="1:30" ht="15.75" customHeight="1">
      <c r="A677" s="5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5"/>
      <c r="T677" s="5"/>
      <c r="U677" s="5"/>
      <c r="V677" s="5"/>
      <c r="W677" s="6"/>
      <c r="X677" s="7"/>
      <c r="Y677" s="7"/>
      <c r="Z677" s="5"/>
      <c r="AA677" s="5"/>
      <c r="AB677" s="5"/>
      <c r="AC677" s="5"/>
      <c r="AD677" s="5"/>
    </row>
    <row r="678" spans="1:30" ht="15.75" customHeight="1">
      <c r="A678" s="5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5"/>
      <c r="T678" s="5"/>
      <c r="U678" s="5"/>
      <c r="V678" s="5"/>
      <c r="W678" s="6"/>
      <c r="X678" s="7"/>
      <c r="Y678" s="7"/>
      <c r="Z678" s="5"/>
      <c r="AA678" s="5"/>
      <c r="AB678" s="5"/>
      <c r="AC678" s="5"/>
      <c r="AD678" s="5"/>
    </row>
    <row r="679" spans="1:30" ht="15.75" customHeight="1">
      <c r="A679" s="5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5"/>
      <c r="T679" s="5"/>
      <c r="U679" s="5"/>
      <c r="V679" s="5"/>
      <c r="W679" s="6"/>
      <c r="X679" s="7"/>
      <c r="Y679" s="7"/>
      <c r="Z679" s="5"/>
      <c r="AA679" s="5"/>
      <c r="AB679" s="5"/>
      <c r="AC679" s="5"/>
      <c r="AD679" s="5"/>
    </row>
    <row r="680" spans="1:30" ht="15.75" customHeight="1">
      <c r="A680" s="5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5"/>
      <c r="T680" s="5"/>
      <c r="U680" s="5"/>
      <c r="V680" s="5"/>
      <c r="W680" s="6"/>
      <c r="X680" s="7"/>
      <c r="Y680" s="7"/>
      <c r="Z680" s="5"/>
      <c r="AA680" s="5"/>
      <c r="AB680" s="5"/>
      <c r="AC680" s="5"/>
      <c r="AD680" s="5"/>
    </row>
    <row r="681" spans="1:30" ht="15.75" customHeight="1">
      <c r="A681" s="5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5"/>
      <c r="T681" s="5"/>
      <c r="U681" s="5"/>
      <c r="V681" s="5"/>
      <c r="W681" s="6"/>
      <c r="X681" s="7"/>
      <c r="Y681" s="7"/>
      <c r="Z681" s="5"/>
      <c r="AA681" s="5"/>
      <c r="AB681" s="5"/>
      <c r="AC681" s="5"/>
      <c r="AD681" s="5"/>
    </row>
    <row r="682" spans="1:30" ht="15.75" customHeight="1">
      <c r="A682" s="5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5"/>
      <c r="T682" s="5"/>
      <c r="U682" s="5"/>
      <c r="V682" s="5"/>
      <c r="W682" s="6"/>
      <c r="X682" s="7"/>
      <c r="Y682" s="7"/>
      <c r="Z682" s="5"/>
      <c r="AA682" s="5"/>
      <c r="AB682" s="5"/>
      <c r="AC682" s="5"/>
      <c r="AD682" s="5"/>
    </row>
    <row r="683" spans="1:30" ht="15.75" customHeight="1">
      <c r="A683" s="5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5"/>
      <c r="T683" s="5"/>
      <c r="U683" s="5"/>
      <c r="V683" s="5"/>
      <c r="W683" s="6"/>
      <c r="X683" s="7"/>
      <c r="Y683" s="7"/>
      <c r="Z683" s="5"/>
      <c r="AA683" s="5"/>
      <c r="AB683" s="5"/>
      <c r="AC683" s="5"/>
      <c r="AD683" s="5"/>
    </row>
    <row r="684" spans="1:30" ht="15.75" customHeight="1">
      <c r="A684" s="5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5"/>
      <c r="T684" s="5"/>
      <c r="U684" s="5"/>
      <c r="V684" s="5"/>
      <c r="W684" s="6"/>
      <c r="X684" s="7"/>
      <c r="Y684" s="7"/>
      <c r="Z684" s="5"/>
      <c r="AA684" s="5"/>
      <c r="AB684" s="5"/>
      <c r="AC684" s="5"/>
      <c r="AD684" s="5"/>
    </row>
    <row r="685" spans="1:30" ht="15.75" customHeight="1">
      <c r="A685" s="5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5"/>
      <c r="T685" s="5"/>
      <c r="U685" s="5"/>
      <c r="V685" s="5"/>
      <c r="W685" s="6"/>
      <c r="X685" s="7"/>
      <c r="Y685" s="7"/>
      <c r="Z685" s="5"/>
      <c r="AA685" s="5"/>
      <c r="AB685" s="5"/>
      <c r="AC685" s="5"/>
      <c r="AD685" s="5"/>
    </row>
    <row r="686" spans="1:30" ht="15.75" customHeight="1">
      <c r="A686" s="5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5"/>
      <c r="T686" s="5"/>
      <c r="U686" s="5"/>
      <c r="V686" s="5"/>
      <c r="W686" s="6"/>
      <c r="X686" s="7"/>
      <c r="Y686" s="7"/>
      <c r="Z686" s="5"/>
      <c r="AA686" s="5"/>
      <c r="AB686" s="5"/>
      <c r="AC686" s="5"/>
      <c r="AD686" s="5"/>
    </row>
    <row r="687" spans="1:30" ht="15.75" customHeight="1">
      <c r="A687" s="5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5"/>
      <c r="T687" s="5"/>
      <c r="U687" s="5"/>
      <c r="V687" s="5"/>
      <c r="W687" s="6"/>
      <c r="X687" s="7"/>
      <c r="Y687" s="7"/>
      <c r="Z687" s="5"/>
      <c r="AA687" s="5"/>
      <c r="AB687" s="5"/>
      <c r="AC687" s="5"/>
      <c r="AD687" s="5"/>
    </row>
    <row r="688" spans="1:30" ht="15.75" customHeight="1">
      <c r="A688" s="5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5"/>
      <c r="T688" s="5"/>
      <c r="U688" s="5"/>
      <c r="V688" s="5"/>
      <c r="W688" s="6"/>
      <c r="X688" s="7"/>
      <c r="Y688" s="7"/>
      <c r="Z688" s="5"/>
      <c r="AA688" s="5"/>
      <c r="AB688" s="5"/>
      <c r="AC688" s="5"/>
      <c r="AD688" s="5"/>
    </row>
    <row r="689" spans="1:30" ht="15.75" customHeight="1">
      <c r="A689" s="5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5"/>
      <c r="T689" s="5"/>
      <c r="U689" s="5"/>
      <c r="V689" s="5"/>
      <c r="W689" s="6"/>
      <c r="X689" s="7"/>
      <c r="Y689" s="7"/>
      <c r="Z689" s="5"/>
      <c r="AA689" s="5"/>
      <c r="AB689" s="5"/>
      <c r="AC689" s="5"/>
      <c r="AD689" s="5"/>
    </row>
    <row r="690" spans="1:30" ht="15.75" customHeight="1">
      <c r="A690" s="5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5"/>
      <c r="T690" s="5"/>
      <c r="U690" s="5"/>
      <c r="V690" s="5"/>
      <c r="W690" s="6"/>
      <c r="X690" s="7"/>
      <c r="Y690" s="7"/>
      <c r="Z690" s="5"/>
      <c r="AA690" s="5"/>
      <c r="AB690" s="5"/>
      <c r="AC690" s="5"/>
      <c r="AD690" s="5"/>
    </row>
    <row r="691" spans="1:30" ht="15.75" customHeight="1">
      <c r="A691" s="5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5"/>
      <c r="T691" s="5"/>
      <c r="U691" s="5"/>
      <c r="V691" s="5"/>
      <c r="W691" s="6"/>
      <c r="X691" s="7"/>
      <c r="Y691" s="7"/>
      <c r="Z691" s="5"/>
      <c r="AA691" s="5"/>
      <c r="AB691" s="5"/>
      <c r="AC691" s="5"/>
      <c r="AD691" s="5"/>
    </row>
    <row r="692" spans="1:30" ht="15.75" customHeight="1">
      <c r="A692" s="5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5"/>
      <c r="T692" s="5"/>
      <c r="U692" s="5"/>
      <c r="V692" s="5"/>
      <c r="W692" s="6"/>
      <c r="X692" s="7"/>
      <c r="Y692" s="7"/>
      <c r="Z692" s="5"/>
      <c r="AA692" s="5"/>
      <c r="AB692" s="5"/>
      <c r="AC692" s="5"/>
      <c r="AD692" s="5"/>
    </row>
    <row r="693" spans="1:30" ht="15.75" customHeight="1">
      <c r="A693" s="5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5"/>
      <c r="T693" s="5"/>
      <c r="U693" s="5"/>
      <c r="V693" s="5"/>
      <c r="W693" s="6"/>
      <c r="X693" s="7"/>
      <c r="Y693" s="7"/>
      <c r="Z693" s="5"/>
      <c r="AA693" s="5"/>
      <c r="AB693" s="5"/>
      <c r="AC693" s="5"/>
      <c r="AD693" s="5"/>
    </row>
    <row r="694" spans="1:30" ht="15.75" customHeight="1">
      <c r="A694" s="5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5"/>
      <c r="T694" s="5"/>
      <c r="U694" s="5"/>
      <c r="V694" s="5"/>
      <c r="W694" s="6"/>
      <c r="X694" s="7"/>
      <c r="Y694" s="7"/>
      <c r="Z694" s="5"/>
      <c r="AA694" s="5"/>
      <c r="AB694" s="5"/>
      <c r="AC694" s="5"/>
      <c r="AD694" s="5"/>
    </row>
    <row r="695" spans="1:30" ht="15.75" customHeight="1">
      <c r="A695" s="5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5"/>
      <c r="T695" s="5"/>
      <c r="U695" s="5"/>
      <c r="V695" s="5"/>
      <c r="W695" s="6"/>
      <c r="X695" s="7"/>
      <c r="Y695" s="7"/>
      <c r="Z695" s="5"/>
      <c r="AA695" s="5"/>
      <c r="AB695" s="5"/>
      <c r="AC695" s="5"/>
      <c r="AD695" s="5"/>
    </row>
    <row r="696" spans="1:30" ht="15.75" customHeight="1">
      <c r="A696" s="5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5"/>
      <c r="T696" s="5"/>
      <c r="U696" s="5"/>
      <c r="V696" s="5"/>
      <c r="W696" s="6"/>
      <c r="X696" s="7"/>
      <c r="Y696" s="7"/>
      <c r="Z696" s="5"/>
      <c r="AA696" s="5"/>
      <c r="AB696" s="5"/>
      <c r="AC696" s="5"/>
      <c r="AD696" s="5"/>
    </row>
    <row r="697" spans="1:30" ht="15.75" customHeight="1">
      <c r="A697" s="5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5"/>
      <c r="T697" s="5"/>
      <c r="U697" s="5"/>
      <c r="V697" s="5"/>
      <c r="W697" s="6"/>
      <c r="X697" s="7"/>
      <c r="Y697" s="7"/>
      <c r="Z697" s="5"/>
      <c r="AA697" s="5"/>
      <c r="AB697" s="5"/>
      <c r="AC697" s="5"/>
      <c r="AD697" s="5"/>
    </row>
    <row r="698" spans="1:30" ht="15.75" customHeight="1">
      <c r="A698" s="5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5"/>
      <c r="T698" s="5"/>
      <c r="U698" s="5"/>
      <c r="V698" s="5"/>
      <c r="W698" s="6"/>
      <c r="X698" s="7"/>
      <c r="Y698" s="7"/>
      <c r="Z698" s="5"/>
      <c r="AA698" s="5"/>
      <c r="AB698" s="5"/>
      <c r="AC698" s="5"/>
      <c r="AD698" s="5"/>
    </row>
    <row r="699" spans="1:30" ht="15.75" customHeight="1">
      <c r="A699" s="5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5"/>
      <c r="T699" s="5"/>
      <c r="U699" s="5"/>
      <c r="V699" s="5"/>
      <c r="W699" s="6"/>
      <c r="X699" s="7"/>
      <c r="Y699" s="7"/>
      <c r="Z699" s="5"/>
      <c r="AA699" s="5"/>
      <c r="AB699" s="5"/>
      <c r="AC699" s="5"/>
      <c r="AD699" s="5"/>
    </row>
    <row r="700" spans="1:30" ht="15.75" customHeight="1">
      <c r="A700" s="5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5"/>
      <c r="T700" s="5"/>
      <c r="U700" s="5"/>
      <c r="V700" s="5"/>
      <c r="W700" s="6"/>
      <c r="X700" s="7"/>
      <c r="Y700" s="7"/>
      <c r="Z700" s="5"/>
      <c r="AA700" s="5"/>
      <c r="AB700" s="5"/>
      <c r="AC700" s="5"/>
      <c r="AD700" s="5"/>
    </row>
    <row r="701" spans="1:30" ht="15.75" customHeight="1">
      <c r="A701" s="5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5"/>
      <c r="T701" s="5"/>
      <c r="U701" s="5"/>
      <c r="V701" s="5"/>
      <c r="W701" s="6"/>
      <c r="X701" s="7"/>
      <c r="Y701" s="7"/>
      <c r="Z701" s="5"/>
      <c r="AA701" s="5"/>
      <c r="AB701" s="5"/>
      <c r="AC701" s="5"/>
      <c r="AD701" s="5"/>
    </row>
    <row r="702" spans="1:30" ht="15.75" customHeight="1">
      <c r="A702" s="5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5"/>
      <c r="T702" s="5"/>
      <c r="U702" s="5"/>
      <c r="V702" s="5"/>
      <c r="W702" s="6"/>
      <c r="X702" s="7"/>
      <c r="Y702" s="7"/>
      <c r="Z702" s="5"/>
      <c r="AA702" s="5"/>
      <c r="AB702" s="5"/>
      <c r="AC702" s="5"/>
      <c r="AD702" s="5"/>
    </row>
    <row r="703" spans="1:30" ht="15.75" customHeight="1">
      <c r="A703" s="5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5"/>
      <c r="T703" s="5"/>
      <c r="U703" s="5"/>
      <c r="V703" s="5"/>
      <c r="W703" s="6"/>
      <c r="X703" s="7"/>
      <c r="Y703" s="7"/>
      <c r="Z703" s="5"/>
      <c r="AA703" s="5"/>
      <c r="AB703" s="5"/>
      <c r="AC703" s="5"/>
      <c r="AD703" s="5"/>
    </row>
    <row r="704" spans="1:30" ht="15.75" customHeight="1">
      <c r="A704" s="5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5"/>
      <c r="T704" s="5"/>
      <c r="U704" s="5"/>
      <c r="V704" s="5"/>
      <c r="W704" s="6"/>
      <c r="X704" s="7"/>
      <c r="Y704" s="7"/>
      <c r="Z704" s="5"/>
      <c r="AA704" s="5"/>
      <c r="AB704" s="5"/>
      <c r="AC704" s="5"/>
      <c r="AD704" s="5"/>
    </row>
    <row r="705" spans="1:30" ht="15.75" customHeight="1">
      <c r="A705" s="5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5"/>
      <c r="T705" s="5"/>
      <c r="U705" s="5"/>
      <c r="V705" s="5"/>
      <c r="W705" s="6"/>
      <c r="X705" s="7"/>
      <c r="Y705" s="7"/>
      <c r="Z705" s="5"/>
      <c r="AA705" s="5"/>
      <c r="AB705" s="5"/>
      <c r="AC705" s="5"/>
      <c r="AD705" s="5"/>
    </row>
    <row r="706" spans="1:30" ht="15.75" customHeight="1">
      <c r="A706" s="5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5"/>
      <c r="T706" s="5"/>
      <c r="U706" s="5"/>
      <c r="V706" s="5"/>
      <c r="W706" s="6"/>
      <c r="X706" s="7"/>
      <c r="Y706" s="7"/>
      <c r="Z706" s="5"/>
      <c r="AA706" s="5"/>
      <c r="AB706" s="5"/>
      <c r="AC706" s="5"/>
      <c r="AD706" s="5"/>
    </row>
    <row r="707" spans="1:30" ht="15.75" customHeight="1">
      <c r="A707" s="5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5"/>
      <c r="T707" s="5"/>
      <c r="U707" s="5"/>
      <c r="V707" s="5"/>
      <c r="W707" s="6"/>
      <c r="X707" s="7"/>
      <c r="Y707" s="7"/>
      <c r="Z707" s="5"/>
      <c r="AA707" s="5"/>
      <c r="AB707" s="5"/>
      <c r="AC707" s="5"/>
      <c r="AD707" s="5"/>
    </row>
    <row r="708" spans="1:30" ht="15.75" customHeight="1">
      <c r="A708" s="5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5"/>
      <c r="T708" s="5"/>
      <c r="U708" s="5"/>
      <c r="V708" s="5"/>
      <c r="W708" s="6"/>
      <c r="X708" s="7"/>
      <c r="Y708" s="7"/>
      <c r="Z708" s="5"/>
      <c r="AA708" s="5"/>
      <c r="AB708" s="5"/>
      <c r="AC708" s="5"/>
      <c r="AD708" s="5"/>
    </row>
    <row r="709" spans="1:30" ht="15.75" customHeight="1">
      <c r="A709" s="5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5"/>
      <c r="T709" s="5"/>
      <c r="U709" s="5"/>
      <c r="V709" s="5"/>
      <c r="W709" s="6"/>
      <c r="X709" s="7"/>
      <c r="Y709" s="7"/>
      <c r="Z709" s="5"/>
      <c r="AA709" s="5"/>
      <c r="AB709" s="5"/>
      <c r="AC709" s="5"/>
      <c r="AD709" s="5"/>
    </row>
    <row r="710" spans="1:30" ht="15.75" customHeight="1">
      <c r="A710" s="5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5"/>
      <c r="T710" s="5"/>
      <c r="U710" s="5"/>
      <c r="V710" s="5"/>
      <c r="W710" s="6"/>
      <c r="X710" s="7"/>
      <c r="Y710" s="7"/>
      <c r="Z710" s="5"/>
      <c r="AA710" s="5"/>
      <c r="AB710" s="5"/>
      <c r="AC710" s="5"/>
      <c r="AD710" s="5"/>
    </row>
    <row r="711" spans="1:30" ht="15.75" customHeight="1">
      <c r="A711" s="5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5"/>
      <c r="T711" s="5"/>
      <c r="U711" s="5"/>
      <c r="V711" s="5"/>
      <c r="W711" s="6"/>
      <c r="X711" s="7"/>
      <c r="Y711" s="7"/>
      <c r="Z711" s="5"/>
      <c r="AA711" s="5"/>
      <c r="AB711" s="5"/>
      <c r="AC711" s="5"/>
      <c r="AD711" s="5"/>
    </row>
    <row r="712" spans="1:30" ht="15.75" customHeight="1">
      <c r="A712" s="5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5"/>
      <c r="T712" s="5"/>
      <c r="U712" s="5"/>
      <c r="V712" s="5"/>
      <c r="W712" s="6"/>
      <c r="X712" s="7"/>
      <c r="Y712" s="7"/>
      <c r="Z712" s="5"/>
      <c r="AA712" s="5"/>
      <c r="AB712" s="5"/>
      <c r="AC712" s="5"/>
      <c r="AD712" s="5"/>
    </row>
    <row r="713" spans="1:30" ht="15.75" customHeight="1">
      <c r="A713" s="5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5"/>
      <c r="T713" s="5"/>
      <c r="U713" s="5"/>
      <c r="V713" s="5"/>
      <c r="W713" s="6"/>
      <c r="X713" s="7"/>
      <c r="Y713" s="7"/>
      <c r="Z713" s="5"/>
      <c r="AA713" s="5"/>
      <c r="AB713" s="5"/>
      <c r="AC713" s="5"/>
      <c r="AD713" s="5"/>
    </row>
    <row r="714" spans="1:30" ht="15.75" customHeight="1">
      <c r="A714" s="5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5"/>
      <c r="T714" s="5"/>
      <c r="U714" s="5"/>
      <c r="V714" s="5"/>
      <c r="W714" s="6"/>
      <c r="X714" s="7"/>
      <c r="Y714" s="7"/>
      <c r="Z714" s="5"/>
      <c r="AA714" s="5"/>
      <c r="AB714" s="5"/>
      <c r="AC714" s="5"/>
      <c r="AD714" s="5"/>
    </row>
    <row r="715" spans="1:30" ht="15.75" customHeight="1">
      <c r="A715" s="5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5"/>
      <c r="T715" s="5"/>
      <c r="U715" s="5"/>
      <c r="V715" s="5"/>
      <c r="W715" s="6"/>
      <c r="X715" s="7"/>
      <c r="Y715" s="7"/>
      <c r="Z715" s="5"/>
      <c r="AA715" s="5"/>
      <c r="AB715" s="5"/>
      <c r="AC715" s="5"/>
      <c r="AD715" s="5"/>
    </row>
    <row r="716" spans="1:30" ht="15.75" customHeight="1">
      <c r="A716" s="5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5"/>
      <c r="T716" s="5"/>
      <c r="U716" s="5"/>
      <c r="V716" s="5"/>
      <c r="W716" s="6"/>
      <c r="X716" s="7"/>
      <c r="Y716" s="7"/>
      <c r="Z716" s="5"/>
      <c r="AA716" s="5"/>
      <c r="AB716" s="5"/>
      <c r="AC716" s="5"/>
      <c r="AD716" s="5"/>
    </row>
    <row r="717" spans="1:30" ht="15.75" customHeight="1">
      <c r="A717" s="5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5"/>
      <c r="T717" s="5"/>
      <c r="U717" s="5"/>
      <c r="V717" s="5"/>
      <c r="W717" s="6"/>
      <c r="X717" s="7"/>
      <c r="Y717" s="7"/>
      <c r="Z717" s="5"/>
      <c r="AA717" s="5"/>
      <c r="AB717" s="5"/>
      <c r="AC717" s="5"/>
      <c r="AD717" s="5"/>
    </row>
    <row r="718" spans="1:30" ht="15.75" customHeight="1">
      <c r="A718" s="5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5"/>
      <c r="T718" s="5"/>
      <c r="U718" s="5"/>
      <c r="V718" s="5"/>
      <c r="W718" s="6"/>
      <c r="X718" s="7"/>
      <c r="Y718" s="7"/>
      <c r="Z718" s="5"/>
      <c r="AA718" s="5"/>
      <c r="AB718" s="5"/>
      <c r="AC718" s="5"/>
      <c r="AD718" s="5"/>
    </row>
    <row r="719" spans="1:30" ht="15.75" customHeight="1">
      <c r="A719" s="5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5"/>
      <c r="T719" s="5"/>
      <c r="U719" s="5"/>
      <c r="V719" s="5"/>
      <c r="W719" s="6"/>
      <c r="X719" s="7"/>
      <c r="Y719" s="7"/>
      <c r="Z719" s="5"/>
      <c r="AA719" s="5"/>
      <c r="AB719" s="5"/>
      <c r="AC719" s="5"/>
      <c r="AD719" s="5"/>
    </row>
    <row r="720" spans="1:30" ht="15.75" customHeight="1">
      <c r="A720" s="5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5"/>
      <c r="T720" s="5"/>
      <c r="U720" s="5"/>
      <c r="V720" s="5"/>
      <c r="W720" s="6"/>
      <c r="X720" s="7"/>
      <c r="Y720" s="7"/>
      <c r="Z720" s="5"/>
      <c r="AA720" s="5"/>
      <c r="AB720" s="5"/>
      <c r="AC720" s="5"/>
      <c r="AD720" s="5"/>
    </row>
    <row r="721" spans="1:30" ht="15.75" customHeight="1">
      <c r="A721" s="5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5"/>
      <c r="T721" s="5"/>
      <c r="U721" s="5"/>
      <c r="V721" s="5"/>
      <c r="W721" s="6"/>
      <c r="X721" s="7"/>
      <c r="Y721" s="7"/>
      <c r="Z721" s="5"/>
      <c r="AA721" s="5"/>
      <c r="AB721" s="5"/>
      <c r="AC721" s="5"/>
      <c r="AD721" s="5"/>
    </row>
    <row r="722" spans="1:30" ht="15.75" customHeight="1">
      <c r="A722" s="5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5"/>
      <c r="T722" s="5"/>
      <c r="U722" s="5"/>
      <c r="V722" s="5"/>
      <c r="W722" s="6"/>
      <c r="X722" s="7"/>
      <c r="Y722" s="7"/>
      <c r="Z722" s="5"/>
      <c r="AA722" s="5"/>
      <c r="AB722" s="5"/>
      <c r="AC722" s="5"/>
      <c r="AD722" s="5"/>
    </row>
    <row r="723" spans="1:30" ht="15.75" customHeight="1">
      <c r="A723" s="5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5"/>
      <c r="T723" s="5"/>
      <c r="U723" s="5"/>
      <c r="V723" s="5"/>
      <c r="W723" s="6"/>
      <c r="X723" s="7"/>
      <c r="Y723" s="7"/>
      <c r="Z723" s="5"/>
      <c r="AA723" s="5"/>
      <c r="AB723" s="5"/>
      <c r="AC723" s="5"/>
      <c r="AD723" s="5"/>
    </row>
    <row r="724" spans="1:30" ht="15.75" customHeight="1">
      <c r="A724" s="5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5"/>
      <c r="T724" s="5"/>
      <c r="U724" s="5"/>
      <c r="V724" s="5"/>
      <c r="W724" s="6"/>
      <c r="X724" s="7"/>
      <c r="Y724" s="7"/>
      <c r="Z724" s="5"/>
      <c r="AA724" s="5"/>
      <c r="AB724" s="5"/>
      <c r="AC724" s="5"/>
      <c r="AD724" s="5"/>
    </row>
    <row r="725" spans="1:30" ht="15.75" customHeight="1">
      <c r="A725" s="5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5"/>
      <c r="T725" s="5"/>
      <c r="U725" s="5"/>
      <c r="V725" s="5"/>
      <c r="W725" s="6"/>
      <c r="X725" s="7"/>
      <c r="Y725" s="7"/>
      <c r="Z725" s="5"/>
      <c r="AA725" s="5"/>
      <c r="AB725" s="5"/>
      <c r="AC725" s="5"/>
      <c r="AD725" s="5"/>
    </row>
    <row r="726" spans="1:30" ht="15.75" customHeight="1">
      <c r="A726" s="5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5"/>
      <c r="T726" s="5"/>
      <c r="U726" s="5"/>
      <c r="V726" s="5"/>
      <c r="W726" s="6"/>
      <c r="X726" s="7"/>
      <c r="Y726" s="7"/>
      <c r="Z726" s="5"/>
      <c r="AA726" s="5"/>
      <c r="AB726" s="5"/>
      <c r="AC726" s="5"/>
      <c r="AD726" s="5"/>
    </row>
    <row r="727" spans="1:30" ht="15.75" customHeight="1">
      <c r="A727" s="5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5"/>
      <c r="T727" s="5"/>
      <c r="U727" s="5"/>
      <c r="V727" s="5"/>
      <c r="W727" s="6"/>
      <c r="X727" s="7"/>
      <c r="Y727" s="7"/>
      <c r="Z727" s="5"/>
      <c r="AA727" s="5"/>
      <c r="AB727" s="5"/>
      <c r="AC727" s="5"/>
      <c r="AD727" s="5"/>
    </row>
    <row r="728" spans="1:30" ht="15.75" customHeight="1">
      <c r="A728" s="5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5"/>
      <c r="T728" s="5"/>
      <c r="U728" s="5"/>
      <c r="V728" s="5"/>
      <c r="W728" s="6"/>
      <c r="X728" s="7"/>
      <c r="Y728" s="7"/>
      <c r="Z728" s="5"/>
      <c r="AA728" s="5"/>
      <c r="AB728" s="5"/>
      <c r="AC728" s="5"/>
      <c r="AD728" s="5"/>
    </row>
    <row r="729" spans="1:30" ht="15.75" customHeight="1">
      <c r="A729" s="5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5"/>
      <c r="T729" s="5"/>
      <c r="U729" s="5"/>
      <c r="V729" s="5"/>
      <c r="W729" s="6"/>
      <c r="X729" s="7"/>
      <c r="Y729" s="7"/>
      <c r="Z729" s="5"/>
      <c r="AA729" s="5"/>
      <c r="AB729" s="5"/>
      <c r="AC729" s="5"/>
      <c r="AD729" s="5"/>
    </row>
    <row r="730" spans="1:30" ht="15.75" customHeight="1">
      <c r="A730" s="5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5"/>
      <c r="T730" s="5"/>
      <c r="U730" s="5"/>
      <c r="V730" s="5"/>
      <c r="W730" s="6"/>
      <c r="X730" s="7"/>
      <c r="Y730" s="7"/>
      <c r="Z730" s="5"/>
      <c r="AA730" s="5"/>
      <c r="AB730" s="5"/>
      <c r="AC730" s="5"/>
      <c r="AD730" s="5"/>
    </row>
    <row r="731" spans="1:30" ht="15.75" customHeight="1">
      <c r="A731" s="5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5"/>
      <c r="T731" s="5"/>
      <c r="U731" s="5"/>
      <c r="V731" s="5"/>
      <c r="W731" s="6"/>
      <c r="X731" s="7"/>
      <c r="Y731" s="7"/>
      <c r="Z731" s="5"/>
      <c r="AA731" s="5"/>
      <c r="AB731" s="5"/>
      <c r="AC731" s="5"/>
      <c r="AD731" s="5"/>
    </row>
    <row r="732" spans="1:30" ht="15.75" customHeight="1">
      <c r="A732" s="5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5"/>
      <c r="T732" s="5"/>
      <c r="U732" s="5"/>
      <c r="V732" s="5"/>
      <c r="W732" s="6"/>
      <c r="X732" s="7"/>
      <c r="Y732" s="7"/>
      <c r="Z732" s="5"/>
      <c r="AA732" s="5"/>
      <c r="AB732" s="5"/>
      <c r="AC732" s="5"/>
      <c r="AD732" s="5"/>
    </row>
    <row r="733" spans="1:30" ht="15.75" customHeight="1">
      <c r="A733" s="5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5"/>
      <c r="T733" s="5"/>
      <c r="U733" s="5"/>
      <c r="V733" s="5"/>
      <c r="W733" s="6"/>
      <c r="X733" s="7"/>
      <c r="Y733" s="7"/>
      <c r="Z733" s="5"/>
      <c r="AA733" s="5"/>
      <c r="AB733" s="5"/>
      <c r="AC733" s="5"/>
      <c r="AD733" s="5"/>
    </row>
    <row r="734" spans="1:30" ht="15.75" customHeight="1">
      <c r="A734" s="5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5"/>
      <c r="T734" s="5"/>
      <c r="U734" s="5"/>
      <c r="V734" s="5"/>
      <c r="W734" s="6"/>
      <c r="X734" s="7"/>
      <c r="Y734" s="7"/>
      <c r="Z734" s="5"/>
      <c r="AA734" s="5"/>
      <c r="AB734" s="5"/>
      <c r="AC734" s="5"/>
      <c r="AD734" s="5"/>
    </row>
    <row r="735" spans="1:30" ht="15.75" customHeight="1">
      <c r="A735" s="5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5"/>
      <c r="T735" s="5"/>
      <c r="U735" s="5"/>
      <c r="V735" s="5"/>
      <c r="W735" s="6"/>
      <c r="X735" s="7"/>
      <c r="Y735" s="7"/>
      <c r="Z735" s="5"/>
      <c r="AA735" s="5"/>
      <c r="AB735" s="5"/>
      <c r="AC735" s="5"/>
      <c r="AD735" s="5"/>
    </row>
    <row r="736" spans="1:30" ht="15.75" customHeight="1">
      <c r="A736" s="5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5"/>
      <c r="T736" s="5"/>
      <c r="U736" s="5"/>
      <c r="V736" s="5"/>
      <c r="W736" s="6"/>
      <c r="X736" s="7"/>
      <c r="Y736" s="7"/>
      <c r="Z736" s="5"/>
      <c r="AA736" s="5"/>
      <c r="AB736" s="5"/>
      <c r="AC736" s="5"/>
      <c r="AD736" s="5"/>
    </row>
    <row r="737" spans="1:30" ht="15.75" customHeight="1">
      <c r="A737" s="5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5"/>
      <c r="T737" s="5"/>
      <c r="U737" s="5"/>
      <c r="V737" s="5"/>
      <c r="W737" s="6"/>
      <c r="X737" s="7"/>
      <c r="Y737" s="7"/>
      <c r="Z737" s="5"/>
      <c r="AA737" s="5"/>
      <c r="AB737" s="5"/>
      <c r="AC737" s="5"/>
      <c r="AD737" s="5"/>
    </row>
    <row r="738" spans="1:30" ht="15.75" customHeight="1">
      <c r="A738" s="5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5"/>
      <c r="T738" s="5"/>
      <c r="U738" s="5"/>
      <c r="V738" s="5"/>
      <c r="W738" s="6"/>
      <c r="X738" s="7"/>
      <c r="Y738" s="7"/>
      <c r="Z738" s="5"/>
      <c r="AA738" s="5"/>
      <c r="AB738" s="5"/>
      <c r="AC738" s="5"/>
      <c r="AD738" s="5"/>
    </row>
    <row r="739" spans="1:30" ht="15.75" customHeight="1">
      <c r="A739" s="5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5"/>
      <c r="T739" s="5"/>
      <c r="U739" s="5"/>
      <c r="V739" s="5"/>
      <c r="W739" s="6"/>
      <c r="X739" s="7"/>
      <c r="Y739" s="7"/>
      <c r="Z739" s="5"/>
      <c r="AA739" s="5"/>
      <c r="AB739" s="5"/>
      <c r="AC739" s="5"/>
      <c r="AD739" s="5"/>
    </row>
    <row r="740" spans="1:30" ht="15.75" customHeight="1">
      <c r="A740" s="5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5"/>
      <c r="T740" s="5"/>
      <c r="U740" s="5"/>
      <c r="V740" s="5"/>
      <c r="W740" s="6"/>
      <c r="X740" s="7"/>
      <c r="Y740" s="7"/>
      <c r="Z740" s="5"/>
      <c r="AA740" s="5"/>
      <c r="AB740" s="5"/>
      <c r="AC740" s="5"/>
      <c r="AD740" s="5"/>
    </row>
    <row r="741" spans="1:30" ht="15.75" customHeight="1">
      <c r="A741" s="5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5"/>
      <c r="T741" s="5"/>
      <c r="U741" s="5"/>
      <c r="V741" s="5"/>
      <c r="W741" s="6"/>
      <c r="X741" s="7"/>
      <c r="Y741" s="7"/>
      <c r="Z741" s="5"/>
      <c r="AA741" s="5"/>
      <c r="AB741" s="5"/>
      <c r="AC741" s="5"/>
      <c r="AD741" s="5"/>
    </row>
    <row r="742" spans="1:30" ht="15.75" customHeight="1">
      <c r="A742" s="5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5"/>
      <c r="T742" s="5"/>
      <c r="U742" s="5"/>
      <c r="V742" s="5"/>
      <c r="W742" s="6"/>
      <c r="X742" s="7"/>
      <c r="Y742" s="7"/>
      <c r="Z742" s="5"/>
      <c r="AA742" s="5"/>
      <c r="AB742" s="5"/>
      <c r="AC742" s="5"/>
      <c r="AD742" s="5"/>
    </row>
    <row r="743" spans="1:30" ht="15.75" customHeight="1">
      <c r="A743" s="5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5"/>
      <c r="T743" s="5"/>
      <c r="U743" s="5"/>
      <c r="V743" s="5"/>
      <c r="W743" s="6"/>
      <c r="X743" s="7"/>
      <c r="Y743" s="7"/>
      <c r="Z743" s="5"/>
      <c r="AA743" s="5"/>
      <c r="AB743" s="5"/>
      <c r="AC743" s="5"/>
      <c r="AD743" s="5"/>
    </row>
    <row r="744" spans="1:30" ht="15.75" customHeight="1">
      <c r="A744" s="5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5"/>
      <c r="T744" s="5"/>
      <c r="U744" s="5"/>
      <c r="V744" s="5"/>
      <c r="W744" s="6"/>
      <c r="X744" s="7"/>
      <c r="Y744" s="7"/>
      <c r="Z744" s="5"/>
      <c r="AA744" s="5"/>
      <c r="AB744" s="5"/>
      <c r="AC744" s="5"/>
      <c r="AD744" s="5"/>
    </row>
    <row r="745" spans="1:30" ht="15.75" customHeight="1">
      <c r="A745" s="5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5"/>
      <c r="T745" s="5"/>
      <c r="U745" s="5"/>
      <c r="V745" s="5"/>
      <c r="W745" s="6"/>
      <c r="X745" s="7"/>
      <c r="Y745" s="7"/>
      <c r="Z745" s="5"/>
      <c r="AA745" s="5"/>
      <c r="AB745" s="5"/>
      <c r="AC745" s="5"/>
      <c r="AD745" s="5"/>
    </row>
    <row r="746" spans="1:30" ht="15.75" customHeight="1">
      <c r="A746" s="5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5"/>
      <c r="T746" s="5"/>
      <c r="U746" s="5"/>
      <c r="V746" s="5"/>
      <c r="W746" s="6"/>
      <c r="X746" s="7"/>
      <c r="Y746" s="7"/>
      <c r="Z746" s="5"/>
      <c r="AA746" s="5"/>
      <c r="AB746" s="5"/>
      <c r="AC746" s="5"/>
      <c r="AD746" s="5"/>
    </row>
    <row r="747" spans="1:30" ht="15.75" customHeight="1">
      <c r="A747" s="5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5"/>
      <c r="T747" s="5"/>
      <c r="U747" s="5"/>
      <c r="V747" s="5"/>
      <c r="W747" s="6"/>
      <c r="X747" s="7"/>
      <c r="Y747" s="7"/>
      <c r="Z747" s="5"/>
      <c r="AA747" s="5"/>
      <c r="AB747" s="5"/>
      <c r="AC747" s="5"/>
      <c r="AD747" s="5"/>
    </row>
    <row r="748" spans="1:30" ht="15.75" customHeight="1">
      <c r="A748" s="5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5"/>
      <c r="T748" s="5"/>
      <c r="U748" s="5"/>
      <c r="V748" s="5"/>
      <c r="W748" s="6"/>
      <c r="X748" s="7"/>
      <c r="Y748" s="7"/>
      <c r="Z748" s="5"/>
      <c r="AA748" s="5"/>
      <c r="AB748" s="5"/>
      <c r="AC748" s="5"/>
      <c r="AD748" s="5"/>
    </row>
    <row r="749" spans="1:30" ht="15.75" customHeight="1">
      <c r="A749" s="5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5"/>
      <c r="T749" s="5"/>
      <c r="U749" s="5"/>
      <c r="V749" s="5"/>
      <c r="W749" s="6"/>
      <c r="X749" s="7"/>
      <c r="Y749" s="7"/>
      <c r="Z749" s="5"/>
      <c r="AA749" s="5"/>
      <c r="AB749" s="5"/>
      <c r="AC749" s="5"/>
      <c r="AD749" s="5"/>
    </row>
    <row r="750" spans="1:30" ht="15.75" customHeight="1">
      <c r="A750" s="5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5"/>
      <c r="T750" s="5"/>
      <c r="U750" s="5"/>
      <c r="V750" s="5"/>
      <c r="W750" s="6"/>
      <c r="X750" s="7"/>
      <c r="Y750" s="7"/>
      <c r="Z750" s="5"/>
      <c r="AA750" s="5"/>
      <c r="AB750" s="5"/>
      <c r="AC750" s="5"/>
      <c r="AD750" s="5"/>
    </row>
    <row r="751" spans="1:30" ht="15.75" customHeight="1">
      <c r="A751" s="5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5"/>
      <c r="T751" s="5"/>
      <c r="U751" s="5"/>
      <c r="V751" s="5"/>
      <c r="W751" s="6"/>
      <c r="X751" s="7"/>
      <c r="Y751" s="7"/>
      <c r="Z751" s="5"/>
      <c r="AA751" s="5"/>
      <c r="AB751" s="5"/>
      <c r="AC751" s="5"/>
      <c r="AD751" s="5"/>
    </row>
    <row r="752" spans="1:30" ht="15.75" customHeight="1">
      <c r="A752" s="5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5"/>
      <c r="T752" s="5"/>
      <c r="U752" s="5"/>
      <c r="V752" s="5"/>
      <c r="W752" s="6"/>
      <c r="X752" s="7"/>
      <c r="Y752" s="7"/>
      <c r="Z752" s="5"/>
      <c r="AA752" s="5"/>
      <c r="AB752" s="5"/>
      <c r="AC752" s="5"/>
      <c r="AD752" s="5"/>
    </row>
    <row r="753" spans="1:30" ht="15.75" customHeight="1">
      <c r="A753" s="5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5"/>
      <c r="T753" s="5"/>
      <c r="U753" s="5"/>
      <c r="V753" s="5"/>
      <c r="W753" s="6"/>
      <c r="X753" s="7"/>
      <c r="Y753" s="7"/>
      <c r="Z753" s="5"/>
      <c r="AA753" s="5"/>
      <c r="AB753" s="5"/>
      <c r="AC753" s="5"/>
      <c r="AD753" s="5"/>
    </row>
    <row r="754" spans="1:30" ht="15.75" customHeight="1">
      <c r="A754" s="5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5"/>
      <c r="T754" s="5"/>
      <c r="U754" s="5"/>
      <c r="V754" s="5"/>
      <c r="W754" s="6"/>
      <c r="X754" s="7"/>
      <c r="Y754" s="7"/>
      <c r="Z754" s="5"/>
      <c r="AA754" s="5"/>
      <c r="AB754" s="5"/>
      <c r="AC754" s="5"/>
      <c r="AD754" s="5"/>
    </row>
    <row r="755" spans="1:30" ht="15.75" customHeight="1">
      <c r="A755" s="5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5"/>
      <c r="T755" s="5"/>
      <c r="U755" s="5"/>
      <c r="V755" s="5"/>
      <c r="W755" s="6"/>
      <c r="X755" s="7"/>
      <c r="Y755" s="7"/>
      <c r="Z755" s="5"/>
      <c r="AA755" s="5"/>
      <c r="AB755" s="5"/>
      <c r="AC755" s="5"/>
      <c r="AD755" s="5"/>
    </row>
    <row r="756" spans="1:30" ht="15.75" customHeight="1">
      <c r="A756" s="5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5"/>
      <c r="T756" s="5"/>
      <c r="U756" s="5"/>
      <c r="V756" s="5"/>
      <c r="W756" s="6"/>
      <c r="X756" s="7"/>
      <c r="Y756" s="7"/>
      <c r="Z756" s="5"/>
      <c r="AA756" s="5"/>
      <c r="AB756" s="5"/>
      <c r="AC756" s="5"/>
      <c r="AD756" s="5"/>
    </row>
    <row r="757" spans="1:30" ht="15.75" customHeight="1">
      <c r="A757" s="5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5"/>
      <c r="T757" s="5"/>
      <c r="U757" s="5"/>
      <c r="V757" s="5"/>
      <c r="W757" s="6"/>
      <c r="X757" s="7"/>
      <c r="Y757" s="7"/>
      <c r="Z757" s="5"/>
      <c r="AA757" s="5"/>
      <c r="AB757" s="5"/>
      <c r="AC757" s="5"/>
      <c r="AD757" s="5"/>
    </row>
    <row r="758" spans="1:30" ht="15.75" customHeight="1">
      <c r="A758" s="5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5"/>
      <c r="T758" s="5"/>
      <c r="U758" s="5"/>
      <c r="V758" s="5"/>
      <c r="W758" s="6"/>
      <c r="X758" s="7"/>
      <c r="Y758" s="7"/>
      <c r="Z758" s="5"/>
      <c r="AA758" s="5"/>
      <c r="AB758" s="5"/>
      <c r="AC758" s="5"/>
      <c r="AD758" s="5"/>
    </row>
    <row r="759" spans="1:30" ht="15.75" customHeight="1">
      <c r="A759" s="5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5"/>
      <c r="T759" s="5"/>
      <c r="U759" s="5"/>
      <c r="V759" s="5"/>
      <c r="W759" s="6"/>
      <c r="X759" s="7"/>
      <c r="Y759" s="7"/>
      <c r="Z759" s="5"/>
      <c r="AA759" s="5"/>
      <c r="AB759" s="5"/>
      <c r="AC759" s="5"/>
      <c r="AD759" s="5"/>
    </row>
    <row r="760" spans="1:30" ht="15.75" customHeight="1">
      <c r="A760" s="5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5"/>
      <c r="T760" s="5"/>
      <c r="U760" s="5"/>
      <c r="V760" s="5"/>
      <c r="W760" s="6"/>
      <c r="X760" s="7"/>
      <c r="Y760" s="7"/>
      <c r="Z760" s="5"/>
      <c r="AA760" s="5"/>
      <c r="AB760" s="5"/>
      <c r="AC760" s="5"/>
      <c r="AD760" s="5"/>
    </row>
    <row r="761" spans="1:30" ht="15.75" customHeight="1">
      <c r="A761" s="5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5"/>
      <c r="T761" s="5"/>
      <c r="U761" s="5"/>
      <c r="V761" s="5"/>
      <c r="W761" s="6"/>
      <c r="X761" s="7"/>
      <c r="Y761" s="7"/>
      <c r="Z761" s="5"/>
      <c r="AA761" s="5"/>
      <c r="AB761" s="5"/>
      <c r="AC761" s="5"/>
      <c r="AD761" s="5"/>
    </row>
    <row r="762" spans="1:30" ht="15.75" customHeight="1">
      <c r="A762" s="5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5"/>
      <c r="T762" s="5"/>
      <c r="U762" s="5"/>
      <c r="V762" s="5"/>
      <c r="W762" s="6"/>
      <c r="X762" s="7"/>
      <c r="Y762" s="7"/>
      <c r="Z762" s="5"/>
      <c r="AA762" s="5"/>
      <c r="AB762" s="5"/>
      <c r="AC762" s="5"/>
      <c r="AD762" s="5"/>
    </row>
    <row r="763" spans="1:30" ht="15.75" customHeight="1">
      <c r="A763" s="5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5"/>
      <c r="T763" s="5"/>
      <c r="U763" s="5"/>
      <c r="V763" s="5"/>
      <c r="W763" s="6"/>
      <c r="X763" s="7"/>
      <c r="Y763" s="7"/>
      <c r="Z763" s="5"/>
      <c r="AA763" s="5"/>
      <c r="AB763" s="5"/>
      <c r="AC763" s="5"/>
      <c r="AD763" s="5"/>
    </row>
    <row r="764" spans="1:30" ht="15.75" customHeight="1">
      <c r="A764" s="5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5"/>
      <c r="T764" s="5"/>
      <c r="U764" s="5"/>
      <c r="V764" s="5"/>
      <c r="W764" s="6"/>
      <c r="X764" s="7"/>
      <c r="Y764" s="7"/>
      <c r="Z764" s="5"/>
      <c r="AA764" s="5"/>
      <c r="AB764" s="5"/>
      <c r="AC764" s="5"/>
      <c r="AD764" s="5"/>
    </row>
    <row r="765" spans="1:30" ht="15.75" customHeight="1">
      <c r="A765" s="5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5"/>
      <c r="T765" s="5"/>
      <c r="U765" s="5"/>
      <c r="V765" s="5"/>
      <c r="W765" s="6"/>
      <c r="X765" s="7"/>
      <c r="Y765" s="7"/>
      <c r="Z765" s="5"/>
      <c r="AA765" s="5"/>
      <c r="AB765" s="5"/>
      <c r="AC765" s="5"/>
      <c r="AD765" s="5"/>
    </row>
    <row r="766" spans="1:30" ht="15.75" customHeight="1">
      <c r="A766" s="5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5"/>
      <c r="T766" s="5"/>
      <c r="U766" s="5"/>
      <c r="V766" s="5"/>
      <c r="W766" s="6"/>
      <c r="X766" s="7"/>
      <c r="Y766" s="7"/>
      <c r="Z766" s="5"/>
      <c r="AA766" s="5"/>
      <c r="AB766" s="5"/>
      <c r="AC766" s="5"/>
      <c r="AD766" s="5"/>
    </row>
    <row r="767" spans="1:30" ht="15.75" customHeight="1">
      <c r="A767" s="5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5"/>
      <c r="T767" s="5"/>
      <c r="U767" s="5"/>
      <c r="V767" s="5"/>
      <c r="W767" s="6"/>
      <c r="X767" s="7"/>
      <c r="Y767" s="7"/>
      <c r="Z767" s="5"/>
      <c r="AA767" s="5"/>
      <c r="AB767" s="5"/>
      <c r="AC767" s="5"/>
      <c r="AD767" s="5"/>
    </row>
    <row r="768" spans="1:30" ht="15.75" customHeight="1">
      <c r="A768" s="5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5"/>
      <c r="T768" s="5"/>
      <c r="U768" s="5"/>
      <c r="V768" s="5"/>
      <c r="W768" s="6"/>
      <c r="X768" s="7"/>
      <c r="Y768" s="7"/>
      <c r="Z768" s="5"/>
      <c r="AA768" s="5"/>
      <c r="AB768" s="5"/>
      <c r="AC768" s="5"/>
      <c r="AD768" s="5"/>
    </row>
    <row r="769" spans="1:30" ht="15.75" customHeight="1">
      <c r="A769" s="5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5"/>
      <c r="T769" s="5"/>
      <c r="U769" s="5"/>
      <c r="V769" s="5"/>
      <c r="W769" s="6"/>
      <c r="X769" s="7"/>
      <c r="Y769" s="7"/>
      <c r="Z769" s="5"/>
      <c r="AA769" s="5"/>
      <c r="AB769" s="5"/>
      <c r="AC769" s="5"/>
      <c r="AD769" s="5"/>
    </row>
    <row r="770" spans="1:30" ht="15.75" customHeight="1">
      <c r="A770" s="5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5"/>
      <c r="T770" s="5"/>
      <c r="U770" s="5"/>
      <c r="V770" s="5"/>
      <c r="W770" s="6"/>
      <c r="X770" s="7"/>
      <c r="Y770" s="7"/>
      <c r="Z770" s="5"/>
      <c r="AA770" s="5"/>
      <c r="AB770" s="5"/>
      <c r="AC770" s="5"/>
      <c r="AD770" s="5"/>
    </row>
    <row r="771" spans="1:30" ht="15.75" customHeight="1">
      <c r="A771" s="5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5"/>
      <c r="T771" s="5"/>
      <c r="U771" s="5"/>
      <c r="V771" s="5"/>
      <c r="W771" s="6"/>
      <c r="X771" s="7"/>
      <c r="Y771" s="7"/>
      <c r="Z771" s="5"/>
      <c r="AA771" s="5"/>
      <c r="AB771" s="5"/>
      <c r="AC771" s="5"/>
      <c r="AD771" s="5"/>
    </row>
    <row r="772" spans="1:30" ht="15.75" customHeight="1">
      <c r="A772" s="5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5"/>
      <c r="T772" s="5"/>
      <c r="U772" s="5"/>
      <c r="V772" s="5"/>
      <c r="W772" s="6"/>
      <c r="X772" s="7"/>
      <c r="Y772" s="7"/>
      <c r="Z772" s="5"/>
      <c r="AA772" s="5"/>
      <c r="AB772" s="5"/>
      <c r="AC772" s="5"/>
      <c r="AD772" s="5"/>
    </row>
    <row r="773" spans="1:30" ht="15.75" customHeight="1">
      <c r="A773" s="5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5"/>
      <c r="T773" s="5"/>
      <c r="U773" s="5"/>
      <c r="V773" s="5"/>
      <c r="W773" s="6"/>
      <c r="X773" s="7"/>
      <c r="Y773" s="7"/>
      <c r="Z773" s="5"/>
      <c r="AA773" s="5"/>
      <c r="AB773" s="5"/>
      <c r="AC773" s="5"/>
      <c r="AD773" s="5"/>
    </row>
    <row r="774" spans="1:30" ht="15.75" customHeight="1">
      <c r="A774" s="5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5"/>
      <c r="T774" s="5"/>
      <c r="U774" s="5"/>
      <c r="V774" s="5"/>
      <c r="W774" s="6"/>
      <c r="X774" s="7"/>
      <c r="Y774" s="7"/>
      <c r="Z774" s="5"/>
      <c r="AA774" s="5"/>
      <c r="AB774" s="5"/>
      <c r="AC774" s="5"/>
      <c r="AD774" s="5"/>
    </row>
    <row r="775" spans="1:30" ht="15.75" customHeight="1">
      <c r="A775" s="5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5"/>
      <c r="T775" s="5"/>
      <c r="U775" s="5"/>
      <c r="V775" s="5"/>
      <c r="W775" s="6"/>
      <c r="X775" s="7"/>
      <c r="Y775" s="7"/>
      <c r="Z775" s="5"/>
      <c r="AA775" s="5"/>
      <c r="AB775" s="5"/>
      <c r="AC775" s="5"/>
      <c r="AD775" s="5"/>
    </row>
    <row r="776" spans="1:30" ht="15.75" customHeight="1">
      <c r="A776" s="5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5"/>
      <c r="T776" s="5"/>
      <c r="U776" s="5"/>
      <c r="V776" s="5"/>
      <c r="W776" s="6"/>
      <c r="X776" s="7"/>
      <c r="Y776" s="7"/>
      <c r="Z776" s="5"/>
      <c r="AA776" s="5"/>
      <c r="AB776" s="5"/>
      <c r="AC776" s="5"/>
      <c r="AD776" s="5"/>
    </row>
    <row r="777" spans="1:30" ht="15.75" customHeight="1">
      <c r="A777" s="5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5"/>
      <c r="T777" s="5"/>
      <c r="U777" s="5"/>
      <c r="V777" s="5"/>
      <c r="W777" s="6"/>
      <c r="X777" s="7"/>
      <c r="Y777" s="7"/>
      <c r="Z777" s="5"/>
      <c r="AA777" s="5"/>
      <c r="AB777" s="5"/>
      <c r="AC777" s="5"/>
      <c r="AD777" s="5"/>
    </row>
    <row r="778" spans="1:30" ht="15.75" customHeight="1">
      <c r="A778" s="5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5"/>
      <c r="T778" s="5"/>
      <c r="U778" s="5"/>
      <c r="V778" s="5"/>
      <c r="W778" s="6"/>
      <c r="X778" s="7"/>
      <c r="Y778" s="7"/>
      <c r="Z778" s="5"/>
      <c r="AA778" s="5"/>
      <c r="AB778" s="5"/>
      <c r="AC778" s="5"/>
      <c r="AD778" s="5"/>
    </row>
    <row r="779" spans="1:30" ht="15.75" customHeight="1">
      <c r="A779" s="5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5"/>
      <c r="T779" s="5"/>
      <c r="U779" s="5"/>
      <c r="V779" s="5"/>
      <c r="W779" s="6"/>
      <c r="X779" s="7"/>
      <c r="Y779" s="7"/>
      <c r="Z779" s="5"/>
      <c r="AA779" s="5"/>
      <c r="AB779" s="5"/>
      <c r="AC779" s="5"/>
      <c r="AD779" s="5"/>
    </row>
    <row r="780" spans="1:30" ht="15.75" customHeight="1">
      <c r="A780" s="5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5"/>
      <c r="T780" s="5"/>
      <c r="U780" s="5"/>
      <c r="V780" s="5"/>
      <c r="W780" s="6"/>
      <c r="X780" s="7"/>
      <c r="Y780" s="7"/>
      <c r="Z780" s="5"/>
      <c r="AA780" s="5"/>
      <c r="AB780" s="5"/>
      <c r="AC780" s="5"/>
      <c r="AD780" s="5"/>
    </row>
    <row r="781" spans="1:30" ht="15.75" customHeight="1">
      <c r="A781" s="5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5"/>
      <c r="T781" s="5"/>
      <c r="U781" s="5"/>
      <c r="V781" s="5"/>
      <c r="W781" s="6"/>
      <c r="X781" s="7"/>
      <c r="Y781" s="7"/>
      <c r="Z781" s="5"/>
      <c r="AA781" s="5"/>
      <c r="AB781" s="5"/>
      <c r="AC781" s="5"/>
      <c r="AD781" s="5"/>
    </row>
    <row r="782" spans="1:30" ht="15.75" customHeight="1">
      <c r="A782" s="5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5"/>
      <c r="T782" s="5"/>
      <c r="U782" s="5"/>
      <c r="V782" s="5"/>
      <c r="W782" s="6"/>
      <c r="X782" s="7"/>
      <c r="Y782" s="7"/>
      <c r="Z782" s="5"/>
      <c r="AA782" s="5"/>
      <c r="AB782" s="5"/>
      <c r="AC782" s="5"/>
      <c r="AD782" s="5"/>
    </row>
    <row r="783" spans="1:30" ht="15.75" customHeight="1">
      <c r="A783" s="5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5"/>
      <c r="T783" s="5"/>
      <c r="U783" s="5"/>
      <c r="V783" s="5"/>
      <c r="W783" s="6"/>
      <c r="X783" s="7"/>
      <c r="Y783" s="7"/>
      <c r="Z783" s="5"/>
      <c r="AA783" s="5"/>
      <c r="AB783" s="5"/>
      <c r="AC783" s="5"/>
      <c r="AD783" s="5"/>
    </row>
    <row r="784" spans="1:30" ht="15.75" customHeight="1">
      <c r="A784" s="5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5"/>
      <c r="T784" s="5"/>
      <c r="U784" s="5"/>
      <c r="V784" s="5"/>
      <c r="W784" s="6"/>
      <c r="X784" s="7"/>
      <c r="Y784" s="7"/>
      <c r="Z784" s="5"/>
      <c r="AA784" s="5"/>
      <c r="AB784" s="5"/>
      <c r="AC784" s="5"/>
      <c r="AD784" s="5"/>
    </row>
    <row r="785" spans="1:30" ht="15.75" customHeight="1">
      <c r="A785" s="5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5"/>
      <c r="T785" s="5"/>
      <c r="U785" s="5"/>
      <c r="V785" s="5"/>
      <c r="W785" s="6"/>
      <c r="X785" s="7"/>
      <c r="Y785" s="7"/>
      <c r="Z785" s="5"/>
      <c r="AA785" s="5"/>
      <c r="AB785" s="5"/>
      <c r="AC785" s="5"/>
      <c r="AD785" s="5"/>
    </row>
    <row r="786" spans="1:30" ht="15.75" customHeight="1">
      <c r="A786" s="5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5"/>
      <c r="T786" s="5"/>
      <c r="U786" s="5"/>
      <c r="V786" s="5"/>
      <c r="W786" s="6"/>
      <c r="X786" s="7"/>
      <c r="Y786" s="7"/>
      <c r="Z786" s="5"/>
      <c r="AA786" s="5"/>
      <c r="AB786" s="5"/>
      <c r="AC786" s="5"/>
      <c r="AD786" s="5"/>
    </row>
    <row r="787" spans="1:30" ht="15.75" customHeight="1">
      <c r="A787" s="5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5"/>
      <c r="T787" s="5"/>
      <c r="U787" s="5"/>
      <c r="V787" s="5"/>
      <c r="W787" s="6"/>
      <c r="X787" s="7"/>
      <c r="Y787" s="7"/>
      <c r="Z787" s="5"/>
      <c r="AA787" s="5"/>
      <c r="AB787" s="5"/>
      <c r="AC787" s="5"/>
      <c r="AD787" s="5"/>
    </row>
    <row r="788" spans="1:30" ht="15.75" customHeight="1">
      <c r="A788" s="5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5"/>
      <c r="T788" s="5"/>
      <c r="U788" s="5"/>
      <c r="V788" s="5"/>
      <c r="W788" s="6"/>
      <c r="X788" s="7"/>
      <c r="Y788" s="7"/>
      <c r="Z788" s="5"/>
      <c r="AA788" s="5"/>
      <c r="AB788" s="5"/>
      <c r="AC788" s="5"/>
      <c r="AD788" s="5"/>
    </row>
    <row r="789" spans="1:30" ht="15.75" customHeight="1">
      <c r="A789" s="5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5"/>
      <c r="T789" s="5"/>
      <c r="U789" s="5"/>
      <c r="V789" s="5"/>
      <c r="W789" s="6"/>
      <c r="X789" s="7"/>
      <c r="Y789" s="7"/>
      <c r="Z789" s="5"/>
      <c r="AA789" s="5"/>
      <c r="AB789" s="5"/>
      <c r="AC789" s="5"/>
      <c r="AD789" s="5"/>
    </row>
    <row r="790" spans="1:30" ht="15.75" customHeight="1">
      <c r="A790" s="5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5"/>
      <c r="T790" s="5"/>
      <c r="U790" s="5"/>
      <c r="V790" s="5"/>
      <c r="W790" s="6"/>
      <c r="X790" s="7"/>
      <c r="Y790" s="7"/>
      <c r="Z790" s="5"/>
      <c r="AA790" s="5"/>
      <c r="AB790" s="5"/>
      <c r="AC790" s="5"/>
      <c r="AD790" s="5"/>
    </row>
    <row r="791" spans="1:30" ht="15.75" customHeight="1">
      <c r="A791" s="5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5"/>
      <c r="T791" s="5"/>
      <c r="U791" s="5"/>
      <c r="V791" s="5"/>
      <c r="W791" s="6"/>
      <c r="X791" s="7"/>
      <c r="Y791" s="7"/>
      <c r="Z791" s="5"/>
      <c r="AA791" s="5"/>
      <c r="AB791" s="5"/>
      <c r="AC791" s="5"/>
      <c r="AD791" s="5"/>
    </row>
    <row r="792" spans="1:30" ht="15.75" customHeight="1">
      <c r="A792" s="5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5"/>
      <c r="T792" s="5"/>
      <c r="U792" s="5"/>
      <c r="V792" s="5"/>
      <c r="W792" s="6"/>
      <c r="X792" s="7"/>
      <c r="Y792" s="7"/>
      <c r="Z792" s="5"/>
      <c r="AA792" s="5"/>
      <c r="AB792" s="5"/>
      <c r="AC792" s="5"/>
      <c r="AD792" s="5"/>
    </row>
    <row r="793" spans="1:30" ht="15.75" customHeight="1">
      <c r="A793" s="5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5"/>
      <c r="T793" s="5"/>
      <c r="U793" s="5"/>
      <c r="V793" s="5"/>
      <c r="W793" s="6"/>
      <c r="X793" s="7"/>
      <c r="Y793" s="7"/>
      <c r="Z793" s="5"/>
      <c r="AA793" s="5"/>
      <c r="AB793" s="5"/>
      <c r="AC793" s="5"/>
      <c r="AD793" s="5"/>
    </row>
    <row r="794" spans="1:30" ht="15.75" customHeight="1">
      <c r="A794" s="5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5"/>
      <c r="T794" s="5"/>
      <c r="U794" s="5"/>
      <c r="V794" s="5"/>
      <c r="W794" s="6"/>
      <c r="X794" s="7"/>
      <c r="Y794" s="7"/>
      <c r="Z794" s="5"/>
      <c r="AA794" s="5"/>
      <c r="AB794" s="5"/>
      <c r="AC794" s="5"/>
      <c r="AD794" s="5"/>
    </row>
    <row r="795" spans="1:30" ht="15.75" customHeight="1">
      <c r="A795" s="5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5"/>
      <c r="T795" s="5"/>
      <c r="U795" s="5"/>
      <c r="V795" s="5"/>
      <c r="W795" s="6"/>
      <c r="X795" s="7"/>
      <c r="Y795" s="7"/>
      <c r="Z795" s="5"/>
      <c r="AA795" s="5"/>
      <c r="AB795" s="5"/>
      <c r="AC795" s="5"/>
      <c r="AD795" s="5"/>
    </row>
    <row r="796" spans="1:30" ht="15.75" customHeight="1">
      <c r="A796" s="5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5"/>
      <c r="T796" s="5"/>
      <c r="U796" s="5"/>
      <c r="V796" s="5"/>
      <c r="W796" s="6"/>
      <c r="X796" s="7"/>
      <c r="Y796" s="7"/>
      <c r="Z796" s="5"/>
      <c r="AA796" s="5"/>
      <c r="AB796" s="5"/>
      <c r="AC796" s="5"/>
      <c r="AD796" s="5"/>
    </row>
    <row r="797" spans="1:30" ht="15.75" customHeight="1">
      <c r="A797" s="5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5"/>
      <c r="T797" s="5"/>
      <c r="U797" s="5"/>
      <c r="V797" s="5"/>
      <c r="W797" s="6"/>
      <c r="X797" s="7"/>
      <c r="Y797" s="7"/>
      <c r="Z797" s="5"/>
      <c r="AA797" s="5"/>
      <c r="AB797" s="5"/>
      <c r="AC797" s="5"/>
      <c r="AD797" s="5"/>
    </row>
    <row r="798" spans="1:30" ht="15.75" customHeight="1">
      <c r="A798" s="5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5"/>
      <c r="T798" s="5"/>
      <c r="U798" s="5"/>
      <c r="V798" s="5"/>
      <c r="W798" s="6"/>
      <c r="X798" s="7"/>
      <c r="Y798" s="7"/>
      <c r="Z798" s="5"/>
      <c r="AA798" s="5"/>
      <c r="AB798" s="5"/>
      <c r="AC798" s="5"/>
      <c r="AD798" s="5"/>
    </row>
    <row r="799" spans="1:30" ht="15.75" customHeight="1">
      <c r="A799" s="5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5"/>
      <c r="T799" s="5"/>
      <c r="U799" s="5"/>
      <c r="V799" s="5"/>
      <c r="W799" s="6"/>
      <c r="X799" s="7"/>
      <c r="Y799" s="7"/>
      <c r="Z799" s="5"/>
      <c r="AA799" s="5"/>
      <c r="AB799" s="5"/>
      <c r="AC799" s="5"/>
      <c r="AD799" s="5"/>
    </row>
    <row r="800" spans="1:30" ht="15.75" customHeight="1">
      <c r="A800" s="5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5"/>
      <c r="T800" s="5"/>
      <c r="U800" s="5"/>
      <c r="V800" s="5"/>
      <c r="W800" s="6"/>
      <c r="X800" s="7"/>
      <c r="Y800" s="7"/>
      <c r="Z800" s="5"/>
      <c r="AA800" s="5"/>
      <c r="AB800" s="5"/>
      <c r="AC800" s="5"/>
      <c r="AD800" s="5"/>
    </row>
    <row r="801" spans="1:30" ht="15.75" customHeight="1">
      <c r="A801" s="5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5"/>
      <c r="T801" s="5"/>
      <c r="U801" s="5"/>
      <c r="V801" s="5"/>
      <c r="W801" s="6"/>
      <c r="X801" s="7"/>
      <c r="Y801" s="7"/>
      <c r="Z801" s="5"/>
      <c r="AA801" s="5"/>
      <c r="AB801" s="5"/>
      <c r="AC801" s="5"/>
      <c r="AD801" s="5"/>
    </row>
    <row r="802" spans="1:30" ht="15.75" customHeight="1">
      <c r="A802" s="5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5"/>
      <c r="T802" s="5"/>
      <c r="U802" s="5"/>
      <c r="V802" s="5"/>
      <c r="W802" s="6"/>
      <c r="X802" s="7"/>
      <c r="Y802" s="7"/>
      <c r="Z802" s="5"/>
      <c r="AA802" s="5"/>
      <c r="AB802" s="5"/>
      <c r="AC802" s="5"/>
      <c r="AD802" s="5"/>
    </row>
    <row r="803" spans="1:30" ht="15.75" customHeight="1">
      <c r="A803" s="5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5"/>
      <c r="T803" s="5"/>
      <c r="U803" s="5"/>
      <c r="V803" s="5"/>
      <c r="W803" s="6"/>
      <c r="X803" s="7"/>
      <c r="Y803" s="7"/>
      <c r="Z803" s="5"/>
      <c r="AA803" s="5"/>
      <c r="AB803" s="5"/>
      <c r="AC803" s="5"/>
      <c r="AD803" s="5"/>
    </row>
    <row r="804" spans="1:30" ht="15.75" customHeight="1">
      <c r="A804" s="5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5"/>
      <c r="T804" s="5"/>
      <c r="U804" s="5"/>
      <c r="V804" s="5"/>
      <c r="W804" s="6"/>
      <c r="X804" s="7"/>
      <c r="Y804" s="7"/>
      <c r="Z804" s="5"/>
      <c r="AA804" s="5"/>
      <c r="AB804" s="5"/>
      <c r="AC804" s="5"/>
      <c r="AD804" s="5"/>
    </row>
    <row r="805" spans="1:30" ht="15.75" customHeight="1">
      <c r="A805" s="5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5"/>
      <c r="T805" s="5"/>
      <c r="U805" s="5"/>
      <c r="V805" s="5"/>
      <c r="W805" s="6"/>
      <c r="X805" s="7"/>
      <c r="Y805" s="7"/>
      <c r="Z805" s="5"/>
      <c r="AA805" s="5"/>
      <c r="AB805" s="5"/>
      <c r="AC805" s="5"/>
      <c r="AD805" s="5"/>
    </row>
    <row r="806" spans="1:30" ht="15.75" customHeight="1">
      <c r="A806" s="5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5"/>
      <c r="T806" s="5"/>
      <c r="U806" s="5"/>
      <c r="V806" s="5"/>
      <c r="W806" s="6"/>
      <c r="X806" s="7"/>
      <c r="Y806" s="7"/>
      <c r="Z806" s="5"/>
      <c r="AA806" s="5"/>
      <c r="AB806" s="5"/>
      <c r="AC806" s="5"/>
      <c r="AD806" s="5"/>
    </row>
    <row r="807" spans="1:30" ht="15.75" customHeight="1">
      <c r="A807" s="5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5"/>
      <c r="T807" s="5"/>
      <c r="U807" s="5"/>
      <c r="V807" s="5"/>
      <c r="W807" s="6"/>
      <c r="X807" s="7"/>
      <c r="Y807" s="7"/>
      <c r="Z807" s="5"/>
      <c r="AA807" s="5"/>
      <c r="AB807" s="5"/>
      <c r="AC807" s="5"/>
      <c r="AD807" s="5"/>
    </row>
    <row r="808" spans="1:30" ht="15.75" customHeight="1">
      <c r="A808" s="5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5"/>
      <c r="T808" s="5"/>
      <c r="U808" s="5"/>
      <c r="V808" s="5"/>
      <c r="W808" s="6"/>
      <c r="X808" s="7"/>
      <c r="Y808" s="7"/>
      <c r="Z808" s="5"/>
      <c r="AA808" s="5"/>
      <c r="AB808" s="5"/>
      <c r="AC808" s="5"/>
      <c r="AD808" s="5"/>
    </row>
    <row r="809" spans="1:30" ht="15.75" customHeight="1">
      <c r="A809" s="5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5"/>
      <c r="T809" s="5"/>
      <c r="U809" s="5"/>
      <c r="V809" s="5"/>
      <c r="W809" s="6"/>
      <c r="X809" s="7"/>
      <c r="Y809" s="7"/>
      <c r="Z809" s="5"/>
      <c r="AA809" s="5"/>
      <c r="AB809" s="5"/>
      <c r="AC809" s="5"/>
      <c r="AD809" s="5"/>
    </row>
    <row r="810" spans="1:30" ht="15.75" customHeight="1">
      <c r="A810" s="5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5"/>
      <c r="T810" s="5"/>
      <c r="U810" s="5"/>
      <c r="V810" s="5"/>
      <c r="W810" s="6"/>
      <c r="X810" s="7"/>
      <c r="Y810" s="7"/>
      <c r="Z810" s="5"/>
      <c r="AA810" s="5"/>
      <c r="AB810" s="5"/>
      <c r="AC810" s="5"/>
      <c r="AD810" s="5"/>
    </row>
    <row r="811" spans="1:30" ht="15.75" customHeight="1">
      <c r="A811" s="5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5"/>
      <c r="T811" s="5"/>
      <c r="U811" s="5"/>
      <c r="V811" s="5"/>
      <c r="W811" s="6"/>
      <c r="X811" s="7"/>
      <c r="Y811" s="7"/>
      <c r="Z811" s="5"/>
      <c r="AA811" s="5"/>
      <c r="AB811" s="5"/>
      <c r="AC811" s="5"/>
      <c r="AD811" s="5"/>
    </row>
    <row r="812" spans="1:30" ht="15.75" customHeight="1">
      <c r="A812" s="5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5"/>
      <c r="T812" s="5"/>
      <c r="U812" s="5"/>
      <c r="V812" s="5"/>
      <c r="W812" s="6"/>
      <c r="X812" s="7"/>
      <c r="Y812" s="7"/>
      <c r="Z812" s="5"/>
      <c r="AA812" s="5"/>
      <c r="AB812" s="5"/>
      <c r="AC812" s="5"/>
      <c r="AD812" s="5"/>
    </row>
    <row r="813" spans="1:30" ht="15.75" customHeight="1">
      <c r="A813" s="5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5"/>
      <c r="T813" s="5"/>
      <c r="U813" s="5"/>
      <c r="V813" s="5"/>
      <c r="W813" s="6"/>
      <c r="X813" s="7"/>
      <c r="Y813" s="7"/>
      <c r="Z813" s="5"/>
      <c r="AA813" s="5"/>
      <c r="AB813" s="5"/>
      <c r="AC813" s="5"/>
      <c r="AD813" s="5"/>
    </row>
    <row r="814" spans="1:30" ht="15.75" customHeight="1">
      <c r="A814" s="5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5"/>
      <c r="T814" s="5"/>
      <c r="U814" s="5"/>
      <c r="V814" s="5"/>
      <c r="W814" s="6"/>
      <c r="X814" s="7"/>
      <c r="Y814" s="7"/>
      <c r="Z814" s="5"/>
      <c r="AA814" s="5"/>
      <c r="AB814" s="5"/>
      <c r="AC814" s="5"/>
      <c r="AD814" s="5"/>
    </row>
    <row r="815" spans="1:30" ht="15.75" customHeight="1">
      <c r="A815" s="5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5"/>
      <c r="T815" s="5"/>
      <c r="U815" s="5"/>
      <c r="V815" s="5"/>
      <c r="W815" s="6"/>
      <c r="X815" s="7"/>
      <c r="Y815" s="7"/>
      <c r="Z815" s="5"/>
      <c r="AA815" s="5"/>
      <c r="AB815" s="5"/>
      <c r="AC815" s="5"/>
      <c r="AD815" s="5"/>
    </row>
    <row r="816" spans="1:30" ht="15.75" customHeight="1">
      <c r="A816" s="5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5"/>
      <c r="T816" s="5"/>
      <c r="U816" s="5"/>
      <c r="V816" s="5"/>
      <c r="W816" s="6"/>
      <c r="X816" s="7"/>
      <c r="Y816" s="7"/>
      <c r="Z816" s="5"/>
      <c r="AA816" s="5"/>
      <c r="AB816" s="5"/>
      <c r="AC816" s="5"/>
      <c r="AD816" s="5"/>
    </row>
    <row r="817" spans="1:30" ht="15.75" customHeight="1">
      <c r="A817" s="5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5"/>
      <c r="T817" s="5"/>
      <c r="U817" s="5"/>
      <c r="V817" s="5"/>
      <c r="W817" s="6"/>
      <c r="X817" s="7"/>
      <c r="Y817" s="7"/>
      <c r="Z817" s="5"/>
      <c r="AA817" s="5"/>
      <c r="AB817" s="5"/>
      <c r="AC817" s="5"/>
      <c r="AD817" s="5"/>
    </row>
    <row r="818" spans="1:30" ht="15.75" customHeight="1">
      <c r="A818" s="5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5"/>
      <c r="T818" s="5"/>
      <c r="U818" s="5"/>
      <c r="V818" s="5"/>
      <c r="W818" s="6"/>
      <c r="X818" s="7"/>
      <c r="Y818" s="7"/>
      <c r="Z818" s="5"/>
      <c r="AA818" s="5"/>
      <c r="AB818" s="5"/>
      <c r="AC818" s="5"/>
      <c r="AD818" s="5"/>
    </row>
    <row r="819" spans="1:30" ht="15.75" customHeight="1">
      <c r="A819" s="5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5"/>
      <c r="T819" s="5"/>
      <c r="U819" s="5"/>
      <c r="V819" s="5"/>
      <c r="W819" s="6"/>
      <c r="X819" s="7"/>
      <c r="Y819" s="7"/>
      <c r="Z819" s="5"/>
      <c r="AA819" s="5"/>
      <c r="AB819" s="5"/>
      <c r="AC819" s="5"/>
      <c r="AD819" s="5"/>
    </row>
    <row r="820" spans="1:30" ht="15.75" customHeight="1">
      <c r="A820" s="5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5"/>
      <c r="T820" s="5"/>
      <c r="U820" s="5"/>
      <c r="V820" s="5"/>
      <c r="W820" s="6"/>
      <c r="X820" s="7"/>
      <c r="Y820" s="7"/>
      <c r="Z820" s="5"/>
      <c r="AA820" s="5"/>
      <c r="AB820" s="5"/>
      <c r="AC820" s="5"/>
      <c r="AD820" s="5"/>
    </row>
    <row r="821" spans="1:30" ht="15.75" customHeight="1">
      <c r="A821" s="5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5"/>
      <c r="T821" s="5"/>
      <c r="U821" s="5"/>
      <c r="V821" s="5"/>
      <c r="W821" s="6"/>
      <c r="X821" s="7"/>
      <c r="Y821" s="7"/>
      <c r="Z821" s="5"/>
      <c r="AA821" s="5"/>
      <c r="AB821" s="5"/>
      <c r="AC821" s="5"/>
      <c r="AD821" s="5"/>
    </row>
    <row r="822" spans="1:30" ht="15.75" customHeight="1">
      <c r="A822" s="5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5"/>
      <c r="T822" s="5"/>
      <c r="U822" s="5"/>
      <c r="V822" s="5"/>
      <c r="W822" s="6"/>
      <c r="X822" s="7"/>
      <c r="Y822" s="7"/>
      <c r="Z822" s="5"/>
      <c r="AA822" s="5"/>
      <c r="AB822" s="5"/>
      <c r="AC822" s="5"/>
      <c r="AD822" s="5"/>
    </row>
    <row r="823" spans="1:30" ht="15.75" customHeight="1">
      <c r="A823" s="5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5"/>
      <c r="T823" s="5"/>
      <c r="U823" s="5"/>
      <c r="V823" s="5"/>
      <c r="W823" s="6"/>
      <c r="X823" s="7"/>
      <c r="Y823" s="7"/>
      <c r="Z823" s="5"/>
      <c r="AA823" s="5"/>
      <c r="AB823" s="5"/>
      <c r="AC823" s="5"/>
      <c r="AD823" s="5"/>
    </row>
    <row r="824" spans="1:30" ht="15.75" customHeight="1">
      <c r="A824" s="5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5"/>
      <c r="T824" s="5"/>
      <c r="U824" s="5"/>
      <c r="V824" s="5"/>
      <c r="W824" s="6"/>
      <c r="X824" s="7"/>
      <c r="Y824" s="7"/>
      <c r="Z824" s="5"/>
      <c r="AA824" s="5"/>
      <c r="AB824" s="5"/>
      <c r="AC824" s="5"/>
      <c r="AD824" s="5"/>
    </row>
    <row r="825" spans="1:30" ht="15.75" customHeight="1">
      <c r="A825" s="5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5"/>
      <c r="T825" s="5"/>
      <c r="U825" s="5"/>
      <c r="V825" s="5"/>
      <c r="W825" s="6"/>
      <c r="X825" s="7"/>
      <c r="Y825" s="7"/>
      <c r="Z825" s="5"/>
      <c r="AA825" s="5"/>
      <c r="AB825" s="5"/>
      <c r="AC825" s="5"/>
      <c r="AD825" s="5"/>
    </row>
    <row r="826" spans="1:30" ht="15.75" customHeight="1">
      <c r="A826" s="5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5"/>
      <c r="T826" s="5"/>
      <c r="U826" s="5"/>
      <c r="V826" s="5"/>
      <c r="W826" s="6"/>
      <c r="X826" s="7"/>
      <c r="Y826" s="7"/>
      <c r="Z826" s="5"/>
      <c r="AA826" s="5"/>
      <c r="AB826" s="5"/>
      <c r="AC826" s="5"/>
      <c r="AD826" s="5"/>
    </row>
    <row r="827" spans="1:30" ht="15.75" customHeight="1">
      <c r="A827" s="5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5"/>
      <c r="T827" s="5"/>
      <c r="U827" s="5"/>
      <c r="V827" s="5"/>
      <c r="W827" s="6"/>
      <c r="X827" s="7"/>
      <c r="Y827" s="7"/>
      <c r="Z827" s="5"/>
      <c r="AA827" s="5"/>
      <c r="AB827" s="5"/>
      <c r="AC827" s="5"/>
      <c r="AD827" s="5"/>
    </row>
    <row r="828" spans="1:30" ht="15.75" customHeight="1">
      <c r="A828" s="5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5"/>
      <c r="T828" s="5"/>
      <c r="U828" s="5"/>
      <c r="V828" s="5"/>
      <c r="W828" s="6"/>
      <c r="X828" s="7"/>
      <c r="Y828" s="7"/>
      <c r="Z828" s="5"/>
      <c r="AA828" s="5"/>
      <c r="AB828" s="5"/>
      <c r="AC828" s="5"/>
      <c r="AD828" s="5"/>
    </row>
    <row r="829" spans="1:30" ht="15.75" customHeight="1">
      <c r="A829" s="5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5"/>
      <c r="T829" s="5"/>
      <c r="U829" s="5"/>
      <c r="V829" s="5"/>
      <c r="W829" s="6"/>
      <c r="X829" s="7"/>
      <c r="Y829" s="7"/>
      <c r="Z829" s="5"/>
      <c r="AA829" s="5"/>
      <c r="AB829" s="5"/>
      <c r="AC829" s="5"/>
      <c r="AD829" s="5"/>
    </row>
    <row r="830" spans="1:30" ht="15.75" customHeight="1">
      <c r="A830" s="5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5"/>
      <c r="T830" s="5"/>
      <c r="U830" s="5"/>
      <c r="V830" s="5"/>
      <c r="W830" s="6"/>
      <c r="X830" s="7"/>
      <c r="Y830" s="7"/>
      <c r="Z830" s="5"/>
      <c r="AA830" s="5"/>
      <c r="AB830" s="5"/>
      <c r="AC830" s="5"/>
      <c r="AD830" s="5"/>
    </row>
    <row r="831" spans="1:30" ht="15.75" customHeight="1">
      <c r="A831" s="5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5"/>
      <c r="T831" s="5"/>
      <c r="U831" s="5"/>
      <c r="V831" s="5"/>
      <c r="W831" s="6"/>
      <c r="X831" s="7"/>
      <c r="Y831" s="7"/>
      <c r="Z831" s="5"/>
      <c r="AA831" s="5"/>
      <c r="AB831" s="5"/>
      <c r="AC831" s="5"/>
      <c r="AD831" s="5"/>
    </row>
    <row r="832" spans="1:30" ht="15.75" customHeight="1">
      <c r="A832" s="5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5"/>
      <c r="T832" s="5"/>
      <c r="U832" s="5"/>
      <c r="V832" s="5"/>
      <c r="W832" s="6"/>
      <c r="X832" s="7"/>
      <c r="Y832" s="7"/>
      <c r="Z832" s="5"/>
      <c r="AA832" s="5"/>
      <c r="AB832" s="5"/>
      <c r="AC832" s="5"/>
      <c r="AD832" s="5"/>
    </row>
    <row r="833" spans="1:30" ht="15.75" customHeight="1">
      <c r="A833" s="5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5"/>
      <c r="T833" s="5"/>
      <c r="U833" s="5"/>
      <c r="V833" s="5"/>
      <c r="W833" s="6"/>
      <c r="X833" s="7"/>
      <c r="Y833" s="7"/>
      <c r="Z833" s="5"/>
      <c r="AA833" s="5"/>
      <c r="AB833" s="5"/>
      <c r="AC833" s="5"/>
      <c r="AD833" s="5"/>
    </row>
    <row r="834" spans="1:30" ht="15.75" customHeight="1">
      <c r="A834" s="5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5"/>
      <c r="T834" s="5"/>
      <c r="U834" s="5"/>
      <c r="V834" s="5"/>
      <c r="W834" s="6"/>
      <c r="X834" s="7"/>
      <c r="Y834" s="7"/>
      <c r="Z834" s="5"/>
      <c r="AA834" s="5"/>
      <c r="AB834" s="5"/>
      <c r="AC834" s="5"/>
      <c r="AD834" s="5"/>
    </row>
    <row r="835" spans="1:30" ht="15.75" customHeight="1">
      <c r="A835" s="5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5"/>
      <c r="T835" s="5"/>
      <c r="U835" s="5"/>
      <c r="V835" s="5"/>
      <c r="W835" s="6"/>
      <c r="X835" s="7"/>
      <c r="Y835" s="7"/>
      <c r="Z835" s="5"/>
      <c r="AA835" s="5"/>
      <c r="AB835" s="5"/>
      <c r="AC835" s="5"/>
      <c r="AD835" s="5"/>
    </row>
    <row r="836" spans="1:30" ht="15.75" customHeight="1">
      <c r="A836" s="5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5"/>
      <c r="T836" s="5"/>
      <c r="U836" s="5"/>
      <c r="V836" s="5"/>
      <c r="W836" s="6"/>
      <c r="X836" s="7"/>
      <c r="Y836" s="7"/>
      <c r="Z836" s="5"/>
      <c r="AA836" s="5"/>
      <c r="AB836" s="5"/>
      <c r="AC836" s="5"/>
      <c r="AD836" s="5"/>
    </row>
    <row r="837" spans="1:30" ht="15.75" customHeight="1">
      <c r="A837" s="5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5"/>
      <c r="T837" s="5"/>
      <c r="U837" s="5"/>
      <c r="V837" s="5"/>
      <c r="W837" s="6"/>
      <c r="X837" s="7"/>
      <c r="Y837" s="7"/>
      <c r="Z837" s="5"/>
      <c r="AA837" s="5"/>
      <c r="AB837" s="5"/>
      <c r="AC837" s="5"/>
      <c r="AD837" s="5"/>
    </row>
    <row r="838" spans="1:30" ht="15.75" customHeight="1">
      <c r="A838" s="5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5"/>
      <c r="T838" s="5"/>
      <c r="U838" s="5"/>
      <c r="V838" s="5"/>
      <c r="W838" s="6"/>
      <c r="X838" s="7"/>
      <c r="Y838" s="7"/>
      <c r="Z838" s="5"/>
      <c r="AA838" s="5"/>
      <c r="AB838" s="5"/>
      <c r="AC838" s="5"/>
      <c r="AD838" s="5"/>
    </row>
    <row r="839" spans="1:30" ht="15.75" customHeight="1">
      <c r="A839" s="5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5"/>
      <c r="T839" s="5"/>
      <c r="U839" s="5"/>
      <c r="V839" s="5"/>
      <c r="W839" s="6"/>
      <c r="X839" s="7"/>
      <c r="Y839" s="7"/>
      <c r="Z839" s="5"/>
      <c r="AA839" s="5"/>
      <c r="AB839" s="5"/>
      <c r="AC839" s="5"/>
      <c r="AD839" s="5"/>
    </row>
    <row r="840" spans="1:30" ht="15.75" customHeight="1">
      <c r="A840" s="5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5"/>
      <c r="T840" s="5"/>
      <c r="U840" s="5"/>
      <c r="V840" s="5"/>
      <c r="W840" s="6"/>
      <c r="X840" s="7"/>
      <c r="Y840" s="7"/>
      <c r="Z840" s="5"/>
      <c r="AA840" s="5"/>
      <c r="AB840" s="5"/>
      <c r="AC840" s="5"/>
      <c r="AD840" s="5"/>
    </row>
    <row r="841" spans="1:30" ht="15.75" customHeight="1">
      <c r="A841" s="5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5"/>
      <c r="T841" s="5"/>
      <c r="U841" s="5"/>
      <c r="V841" s="5"/>
      <c r="W841" s="6"/>
      <c r="X841" s="7"/>
      <c r="Y841" s="7"/>
      <c r="Z841" s="5"/>
      <c r="AA841" s="5"/>
      <c r="AB841" s="5"/>
      <c r="AC841" s="5"/>
      <c r="AD841" s="5"/>
    </row>
    <row r="842" spans="1:30" ht="15.75" customHeight="1">
      <c r="A842" s="5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5"/>
      <c r="T842" s="5"/>
      <c r="U842" s="5"/>
      <c r="V842" s="5"/>
      <c r="W842" s="6"/>
      <c r="X842" s="7"/>
      <c r="Y842" s="7"/>
      <c r="Z842" s="5"/>
      <c r="AA842" s="5"/>
      <c r="AB842" s="5"/>
      <c r="AC842" s="5"/>
      <c r="AD842" s="5"/>
    </row>
    <row r="843" spans="1:30" ht="15.75" customHeight="1">
      <c r="A843" s="5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5"/>
      <c r="T843" s="5"/>
      <c r="U843" s="5"/>
      <c r="V843" s="5"/>
      <c r="W843" s="6"/>
      <c r="X843" s="7"/>
      <c r="Y843" s="7"/>
      <c r="Z843" s="5"/>
      <c r="AA843" s="5"/>
      <c r="AB843" s="5"/>
      <c r="AC843" s="5"/>
      <c r="AD843" s="5"/>
    </row>
    <row r="844" spans="1:30" ht="15.75" customHeight="1">
      <c r="A844" s="5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5"/>
      <c r="T844" s="5"/>
      <c r="U844" s="5"/>
      <c r="V844" s="5"/>
      <c r="W844" s="6"/>
      <c r="X844" s="7"/>
      <c r="Y844" s="7"/>
      <c r="Z844" s="5"/>
      <c r="AA844" s="5"/>
      <c r="AB844" s="5"/>
      <c r="AC844" s="5"/>
      <c r="AD844" s="5"/>
    </row>
    <row r="845" spans="1:30" ht="15.75" customHeight="1">
      <c r="A845" s="5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5"/>
      <c r="T845" s="5"/>
      <c r="U845" s="5"/>
      <c r="V845" s="5"/>
      <c r="W845" s="6"/>
      <c r="X845" s="7"/>
      <c r="Y845" s="7"/>
      <c r="Z845" s="5"/>
      <c r="AA845" s="5"/>
      <c r="AB845" s="5"/>
      <c r="AC845" s="5"/>
      <c r="AD845" s="5"/>
    </row>
    <row r="846" spans="1:30" ht="15.75" customHeight="1">
      <c r="A846" s="5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5"/>
      <c r="T846" s="5"/>
      <c r="U846" s="5"/>
      <c r="V846" s="5"/>
      <c r="W846" s="6"/>
      <c r="X846" s="7"/>
      <c r="Y846" s="7"/>
      <c r="Z846" s="5"/>
      <c r="AA846" s="5"/>
      <c r="AB846" s="5"/>
      <c r="AC846" s="5"/>
      <c r="AD846" s="5"/>
    </row>
    <row r="847" spans="1:30" ht="15.75" customHeight="1">
      <c r="A847" s="5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5"/>
      <c r="T847" s="5"/>
      <c r="U847" s="5"/>
      <c r="V847" s="5"/>
      <c r="W847" s="6"/>
      <c r="X847" s="7"/>
      <c r="Y847" s="7"/>
      <c r="Z847" s="5"/>
      <c r="AA847" s="5"/>
      <c r="AB847" s="5"/>
      <c r="AC847" s="5"/>
      <c r="AD847" s="5"/>
    </row>
    <row r="848" spans="1:30" ht="15.75" customHeight="1">
      <c r="A848" s="5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5"/>
      <c r="T848" s="5"/>
      <c r="U848" s="5"/>
      <c r="V848" s="5"/>
      <c r="W848" s="6"/>
      <c r="X848" s="7"/>
      <c r="Y848" s="7"/>
      <c r="Z848" s="5"/>
      <c r="AA848" s="5"/>
      <c r="AB848" s="5"/>
      <c r="AC848" s="5"/>
      <c r="AD848" s="5"/>
    </row>
    <row r="849" spans="1:30" ht="15.75" customHeight="1">
      <c r="A849" s="5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5"/>
      <c r="T849" s="5"/>
      <c r="U849" s="5"/>
      <c r="V849" s="5"/>
      <c r="W849" s="6"/>
      <c r="X849" s="7"/>
      <c r="Y849" s="7"/>
      <c r="Z849" s="5"/>
      <c r="AA849" s="5"/>
      <c r="AB849" s="5"/>
      <c r="AC849" s="5"/>
      <c r="AD849" s="5"/>
    </row>
    <row r="850" spans="1:30" ht="15.75" customHeight="1">
      <c r="A850" s="5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5"/>
      <c r="T850" s="5"/>
      <c r="U850" s="5"/>
      <c r="V850" s="5"/>
      <c r="W850" s="6"/>
      <c r="X850" s="7"/>
      <c r="Y850" s="7"/>
      <c r="Z850" s="5"/>
      <c r="AA850" s="5"/>
      <c r="AB850" s="5"/>
      <c r="AC850" s="5"/>
      <c r="AD850" s="5"/>
    </row>
    <row r="851" spans="1:30" ht="15.75" customHeight="1">
      <c r="A851" s="5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5"/>
      <c r="T851" s="5"/>
      <c r="U851" s="5"/>
      <c r="V851" s="5"/>
      <c r="W851" s="6"/>
      <c r="X851" s="7"/>
      <c r="Y851" s="7"/>
      <c r="Z851" s="5"/>
      <c r="AA851" s="5"/>
      <c r="AB851" s="5"/>
      <c r="AC851" s="5"/>
      <c r="AD851" s="5"/>
    </row>
    <row r="852" spans="1:30" ht="15.75" customHeight="1">
      <c r="A852" s="5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5"/>
      <c r="T852" s="5"/>
      <c r="U852" s="5"/>
      <c r="V852" s="5"/>
      <c r="W852" s="6"/>
      <c r="X852" s="7"/>
      <c r="Y852" s="7"/>
      <c r="Z852" s="5"/>
      <c r="AA852" s="5"/>
      <c r="AB852" s="5"/>
      <c r="AC852" s="5"/>
      <c r="AD852" s="5"/>
    </row>
    <row r="853" spans="1:30" ht="15.75" customHeight="1">
      <c r="A853" s="5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5"/>
      <c r="T853" s="5"/>
      <c r="U853" s="5"/>
      <c r="V853" s="5"/>
      <c r="W853" s="6"/>
      <c r="X853" s="7"/>
      <c r="Y853" s="7"/>
      <c r="Z853" s="5"/>
      <c r="AA853" s="5"/>
      <c r="AB853" s="5"/>
      <c r="AC853" s="5"/>
      <c r="AD853" s="5"/>
    </row>
    <row r="854" spans="1:30" ht="15.75" customHeight="1">
      <c r="A854" s="5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5"/>
      <c r="T854" s="5"/>
      <c r="U854" s="5"/>
      <c r="V854" s="5"/>
      <c r="W854" s="6"/>
      <c r="X854" s="7"/>
      <c r="Y854" s="7"/>
      <c r="Z854" s="5"/>
      <c r="AA854" s="5"/>
      <c r="AB854" s="5"/>
      <c r="AC854" s="5"/>
      <c r="AD854" s="5"/>
    </row>
    <row r="855" spans="1:30" ht="15.75" customHeight="1">
      <c r="A855" s="5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5"/>
      <c r="T855" s="5"/>
      <c r="U855" s="5"/>
      <c r="V855" s="5"/>
      <c r="W855" s="6"/>
      <c r="X855" s="7"/>
      <c r="Y855" s="7"/>
      <c r="Z855" s="5"/>
      <c r="AA855" s="5"/>
      <c r="AB855" s="5"/>
      <c r="AC855" s="5"/>
      <c r="AD855" s="5"/>
    </row>
    <row r="856" spans="1:30" ht="15.75" customHeight="1">
      <c r="A856" s="5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5"/>
      <c r="T856" s="5"/>
      <c r="U856" s="5"/>
      <c r="V856" s="5"/>
      <c r="W856" s="6"/>
      <c r="X856" s="7"/>
      <c r="Y856" s="7"/>
      <c r="Z856" s="5"/>
      <c r="AA856" s="5"/>
      <c r="AB856" s="5"/>
      <c r="AC856" s="5"/>
      <c r="AD856" s="5"/>
    </row>
    <row r="857" spans="1:30" ht="15.75" customHeight="1">
      <c r="A857" s="5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5"/>
      <c r="T857" s="5"/>
      <c r="U857" s="5"/>
      <c r="V857" s="5"/>
      <c r="W857" s="6"/>
      <c r="X857" s="7"/>
      <c r="Y857" s="7"/>
      <c r="Z857" s="5"/>
      <c r="AA857" s="5"/>
      <c r="AB857" s="5"/>
      <c r="AC857" s="5"/>
      <c r="AD857" s="5"/>
    </row>
    <row r="858" spans="1:30" ht="15.75" customHeight="1">
      <c r="A858" s="5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5"/>
      <c r="T858" s="5"/>
      <c r="U858" s="5"/>
      <c r="V858" s="5"/>
      <c r="W858" s="6"/>
      <c r="X858" s="7"/>
      <c r="Y858" s="7"/>
      <c r="Z858" s="5"/>
      <c r="AA858" s="5"/>
      <c r="AB858" s="5"/>
      <c r="AC858" s="5"/>
      <c r="AD858" s="5"/>
    </row>
    <row r="859" spans="1:30" ht="15.75" customHeight="1">
      <c r="A859" s="5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5"/>
      <c r="T859" s="5"/>
      <c r="U859" s="5"/>
      <c r="V859" s="5"/>
      <c r="W859" s="6"/>
      <c r="X859" s="7"/>
      <c r="Y859" s="7"/>
      <c r="Z859" s="5"/>
      <c r="AA859" s="5"/>
      <c r="AB859" s="5"/>
      <c r="AC859" s="5"/>
      <c r="AD859" s="5"/>
    </row>
    <row r="860" spans="1:30" ht="15.75" customHeight="1">
      <c r="A860" s="5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5"/>
      <c r="T860" s="5"/>
      <c r="U860" s="5"/>
      <c r="V860" s="5"/>
      <c r="W860" s="6"/>
      <c r="X860" s="7"/>
      <c r="Y860" s="7"/>
      <c r="Z860" s="5"/>
      <c r="AA860" s="5"/>
      <c r="AB860" s="5"/>
      <c r="AC860" s="5"/>
      <c r="AD860" s="5"/>
    </row>
    <row r="861" spans="1:30" ht="15.75" customHeight="1">
      <c r="A861" s="5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5"/>
      <c r="T861" s="5"/>
      <c r="U861" s="5"/>
      <c r="V861" s="5"/>
      <c r="W861" s="6"/>
      <c r="X861" s="7"/>
      <c r="Y861" s="7"/>
      <c r="Z861" s="5"/>
      <c r="AA861" s="5"/>
      <c r="AB861" s="5"/>
      <c r="AC861" s="5"/>
      <c r="AD861" s="5"/>
    </row>
    <row r="862" spans="1:30" ht="15.75" customHeight="1">
      <c r="A862" s="5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5"/>
      <c r="T862" s="5"/>
      <c r="U862" s="5"/>
      <c r="V862" s="5"/>
      <c r="W862" s="6"/>
      <c r="X862" s="7"/>
      <c r="Y862" s="7"/>
      <c r="Z862" s="5"/>
      <c r="AA862" s="5"/>
      <c r="AB862" s="5"/>
      <c r="AC862" s="5"/>
      <c r="AD862" s="5"/>
    </row>
    <row r="863" spans="1:30" ht="15.75" customHeight="1">
      <c r="A863" s="5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5"/>
      <c r="T863" s="5"/>
      <c r="U863" s="5"/>
      <c r="V863" s="5"/>
      <c r="W863" s="6"/>
      <c r="X863" s="7"/>
      <c r="Y863" s="7"/>
      <c r="Z863" s="5"/>
      <c r="AA863" s="5"/>
      <c r="AB863" s="5"/>
      <c r="AC863" s="5"/>
      <c r="AD863" s="5"/>
    </row>
    <row r="864" spans="1:30" ht="15.75" customHeight="1">
      <c r="A864" s="5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5"/>
      <c r="T864" s="5"/>
      <c r="U864" s="5"/>
      <c r="V864" s="5"/>
      <c r="W864" s="6"/>
      <c r="X864" s="7"/>
      <c r="Y864" s="7"/>
      <c r="Z864" s="5"/>
      <c r="AA864" s="5"/>
      <c r="AB864" s="5"/>
      <c r="AC864" s="5"/>
      <c r="AD864" s="5"/>
    </row>
    <row r="865" spans="1:30" ht="15.75" customHeight="1">
      <c r="A865" s="5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5"/>
      <c r="T865" s="5"/>
      <c r="U865" s="5"/>
      <c r="V865" s="5"/>
      <c r="W865" s="6"/>
      <c r="X865" s="7"/>
      <c r="Y865" s="7"/>
      <c r="Z865" s="5"/>
      <c r="AA865" s="5"/>
      <c r="AB865" s="5"/>
      <c r="AC865" s="5"/>
      <c r="AD865" s="5"/>
    </row>
    <row r="866" spans="1:30" ht="15.75" customHeight="1">
      <c r="A866" s="5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5"/>
      <c r="T866" s="5"/>
      <c r="U866" s="5"/>
      <c r="V866" s="5"/>
      <c r="W866" s="6"/>
      <c r="X866" s="7"/>
      <c r="Y866" s="7"/>
      <c r="Z866" s="5"/>
      <c r="AA866" s="5"/>
      <c r="AB866" s="5"/>
      <c r="AC866" s="5"/>
      <c r="AD866" s="5"/>
    </row>
    <row r="867" spans="1:30" ht="15.75" customHeight="1">
      <c r="A867" s="5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5"/>
      <c r="T867" s="5"/>
      <c r="U867" s="5"/>
      <c r="V867" s="5"/>
      <c r="W867" s="6"/>
      <c r="X867" s="7"/>
      <c r="Y867" s="7"/>
      <c r="Z867" s="5"/>
      <c r="AA867" s="5"/>
      <c r="AB867" s="5"/>
      <c r="AC867" s="5"/>
      <c r="AD867" s="5"/>
    </row>
    <row r="868" spans="1:30" ht="15.75" customHeight="1">
      <c r="A868" s="5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5"/>
      <c r="T868" s="5"/>
      <c r="U868" s="5"/>
      <c r="V868" s="5"/>
      <c r="W868" s="6"/>
      <c r="X868" s="7"/>
      <c r="Y868" s="7"/>
      <c r="Z868" s="5"/>
      <c r="AA868" s="5"/>
      <c r="AB868" s="5"/>
      <c r="AC868" s="5"/>
      <c r="AD868" s="5"/>
    </row>
    <row r="869" spans="1:30" ht="15.75" customHeight="1">
      <c r="A869" s="5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5"/>
      <c r="T869" s="5"/>
      <c r="U869" s="5"/>
      <c r="V869" s="5"/>
      <c r="W869" s="6"/>
      <c r="X869" s="7"/>
      <c r="Y869" s="7"/>
      <c r="Z869" s="5"/>
      <c r="AA869" s="5"/>
      <c r="AB869" s="5"/>
      <c r="AC869" s="5"/>
      <c r="AD869" s="5"/>
    </row>
    <row r="870" spans="1:30" ht="15.75" customHeight="1">
      <c r="A870" s="5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5"/>
      <c r="T870" s="5"/>
      <c r="U870" s="5"/>
      <c r="V870" s="5"/>
      <c r="W870" s="6"/>
      <c r="X870" s="7"/>
      <c r="Y870" s="7"/>
      <c r="Z870" s="5"/>
      <c r="AA870" s="5"/>
      <c r="AB870" s="5"/>
      <c r="AC870" s="5"/>
      <c r="AD870" s="5"/>
    </row>
    <row r="871" spans="1:30" ht="15.75" customHeight="1">
      <c r="A871" s="5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5"/>
      <c r="T871" s="5"/>
      <c r="U871" s="5"/>
      <c r="V871" s="5"/>
      <c r="W871" s="6"/>
      <c r="X871" s="7"/>
      <c r="Y871" s="7"/>
      <c r="Z871" s="5"/>
      <c r="AA871" s="5"/>
      <c r="AB871" s="5"/>
      <c r="AC871" s="5"/>
      <c r="AD871" s="5"/>
    </row>
    <row r="872" spans="1:30" ht="15.75" customHeight="1">
      <c r="A872" s="5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5"/>
      <c r="T872" s="5"/>
      <c r="U872" s="5"/>
      <c r="V872" s="5"/>
      <c r="W872" s="6"/>
      <c r="X872" s="7"/>
      <c r="Y872" s="7"/>
      <c r="Z872" s="5"/>
      <c r="AA872" s="5"/>
      <c r="AB872" s="5"/>
      <c r="AC872" s="5"/>
      <c r="AD872" s="5"/>
    </row>
    <row r="873" spans="1:30" ht="15.75" customHeight="1">
      <c r="A873" s="5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5"/>
      <c r="T873" s="5"/>
      <c r="U873" s="5"/>
      <c r="V873" s="5"/>
      <c r="W873" s="6"/>
      <c r="X873" s="7"/>
      <c r="Y873" s="7"/>
      <c r="Z873" s="5"/>
      <c r="AA873" s="5"/>
      <c r="AB873" s="5"/>
      <c r="AC873" s="5"/>
      <c r="AD873" s="5"/>
    </row>
    <row r="874" spans="1:30" ht="15.75" customHeight="1">
      <c r="A874" s="5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5"/>
      <c r="T874" s="5"/>
      <c r="U874" s="5"/>
      <c r="V874" s="5"/>
      <c r="W874" s="6"/>
      <c r="X874" s="7"/>
      <c r="Y874" s="7"/>
      <c r="Z874" s="5"/>
      <c r="AA874" s="5"/>
      <c r="AB874" s="5"/>
      <c r="AC874" s="5"/>
      <c r="AD874" s="5"/>
    </row>
    <row r="875" spans="1:30" ht="15.75" customHeight="1">
      <c r="A875" s="5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5"/>
      <c r="T875" s="5"/>
      <c r="U875" s="5"/>
      <c r="V875" s="5"/>
      <c r="W875" s="6"/>
      <c r="X875" s="7"/>
      <c r="Y875" s="7"/>
      <c r="Z875" s="5"/>
      <c r="AA875" s="5"/>
      <c r="AB875" s="5"/>
      <c r="AC875" s="5"/>
      <c r="AD875" s="5"/>
    </row>
    <row r="876" spans="1:30" ht="15.75" customHeight="1">
      <c r="A876" s="5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5"/>
      <c r="T876" s="5"/>
      <c r="U876" s="5"/>
      <c r="V876" s="5"/>
      <c r="W876" s="6"/>
      <c r="X876" s="7"/>
      <c r="Y876" s="7"/>
      <c r="Z876" s="5"/>
      <c r="AA876" s="5"/>
      <c r="AB876" s="5"/>
      <c r="AC876" s="5"/>
      <c r="AD876" s="5"/>
    </row>
    <row r="877" spans="1:30" ht="15.75" customHeight="1">
      <c r="A877" s="5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5"/>
      <c r="T877" s="5"/>
      <c r="U877" s="5"/>
      <c r="V877" s="5"/>
      <c r="W877" s="6"/>
      <c r="X877" s="7"/>
      <c r="Y877" s="7"/>
      <c r="Z877" s="5"/>
      <c r="AA877" s="5"/>
      <c r="AB877" s="5"/>
      <c r="AC877" s="5"/>
      <c r="AD877" s="5"/>
    </row>
    <row r="878" spans="1:30" ht="15.75" customHeight="1">
      <c r="A878" s="5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5"/>
      <c r="T878" s="5"/>
      <c r="U878" s="5"/>
      <c r="V878" s="5"/>
      <c r="W878" s="6"/>
      <c r="X878" s="7"/>
      <c r="Y878" s="7"/>
      <c r="Z878" s="5"/>
      <c r="AA878" s="5"/>
      <c r="AB878" s="5"/>
      <c r="AC878" s="5"/>
      <c r="AD878" s="5"/>
    </row>
    <row r="879" spans="1:30" ht="15.75" customHeight="1">
      <c r="A879" s="5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5"/>
      <c r="T879" s="5"/>
      <c r="U879" s="5"/>
      <c r="V879" s="5"/>
      <c r="W879" s="6"/>
      <c r="X879" s="7"/>
      <c r="Y879" s="7"/>
      <c r="Z879" s="5"/>
      <c r="AA879" s="5"/>
      <c r="AB879" s="5"/>
      <c r="AC879" s="5"/>
      <c r="AD879" s="5"/>
    </row>
    <row r="880" spans="1:30" ht="15.75" customHeight="1">
      <c r="A880" s="5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5"/>
      <c r="T880" s="5"/>
      <c r="U880" s="5"/>
      <c r="V880" s="5"/>
      <c r="W880" s="6"/>
      <c r="X880" s="7"/>
      <c r="Y880" s="7"/>
      <c r="Z880" s="5"/>
      <c r="AA880" s="5"/>
      <c r="AB880" s="5"/>
      <c r="AC880" s="5"/>
      <c r="AD880" s="5"/>
    </row>
    <row r="881" spans="1:30" ht="15.75" customHeight="1">
      <c r="A881" s="5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5"/>
      <c r="T881" s="5"/>
      <c r="U881" s="5"/>
      <c r="V881" s="5"/>
      <c r="W881" s="6"/>
      <c r="X881" s="7"/>
      <c r="Y881" s="7"/>
      <c r="Z881" s="5"/>
      <c r="AA881" s="5"/>
      <c r="AB881" s="5"/>
      <c r="AC881" s="5"/>
      <c r="AD881" s="5"/>
    </row>
    <row r="882" spans="1:30" ht="15.75" customHeight="1">
      <c r="A882" s="5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5"/>
      <c r="T882" s="5"/>
      <c r="U882" s="5"/>
      <c r="V882" s="5"/>
      <c r="W882" s="6"/>
      <c r="X882" s="7"/>
      <c r="Y882" s="7"/>
      <c r="Z882" s="5"/>
      <c r="AA882" s="5"/>
      <c r="AB882" s="5"/>
      <c r="AC882" s="5"/>
      <c r="AD882" s="5"/>
    </row>
    <row r="883" spans="1:30" ht="15.75" customHeight="1">
      <c r="A883" s="5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5"/>
      <c r="T883" s="5"/>
      <c r="U883" s="5"/>
      <c r="V883" s="5"/>
      <c r="W883" s="6"/>
      <c r="X883" s="7"/>
      <c r="Y883" s="7"/>
      <c r="Z883" s="5"/>
      <c r="AA883" s="5"/>
      <c r="AB883" s="5"/>
      <c r="AC883" s="5"/>
      <c r="AD883" s="5"/>
    </row>
    <row r="884" spans="1:30" ht="15.75" customHeight="1">
      <c r="A884" s="5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5"/>
      <c r="T884" s="5"/>
      <c r="U884" s="5"/>
      <c r="V884" s="5"/>
      <c r="W884" s="6"/>
      <c r="X884" s="7"/>
      <c r="Y884" s="7"/>
      <c r="Z884" s="5"/>
      <c r="AA884" s="5"/>
      <c r="AB884" s="5"/>
      <c r="AC884" s="5"/>
      <c r="AD884" s="5"/>
    </row>
    <row r="885" spans="1:30" ht="15.75" customHeight="1">
      <c r="A885" s="5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5"/>
      <c r="T885" s="5"/>
      <c r="U885" s="5"/>
      <c r="V885" s="5"/>
      <c r="W885" s="6"/>
      <c r="X885" s="7"/>
      <c r="Y885" s="7"/>
      <c r="Z885" s="5"/>
      <c r="AA885" s="5"/>
      <c r="AB885" s="5"/>
      <c r="AC885" s="5"/>
      <c r="AD885" s="5"/>
    </row>
    <row r="886" spans="1:30" ht="15.75" customHeight="1">
      <c r="A886" s="5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5"/>
      <c r="T886" s="5"/>
      <c r="U886" s="5"/>
      <c r="V886" s="5"/>
      <c r="W886" s="6"/>
      <c r="X886" s="7"/>
      <c r="Y886" s="7"/>
      <c r="Z886" s="5"/>
      <c r="AA886" s="5"/>
      <c r="AB886" s="5"/>
      <c r="AC886" s="5"/>
      <c r="AD886" s="5"/>
    </row>
    <row r="887" spans="1:30" ht="15.75" customHeight="1">
      <c r="A887" s="5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5"/>
      <c r="T887" s="5"/>
      <c r="U887" s="5"/>
      <c r="V887" s="5"/>
      <c r="W887" s="6"/>
      <c r="X887" s="7"/>
      <c r="Y887" s="7"/>
      <c r="Z887" s="5"/>
      <c r="AA887" s="5"/>
      <c r="AB887" s="5"/>
      <c r="AC887" s="5"/>
      <c r="AD887" s="5"/>
    </row>
    <row r="888" spans="1:30" ht="15.75" customHeight="1">
      <c r="A888" s="5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5"/>
      <c r="T888" s="5"/>
      <c r="U888" s="5"/>
      <c r="V888" s="5"/>
      <c r="W888" s="6"/>
      <c r="X888" s="7"/>
      <c r="Y888" s="7"/>
      <c r="Z888" s="5"/>
      <c r="AA888" s="5"/>
      <c r="AB888" s="5"/>
      <c r="AC888" s="5"/>
      <c r="AD888" s="5"/>
    </row>
    <row r="889" spans="1:30" ht="15.75" customHeight="1">
      <c r="A889" s="5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5"/>
      <c r="T889" s="5"/>
      <c r="U889" s="5"/>
      <c r="V889" s="5"/>
      <c r="W889" s="6"/>
      <c r="X889" s="7"/>
      <c r="Y889" s="7"/>
      <c r="Z889" s="5"/>
      <c r="AA889" s="5"/>
      <c r="AB889" s="5"/>
      <c r="AC889" s="5"/>
      <c r="AD889" s="5"/>
    </row>
    <row r="890" spans="1:30" ht="15.75" customHeight="1">
      <c r="A890" s="5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5"/>
      <c r="T890" s="5"/>
      <c r="U890" s="5"/>
      <c r="V890" s="5"/>
      <c r="W890" s="6"/>
      <c r="X890" s="7"/>
      <c r="Y890" s="7"/>
      <c r="Z890" s="5"/>
      <c r="AA890" s="5"/>
      <c r="AB890" s="5"/>
      <c r="AC890" s="5"/>
      <c r="AD890" s="5"/>
    </row>
    <row r="891" spans="1:30" ht="15.75" customHeight="1">
      <c r="A891" s="5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5"/>
      <c r="T891" s="5"/>
      <c r="U891" s="5"/>
      <c r="V891" s="5"/>
      <c r="W891" s="6"/>
      <c r="X891" s="7"/>
      <c r="Y891" s="7"/>
      <c r="Z891" s="5"/>
      <c r="AA891" s="5"/>
      <c r="AB891" s="5"/>
      <c r="AC891" s="5"/>
      <c r="AD891" s="5"/>
    </row>
    <row r="892" spans="1:30" ht="15.75" customHeight="1">
      <c r="A892" s="5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5"/>
      <c r="T892" s="5"/>
      <c r="U892" s="5"/>
      <c r="V892" s="5"/>
      <c r="W892" s="6"/>
      <c r="X892" s="7"/>
      <c r="Y892" s="7"/>
      <c r="Z892" s="5"/>
      <c r="AA892" s="5"/>
      <c r="AB892" s="5"/>
      <c r="AC892" s="5"/>
      <c r="AD892" s="5"/>
    </row>
    <row r="893" spans="1:30" ht="15.75" customHeight="1">
      <c r="A893" s="5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5"/>
      <c r="T893" s="5"/>
      <c r="U893" s="5"/>
      <c r="V893" s="5"/>
      <c r="W893" s="6"/>
      <c r="X893" s="7"/>
      <c r="Y893" s="7"/>
      <c r="Z893" s="5"/>
      <c r="AA893" s="5"/>
      <c r="AB893" s="5"/>
      <c r="AC893" s="5"/>
      <c r="AD893" s="5"/>
    </row>
    <row r="894" spans="1:30" ht="15.75" customHeight="1">
      <c r="A894" s="5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5"/>
      <c r="T894" s="5"/>
      <c r="U894" s="5"/>
      <c r="V894" s="5"/>
      <c r="W894" s="6"/>
      <c r="X894" s="7"/>
      <c r="Y894" s="7"/>
      <c r="Z894" s="5"/>
      <c r="AA894" s="5"/>
      <c r="AB894" s="5"/>
      <c r="AC894" s="5"/>
      <c r="AD894" s="5"/>
    </row>
    <row r="895" spans="1:30" ht="15.75" customHeight="1">
      <c r="A895" s="5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5"/>
      <c r="T895" s="5"/>
      <c r="U895" s="5"/>
      <c r="V895" s="5"/>
      <c r="W895" s="6"/>
      <c r="X895" s="7"/>
      <c r="Y895" s="7"/>
      <c r="Z895" s="5"/>
      <c r="AA895" s="5"/>
      <c r="AB895" s="5"/>
      <c r="AC895" s="5"/>
      <c r="AD895" s="5"/>
    </row>
    <row r="896" spans="1:30" ht="15.75" customHeight="1">
      <c r="A896" s="5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5"/>
      <c r="T896" s="5"/>
      <c r="U896" s="5"/>
      <c r="V896" s="5"/>
      <c r="W896" s="6"/>
      <c r="X896" s="7"/>
      <c r="Y896" s="7"/>
      <c r="Z896" s="5"/>
      <c r="AA896" s="5"/>
      <c r="AB896" s="5"/>
      <c r="AC896" s="5"/>
      <c r="AD896" s="5"/>
    </row>
    <row r="897" spans="1:30" ht="15.75" customHeight="1">
      <c r="A897" s="5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5"/>
      <c r="T897" s="5"/>
      <c r="U897" s="5"/>
      <c r="V897" s="5"/>
      <c r="W897" s="6"/>
      <c r="X897" s="7"/>
      <c r="Y897" s="7"/>
      <c r="Z897" s="5"/>
      <c r="AA897" s="5"/>
      <c r="AB897" s="5"/>
      <c r="AC897" s="5"/>
      <c r="AD897" s="5"/>
    </row>
    <row r="898" spans="1:30" ht="15.75" customHeight="1">
      <c r="A898" s="5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5"/>
      <c r="T898" s="5"/>
      <c r="U898" s="5"/>
      <c r="V898" s="5"/>
      <c r="W898" s="6"/>
      <c r="X898" s="7"/>
      <c r="Y898" s="7"/>
      <c r="Z898" s="5"/>
      <c r="AA898" s="5"/>
      <c r="AB898" s="5"/>
      <c r="AC898" s="5"/>
      <c r="AD898" s="5"/>
    </row>
    <row r="899" spans="1:30" ht="15.75" customHeight="1">
      <c r="A899" s="5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5"/>
      <c r="T899" s="5"/>
      <c r="U899" s="5"/>
      <c r="V899" s="5"/>
      <c r="W899" s="6"/>
      <c r="X899" s="7"/>
      <c r="Y899" s="7"/>
      <c r="Z899" s="5"/>
      <c r="AA899" s="5"/>
      <c r="AB899" s="5"/>
      <c r="AC899" s="5"/>
      <c r="AD899" s="5"/>
    </row>
    <row r="900" spans="1:30" ht="15.75" customHeight="1">
      <c r="A900" s="5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5"/>
      <c r="T900" s="5"/>
      <c r="U900" s="5"/>
      <c r="V900" s="5"/>
      <c r="W900" s="6"/>
      <c r="X900" s="7"/>
      <c r="Y900" s="7"/>
      <c r="Z900" s="5"/>
      <c r="AA900" s="5"/>
      <c r="AB900" s="5"/>
      <c r="AC900" s="5"/>
      <c r="AD900" s="5"/>
    </row>
    <row r="901" spans="1:30" ht="15.75" customHeight="1">
      <c r="A901" s="5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5"/>
      <c r="T901" s="5"/>
      <c r="U901" s="5"/>
      <c r="V901" s="5"/>
      <c r="W901" s="6"/>
      <c r="X901" s="7"/>
      <c r="Y901" s="7"/>
      <c r="Z901" s="5"/>
      <c r="AA901" s="5"/>
      <c r="AB901" s="5"/>
      <c r="AC901" s="5"/>
      <c r="AD901" s="5"/>
    </row>
    <row r="902" spans="1:30" ht="15.75" customHeight="1">
      <c r="A902" s="5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5"/>
      <c r="T902" s="5"/>
      <c r="U902" s="5"/>
      <c r="V902" s="5"/>
      <c r="W902" s="6"/>
      <c r="X902" s="7"/>
      <c r="Y902" s="7"/>
      <c r="Z902" s="5"/>
      <c r="AA902" s="5"/>
      <c r="AB902" s="5"/>
      <c r="AC902" s="5"/>
      <c r="AD902" s="5"/>
    </row>
    <row r="903" spans="1:30" ht="15.75" customHeight="1">
      <c r="A903" s="5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5"/>
      <c r="T903" s="5"/>
      <c r="U903" s="5"/>
      <c r="V903" s="5"/>
      <c r="W903" s="6"/>
      <c r="X903" s="7"/>
      <c r="Y903" s="7"/>
      <c r="Z903" s="5"/>
      <c r="AA903" s="5"/>
      <c r="AB903" s="5"/>
      <c r="AC903" s="5"/>
      <c r="AD903" s="5"/>
    </row>
    <row r="904" spans="1:30" ht="15.75" customHeight="1">
      <c r="A904" s="5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5"/>
      <c r="T904" s="5"/>
      <c r="U904" s="5"/>
      <c r="V904" s="5"/>
      <c r="W904" s="6"/>
      <c r="X904" s="7"/>
      <c r="Y904" s="7"/>
      <c r="Z904" s="5"/>
      <c r="AA904" s="5"/>
      <c r="AB904" s="5"/>
      <c r="AC904" s="5"/>
      <c r="AD904" s="5"/>
    </row>
    <row r="905" spans="1:30" ht="15.75" customHeight="1">
      <c r="A905" s="5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5"/>
      <c r="T905" s="5"/>
      <c r="U905" s="5"/>
      <c r="V905" s="5"/>
      <c r="W905" s="6"/>
      <c r="X905" s="7"/>
      <c r="Y905" s="7"/>
      <c r="Z905" s="5"/>
      <c r="AA905" s="5"/>
      <c r="AB905" s="5"/>
      <c r="AC905" s="5"/>
      <c r="AD905" s="5"/>
    </row>
    <row r="906" spans="1:30" ht="15.75" customHeight="1">
      <c r="A906" s="5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5"/>
      <c r="T906" s="5"/>
      <c r="U906" s="5"/>
      <c r="V906" s="5"/>
      <c r="W906" s="6"/>
      <c r="X906" s="7"/>
      <c r="Y906" s="7"/>
      <c r="Z906" s="5"/>
      <c r="AA906" s="5"/>
      <c r="AB906" s="5"/>
      <c r="AC906" s="5"/>
      <c r="AD906" s="5"/>
    </row>
    <row r="907" spans="1:30" ht="15.75" customHeight="1">
      <c r="A907" s="5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5"/>
      <c r="T907" s="5"/>
      <c r="U907" s="5"/>
      <c r="V907" s="5"/>
      <c r="W907" s="6"/>
      <c r="X907" s="7"/>
      <c r="Y907" s="7"/>
      <c r="Z907" s="5"/>
      <c r="AA907" s="5"/>
      <c r="AB907" s="5"/>
      <c r="AC907" s="5"/>
      <c r="AD907" s="5"/>
    </row>
    <row r="908" spans="1:30" ht="15.75" customHeight="1">
      <c r="A908" s="5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5"/>
      <c r="T908" s="5"/>
      <c r="U908" s="5"/>
      <c r="V908" s="5"/>
      <c r="W908" s="6"/>
      <c r="X908" s="7"/>
      <c r="Y908" s="7"/>
      <c r="Z908" s="5"/>
      <c r="AA908" s="5"/>
      <c r="AB908" s="5"/>
      <c r="AC908" s="5"/>
      <c r="AD908" s="5"/>
    </row>
    <row r="909" spans="1:30" ht="15.75" customHeight="1">
      <c r="A909" s="5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5"/>
      <c r="T909" s="5"/>
      <c r="U909" s="5"/>
      <c r="V909" s="5"/>
      <c r="W909" s="6"/>
      <c r="X909" s="7"/>
      <c r="Y909" s="7"/>
      <c r="Z909" s="5"/>
      <c r="AA909" s="5"/>
      <c r="AB909" s="5"/>
      <c r="AC909" s="5"/>
      <c r="AD909" s="5"/>
    </row>
    <row r="910" spans="1:30" ht="15.75" customHeight="1">
      <c r="A910" s="5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5"/>
      <c r="T910" s="5"/>
      <c r="U910" s="5"/>
      <c r="V910" s="5"/>
      <c r="W910" s="6"/>
      <c r="X910" s="7"/>
      <c r="Y910" s="7"/>
      <c r="Z910" s="5"/>
      <c r="AA910" s="5"/>
      <c r="AB910" s="5"/>
      <c r="AC910" s="5"/>
      <c r="AD910" s="5"/>
    </row>
    <row r="911" spans="1:30" ht="15.75" customHeight="1">
      <c r="A911" s="5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5"/>
      <c r="T911" s="5"/>
      <c r="U911" s="5"/>
      <c r="V911" s="5"/>
      <c r="W911" s="6"/>
      <c r="X911" s="7"/>
      <c r="Y911" s="7"/>
      <c r="Z911" s="5"/>
      <c r="AA911" s="5"/>
      <c r="AB911" s="5"/>
      <c r="AC911" s="5"/>
      <c r="AD911" s="5"/>
    </row>
    <row r="912" spans="1:30" ht="15.75" customHeight="1">
      <c r="A912" s="5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5"/>
      <c r="T912" s="5"/>
      <c r="U912" s="5"/>
      <c r="V912" s="5"/>
      <c r="W912" s="6"/>
      <c r="X912" s="7"/>
      <c r="Y912" s="7"/>
      <c r="Z912" s="5"/>
      <c r="AA912" s="5"/>
      <c r="AB912" s="5"/>
      <c r="AC912" s="5"/>
      <c r="AD912" s="5"/>
    </row>
    <row r="913" spans="1:30" ht="15.75" customHeight="1">
      <c r="A913" s="5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5"/>
      <c r="T913" s="5"/>
      <c r="U913" s="5"/>
      <c r="V913" s="5"/>
      <c r="W913" s="6"/>
      <c r="X913" s="7"/>
      <c r="Y913" s="7"/>
      <c r="Z913" s="5"/>
      <c r="AA913" s="5"/>
      <c r="AB913" s="5"/>
      <c r="AC913" s="5"/>
      <c r="AD913" s="5"/>
    </row>
    <row r="914" spans="1:30" ht="15.75" customHeight="1">
      <c r="A914" s="5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5"/>
      <c r="T914" s="5"/>
      <c r="U914" s="5"/>
      <c r="V914" s="5"/>
      <c r="W914" s="6"/>
      <c r="X914" s="7"/>
      <c r="Y914" s="7"/>
      <c r="Z914" s="5"/>
      <c r="AA914" s="5"/>
      <c r="AB914" s="5"/>
      <c r="AC914" s="5"/>
      <c r="AD914" s="5"/>
    </row>
    <row r="915" spans="1:30" ht="15.75" customHeight="1">
      <c r="A915" s="5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5"/>
      <c r="T915" s="5"/>
      <c r="U915" s="5"/>
      <c r="V915" s="5"/>
      <c r="W915" s="6"/>
      <c r="X915" s="7"/>
      <c r="Y915" s="7"/>
      <c r="Z915" s="5"/>
      <c r="AA915" s="5"/>
      <c r="AB915" s="5"/>
      <c r="AC915" s="5"/>
      <c r="AD915" s="5"/>
    </row>
    <row r="916" spans="1:30" ht="15.75" customHeight="1">
      <c r="A916" s="5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5"/>
      <c r="T916" s="5"/>
      <c r="U916" s="5"/>
      <c r="V916" s="5"/>
      <c r="W916" s="6"/>
      <c r="X916" s="7"/>
      <c r="Y916" s="7"/>
      <c r="Z916" s="5"/>
      <c r="AA916" s="5"/>
      <c r="AB916" s="5"/>
      <c r="AC916" s="5"/>
      <c r="AD916" s="5"/>
    </row>
    <row r="917" spans="1:30" ht="15.75" customHeight="1">
      <c r="A917" s="5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5"/>
      <c r="T917" s="5"/>
      <c r="U917" s="5"/>
      <c r="V917" s="5"/>
      <c r="W917" s="6"/>
      <c r="X917" s="7"/>
      <c r="Y917" s="7"/>
      <c r="Z917" s="5"/>
      <c r="AA917" s="5"/>
      <c r="AB917" s="5"/>
      <c r="AC917" s="5"/>
      <c r="AD917" s="5"/>
    </row>
    <row r="918" spans="1:30" ht="15.75" customHeight="1">
      <c r="A918" s="5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5"/>
      <c r="T918" s="5"/>
      <c r="U918" s="5"/>
      <c r="V918" s="5"/>
      <c r="W918" s="6"/>
      <c r="X918" s="7"/>
      <c r="Y918" s="7"/>
      <c r="Z918" s="5"/>
      <c r="AA918" s="5"/>
      <c r="AB918" s="5"/>
      <c r="AC918" s="5"/>
      <c r="AD918" s="5"/>
    </row>
    <row r="919" spans="1:30" ht="15.75" customHeight="1">
      <c r="A919" s="5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5"/>
      <c r="T919" s="5"/>
      <c r="U919" s="5"/>
      <c r="V919" s="5"/>
      <c r="W919" s="6"/>
      <c r="X919" s="7"/>
      <c r="Y919" s="7"/>
      <c r="Z919" s="5"/>
      <c r="AA919" s="5"/>
      <c r="AB919" s="5"/>
      <c r="AC919" s="5"/>
      <c r="AD919" s="5"/>
    </row>
    <row r="920" spans="1:30" ht="15.75" customHeight="1">
      <c r="A920" s="5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5"/>
      <c r="T920" s="5"/>
      <c r="U920" s="5"/>
      <c r="V920" s="5"/>
      <c r="W920" s="6"/>
      <c r="X920" s="7"/>
      <c r="Y920" s="7"/>
      <c r="Z920" s="5"/>
      <c r="AA920" s="5"/>
      <c r="AB920" s="5"/>
      <c r="AC920" s="5"/>
      <c r="AD920" s="5"/>
    </row>
    <row r="921" spans="1:30" ht="15.75" customHeight="1">
      <c r="A921" s="5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5"/>
      <c r="T921" s="5"/>
      <c r="U921" s="5"/>
      <c r="V921" s="5"/>
      <c r="W921" s="6"/>
      <c r="X921" s="7"/>
      <c r="Y921" s="7"/>
      <c r="Z921" s="5"/>
      <c r="AA921" s="5"/>
      <c r="AB921" s="5"/>
      <c r="AC921" s="5"/>
      <c r="AD921" s="5"/>
    </row>
    <row r="922" spans="1:30" ht="15.75" customHeight="1">
      <c r="A922" s="5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5"/>
      <c r="T922" s="5"/>
      <c r="U922" s="5"/>
      <c r="V922" s="5"/>
      <c r="W922" s="6"/>
      <c r="X922" s="7"/>
      <c r="Y922" s="7"/>
      <c r="Z922" s="5"/>
      <c r="AA922" s="5"/>
      <c r="AB922" s="5"/>
      <c r="AC922" s="5"/>
      <c r="AD922" s="5"/>
    </row>
    <row r="923" spans="1:30" ht="15.75" customHeight="1">
      <c r="A923" s="5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5"/>
      <c r="T923" s="5"/>
      <c r="U923" s="5"/>
      <c r="V923" s="5"/>
      <c r="W923" s="6"/>
      <c r="X923" s="7"/>
      <c r="Y923" s="7"/>
      <c r="Z923" s="5"/>
      <c r="AA923" s="5"/>
      <c r="AB923" s="5"/>
      <c r="AC923" s="5"/>
      <c r="AD923" s="5"/>
    </row>
    <row r="924" spans="1:30" ht="15.75" customHeight="1">
      <c r="A924" s="5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5"/>
      <c r="T924" s="5"/>
      <c r="U924" s="5"/>
      <c r="V924" s="5"/>
      <c r="W924" s="6"/>
      <c r="X924" s="7"/>
      <c r="Y924" s="7"/>
      <c r="Z924" s="5"/>
      <c r="AA924" s="5"/>
      <c r="AB924" s="5"/>
      <c r="AC924" s="5"/>
      <c r="AD924" s="5"/>
    </row>
    <row r="925" spans="1:30" ht="15.75" customHeight="1">
      <c r="A925" s="5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5"/>
      <c r="T925" s="5"/>
      <c r="U925" s="5"/>
      <c r="V925" s="5"/>
      <c r="W925" s="6"/>
      <c r="X925" s="7"/>
      <c r="Y925" s="7"/>
      <c r="Z925" s="5"/>
      <c r="AA925" s="5"/>
      <c r="AB925" s="5"/>
      <c r="AC925" s="5"/>
      <c r="AD925" s="5"/>
    </row>
    <row r="926" spans="1:30" ht="15.75" customHeight="1">
      <c r="A926" s="5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5"/>
      <c r="T926" s="5"/>
      <c r="U926" s="5"/>
      <c r="V926" s="5"/>
      <c r="W926" s="6"/>
      <c r="X926" s="7"/>
      <c r="Y926" s="7"/>
      <c r="Z926" s="5"/>
      <c r="AA926" s="5"/>
      <c r="AB926" s="5"/>
      <c r="AC926" s="5"/>
      <c r="AD926" s="5"/>
    </row>
    <row r="927" spans="1:30" ht="15.75" customHeight="1">
      <c r="A927" s="5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5"/>
      <c r="T927" s="5"/>
      <c r="U927" s="5"/>
      <c r="V927" s="5"/>
      <c r="W927" s="6"/>
      <c r="X927" s="7"/>
      <c r="Y927" s="7"/>
      <c r="Z927" s="5"/>
      <c r="AA927" s="5"/>
      <c r="AB927" s="5"/>
      <c r="AC927" s="5"/>
      <c r="AD927" s="5"/>
    </row>
    <row r="928" spans="1:30" ht="15.75" customHeight="1">
      <c r="A928" s="5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5"/>
      <c r="T928" s="5"/>
      <c r="U928" s="5"/>
      <c r="V928" s="5"/>
      <c r="W928" s="6"/>
      <c r="X928" s="7"/>
      <c r="Y928" s="7"/>
      <c r="Z928" s="5"/>
      <c r="AA928" s="5"/>
      <c r="AB928" s="5"/>
      <c r="AC928" s="5"/>
      <c r="AD928" s="5"/>
    </row>
    <row r="929" spans="1:30" ht="15.75" customHeight="1">
      <c r="A929" s="5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5"/>
      <c r="T929" s="5"/>
      <c r="U929" s="5"/>
      <c r="V929" s="5"/>
      <c r="W929" s="6"/>
      <c r="X929" s="7"/>
      <c r="Y929" s="7"/>
      <c r="Z929" s="5"/>
      <c r="AA929" s="5"/>
      <c r="AB929" s="5"/>
      <c r="AC929" s="5"/>
      <c r="AD929" s="5"/>
    </row>
    <row r="930" spans="1:30" ht="15.75" customHeight="1">
      <c r="A930" s="5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5"/>
      <c r="T930" s="5"/>
      <c r="U930" s="5"/>
      <c r="V930" s="5"/>
      <c r="W930" s="6"/>
      <c r="X930" s="7"/>
      <c r="Y930" s="7"/>
      <c r="Z930" s="5"/>
      <c r="AA930" s="5"/>
      <c r="AB930" s="5"/>
      <c r="AC930" s="5"/>
      <c r="AD930" s="5"/>
    </row>
    <row r="931" spans="1:30" ht="15.75" customHeight="1">
      <c r="A931" s="5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5"/>
      <c r="T931" s="5"/>
      <c r="U931" s="5"/>
      <c r="V931" s="5"/>
      <c r="W931" s="6"/>
      <c r="X931" s="7"/>
      <c r="Y931" s="7"/>
      <c r="Z931" s="5"/>
      <c r="AA931" s="5"/>
      <c r="AB931" s="5"/>
      <c r="AC931" s="5"/>
      <c r="AD931" s="5"/>
    </row>
    <row r="932" spans="1:30" ht="15.75" customHeight="1">
      <c r="A932" s="5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5"/>
      <c r="T932" s="5"/>
      <c r="U932" s="5"/>
      <c r="V932" s="5"/>
      <c r="W932" s="6"/>
      <c r="X932" s="7"/>
      <c r="Y932" s="7"/>
      <c r="Z932" s="5"/>
      <c r="AA932" s="5"/>
      <c r="AB932" s="5"/>
      <c r="AC932" s="5"/>
      <c r="AD932" s="5"/>
    </row>
    <row r="933" spans="1:30" ht="15.75" customHeight="1">
      <c r="A933" s="5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5"/>
      <c r="T933" s="5"/>
      <c r="U933" s="5"/>
      <c r="V933" s="5"/>
      <c r="W933" s="6"/>
      <c r="X933" s="7"/>
      <c r="Y933" s="7"/>
      <c r="Z933" s="5"/>
      <c r="AA933" s="5"/>
      <c r="AB933" s="5"/>
      <c r="AC933" s="5"/>
      <c r="AD933" s="5"/>
    </row>
    <row r="934" spans="1:30" ht="15.75" customHeight="1">
      <c r="A934" s="5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5"/>
      <c r="T934" s="5"/>
      <c r="U934" s="5"/>
      <c r="V934" s="5"/>
      <c r="W934" s="6"/>
      <c r="X934" s="7"/>
      <c r="Y934" s="7"/>
      <c r="Z934" s="5"/>
      <c r="AA934" s="5"/>
      <c r="AB934" s="5"/>
      <c r="AC934" s="5"/>
      <c r="AD934" s="5"/>
    </row>
    <row r="935" spans="1:30" ht="15.75" customHeight="1">
      <c r="A935" s="5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5"/>
      <c r="T935" s="5"/>
      <c r="U935" s="5"/>
      <c r="V935" s="5"/>
      <c r="W935" s="6"/>
      <c r="X935" s="7"/>
      <c r="Y935" s="7"/>
      <c r="Z935" s="5"/>
      <c r="AA935" s="5"/>
      <c r="AB935" s="5"/>
      <c r="AC935" s="5"/>
      <c r="AD935" s="5"/>
    </row>
    <row r="936" spans="1:30" ht="15.75" customHeight="1">
      <c r="A936" s="5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5"/>
      <c r="T936" s="5"/>
      <c r="U936" s="5"/>
      <c r="V936" s="5"/>
      <c r="W936" s="6"/>
      <c r="X936" s="7"/>
      <c r="Y936" s="7"/>
      <c r="Z936" s="5"/>
      <c r="AA936" s="5"/>
      <c r="AB936" s="5"/>
      <c r="AC936" s="5"/>
      <c r="AD936" s="5"/>
    </row>
    <row r="937" spans="1:30" ht="15.75" customHeight="1">
      <c r="A937" s="5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5"/>
      <c r="T937" s="5"/>
      <c r="U937" s="5"/>
      <c r="V937" s="5"/>
      <c r="W937" s="6"/>
      <c r="X937" s="7"/>
      <c r="Y937" s="7"/>
      <c r="Z937" s="5"/>
      <c r="AA937" s="5"/>
      <c r="AB937" s="5"/>
      <c r="AC937" s="5"/>
      <c r="AD937" s="5"/>
    </row>
    <row r="938" spans="1:30" ht="15.75" customHeight="1">
      <c r="A938" s="5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5"/>
      <c r="T938" s="5"/>
      <c r="U938" s="5"/>
      <c r="V938" s="5"/>
      <c r="W938" s="6"/>
      <c r="X938" s="7"/>
      <c r="Y938" s="7"/>
      <c r="Z938" s="5"/>
      <c r="AA938" s="5"/>
      <c r="AB938" s="5"/>
      <c r="AC938" s="5"/>
      <c r="AD938" s="5"/>
    </row>
    <row r="939" spans="1:30" ht="15.75" customHeight="1">
      <c r="A939" s="5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5"/>
      <c r="T939" s="5"/>
      <c r="U939" s="5"/>
      <c r="V939" s="5"/>
      <c r="W939" s="6"/>
      <c r="X939" s="7"/>
      <c r="Y939" s="7"/>
      <c r="Z939" s="5"/>
      <c r="AA939" s="5"/>
      <c r="AB939" s="5"/>
      <c r="AC939" s="5"/>
      <c r="AD939" s="5"/>
    </row>
    <row r="940" spans="1:30" ht="15.75" customHeight="1">
      <c r="A940" s="5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5"/>
      <c r="T940" s="5"/>
      <c r="U940" s="5"/>
      <c r="V940" s="5"/>
      <c r="W940" s="6"/>
      <c r="X940" s="7"/>
      <c r="Y940" s="7"/>
      <c r="Z940" s="5"/>
      <c r="AA940" s="5"/>
      <c r="AB940" s="5"/>
      <c r="AC940" s="5"/>
      <c r="AD940" s="5"/>
    </row>
    <row r="941" spans="1:30" ht="15.75" customHeight="1">
      <c r="A941" s="5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5"/>
      <c r="T941" s="5"/>
      <c r="U941" s="5"/>
      <c r="V941" s="5"/>
      <c r="W941" s="6"/>
      <c r="X941" s="7"/>
      <c r="Y941" s="7"/>
      <c r="Z941" s="5"/>
      <c r="AA941" s="5"/>
      <c r="AB941" s="5"/>
      <c r="AC941" s="5"/>
      <c r="AD941" s="5"/>
    </row>
    <row r="942" spans="1:30" ht="15.75" customHeight="1">
      <c r="A942" s="5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5"/>
      <c r="T942" s="5"/>
      <c r="U942" s="5"/>
      <c r="V942" s="5"/>
      <c r="W942" s="6"/>
      <c r="X942" s="7"/>
      <c r="Y942" s="7"/>
      <c r="Z942" s="5"/>
      <c r="AA942" s="5"/>
      <c r="AB942" s="5"/>
      <c r="AC942" s="5"/>
      <c r="AD942" s="5"/>
    </row>
    <row r="943" spans="1:30" ht="15.75" customHeight="1">
      <c r="A943" s="5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5"/>
      <c r="T943" s="5"/>
      <c r="U943" s="5"/>
      <c r="V943" s="5"/>
      <c r="W943" s="6"/>
      <c r="X943" s="7"/>
      <c r="Y943" s="7"/>
      <c r="Z943" s="5"/>
      <c r="AA943" s="5"/>
      <c r="AB943" s="5"/>
      <c r="AC943" s="5"/>
      <c r="AD943" s="5"/>
    </row>
    <row r="944" spans="1:30" ht="15.75" customHeight="1">
      <c r="A944" s="5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5"/>
      <c r="T944" s="5"/>
      <c r="U944" s="5"/>
      <c r="V944" s="5"/>
      <c r="W944" s="6"/>
      <c r="X944" s="7"/>
      <c r="Y944" s="7"/>
      <c r="Z944" s="5"/>
      <c r="AA944" s="5"/>
      <c r="AB944" s="5"/>
      <c r="AC944" s="5"/>
      <c r="AD944" s="5"/>
    </row>
    <row r="945" spans="1:30" ht="15.75" customHeight="1">
      <c r="A945" s="5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5"/>
      <c r="T945" s="5"/>
      <c r="U945" s="5"/>
      <c r="V945" s="5"/>
      <c r="W945" s="6"/>
      <c r="X945" s="7"/>
      <c r="Y945" s="7"/>
      <c r="Z945" s="5"/>
      <c r="AA945" s="5"/>
      <c r="AB945" s="5"/>
      <c r="AC945" s="5"/>
      <c r="AD945" s="5"/>
    </row>
    <row r="946" spans="1:30" ht="15.75" customHeight="1">
      <c r="A946" s="5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5"/>
      <c r="T946" s="5"/>
      <c r="U946" s="5"/>
      <c r="V946" s="5"/>
      <c r="W946" s="6"/>
      <c r="X946" s="7"/>
      <c r="Y946" s="7"/>
      <c r="Z946" s="5"/>
      <c r="AA946" s="5"/>
      <c r="AB946" s="5"/>
      <c r="AC946" s="5"/>
      <c r="AD946" s="5"/>
    </row>
    <row r="947" spans="1:30" ht="15.75" customHeight="1">
      <c r="A947" s="5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5"/>
      <c r="T947" s="5"/>
      <c r="U947" s="5"/>
      <c r="V947" s="5"/>
      <c r="W947" s="6"/>
      <c r="X947" s="7"/>
      <c r="Y947" s="7"/>
      <c r="Z947" s="5"/>
      <c r="AA947" s="5"/>
      <c r="AB947" s="5"/>
      <c r="AC947" s="5"/>
      <c r="AD947" s="5"/>
    </row>
    <row r="948" spans="1:30" ht="15.75" customHeight="1">
      <c r="A948" s="5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5"/>
      <c r="T948" s="5"/>
      <c r="U948" s="5"/>
      <c r="V948" s="5"/>
      <c r="W948" s="6"/>
      <c r="X948" s="7"/>
      <c r="Y948" s="7"/>
      <c r="Z948" s="5"/>
      <c r="AA948" s="5"/>
      <c r="AB948" s="5"/>
      <c r="AC948" s="5"/>
      <c r="AD948" s="5"/>
    </row>
    <row r="949" spans="1:30" ht="15.75" customHeight="1">
      <c r="A949" s="5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5"/>
      <c r="T949" s="5"/>
      <c r="U949" s="5"/>
      <c r="V949" s="5"/>
      <c r="W949" s="6"/>
      <c r="X949" s="7"/>
      <c r="Y949" s="7"/>
      <c r="Z949" s="5"/>
      <c r="AA949" s="5"/>
      <c r="AB949" s="5"/>
      <c r="AC949" s="5"/>
      <c r="AD949" s="5"/>
    </row>
    <row r="950" spans="1:30" ht="15.75" customHeight="1">
      <c r="A950" s="5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5"/>
      <c r="T950" s="5"/>
      <c r="U950" s="5"/>
      <c r="V950" s="5"/>
      <c r="W950" s="6"/>
      <c r="X950" s="7"/>
      <c r="Y950" s="7"/>
      <c r="Z950" s="5"/>
      <c r="AA950" s="5"/>
      <c r="AB950" s="5"/>
      <c r="AC950" s="5"/>
      <c r="AD950" s="5"/>
    </row>
    <row r="951" spans="1:30" ht="15.75" customHeight="1">
      <c r="A951" s="5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5"/>
      <c r="T951" s="5"/>
      <c r="U951" s="5"/>
      <c r="V951" s="5"/>
      <c r="W951" s="6"/>
      <c r="X951" s="7"/>
      <c r="Y951" s="7"/>
      <c r="Z951" s="5"/>
      <c r="AA951" s="5"/>
      <c r="AB951" s="5"/>
      <c r="AC951" s="5"/>
      <c r="AD951" s="5"/>
    </row>
    <row r="952" spans="1:30" ht="15.75" customHeight="1">
      <c r="A952" s="5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5"/>
      <c r="T952" s="5"/>
      <c r="U952" s="5"/>
      <c r="V952" s="5"/>
      <c r="W952" s="6"/>
      <c r="X952" s="7"/>
      <c r="Y952" s="7"/>
      <c r="Z952" s="5"/>
      <c r="AA952" s="5"/>
      <c r="AB952" s="5"/>
      <c r="AC952" s="5"/>
      <c r="AD952" s="5"/>
    </row>
    <row r="953" spans="1:30" ht="15.75" customHeight="1">
      <c r="A953" s="5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5"/>
      <c r="T953" s="5"/>
      <c r="U953" s="5"/>
      <c r="V953" s="5"/>
      <c r="W953" s="6"/>
      <c r="X953" s="7"/>
      <c r="Y953" s="7"/>
      <c r="Z953" s="5"/>
      <c r="AA953" s="5"/>
      <c r="AB953" s="5"/>
      <c r="AC953" s="5"/>
      <c r="AD953" s="5"/>
    </row>
    <row r="954" spans="1:30" ht="15.75" customHeight="1">
      <c r="A954" s="5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5"/>
      <c r="T954" s="5"/>
      <c r="U954" s="5"/>
      <c r="V954" s="5"/>
      <c r="W954" s="6"/>
      <c r="X954" s="7"/>
      <c r="Y954" s="7"/>
      <c r="Z954" s="5"/>
      <c r="AA954" s="5"/>
      <c r="AB954" s="5"/>
      <c r="AC954" s="5"/>
      <c r="AD954" s="5"/>
    </row>
    <row r="955" spans="1:30" ht="15.75" customHeight="1">
      <c r="A955" s="5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5"/>
      <c r="T955" s="5"/>
      <c r="U955" s="5"/>
      <c r="V955" s="5"/>
      <c r="W955" s="6"/>
      <c r="X955" s="7"/>
      <c r="Y955" s="7"/>
      <c r="Z955" s="5"/>
      <c r="AA955" s="5"/>
      <c r="AB955" s="5"/>
      <c r="AC955" s="5"/>
      <c r="AD955" s="5"/>
    </row>
    <row r="956" spans="1:30" ht="15.75" customHeight="1">
      <c r="A956" s="5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5"/>
      <c r="T956" s="5"/>
      <c r="U956" s="5"/>
      <c r="V956" s="5"/>
      <c r="W956" s="6"/>
      <c r="X956" s="7"/>
      <c r="Y956" s="7"/>
      <c r="Z956" s="5"/>
      <c r="AA956" s="5"/>
      <c r="AB956" s="5"/>
      <c r="AC956" s="5"/>
      <c r="AD956" s="5"/>
    </row>
    <row r="957" spans="1:30" ht="15.75" customHeight="1">
      <c r="A957" s="5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5"/>
      <c r="T957" s="5"/>
      <c r="U957" s="5"/>
      <c r="V957" s="5"/>
      <c r="W957" s="6"/>
      <c r="X957" s="7"/>
      <c r="Y957" s="7"/>
      <c r="Z957" s="5"/>
      <c r="AA957" s="5"/>
      <c r="AB957" s="5"/>
      <c r="AC957" s="5"/>
      <c r="AD957" s="5"/>
    </row>
    <row r="958" spans="1:30" ht="15.75" customHeight="1">
      <c r="A958" s="5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5"/>
      <c r="T958" s="5"/>
      <c r="U958" s="5"/>
      <c r="V958" s="5"/>
      <c r="W958" s="6"/>
      <c r="X958" s="7"/>
      <c r="Y958" s="7"/>
      <c r="Z958" s="5"/>
      <c r="AA958" s="5"/>
      <c r="AB958" s="5"/>
      <c r="AC958" s="5"/>
      <c r="AD958" s="5"/>
    </row>
    <row r="959" spans="1:30" ht="15.75" customHeight="1">
      <c r="A959" s="5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5"/>
      <c r="T959" s="5"/>
      <c r="U959" s="5"/>
      <c r="V959" s="5"/>
      <c r="W959" s="6"/>
      <c r="X959" s="7"/>
      <c r="Y959" s="7"/>
      <c r="Z959" s="5"/>
      <c r="AA959" s="5"/>
      <c r="AB959" s="5"/>
      <c r="AC959" s="5"/>
      <c r="AD959" s="5"/>
    </row>
    <row r="960" spans="1:30" ht="15.75" customHeight="1">
      <c r="A960" s="5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5"/>
      <c r="T960" s="5"/>
      <c r="U960" s="5"/>
      <c r="V960" s="5"/>
      <c r="W960" s="6"/>
      <c r="X960" s="7"/>
      <c r="Y960" s="7"/>
      <c r="Z960" s="5"/>
      <c r="AA960" s="5"/>
      <c r="AB960" s="5"/>
      <c r="AC960" s="5"/>
      <c r="AD960" s="5"/>
    </row>
    <row r="961" spans="1:30" ht="15.75" customHeight="1">
      <c r="A961" s="5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5"/>
      <c r="T961" s="5"/>
      <c r="U961" s="5"/>
      <c r="V961" s="5"/>
      <c r="W961" s="6"/>
      <c r="X961" s="7"/>
      <c r="Y961" s="7"/>
      <c r="Z961" s="5"/>
      <c r="AA961" s="5"/>
      <c r="AB961" s="5"/>
      <c r="AC961" s="5"/>
      <c r="AD961" s="5"/>
    </row>
    <row r="962" spans="1:30" ht="15.75" customHeight="1">
      <c r="A962" s="5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5"/>
      <c r="T962" s="5"/>
      <c r="U962" s="5"/>
      <c r="V962" s="5"/>
      <c r="W962" s="6"/>
      <c r="X962" s="7"/>
      <c r="Y962" s="7"/>
      <c r="Z962" s="5"/>
      <c r="AA962" s="5"/>
      <c r="AB962" s="5"/>
      <c r="AC962" s="5"/>
      <c r="AD962" s="5"/>
    </row>
    <row r="963" spans="1:30" ht="15.75" customHeight="1">
      <c r="A963" s="5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5"/>
      <c r="T963" s="5"/>
      <c r="U963" s="5"/>
      <c r="V963" s="5"/>
      <c r="W963" s="6"/>
      <c r="X963" s="7"/>
      <c r="Y963" s="7"/>
      <c r="Z963" s="5"/>
      <c r="AA963" s="5"/>
      <c r="AB963" s="5"/>
      <c r="AC963" s="5"/>
      <c r="AD963" s="5"/>
    </row>
    <row r="964" spans="1:30" ht="15.75" customHeight="1">
      <c r="A964" s="5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5"/>
      <c r="T964" s="5"/>
      <c r="U964" s="5"/>
      <c r="V964" s="5"/>
      <c r="W964" s="6"/>
      <c r="X964" s="7"/>
      <c r="Y964" s="7"/>
      <c r="Z964" s="5"/>
      <c r="AA964" s="5"/>
      <c r="AB964" s="5"/>
      <c r="AC964" s="5"/>
      <c r="AD964" s="5"/>
    </row>
    <row r="965" spans="1:30" ht="15.75" customHeight="1">
      <c r="A965" s="5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5"/>
      <c r="T965" s="5"/>
      <c r="U965" s="5"/>
      <c r="V965" s="5"/>
      <c r="W965" s="6"/>
      <c r="X965" s="7"/>
      <c r="Y965" s="7"/>
      <c r="Z965" s="5"/>
      <c r="AA965" s="5"/>
      <c r="AB965" s="5"/>
      <c r="AC965" s="5"/>
      <c r="AD965" s="5"/>
    </row>
    <row r="966" spans="1:30" ht="15.75" customHeight="1">
      <c r="A966" s="5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5"/>
      <c r="T966" s="5"/>
      <c r="U966" s="5"/>
      <c r="V966" s="5"/>
      <c r="W966" s="6"/>
      <c r="X966" s="7"/>
      <c r="Y966" s="7"/>
      <c r="Z966" s="5"/>
      <c r="AA966" s="5"/>
      <c r="AB966" s="5"/>
      <c r="AC966" s="5"/>
      <c r="AD966" s="5"/>
    </row>
    <row r="967" spans="1:30" ht="15.75" customHeight="1">
      <c r="A967" s="5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5"/>
      <c r="T967" s="5"/>
      <c r="U967" s="5"/>
      <c r="V967" s="5"/>
      <c r="W967" s="6"/>
      <c r="X967" s="7"/>
      <c r="Y967" s="7"/>
      <c r="Z967" s="5"/>
      <c r="AA967" s="5"/>
      <c r="AB967" s="5"/>
      <c r="AC967" s="5"/>
      <c r="AD967" s="5"/>
    </row>
    <row r="968" spans="1:30" ht="15.75" customHeight="1">
      <c r="A968" s="5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5"/>
      <c r="T968" s="5"/>
      <c r="U968" s="5"/>
      <c r="V968" s="5"/>
      <c r="W968" s="6"/>
      <c r="X968" s="7"/>
      <c r="Y968" s="7"/>
      <c r="Z968" s="5"/>
      <c r="AA968" s="5"/>
      <c r="AB968" s="5"/>
      <c r="AC968" s="5"/>
      <c r="AD968" s="5"/>
    </row>
    <row r="969" spans="1:30" ht="15.75" customHeight="1">
      <c r="A969" s="5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5"/>
      <c r="T969" s="5"/>
      <c r="U969" s="5"/>
      <c r="V969" s="5"/>
      <c r="W969" s="6"/>
      <c r="X969" s="7"/>
      <c r="Y969" s="7"/>
      <c r="Z969" s="5"/>
      <c r="AA969" s="5"/>
      <c r="AB969" s="5"/>
      <c r="AC969" s="5"/>
      <c r="AD969" s="5"/>
    </row>
    <row r="970" spans="1:30" ht="15.75" customHeight="1">
      <c r="A970" s="5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5"/>
      <c r="T970" s="5"/>
      <c r="U970" s="5"/>
      <c r="V970" s="5"/>
      <c r="W970" s="6"/>
      <c r="X970" s="7"/>
      <c r="Y970" s="7"/>
      <c r="Z970" s="5"/>
      <c r="AA970" s="5"/>
      <c r="AB970" s="5"/>
      <c r="AC970" s="5"/>
      <c r="AD970" s="5"/>
    </row>
    <row r="971" spans="1:30" ht="15.75" customHeight="1">
      <c r="A971" s="5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5"/>
      <c r="T971" s="5"/>
      <c r="U971" s="5"/>
      <c r="V971" s="5"/>
      <c r="W971" s="6"/>
      <c r="X971" s="7"/>
      <c r="Y971" s="7"/>
      <c r="Z971" s="5"/>
      <c r="AA971" s="5"/>
      <c r="AB971" s="5"/>
      <c r="AC971" s="5"/>
      <c r="AD971" s="5"/>
    </row>
    <row r="972" spans="1:30" ht="15.75" customHeight="1">
      <c r="A972" s="5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5"/>
      <c r="T972" s="5"/>
      <c r="U972" s="5"/>
      <c r="V972" s="5"/>
      <c r="W972" s="6"/>
      <c r="X972" s="7"/>
      <c r="Y972" s="7"/>
      <c r="Z972" s="5"/>
      <c r="AA972" s="5"/>
      <c r="AB972" s="5"/>
      <c r="AC972" s="5"/>
      <c r="AD972" s="5"/>
    </row>
    <row r="973" spans="1:30" ht="15.75" customHeight="1">
      <c r="A973" s="5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5"/>
      <c r="T973" s="5"/>
      <c r="U973" s="5"/>
      <c r="V973" s="5"/>
      <c r="W973" s="6"/>
      <c r="X973" s="7"/>
      <c r="Y973" s="7"/>
      <c r="Z973" s="5"/>
      <c r="AA973" s="5"/>
      <c r="AB973" s="5"/>
      <c r="AC973" s="5"/>
      <c r="AD973" s="5"/>
    </row>
    <row r="974" spans="1:30" ht="15.75" customHeight="1">
      <c r="A974" s="5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5"/>
      <c r="T974" s="5"/>
      <c r="U974" s="5"/>
      <c r="V974" s="5"/>
      <c r="W974" s="6"/>
      <c r="X974" s="7"/>
      <c r="Y974" s="7"/>
      <c r="Z974" s="5"/>
      <c r="AA974" s="5"/>
      <c r="AB974" s="5"/>
      <c r="AC974" s="5"/>
      <c r="AD974" s="5"/>
    </row>
    <row r="975" spans="1:30" ht="15.75" customHeight="1">
      <c r="A975" s="5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5"/>
      <c r="T975" s="5"/>
      <c r="U975" s="5"/>
      <c r="V975" s="5"/>
      <c r="W975" s="6"/>
      <c r="X975" s="7"/>
      <c r="Y975" s="7"/>
      <c r="Z975" s="5"/>
      <c r="AA975" s="5"/>
      <c r="AB975" s="5"/>
      <c r="AC975" s="5"/>
      <c r="AD975" s="5"/>
    </row>
    <row r="976" spans="1:30" ht="15.75" customHeight="1">
      <c r="A976" s="5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5"/>
      <c r="T976" s="5"/>
      <c r="U976" s="5"/>
      <c r="V976" s="5"/>
      <c r="W976" s="6"/>
      <c r="X976" s="7"/>
      <c r="Y976" s="7"/>
      <c r="Z976" s="5"/>
      <c r="AA976" s="5"/>
      <c r="AB976" s="5"/>
      <c r="AC976" s="5"/>
      <c r="AD976" s="5"/>
    </row>
    <row r="977" spans="1:30" ht="15.75" customHeight="1">
      <c r="A977" s="5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5"/>
      <c r="T977" s="5"/>
      <c r="U977" s="5"/>
      <c r="V977" s="5"/>
      <c r="W977" s="6"/>
      <c r="X977" s="7"/>
      <c r="Y977" s="7"/>
      <c r="Z977" s="5"/>
      <c r="AA977" s="5"/>
      <c r="AB977" s="5"/>
      <c r="AC977" s="5"/>
      <c r="AD977" s="5"/>
    </row>
    <row r="978" spans="1:30" ht="15.75" customHeight="1">
      <c r="A978" s="5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5"/>
      <c r="T978" s="5"/>
      <c r="U978" s="5"/>
      <c r="V978" s="5"/>
      <c r="W978" s="6"/>
      <c r="X978" s="7"/>
      <c r="Y978" s="7"/>
      <c r="Z978" s="5"/>
      <c r="AA978" s="5"/>
      <c r="AB978" s="5"/>
      <c r="AC978" s="5"/>
      <c r="AD978" s="5"/>
    </row>
    <row r="979" spans="1:30" ht="15.75" customHeight="1">
      <c r="A979" s="5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5"/>
      <c r="T979" s="5"/>
      <c r="U979" s="5"/>
      <c r="V979" s="5"/>
      <c r="W979" s="6"/>
      <c r="X979" s="7"/>
      <c r="Y979" s="7"/>
      <c r="Z979" s="5"/>
      <c r="AA979" s="5"/>
      <c r="AB979" s="5"/>
      <c r="AC979" s="5"/>
      <c r="AD979" s="5"/>
    </row>
    <row r="980" spans="1:30" ht="15.75" customHeight="1">
      <c r="A980" s="5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5"/>
      <c r="T980" s="5"/>
      <c r="U980" s="5"/>
      <c r="V980" s="5"/>
      <c r="W980" s="6"/>
      <c r="X980" s="7"/>
      <c r="Y980" s="7"/>
      <c r="Z980" s="5"/>
      <c r="AA980" s="5"/>
      <c r="AB980" s="5"/>
      <c r="AC980" s="5"/>
      <c r="AD980" s="5"/>
    </row>
    <row r="981" spans="1:30" ht="15.75" customHeight="1">
      <c r="A981" s="5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5"/>
      <c r="T981" s="5"/>
      <c r="U981" s="5"/>
      <c r="V981" s="5"/>
      <c r="W981" s="6"/>
      <c r="X981" s="7"/>
      <c r="Y981" s="7"/>
      <c r="Z981" s="5"/>
      <c r="AA981" s="5"/>
      <c r="AB981" s="5"/>
      <c r="AC981" s="5"/>
      <c r="AD981" s="5"/>
    </row>
    <row r="982" spans="1:30" ht="15.75" customHeight="1">
      <c r="A982" s="5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5"/>
      <c r="T982" s="5"/>
      <c r="U982" s="5"/>
      <c r="V982" s="5"/>
      <c r="W982" s="6"/>
      <c r="X982" s="7"/>
      <c r="Y982" s="7"/>
      <c r="Z982" s="5"/>
      <c r="AA982" s="5"/>
      <c r="AB982" s="5"/>
      <c r="AC982" s="5"/>
      <c r="AD982" s="5"/>
    </row>
    <row r="983" spans="1:30" ht="15.75" customHeight="1">
      <c r="A983" s="5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5"/>
      <c r="T983" s="5"/>
      <c r="U983" s="5"/>
      <c r="V983" s="5"/>
      <c r="W983" s="6"/>
      <c r="X983" s="7"/>
      <c r="Y983" s="7"/>
      <c r="Z983" s="5"/>
      <c r="AA983" s="5"/>
      <c r="AB983" s="5"/>
      <c r="AC983" s="5"/>
      <c r="AD983" s="5"/>
    </row>
    <row r="984" spans="1:30" ht="15.75" customHeight="1">
      <c r="A984" s="5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5"/>
      <c r="T984" s="5"/>
      <c r="U984" s="5"/>
      <c r="V984" s="5"/>
      <c r="W984" s="6"/>
      <c r="X984" s="7"/>
      <c r="Y984" s="7"/>
      <c r="Z984" s="5"/>
      <c r="AA984" s="5"/>
      <c r="AB984" s="5"/>
      <c r="AC984" s="5"/>
      <c r="AD984" s="5"/>
    </row>
    <row r="985" spans="1:30" ht="15.75" customHeight="1">
      <c r="A985" s="5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5"/>
      <c r="T985" s="5"/>
      <c r="U985" s="5"/>
      <c r="V985" s="5"/>
      <c r="W985" s="6"/>
      <c r="X985" s="7"/>
      <c r="Y985" s="7"/>
      <c r="Z985" s="5"/>
      <c r="AA985" s="5"/>
      <c r="AB985" s="5"/>
      <c r="AC985" s="5"/>
      <c r="AD985" s="5"/>
    </row>
    <row r="986" spans="1:30" ht="15.75" customHeight="1">
      <c r="A986" s="5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5"/>
      <c r="T986" s="5"/>
      <c r="U986" s="5"/>
      <c r="V986" s="5"/>
      <c r="W986" s="6"/>
      <c r="X986" s="7"/>
      <c r="Y986" s="7"/>
      <c r="Z986" s="5"/>
      <c r="AA986" s="5"/>
      <c r="AB986" s="5"/>
      <c r="AC986" s="5"/>
      <c r="AD986" s="5"/>
    </row>
    <row r="987" spans="1:30" ht="15.75" customHeight="1">
      <c r="A987" s="5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5"/>
      <c r="T987" s="5"/>
      <c r="U987" s="5"/>
      <c r="V987" s="5"/>
      <c r="W987" s="6"/>
      <c r="X987" s="7"/>
      <c r="Y987" s="7"/>
      <c r="Z987" s="5"/>
      <c r="AA987" s="5"/>
      <c r="AB987" s="5"/>
      <c r="AC987" s="5"/>
      <c r="AD987" s="5"/>
    </row>
    <row r="988" spans="1:30" ht="15.75" customHeight="1">
      <c r="A988" s="5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5"/>
      <c r="T988" s="5"/>
      <c r="U988" s="5"/>
      <c r="V988" s="5"/>
      <c r="W988" s="6"/>
      <c r="X988" s="7"/>
      <c r="Y988" s="7"/>
      <c r="Z988" s="5"/>
      <c r="AA988" s="5"/>
      <c r="AB988" s="5"/>
      <c r="AC988" s="5"/>
      <c r="AD988" s="5"/>
    </row>
    <row r="989" spans="1:30" ht="15.75" customHeight="1">
      <c r="A989" s="5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5"/>
      <c r="T989" s="5"/>
      <c r="U989" s="5"/>
      <c r="V989" s="5"/>
      <c r="W989" s="6"/>
      <c r="X989" s="7"/>
      <c r="Y989" s="7"/>
      <c r="Z989" s="5"/>
      <c r="AA989" s="5"/>
      <c r="AB989" s="5"/>
      <c r="AC989" s="5"/>
      <c r="AD989" s="5"/>
    </row>
    <row r="990" spans="1:30" ht="15.75" customHeight="1">
      <c r="A990" s="5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5"/>
      <c r="T990" s="5"/>
      <c r="U990" s="5"/>
      <c r="V990" s="5"/>
      <c r="W990" s="6"/>
      <c r="X990" s="7"/>
      <c r="Y990" s="7"/>
      <c r="Z990" s="5"/>
      <c r="AA990" s="5"/>
      <c r="AB990" s="5"/>
      <c r="AC990" s="5"/>
      <c r="AD990" s="5"/>
    </row>
    <row r="991" spans="1:30" ht="15.75" customHeight="1">
      <c r="A991" s="5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5"/>
      <c r="T991" s="5"/>
      <c r="U991" s="5"/>
      <c r="V991" s="5"/>
      <c r="W991" s="6"/>
      <c r="X991" s="7"/>
      <c r="Y991" s="7"/>
      <c r="Z991" s="5"/>
      <c r="AA991" s="5"/>
      <c r="AB991" s="5"/>
      <c r="AC991" s="5"/>
      <c r="AD991" s="5"/>
    </row>
    <row r="992" spans="1:30" ht="15.75" customHeight="1">
      <c r="A992" s="5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5"/>
      <c r="T992" s="5"/>
      <c r="U992" s="5"/>
      <c r="V992" s="5"/>
      <c r="W992" s="6"/>
      <c r="X992" s="7"/>
      <c r="Y992" s="7"/>
      <c r="Z992" s="5"/>
      <c r="AA992" s="5"/>
      <c r="AB992" s="5"/>
      <c r="AC992" s="5"/>
      <c r="AD992" s="5"/>
    </row>
    <row r="993" spans="1:30" ht="15.75" customHeight="1">
      <c r="A993" s="5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5"/>
      <c r="T993" s="5"/>
      <c r="U993" s="5"/>
      <c r="V993" s="5"/>
      <c r="W993" s="6"/>
      <c r="X993" s="7"/>
      <c r="Y993" s="7"/>
      <c r="Z993" s="5"/>
      <c r="AA993" s="5"/>
      <c r="AB993" s="5"/>
      <c r="AC993" s="5"/>
      <c r="AD993" s="5"/>
    </row>
    <row r="994" spans="1:30" ht="15.75" customHeight="1">
      <c r="A994" s="5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5"/>
      <c r="T994" s="5"/>
      <c r="U994" s="5"/>
      <c r="V994" s="5"/>
      <c r="W994" s="6"/>
      <c r="X994" s="7"/>
      <c r="Y994" s="7"/>
      <c r="Z994" s="5"/>
      <c r="AA994" s="5"/>
      <c r="AB994" s="5"/>
      <c r="AC994" s="5"/>
      <c r="AD994" s="5"/>
    </row>
    <row r="995" spans="1:30" ht="15.75" customHeight="1">
      <c r="A995" s="5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5"/>
      <c r="T995" s="5"/>
      <c r="U995" s="5"/>
      <c r="V995" s="5"/>
      <c r="W995" s="6"/>
      <c r="X995" s="7"/>
      <c r="Y995" s="7"/>
      <c r="Z995" s="5"/>
      <c r="AA995" s="5"/>
      <c r="AB995" s="5"/>
      <c r="AC995" s="5"/>
      <c r="AD995" s="5"/>
    </row>
    <row r="996" spans="1:30" ht="15.75" customHeight="1">
      <c r="A996" s="5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5"/>
      <c r="T996" s="5"/>
      <c r="U996" s="5"/>
      <c r="V996" s="5"/>
      <c r="W996" s="6"/>
      <c r="X996" s="7"/>
      <c r="Y996" s="7"/>
      <c r="Z996" s="5"/>
      <c r="AA996" s="5"/>
      <c r="AB996" s="5"/>
      <c r="AC996" s="5"/>
      <c r="AD996" s="5"/>
    </row>
    <row r="997" spans="1:30" ht="15.75" customHeight="1">
      <c r="A997" s="5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5"/>
      <c r="T997" s="5"/>
      <c r="U997" s="5"/>
      <c r="V997" s="5"/>
      <c r="W997" s="6"/>
      <c r="X997" s="7"/>
      <c r="Y997" s="7"/>
      <c r="Z997" s="5"/>
      <c r="AA997" s="5"/>
      <c r="AB997" s="5"/>
      <c r="AC997" s="5"/>
      <c r="AD997" s="5"/>
    </row>
    <row r="998" spans="1:30" ht="15.75" customHeight="1">
      <c r="A998" s="5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5"/>
      <c r="T998" s="5"/>
      <c r="U998" s="5"/>
      <c r="V998" s="5"/>
      <c r="W998" s="6"/>
      <c r="X998" s="7"/>
      <c r="Y998" s="7"/>
      <c r="Z998" s="5"/>
      <c r="AA998" s="5"/>
      <c r="AB998" s="5"/>
      <c r="AC998" s="5"/>
      <c r="AD998" s="5"/>
    </row>
    <row r="999" spans="1:30" ht="15.75" customHeight="1">
      <c r="A999" s="5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5"/>
      <c r="T999" s="5"/>
      <c r="U999" s="5"/>
      <c r="V999" s="5"/>
      <c r="W999" s="6"/>
      <c r="X999" s="7"/>
      <c r="Y999" s="7"/>
      <c r="Z999" s="5"/>
      <c r="AA999" s="5"/>
      <c r="AB999" s="5"/>
      <c r="AC999" s="5"/>
      <c r="AD999" s="5"/>
    </row>
    <row r="1000" spans="1:30" ht="15.75" customHeight="1">
      <c r="A1000" s="5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5"/>
      <c r="T1000" s="5"/>
      <c r="U1000" s="5"/>
      <c r="V1000" s="5"/>
      <c r="W1000" s="6"/>
      <c r="X1000" s="7"/>
      <c r="Y1000" s="7"/>
      <c r="Z1000" s="5"/>
      <c r="AA1000" s="5"/>
      <c r="AB1000" s="5"/>
      <c r="AC1000" s="5"/>
      <c r="AD1000" s="5"/>
    </row>
  </sheetData>
  <mergeCells count="144">
    <mergeCell ref="I34:J34"/>
    <mergeCell ref="G34:H34"/>
    <mergeCell ref="G35:H35"/>
    <mergeCell ref="G36:H36"/>
    <mergeCell ref="G37:H37"/>
    <mergeCell ref="G38:H38"/>
    <mergeCell ref="G39:H39"/>
    <mergeCell ref="G40:H40"/>
    <mergeCell ref="G46:H46"/>
    <mergeCell ref="I46:J46"/>
    <mergeCell ref="G41:H41"/>
    <mergeCell ref="G42:H42"/>
    <mergeCell ref="G43:H43"/>
    <mergeCell ref="G44:H44"/>
    <mergeCell ref="I44:J44"/>
    <mergeCell ref="G45:H45"/>
    <mergeCell ref="I45:J45"/>
    <mergeCell ref="G30:H30"/>
    <mergeCell ref="G31:H31"/>
    <mergeCell ref="G32:H32"/>
    <mergeCell ref="G33:H33"/>
    <mergeCell ref="I28:J28"/>
    <mergeCell ref="I29:J29"/>
    <mergeCell ref="I30:J30"/>
    <mergeCell ref="I31:J31"/>
    <mergeCell ref="I32:J32"/>
    <mergeCell ref="I33:J33"/>
    <mergeCell ref="C24:D24"/>
    <mergeCell ref="C25:D25"/>
    <mergeCell ref="C26:D26"/>
    <mergeCell ref="C27:D27"/>
    <mergeCell ref="C28:D28"/>
    <mergeCell ref="C29:D29"/>
    <mergeCell ref="G27:H27"/>
    <mergeCell ref="G28:H28"/>
    <mergeCell ref="G29:H29"/>
    <mergeCell ref="I42:J42"/>
    <mergeCell ref="I43:J43"/>
    <mergeCell ref="I35:J35"/>
    <mergeCell ref="I36:J36"/>
    <mergeCell ref="I37:J37"/>
    <mergeCell ref="I38:J38"/>
    <mergeCell ref="I39:J39"/>
    <mergeCell ref="I40:J40"/>
    <mergeCell ref="I41:J41"/>
    <mergeCell ref="C32:D32"/>
    <mergeCell ref="C33:D33"/>
    <mergeCell ref="C34:D34"/>
    <mergeCell ref="C35:D35"/>
    <mergeCell ref="C36:D36"/>
    <mergeCell ref="C44:D44"/>
    <mergeCell ref="C45:D45"/>
    <mergeCell ref="C46:D46"/>
    <mergeCell ref="C47:D47"/>
    <mergeCell ref="C37:D37"/>
    <mergeCell ref="C38:D38"/>
    <mergeCell ref="C39:D39"/>
    <mergeCell ref="C40:D40"/>
    <mergeCell ref="C41:D41"/>
    <mergeCell ref="C42:D42"/>
    <mergeCell ref="C43:D43"/>
    <mergeCell ref="V20:W21"/>
    <mergeCell ref="X20:X21"/>
    <mergeCell ref="Y20:Y21"/>
    <mergeCell ref="V22:W22"/>
    <mergeCell ref="V23:W23"/>
    <mergeCell ref="V24:W24"/>
    <mergeCell ref="V25:W25"/>
    <mergeCell ref="C30:D30"/>
    <mergeCell ref="C31:D31"/>
    <mergeCell ref="C21:D21"/>
    <mergeCell ref="G21:H21"/>
    <mergeCell ref="C22:D22"/>
    <mergeCell ref="G22:H22"/>
    <mergeCell ref="I22:J22"/>
    <mergeCell ref="G23:H23"/>
    <mergeCell ref="I23:J23"/>
    <mergeCell ref="G24:H24"/>
    <mergeCell ref="I24:J24"/>
    <mergeCell ref="G25:H25"/>
    <mergeCell ref="I25:J25"/>
    <mergeCell ref="G26:H26"/>
    <mergeCell ref="I26:J26"/>
    <mergeCell ref="I27:J27"/>
    <mergeCell ref="C23:D23"/>
    <mergeCell ref="I21:J21"/>
    <mergeCell ref="Q21:R21"/>
    <mergeCell ref="B14:D14"/>
    <mergeCell ref="B16:J17"/>
    <mergeCell ref="L16:R17"/>
    <mergeCell ref="B19:B21"/>
    <mergeCell ref="C19:D20"/>
    <mergeCell ref="E19:H20"/>
    <mergeCell ref="I19:J20"/>
    <mergeCell ref="I11:K11"/>
    <mergeCell ref="L11:M11"/>
    <mergeCell ref="I12:K12"/>
    <mergeCell ref="L12:M12"/>
    <mergeCell ref="B13:D13"/>
    <mergeCell ref="I13:K13"/>
    <mergeCell ref="L13:M13"/>
    <mergeCell ref="I14:K14"/>
    <mergeCell ref="L14:M14"/>
    <mergeCell ref="I7:K7"/>
    <mergeCell ref="L7:M7"/>
    <mergeCell ref="Q7:R7"/>
    <mergeCell ref="I8:K8"/>
    <mergeCell ref="L8:M8"/>
    <mergeCell ref="I9:K9"/>
    <mergeCell ref="L9:M9"/>
    <mergeCell ref="I10:K10"/>
    <mergeCell ref="L10:M10"/>
    <mergeCell ref="O10:P10"/>
    <mergeCell ref="D2:H2"/>
    <mergeCell ref="K2:M2"/>
    <mergeCell ref="P2:R2"/>
    <mergeCell ref="D3:E3"/>
    <mergeCell ref="K3:M3"/>
    <mergeCell ref="P3:R3"/>
    <mergeCell ref="B5:H6"/>
    <mergeCell ref="I5:N6"/>
    <mergeCell ref="O5:R6"/>
    <mergeCell ref="V41:W41"/>
    <mergeCell ref="V42:W42"/>
    <mergeCell ref="V43:W43"/>
    <mergeCell ref="V44:W44"/>
    <mergeCell ref="V45:W45"/>
    <mergeCell ref="V46:W46"/>
    <mergeCell ref="V33:W33"/>
    <mergeCell ref="V34:W34"/>
    <mergeCell ref="L35:R39"/>
    <mergeCell ref="V35:W35"/>
    <mergeCell ref="V36:W36"/>
    <mergeCell ref="V37:W37"/>
    <mergeCell ref="V38:W38"/>
    <mergeCell ref="V26:W26"/>
    <mergeCell ref="V27:W27"/>
    <mergeCell ref="V28:W28"/>
    <mergeCell ref="V29:W29"/>
    <mergeCell ref="V30:W30"/>
    <mergeCell ref="V31:W31"/>
    <mergeCell ref="V32:W32"/>
    <mergeCell ref="V39:W39"/>
    <mergeCell ref="V40:W40"/>
  </mergeCells>
  <conditionalFormatting sqref="L22:M33 N43:N49 Q22:R33">
    <cfRule type="expression" dxfId="44" priority="1" stopIfTrue="1">
      <formula>IF(ISNUMBER($G22),AND($Q22&lt;MIN($G$22:$G$45),$R22&gt;MAX($G$22:$G$45)),AND($Q22&lt;MIN($F$22:$F$45),$R22&gt;MAX($F$22:$F$45)))</formula>
    </cfRule>
  </conditionalFormatting>
  <conditionalFormatting sqref="C46:D46">
    <cfRule type="expression" dxfId="43" priority="2" stopIfTrue="1">
      <formula>AND(ISNUMBER($C$46),OR($C$46&gt;20,$C$46=20))</formula>
    </cfRule>
  </conditionalFormatting>
  <conditionalFormatting sqref="V46:W46">
    <cfRule type="expression" dxfId="42" priority="3" stopIfTrue="1">
      <formula>AND(ISNUMBER($V$46),OR($V$46&gt;20,$V$46=20))</formula>
    </cfRule>
  </conditionalFormatting>
  <conditionalFormatting sqref="D11">
    <cfRule type="expression" dxfId="41" priority="4" stopIfTrue="1">
      <formula>AND(ISNUMBER(D11),D11&lt;3.602)</formula>
    </cfRule>
  </conditionalFormatting>
  <conditionalFormatting sqref="D11">
    <cfRule type="cellIs" dxfId="40" priority="5" stopIfTrue="1" operator="between">
      <formula>3.602</formula>
      <formula>7.227</formula>
    </cfRule>
  </conditionalFormatting>
  <conditionalFormatting sqref="D11">
    <cfRule type="expression" dxfId="39" priority="6" stopIfTrue="1">
      <formula>ISBLANK(D11)</formula>
    </cfRule>
  </conditionalFormatting>
  <conditionalFormatting sqref="D12">
    <cfRule type="expression" dxfId="38" priority="7" stopIfTrue="1">
      <formula>AND(ISNUMBER(D12),D12&lt;(3.602*144))</formula>
    </cfRule>
  </conditionalFormatting>
  <conditionalFormatting sqref="D12">
    <cfRule type="cellIs" dxfId="37" priority="8" stopIfTrue="1" operator="between">
      <formula>(3.602*144)</formula>
      <formula>(7.227*144)</formula>
    </cfRule>
  </conditionalFormatting>
  <conditionalFormatting sqref="D12">
    <cfRule type="expression" dxfId="36" priority="9" stopIfTrue="1">
      <formula>ISBLANK(D12)</formula>
    </cfRule>
  </conditionalFormatting>
  <printOptions horizontalCentered="1" verticalCentered="1"/>
  <pageMargins left="0.25" right="0.25" top="0.75" bottom="0.5" header="0" footer="0"/>
  <pageSetup orientation="portrait"/>
  <headerFooter>
    <oddHeader>&amp;CSpreadsheet for U.S. EPA Method 201A - Determination of Filterable PM10 and PM2.5 Emissions PRELIMINARY TEST DATA SHEET</oddHeader>
    <oddFooter>&amp;CCopyright 2017  Environmental Supply Company Inc.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1000"/>
  <sheetViews>
    <sheetView workbookViewId="0"/>
  </sheetViews>
  <sheetFormatPr baseColWidth="10" defaultColWidth="14.5" defaultRowHeight="15" customHeight="1"/>
  <cols>
    <col min="1" max="1" width="1" customWidth="1"/>
    <col min="2" max="2" width="6.33203125" customWidth="1"/>
    <col min="3" max="3" width="6.6640625" customWidth="1"/>
    <col min="4" max="8" width="6.33203125" customWidth="1"/>
    <col min="9" max="9" width="6.5" customWidth="1"/>
    <col min="10" max="11" width="6.33203125" customWidth="1"/>
    <col min="12" max="12" width="7.5" customWidth="1"/>
    <col min="13" max="13" width="6.33203125" customWidth="1"/>
    <col min="14" max="15" width="7.5" customWidth="1"/>
    <col min="16" max="16" width="7.83203125" customWidth="1"/>
    <col min="17" max="17" width="7.5" customWidth="1"/>
    <col min="18" max="18" width="6.33203125" customWidth="1"/>
    <col min="19" max="20" width="1" customWidth="1"/>
    <col min="21" max="21" width="9.83203125" customWidth="1"/>
    <col min="22" max="27" width="8.6640625" customWidth="1"/>
    <col min="28" max="28" width="1" customWidth="1"/>
    <col min="29" max="35" width="7.6640625" customWidth="1"/>
  </cols>
  <sheetData>
    <row r="1" spans="1:35" ht="5.2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/>
      <c r="U1" s="104"/>
      <c r="V1" s="5"/>
      <c r="W1" s="5"/>
      <c r="X1" s="5"/>
      <c r="Y1" s="5"/>
      <c r="Z1" s="7"/>
      <c r="AA1" s="5"/>
      <c r="AB1" s="5"/>
      <c r="AC1" s="5"/>
      <c r="AD1" s="5"/>
      <c r="AE1" s="5"/>
      <c r="AF1" s="5"/>
      <c r="AG1" s="5"/>
      <c r="AH1" s="5"/>
      <c r="AI1" s="5"/>
    </row>
    <row r="2" spans="1:35" ht="15" customHeight="1">
      <c r="A2" s="8"/>
      <c r="B2" s="9"/>
      <c r="C2" s="10" t="s">
        <v>26</v>
      </c>
      <c r="D2" s="379" t="str">
        <f>IF(ISTEXT('Pre-Test'!D2:H2),'Pre-Test'!D2:H2,"")</f>
        <v/>
      </c>
      <c r="E2" s="295"/>
      <c r="F2" s="295"/>
      <c r="G2" s="295"/>
      <c r="H2" s="296"/>
      <c r="I2" s="9"/>
      <c r="J2" s="10" t="s">
        <v>27</v>
      </c>
      <c r="K2" s="380"/>
      <c r="L2" s="296"/>
      <c r="M2" s="9"/>
      <c r="N2" s="10" t="s">
        <v>28</v>
      </c>
      <c r="O2" s="298"/>
      <c r="P2" s="295"/>
      <c r="Q2" s="295"/>
      <c r="R2" s="296"/>
      <c r="S2" s="12"/>
      <c r="T2" s="5"/>
      <c r="U2" s="104"/>
      <c r="V2" s="5"/>
      <c r="W2" s="5"/>
      <c r="X2" s="5"/>
      <c r="Y2" s="5"/>
      <c r="Z2" s="7"/>
      <c r="AA2" s="5"/>
      <c r="AB2" s="5"/>
      <c r="AC2" s="5"/>
      <c r="AD2" s="5"/>
      <c r="AE2" s="5"/>
      <c r="AF2" s="5"/>
      <c r="AG2" s="5"/>
      <c r="AH2" s="5"/>
      <c r="AI2" s="5"/>
    </row>
    <row r="3" spans="1:35" ht="15" customHeight="1">
      <c r="A3" s="8"/>
      <c r="B3" s="9"/>
      <c r="C3" s="10" t="s">
        <v>29</v>
      </c>
      <c r="D3" s="299"/>
      <c r="E3" s="280"/>
      <c r="F3" s="9"/>
      <c r="G3" s="9"/>
      <c r="H3" s="9"/>
      <c r="I3" s="9"/>
      <c r="J3" s="10" t="s">
        <v>30</v>
      </c>
      <c r="K3" s="381"/>
      <c r="L3" s="280"/>
      <c r="M3" s="9"/>
      <c r="N3" s="10" t="s">
        <v>31</v>
      </c>
      <c r="O3" s="379" t="str">
        <f>IF(ISTEXT('Pre-Test'!P3),'Pre-Test'!P3,"")</f>
        <v/>
      </c>
      <c r="P3" s="295"/>
      <c r="Q3" s="295"/>
      <c r="R3" s="296"/>
      <c r="S3" s="12"/>
      <c r="T3" s="5"/>
      <c r="U3" s="104"/>
      <c r="V3" s="5"/>
      <c r="W3" s="5"/>
      <c r="X3" s="5"/>
      <c r="Y3" s="5"/>
      <c r="Z3" s="7"/>
      <c r="AA3" s="5"/>
      <c r="AB3" s="5"/>
      <c r="AC3" s="5"/>
      <c r="AD3" s="5"/>
      <c r="AE3" s="5"/>
      <c r="AF3" s="5"/>
      <c r="AG3" s="5"/>
      <c r="AH3" s="5"/>
      <c r="AI3" s="5"/>
    </row>
    <row r="4" spans="1:35" ht="6" customHeight="1">
      <c r="A4" s="8"/>
      <c r="B4" s="5"/>
      <c r="C4" s="10"/>
      <c r="D4" s="18"/>
      <c r="E4" s="5"/>
      <c r="F4" s="5"/>
      <c r="G4" s="5"/>
      <c r="H4" s="5"/>
      <c r="I4" s="5"/>
      <c r="J4" s="19"/>
      <c r="K4" s="5"/>
      <c r="L4" s="5"/>
      <c r="M4" s="5"/>
      <c r="N4" s="5"/>
      <c r="O4" s="5"/>
      <c r="P4" s="5"/>
      <c r="Q4" s="20"/>
      <c r="R4" s="20"/>
      <c r="S4" s="12"/>
      <c r="T4" s="5"/>
      <c r="U4" s="104"/>
      <c r="V4" s="5"/>
      <c r="W4" s="5"/>
      <c r="X4" s="5"/>
      <c r="Y4" s="5"/>
      <c r="Z4" s="7"/>
      <c r="AA4" s="5"/>
      <c r="AB4" s="5"/>
      <c r="AC4" s="5"/>
      <c r="AD4" s="5"/>
      <c r="AE4" s="5"/>
      <c r="AF4" s="5"/>
      <c r="AG4" s="5"/>
      <c r="AH4" s="5"/>
      <c r="AI4" s="5"/>
    </row>
    <row r="5" spans="1:35" ht="15" customHeight="1">
      <c r="A5" s="8"/>
      <c r="B5" s="382" t="s">
        <v>32</v>
      </c>
      <c r="C5" s="383"/>
      <c r="D5" s="383"/>
      <c r="E5" s="384"/>
      <c r="F5" s="386" t="s">
        <v>34</v>
      </c>
      <c r="G5" s="309"/>
      <c r="H5" s="309"/>
      <c r="I5" s="310"/>
      <c r="J5" s="387" t="s">
        <v>113</v>
      </c>
      <c r="K5" s="383"/>
      <c r="L5" s="383"/>
      <c r="M5" s="384"/>
      <c r="N5" s="385" t="s">
        <v>114</v>
      </c>
      <c r="O5" s="383"/>
      <c r="P5" s="383"/>
      <c r="Q5" s="278"/>
      <c r="R5" s="5"/>
      <c r="S5" s="12"/>
      <c r="T5" s="5"/>
      <c r="U5" s="7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ht="15" customHeight="1">
      <c r="A6" s="8"/>
      <c r="B6" s="2"/>
      <c r="C6" s="23" t="s">
        <v>35</v>
      </c>
      <c r="D6" s="54" t="str">
        <f>IF(ISNUMBER(Bwse),Bwse,"-")</f>
        <v>-</v>
      </c>
      <c r="E6" s="25" t="s">
        <v>36</v>
      </c>
      <c r="F6" s="2"/>
      <c r="G6" s="23" t="s">
        <v>41</v>
      </c>
      <c r="H6" s="313" t="str">
        <f>IF(ISTEXT(MB),MB,"-")</f>
        <v>-</v>
      </c>
      <c r="I6" s="314"/>
      <c r="J6" s="129" t="s">
        <v>115</v>
      </c>
      <c r="K6" s="54" t="str">
        <f>IF(ISNUMBER(Tse),Tse,"-")</f>
        <v>-</v>
      </c>
      <c r="L6" s="130" t="s">
        <v>116</v>
      </c>
      <c r="M6" s="131" t="str">
        <f>IF(ISNUMBER(Tme),Tme,"-")</f>
        <v>-</v>
      </c>
      <c r="N6" s="21" t="s">
        <v>117</v>
      </c>
      <c r="O6" s="132" t="str">
        <f>IF(ISNUMBER(Tse),Tse-50,"-")</f>
        <v>-</v>
      </c>
      <c r="P6" s="23" t="s">
        <v>118</v>
      </c>
      <c r="Q6" s="132" t="str">
        <f>IF(ISNUMBER(Tse),Tse+50,"-")</f>
        <v>-</v>
      </c>
      <c r="R6" s="5"/>
      <c r="S6" s="12"/>
      <c r="T6" s="5"/>
      <c r="U6" s="7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 ht="15" customHeight="1">
      <c r="A7" s="8"/>
      <c r="B7" s="8"/>
      <c r="C7" s="10" t="s">
        <v>42</v>
      </c>
      <c r="D7" s="30"/>
      <c r="E7" s="31" t="s">
        <v>43</v>
      </c>
      <c r="F7" s="8"/>
      <c r="G7" s="10" t="s">
        <v>46</v>
      </c>
      <c r="H7" s="133" t="str">
        <f>IF(ISNUMBER(Y),Y,"-")</f>
        <v>-</v>
      </c>
      <c r="I7" s="34"/>
      <c r="J7" s="8"/>
      <c r="K7" s="134" t="s">
        <v>119</v>
      </c>
      <c r="L7" s="135" t="str">
        <f>IF(ISNUMBER(Qse),Qse,"-")</f>
        <v>-</v>
      </c>
      <c r="M7" s="12" t="s">
        <v>120</v>
      </c>
      <c r="N7" s="16" t="s">
        <v>119</v>
      </c>
      <c r="O7" s="136" t="str">
        <f>IF(ISNUMBER(Qse),0.002837*vise*((Tsl+460)/Mwe/Ps_1)^0.2949,"-")</f>
        <v>-</v>
      </c>
      <c r="P7" s="16" t="s">
        <v>119</v>
      </c>
      <c r="Q7" s="136" t="str">
        <f>IF(ISNUMBER(Qse),0.002837*vise*((Tsh+460)/Mwe/Ps_1)^0.2949,"-")</f>
        <v>-</v>
      </c>
      <c r="R7" s="5"/>
      <c r="S7" s="12"/>
      <c r="T7" s="5"/>
      <c r="U7" s="7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 ht="15" customHeight="1">
      <c r="A8" s="8"/>
      <c r="B8" s="8"/>
      <c r="C8" s="10" t="s">
        <v>47</v>
      </c>
      <c r="D8" s="30"/>
      <c r="E8" s="31" t="s">
        <v>121</v>
      </c>
      <c r="F8" s="8"/>
      <c r="G8" s="38" t="s">
        <v>122</v>
      </c>
      <c r="H8" s="137" t="str">
        <f>IF(ISNUMBER(dHa),dHa,"-")</f>
        <v>-</v>
      </c>
      <c r="I8" s="31" t="s">
        <v>123</v>
      </c>
      <c r="J8" s="8"/>
      <c r="K8" s="138" t="s">
        <v>124</v>
      </c>
      <c r="L8" s="139" t="str">
        <f>IF(ISNUMBER(vise),vise,"-")</f>
        <v>-</v>
      </c>
      <c r="M8" s="40" t="s">
        <v>40</v>
      </c>
      <c r="N8" s="140" t="s">
        <v>125</v>
      </c>
      <c r="O8" s="141" t="str">
        <f>IF(ISNUMBER(Tsl),-150.3162+13.4622*SQRT(Tsl+460)+3861530/(Tsl+460)^2+0.591123*(1-Bwse/100)*OO/100-91.9723*Bwse/100+0.0000151761*Bwse/100*(Tsl+460)^2,"-")</f>
        <v>-</v>
      </c>
      <c r="P8" s="142" t="s">
        <v>126</v>
      </c>
      <c r="Q8" s="141" t="str">
        <f>IF(ISNUMBER(Tsh),-150.3162+13.4622*SQRT(Tsh+460)+3861530/(Tsh+460)^2+0.591123*(1-Bwse/100)*OO/100-91.9723*Bwse/100+0.0000151761*Bwse/100*(Tsh+460)^2,"-")</f>
        <v>-</v>
      </c>
      <c r="R8" s="5"/>
      <c r="S8" s="12"/>
      <c r="T8" s="5"/>
      <c r="U8" s="7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 ht="15" customHeight="1">
      <c r="A9" s="8"/>
      <c r="B9" s="8"/>
      <c r="C9" s="10" t="s">
        <v>54</v>
      </c>
      <c r="D9" s="36" t="str">
        <f>IF(AND(ISNUMBER(Pg_1),ISNUMBER(Pbar_1)),Pbar_1+Pg_1/13.6,"-")</f>
        <v>-</v>
      </c>
      <c r="E9" s="31" t="s">
        <v>43</v>
      </c>
      <c r="F9" s="46" t="s">
        <v>66</v>
      </c>
      <c r="G9" s="133" t="str">
        <f>IF(ISNUMBER(Cpp),Cpp,"-")</f>
        <v>-</v>
      </c>
      <c r="H9" s="47" t="s">
        <v>67</v>
      </c>
      <c r="I9" s="143" t="str">
        <f>IF(OR(ISNUMBER('Pre-Test'!R11),ISTEXT('Pre-Test'!R11)),'Pre-Test'!R11,"-")</f>
        <v>-</v>
      </c>
      <c r="J9" s="144"/>
      <c r="K9" s="57" t="s">
        <v>127</v>
      </c>
      <c r="L9" s="145" t="str">
        <f>IF(ISNUMBER(dHe),dHe,"-")</f>
        <v>-</v>
      </c>
      <c r="M9" s="146" t="s">
        <v>128</v>
      </c>
      <c r="N9" s="147" t="s">
        <v>129</v>
      </c>
      <c r="O9" s="148" t="str">
        <f>IF(ISNUMBER(dHe),(Qse*(1-Bwse/100)*Ps_1/(Tsl+460))^2*(Tme+460)*Md*(1.083)*dHa/Pbar_1,"-")</f>
        <v>-</v>
      </c>
      <c r="P9" s="149" t="s">
        <v>130</v>
      </c>
      <c r="Q9" s="148" t="str">
        <f>IF(ISNUMBER(dHe),(Qse*(1-Bwse/100)*Ps_1/(Tsh+460))^2*(Tme+460)*Md*(1.083)*dHa/Pbar_1,"-")</f>
        <v>-</v>
      </c>
      <c r="R9" s="5"/>
      <c r="S9" s="12"/>
      <c r="T9" s="5"/>
      <c r="U9" s="7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 ht="15" customHeight="1">
      <c r="A10" s="8"/>
      <c r="B10" s="8"/>
      <c r="C10" s="10" t="s">
        <v>131</v>
      </c>
      <c r="D10" s="36" t="str">
        <f>IF(ISNUMBER(COO),COO,"-")</f>
        <v>-</v>
      </c>
      <c r="E10" s="150" t="s">
        <v>38</v>
      </c>
      <c r="F10" s="46" t="s">
        <v>71</v>
      </c>
      <c r="G10" s="151" t="str">
        <f>IF(ISNUMBER(Cp),Cp,"-")</f>
        <v>-</v>
      </c>
      <c r="H10" s="47" t="s">
        <v>67</v>
      </c>
      <c r="I10" s="143" t="str">
        <f>IF(OR(ISNUMBER('Pre-Test'!R11),ISTEXT('Pre-Test'!R11)),'Pre-Test'!R11,"-")</f>
        <v>-</v>
      </c>
      <c r="J10" s="388" t="s">
        <v>132</v>
      </c>
      <c r="K10" s="309"/>
      <c r="L10" s="309"/>
      <c r="M10" s="309"/>
      <c r="N10" s="309"/>
      <c r="O10" s="309"/>
      <c r="P10" s="309"/>
      <c r="Q10" s="357"/>
      <c r="R10" s="5"/>
      <c r="S10" s="12"/>
      <c r="T10" s="5"/>
      <c r="U10" s="104"/>
      <c r="V10" s="5"/>
      <c r="W10" s="5"/>
      <c r="X10" s="5"/>
      <c r="Y10" s="5"/>
      <c r="Z10" s="7"/>
      <c r="AA10" s="5"/>
      <c r="AB10" s="5"/>
      <c r="AC10" s="5"/>
      <c r="AD10" s="5"/>
      <c r="AE10" s="5"/>
      <c r="AF10" s="5"/>
      <c r="AG10" s="5"/>
      <c r="AH10" s="5"/>
      <c r="AI10" s="5"/>
    </row>
    <row r="11" spans="1:35" ht="15" customHeight="1">
      <c r="A11" s="8"/>
      <c r="B11" s="8"/>
      <c r="C11" s="10" t="s">
        <v>133</v>
      </c>
      <c r="D11" s="152" t="str">
        <f>IF(ISNUMBER(OO),OO,"-")</f>
        <v>-</v>
      </c>
      <c r="E11" s="150" t="s">
        <v>38</v>
      </c>
      <c r="F11" s="8"/>
      <c r="G11" s="10" t="s">
        <v>75</v>
      </c>
      <c r="H11" s="153" t="str">
        <f>IF(ISNUMBER(Dn),Dn,"-")</f>
        <v>-</v>
      </c>
      <c r="I11" s="56" t="s">
        <v>76</v>
      </c>
      <c r="J11" s="2"/>
      <c r="K11" s="23" t="s">
        <v>134</v>
      </c>
      <c r="L11" s="389"/>
      <c r="M11" s="390"/>
      <c r="N11" s="391"/>
      <c r="O11" s="390"/>
      <c r="P11" s="3" t="s">
        <v>135</v>
      </c>
      <c r="Q11" s="4"/>
      <c r="R11" s="5"/>
      <c r="S11" s="12"/>
      <c r="T11" s="5"/>
      <c r="U11" s="104"/>
      <c r="V11" s="5"/>
      <c r="W11" s="5"/>
      <c r="X11" s="5"/>
      <c r="Y11" s="5"/>
      <c r="Z11" s="7"/>
      <c r="AA11" s="5"/>
      <c r="AB11" s="5"/>
      <c r="AC11" s="5"/>
      <c r="AD11" s="5"/>
      <c r="AE11" s="5"/>
      <c r="AF11" s="5"/>
      <c r="AG11" s="5"/>
      <c r="AH11" s="5"/>
      <c r="AI11" s="5"/>
    </row>
    <row r="12" spans="1:35" ht="15" customHeight="1">
      <c r="A12" s="8"/>
      <c r="B12" s="8"/>
      <c r="C12" s="10" t="s">
        <v>136</v>
      </c>
      <c r="D12" s="36" t="str">
        <f>IF(ISNUMBER(NN),NN,"-")</f>
        <v>-</v>
      </c>
      <c r="E12" s="150" t="s">
        <v>38</v>
      </c>
      <c r="F12" s="154"/>
      <c r="G12" s="23" t="s">
        <v>61</v>
      </c>
      <c r="H12" s="155" t="str">
        <f>IF(ISNUMBER(A),A,"-")</f>
        <v>-</v>
      </c>
      <c r="I12" s="27" t="s">
        <v>137</v>
      </c>
      <c r="J12" s="8"/>
      <c r="K12" s="10" t="s">
        <v>138</v>
      </c>
      <c r="L12" s="393"/>
      <c r="M12" s="347"/>
      <c r="N12" s="392"/>
      <c r="O12" s="347"/>
      <c r="P12" s="5" t="s">
        <v>135</v>
      </c>
      <c r="Q12" s="12"/>
      <c r="R12" s="5"/>
      <c r="S12" s="12"/>
      <c r="T12" s="5"/>
      <c r="U12" s="104"/>
      <c r="V12" s="5"/>
      <c r="W12" s="5"/>
      <c r="X12" s="5"/>
      <c r="Y12" s="5"/>
      <c r="Z12" s="7"/>
      <c r="AA12" s="5"/>
      <c r="AB12" s="5"/>
      <c r="AC12" s="5"/>
      <c r="AD12" s="5"/>
      <c r="AE12" s="5"/>
      <c r="AF12" s="5"/>
      <c r="AG12" s="5"/>
      <c r="AH12" s="5"/>
      <c r="AI12" s="5"/>
    </row>
    <row r="13" spans="1:35" ht="15" customHeight="1">
      <c r="A13" s="8"/>
      <c r="B13" s="8"/>
      <c r="C13" s="10" t="s">
        <v>139</v>
      </c>
      <c r="D13" s="152" t="str">
        <f>IF(ISNUMBER(Md),Md,"-")</f>
        <v>-</v>
      </c>
      <c r="E13" s="31" t="s">
        <v>56</v>
      </c>
      <c r="F13" s="8"/>
      <c r="G13" s="10" t="s">
        <v>140</v>
      </c>
      <c r="H13" s="156"/>
      <c r="I13" s="12" t="s">
        <v>141</v>
      </c>
      <c r="J13" s="157"/>
      <c r="K13" s="9" t="s">
        <v>142</v>
      </c>
      <c r="L13" s="393"/>
      <c r="M13" s="347"/>
      <c r="N13" s="392"/>
      <c r="O13" s="347"/>
      <c r="P13" s="128" t="s">
        <v>143</v>
      </c>
      <c r="Q13" s="12"/>
      <c r="R13" s="5"/>
      <c r="S13" s="12"/>
      <c r="T13" s="5"/>
      <c r="U13" s="104"/>
      <c r="V13" s="5"/>
      <c r="W13" s="5"/>
      <c r="X13" s="5"/>
      <c r="Y13" s="5"/>
      <c r="Z13" s="7"/>
      <c r="AA13" s="5"/>
      <c r="AB13" s="5"/>
      <c r="AC13" s="5"/>
      <c r="AD13" s="5"/>
      <c r="AE13" s="5"/>
      <c r="AF13" s="5"/>
      <c r="AG13" s="5"/>
      <c r="AH13" s="5"/>
      <c r="AI13" s="5"/>
    </row>
    <row r="14" spans="1:35" ht="15" customHeight="1">
      <c r="A14" s="8"/>
      <c r="B14" s="60"/>
      <c r="C14" s="57" t="s">
        <v>144</v>
      </c>
      <c r="D14" s="158" t="str">
        <f>IF(ISNUMBER(Mwe),Mwe,"-")</f>
        <v>-</v>
      </c>
      <c r="E14" s="59" t="s">
        <v>56</v>
      </c>
      <c r="F14" s="323" t="s">
        <v>145</v>
      </c>
      <c r="G14" s="325"/>
      <c r="H14" s="159"/>
      <c r="I14" s="52" t="s">
        <v>146</v>
      </c>
      <c r="J14" s="8"/>
      <c r="K14" s="10" t="s">
        <v>147</v>
      </c>
      <c r="L14" s="394" t="str">
        <f>IF(ISNUMBER(L13),(L12-L11)/L13,"-")</f>
        <v>-</v>
      </c>
      <c r="M14" s="347"/>
      <c r="N14" s="394" t="str">
        <f>IF(ISNUMBER(N13),(N12-N11)/N13,"-")</f>
        <v>-</v>
      </c>
      <c r="O14" s="280"/>
      <c r="P14" s="5" t="s">
        <v>120</v>
      </c>
      <c r="Q14" s="12"/>
      <c r="R14" s="5"/>
      <c r="S14" s="12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ht="15" customHeight="1">
      <c r="A15" s="8"/>
      <c r="B15" s="160"/>
      <c r="C15" s="161" t="s">
        <v>148</v>
      </c>
      <c r="D15" s="162">
        <f>IF(ISNUMBER(Tstd),Tstd,"-")</f>
        <v>528</v>
      </c>
      <c r="E15" s="163" t="s">
        <v>149</v>
      </c>
      <c r="F15" s="164"/>
      <c r="G15" s="164" t="s">
        <v>150</v>
      </c>
      <c r="H15" s="165">
        <f>IF(ISNUMBER(Pstd),Pstd,"-")</f>
        <v>29.92</v>
      </c>
      <c r="I15" s="166" t="s">
        <v>43</v>
      </c>
      <c r="J15" s="60"/>
      <c r="K15" s="57" t="s">
        <v>151</v>
      </c>
      <c r="L15" s="395"/>
      <c r="M15" s="349"/>
      <c r="N15" s="396"/>
      <c r="O15" s="349"/>
      <c r="P15" s="51" t="s">
        <v>152</v>
      </c>
      <c r="Q15" s="52"/>
      <c r="R15" s="5"/>
      <c r="S15" s="12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ht="5.25" customHeight="1">
      <c r="A16" s="8"/>
      <c r="B16" s="5"/>
      <c r="C16" s="5"/>
      <c r="D16" s="5"/>
      <c r="E16" s="5"/>
      <c r="F16" s="5"/>
      <c r="G16" s="5"/>
      <c r="H16" s="5"/>
      <c r="I16" s="5"/>
      <c r="J16" s="5"/>
      <c r="K16" s="10"/>
      <c r="L16" s="17"/>
      <c r="M16" s="14"/>
      <c r="N16" s="17"/>
      <c r="O16" s="14"/>
      <c r="P16" s="5"/>
      <c r="Q16" s="5"/>
      <c r="R16" s="5"/>
      <c r="S16" s="12"/>
      <c r="T16" s="5"/>
      <c r="U16" s="104"/>
      <c r="V16" s="5"/>
      <c r="W16" s="5"/>
      <c r="X16" s="5"/>
      <c r="Y16" s="5"/>
      <c r="Z16" s="7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15" customHeight="1">
      <c r="A17" s="8"/>
      <c r="B17" s="406" t="s">
        <v>86</v>
      </c>
      <c r="C17" s="409" t="s">
        <v>153</v>
      </c>
      <c r="D17" s="361" t="s">
        <v>154</v>
      </c>
      <c r="E17" s="288"/>
      <c r="F17" s="167" t="s">
        <v>155</v>
      </c>
      <c r="G17" s="410" t="s">
        <v>156</v>
      </c>
      <c r="H17" s="411"/>
      <c r="I17" s="314"/>
      <c r="J17" s="368" t="s">
        <v>157</v>
      </c>
      <c r="K17" s="357"/>
      <c r="L17" s="168" t="s">
        <v>158</v>
      </c>
      <c r="M17" s="319" t="s">
        <v>159</v>
      </c>
      <c r="N17" s="309"/>
      <c r="O17" s="357"/>
      <c r="P17" s="14"/>
      <c r="Q17" s="21"/>
      <c r="R17" s="128"/>
      <c r="S17" s="12"/>
      <c r="T17" s="5"/>
      <c r="U17" s="104"/>
      <c r="V17" s="5"/>
      <c r="W17" s="5"/>
      <c r="X17" s="5"/>
      <c r="Y17" s="5"/>
      <c r="Z17" s="7"/>
      <c r="AA17" s="5"/>
      <c r="AB17" s="5"/>
      <c r="AC17" s="5"/>
      <c r="AD17" s="5"/>
      <c r="AE17" s="5"/>
      <c r="AF17" s="5"/>
      <c r="AG17" s="5"/>
      <c r="AH17" s="5"/>
      <c r="AI17" s="5"/>
    </row>
    <row r="18" spans="1:35" ht="15" customHeight="1">
      <c r="A18" s="8"/>
      <c r="B18" s="407"/>
      <c r="C18" s="336"/>
      <c r="D18" s="362"/>
      <c r="E18" s="290"/>
      <c r="F18" s="169" t="s">
        <v>160</v>
      </c>
      <c r="G18" s="397" t="s">
        <v>161</v>
      </c>
      <c r="H18" s="296"/>
      <c r="I18" s="170"/>
      <c r="J18" s="412" t="s">
        <v>162</v>
      </c>
      <c r="K18" s="413"/>
      <c r="L18" s="171" t="s">
        <v>163</v>
      </c>
      <c r="M18" s="397" t="s">
        <v>104</v>
      </c>
      <c r="N18" s="296"/>
      <c r="O18" s="172" t="s">
        <v>164</v>
      </c>
      <c r="P18" s="398" t="s">
        <v>165</v>
      </c>
      <c r="Q18" s="400" t="s">
        <v>166</v>
      </c>
      <c r="R18" s="400" t="s">
        <v>167</v>
      </c>
      <c r="S18" s="12"/>
      <c r="T18" s="5"/>
      <c r="U18" s="402" t="s">
        <v>168</v>
      </c>
      <c r="V18" s="403" t="s">
        <v>169</v>
      </c>
      <c r="W18" s="400" t="s">
        <v>170</v>
      </c>
      <c r="X18" s="398" t="s">
        <v>171</v>
      </c>
      <c r="Y18" s="404" t="s">
        <v>172</v>
      </c>
      <c r="Z18" s="405" t="s">
        <v>173</v>
      </c>
      <c r="AA18" s="404" t="s">
        <v>174</v>
      </c>
      <c r="AB18" s="5"/>
      <c r="AC18" s="402" t="s">
        <v>175</v>
      </c>
      <c r="AD18" s="402" t="s">
        <v>176</v>
      </c>
      <c r="AE18" s="400" t="s">
        <v>177</v>
      </c>
      <c r="AF18" s="400" t="s">
        <v>178</v>
      </c>
      <c r="AG18" s="400" t="s">
        <v>179</v>
      </c>
      <c r="AH18" s="403" t="s">
        <v>180</v>
      </c>
      <c r="AI18" s="403" t="s">
        <v>181</v>
      </c>
    </row>
    <row r="19" spans="1:35" ht="15" customHeight="1">
      <c r="A19" s="8"/>
      <c r="B19" s="408"/>
      <c r="C19" s="401"/>
      <c r="D19" s="363"/>
      <c r="E19" s="306"/>
      <c r="F19" s="69" t="s">
        <v>182</v>
      </c>
      <c r="G19" s="173" t="s">
        <v>183</v>
      </c>
      <c r="H19" s="174" t="s">
        <v>184</v>
      </c>
      <c r="I19" s="170" t="s">
        <v>185</v>
      </c>
      <c r="J19" s="175" t="s">
        <v>186</v>
      </c>
      <c r="K19" s="172" t="s">
        <v>187</v>
      </c>
      <c r="L19" s="176" t="s">
        <v>188</v>
      </c>
      <c r="M19" s="173" t="s">
        <v>189</v>
      </c>
      <c r="N19" s="177" t="s">
        <v>190</v>
      </c>
      <c r="O19" s="170" t="s">
        <v>191</v>
      </c>
      <c r="P19" s="399"/>
      <c r="Q19" s="401"/>
      <c r="R19" s="401"/>
      <c r="S19" s="12"/>
      <c r="T19" s="5"/>
      <c r="U19" s="337"/>
      <c r="V19" s="401"/>
      <c r="W19" s="401"/>
      <c r="X19" s="399"/>
      <c r="Y19" s="337"/>
      <c r="Z19" s="337"/>
      <c r="AA19" s="337"/>
      <c r="AB19" s="5"/>
      <c r="AC19" s="337"/>
      <c r="AD19" s="401"/>
      <c r="AE19" s="401"/>
      <c r="AF19" s="401"/>
      <c r="AG19" s="401"/>
      <c r="AH19" s="401"/>
      <c r="AI19" s="401"/>
    </row>
    <row r="20" spans="1:35" ht="15" customHeight="1">
      <c r="A20" s="8"/>
      <c r="B20" s="78">
        <v>1</v>
      </c>
      <c r="C20" s="178" t="str">
        <f>IF(ISNUMBER(F20),MAX(ROUND(Cp/Cpp*U20/'Pre-Test'!$U$46*Tr_1*4/N_1,0)/4,2),"-")</f>
        <v>-</v>
      </c>
      <c r="D20" s="364"/>
      <c r="E20" s="320"/>
      <c r="F20" s="79"/>
      <c r="G20" s="179"/>
      <c r="H20" s="179"/>
      <c r="I20" s="180"/>
      <c r="J20" s="80" t="str">
        <f>IF(ISNUMBER(I20),(Qse*(1-Bwse/100)*Ps_1/(I20+460))^2*1.083*(H20+460)*Md*dHa/Pbar_1,dHe)</f>
        <v>-</v>
      </c>
      <c r="K20" s="79"/>
      <c r="L20" s="181"/>
      <c r="M20" s="181"/>
      <c r="N20" s="181"/>
      <c r="O20" s="181"/>
      <c r="P20" s="182" t="str">
        <f>IF(ISNUMBER(D21),((D21-D20)*Y*(I20+460)/(AVERAGE(G20:H20)+460)*(Pbar_1+K20/13.6)/Ps_1)/(1-Bwse/100)/C20,"-")</f>
        <v>-</v>
      </c>
      <c r="Q20" s="183" t="str">
        <f t="shared" ref="Q20:Q43" si="0">IF(ISNUMBER(P20),0.15625*((I20+460)/Mwe/Ps_1)^0.2091*(Y20/P20)^0.7091,"-")</f>
        <v>-</v>
      </c>
      <c r="R20" s="178" t="str">
        <f t="shared" ref="R20:R43" si="1">IF(ISNUMBER(P20),IF(Z20&lt;3162,0.0024302*(Y20/P20)^1.1791*SQRT(1/AA20)*((I20+460)/Ps_1/Mwe)^0.679,0.019723*(Y20/P20)^0.8058*SQRT(1/AA20)*((I20+460)/Ps_1/Mwe)^0.3058),"-")</f>
        <v>-</v>
      </c>
      <c r="S20" s="12"/>
      <c r="T20" s="5"/>
      <c r="U20" s="184" t="str">
        <f t="shared" ref="U20:U43" si="2">IF(ISNUMBER(F20),SQRT(F20),"-")</f>
        <v>-</v>
      </c>
      <c r="V20" s="185" t="str">
        <f t="shared" ref="V20:V43" si="3">IF(ISNUMBER(U20),85.49*Cp*U20*SQRT((I20+460)/Ps_1/Mwe),"-")</f>
        <v>-</v>
      </c>
      <c r="W20" s="186" t="str">
        <f t="shared" ref="W20:W43" si="4">IF(ISNUMBER(D21),Tstd/Pstd*Y*(D21-D20)*(Pbar_1+K20/13.6)/(AVERAGE(G20:H20)+460),"-")</f>
        <v>-</v>
      </c>
      <c r="X20" s="187" t="str">
        <f>IF(ISNUMBER(W20),W20/C20,"-")</f>
        <v>-</v>
      </c>
      <c r="Y20" s="183" t="str">
        <f t="shared" ref="Y20:Y43" si="5">IF(ISNUMBER(I20),-150.3162+13.4622*SQRT(I20+460)+3861530/(I20+460)^2+0.591123*(1-Bwse/100)*OO-91.9723*Bwse/100+0.0000151761*Bwse/100*(I20+460)^2,"-")</f>
        <v>-</v>
      </c>
      <c r="Z20" s="183" t="str">
        <f t="shared" ref="Z20:Z43" si="6">IF(ISNUMBER(Y20),864000*Ps_1*Mwe/(I20+460)*P20/Y20,"-")</f>
        <v>-</v>
      </c>
      <c r="AA20" s="188" t="str">
        <f t="shared" ref="AA20:AA43" si="7">IF(ISNUMBER(Y20),1+0.0057193*(Y20/Ps_1/(IF(ISNUMBER(R20),R20,2.5))*SQRT((I20+460)/Mwe)),"-")</f>
        <v>-</v>
      </c>
      <c r="AB20" s="5"/>
      <c r="AC20" s="184" t="str">
        <f t="shared" ref="AC20:AC43" si="8">IF(ISNUMBER(AF20),0.00013686*Ps_1*Mwe*(AF20)^2/(I20+460)/Cp^2,"-")</f>
        <v>-</v>
      </c>
      <c r="AD20" s="189" t="str">
        <f t="shared" ref="AD20:AD43" si="9">IF(ISNUMBER(AG20),0.00013686*Ps_1*Mwe*(AG20)^2/(I20+460)/Cp^2,"-")</f>
        <v>-</v>
      </c>
      <c r="AE20" s="83" t="str">
        <f t="shared" ref="AE20:AE43" si="10">IF(ISNUMBER(P20),3.055775*P20/(Dn)^2,"-")</f>
        <v>-</v>
      </c>
      <c r="AF20" s="83" t="str">
        <f t="shared" ref="AF20:AF43" si="11">IF(ISNUMBER(AH20),AE20*AH20,"-")</f>
        <v>-</v>
      </c>
      <c r="AG20" s="83" t="str">
        <f t="shared" ref="AG20:AG43" si="12">IF(ISNUMBER(AI20),AE20*AI20,"-")</f>
        <v>-</v>
      </c>
      <c r="AH20" s="83" t="str">
        <f t="shared" ref="AH20:AH43" si="13">IF(ISNUMBER(AE20),IF((0.2603*Y20*SQRT(P20))/(AE20)^1.5&gt;0.3072,0.5,(0.2457+SQRT(0.3072-(0.2603*Y20*SQRT(P20))/(AE20)^1.5))),"-")</f>
        <v>-</v>
      </c>
      <c r="AI20" s="190" t="str">
        <f t="shared" ref="AI20:AI43" si="14">IF(ISNUMBER(AE20),IF((0.4457+SQRT(0.569+(0.2603*Y20*SQRT(P20))/(AE20)^1.5))&gt;1.5,1.5,(0.4457+SQRT(0.569+(0.2603*Y20*SQRT(P20))/(AE20)^1.5))),"-")</f>
        <v>-</v>
      </c>
    </row>
    <row r="21" spans="1:35" ht="15" customHeight="1">
      <c r="A21" s="8"/>
      <c r="B21" s="88">
        <v>2</v>
      </c>
      <c r="C21" s="191" t="str">
        <f>IF(2&gt;N_1,"-",IF(ISNUMBER(F21),MAX(ROUND(Cp/Cpp*U21/'Pre-Test'!$U$46*Tr_1*4/N_1,0)/4,2)+C20,"-"))</f>
        <v>-</v>
      </c>
      <c r="D21" s="365"/>
      <c r="E21" s="347"/>
      <c r="F21" s="89"/>
      <c r="G21" s="192"/>
      <c r="H21" s="192"/>
      <c r="I21" s="193"/>
      <c r="J21" s="90" t="str">
        <f t="shared" ref="J21:J43" si="15">IF(ISNUMBER(I21),(Qse*(1-Bwse/100)*Ps_1/(I21+460))^2*1.083*(H21+460)*Md*dHa/Pbar_1,"-")</f>
        <v>-</v>
      </c>
      <c r="K21" s="89"/>
      <c r="L21" s="193"/>
      <c r="M21" s="193"/>
      <c r="N21" s="193"/>
      <c r="O21" s="193"/>
      <c r="P21" s="194" t="str">
        <f t="shared" ref="P21:P43" si="16">IF(ISNUMBER(D22),((D22-D21)*Y*(I21+460)/(AVERAGE(G21:H21)+460)*(Pbar_1+K21/13.6)/Ps_1)/(1-Bwse/100)/(C21-C20),"-")</f>
        <v>-</v>
      </c>
      <c r="Q21" s="191" t="str">
        <f t="shared" si="0"/>
        <v>-</v>
      </c>
      <c r="R21" s="191" t="str">
        <f t="shared" si="1"/>
        <v>-</v>
      </c>
      <c r="S21" s="12"/>
      <c r="T21" s="5"/>
      <c r="U21" s="195" t="str">
        <f t="shared" si="2"/>
        <v>-</v>
      </c>
      <c r="V21" s="92" t="str">
        <f t="shared" si="3"/>
        <v>-</v>
      </c>
      <c r="W21" s="196" t="str">
        <f t="shared" si="4"/>
        <v>-</v>
      </c>
      <c r="X21" s="196" t="str">
        <f t="shared" ref="X21:X43" si="17">IF(ISNUMBER(W21),W21/(C21-C20),"-")</f>
        <v>-</v>
      </c>
      <c r="Y21" s="191" t="str">
        <f t="shared" si="5"/>
        <v>-</v>
      </c>
      <c r="Z21" s="191" t="str">
        <f t="shared" si="6"/>
        <v>-</v>
      </c>
      <c r="AA21" s="197" t="str">
        <f t="shared" si="7"/>
        <v>-</v>
      </c>
      <c r="AB21" s="5"/>
      <c r="AC21" s="195" t="str">
        <f t="shared" si="8"/>
        <v>-</v>
      </c>
      <c r="AD21" s="90" t="str">
        <f t="shared" si="9"/>
        <v>-</v>
      </c>
      <c r="AE21" s="92" t="str">
        <f t="shared" si="10"/>
        <v>-</v>
      </c>
      <c r="AF21" s="92" t="str">
        <f t="shared" si="11"/>
        <v>-</v>
      </c>
      <c r="AG21" s="92" t="str">
        <f t="shared" si="12"/>
        <v>-</v>
      </c>
      <c r="AH21" s="92" t="str">
        <f t="shared" si="13"/>
        <v>-</v>
      </c>
      <c r="AI21" s="198" t="str">
        <f t="shared" si="14"/>
        <v>-</v>
      </c>
    </row>
    <row r="22" spans="1:35" ht="15" customHeight="1">
      <c r="A22" s="8"/>
      <c r="B22" s="88">
        <v>3</v>
      </c>
      <c r="C22" s="191" t="str">
        <f>IF(3&gt;N_1,"-",IF(ISNUMBER(F22),MAX(ROUND(Cp/Cpp*U22/'Pre-Test'!$U$46*Tr_1*4/N_1,0)/4,2)+C21,"-"))</f>
        <v>-</v>
      </c>
      <c r="D22" s="365"/>
      <c r="E22" s="347"/>
      <c r="F22" s="89"/>
      <c r="G22" s="192"/>
      <c r="H22" s="192"/>
      <c r="I22" s="193"/>
      <c r="J22" s="90" t="str">
        <f t="shared" si="15"/>
        <v>-</v>
      </c>
      <c r="K22" s="89"/>
      <c r="L22" s="193"/>
      <c r="M22" s="193"/>
      <c r="N22" s="193"/>
      <c r="O22" s="193"/>
      <c r="P22" s="194" t="str">
        <f t="shared" si="16"/>
        <v>-</v>
      </c>
      <c r="Q22" s="191" t="str">
        <f t="shared" si="0"/>
        <v>-</v>
      </c>
      <c r="R22" s="191" t="str">
        <f t="shared" si="1"/>
        <v>-</v>
      </c>
      <c r="S22" s="12"/>
      <c r="T22" s="5"/>
      <c r="U22" s="195" t="str">
        <f t="shared" si="2"/>
        <v>-</v>
      </c>
      <c r="V22" s="92" t="str">
        <f t="shared" si="3"/>
        <v>-</v>
      </c>
      <c r="W22" s="196" t="str">
        <f t="shared" si="4"/>
        <v>-</v>
      </c>
      <c r="X22" s="196" t="str">
        <f t="shared" si="17"/>
        <v>-</v>
      </c>
      <c r="Y22" s="191" t="str">
        <f t="shared" si="5"/>
        <v>-</v>
      </c>
      <c r="Z22" s="191" t="str">
        <f t="shared" si="6"/>
        <v>-</v>
      </c>
      <c r="AA22" s="197" t="str">
        <f t="shared" si="7"/>
        <v>-</v>
      </c>
      <c r="AB22" s="5"/>
      <c r="AC22" s="195" t="str">
        <f t="shared" si="8"/>
        <v>-</v>
      </c>
      <c r="AD22" s="90" t="str">
        <f t="shared" si="9"/>
        <v>-</v>
      </c>
      <c r="AE22" s="92" t="str">
        <f t="shared" si="10"/>
        <v>-</v>
      </c>
      <c r="AF22" s="92" t="str">
        <f t="shared" si="11"/>
        <v>-</v>
      </c>
      <c r="AG22" s="92" t="str">
        <f t="shared" si="12"/>
        <v>-</v>
      </c>
      <c r="AH22" s="92" t="str">
        <f t="shared" si="13"/>
        <v>-</v>
      </c>
      <c r="AI22" s="198" t="str">
        <f t="shared" si="14"/>
        <v>-</v>
      </c>
    </row>
    <row r="23" spans="1:35" ht="15" customHeight="1">
      <c r="A23" s="8"/>
      <c r="B23" s="88">
        <v>4</v>
      </c>
      <c r="C23" s="191" t="str">
        <f>IF(4&gt;N_1,"-",IF(ISNUMBER(F23),MAX(ROUND(Cp/Cpp*U23/'Pre-Test'!$U$46*Tr_1*4/N_1,0)/4,2)+C22,"-"))</f>
        <v>-</v>
      </c>
      <c r="D23" s="365"/>
      <c r="E23" s="347"/>
      <c r="F23" s="89"/>
      <c r="G23" s="192"/>
      <c r="H23" s="192"/>
      <c r="I23" s="193"/>
      <c r="J23" s="90" t="str">
        <f t="shared" si="15"/>
        <v>-</v>
      </c>
      <c r="K23" s="89"/>
      <c r="L23" s="193"/>
      <c r="M23" s="193"/>
      <c r="N23" s="193"/>
      <c r="O23" s="193"/>
      <c r="P23" s="194" t="str">
        <f t="shared" si="16"/>
        <v>-</v>
      </c>
      <c r="Q23" s="191" t="str">
        <f t="shared" si="0"/>
        <v>-</v>
      </c>
      <c r="R23" s="191" t="str">
        <f t="shared" si="1"/>
        <v>-</v>
      </c>
      <c r="S23" s="12"/>
      <c r="T23" s="5"/>
      <c r="U23" s="195" t="str">
        <f t="shared" si="2"/>
        <v>-</v>
      </c>
      <c r="V23" s="92" t="str">
        <f t="shared" si="3"/>
        <v>-</v>
      </c>
      <c r="W23" s="196" t="str">
        <f t="shared" si="4"/>
        <v>-</v>
      </c>
      <c r="X23" s="196" t="str">
        <f t="shared" si="17"/>
        <v>-</v>
      </c>
      <c r="Y23" s="191" t="str">
        <f t="shared" si="5"/>
        <v>-</v>
      </c>
      <c r="Z23" s="191" t="str">
        <f t="shared" si="6"/>
        <v>-</v>
      </c>
      <c r="AA23" s="197" t="str">
        <f t="shared" si="7"/>
        <v>-</v>
      </c>
      <c r="AB23" s="5"/>
      <c r="AC23" s="195" t="str">
        <f t="shared" si="8"/>
        <v>-</v>
      </c>
      <c r="AD23" s="90" t="str">
        <f t="shared" si="9"/>
        <v>-</v>
      </c>
      <c r="AE23" s="92" t="str">
        <f t="shared" si="10"/>
        <v>-</v>
      </c>
      <c r="AF23" s="92" t="str">
        <f t="shared" si="11"/>
        <v>-</v>
      </c>
      <c r="AG23" s="92" t="str">
        <f t="shared" si="12"/>
        <v>-</v>
      </c>
      <c r="AH23" s="92" t="str">
        <f t="shared" si="13"/>
        <v>-</v>
      </c>
      <c r="AI23" s="198" t="str">
        <f t="shared" si="14"/>
        <v>-</v>
      </c>
    </row>
    <row r="24" spans="1:35" ht="15" customHeight="1">
      <c r="A24" s="8"/>
      <c r="B24" s="88">
        <v>5</v>
      </c>
      <c r="C24" s="191" t="str">
        <f>IF(5&gt;N_1,"-",IF(ISNUMBER(F24),MAX(ROUND(Cp/Cpp*U24/'Pre-Test'!$U$46*Tr_1*4/N_1,0)/4,2)+C23,"-"))</f>
        <v>-</v>
      </c>
      <c r="D24" s="365"/>
      <c r="E24" s="347"/>
      <c r="F24" s="89"/>
      <c r="G24" s="192"/>
      <c r="H24" s="192"/>
      <c r="I24" s="193"/>
      <c r="J24" s="90" t="str">
        <f t="shared" si="15"/>
        <v>-</v>
      </c>
      <c r="K24" s="89"/>
      <c r="L24" s="193"/>
      <c r="M24" s="193"/>
      <c r="N24" s="193"/>
      <c r="O24" s="193"/>
      <c r="P24" s="194" t="str">
        <f t="shared" si="16"/>
        <v>-</v>
      </c>
      <c r="Q24" s="191" t="str">
        <f t="shared" si="0"/>
        <v>-</v>
      </c>
      <c r="R24" s="191" t="str">
        <f t="shared" si="1"/>
        <v>-</v>
      </c>
      <c r="S24" s="12"/>
      <c r="T24" s="5"/>
      <c r="U24" s="195" t="str">
        <f t="shared" si="2"/>
        <v>-</v>
      </c>
      <c r="V24" s="92" t="str">
        <f t="shared" si="3"/>
        <v>-</v>
      </c>
      <c r="W24" s="196" t="str">
        <f t="shared" si="4"/>
        <v>-</v>
      </c>
      <c r="X24" s="196" t="str">
        <f t="shared" si="17"/>
        <v>-</v>
      </c>
      <c r="Y24" s="191" t="str">
        <f t="shared" si="5"/>
        <v>-</v>
      </c>
      <c r="Z24" s="191" t="str">
        <f t="shared" si="6"/>
        <v>-</v>
      </c>
      <c r="AA24" s="197" t="str">
        <f t="shared" si="7"/>
        <v>-</v>
      </c>
      <c r="AB24" s="5"/>
      <c r="AC24" s="195" t="str">
        <f t="shared" si="8"/>
        <v>-</v>
      </c>
      <c r="AD24" s="90" t="str">
        <f t="shared" si="9"/>
        <v>-</v>
      </c>
      <c r="AE24" s="92" t="str">
        <f t="shared" si="10"/>
        <v>-</v>
      </c>
      <c r="AF24" s="92" t="str">
        <f t="shared" si="11"/>
        <v>-</v>
      </c>
      <c r="AG24" s="92" t="str">
        <f t="shared" si="12"/>
        <v>-</v>
      </c>
      <c r="AH24" s="92" t="str">
        <f t="shared" si="13"/>
        <v>-</v>
      </c>
      <c r="AI24" s="198" t="str">
        <f t="shared" si="14"/>
        <v>-</v>
      </c>
    </row>
    <row r="25" spans="1:35" ht="15" customHeight="1">
      <c r="A25" s="8"/>
      <c r="B25" s="88">
        <v>6</v>
      </c>
      <c r="C25" s="191" t="str">
        <f>IF(6&gt;N_1,"-",IF(ISNUMBER(F25),MAX(ROUND(Cp/Cpp*U25/'Pre-Test'!$U$46*Tr_1*4/N_1,0)/4,2)+C24,"-"))</f>
        <v>-</v>
      </c>
      <c r="D25" s="365"/>
      <c r="E25" s="347"/>
      <c r="F25" s="89"/>
      <c r="G25" s="192"/>
      <c r="H25" s="192"/>
      <c r="I25" s="193"/>
      <c r="J25" s="90" t="str">
        <f t="shared" si="15"/>
        <v>-</v>
      </c>
      <c r="K25" s="89"/>
      <c r="L25" s="193"/>
      <c r="M25" s="193"/>
      <c r="N25" s="193"/>
      <c r="O25" s="193"/>
      <c r="P25" s="194" t="str">
        <f t="shared" si="16"/>
        <v>-</v>
      </c>
      <c r="Q25" s="191" t="str">
        <f t="shared" si="0"/>
        <v>-</v>
      </c>
      <c r="R25" s="191" t="str">
        <f t="shared" si="1"/>
        <v>-</v>
      </c>
      <c r="S25" s="12"/>
      <c r="T25" s="5"/>
      <c r="U25" s="195" t="str">
        <f t="shared" si="2"/>
        <v>-</v>
      </c>
      <c r="V25" s="92" t="str">
        <f t="shared" si="3"/>
        <v>-</v>
      </c>
      <c r="W25" s="196" t="str">
        <f t="shared" si="4"/>
        <v>-</v>
      </c>
      <c r="X25" s="196" t="str">
        <f t="shared" si="17"/>
        <v>-</v>
      </c>
      <c r="Y25" s="191" t="str">
        <f t="shared" si="5"/>
        <v>-</v>
      </c>
      <c r="Z25" s="191" t="str">
        <f t="shared" si="6"/>
        <v>-</v>
      </c>
      <c r="AA25" s="197" t="str">
        <f t="shared" si="7"/>
        <v>-</v>
      </c>
      <c r="AB25" s="5"/>
      <c r="AC25" s="195" t="str">
        <f t="shared" si="8"/>
        <v>-</v>
      </c>
      <c r="AD25" s="90" t="str">
        <f t="shared" si="9"/>
        <v>-</v>
      </c>
      <c r="AE25" s="92" t="str">
        <f t="shared" si="10"/>
        <v>-</v>
      </c>
      <c r="AF25" s="92" t="str">
        <f t="shared" si="11"/>
        <v>-</v>
      </c>
      <c r="AG25" s="92" t="str">
        <f t="shared" si="12"/>
        <v>-</v>
      </c>
      <c r="AH25" s="92" t="str">
        <f t="shared" si="13"/>
        <v>-</v>
      </c>
      <c r="AI25" s="198" t="str">
        <f t="shared" si="14"/>
        <v>-</v>
      </c>
    </row>
    <row r="26" spans="1:35" ht="15" customHeight="1">
      <c r="A26" s="8"/>
      <c r="B26" s="88">
        <v>7</v>
      </c>
      <c r="C26" s="191" t="str">
        <f>IF(7&gt;N_1,"-",IF(ISNUMBER(F26),MAX(ROUND(Cp/Cpp*U26/'Pre-Test'!$U$46*Tr_1*4/N_1,0)/4,2)+C25,"-"))</f>
        <v>-</v>
      </c>
      <c r="D26" s="365"/>
      <c r="E26" s="347"/>
      <c r="F26" s="89"/>
      <c r="G26" s="192"/>
      <c r="H26" s="192"/>
      <c r="I26" s="193"/>
      <c r="J26" s="90" t="str">
        <f t="shared" si="15"/>
        <v>-</v>
      </c>
      <c r="K26" s="89"/>
      <c r="L26" s="193"/>
      <c r="M26" s="193"/>
      <c r="N26" s="193"/>
      <c r="O26" s="193"/>
      <c r="P26" s="194" t="str">
        <f t="shared" si="16"/>
        <v>-</v>
      </c>
      <c r="Q26" s="191" t="str">
        <f t="shared" si="0"/>
        <v>-</v>
      </c>
      <c r="R26" s="191" t="str">
        <f t="shared" si="1"/>
        <v>-</v>
      </c>
      <c r="S26" s="12"/>
      <c r="T26" s="5"/>
      <c r="U26" s="195" t="str">
        <f t="shared" si="2"/>
        <v>-</v>
      </c>
      <c r="V26" s="92" t="str">
        <f t="shared" si="3"/>
        <v>-</v>
      </c>
      <c r="W26" s="196" t="str">
        <f t="shared" si="4"/>
        <v>-</v>
      </c>
      <c r="X26" s="196" t="str">
        <f t="shared" si="17"/>
        <v>-</v>
      </c>
      <c r="Y26" s="191" t="str">
        <f t="shared" si="5"/>
        <v>-</v>
      </c>
      <c r="Z26" s="191" t="str">
        <f t="shared" si="6"/>
        <v>-</v>
      </c>
      <c r="AA26" s="197" t="str">
        <f t="shared" si="7"/>
        <v>-</v>
      </c>
      <c r="AB26" s="5"/>
      <c r="AC26" s="195" t="str">
        <f t="shared" si="8"/>
        <v>-</v>
      </c>
      <c r="AD26" s="90" t="str">
        <f t="shared" si="9"/>
        <v>-</v>
      </c>
      <c r="AE26" s="92" t="str">
        <f t="shared" si="10"/>
        <v>-</v>
      </c>
      <c r="AF26" s="92" t="str">
        <f t="shared" si="11"/>
        <v>-</v>
      </c>
      <c r="AG26" s="92" t="str">
        <f t="shared" si="12"/>
        <v>-</v>
      </c>
      <c r="AH26" s="92" t="str">
        <f t="shared" si="13"/>
        <v>-</v>
      </c>
      <c r="AI26" s="198" t="str">
        <f t="shared" si="14"/>
        <v>-</v>
      </c>
    </row>
    <row r="27" spans="1:35" ht="15" customHeight="1">
      <c r="A27" s="8"/>
      <c r="B27" s="88">
        <v>8</v>
      </c>
      <c r="C27" s="191" t="str">
        <f>IF(8&gt;N_1,"-",IF(ISNUMBER(F27),MAX(ROUND(Cp/Cpp*U27/'Pre-Test'!$U$46*Tr_1*4/N_1,0)/4,2)+C26,"-"))</f>
        <v>-</v>
      </c>
      <c r="D27" s="365"/>
      <c r="E27" s="347"/>
      <c r="F27" s="89"/>
      <c r="G27" s="192"/>
      <c r="H27" s="192"/>
      <c r="I27" s="193"/>
      <c r="J27" s="90" t="str">
        <f t="shared" si="15"/>
        <v>-</v>
      </c>
      <c r="K27" s="89"/>
      <c r="L27" s="193"/>
      <c r="M27" s="193"/>
      <c r="N27" s="193"/>
      <c r="O27" s="193"/>
      <c r="P27" s="194" t="str">
        <f t="shared" si="16"/>
        <v>-</v>
      </c>
      <c r="Q27" s="191" t="str">
        <f t="shared" si="0"/>
        <v>-</v>
      </c>
      <c r="R27" s="191" t="str">
        <f t="shared" si="1"/>
        <v>-</v>
      </c>
      <c r="S27" s="12"/>
      <c r="T27" s="5"/>
      <c r="U27" s="195" t="str">
        <f t="shared" si="2"/>
        <v>-</v>
      </c>
      <c r="V27" s="92" t="str">
        <f t="shared" si="3"/>
        <v>-</v>
      </c>
      <c r="W27" s="196" t="str">
        <f t="shared" si="4"/>
        <v>-</v>
      </c>
      <c r="X27" s="196" t="str">
        <f t="shared" si="17"/>
        <v>-</v>
      </c>
      <c r="Y27" s="191" t="str">
        <f t="shared" si="5"/>
        <v>-</v>
      </c>
      <c r="Z27" s="191" t="str">
        <f t="shared" si="6"/>
        <v>-</v>
      </c>
      <c r="AA27" s="197" t="str">
        <f t="shared" si="7"/>
        <v>-</v>
      </c>
      <c r="AB27" s="5"/>
      <c r="AC27" s="195" t="str">
        <f t="shared" si="8"/>
        <v>-</v>
      </c>
      <c r="AD27" s="90" t="str">
        <f t="shared" si="9"/>
        <v>-</v>
      </c>
      <c r="AE27" s="92" t="str">
        <f t="shared" si="10"/>
        <v>-</v>
      </c>
      <c r="AF27" s="92" t="str">
        <f t="shared" si="11"/>
        <v>-</v>
      </c>
      <c r="AG27" s="92" t="str">
        <f t="shared" si="12"/>
        <v>-</v>
      </c>
      <c r="AH27" s="92" t="str">
        <f t="shared" si="13"/>
        <v>-</v>
      </c>
      <c r="AI27" s="198" t="str">
        <f t="shared" si="14"/>
        <v>-</v>
      </c>
    </row>
    <row r="28" spans="1:35" ht="15" customHeight="1">
      <c r="A28" s="8"/>
      <c r="B28" s="88">
        <v>9</v>
      </c>
      <c r="C28" s="191" t="str">
        <f>IF(9&gt;N_1,"-",IF(ISNUMBER(F28),MAX(ROUND(Cp/Cpp*U28/'Pre-Test'!$U$46*Tr_1*4/N_1,0)/4,2)+C27,"-"))</f>
        <v>-</v>
      </c>
      <c r="D28" s="365"/>
      <c r="E28" s="347"/>
      <c r="F28" s="89"/>
      <c r="G28" s="192"/>
      <c r="H28" s="192"/>
      <c r="I28" s="193"/>
      <c r="J28" s="90" t="str">
        <f t="shared" si="15"/>
        <v>-</v>
      </c>
      <c r="K28" s="89"/>
      <c r="L28" s="193"/>
      <c r="M28" s="193"/>
      <c r="N28" s="193"/>
      <c r="O28" s="193"/>
      <c r="P28" s="194" t="str">
        <f t="shared" si="16"/>
        <v>-</v>
      </c>
      <c r="Q28" s="191" t="str">
        <f t="shared" si="0"/>
        <v>-</v>
      </c>
      <c r="R28" s="191" t="str">
        <f t="shared" si="1"/>
        <v>-</v>
      </c>
      <c r="S28" s="12"/>
      <c r="T28" s="5"/>
      <c r="U28" s="195" t="str">
        <f t="shared" si="2"/>
        <v>-</v>
      </c>
      <c r="V28" s="92" t="str">
        <f t="shared" si="3"/>
        <v>-</v>
      </c>
      <c r="W28" s="196" t="str">
        <f t="shared" si="4"/>
        <v>-</v>
      </c>
      <c r="X28" s="196" t="str">
        <f t="shared" si="17"/>
        <v>-</v>
      </c>
      <c r="Y28" s="191" t="str">
        <f t="shared" si="5"/>
        <v>-</v>
      </c>
      <c r="Z28" s="191" t="str">
        <f t="shared" si="6"/>
        <v>-</v>
      </c>
      <c r="AA28" s="197" t="str">
        <f t="shared" si="7"/>
        <v>-</v>
      </c>
      <c r="AB28" s="5"/>
      <c r="AC28" s="195" t="str">
        <f t="shared" si="8"/>
        <v>-</v>
      </c>
      <c r="AD28" s="90" t="str">
        <f t="shared" si="9"/>
        <v>-</v>
      </c>
      <c r="AE28" s="92" t="str">
        <f t="shared" si="10"/>
        <v>-</v>
      </c>
      <c r="AF28" s="92" t="str">
        <f t="shared" si="11"/>
        <v>-</v>
      </c>
      <c r="AG28" s="92" t="str">
        <f t="shared" si="12"/>
        <v>-</v>
      </c>
      <c r="AH28" s="92" t="str">
        <f t="shared" si="13"/>
        <v>-</v>
      </c>
      <c r="AI28" s="198" t="str">
        <f t="shared" si="14"/>
        <v>-</v>
      </c>
    </row>
    <row r="29" spans="1:35" ht="15" customHeight="1">
      <c r="A29" s="8"/>
      <c r="B29" s="88">
        <v>10</v>
      </c>
      <c r="C29" s="191" t="str">
        <f>IF(10&gt;N_1,"-",IF(ISNUMBER(F29),MAX(ROUND(Cp/Cpp*U29/'Pre-Test'!$U$46*Tr_1*4/N_1,0)/4,2)+C28,"-"))</f>
        <v>-</v>
      </c>
      <c r="D29" s="365"/>
      <c r="E29" s="347"/>
      <c r="F29" s="89"/>
      <c r="G29" s="192"/>
      <c r="H29" s="192"/>
      <c r="I29" s="193"/>
      <c r="J29" s="90" t="str">
        <f t="shared" si="15"/>
        <v>-</v>
      </c>
      <c r="K29" s="89"/>
      <c r="L29" s="193"/>
      <c r="M29" s="193"/>
      <c r="N29" s="193"/>
      <c r="O29" s="193"/>
      <c r="P29" s="194" t="str">
        <f t="shared" si="16"/>
        <v>-</v>
      </c>
      <c r="Q29" s="191" t="str">
        <f t="shared" si="0"/>
        <v>-</v>
      </c>
      <c r="R29" s="191" t="str">
        <f t="shared" si="1"/>
        <v>-</v>
      </c>
      <c r="S29" s="12"/>
      <c r="T29" s="5"/>
      <c r="U29" s="195" t="str">
        <f t="shared" si="2"/>
        <v>-</v>
      </c>
      <c r="V29" s="92" t="str">
        <f t="shared" si="3"/>
        <v>-</v>
      </c>
      <c r="W29" s="196" t="str">
        <f t="shared" si="4"/>
        <v>-</v>
      </c>
      <c r="X29" s="196" t="str">
        <f t="shared" si="17"/>
        <v>-</v>
      </c>
      <c r="Y29" s="191" t="str">
        <f t="shared" si="5"/>
        <v>-</v>
      </c>
      <c r="Z29" s="191" t="str">
        <f t="shared" si="6"/>
        <v>-</v>
      </c>
      <c r="AA29" s="197" t="str">
        <f t="shared" si="7"/>
        <v>-</v>
      </c>
      <c r="AB29" s="5"/>
      <c r="AC29" s="195" t="str">
        <f t="shared" si="8"/>
        <v>-</v>
      </c>
      <c r="AD29" s="90" t="str">
        <f t="shared" si="9"/>
        <v>-</v>
      </c>
      <c r="AE29" s="92" t="str">
        <f t="shared" si="10"/>
        <v>-</v>
      </c>
      <c r="AF29" s="92" t="str">
        <f t="shared" si="11"/>
        <v>-</v>
      </c>
      <c r="AG29" s="92" t="str">
        <f t="shared" si="12"/>
        <v>-</v>
      </c>
      <c r="AH29" s="92" t="str">
        <f t="shared" si="13"/>
        <v>-</v>
      </c>
      <c r="AI29" s="198" t="str">
        <f t="shared" si="14"/>
        <v>-</v>
      </c>
    </row>
    <row r="30" spans="1:35" ht="15" customHeight="1">
      <c r="A30" s="8"/>
      <c r="B30" s="88">
        <v>11</v>
      </c>
      <c r="C30" s="191" t="str">
        <f>IF(11&gt;N_1,"-",IF(ISNUMBER(F30),MAX(ROUND(Cp/Cpp*U30/'Pre-Test'!$U$46*Tr_1*4/N_1,0)/4,2)+C29,"-"))</f>
        <v>-</v>
      </c>
      <c r="D30" s="365"/>
      <c r="E30" s="347"/>
      <c r="F30" s="89"/>
      <c r="G30" s="192"/>
      <c r="H30" s="192"/>
      <c r="I30" s="193"/>
      <c r="J30" s="90" t="str">
        <f t="shared" si="15"/>
        <v>-</v>
      </c>
      <c r="K30" s="89"/>
      <c r="L30" s="193"/>
      <c r="M30" s="193"/>
      <c r="N30" s="193"/>
      <c r="O30" s="193"/>
      <c r="P30" s="194" t="str">
        <f t="shared" si="16"/>
        <v>-</v>
      </c>
      <c r="Q30" s="191" t="str">
        <f t="shared" si="0"/>
        <v>-</v>
      </c>
      <c r="R30" s="191" t="str">
        <f t="shared" si="1"/>
        <v>-</v>
      </c>
      <c r="S30" s="12"/>
      <c r="T30" s="5"/>
      <c r="U30" s="195" t="str">
        <f t="shared" si="2"/>
        <v>-</v>
      </c>
      <c r="V30" s="92" t="str">
        <f t="shared" si="3"/>
        <v>-</v>
      </c>
      <c r="W30" s="196" t="str">
        <f t="shared" si="4"/>
        <v>-</v>
      </c>
      <c r="X30" s="196" t="str">
        <f t="shared" si="17"/>
        <v>-</v>
      </c>
      <c r="Y30" s="191" t="str">
        <f t="shared" si="5"/>
        <v>-</v>
      </c>
      <c r="Z30" s="191" t="str">
        <f t="shared" si="6"/>
        <v>-</v>
      </c>
      <c r="AA30" s="197" t="str">
        <f t="shared" si="7"/>
        <v>-</v>
      </c>
      <c r="AB30" s="5"/>
      <c r="AC30" s="195" t="str">
        <f t="shared" si="8"/>
        <v>-</v>
      </c>
      <c r="AD30" s="90" t="str">
        <f t="shared" si="9"/>
        <v>-</v>
      </c>
      <c r="AE30" s="92" t="str">
        <f t="shared" si="10"/>
        <v>-</v>
      </c>
      <c r="AF30" s="92" t="str">
        <f t="shared" si="11"/>
        <v>-</v>
      </c>
      <c r="AG30" s="92" t="str">
        <f t="shared" si="12"/>
        <v>-</v>
      </c>
      <c r="AH30" s="92" t="str">
        <f t="shared" si="13"/>
        <v>-</v>
      </c>
      <c r="AI30" s="198" t="str">
        <f t="shared" si="14"/>
        <v>-</v>
      </c>
    </row>
    <row r="31" spans="1:35" ht="15" customHeight="1">
      <c r="A31" s="8"/>
      <c r="B31" s="88">
        <v>12</v>
      </c>
      <c r="C31" s="191" t="str">
        <f>IF(12&gt;N_1,"-",IF(ISNUMBER(F31),MAX(ROUND(Cp/Cpp*U31/'Pre-Test'!$U$46*Tr_1*4/N_1,0)/4,2)+C30,"-"))</f>
        <v>-</v>
      </c>
      <c r="D31" s="365"/>
      <c r="E31" s="347"/>
      <c r="F31" s="89"/>
      <c r="G31" s="192"/>
      <c r="H31" s="192"/>
      <c r="I31" s="193"/>
      <c r="J31" s="90" t="str">
        <f t="shared" si="15"/>
        <v>-</v>
      </c>
      <c r="K31" s="89"/>
      <c r="L31" s="193"/>
      <c r="M31" s="193"/>
      <c r="N31" s="193"/>
      <c r="O31" s="193"/>
      <c r="P31" s="194" t="str">
        <f t="shared" si="16"/>
        <v>-</v>
      </c>
      <c r="Q31" s="191" t="str">
        <f t="shared" si="0"/>
        <v>-</v>
      </c>
      <c r="R31" s="191" t="str">
        <f t="shared" si="1"/>
        <v>-</v>
      </c>
      <c r="S31" s="12"/>
      <c r="T31" s="5"/>
      <c r="U31" s="195" t="str">
        <f t="shared" si="2"/>
        <v>-</v>
      </c>
      <c r="V31" s="92" t="str">
        <f t="shared" si="3"/>
        <v>-</v>
      </c>
      <c r="W31" s="196" t="str">
        <f t="shared" si="4"/>
        <v>-</v>
      </c>
      <c r="X31" s="196" t="str">
        <f t="shared" si="17"/>
        <v>-</v>
      </c>
      <c r="Y31" s="191" t="str">
        <f t="shared" si="5"/>
        <v>-</v>
      </c>
      <c r="Z31" s="191" t="str">
        <f t="shared" si="6"/>
        <v>-</v>
      </c>
      <c r="AA31" s="197" t="str">
        <f t="shared" si="7"/>
        <v>-</v>
      </c>
      <c r="AB31" s="5"/>
      <c r="AC31" s="195" t="str">
        <f t="shared" si="8"/>
        <v>-</v>
      </c>
      <c r="AD31" s="90" t="str">
        <f t="shared" si="9"/>
        <v>-</v>
      </c>
      <c r="AE31" s="92" t="str">
        <f t="shared" si="10"/>
        <v>-</v>
      </c>
      <c r="AF31" s="92" t="str">
        <f t="shared" si="11"/>
        <v>-</v>
      </c>
      <c r="AG31" s="92" t="str">
        <f t="shared" si="12"/>
        <v>-</v>
      </c>
      <c r="AH31" s="92" t="str">
        <f t="shared" si="13"/>
        <v>-</v>
      </c>
      <c r="AI31" s="198" t="str">
        <f t="shared" si="14"/>
        <v>-</v>
      </c>
    </row>
    <row r="32" spans="1:35" ht="15" customHeight="1">
      <c r="A32" s="8"/>
      <c r="B32" s="88">
        <v>13</v>
      </c>
      <c r="C32" s="191" t="str">
        <f>IF(13&gt;N_1,"-",IF(ISNUMBER(F32),MAX(ROUND(Cp/Cpp*U32/'Pre-Test'!$U$46*Tr_1*4/N_1,0)/4,2)+C31,"-"))</f>
        <v>-</v>
      </c>
      <c r="D32" s="365"/>
      <c r="E32" s="347"/>
      <c r="F32" s="89"/>
      <c r="G32" s="192"/>
      <c r="H32" s="192"/>
      <c r="I32" s="193"/>
      <c r="J32" s="90" t="str">
        <f t="shared" si="15"/>
        <v>-</v>
      </c>
      <c r="K32" s="89"/>
      <c r="L32" s="193"/>
      <c r="M32" s="193"/>
      <c r="N32" s="193"/>
      <c r="O32" s="193"/>
      <c r="P32" s="194" t="str">
        <f t="shared" si="16"/>
        <v>-</v>
      </c>
      <c r="Q32" s="191" t="str">
        <f t="shared" si="0"/>
        <v>-</v>
      </c>
      <c r="R32" s="191" t="str">
        <f t="shared" si="1"/>
        <v>-</v>
      </c>
      <c r="S32" s="12"/>
      <c r="T32" s="5"/>
      <c r="U32" s="195" t="str">
        <f t="shared" si="2"/>
        <v>-</v>
      </c>
      <c r="V32" s="92" t="str">
        <f t="shared" si="3"/>
        <v>-</v>
      </c>
      <c r="W32" s="196" t="str">
        <f t="shared" si="4"/>
        <v>-</v>
      </c>
      <c r="X32" s="196" t="str">
        <f t="shared" si="17"/>
        <v>-</v>
      </c>
      <c r="Y32" s="191" t="str">
        <f t="shared" si="5"/>
        <v>-</v>
      </c>
      <c r="Z32" s="191" t="str">
        <f t="shared" si="6"/>
        <v>-</v>
      </c>
      <c r="AA32" s="197" t="str">
        <f t="shared" si="7"/>
        <v>-</v>
      </c>
      <c r="AB32" s="5"/>
      <c r="AC32" s="195" t="str">
        <f t="shared" si="8"/>
        <v>-</v>
      </c>
      <c r="AD32" s="90" t="str">
        <f t="shared" si="9"/>
        <v>-</v>
      </c>
      <c r="AE32" s="92" t="str">
        <f t="shared" si="10"/>
        <v>-</v>
      </c>
      <c r="AF32" s="92" t="str">
        <f t="shared" si="11"/>
        <v>-</v>
      </c>
      <c r="AG32" s="92" t="str">
        <f t="shared" si="12"/>
        <v>-</v>
      </c>
      <c r="AH32" s="92" t="str">
        <f t="shared" si="13"/>
        <v>-</v>
      </c>
      <c r="AI32" s="198" t="str">
        <f t="shared" si="14"/>
        <v>-</v>
      </c>
    </row>
    <row r="33" spans="1:35" ht="15" customHeight="1">
      <c r="A33" s="8"/>
      <c r="B33" s="88">
        <v>14</v>
      </c>
      <c r="C33" s="191" t="str">
        <f>IF(14&gt;N_1,"-",IF(ISNUMBER(F33),MAX(ROUND(Cp/Cpp*U33/'Pre-Test'!$U$46*Tr_1*4/N_1,0)/4,2)+C32,"-"))</f>
        <v>-</v>
      </c>
      <c r="D33" s="365"/>
      <c r="E33" s="347"/>
      <c r="F33" s="89"/>
      <c r="G33" s="192"/>
      <c r="H33" s="192"/>
      <c r="I33" s="193"/>
      <c r="J33" s="90" t="str">
        <f t="shared" si="15"/>
        <v>-</v>
      </c>
      <c r="K33" s="89"/>
      <c r="L33" s="193"/>
      <c r="M33" s="193"/>
      <c r="N33" s="193"/>
      <c r="O33" s="193"/>
      <c r="P33" s="194" t="str">
        <f t="shared" si="16"/>
        <v>-</v>
      </c>
      <c r="Q33" s="191" t="str">
        <f t="shared" si="0"/>
        <v>-</v>
      </c>
      <c r="R33" s="191" t="str">
        <f t="shared" si="1"/>
        <v>-</v>
      </c>
      <c r="S33" s="12"/>
      <c r="T33" s="5"/>
      <c r="U33" s="195" t="str">
        <f t="shared" si="2"/>
        <v>-</v>
      </c>
      <c r="V33" s="92" t="str">
        <f t="shared" si="3"/>
        <v>-</v>
      </c>
      <c r="W33" s="196" t="str">
        <f t="shared" si="4"/>
        <v>-</v>
      </c>
      <c r="X33" s="196" t="str">
        <f t="shared" si="17"/>
        <v>-</v>
      </c>
      <c r="Y33" s="191" t="str">
        <f t="shared" si="5"/>
        <v>-</v>
      </c>
      <c r="Z33" s="191" t="str">
        <f t="shared" si="6"/>
        <v>-</v>
      </c>
      <c r="AA33" s="197" t="str">
        <f t="shared" si="7"/>
        <v>-</v>
      </c>
      <c r="AB33" s="5"/>
      <c r="AC33" s="195" t="str">
        <f t="shared" si="8"/>
        <v>-</v>
      </c>
      <c r="AD33" s="90" t="str">
        <f t="shared" si="9"/>
        <v>-</v>
      </c>
      <c r="AE33" s="92" t="str">
        <f t="shared" si="10"/>
        <v>-</v>
      </c>
      <c r="AF33" s="92" t="str">
        <f t="shared" si="11"/>
        <v>-</v>
      </c>
      <c r="AG33" s="92" t="str">
        <f t="shared" si="12"/>
        <v>-</v>
      </c>
      <c r="AH33" s="92" t="str">
        <f t="shared" si="13"/>
        <v>-</v>
      </c>
      <c r="AI33" s="198" t="str">
        <f t="shared" si="14"/>
        <v>-</v>
      </c>
    </row>
    <row r="34" spans="1:35" ht="15" customHeight="1">
      <c r="A34" s="8"/>
      <c r="B34" s="88">
        <v>15</v>
      </c>
      <c r="C34" s="191" t="str">
        <f>IF(15&gt;N_1,"-",IF(ISNUMBER(F34),MAX(ROUND(Cp/Cpp*U34/'Pre-Test'!$U$46*Tr_1*4/N_1,0)/4,2)+C33,"-"))</f>
        <v>-</v>
      </c>
      <c r="D34" s="365"/>
      <c r="E34" s="347"/>
      <c r="F34" s="89"/>
      <c r="G34" s="192"/>
      <c r="H34" s="192"/>
      <c r="I34" s="193"/>
      <c r="J34" s="90" t="str">
        <f t="shared" si="15"/>
        <v>-</v>
      </c>
      <c r="K34" s="89"/>
      <c r="L34" s="193"/>
      <c r="M34" s="193"/>
      <c r="N34" s="193"/>
      <c r="O34" s="193"/>
      <c r="P34" s="194" t="str">
        <f t="shared" si="16"/>
        <v>-</v>
      </c>
      <c r="Q34" s="191" t="str">
        <f t="shared" si="0"/>
        <v>-</v>
      </c>
      <c r="R34" s="191" t="str">
        <f t="shared" si="1"/>
        <v>-</v>
      </c>
      <c r="S34" s="12"/>
      <c r="T34" s="5"/>
      <c r="U34" s="195" t="str">
        <f t="shared" si="2"/>
        <v>-</v>
      </c>
      <c r="V34" s="92" t="str">
        <f t="shared" si="3"/>
        <v>-</v>
      </c>
      <c r="W34" s="196" t="str">
        <f t="shared" si="4"/>
        <v>-</v>
      </c>
      <c r="X34" s="196" t="str">
        <f t="shared" si="17"/>
        <v>-</v>
      </c>
      <c r="Y34" s="191" t="str">
        <f t="shared" si="5"/>
        <v>-</v>
      </c>
      <c r="Z34" s="191" t="str">
        <f t="shared" si="6"/>
        <v>-</v>
      </c>
      <c r="AA34" s="197" t="str">
        <f t="shared" si="7"/>
        <v>-</v>
      </c>
      <c r="AB34" s="5"/>
      <c r="AC34" s="195" t="str">
        <f t="shared" si="8"/>
        <v>-</v>
      </c>
      <c r="AD34" s="90" t="str">
        <f t="shared" si="9"/>
        <v>-</v>
      </c>
      <c r="AE34" s="92" t="str">
        <f t="shared" si="10"/>
        <v>-</v>
      </c>
      <c r="AF34" s="92" t="str">
        <f t="shared" si="11"/>
        <v>-</v>
      </c>
      <c r="AG34" s="92" t="str">
        <f t="shared" si="12"/>
        <v>-</v>
      </c>
      <c r="AH34" s="92" t="str">
        <f t="shared" si="13"/>
        <v>-</v>
      </c>
      <c r="AI34" s="198" t="str">
        <f t="shared" si="14"/>
        <v>-</v>
      </c>
    </row>
    <row r="35" spans="1:35" ht="15" customHeight="1">
      <c r="A35" s="8"/>
      <c r="B35" s="88">
        <v>16</v>
      </c>
      <c r="C35" s="191" t="str">
        <f>IF(16&gt;N_1,"-",IF(ISNUMBER(F35),MAX(ROUND(Cp/Cpp*U35/'Pre-Test'!$U$46*Tr_1*4/N_1,0)/4,2)+C34,"-"))</f>
        <v>-</v>
      </c>
      <c r="D35" s="365"/>
      <c r="E35" s="347"/>
      <c r="F35" s="89"/>
      <c r="G35" s="192"/>
      <c r="H35" s="192"/>
      <c r="I35" s="193"/>
      <c r="J35" s="90" t="str">
        <f t="shared" si="15"/>
        <v>-</v>
      </c>
      <c r="K35" s="89"/>
      <c r="L35" s="193"/>
      <c r="M35" s="193"/>
      <c r="N35" s="193"/>
      <c r="O35" s="193"/>
      <c r="P35" s="194" t="str">
        <f t="shared" si="16"/>
        <v>-</v>
      </c>
      <c r="Q35" s="191" t="str">
        <f t="shared" si="0"/>
        <v>-</v>
      </c>
      <c r="R35" s="191" t="str">
        <f t="shared" si="1"/>
        <v>-</v>
      </c>
      <c r="S35" s="12"/>
      <c r="T35" s="5"/>
      <c r="U35" s="195" t="str">
        <f t="shared" si="2"/>
        <v>-</v>
      </c>
      <c r="V35" s="92" t="str">
        <f t="shared" si="3"/>
        <v>-</v>
      </c>
      <c r="W35" s="196" t="str">
        <f t="shared" si="4"/>
        <v>-</v>
      </c>
      <c r="X35" s="196" t="str">
        <f t="shared" si="17"/>
        <v>-</v>
      </c>
      <c r="Y35" s="191" t="str">
        <f t="shared" si="5"/>
        <v>-</v>
      </c>
      <c r="Z35" s="191" t="str">
        <f t="shared" si="6"/>
        <v>-</v>
      </c>
      <c r="AA35" s="197" t="str">
        <f t="shared" si="7"/>
        <v>-</v>
      </c>
      <c r="AB35" s="5"/>
      <c r="AC35" s="195" t="str">
        <f t="shared" si="8"/>
        <v>-</v>
      </c>
      <c r="AD35" s="90" t="str">
        <f t="shared" si="9"/>
        <v>-</v>
      </c>
      <c r="AE35" s="92" t="str">
        <f t="shared" si="10"/>
        <v>-</v>
      </c>
      <c r="AF35" s="92" t="str">
        <f t="shared" si="11"/>
        <v>-</v>
      </c>
      <c r="AG35" s="92" t="str">
        <f t="shared" si="12"/>
        <v>-</v>
      </c>
      <c r="AH35" s="92" t="str">
        <f t="shared" si="13"/>
        <v>-</v>
      </c>
      <c r="AI35" s="198" t="str">
        <f t="shared" si="14"/>
        <v>-</v>
      </c>
    </row>
    <row r="36" spans="1:35" ht="15" customHeight="1">
      <c r="A36" s="8"/>
      <c r="B36" s="88">
        <v>17</v>
      </c>
      <c r="C36" s="191" t="str">
        <f>IF(17&gt;N_1,"-",IF(ISNUMBER(F36),MAX(ROUND(Cp/Cpp*U36/'Pre-Test'!$U$46*Tr_1*4/N_1,0)/4,2)+C35,"-"))</f>
        <v>-</v>
      </c>
      <c r="D36" s="365"/>
      <c r="E36" s="347"/>
      <c r="F36" s="89"/>
      <c r="G36" s="192"/>
      <c r="H36" s="192"/>
      <c r="I36" s="193"/>
      <c r="J36" s="90" t="str">
        <f t="shared" si="15"/>
        <v>-</v>
      </c>
      <c r="K36" s="89"/>
      <c r="L36" s="193"/>
      <c r="M36" s="193"/>
      <c r="N36" s="193"/>
      <c r="O36" s="193"/>
      <c r="P36" s="194" t="str">
        <f t="shared" si="16"/>
        <v>-</v>
      </c>
      <c r="Q36" s="191" t="str">
        <f t="shared" si="0"/>
        <v>-</v>
      </c>
      <c r="R36" s="191" t="str">
        <f t="shared" si="1"/>
        <v>-</v>
      </c>
      <c r="S36" s="12"/>
      <c r="T36" s="5"/>
      <c r="U36" s="195" t="str">
        <f t="shared" si="2"/>
        <v>-</v>
      </c>
      <c r="V36" s="92" t="str">
        <f t="shared" si="3"/>
        <v>-</v>
      </c>
      <c r="W36" s="196" t="str">
        <f t="shared" si="4"/>
        <v>-</v>
      </c>
      <c r="X36" s="196" t="str">
        <f t="shared" si="17"/>
        <v>-</v>
      </c>
      <c r="Y36" s="191" t="str">
        <f t="shared" si="5"/>
        <v>-</v>
      </c>
      <c r="Z36" s="191" t="str">
        <f t="shared" si="6"/>
        <v>-</v>
      </c>
      <c r="AA36" s="197" t="str">
        <f t="shared" si="7"/>
        <v>-</v>
      </c>
      <c r="AB36" s="5"/>
      <c r="AC36" s="195" t="str">
        <f t="shared" si="8"/>
        <v>-</v>
      </c>
      <c r="AD36" s="90" t="str">
        <f t="shared" si="9"/>
        <v>-</v>
      </c>
      <c r="AE36" s="92" t="str">
        <f t="shared" si="10"/>
        <v>-</v>
      </c>
      <c r="AF36" s="92" t="str">
        <f t="shared" si="11"/>
        <v>-</v>
      </c>
      <c r="AG36" s="92" t="str">
        <f t="shared" si="12"/>
        <v>-</v>
      </c>
      <c r="AH36" s="92" t="str">
        <f t="shared" si="13"/>
        <v>-</v>
      </c>
      <c r="AI36" s="198" t="str">
        <f t="shared" si="14"/>
        <v>-</v>
      </c>
    </row>
    <row r="37" spans="1:35" ht="15" customHeight="1">
      <c r="A37" s="8"/>
      <c r="B37" s="88">
        <v>18</v>
      </c>
      <c r="C37" s="191" t="str">
        <f>IF(18&gt;N_1,"-",IF(ISNUMBER(F37),MAX(ROUND(Cp/Cpp*U37/'Pre-Test'!$U$46*Tr_1*4/N_1,0)/4,2)+C36,"-"))</f>
        <v>-</v>
      </c>
      <c r="D37" s="365"/>
      <c r="E37" s="347"/>
      <c r="F37" s="89"/>
      <c r="G37" s="192"/>
      <c r="H37" s="192"/>
      <c r="I37" s="193"/>
      <c r="J37" s="90" t="str">
        <f t="shared" si="15"/>
        <v>-</v>
      </c>
      <c r="K37" s="89"/>
      <c r="L37" s="193"/>
      <c r="M37" s="193"/>
      <c r="N37" s="193"/>
      <c r="O37" s="193"/>
      <c r="P37" s="194" t="str">
        <f t="shared" si="16"/>
        <v>-</v>
      </c>
      <c r="Q37" s="191" t="str">
        <f t="shared" si="0"/>
        <v>-</v>
      </c>
      <c r="R37" s="191" t="str">
        <f t="shared" si="1"/>
        <v>-</v>
      </c>
      <c r="S37" s="12"/>
      <c r="T37" s="5"/>
      <c r="U37" s="195" t="str">
        <f t="shared" si="2"/>
        <v>-</v>
      </c>
      <c r="V37" s="92" t="str">
        <f t="shared" si="3"/>
        <v>-</v>
      </c>
      <c r="W37" s="196" t="str">
        <f t="shared" si="4"/>
        <v>-</v>
      </c>
      <c r="X37" s="196" t="str">
        <f t="shared" si="17"/>
        <v>-</v>
      </c>
      <c r="Y37" s="191" t="str">
        <f t="shared" si="5"/>
        <v>-</v>
      </c>
      <c r="Z37" s="191" t="str">
        <f t="shared" si="6"/>
        <v>-</v>
      </c>
      <c r="AA37" s="197" t="str">
        <f t="shared" si="7"/>
        <v>-</v>
      </c>
      <c r="AB37" s="5"/>
      <c r="AC37" s="195" t="str">
        <f t="shared" si="8"/>
        <v>-</v>
      </c>
      <c r="AD37" s="90" t="str">
        <f t="shared" si="9"/>
        <v>-</v>
      </c>
      <c r="AE37" s="92" t="str">
        <f t="shared" si="10"/>
        <v>-</v>
      </c>
      <c r="AF37" s="92" t="str">
        <f t="shared" si="11"/>
        <v>-</v>
      </c>
      <c r="AG37" s="92" t="str">
        <f t="shared" si="12"/>
        <v>-</v>
      </c>
      <c r="AH37" s="92" t="str">
        <f t="shared" si="13"/>
        <v>-</v>
      </c>
      <c r="AI37" s="198" t="str">
        <f t="shared" si="14"/>
        <v>-</v>
      </c>
    </row>
    <row r="38" spans="1:35" ht="15" customHeight="1">
      <c r="A38" s="8"/>
      <c r="B38" s="88">
        <v>19</v>
      </c>
      <c r="C38" s="191" t="str">
        <f>IF(19&gt;N_1,"-",IF(ISNUMBER(F38),MAX(ROUND(Cp/Cpp*U38/'Pre-Test'!$U$46*Tr_1*4/N_1,0)/4,2)+C37,"-"))</f>
        <v>-</v>
      </c>
      <c r="D38" s="365"/>
      <c r="E38" s="347"/>
      <c r="F38" s="89"/>
      <c r="G38" s="192"/>
      <c r="H38" s="192"/>
      <c r="I38" s="193"/>
      <c r="J38" s="90" t="str">
        <f t="shared" si="15"/>
        <v>-</v>
      </c>
      <c r="K38" s="89"/>
      <c r="L38" s="193"/>
      <c r="M38" s="193"/>
      <c r="N38" s="193"/>
      <c r="O38" s="193"/>
      <c r="P38" s="194" t="str">
        <f t="shared" si="16"/>
        <v>-</v>
      </c>
      <c r="Q38" s="191" t="str">
        <f t="shared" si="0"/>
        <v>-</v>
      </c>
      <c r="R38" s="191" t="str">
        <f t="shared" si="1"/>
        <v>-</v>
      </c>
      <c r="S38" s="12"/>
      <c r="T38" s="5"/>
      <c r="U38" s="195" t="str">
        <f t="shared" si="2"/>
        <v>-</v>
      </c>
      <c r="V38" s="92" t="str">
        <f t="shared" si="3"/>
        <v>-</v>
      </c>
      <c r="W38" s="196" t="str">
        <f t="shared" si="4"/>
        <v>-</v>
      </c>
      <c r="X38" s="196" t="str">
        <f t="shared" si="17"/>
        <v>-</v>
      </c>
      <c r="Y38" s="191" t="str">
        <f t="shared" si="5"/>
        <v>-</v>
      </c>
      <c r="Z38" s="191" t="str">
        <f t="shared" si="6"/>
        <v>-</v>
      </c>
      <c r="AA38" s="197" t="str">
        <f t="shared" si="7"/>
        <v>-</v>
      </c>
      <c r="AB38" s="5"/>
      <c r="AC38" s="195" t="str">
        <f t="shared" si="8"/>
        <v>-</v>
      </c>
      <c r="AD38" s="90" t="str">
        <f t="shared" si="9"/>
        <v>-</v>
      </c>
      <c r="AE38" s="92" t="str">
        <f t="shared" si="10"/>
        <v>-</v>
      </c>
      <c r="AF38" s="92" t="str">
        <f t="shared" si="11"/>
        <v>-</v>
      </c>
      <c r="AG38" s="92" t="str">
        <f t="shared" si="12"/>
        <v>-</v>
      </c>
      <c r="AH38" s="92" t="str">
        <f t="shared" si="13"/>
        <v>-</v>
      </c>
      <c r="AI38" s="198" t="str">
        <f t="shared" si="14"/>
        <v>-</v>
      </c>
    </row>
    <row r="39" spans="1:35" ht="15" customHeight="1">
      <c r="A39" s="8"/>
      <c r="B39" s="88">
        <v>20</v>
      </c>
      <c r="C39" s="191" t="str">
        <f>IF(20&gt;N_1,"-",IF(ISNUMBER(F39),MAX(ROUND(Cp/Cpp*U39/'Pre-Test'!$U$46*Tr_1*4/N_1,0)/4,2)+C38,"-"))</f>
        <v>-</v>
      </c>
      <c r="D39" s="365"/>
      <c r="E39" s="347"/>
      <c r="F39" s="89"/>
      <c r="G39" s="192"/>
      <c r="H39" s="192"/>
      <c r="I39" s="193"/>
      <c r="J39" s="90" t="str">
        <f t="shared" si="15"/>
        <v>-</v>
      </c>
      <c r="K39" s="89"/>
      <c r="L39" s="193"/>
      <c r="M39" s="193"/>
      <c r="N39" s="193"/>
      <c r="O39" s="193"/>
      <c r="P39" s="194" t="str">
        <f t="shared" si="16"/>
        <v>-</v>
      </c>
      <c r="Q39" s="191" t="str">
        <f t="shared" si="0"/>
        <v>-</v>
      </c>
      <c r="R39" s="191" t="str">
        <f t="shared" si="1"/>
        <v>-</v>
      </c>
      <c r="S39" s="12"/>
      <c r="T39" s="5"/>
      <c r="U39" s="195" t="str">
        <f t="shared" si="2"/>
        <v>-</v>
      </c>
      <c r="V39" s="92" t="str">
        <f t="shared" si="3"/>
        <v>-</v>
      </c>
      <c r="W39" s="196" t="str">
        <f t="shared" si="4"/>
        <v>-</v>
      </c>
      <c r="X39" s="196" t="str">
        <f t="shared" si="17"/>
        <v>-</v>
      </c>
      <c r="Y39" s="191" t="str">
        <f t="shared" si="5"/>
        <v>-</v>
      </c>
      <c r="Z39" s="191" t="str">
        <f t="shared" si="6"/>
        <v>-</v>
      </c>
      <c r="AA39" s="197" t="str">
        <f t="shared" si="7"/>
        <v>-</v>
      </c>
      <c r="AB39" s="5"/>
      <c r="AC39" s="195" t="str">
        <f t="shared" si="8"/>
        <v>-</v>
      </c>
      <c r="AD39" s="90" t="str">
        <f t="shared" si="9"/>
        <v>-</v>
      </c>
      <c r="AE39" s="92" t="str">
        <f t="shared" si="10"/>
        <v>-</v>
      </c>
      <c r="AF39" s="92" t="str">
        <f t="shared" si="11"/>
        <v>-</v>
      </c>
      <c r="AG39" s="92" t="str">
        <f t="shared" si="12"/>
        <v>-</v>
      </c>
      <c r="AH39" s="92" t="str">
        <f t="shared" si="13"/>
        <v>-</v>
      </c>
      <c r="AI39" s="198" t="str">
        <f t="shared" si="14"/>
        <v>-</v>
      </c>
    </row>
    <row r="40" spans="1:35" ht="15" customHeight="1">
      <c r="A40" s="8"/>
      <c r="B40" s="88">
        <v>21</v>
      </c>
      <c r="C40" s="191" t="str">
        <f>IF(21&gt;N_1,"-",IF(ISNUMBER(F40),MAX(ROUND(Cp/Cpp*U40/'Pre-Test'!$U$46*Tr_1*4/N_1,0)/4,2)+C39,"-"))</f>
        <v>-</v>
      </c>
      <c r="D40" s="365"/>
      <c r="E40" s="347"/>
      <c r="F40" s="89"/>
      <c r="G40" s="192"/>
      <c r="H40" s="192"/>
      <c r="I40" s="193"/>
      <c r="J40" s="90" t="str">
        <f t="shared" si="15"/>
        <v>-</v>
      </c>
      <c r="K40" s="89"/>
      <c r="L40" s="193"/>
      <c r="M40" s="193"/>
      <c r="N40" s="193"/>
      <c r="O40" s="193"/>
      <c r="P40" s="194" t="str">
        <f t="shared" si="16"/>
        <v>-</v>
      </c>
      <c r="Q40" s="191" t="str">
        <f t="shared" si="0"/>
        <v>-</v>
      </c>
      <c r="R40" s="191" t="str">
        <f t="shared" si="1"/>
        <v>-</v>
      </c>
      <c r="S40" s="12"/>
      <c r="T40" s="5"/>
      <c r="U40" s="195" t="str">
        <f t="shared" si="2"/>
        <v>-</v>
      </c>
      <c r="V40" s="92" t="str">
        <f t="shared" si="3"/>
        <v>-</v>
      </c>
      <c r="W40" s="196" t="str">
        <f t="shared" si="4"/>
        <v>-</v>
      </c>
      <c r="X40" s="196" t="str">
        <f t="shared" si="17"/>
        <v>-</v>
      </c>
      <c r="Y40" s="191" t="str">
        <f t="shared" si="5"/>
        <v>-</v>
      </c>
      <c r="Z40" s="191" t="str">
        <f t="shared" si="6"/>
        <v>-</v>
      </c>
      <c r="AA40" s="197" t="str">
        <f t="shared" si="7"/>
        <v>-</v>
      </c>
      <c r="AB40" s="5"/>
      <c r="AC40" s="195" t="str">
        <f t="shared" si="8"/>
        <v>-</v>
      </c>
      <c r="AD40" s="90" t="str">
        <f t="shared" si="9"/>
        <v>-</v>
      </c>
      <c r="AE40" s="92" t="str">
        <f t="shared" si="10"/>
        <v>-</v>
      </c>
      <c r="AF40" s="92" t="str">
        <f t="shared" si="11"/>
        <v>-</v>
      </c>
      <c r="AG40" s="92" t="str">
        <f t="shared" si="12"/>
        <v>-</v>
      </c>
      <c r="AH40" s="92" t="str">
        <f t="shared" si="13"/>
        <v>-</v>
      </c>
      <c r="AI40" s="198" t="str">
        <f t="shared" si="14"/>
        <v>-</v>
      </c>
    </row>
    <row r="41" spans="1:35" ht="15" customHeight="1">
      <c r="A41" s="8"/>
      <c r="B41" s="88">
        <v>22</v>
      </c>
      <c r="C41" s="191" t="str">
        <f>IF(22&gt;N_1,"-",IF(ISNUMBER(F41),MAX(ROUND(Cp/Cpp*U41/'Pre-Test'!$U$46*Tr_1*4/N_1,0)/4,2)+C40,"-"))</f>
        <v>-</v>
      </c>
      <c r="D41" s="365"/>
      <c r="E41" s="347"/>
      <c r="F41" s="89"/>
      <c r="G41" s="192"/>
      <c r="H41" s="192"/>
      <c r="I41" s="193"/>
      <c r="J41" s="90" t="str">
        <f t="shared" si="15"/>
        <v>-</v>
      </c>
      <c r="K41" s="89"/>
      <c r="L41" s="193"/>
      <c r="M41" s="193"/>
      <c r="N41" s="193"/>
      <c r="O41" s="193"/>
      <c r="P41" s="194" t="str">
        <f t="shared" si="16"/>
        <v>-</v>
      </c>
      <c r="Q41" s="191" t="str">
        <f t="shared" si="0"/>
        <v>-</v>
      </c>
      <c r="R41" s="191" t="str">
        <f t="shared" si="1"/>
        <v>-</v>
      </c>
      <c r="S41" s="12"/>
      <c r="T41" s="5"/>
      <c r="U41" s="195" t="str">
        <f t="shared" si="2"/>
        <v>-</v>
      </c>
      <c r="V41" s="92" t="str">
        <f t="shared" si="3"/>
        <v>-</v>
      </c>
      <c r="W41" s="196" t="str">
        <f t="shared" si="4"/>
        <v>-</v>
      </c>
      <c r="X41" s="196" t="str">
        <f t="shared" si="17"/>
        <v>-</v>
      </c>
      <c r="Y41" s="191" t="str">
        <f t="shared" si="5"/>
        <v>-</v>
      </c>
      <c r="Z41" s="191" t="str">
        <f t="shared" si="6"/>
        <v>-</v>
      </c>
      <c r="AA41" s="197" t="str">
        <f t="shared" si="7"/>
        <v>-</v>
      </c>
      <c r="AB41" s="5"/>
      <c r="AC41" s="195" t="str">
        <f t="shared" si="8"/>
        <v>-</v>
      </c>
      <c r="AD41" s="90" t="str">
        <f t="shared" si="9"/>
        <v>-</v>
      </c>
      <c r="AE41" s="92" t="str">
        <f t="shared" si="10"/>
        <v>-</v>
      </c>
      <c r="AF41" s="92" t="str">
        <f t="shared" si="11"/>
        <v>-</v>
      </c>
      <c r="AG41" s="92" t="str">
        <f t="shared" si="12"/>
        <v>-</v>
      </c>
      <c r="AH41" s="92" t="str">
        <f t="shared" si="13"/>
        <v>-</v>
      </c>
      <c r="AI41" s="198" t="str">
        <f t="shared" si="14"/>
        <v>-</v>
      </c>
    </row>
    <row r="42" spans="1:35" ht="15" customHeight="1">
      <c r="A42" s="8"/>
      <c r="B42" s="88">
        <v>23</v>
      </c>
      <c r="C42" s="191" t="str">
        <f>IF(23&gt;N_1,"-",IF(ISNUMBER(F42),MAX(ROUND(Cp/Cpp*U42/'Pre-Test'!$U$46*Tr_1*4/N_1,0)/4,2)+C41,"-"))</f>
        <v>-</v>
      </c>
      <c r="D42" s="365"/>
      <c r="E42" s="347"/>
      <c r="F42" s="89"/>
      <c r="G42" s="192"/>
      <c r="H42" s="192"/>
      <c r="I42" s="193"/>
      <c r="J42" s="90" t="str">
        <f t="shared" si="15"/>
        <v>-</v>
      </c>
      <c r="K42" s="89"/>
      <c r="L42" s="193"/>
      <c r="M42" s="193"/>
      <c r="N42" s="193"/>
      <c r="O42" s="193"/>
      <c r="P42" s="194" t="str">
        <f t="shared" si="16"/>
        <v>-</v>
      </c>
      <c r="Q42" s="191" t="str">
        <f t="shared" si="0"/>
        <v>-</v>
      </c>
      <c r="R42" s="191" t="str">
        <f t="shared" si="1"/>
        <v>-</v>
      </c>
      <c r="S42" s="12"/>
      <c r="T42" s="5"/>
      <c r="U42" s="195" t="str">
        <f t="shared" si="2"/>
        <v>-</v>
      </c>
      <c r="V42" s="92" t="str">
        <f t="shared" si="3"/>
        <v>-</v>
      </c>
      <c r="W42" s="196" t="str">
        <f t="shared" si="4"/>
        <v>-</v>
      </c>
      <c r="X42" s="196" t="str">
        <f t="shared" si="17"/>
        <v>-</v>
      </c>
      <c r="Y42" s="191" t="str">
        <f t="shared" si="5"/>
        <v>-</v>
      </c>
      <c r="Z42" s="191" t="str">
        <f t="shared" si="6"/>
        <v>-</v>
      </c>
      <c r="AA42" s="197" t="str">
        <f t="shared" si="7"/>
        <v>-</v>
      </c>
      <c r="AB42" s="5"/>
      <c r="AC42" s="195" t="str">
        <f t="shared" si="8"/>
        <v>-</v>
      </c>
      <c r="AD42" s="90" t="str">
        <f t="shared" si="9"/>
        <v>-</v>
      </c>
      <c r="AE42" s="92" t="str">
        <f t="shared" si="10"/>
        <v>-</v>
      </c>
      <c r="AF42" s="92" t="str">
        <f t="shared" si="11"/>
        <v>-</v>
      </c>
      <c r="AG42" s="92" t="str">
        <f t="shared" si="12"/>
        <v>-</v>
      </c>
      <c r="AH42" s="92" t="str">
        <f t="shared" si="13"/>
        <v>-</v>
      </c>
      <c r="AI42" s="198" t="str">
        <f t="shared" si="14"/>
        <v>-</v>
      </c>
    </row>
    <row r="43" spans="1:35" ht="15" customHeight="1">
      <c r="A43" s="8"/>
      <c r="B43" s="106">
        <v>24</v>
      </c>
      <c r="C43" s="199" t="str">
        <f>IF(24&gt;N_1,"-",IF(ISNUMBER(F43),MAX(ROUND(Cp/Cpp*U43/'Pre-Test'!$U$46*Tr_1*4/N_1,0)/4,2)+C42,"-"))</f>
        <v>-</v>
      </c>
      <c r="D43" s="365"/>
      <c r="E43" s="347"/>
      <c r="F43" s="200"/>
      <c r="G43" s="201"/>
      <c r="H43" s="202"/>
      <c r="I43" s="203"/>
      <c r="J43" s="108" t="str">
        <f t="shared" si="15"/>
        <v>-</v>
      </c>
      <c r="K43" s="98"/>
      <c r="L43" s="203"/>
      <c r="M43" s="203"/>
      <c r="N43" s="203"/>
      <c r="O43" s="203"/>
      <c r="P43" s="204" t="str">
        <f t="shared" si="16"/>
        <v>-</v>
      </c>
      <c r="Q43" s="199" t="str">
        <f t="shared" si="0"/>
        <v>-</v>
      </c>
      <c r="R43" s="199" t="str">
        <f t="shared" si="1"/>
        <v>-</v>
      </c>
      <c r="S43" s="12"/>
      <c r="T43" s="5"/>
      <c r="U43" s="205" t="str">
        <f t="shared" si="2"/>
        <v>-</v>
      </c>
      <c r="V43" s="206" t="str">
        <f t="shared" si="3"/>
        <v>-</v>
      </c>
      <c r="W43" s="207" t="str">
        <f t="shared" si="4"/>
        <v>-</v>
      </c>
      <c r="X43" s="207" t="str">
        <f t="shared" si="17"/>
        <v>-</v>
      </c>
      <c r="Y43" s="208" t="str">
        <f t="shared" si="5"/>
        <v>-</v>
      </c>
      <c r="Z43" s="208" t="str">
        <f t="shared" si="6"/>
        <v>-</v>
      </c>
      <c r="AA43" s="209" t="str">
        <f t="shared" si="7"/>
        <v>-</v>
      </c>
      <c r="AB43" s="5"/>
      <c r="AC43" s="109" t="str">
        <f t="shared" si="8"/>
        <v>-</v>
      </c>
      <c r="AD43" s="108" t="str">
        <f t="shared" si="9"/>
        <v>-</v>
      </c>
      <c r="AE43" s="99" t="str">
        <f t="shared" si="10"/>
        <v>-</v>
      </c>
      <c r="AF43" s="99" t="str">
        <f t="shared" si="11"/>
        <v>-</v>
      </c>
      <c r="AG43" s="99" t="str">
        <f t="shared" si="12"/>
        <v>-</v>
      </c>
      <c r="AH43" s="99" t="str">
        <f t="shared" si="13"/>
        <v>-</v>
      </c>
      <c r="AI43" s="210" t="str">
        <f t="shared" si="14"/>
        <v>-</v>
      </c>
    </row>
    <row r="44" spans="1:35" ht="15" customHeight="1">
      <c r="A44" s="8"/>
      <c r="B44" s="7"/>
      <c r="C44" s="119"/>
      <c r="D44" s="373"/>
      <c r="E44" s="285"/>
      <c r="F44" s="211"/>
      <c r="G44" s="211"/>
      <c r="H44" s="212"/>
      <c r="I44" s="212"/>
      <c r="J44" s="213"/>
      <c r="K44" s="214"/>
      <c r="L44" s="214"/>
      <c r="M44" s="215"/>
      <c r="N44" s="216"/>
      <c r="O44" s="214"/>
      <c r="P44" s="214"/>
      <c r="Q44" s="215"/>
      <c r="R44" s="216"/>
      <c r="S44" s="12"/>
      <c r="T44" s="5"/>
      <c r="U44" s="217" t="str">
        <f t="shared" ref="U44:V44" si="18">IF(ISNUMBER(U20),AVERAGE(U20:U43),"-")</f>
        <v>-</v>
      </c>
      <c r="V44" s="218" t="str">
        <f t="shared" si="18"/>
        <v>-</v>
      </c>
      <c r="W44" s="219" t="str">
        <f t="shared" ref="W44:X44" si="19">IF(ISNUMBER(W20),SUM(W20:W43),"-")</f>
        <v>-</v>
      </c>
      <c r="X44" s="219" t="str">
        <f t="shared" si="19"/>
        <v>-</v>
      </c>
      <c r="Y44" s="220" t="str">
        <f t="shared" ref="Y44:AA44" si="20">IF(ISNUMBER(Y20),AVERAGE(Y20:Y43),"-")</f>
        <v>-</v>
      </c>
      <c r="Z44" s="220" t="str">
        <f t="shared" si="20"/>
        <v>-</v>
      </c>
      <c r="AA44" s="221" t="str">
        <f t="shared" si="20"/>
        <v>-</v>
      </c>
      <c r="AB44" s="222" t="s">
        <v>192</v>
      </c>
      <c r="AC44" s="5"/>
      <c r="AD44" s="5"/>
      <c r="AE44" s="5"/>
      <c r="AF44" s="5"/>
      <c r="AG44" s="5"/>
      <c r="AH44" s="5"/>
      <c r="AI44" s="5"/>
    </row>
    <row r="45" spans="1:35" ht="15" customHeight="1">
      <c r="A45" s="8"/>
      <c r="B45" s="7"/>
      <c r="C45" s="7"/>
      <c r="D45" s="116"/>
      <c r="E45" s="117"/>
      <c r="F45" s="211"/>
      <c r="G45" s="211"/>
      <c r="H45" s="212"/>
      <c r="I45" s="212"/>
      <c r="J45" s="213"/>
      <c r="K45" s="214"/>
      <c r="L45" s="214"/>
      <c r="M45" s="216"/>
      <c r="N45" s="216"/>
      <c r="O45" s="214"/>
      <c r="P45" s="214"/>
      <c r="Q45" s="216"/>
      <c r="R45" s="216"/>
      <c r="S45" s="12"/>
      <c r="T45" s="5"/>
      <c r="U45" s="104"/>
      <c r="V45" s="5"/>
      <c r="W45" s="5"/>
      <c r="X45" s="5"/>
      <c r="Y45" s="5"/>
      <c r="Z45" s="7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5" customHeight="1">
      <c r="A46" s="8"/>
      <c r="B46" s="343" t="s">
        <v>193</v>
      </c>
      <c r="C46" s="301"/>
      <c r="D46" s="370" t="s">
        <v>194</v>
      </c>
      <c r="E46" s="301"/>
      <c r="F46" s="366" t="s">
        <v>195</v>
      </c>
      <c r="G46" s="287"/>
      <c r="H46" s="301"/>
      <c r="I46" s="368" t="s">
        <v>196</v>
      </c>
      <c r="J46" s="310"/>
      <c r="K46" s="368" t="s">
        <v>197</v>
      </c>
      <c r="L46" s="310"/>
      <c r="M46" s="223" t="s">
        <v>198</v>
      </c>
      <c r="N46" s="369" t="s">
        <v>199</v>
      </c>
      <c r="O46" s="301"/>
      <c r="P46" s="370" t="s">
        <v>200</v>
      </c>
      <c r="Q46" s="287"/>
      <c r="R46" s="288"/>
      <c r="S46" s="12"/>
      <c r="T46" s="5"/>
      <c r="U46" s="104"/>
      <c r="V46" s="5"/>
      <c r="W46" s="5"/>
      <c r="X46" s="5"/>
      <c r="Y46" s="5"/>
      <c r="Z46" s="7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7.25" customHeight="1">
      <c r="A47" s="8"/>
      <c r="B47" s="341"/>
      <c r="C47" s="367"/>
      <c r="D47" s="339"/>
      <c r="E47" s="367"/>
      <c r="F47" s="339"/>
      <c r="G47" s="342"/>
      <c r="H47" s="367"/>
      <c r="I47" s="224" t="str">
        <f>IF(ISNUMBER(I48),I48+459.67,"-")</f>
        <v>-</v>
      </c>
      <c r="J47" s="225" t="s">
        <v>149</v>
      </c>
      <c r="K47" s="224" t="str">
        <f>IF(ISNUMBER(K48),K48+459.67,"-")</f>
        <v>-</v>
      </c>
      <c r="L47" s="225" t="s">
        <v>149</v>
      </c>
      <c r="M47" s="226" t="s">
        <v>163</v>
      </c>
      <c r="N47" s="363"/>
      <c r="O47" s="304"/>
      <c r="P47" s="339"/>
      <c r="Q47" s="342"/>
      <c r="R47" s="340"/>
      <c r="S47" s="12"/>
      <c r="T47" s="5"/>
      <c r="U47" s="104"/>
      <c r="V47" s="5"/>
      <c r="W47" s="5"/>
      <c r="X47" s="5"/>
      <c r="Y47" s="5"/>
      <c r="Z47" s="7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8" customHeight="1">
      <c r="A48" s="8"/>
      <c r="B48" s="227" t="str">
        <f>IF(ISNUMBER(C20),MAX(C20:C43),"-")</f>
        <v>-</v>
      </c>
      <c r="C48" s="228" t="s">
        <v>146</v>
      </c>
      <c r="D48" s="229" t="str">
        <f>IF(ISNUMBER(D20),MAX(D20:E44)-MIN(D20:E44),"-")</f>
        <v>-</v>
      </c>
      <c r="E48" s="230" t="s">
        <v>135</v>
      </c>
      <c r="F48" s="229" t="str">
        <f>IF(ISNUMBER(F20),AVERAGE($F$20:$F$43),"-")</f>
        <v>-</v>
      </c>
      <c r="G48" s="371" t="s">
        <v>201</v>
      </c>
      <c r="H48" s="349"/>
      <c r="I48" s="231" t="str">
        <f>IF(ISNUMBER(G20),AVERAGE($G$20:$H$43),"-")</f>
        <v>-</v>
      </c>
      <c r="J48" s="232" t="s">
        <v>60</v>
      </c>
      <c r="K48" s="231" t="str">
        <f>IF(ISNUMBER(I20),AVERAGE($I$20:$I$43),"-")</f>
        <v>-</v>
      </c>
      <c r="L48" s="232" t="s">
        <v>60</v>
      </c>
      <c r="M48" s="233">
        <f>MAX(L20:L43)</f>
        <v>0</v>
      </c>
      <c r="N48" s="234" t="str">
        <f>IF(ISNUMBER(K20),AVERAGE($K$20:$K$43),"-")</f>
        <v>-</v>
      </c>
      <c r="O48" s="235" t="s">
        <v>202</v>
      </c>
      <c r="P48" s="372" t="str">
        <f>IF(ISNUMBER($F$20),85.49*Cp*dPsqavg_1*SQRT(Ts_1/Ps_1/Mwe),"-")</f>
        <v>-</v>
      </c>
      <c r="Q48" s="327"/>
      <c r="R48" s="236" t="s">
        <v>203</v>
      </c>
      <c r="S48" s="12"/>
      <c r="T48" s="5"/>
      <c r="U48" s="104"/>
      <c r="V48" s="5"/>
      <c r="W48" s="5"/>
      <c r="X48" s="5"/>
      <c r="Y48" s="5"/>
      <c r="Z48" s="7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5" customHeight="1">
      <c r="A49" s="8"/>
      <c r="B49" s="237"/>
      <c r="C49" s="5"/>
      <c r="D49" s="5"/>
      <c r="E49" s="5"/>
      <c r="F49" s="5"/>
      <c r="G49" s="6"/>
      <c r="H49" s="5"/>
      <c r="I49" s="238"/>
      <c r="J49" s="6"/>
      <c r="K49" s="238"/>
      <c r="L49" s="5"/>
      <c r="M49" s="5"/>
      <c r="N49" s="5"/>
      <c r="O49" s="5"/>
      <c r="P49" s="5"/>
      <c r="Q49" s="5"/>
      <c r="R49" s="5"/>
      <c r="S49" s="12"/>
      <c r="T49" s="5"/>
      <c r="U49" s="104"/>
      <c r="V49" s="5"/>
      <c r="W49" s="5"/>
      <c r="X49" s="5"/>
      <c r="Y49" s="5"/>
      <c r="Z49" s="7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5" customHeight="1">
      <c r="A50" s="8"/>
      <c r="B50" s="237"/>
      <c r="C50" s="374"/>
      <c r="D50" s="273"/>
      <c r="E50" s="374"/>
      <c r="F50" s="273"/>
      <c r="G50" s="9"/>
      <c r="H50" s="378"/>
      <c r="I50" s="272"/>
      <c r="J50" s="273"/>
      <c r="K50" s="378"/>
      <c r="L50" s="272"/>
      <c r="M50" s="273"/>
      <c r="N50" s="374"/>
      <c r="O50" s="272"/>
      <c r="P50" s="273"/>
      <c r="Q50" s="374"/>
      <c r="R50" s="273"/>
      <c r="S50" s="12"/>
      <c r="T50" s="5"/>
      <c r="U50" s="104"/>
      <c r="V50" s="5"/>
      <c r="W50" s="5"/>
      <c r="X50" s="5"/>
      <c r="Y50" s="5"/>
      <c r="Z50" s="7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5" customHeight="1">
      <c r="A51" s="8"/>
      <c r="B51" s="237"/>
      <c r="C51" s="239"/>
      <c r="D51" s="240"/>
      <c r="E51" s="239"/>
      <c r="F51" s="240"/>
      <c r="G51" s="241"/>
      <c r="H51" s="376"/>
      <c r="I51" s="273"/>
      <c r="J51" s="242"/>
      <c r="K51" s="376"/>
      <c r="L51" s="273"/>
      <c r="M51" s="243"/>
      <c r="N51" s="244"/>
      <c r="O51" s="375"/>
      <c r="P51" s="273"/>
      <c r="Q51" s="245"/>
      <c r="R51" s="9"/>
      <c r="S51" s="12"/>
      <c r="T51" s="5"/>
      <c r="U51" s="104"/>
      <c r="V51" s="5"/>
      <c r="W51" s="5"/>
      <c r="X51" s="5"/>
      <c r="Y51" s="5"/>
      <c r="Z51" s="7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5" customHeight="1">
      <c r="A52" s="8"/>
      <c r="B52" s="237"/>
      <c r="C52" s="246"/>
      <c r="D52" s="240"/>
      <c r="E52" s="246"/>
      <c r="F52" s="240"/>
      <c r="G52" s="247"/>
      <c r="H52" s="377"/>
      <c r="I52" s="273"/>
      <c r="J52" s="242"/>
      <c r="K52" s="377"/>
      <c r="L52" s="273"/>
      <c r="M52" s="243"/>
      <c r="N52" s="248"/>
      <c r="O52" s="375"/>
      <c r="P52" s="273"/>
      <c r="Q52" s="245"/>
      <c r="R52" s="9"/>
      <c r="S52" s="12"/>
      <c r="T52" s="5"/>
      <c r="U52" s="104"/>
      <c r="V52" s="5"/>
      <c r="W52" s="5"/>
      <c r="X52" s="5"/>
      <c r="Y52" s="5"/>
      <c r="Z52" s="7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5" customHeight="1">
      <c r="A53" s="8"/>
      <c r="B53" s="5"/>
      <c r="C53" s="128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12"/>
      <c r="T53" s="5"/>
      <c r="U53" s="104"/>
      <c r="V53" s="5"/>
      <c r="W53" s="5"/>
      <c r="X53" s="5"/>
      <c r="Y53" s="5"/>
      <c r="Z53" s="7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5" customHeight="1">
      <c r="A54" s="8"/>
      <c r="B54" s="51"/>
      <c r="C54" s="51"/>
      <c r="D54" s="51"/>
      <c r="E54" s="51"/>
      <c r="F54" s="51"/>
      <c r="G54" s="51"/>
      <c r="H54" s="51"/>
      <c r="I54" s="51"/>
      <c r="J54" s="5"/>
      <c r="K54" s="51"/>
      <c r="L54" s="51"/>
      <c r="M54" s="51"/>
      <c r="N54" s="51"/>
      <c r="O54" s="51"/>
      <c r="P54" s="51"/>
      <c r="Q54" s="51"/>
      <c r="R54" s="51"/>
      <c r="S54" s="12"/>
      <c r="T54" s="5"/>
      <c r="U54" s="104"/>
      <c r="V54" s="5"/>
      <c r="W54" s="5"/>
      <c r="X54" s="5"/>
      <c r="Y54" s="5"/>
      <c r="Z54" s="7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5" customHeight="1">
      <c r="A55" s="8"/>
      <c r="B55" s="121"/>
      <c r="C55" s="121" t="s">
        <v>111</v>
      </c>
      <c r="D55" s="122"/>
      <c r="E55" s="122"/>
      <c r="F55" s="123"/>
      <c r="G55" s="123"/>
      <c r="H55" s="124"/>
      <c r="I55" s="124"/>
      <c r="J55" s="5"/>
      <c r="K55" s="121"/>
      <c r="L55" s="121" t="s">
        <v>112</v>
      </c>
      <c r="M55" s="122"/>
      <c r="N55" s="122"/>
      <c r="O55" s="123"/>
      <c r="P55" s="123"/>
      <c r="Q55" s="124"/>
      <c r="R55" s="124"/>
      <c r="S55" s="12"/>
      <c r="T55" s="5"/>
      <c r="U55" s="104"/>
      <c r="V55" s="5"/>
      <c r="W55" s="5"/>
      <c r="X55" s="5"/>
      <c r="Y55" s="5"/>
      <c r="Z55" s="7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5.25" customHeight="1">
      <c r="A56" s="60"/>
      <c r="B56" s="51"/>
      <c r="C56" s="51"/>
      <c r="D56" s="51"/>
      <c r="E56" s="51"/>
      <c r="F56" s="51"/>
      <c r="G56" s="51"/>
      <c r="H56" s="125"/>
      <c r="I56" s="51"/>
      <c r="J56" s="51"/>
      <c r="K56" s="51"/>
      <c r="L56" s="126"/>
      <c r="M56" s="125"/>
      <c r="N56" s="51"/>
      <c r="O56" s="126"/>
      <c r="P56" s="126"/>
      <c r="Q56" s="126"/>
      <c r="R56" s="126"/>
      <c r="S56" s="52"/>
      <c r="T56" s="5"/>
      <c r="U56" s="104"/>
      <c r="V56" s="5"/>
      <c r="W56" s="5"/>
      <c r="X56" s="5"/>
      <c r="Y56" s="5"/>
      <c r="Z56" s="7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104"/>
      <c r="V57" s="5"/>
      <c r="W57" s="5"/>
      <c r="X57" s="5"/>
      <c r="Y57" s="5"/>
      <c r="Z57" s="7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104"/>
      <c r="V58" s="5"/>
      <c r="W58" s="5"/>
      <c r="X58" s="5"/>
      <c r="Y58" s="5"/>
      <c r="Z58" s="7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5" customHeight="1">
      <c r="A59" s="5"/>
      <c r="B59" s="5"/>
      <c r="C59" s="5"/>
      <c r="D59" s="5"/>
      <c r="E59" s="5"/>
      <c r="F59" s="5"/>
      <c r="G59" s="12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104"/>
      <c r="V59" s="5"/>
      <c r="W59" s="5"/>
      <c r="X59" s="5"/>
      <c r="Y59" s="5"/>
      <c r="Z59" s="7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104"/>
      <c r="V60" s="5"/>
      <c r="W60" s="5"/>
      <c r="X60" s="5"/>
      <c r="Y60" s="5"/>
      <c r="Z60" s="7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104"/>
      <c r="V61" s="5"/>
      <c r="W61" s="5"/>
      <c r="X61" s="5"/>
      <c r="Y61" s="5"/>
      <c r="Z61" s="7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104"/>
      <c r="V62" s="5"/>
      <c r="W62" s="5"/>
      <c r="X62" s="5"/>
      <c r="Y62" s="5"/>
      <c r="Z62" s="7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104"/>
      <c r="V63" s="5"/>
      <c r="W63" s="5"/>
      <c r="X63" s="5"/>
      <c r="Y63" s="5"/>
      <c r="Z63" s="7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104"/>
      <c r="V64" s="5"/>
      <c r="W64" s="5"/>
      <c r="X64" s="5"/>
      <c r="Y64" s="5"/>
      <c r="Z64" s="7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104"/>
      <c r="V65" s="5"/>
      <c r="W65" s="5"/>
      <c r="X65" s="5"/>
      <c r="Y65" s="5"/>
      <c r="Z65" s="7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104"/>
      <c r="V66" s="5"/>
      <c r="W66" s="5"/>
      <c r="X66" s="5"/>
      <c r="Y66" s="5"/>
      <c r="Z66" s="7"/>
      <c r="AA66" s="5"/>
      <c r="AB66" s="5"/>
      <c r="AC66" s="5"/>
      <c r="AD66" s="5"/>
      <c r="AE66" s="5"/>
      <c r="AF66" s="5"/>
      <c r="AG66" s="5"/>
      <c r="AH66" s="5"/>
      <c r="AI66" s="5"/>
    </row>
    <row r="67" spans="1:35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104"/>
      <c r="V67" s="5"/>
      <c r="W67" s="5"/>
      <c r="X67" s="5"/>
      <c r="Y67" s="5"/>
      <c r="Z67" s="7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104"/>
      <c r="V68" s="5"/>
      <c r="W68" s="5"/>
      <c r="X68" s="5"/>
      <c r="Y68" s="5"/>
      <c r="Z68" s="7"/>
      <c r="AA68" s="5"/>
      <c r="AB68" s="5"/>
      <c r="AC68" s="5"/>
      <c r="AD68" s="5"/>
      <c r="AE68" s="5"/>
      <c r="AF68" s="5"/>
      <c r="AG68" s="5"/>
      <c r="AH68" s="5"/>
      <c r="AI68" s="5"/>
    </row>
    <row r="69" spans="1:35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104"/>
      <c r="V69" s="5"/>
      <c r="W69" s="5"/>
      <c r="X69" s="5"/>
      <c r="Y69" s="5"/>
      <c r="Z69" s="7"/>
      <c r="AA69" s="5"/>
      <c r="AB69" s="5"/>
      <c r="AC69" s="5"/>
      <c r="AD69" s="5"/>
      <c r="AE69" s="5"/>
      <c r="AF69" s="5"/>
      <c r="AG69" s="5"/>
      <c r="AH69" s="5"/>
      <c r="AI69" s="5"/>
    </row>
    <row r="70" spans="1:35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104"/>
      <c r="V70" s="5"/>
      <c r="W70" s="5"/>
      <c r="X70" s="5"/>
      <c r="Y70" s="5"/>
      <c r="Z70" s="7"/>
      <c r="AA70" s="5"/>
      <c r="AB70" s="5"/>
      <c r="AC70" s="5"/>
      <c r="AD70" s="5"/>
      <c r="AE70" s="5"/>
      <c r="AF70" s="5"/>
      <c r="AG70" s="5"/>
      <c r="AH70" s="5"/>
      <c r="AI70" s="5"/>
    </row>
    <row r="71" spans="1:35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104"/>
      <c r="V71" s="5"/>
      <c r="W71" s="5"/>
      <c r="X71" s="5"/>
      <c r="Y71" s="5"/>
      <c r="Z71" s="7"/>
      <c r="AA71" s="5"/>
      <c r="AB71" s="5"/>
      <c r="AC71" s="5"/>
      <c r="AD71" s="5"/>
      <c r="AE71" s="5"/>
      <c r="AF71" s="5"/>
      <c r="AG71" s="5"/>
      <c r="AH71" s="5"/>
      <c r="AI71" s="5"/>
    </row>
    <row r="72" spans="1:35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104"/>
      <c r="V72" s="5"/>
      <c r="W72" s="5"/>
      <c r="X72" s="5"/>
      <c r="Y72" s="5"/>
      <c r="Z72" s="7"/>
      <c r="AA72" s="5"/>
      <c r="AB72" s="5"/>
      <c r="AC72" s="5"/>
      <c r="AD72" s="5"/>
      <c r="AE72" s="5"/>
      <c r="AF72" s="5"/>
      <c r="AG72" s="5"/>
      <c r="AH72" s="5"/>
      <c r="AI72" s="5"/>
    </row>
    <row r="73" spans="1:35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104"/>
      <c r="V73" s="5"/>
      <c r="W73" s="5"/>
      <c r="X73" s="5"/>
      <c r="Y73" s="5"/>
      <c r="Z73" s="7"/>
      <c r="AA73" s="5"/>
      <c r="AB73" s="5"/>
      <c r="AC73" s="5"/>
      <c r="AD73" s="5"/>
      <c r="AE73" s="5"/>
      <c r="AF73" s="5"/>
      <c r="AG73" s="5"/>
      <c r="AH73" s="5"/>
      <c r="AI73" s="5"/>
    </row>
    <row r="74" spans="1:35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104"/>
      <c r="V74" s="5"/>
      <c r="W74" s="5"/>
      <c r="X74" s="5"/>
      <c r="Y74" s="5"/>
      <c r="Z74" s="7"/>
      <c r="AA74" s="5"/>
      <c r="AB74" s="5"/>
      <c r="AC74" s="5"/>
      <c r="AD74" s="5"/>
      <c r="AE74" s="5"/>
      <c r="AF74" s="5"/>
      <c r="AG74" s="5"/>
      <c r="AH74" s="5"/>
      <c r="AI74" s="5"/>
    </row>
    <row r="75" spans="1:35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104"/>
      <c r="V75" s="5"/>
      <c r="W75" s="5"/>
      <c r="X75" s="5"/>
      <c r="Y75" s="5"/>
      <c r="Z75" s="7"/>
      <c r="AA75" s="5"/>
      <c r="AB75" s="5"/>
      <c r="AC75" s="5"/>
      <c r="AD75" s="5"/>
      <c r="AE75" s="5"/>
      <c r="AF75" s="5"/>
      <c r="AG75" s="5"/>
      <c r="AH75" s="5"/>
      <c r="AI75" s="5"/>
    </row>
    <row r="76" spans="1:35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104"/>
      <c r="V76" s="5"/>
      <c r="W76" s="5"/>
      <c r="X76" s="5"/>
      <c r="Y76" s="5"/>
      <c r="Z76" s="7"/>
      <c r="AA76" s="5"/>
      <c r="AB76" s="5"/>
      <c r="AC76" s="5"/>
      <c r="AD76" s="5"/>
      <c r="AE76" s="5"/>
      <c r="AF76" s="5"/>
      <c r="AG76" s="5"/>
      <c r="AH76" s="5"/>
      <c r="AI76" s="5"/>
    </row>
    <row r="77" spans="1:35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104"/>
      <c r="V77" s="5"/>
      <c r="W77" s="5"/>
      <c r="X77" s="5"/>
      <c r="Y77" s="5"/>
      <c r="Z77" s="7"/>
      <c r="AA77" s="5"/>
      <c r="AB77" s="5"/>
      <c r="AC77" s="5"/>
      <c r="AD77" s="5"/>
      <c r="AE77" s="5"/>
      <c r="AF77" s="5"/>
      <c r="AG77" s="5"/>
      <c r="AH77" s="5"/>
      <c r="AI77" s="5"/>
    </row>
    <row r="78" spans="1:35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104"/>
      <c r="V78" s="5"/>
      <c r="W78" s="5"/>
      <c r="X78" s="5"/>
      <c r="Y78" s="5"/>
      <c r="Z78" s="7"/>
      <c r="AA78" s="5"/>
      <c r="AB78" s="5"/>
      <c r="AC78" s="5"/>
      <c r="AD78" s="5"/>
      <c r="AE78" s="5"/>
      <c r="AF78" s="5"/>
      <c r="AG78" s="5"/>
      <c r="AH78" s="5"/>
      <c r="AI78" s="5"/>
    </row>
    <row r="79" spans="1:35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104"/>
      <c r="V79" s="5"/>
      <c r="W79" s="5"/>
      <c r="X79" s="5"/>
      <c r="Y79" s="5"/>
      <c r="Z79" s="7"/>
      <c r="AA79" s="5"/>
      <c r="AB79" s="5"/>
      <c r="AC79" s="5"/>
      <c r="AD79" s="5"/>
      <c r="AE79" s="5"/>
      <c r="AF79" s="5"/>
      <c r="AG79" s="5"/>
      <c r="AH79" s="5"/>
      <c r="AI79" s="5"/>
    </row>
    <row r="80" spans="1:35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104"/>
      <c r="V80" s="5"/>
      <c r="W80" s="5"/>
      <c r="X80" s="5"/>
      <c r="Y80" s="5"/>
      <c r="Z80" s="7"/>
      <c r="AA80" s="5"/>
      <c r="AB80" s="5"/>
      <c r="AC80" s="5"/>
      <c r="AD80" s="5"/>
      <c r="AE80" s="5"/>
      <c r="AF80" s="5"/>
      <c r="AG80" s="5"/>
      <c r="AH80" s="5"/>
      <c r="AI80" s="5"/>
    </row>
    <row r="81" spans="1:35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104"/>
      <c r="V81" s="5"/>
      <c r="W81" s="5"/>
      <c r="X81" s="5"/>
      <c r="Y81" s="5"/>
      <c r="Z81" s="7"/>
      <c r="AA81" s="5"/>
      <c r="AB81" s="5"/>
      <c r="AC81" s="5"/>
      <c r="AD81" s="5"/>
      <c r="AE81" s="5"/>
      <c r="AF81" s="5"/>
      <c r="AG81" s="5"/>
      <c r="AH81" s="5"/>
      <c r="AI81" s="5"/>
    </row>
    <row r="82" spans="1:35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104"/>
      <c r="V82" s="5"/>
      <c r="W82" s="5"/>
      <c r="X82" s="5"/>
      <c r="Y82" s="5"/>
      <c r="Z82" s="7"/>
      <c r="AA82" s="5"/>
      <c r="AB82" s="5"/>
      <c r="AC82" s="5"/>
      <c r="AD82" s="5"/>
      <c r="AE82" s="5"/>
      <c r="AF82" s="5"/>
      <c r="AG82" s="5"/>
      <c r="AH82" s="5"/>
      <c r="AI82" s="5"/>
    </row>
    <row r="83" spans="1:35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104"/>
      <c r="V83" s="5"/>
      <c r="W83" s="5"/>
      <c r="X83" s="5"/>
      <c r="Y83" s="5"/>
      <c r="Z83" s="7"/>
      <c r="AA83" s="5"/>
      <c r="AB83" s="5"/>
      <c r="AC83" s="5"/>
      <c r="AD83" s="5"/>
      <c r="AE83" s="5"/>
      <c r="AF83" s="5"/>
      <c r="AG83" s="5"/>
      <c r="AH83" s="5"/>
      <c r="AI83" s="5"/>
    </row>
    <row r="84" spans="1:35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104"/>
      <c r="V84" s="5"/>
      <c r="W84" s="5"/>
      <c r="X84" s="5"/>
      <c r="Y84" s="5"/>
      <c r="Z84" s="7"/>
      <c r="AA84" s="5"/>
      <c r="AB84" s="5"/>
      <c r="AC84" s="5"/>
      <c r="AD84" s="5"/>
      <c r="AE84" s="5"/>
      <c r="AF84" s="5"/>
      <c r="AG84" s="5"/>
      <c r="AH84" s="5"/>
      <c r="AI84" s="5"/>
    </row>
    <row r="85" spans="1:35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104"/>
      <c r="V85" s="5"/>
      <c r="W85" s="5"/>
      <c r="X85" s="5"/>
      <c r="Y85" s="5"/>
      <c r="Z85" s="7"/>
      <c r="AA85" s="5"/>
      <c r="AB85" s="5"/>
      <c r="AC85" s="5"/>
      <c r="AD85" s="5"/>
      <c r="AE85" s="5"/>
      <c r="AF85" s="5"/>
      <c r="AG85" s="5"/>
      <c r="AH85" s="5"/>
      <c r="AI85" s="5"/>
    </row>
    <row r="86" spans="1:35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104"/>
      <c r="V86" s="5"/>
      <c r="W86" s="5"/>
      <c r="X86" s="5"/>
      <c r="Y86" s="5"/>
      <c r="Z86" s="7"/>
      <c r="AA86" s="5"/>
      <c r="AB86" s="5"/>
      <c r="AC86" s="5"/>
      <c r="AD86" s="5"/>
      <c r="AE86" s="5"/>
      <c r="AF86" s="5"/>
      <c r="AG86" s="5"/>
      <c r="AH86" s="5"/>
      <c r="AI86" s="5"/>
    </row>
    <row r="87" spans="1:35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104"/>
      <c r="V87" s="5"/>
      <c r="W87" s="5"/>
      <c r="X87" s="5"/>
      <c r="Y87" s="5"/>
      <c r="Z87" s="7"/>
      <c r="AA87" s="5"/>
      <c r="AB87" s="5"/>
      <c r="AC87" s="5"/>
      <c r="AD87" s="5"/>
      <c r="AE87" s="5"/>
      <c r="AF87" s="5"/>
      <c r="AG87" s="5"/>
      <c r="AH87" s="5"/>
      <c r="AI87" s="5"/>
    </row>
    <row r="88" spans="1:35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104"/>
      <c r="V88" s="5"/>
      <c r="W88" s="5"/>
      <c r="X88" s="5"/>
      <c r="Y88" s="5"/>
      <c r="Z88" s="7"/>
      <c r="AA88" s="5"/>
      <c r="AB88" s="5"/>
      <c r="AC88" s="5"/>
      <c r="AD88" s="5"/>
      <c r="AE88" s="5"/>
      <c r="AF88" s="5"/>
      <c r="AG88" s="5"/>
      <c r="AH88" s="5"/>
      <c r="AI88" s="5"/>
    </row>
    <row r="89" spans="1:35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104"/>
      <c r="V89" s="5"/>
      <c r="W89" s="5"/>
      <c r="X89" s="5"/>
      <c r="Y89" s="5"/>
      <c r="Z89" s="7"/>
      <c r="AA89" s="5"/>
      <c r="AB89" s="5"/>
      <c r="AC89" s="5"/>
      <c r="AD89" s="5"/>
      <c r="AE89" s="5"/>
      <c r="AF89" s="5"/>
      <c r="AG89" s="5"/>
      <c r="AH89" s="5"/>
      <c r="AI89" s="5"/>
    </row>
    <row r="90" spans="1:35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104"/>
      <c r="V90" s="5"/>
      <c r="W90" s="5"/>
      <c r="X90" s="5"/>
      <c r="Y90" s="5"/>
      <c r="Z90" s="7"/>
      <c r="AA90" s="5"/>
      <c r="AB90" s="5"/>
      <c r="AC90" s="5"/>
      <c r="AD90" s="5"/>
      <c r="AE90" s="5"/>
      <c r="AF90" s="5"/>
      <c r="AG90" s="5"/>
      <c r="AH90" s="5"/>
      <c r="AI90" s="5"/>
    </row>
    <row r="91" spans="1:35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104"/>
      <c r="V91" s="5"/>
      <c r="W91" s="5"/>
      <c r="X91" s="5"/>
      <c r="Y91" s="5"/>
      <c r="Z91" s="7"/>
      <c r="AA91" s="5"/>
      <c r="AB91" s="5"/>
      <c r="AC91" s="5"/>
      <c r="AD91" s="5"/>
      <c r="AE91" s="5"/>
      <c r="AF91" s="5"/>
      <c r="AG91" s="5"/>
      <c r="AH91" s="5"/>
      <c r="AI91" s="5"/>
    </row>
    <row r="92" spans="1:35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104"/>
      <c r="V92" s="5"/>
      <c r="W92" s="5"/>
      <c r="X92" s="5"/>
      <c r="Y92" s="5"/>
      <c r="Z92" s="7"/>
      <c r="AA92" s="5"/>
      <c r="AB92" s="5"/>
      <c r="AC92" s="5"/>
      <c r="AD92" s="5"/>
      <c r="AE92" s="5"/>
      <c r="AF92" s="5"/>
      <c r="AG92" s="5"/>
      <c r="AH92" s="5"/>
      <c r="AI92" s="5"/>
    </row>
    <row r="93" spans="1:35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104"/>
      <c r="V93" s="5"/>
      <c r="W93" s="5"/>
      <c r="X93" s="5"/>
      <c r="Y93" s="5"/>
      <c r="Z93" s="7"/>
      <c r="AA93" s="5"/>
      <c r="AB93" s="5"/>
      <c r="AC93" s="5"/>
      <c r="AD93" s="5"/>
      <c r="AE93" s="5"/>
      <c r="AF93" s="5"/>
      <c r="AG93" s="5"/>
      <c r="AH93" s="5"/>
      <c r="AI93" s="5"/>
    </row>
    <row r="94" spans="1:35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104"/>
      <c r="V94" s="5"/>
      <c r="W94" s="5"/>
      <c r="X94" s="5"/>
      <c r="Y94" s="5"/>
      <c r="Z94" s="7"/>
      <c r="AA94" s="5"/>
      <c r="AB94" s="5"/>
      <c r="AC94" s="5"/>
      <c r="AD94" s="5"/>
      <c r="AE94" s="5"/>
      <c r="AF94" s="5"/>
      <c r="AG94" s="5"/>
      <c r="AH94" s="5"/>
      <c r="AI94" s="5"/>
    </row>
    <row r="95" spans="1:35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104"/>
      <c r="V95" s="5"/>
      <c r="W95" s="5"/>
      <c r="X95" s="5"/>
      <c r="Y95" s="5"/>
      <c r="Z95" s="7"/>
      <c r="AA95" s="5"/>
      <c r="AB95" s="5"/>
      <c r="AC95" s="5"/>
      <c r="AD95" s="5"/>
      <c r="AE95" s="5"/>
      <c r="AF95" s="5"/>
      <c r="AG95" s="5"/>
      <c r="AH95" s="5"/>
      <c r="AI95" s="5"/>
    </row>
    <row r="96" spans="1:35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104"/>
      <c r="V96" s="5"/>
      <c r="W96" s="5"/>
      <c r="X96" s="5"/>
      <c r="Y96" s="5"/>
      <c r="Z96" s="7"/>
      <c r="AA96" s="5"/>
      <c r="AB96" s="5"/>
      <c r="AC96" s="5"/>
      <c r="AD96" s="5"/>
      <c r="AE96" s="5"/>
      <c r="AF96" s="5"/>
      <c r="AG96" s="5"/>
      <c r="AH96" s="5"/>
      <c r="AI96" s="5"/>
    </row>
    <row r="97" spans="1:35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104"/>
      <c r="V97" s="5"/>
      <c r="W97" s="5"/>
      <c r="X97" s="5"/>
      <c r="Y97" s="5"/>
      <c r="Z97" s="7"/>
      <c r="AA97" s="5"/>
      <c r="AB97" s="5"/>
      <c r="AC97" s="5"/>
      <c r="AD97" s="5"/>
      <c r="AE97" s="5"/>
      <c r="AF97" s="5"/>
      <c r="AG97" s="5"/>
      <c r="AH97" s="5"/>
      <c r="AI97" s="5"/>
    </row>
    <row r="98" spans="1:35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104"/>
      <c r="V98" s="5"/>
      <c r="W98" s="5"/>
      <c r="X98" s="5"/>
      <c r="Y98" s="5"/>
      <c r="Z98" s="7"/>
      <c r="AA98" s="5"/>
      <c r="AB98" s="5"/>
      <c r="AC98" s="5"/>
      <c r="AD98" s="5"/>
      <c r="AE98" s="5"/>
      <c r="AF98" s="5"/>
      <c r="AG98" s="5"/>
      <c r="AH98" s="5"/>
      <c r="AI98" s="5"/>
    </row>
    <row r="99" spans="1:35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104"/>
      <c r="V99" s="5"/>
      <c r="W99" s="5"/>
      <c r="X99" s="5"/>
      <c r="Y99" s="5"/>
      <c r="Z99" s="7"/>
      <c r="AA99" s="5"/>
      <c r="AB99" s="5"/>
      <c r="AC99" s="5"/>
      <c r="AD99" s="5"/>
      <c r="AE99" s="5"/>
      <c r="AF99" s="5"/>
      <c r="AG99" s="5"/>
      <c r="AH99" s="5"/>
      <c r="AI99" s="5"/>
    </row>
    <row r="100" spans="1:35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104"/>
      <c r="V100" s="5"/>
      <c r="W100" s="5"/>
      <c r="X100" s="5"/>
      <c r="Y100" s="5"/>
      <c r="Z100" s="7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1:35" ht="1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104"/>
      <c r="V101" s="5"/>
      <c r="W101" s="5"/>
      <c r="X101" s="5"/>
      <c r="Y101" s="5"/>
      <c r="Z101" s="7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1:35" ht="1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104"/>
      <c r="V102" s="5"/>
      <c r="W102" s="5"/>
      <c r="X102" s="5"/>
      <c r="Y102" s="5"/>
      <c r="Z102" s="7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1:35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104"/>
      <c r="V103" s="5"/>
      <c r="W103" s="5"/>
      <c r="X103" s="5"/>
      <c r="Y103" s="5"/>
      <c r="Z103" s="7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1:35" ht="1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104"/>
      <c r="V104" s="5"/>
      <c r="W104" s="5"/>
      <c r="X104" s="5"/>
      <c r="Y104" s="5"/>
      <c r="Z104" s="7"/>
      <c r="AA104" s="5"/>
      <c r="AB104" s="5"/>
      <c r="AC104" s="5"/>
      <c r="AD104" s="5"/>
      <c r="AE104" s="5"/>
      <c r="AF104" s="5"/>
      <c r="AG104" s="5"/>
      <c r="AH104" s="5"/>
      <c r="AI104" s="5"/>
    </row>
    <row r="105" spans="1:35" ht="1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104"/>
      <c r="V105" s="5"/>
      <c r="W105" s="5"/>
      <c r="X105" s="5"/>
      <c r="Y105" s="5"/>
      <c r="Z105" s="7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1:35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104"/>
      <c r="V106" s="5"/>
      <c r="W106" s="5"/>
      <c r="X106" s="5"/>
      <c r="Y106" s="5"/>
      <c r="Z106" s="7"/>
      <c r="AA106" s="5"/>
      <c r="AB106" s="5"/>
      <c r="AC106" s="5"/>
      <c r="AD106" s="5"/>
      <c r="AE106" s="5"/>
      <c r="AF106" s="5"/>
      <c r="AG106" s="5"/>
      <c r="AH106" s="5"/>
      <c r="AI106" s="5"/>
    </row>
    <row r="107" spans="1:35" ht="1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104"/>
      <c r="V107" s="5"/>
      <c r="W107" s="5"/>
      <c r="X107" s="5"/>
      <c r="Y107" s="5"/>
      <c r="Z107" s="7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1:35" ht="1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104"/>
      <c r="V108" s="5"/>
      <c r="W108" s="5"/>
      <c r="X108" s="5"/>
      <c r="Y108" s="5"/>
      <c r="Z108" s="7"/>
      <c r="AA108" s="5"/>
      <c r="AB108" s="5"/>
      <c r="AC108" s="5"/>
      <c r="AD108" s="5"/>
      <c r="AE108" s="5"/>
      <c r="AF108" s="5"/>
      <c r="AG108" s="5"/>
      <c r="AH108" s="5"/>
      <c r="AI108" s="5"/>
    </row>
    <row r="109" spans="1:35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104"/>
      <c r="V109" s="5"/>
      <c r="W109" s="5"/>
      <c r="X109" s="5"/>
      <c r="Y109" s="5"/>
      <c r="Z109" s="7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1:35" ht="1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104"/>
      <c r="V110" s="5"/>
      <c r="W110" s="5"/>
      <c r="X110" s="5"/>
      <c r="Y110" s="5"/>
      <c r="Z110" s="7"/>
      <c r="AA110" s="5"/>
      <c r="AB110" s="5"/>
      <c r="AC110" s="5"/>
      <c r="AD110" s="5"/>
      <c r="AE110" s="5"/>
      <c r="AF110" s="5"/>
      <c r="AG110" s="5"/>
      <c r="AH110" s="5"/>
      <c r="AI110" s="5"/>
    </row>
    <row r="111" spans="1:35" ht="1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104"/>
      <c r="V111" s="5"/>
      <c r="W111" s="5"/>
      <c r="X111" s="5"/>
      <c r="Y111" s="5"/>
      <c r="Z111" s="7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1:35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104"/>
      <c r="V112" s="5"/>
      <c r="W112" s="5"/>
      <c r="X112" s="5"/>
      <c r="Y112" s="5"/>
      <c r="Z112" s="7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1:35" ht="1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104"/>
      <c r="V113" s="5"/>
      <c r="W113" s="5"/>
      <c r="X113" s="5"/>
      <c r="Y113" s="5"/>
      <c r="Z113" s="7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1:35" ht="1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104"/>
      <c r="V114" s="5"/>
      <c r="W114" s="5"/>
      <c r="X114" s="5"/>
      <c r="Y114" s="5"/>
      <c r="Z114" s="7"/>
      <c r="AA114" s="5"/>
      <c r="AB114" s="5"/>
      <c r="AC114" s="5"/>
      <c r="AD114" s="5"/>
      <c r="AE114" s="5"/>
      <c r="AF114" s="5"/>
      <c r="AG114" s="5"/>
      <c r="AH114" s="5"/>
      <c r="AI114" s="5"/>
    </row>
    <row r="115" spans="1:35" ht="1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104"/>
      <c r="V115" s="5"/>
      <c r="W115" s="5"/>
      <c r="X115" s="5"/>
      <c r="Y115" s="5"/>
      <c r="Z115" s="7"/>
      <c r="AA115" s="5"/>
      <c r="AB115" s="5"/>
      <c r="AC115" s="5"/>
      <c r="AD115" s="5"/>
      <c r="AE115" s="5"/>
      <c r="AF115" s="5"/>
      <c r="AG115" s="5"/>
      <c r="AH115" s="5"/>
      <c r="AI115" s="5"/>
    </row>
    <row r="116" spans="1:35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104"/>
      <c r="V116" s="5"/>
      <c r="W116" s="5"/>
      <c r="X116" s="5"/>
      <c r="Y116" s="5"/>
      <c r="Z116" s="7"/>
      <c r="AA116" s="5"/>
      <c r="AB116" s="5"/>
      <c r="AC116" s="5"/>
      <c r="AD116" s="5"/>
      <c r="AE116" s="5"/>
      <c r="AF116" s="5"/>
      <c r="AG116" s="5"/>
      <c r="AH116" s="5"/>
      <c r="AI116" s="5"/>
    </row>
    <row r="117" spans="1:35" ht="1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104"/>
      <c r="V117" s="5"/>
      <c r="W117" s="5"/>
      <c r="X117" s="5"/>
      <c r="Y117" s="5"/>
      <c r="Z117" s="7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1:35" ht="1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104"/>
      <c r="V118" s="5"/>
      <c r="W118" s="5"/>
      <c r="X118" s="5"/>
      <c r="Y118" s="5"/>
      <c r="Z118" s="7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1:35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104"/>
      <c r="V119" s="5"/>
      <c r="W119" s="5"/>
      <c r="X119" s="5"/>
      <c r="Y119" s="5"/>
      <c r="Z119" s="7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1:35" ht="1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104"/>
      <c r="V120" s="5"/>
      <c r="W120" s="5"/>
      <c r="X120" s="5"/>
      <c r="Y120" s="5"/>
      <c r="Z120" s="7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1:35" ht="1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104"/>
      <c r="V121" s="5"/>
      <c r="W121" s="5"/>
      <c r="X121" s="5"/>
      <c r="Y121" s="5"/>
      <c r="Z121" s="7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1:35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104"/>
      <c r="V122" s="5"/>
      <c r="W122" s="5"/>
      <c r="X122" s="5"/>
      <c r="Y122" s="5"/>
      <c r="Z122" s="7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1:35" ht="1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104"/>
      <c r="V123" s="5"/>
      <c r="W123" s="5"/>
      <c r="X123" s="5"/>
      <c r="Y123" s="5"/>
      <c r="Z123" s="7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1:35" ht="1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104"/>
      <c r="V124" s="5"/>
      <c r="W124" s="5"/>
      <c r="X124" s="5"/>
      <c r="Y124" s="5"/>
      <c r="Z124" s="7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104"/>
      <c r="V125" s="5"/>
      <c r="W125" s="5"/>
      <c r="X125" s="5"/>
      <c r="Y125" s="5"/>
      <c r="Z125" s="7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 ht="1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104"/>
      <c r="V126" s="5"/>
      <c r="W126" s="5"/>
      <c r="X126" s="5"/>
      <c r="Y126" s="5"/>
      <c r="Z126" s="7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1:35" ht="1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104"/>
      <c r="V127" s="5"/>
      <c r="W127" s="5"/>
      <c r="X127" s="5"/>
      <c r="Y127" s="5"/>
      <c r="Z127" s="7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1:35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104"/>
      <c r="V128" s="5"/>
      <c r="W128" s="5"/>
      <c r="X128" s="5"/>
      <c r="Y128" s="5"/>
      <c r="Z128" s="7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1:35" ht="1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104"/>
      <c r="V129" s="5"/>
      <c r="W129" s="5"/>
      <c r="X129" s="5"/>
      <c r="Y129" s="5"/>
      <c r="Z129" s="7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1:35" ht="1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104"/>
      <c r="V130" s="5"/>
      <c r="W130" s="5"/>
      <c r="X130" s="5"/>
      <c r="Y130" s="5"/>
      <c r="Z130" s="7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1:35" ht="1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104"/>
      <c r="V131" s="5"/>
      <c r="W131" s="5"/>
      <c r="X131" s="5"/>
      <c r="Y131" s="5"/>
      <c r="Z131" s="7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1:35" ht="1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104"/>
      <c r="V132" s="5"/>
      <c r="W132" s="5"/>
      <c r="X132" s="5"/>
      <c r="Y132" s="5"/>
      <c r="Z132" s="7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1:35" ht="1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104"/>
      <c r="V133" s="5"/>
      <c r="W133" s="5"/>
      <c r="X133" s="5"/>
      <c r="Y133" s="5"/>
      <c r="Z133" s="7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1:35" ht="1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104"/>
      <c r="V134" s="5"/>
      <c r="W134" s="5"/>
      <c r="X134" s="5"/>
      <c r="Y134" s="5"/>
      <c r="Z134" s="7"/>
      <c r="AA134" s="5"/>
      <c r="AB134" s="5"/>
      <c r="AC134" s="5"/>
      <c r="AD134" s="5"/>
      <c r="AE134" s="5"/>
      <c r="AF134" s="5"/>
      <c r="AG134" s="5"/>
      <c r="AH134" s="5"/>
      <c r="AI134" s="5"/>
    </row>
    <row r="135" spans="1:35" ht="1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104"/>
      <c r="V135" s="5"/>
      <c r="W135" s="5"/>
      <c r="X135" s="5"/>
      <c r="Y135" s="5"/>
      <c r="Z135" s="7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1:35" ht="1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104"/>
      <c r="V136" s="5"/>
      <c r="W136" s="5"/>
      <c r="X136" s="5"/>
      <c r="Y136" s="5"/>
      <c r="Z136" s="7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1:35" ht="1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104"/>
      <c r="V137" s="5"/>
      <c r="W137" s="5"/>
      <c r="X137" s="5"/>
      <c r="Y137" s="5"/>
      <c r="Z137" s="7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1:35" ht="1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104"/>
      <c r="V138" s="5"/>
      <c r="W138" s="5"/>
      <c r="X138" s="5"/>
      <c r="Y138" s="5"/>
      <c r="Z138" s="7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1:35" ht="1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104"/>
      <c r="V139" s="5"/>
      <c r="W139" s="5"/>
      <c r="X139" s="5"/>
      <c r="Y139" s="5"/>
      <c r="Z139" s="7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1:35" ht="1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104"/>
      <c r="V140" s="5"/>
      <c r="W140" s="5"/>
      <c r="X140" s="5"/>
      <c r="Y140" s="5"/>
      <c r="Z140" s="7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1:35" ht="1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104"/>
      <c r="V141" s="5"/>
      <c r="W141" s="5"/>
      <c r="X141" s="5"/>
      <c r="Y141" s="5"/>
      <c r="Z141" s="7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1:35" ht="1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104"/>
      <c r="V142" s="5"/>
      <c r="W142" s="5"/>
      <c r="X142" s="5"/>
      <c r="Y142" s="5"/>
      <c r="Z142" s="7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1:35" ht="1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104"/>
      <c r="V143" s="5"/>
      <c r="W143" s="5"/>
      <c r="X143" s="5"/>
      <c r="Y143" s="5"/>
      <c r="Z143" s="7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1:35" ht="1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104"/>
      <c r="V144" s="5"/>
      <c r="W144" s="5"/>
      <c r="X144" s="5"/>
      <c r="Y144" s="5"/>
      <c r="Z144" s="7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1:35" ht="1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104"/>
      <c r="V145" s="5"/>
      <c r="W145" s="5"/>
      <c r="X145" s="5"/>
      <c r="Y145" s="5"/>
      <c r="Z145" s="7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1:35" ht="1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104"/>
      <c r="V146" s="5"/>
      <c r="W146" s="5"/>
      <c r="X146" s="5"/>
      <c r="Y146" s="5"/>
      <c r="Z146" s="7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1:35" ht="1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104"/>
      <c r="V147" s="5"/>
      <c r="W147" s="5"/>
      <c r="X147" s="5"/>
      <c r="Y147" s="5"/>
      <c r="Z147" s="7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1:35" ht="1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104"/>
      <c r="V148" s="5"/>
      <c r="W148" s="5"/>
      <c r="X148" s="5"/>
      <c r="Y148" s="5"/>
      <c r="Z148" s="7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1:35" ht="1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104"/>
      <c r="V149" s="5"/>
      <c r="W149" s="5"/>
      <c r="X149" s="5"/>
      <c r="Y149" s="5"/>
      <c r="Z149" s="7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1:35" ht="1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104"/>
      <c r="V150" s="5"/>
      <c r="W150" s="5"/>
      <c r="X150" s="5"/>
      <c r="Y150" s="5"/>
      <c r="Z150" s="7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1:35" ht="1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104"/>
      <c r="V151" s="5"/>
      <c r="W151" s="5"/>
      <c r="X151" s="5"/>
      <c r="Y151" s="5"/>
      <c r="Z151" s="7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1:35" ht="1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104"/>
      <c r="V152" s="5"/>
      <c r="W152" s="5"/>
      <c r="X152" s="5"/>
      <c r="Y152" s="5"/>
      <c r="Z152" s="7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1:35" ht="1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104"/>
      <c r="V153" s="5"/>
      <c r="W153" s="5"/>
      <c r="X153" s="5"/>
      <c r="Y153" s="5"/>
      <c r="Z153" s="7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1:35" ht="1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104"/>
      <c r="V154" s="5"/>
      <c r="W154" s="5"/>
      <c r="X154" s="5"/>
      <c r="Y154" s="5"/>
      <c r="Z154" s="7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1:35" ht="1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104"/>
      <c r="V155" s="5"/>
      <c r="W155" s="5"/>
      <c r="X155" s="5"/>
      <c r="Y155" s="5"/>
      <c r="Z155" s="7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1:35" ht="1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104"/>
      <c r="V156" s="5"/>
      <c r="W156" s="5"/>
      <c r="X156" s="5"/>
      <c r="Y156" s="5"/>
      <c r="Z156" s="7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1:35" ht="1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104"/>
      <c r="V157" s="5"/>
      <c r="W157" s="5"/>
      <c r="X157" s="5"/>
      <c r="Y157" s="5"/>
      <c r="Z157" s="7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1:35" ht="1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104"/>
      <c r="V158" s="5"/>
      <c r="W158" s="5"/>
      <c r="X158" s="5"/>
      <c r="Y158" s="5"/>
      <c r="Z158" s="7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1:35" ht="1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104"/>
      <c r="V159" s="5"/>
      <c r="W159" s="5"/>
      <c r="X159" s="5"/>
      <c r="Y159" s="5"/>
      <c r="Z159" s="7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1:35" ht="1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104"/>
      <c r="V160" s="5"/>
      <c r="W160" s="5"/>
      <c r="X160" s="5"/>
      <c r="Y160" s="5"/>
      <c r="Z160" s="7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1:35" ht="1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104"/>
      <c r="V161" s="5"/>
      <c r="W161" s="5"/>
      <c r="X161" s="5"/>
      <c r="Y161" s="5"/>
      <c r="Z161" s="7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1:35" ht="1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104"/>
      <c r="V162" s="5"/>
      <c r="W162" s="5"/>
      <c r="X162" s="5"/>
      <c r="Y162" s="5"/>
      <c r="Z162" s="7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1:35" ht="1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104"/>
      <c r="V163" s="5"/>
      <c r="W163" s="5"/>
      <c r="X163" s="5"/>
      <c r="Y163" s="5"/>
      <c r="Z163" s="7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1:35" ht="1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104"/>
      <c r="V164" s="5"/>
      <c r="W164" s="5"/>
      <c r="X164" s="5"/>
      <c r="Y164" s="5"/>
      <c r="Z164" s="7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1:35" ht="1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104"/>
      <c r="V165" s="5"/>
      <c r="W165" s="5"/>
      <c r="X165" s="5"/>
      <c r="Y165" s="5"/>
      <c r="Z165" s="7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1:35" ht="1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104"/>
      <c r="V166" s="5"/>
      <c r="W166" s="5"/>
      <c r="X166" s="5"/>
      <c r="Y166" s="5"/>
      <c r="Z166" s="7"/>
      <c r="AA166" s="5"/>
      <c r="AB166" s="5"/>
      <c r="AC166" s="5"/>
      <c r="AD166" s="5"/>
      <c r="AE166" s="5"/>
      <c r="AF166" s="5"/>
      <c r="AG166" s="5"/>
      <c r="AH166" s="5"/>
      <c r="AI166" s="5"/>
    </row>
    <row r="167" spans="1:35" ht="1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104"/>
      <c r="V167" s="5"/>
      <c r="W167" s="5"/>
      <c r="X167" s="5"/>
      <c r="Y167" s="5"/>
      <c r="Z167" s="7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ht="1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104"/>
      <c r="V168" s="5"/>
      <c r="W168" s="5"/>
      <c r="X168" s="5"/>
      <c r="Y168" s="5"/>
      <c r="Z168" s="7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 ht="1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104"/>
      <c r="V169" s="5"/>
      <c r="W169" s="5"/>
      <c r="X169" s="5"/>
      <c r="Y169" s="5"/>
      <c r="Z169" s="7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1:35" ht="1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104"/>
      <c r="V170" s="5"/>
      <c r="W170" s="5"/>
      <c r="X170" s="5"/>
      <c r="Y170" s="5"/>
      <c r="Z170" s="7"/>
      <c r="AA170" s="5"/>
      <c r="AB170" s="5"/>
      <c r="AC170" s="5"/>
      <c r="AD170" s="5"/>
      <c r="AE170" s="5"/>
      <c r="AF170" s="5"/>
      <c r="AG170" s="5"/>
      <c r="AH170" s="5"/>
      <c r="AI170" s="5"/>
    </row>
    <row r="171" spans="1:35" ht="1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104"/>
      <c r="V171" s="5"/>
      <c r="W171" s="5"/>
      <c r="X171" s="5"/>
      <c r="Y171" s="5"/>
      <c r="Z171" s="7"/>
      <c r="AA171" s="5"/>
      <c r="AB171" s="5"/>
      <c r="AC171" s="5"/>
      <c r="AD171" s="5"/>
      <c r="AE171" s="5"/>
      <c r="AF171" s="5"/>
      <c r="AG171" s="5"/>
      <c r="AH171" s="5"/>
      <c r="AI171" s="5"/>
    </row>
    <row r="172" spans="1:35" ht="1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104"/>
      <c r="V172" s="5"/>
      <c r="W172" s="5"/>
      <c r="X172" s="5"/>
      <c r="Y172" s="5"/>
      <c r="Z172" s="7"/>
      <c r="AA172" s="5"/>
      <c r="AB172" s="5"/>
      <c r="AC172" s="5"/>
      <c r="AD172" s="5"/>
      <c r="AE172" s="5"/>
      <c r="AF172" s="5"/>
      <c r="AG172" s="5"/>
      <c r="AH172" s="5"/>
      <c r="AI172" s="5"/>
    </row>
    <row r="173" spans="1:35" ht="1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104"/>
      <c r="V173" s="5"/>
      <c r="W173" s="5"/>
      <c r="X173" s="5"/>
      <c r="Y173" s="5"/>
      <c r="Z173" s="7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1:35" ht="1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104"/>
      <c r="V174" s="5"/>
      <c r="W174" s="5"/>
      <c r="X174" s="5"/>
      <c r="Y174" s="5"/>
      <c r="Z174" s="7"/>
      <c r="AA174" s="5"/>
      <c r="AB174" s="5"/>
      <c r="AC174" s="5"/>
      <c r="AD174" s="5"/>
      <c r="AE174" s="5"/>
      <c r="AF174" s="5"/>
      <c r="AG174" s="5"/>
      <c r="AH174" s="5"/>
      <c r="AI174" s="5"/>
    </row>
    <row r="175" spans="1:35" ht="1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104"/>
      <c r="V175" s="5"/>
      <c r="W175" s="5"/>
      <c r="X175" s="5"/>
      <c r="Y175" s="5"/>
      <c r="Z175" s="7"/>
      <c r="AA175" s="5"/>
      <c r="AB175" s="5"/>
      <c r="AC175" s="5"/>
      <c r="AD175" s="5"/>
      <c r="AE175" s="5"/>
      <c r="AF175" s="5"/>
      <c r="AG175" s="5"/>
      <c r="AH175" s="5"/>
      <c r="AI175" s="5"/>
    </row>
    <row r="176" spans="1:35" ht="1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104"/>
      <c r="V176" s="5"/>
      <c r="W176" s="5"/>
      <c r="X176" s="5"/>
      <c r="Y176" s="5"/>
      <c r="Z176" s="7"/>
      <c r="AA176" s="5"/>
      <c r="AB176" s="5"/>
      <c r="AC176" s="5"/>
      <c r="AD176" s="5"/>
      <c r="AE176" s="5"/>
      <c r="AF176" s="5"/>
      <c r="AG176" s="5"/>
      <c r="AH176" s="5"/>
      <c r="AI176" s="5"/>
    </row>
    <row r="177" spans="1:35" ht="1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104"/>
      <c r="V177" s="5"/>
      <c r="W177" s="5"/>
      <c r="X177" s="5"/>
      <c r="Y177" s="5"/>
      <c r="Z177" s="7"/>
      <c r="AA177" s="5"/>
      <c r="AB177" s="5"/>
      <c r="AC177" s="5"/>
      <c r="AD177" s="5"/>
      <c r="AE177" s="5"/>
      <c r="AF177" s="5"/>
      <c r="AG177" s="5"/>
      <c r="AH177" s="5"/>
      <c r="AI177" s="5"/>
    </row>
    <row r="178" spans="1:35" ht="1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104"/>
      <c r="V178" s="5"/>
      <c r="W178" s="5"/>
      <c r="X178" s="5"/>
      <c r="Y178" s="5"/>
      <c r="Z178" s="7"/>
      <c r="AA178" s="5"/>
      <c r="AB178" s="5"/>
      <c r="AC178" s="5"/>
      <c r="AD178" s="5"/>
      <c r="AE178" s="5"/>
      <c r="AF178" s="5"/>
      <c r="AG178" s="5"/>
      <c r="AH178" s="5"/>
      <c r="AI178" s="5"/>
    </row>
    <row r="179" spans="1:35" ht="1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104"/>
      <c r="V179" s="5"/>
      <c r="W179" s="5"/>
      <c r="X179" s="5"/>
      <c r="Y179" s="5"/>
      <c r="Z179" s="7"/>
      <c r="AA179" s="5"/>
      <c r="AB179" s="5"/>
      <c r="AC179" s="5"/>
      <c r="AD179" s="5"/>
      <c r="AE179" s="5"/>
      <c r="AF179" s="5"/>
      <c r="AG179" s="5"/>
      <c r="AH179" s="5"/>
      <c r="AI179" s="5"/>
    </row>
    <row r="180" spans="1:35" ht="1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104"/>
      <c r="V180" s="5"/>
      <c r="W180" s="5"/>
      <c r="X180" s="5"/>
      <c r="Y180" s="5"/>
      <c r="Z180" s="7"/>
      <c r="AA180" s="5"/>
      <c r="AB180" s="5"/>
      <c r="AC180" s="5"/>
      <c r="AD180" s="5"/>
      <c r="AE180" s="5"/>
      <c r="AF180" s="5"/>
      <c r="AG180" s="5"/>
      <c r="AH180" s="5"/>
      <c r="AI180" s="5"/>
    </row>
    <row r="181" spans="1:35" ht="1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104"/>
      <c r="V181" s="5"/>
      <c r="W181" s="5"/>
      <c r="X181" s="5"/>
      <c r="Y181" s="5"/>
      <c r="Z181" s="7"/>
      <c r="AA181" s="5"/>
      <c r="AB181" s="5"/>
      <c r="AC181" s="5"/>
      <c r="AD181" s="5"/>
      <c r="AE181" s="5"/>
      <c r="AF181" s="5"/>
      <c r="AG181" s="5"/>
      <c r="AH181" s="5"/>
      <c r="AI181" s="5"/>
    </row>
    <row r="182" spans="1:35" ht="1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104"/>
      <c r="V182" s="5"/>
      <c r="W182" s="5"/>
      <c r="X182" s="5"/>
      <c r="Y182" s="5"/>
      <c r="Z182" s="7"/>
      <c r="AA182" s="5"/>
      <c r="AB182" s="5"/>
      <c r="AC182" s="5"/>
      <c r="AD182" s="5"/>
      <c r="AE182" s="5"/>
      <c r="AF182" s="5"/>
      <c r="AG182" s="5"/>
      <c r="AH182" s="5"/>
      <c r="AI182" s="5"/>
    </row>
    <row r="183" spans="1:35" ht="1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104"/>
      <c r="V183" s="5"/>
      <c r="W183" s="5"/>
      <c r="X183" s="5"/>
      <c r="Y183" s="5"/>
      <c r="Z183" s="7"/>
      <c r="AA183" s="5"/>
      <c r="AB183" s="5"/>
      <c r="AC183" s="5"/>
      <c r="AD183" s="5"/>
      <c r="AE183" s="5"/>
      <c r="AF183" s="5"/>
      <c r="AG183" s="5"/>
      <c r="AH183" s="5"/>
      <c r="AI183" s="5"/>
    </row>
    <row r="184" spans="1:35" ht="1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104"/>
      <c r="V184" s="5"/>
      <c r="W184" s="5"/>
      <c r="X184" s="5"/>
      <c r="Y184" s="5"/>
      <c r="Z184" s="7"/>
      <c r="AA184" s="5"/>
      <c r="AB184" s="5"/>
      <c r="AC184" s="5"/>
      <c r="AD184" s="5"/>
      <c r="AE184" s="5"/>
      <c r="AF184" s="5"/>
      <c r="AG184" s="5"/>
      <c r="AH184" s="5"/>
      <c r="AI184" s="5"/>
    </row>
    <row r="185" spans="1:35" ht="1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104"/>
      <c r="V185" s="5"/>
      <c r="W185" s="5"/>
      <c r="X185" s="5"/>
      <c r="Y185" s="5"/>
      <c r="Z185" s="7"/>
      <c r="AA185" s="5"/>
      <c r="AB185" s="5"/>
      <c r="AC185" s="5"/>
      <c r="AD185" s="5"/>
      <c r="AE185" s="5"/>
      <c r="AF185" s="5"/>
      <c r="AG185" s="5"/>
      <c r="AH185" s="5"/>
      <c r="AI185" s="5"/>
    </row>
    <row r="186" spans="1:35" ht="1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104"/>
      <c r="V186" s="5"/>
      <c r="W186" s="5"/>
      <c r="X186" s="5"/>
      <c r="Y186" s="5"/>
      <c r="Z186" s="7"/>
      <c r="AA186" s="5"/>
      <c r="AB186" s="5"/>
      <c r="AC186" s="5"/>
      <c r="AD186" s="5"/>
      <c r="AE186" s="5"/>
      <c r="AF186" s="5"/>
      <c r="AG186" s="5"/>
      <c r="AH186" s="5"/>
      <c r="AI186" s="5"/>
    </row>
    <row r="187" spans="1:35" ht="1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104"/>
      <c r="V187" s="5"/>
      <c r="W187" s="5"/>
      <c r="X187" s="5"/>
      <c r="Y187" s="5"/>
      <c r="Z187" s="7"/>
      <c r="AA187" s="5"/>
      <c r="AB187" s="5"/>
      <c r="AC187" s="5"/>
      <c r="AD187" s="5"/>
      <c r="AE187" s="5"/>
      <c r="AF187" s="5"/>
      <c r="AG187" s="5"/>
      <c r="AH187" s="5"/>
      <c r="AI187" s="5"/>
    </row>
    <row r="188" spans="1:35" ht="1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104"/>
      <c r="V188" s="5"/>
      <c r="W188" s="5"/>
      <c r="X188" s="5"/>
      <c r="Y188" s="5"/>
      <c r="Z188" s="7"/>
      <c r="AA188" s="5"/>
      <c r="AB188" s="5"/>
      <c r="AC188" s="5"/>
      <c r="AD188" s="5"/>
      <c r="AE188" s="5"/>
      <c r="AF188" s="5"/>
      <c r="AG188" s="5"/>
      <c r="AH188" s="5"/>
      <c r="AI188" s="5"/>
    </row>
    <row r="189" spans="1:35" ht="1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104"/>
      <c r="V189" s="5"/>
      <c r="W189" s="5"/>
      <c r="X189" s="5"/>
      <c r="Y189" s="5"/>
      <c r="Z189" s="7"/>
      <c r="AA189" s="5"/>
      <c r="AB189" s="5"/>
      <c r="AC189" s="5"/>
      <c r="AD189" s="5"/>
      <c r="AE189" s="5"/>
      <c r="AF189" s="5"/>
      <c r="AG189" s="5"/>
      <c r="AH189" s="5"/>
      <c r="AI189" s="5"/>
    </row>
    <row r="190" spans="1:35" ht="1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104"/>
      <c r="V190" s="5"/>
      <c r="W190" s="5"/>
      <c r="X190" s="5"/>
      <c r="Y190" s="5"/>
      <c r="Z190" s="7"/>
      <c r="AA190" s="5"/>
      <c r="AB190" s="5"/>
      <c r="AC190" s="5"/>
      <c r="AD190" s="5"/>
      <c r="AE190" s="5"/>
      <c r="AF190" s="5"/>
      <c r="AG190" s="5"/>
      <c r="AH190" s="5"/>
      <c r="AI190" s="5"/>
    </row>
    <row r="191" spans="1:35" ht="1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104"/>
      <c r="V191" s="5"/>
      <c r="W191" s="5"/>
      <c r="X191" s="5"/>
      <c r="Y191" s="5"/>
      <c r="Z191" s="7"/>
      <c r="AA191" s="5"/>
      <c r="AB191" s="5"/>
      <c r="AC191" s="5"/>
      <c r="AD191" s="5"/>
      <c r="AE191" s="5"/>
      <c r="AF191" s="5"/>
      <c r="AG191" s="5"/>
      <c r="AH191" s="5"/>
      <c r="AI191" s="5"/>
    </row>
    <row r="192" spans="1:35" ht="1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104"/>
      <c r="V192" s="5"/>
      <c r="W192" s="5"/>
      <c r="X192" s="5"/>
      <c r="Y192" s="5"/>
      <c r="Z192" s="7"/>
      <c r="AA192" s="5"/>
      <c r="AB192" s="5"/>
      <c r="AC192" s="5"/>
      <c r="AD192" s="5"/>
      <c r="AE192" s="5"/>
      <c r="AF192" s="5"/>
      <c r="AG192" s="5"/>
      <c r="AH192" s="5"/>
      <c r="AI192" s="5"/>
    </row>
    <row r="193" spans="1:35" ht="1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104"/>
      <c r="V193" s="5"/>
      <c r="W193" s="5"/>
      <c r="X193" s="5"/>
      <c r="Y193" s="5"/>
      <c r="Z193" s="7"/>
      <c r="AA193" s="5"/>
      <c r="AB193" s="5"/>
      <c r="AC193" s="5"/>
      <c r="AD193" s="5"/>
      <c r="AE193" s="5"/>
      <c r="AF193" s="5"/>
      <c r="AG193" s="5"/>
      <c r="AH193" s="5"/>
      <c r="AI193" s="5"/>
    </row>
    <row r="194" spans="1:35" ht="1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104"/>
      <c r="V194" s="5"/>
      <c r="W194" s="5"/>
      <c r="X194" s="5"/>
      <c r="Y194" s="5"/>
      <c r="Z194" s="7"/>
      <c r="AA194" s="5"/>
      <c r="AB194" s="5"/>
      <c r="AC194" s="5"/>
      <c r="AD194" s="5"/>
      <c r="AE194" s="5"/>
      <c r="AF194" s="5"/>
      <c r="AG194" s="5"/>
      <c r="AH194" s="5"/>
      <c r="AI194" s="5"/>
    </row>
    <row r="195" spans="1:35" ht="1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104"/>
      <c r="V195" s="5"/>
      <c r="W195" s="5"/>
      <c r="X195" s="5"/>
      <c r="Y195" s="5"/>
      <c r="Z195" s="7"/>
      <c r="AA195" s="5"/>
      <c r="AB195" s="5"/>
      <c r="AC195" s="5"/>
      <c r="AD195" s="5"/>
      <c r="AE195" s="5"/>
      <c r="AF195" s="5"/>
      <c r="AG195" s="5"/>
      <c r="AH195" s="5"/>
      <c r="AI195" s="5"/>
    </row>
    <row r="196" spans="1:35" ht="1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104"/>
      <c r="V196" s="5"/>
      <c r="W196" s="5"/>
      <c r="X196" s="5"/>
      <c r="Y196" s="5"/>
      <c r="Z196" s="7"/>
      <c r="AA196" s="5"/>
      <c r="AB196" s="5"/>
      <c r="AC196" s="5"/>
      <c r="AD196" s="5"/>
      <c r="AE196" s="5"/>
      <c r="AF196" s="5"/>
      <c r="AG196" s="5"/>
      <c r="AH196" s="5"/>
      <c r="AI196" s="5"/>
    </row>
    <row r="197" spans="1:35" ht="1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104"/>
      <c r="V197" s="5"/>
      <c r="W197" s="5"/>
      <c r="X197" s="5"/>
      <c r="Y197" s="5"/>
      <c r="Z197" s="7"/>
      <c r="AA197" s="5"/>
      <c r="AB197" s="5"/>
      <c r="AC197" s="5"/>
      <c r="AD197" s="5"/>
      <c r="AE197" s="5"/>
      <c r="AF197" s="5"/>
      <c r="AG197" s="5"/>
      <c r="AH197" s="5"/>
      <c r="AI197" s="5"/>
    </row>
    <row r="198" spans="1:35" ht="1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104"/>
      <c r="V198" s="5"/>
      <c r="W198" s="5"/>
      <c r="X198" s="5"/>
      <c r="Y198" s="5"/>
      <c r="Z198" s="7"/>
      <c r="AA198" s="5"/>
      <c r="AB198" s="5"/>
      <c r="AC198" s="5"/>
      <c r="AD198" s="5"/>
      <c r="AE198" s="5"/>
      <c r="AF198" s="5"/>
      <c r="AG198" s="5"/>
      <c r="AH198" s="5"/>
      <c r="AI198" s="5"/>
    </row>
    <row r="199" spans="1:35" ht="1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104"/>
      <c r="V199" s="5"/>
      <c r="W199" s="5"/>
      <c r="X199" s="5"/>
      <c r="Y199" s="5"/>
      <c r="Z199" s="7"/>
      <c r="AA199" s="5"/>
      <c r="AB199" s="5"/>
      <c r="AC199" s="5"/>
      <c r="AD199" s="5"/>
      <c r="AE199" s="5"/>
      <c r="AF199" s="5"/>
      <c r="AG199" s="5"/>
      <c r="AH199" s="5"/>
      <c r="AI199" s="5"/>
    </row>
    <row r="200" spans="1:35" ht="1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104"/>
      <c r="V200" s="5"/>
      <c r="W200" s="5"/>
      <c r="X200" s="5"/>
      <c r="Y200" s="5"/>
      <c r="Z200" s="7"/>
      <c r="AA200" s="5"/>
      <c r="AB200" s="5"/>
      <c r="AC200" s="5"/>
      <c r="AD200" s="5"/>
      <c r="AE200" s="5"/>
      <c r="AF200" s="5"/>
      <c r="AG200" s="5"/>
      <c r="AH200" s="5"/>
      <c r="AI200" s="5"/>
    </row>
    <row r="201" spans="1:35" ht="1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104"/>
      <c r="V201" s="5"/>
      <c r="W201" s="5"/>
      <c r="X201" s="5"/>
      <c r="Y201" s="5"/>
      <c r="Z201" s="7"/>
      <c r="AA201" s="5"/>
      <c r="AB201" s="5"/>
      <c r="AC201" s="5"/>
      <c r="AD201" s="5"/>
      <c r="AE201" s="5"/>
      <c r="AF201" s="5"/>
      <c r="AG201" s="5"/>
      <c r="AH201" s="5"/>
      <c r="AI201" s="5"/>
    </row>
    <row r="202" spans="1:35" ht="1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104"/>
      <c r="V202" s="5"/>
      <c r="W202" s="5"/>
      <c r="X202" s="5"/>
      <c r="Y202" s="5"/>
      <c r="Z202" s="7"/>
      <c r="AA202" s="5"/>
      <c r="AB202" s="5"/>
      <c r="AC202" s="5"/>
      <c r="AD202" s="5"/>
      <c r="AE202" s="5"/>
      <c r="AF202" s="5"/>
      <c r="AG202" s="5"/>
      <c r="AH202" s="5"/>
      <c r="AI202" s="5"/>
    </row>
    <row r="203" spans="1:35" ht="1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104"/>
      <c r="V203" s="5"/>
      <c r="W203" s="5"/>
      <c r="X203" s="5"/>
      <c r="Y203" s="5"/>
      <c r="Z203" s="7"/>
      <c r="AA203" s="5"/>
      <c r="AB203" s="5"/>
      <c r="AC203" s="5"/>
      <c r="AD203" s="5"/>
      <c r="AE203" s="5"/>
      <c r="AF203" s="5"/>
      <c r="AG203" s="5"/>
      <c r="AH203" s="5"/>
      <c r="AI203" s="5"/>
    </row>
    <row r="204" spans="1:35" ht="1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104"/>
      <c r="V204" s="5"/>
      <c r="W204" s="5"/>
      <c r="X204" s="5"/>
      <c r="Y204" s="5"/>
      <c r="Z204" s="7"/>
      <c r="AA204" s="5"/>
      <c r="AB204" s="5"/>
      <c r="AC204" s="5"/>
      <c r="AD204" s="5"/>
      <c r="AE204" s="5"/>
      <c r="AF204" s="5"/>
      <c r="AG204" s="5"/>
      <c r="AH204" s="5"/>
      <c r="AI204" s="5"/>
    </row>
    <row r="205" spans="1:35" ht="1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104"/>
      <c r="V205" s="5"/>
      <c r="W205" s="5"/>
      <c r="X205" s="5"/>
      <c r="Y205" s="5"/>
      <c r="Z205" s="7"/>
      <c r="AA205" s="5"/>
      <c r="AB205" s="5"/>
      <c r="AC205" s="5"/>
      <c r="AD205" s="5"/>
      <c r="AE205" s="5"/>
      <c r="AF205" s="5"/>
      <c r="AG205" s="5"/>
      <c r="AH205" s="5"/>
      <c r="AI205" s="5"/>
    </row>
    <row r="206" spans="1:35" ht="1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104"/>
      <c r="V206" s="5"/>
      <c r="W206" s="5"/>
      <c r="X206" s="5"/>
      <c r="Y206" s="5"/>
      <c r="Z206" s="7"/>
      <c r="AA206" s="5"/>
      <c r="AB206" s="5"/>
      <c r="AC206" s="5"/>
      <c r="AD206" s="5"/>
      <c r="AE206" s="5"/>
      <c r="AF206" s="5"/>
      <c r="AG206" s="5"/>
      <c r="AH206" s="5"/>
      <c r="AI206" s="5"/>
    </row>
    <row r="207" spans="1:35" ht="1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104"/>
      <c r="V207" s="5"/>
      <c r="W207" s="5"/>
      <c r="X207" s="5"/>
      <c r="Y207" s="5"/>
      <c r="Z207" s="7"/>
      <c r="AA207" s="5"/>
      <c r="AB207" s="5"/>
      <c r="AC207" s="5"/>
      <c r="AD207" s="5"/>
      <c r="AE207" s="5"/>
      <c r="AF207" s="5"/>
      <c r="AG207" s="5"/>
      <c r="AH207" s="5"/>
      <c r="AI207" s="5"/>
    </row>
    <row r="208" spans="1:35" ht="1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104"/>
      <c r="V208" s="5"/>
      <c r="W208" s="5"/>
      <c r="X208" s="5"/>
      <c r="Y208" s="5"/>
      <c r="Z208" s="7"/>
      <c r="AA208" s="5"/>
      <c r="AB208" s="5"/>
      <c r="AC208" s="5"/>
      <c r="AD208" s="5"/>
      <c r="AE208" s="5"/>
      <c r="AF208" s="5"/>
      <c r="AG208" s="5"/>
      <c r="AH208" s="5"/>
      <c r="AI208" s="5"/>
    </row>
    <row r="209" spans="1:35" ht="1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104"/>
      <c r="V209" s="5"/>
      <c r="W209" s="5"/>
      <c r="X209" s="5"/>
      <c r="Y209" s="5"/>
      <c r="Z209" s="7"/>
      <c r="AA209" s="5"/>
      <c r="AB209" s="5"/>
      <c r="AC209" s="5"/>
      <c r="AD209" s="5"/>
      <c r="AE209" s="5"/>
      <c r="AF209" s="5"/>
      <c r="AG209" s="5"/>
      <c r="AH209" s="5"/>
      <c r="AI209" s="5"/>
    </row>
    <row r="210" spans="1:35" ht="1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104"/>
      <c r="V210" s="5"/>
      <c r="W210" s="5"/>
      <c r="X210" s="5"/>
      <c r="Y210" s="5"/>
      <c r="Z210" s="7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 ht="1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104"/>
      <c r="V211" s="5"/>
      <c r="W211" s="5"/>
      <c r="X211" s="5"/>
      <c r="Y211" s="5"/>
      <c r="Z211" s="7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 ht="1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104"/>
      <c r="V212" s="5"/>
      <c r="W212" s="5"/>
      <c r="X212" s="5"/>
      <c r="Y212" s="5"/>
      <c r="Z212" s="7"/>
      <c r="AA212" s="5"/>
      <c r="AB212" s="5"/>
      <c r="AC212" s="5"/>
      <c r="AD212" s="5"/>
      <c r="AE212" s="5"/>
      <c r="AF212" s="5"/>
      <c r="AG212" s="5"/>
      <c r="AH212" s="5"/>
      <c r="AI212" s="5"/>
    </row>
    <row r="213" spans="1:35" ht="1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104"/>
      <c r="V213" s="5"/>
      <c r="W213" s="5"/>
      <c r="X213" s="5"/>
      <c r="Y213" s="5"/>
      <c r="Z213" s="7"/>
      <c r="AA213" s="5"/>
      <c r="AB213" s="5"/>
      <c r="AC213" s="5"/>
      <c r="AD213" s="5"/>
      <c r="AE213" s="5"/>
      <c r="AF213" s="5"/>
      <c r="AG213" s="5"/>
      <c r="AH213" s="5"/>
      <c r="AI213" s="5"/>
    </row>
    <row r="214" spans="1:35" ht="1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104"/>
      <c r="V214" s="5"/>
      <c r="W214" s="5"/>
      <c r="X214" s="5"/>
      <c r="Y214" s="5"/>
      <c r="Z214" s="7"/>
      <c r="AA214" s="5"/>
      <c r="AB214" s="5"/>
      <c r="AC214" s="5"/>
      <c r="AD214" s="5"/>
      <c r="AE214" s="5"/>
      <c r="AF214" s="5"/>
      <c r="AG214" s="5"/>
      <c r="AH214" s="5"/>
      <c r="AI214" s="5"/>
    </row>
    <row r="215" spans="1:35" ht="1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104"/>
      <c r="V215" s="5"/>
      <c r="W215" s="5"/>
      <c r="X215" s="5"/>
      <c r="Y215" s="5"/>
      <c r="Z215" s="7"/>
      <c r="AA215" s="5"/>
      <c r="AB215" s="5"/>
      <c r="AC215" s="5"/>
      <c r="AD215" s="5"/>
      <c r="AE215" s="5"/>
      <c r="AF215" s="5"/>
      <c r="AG215" s="5"/>
      <c r="AH215" s="5"/>
      <c r="AI215" s="5"/>
    </row>
    <row r="216" spans="1:35" ht="1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104"/>
      <c r="V216" s="5"/>
      <c r="W216" s="5"/>
      <c r="X216" s="5"/>
      <c r="Y216" s="5"/>
      <c r="Z216" s="7"/>
      <c r="AA216" s="5"/>
      <c r="AB216" s="5"/>
      <c r="AC216" s="5"/>
      <c r="AD216" s="5"/>
      <c r="AE216" s="5"/>
      <c r="AF216" s="5"/>
      <c r="AG216" s="5"/>
      <c r="AH216" s="5"/>
      <c r="AI216" s="5"/>
    </row>
    <row r="217" spans="1:35" ht="1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104"/>
      <c r="V217" s="5"/>
      <c r="W217" s="5"/>
      <c r="X217" s="5"/>
      <c r="Y217" s="5"/>
      <c r="Z217" s="7"/>
      <c r="AA217" s="5"/>
      <c r="AB217" s="5"/>
      <c r="AC217" s="5"/>
      <c r="AD217" s="5"/>
      <c r="AE217" s="5"/>
      <c r="AF217" s="5"/>
      <c r="AG217" s="5"/>
      <c r="AH217" s="5"/>
      <c r="AI217" s="5"/>
    </row>
    <row r="218" spans="1:35" ht="1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104"/>
      <c r="V218" s="5"/>
      <c r="W218" s="5"/>
      <c r="X218" s="5"/>
      <c r="Y218" s="5"/>
      <c r="Z218" s="7"/>
      <c r="AA218" s="5"/>
      <c r="AB218" s="5"/>
      <c r="AC218" s="5"/>
      <c r="AD218" s="5"/>
      <c r="AE218" s="5"/>
      <c r="AF218" s="5"/>
      <c r="AG218" s="5"/>
      <c r="AH218" s="5"/>
      <c r="AI218" s="5"/>
    </row>
    <row r="219" spans="1:35" ht="1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104"/>
      <c r="V219" s="5"/>
      <c r="W219" s="5"/>
      <c r="X219" s="5"/>
      <c r="Y219" s="5"/>
      <c r="Z219" s="7"/>
      <c r="AA219" s="5"/>
      <c r="AB219" s="5"/>
      <c r="AC219" s="5"/>
      <c r="AD219" s="5"/>
      <c r="AE219" s="5"/>
      <c r="AF219" s="5"/>
      <c r="AG219" s="5"/>
      <c r="AH219" s="5"/>
      <c r="AI219" s="5"/>
    </row>
    <row r="220" spans="1:35" ht="1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104"/>
      <c r="V220" s="5"/>
      <c r="W220" s="5"/>
      <c r="X220" s="5"/>
      <c r="Y220" s="5"/>
      <c r="Z220" s="7"/>
      <c r="AA220" s="5"/>
      <c r="AB220" s="5"/>
      <c r="AC220" s="5"/>
      <c r="AD220" s="5"/>
      <c r="AE220" s="5"/>
      <c r="AF220" s="5"/>
      <c r="AG220" s="5"/>
      <c r="AH220" s="5"/>
      <c r="AI220" s="5"/>
    </row>
    <row r="221" spans="1:35" ht="1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104"/>
      <c r="V221" s="5"/>
      <c r="W221" s="5"/>
      <c r="X221" s="5"/>
      <c r="Y221" s="5"/>
      <c r="Z221" s="7"/>
      <c r="AA221" s="5"/>
      <c r="AB221" s="5"/>
      <c r="AC221" s="5"/>
      <c r="AD221" s="5"/>
      <c r="AE221" s="5"/>
      <c r="AF221" s="5"/>
      <c r="AG221" s="5"/>
      <c r="AH221" s="5"/>
      <c r="AI221" s="5"/>
    </row>
    <row r="222" spans="1:35" ht="1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104"/>
      <c r="V222" s="5"/>
      <c r="W222" s="5"/>
      <c r="X222" s="5"/>
      <c r="Y222" s="5"/>
      <c r="Z222" s="7"/>
      <c r="AA222" s="5"/>
      <c r="AB222" s="5"/>
      <c r="AC222" s="5"/>
      <c r="AD222" s="5"/>
      <c r="AE222" s="5"/>
      <c r="AF222" s="5"/>
      <c r="AG222" s="5"/>
      <c r="AH222" s="5"/>
      <c r="AI222" s="5"/>
    </row>
    <row r="223" spans="1:35" ht="1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104"/>
      <c r="V223" s="5"/>
      <c r="W223" s="5"/>
      <c r="X223" s="5"/>
      <c r="Y223" s="5"/>
      <c r="Z223" s="7"/>
      <c r="AA223" s="5"/>
      <c r="AB223" s="5"/>
      <c r="AC223" s="5"/>
      <c r="AD223" s="5"/>
      <c r="AE223" s="5"/>
      <c r="AF223" s="5"/>
      <c r="AG223" s="5"/>
      <c r="AH223" s="5"/>
      <c r="AI223" s="5"/>
    </row>
    <row r="224" spans="1:35" ht="1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104"/>
      <c r="V224" s="5"/>
      <c r="W224" s="5"/>
      <c r="X224" s="5"/>
      <c r="Y224" s="5"/>
      <c r="Z224" s="7"/>
      <c r="AA224" s="5"/>
      <c r="AB224" s="5"/>
      <c r="AC224" s="5"/>
      <c r="AD224" s="5"/>
      <c r="AE224" s="5"/>
      <c r="AF224" s="5"/>
      <c r="AG224" s="5"/>
      <c r="AH224" s="5"/>
      <c r="AI224" s="5"/>
    </row>
    <row r="225" spans="1:35" ht="1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104"/>
      <c r="V225" s="5"/>
      <c r="W225" s="5"/>
      <c r="X225" s="5"/>
      <c r="Y225" s="5"/>
      <c r="Z225" s="7"/>
      <c r="AA225" s="5"/>
      <c r="AB225" s="5"/>
      <c r="AC225" s="5"/>
      <c r="AD225" s="5"/>
      <c r="AE225" s="5"/>
      <c r="AF225" s="5"/>
      <c r="AG225" s="5"/>
      <c r="AH225" s="5"/>
      <c r="AI225" s="5"/>
    </row>
    <row r="226" spans="1:35" ht="1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104"/>
      <c r="V226" s="5"/>
      <c r="W226" s="5"/>
      <c r="X226" s="5"/>
      <c r="Y226" s="5"/>
      <c r="Z226" s="7"/>
      <c r="AA226" s="5"/>
      <c r="AB226" s="5"/>
      <c r="AC226" s="5"/>
      <c r="AD226" s="5"/>
      <c r="AE226" s="5"/>
      <c r="AF226" s="5"/>
      <c r="AG226" s="5"/>
      <c r="AH226" s="5"/>
      <c r="AI226" s="5"/>
    </row>
    <row r="227" spans="1:35" ht="1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104"/>
      <c r="V227" s="5"/>
      <c r="W227" s="5"/>
      <c r="X227" s="5"/>
      <c r="Y227" s="5"/>
      <c r="Z227" s="7"/>
      <c r="AA227" s="5"/>
      <c r="AB227" s="5"/>
      <c r="AC227" s="5"/>
      <c r="AD227" s="5"/>
      <c r="AE227" s="5"/>
      <c r="AF227" s="5"/>
      <c r="AG227" s="5"/>
      <c r="AH227" s="5"/>
      <c r="AI227" s="5"/>
    </row>
    <row r="228" spans="1:35" ht="1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104"/>
      <c r="V228" s="5"/>
      <c r="W228" s="5"/>
      <c r="X228" s="5"/>
      <c r="Y228" s="5"/>
      <c r="Z228" s="7"/>
      <c r="AA228" s="5"/>
      <c r="AB228" s="5"/>
      <c r="AC228" s="5"/>
      <c r="AD228" s="5"/>
      <c r="AE228" s="5"/>
      <c r="AF228" s="5"/>
      <c r="AG228" s="5"/>
      <c r="AH228" s="5"/>
      <c r="AI228" s="5"/>
    </row>
    <row r="229" spans="1:35" ht="1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104"/>
      <c r="V229" s="5"/>
      <c r="W229" s="5"/>
      <c r="X229" s="5"/>
      <c r="Y229" s="5"/>
      <c r="Z229" s="7"/>
      <c r="AA229" s="5"/>
      <c r="AB229" s="5"/>
      <c r="AC229" s="5"/>
      <c r="AD229" s="5"/>
      <c r="AE229" s="5"/>
      <c r="AF229" s="5"/>
      <c r="AG229" s="5"/>
      <c r="AH229" s="5"/>
      <c r="AI229" s="5"/>
    </row>
    <row r="230" spans="1:35" ht="1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104"/>
      <c r="V230" s="5"/>
      <c r="W230" s="5"/>
      <c r="X230" s="5"/>
      <c r="Y230" s="5"/>
      <c r="Z230" s="7"/>
      <c r="AA230" s="5"/>
      <c r="AB230" s="5"/>
      <c r="AC230" s="5"/>
      <c r="AD230" s="5"/>
      <c r="AE230" s="5"/>
      <c r="AF230" s="5"/>
      <c r="AG230" s="5"/>
      <c r="AH230" s="5"/>
      <c r="AI230" s="5"/>
    </row>
    <row r="231" spans="1:35" ht="1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104"/>
      <c r="V231" s="5"/>
      <c r="W231" s="5"/>
      <c r="X231" s="5"/>
      <c r="Y231" s="5"/>
      <c r="Z231" s="7"/>
      <c r="AA231" s="5"/>
      <c r="AB231" s="5"/>
      <c r="AC231" s="5"/>
      <c r="AD231" s="5"/>
      <c r="AE231" s="5"/>
      <c r="AF231" s="5"/>
      <c r="AG231" s="5"/>
      <c r="AH231" s="5"/>
      <c r="AI231" s="5"/>
    </row>
    <row r="232" spans="1:35" ht="1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104"/>
      <c r="V232" s="5"/>
      <c r="W232" s="5"/>
      <c r="X232" s="5"/>
      <c r="Y232" s="5"/>
      <c r="Z232" s="7"/>
      <c r="AA232" s="5"/>
      <c r="AB232" s="5"/>
      <c r="AC232" s="5"/>
      <c r="AD232" s="5"/>
      <c r="AE232" s="5"/>
      <c r="AF232" s="5"/>
      <c r="AG232" s="5"/>
      <c r="AH232" s="5"/>
      <c r="AI232" s="5"/>
    </row>
    <row r="233" spans="1:35" ht="1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104"/>
      <c r="V233" s="5"/>
      <c r="W233" s="5"/>
      <c r="X233" s="5"/>
      <c r="Y233" s="5"/>
      <c r="Z233" s="7"/>
      <c r="AA233" s="5"/>
      <c r="AB233" s="5"/>
      <c r="AC233" s="5"/>
      <c r="AD233" s="5"/>
      <c r="AE233" s="5"/>
      <c r="AF233" s="5"/>
      <c r="AG233" s="5"/>
      <c r="AH233" s="5"/>
      <c r="AI233" s="5"/>
    </row>
    <row r="234" spans="1:35" ht="1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104"/>
      <c r="V234" s="5"/>
      <c r="W234" s="5"/>
      <c r="X234" s="5"/>
      <c r="Y234" s="5"/>
      <c r="Z234" s="7"/>
      <c r="AA234" s="5"/>
      <c r="AB234" s="5"/>
      <c r="AC234" s="5"/>
      <c r="AD234" s="5"/>
      <c r="AE234" s="5"/>
      <c r="AF234" s="5"/>
      <c r="AG234" s="5"/>
      <c r="AH234" s="5"/>
      <c r="AI234" s="5"/>
    </row>
    <row r="235" spans="1:35" ht="1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104"/>
      <c r="V235" s="5"/>
      <c r="W235" s="5"/>
      <c r="X235" s="5"/>
      <c r="Y235" s="5"/>
      <c r="Z235" s="7"/>
      <c r="AA235" s="5"/>
      <c r="AB235" s="5"/>
      <c r="AC235" s="5"/>
      <c r="AD235" s="5"/>
      <c r="AE235" s="5"/>
      <c r="AF235" s="5"/>
      <c r="AG235" s="5"/>
      <c r="AH235" s="5"/>
      <c r="AI235" s="5"/>
    </row>
    <row r="236" spans="1:35" ht="1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104"/>
      <c r="V236" s="5"/>
      <c r="W236" s="5"/>
      <c r="X236" s="5"/>
      <c r="Y236" s="5"/>
      <c r="Z236" s="7"/>
      <c r="AA236" s="5"/>
      <c r="AB236" s="5"/>
      <c r="AC236" s="5"/>
      <c r="AD236" s="5"/>
      <c r="AE236" s="5"/>
      <c r="AF236" s="5"/>
      <c r="AG236" s="5"/>
      <c r="AH236" s="5"/>
      <c r="AI236" s="5"/>
    </row>
    <row r="237" spans="1:35" ht="1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104"/>
      <c r="V237" s="5"/>
      <c r="W237" s="5"/>
      <c r="X237" s="5"/>
      <c r="Y237" s="5"/>
      <c r="Z237" s="7"/>
      <c r="AA237" s="5"/>
      <c r="AB237" s="5"/>
      <c r="AC237" s="5"/>
      <c r="AD237" s="5"/>
      <c r="AE237" s="5"/>
      <c r="AF237" s="5"/>
      <c r="AG237" s="5"/>
      <c r="AH237" s="5"/>
      <c r="AI237" s="5"/>
    </row>
    <row r="238" spans="1:35" ht="1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104"/>
      <c r="V238" s="5"/>
      <c r="W238" s="5"/>
      <c r="X238" s="5"/>
      <c r="Y238" s="5"/>
      <c r="Z238" s="7"/>
      <c r="AA238" s="5"/>
      <c r="AB238" s="5"/>
      <c r="AC238" s="5"/>
      <c r="AD238" s="5"/>
      <c r="AE238" s="5"/>
      <c r="AF238" s="5"/>
      <c r="AG238" s="5"/>
      <c r="AH238" s="5"/>
      <c r="AI238" s="5"/>
    </row>
    <row r="239" spans="1:35" ht="1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104"/>
      <c r="V239" s="5"/>
      <c r="W239" s="5"/>
      <c r="X239" s="5"/>
      <c r="Y239" s="5"/>
      <c r="Z239" s="7"/>
      <c r="AA239" s="5"/>
      <c r="AB239" s="5"/>
      <c r="AC239" s="5"/>
      <c r="AD239" s="5"/>
      <c r="AE239" s="5"/>
      <c r="AF239" s="5"/>
      <c r="AG239" s="5"/>
      <c r="AH239" s="5"/>
      <c r="AI239" s="5"/>
    </row>
    <row r="240" spans="1:35" ht="1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104"/>
      <c r="V240" s="5"/>
      <c r="W240" s="5"/>
      <c r="X240" s="5"/>
      <c r="Y240" s="5"/>
      <c r="Z240" s="7"/>
      <c r="AA240" s="5"/>
      <c r="AB240" s="5"/>
      <c r="AC240" s="5"/>
      <c r="AD240" s="5"/>
      <c r="AE240" s="5"/>
      <c r="AF240" s="5"/>
      <c r="AG240" s="5"/>
      <c r="AH240" s="5"/>
      <c r="AI240" s="5"/>
    </row>
    <row r="241" spans="1:35" ht="1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104"/>
      <c r="V241" s="5"/>
      <c r="W241" s="5"/>
      <c r="X241" s="5"/>
      <c r="Y241" s="5"/>
      <c r="Z241" s="7"/>
      <c r="AA241" s="5"/>
      <c r="AB241" s="5"/>
      <c r="AC241" s="5"/>
      <c r="AD241" s="5"/>
      <c r="AE241" s="5"/>
      <c r="AF241" s="5"/>
      <c r="AG241" s="5"/>
      <c r="AH241" s="5"/>
      <c r="AI241" s="5"/>
    </row>
    <row r="242" spans="1:35" ht="1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104"/>
      <c r="V242" s="5"/>
      <c r="W242" s="5"/>
      <c r="X242" s="5"/>
      <c r="Y242" s="5"/>
      <c r="Z242" s="7"/>
      <c r="AA242" s="5"/>
      <c r="AB242" s="5"/>
      <c r="AC242" s="5"/>
      <c r="AD242" s="5"/>
      <c r="AE242" s="5"/>
      <c r="AF242" s="5"/>
      <c r="AG242" s="5"/>
      <c r="AH242" s="5"/>
      <c r="AI242" s="5"/>
    </row>
    <row r="243" spans="1:35" ht="1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104"/>
      <c r="V243" s="5"/>
      <c r="W243" s="5"/>
      <c r="X243" s="5"/>
      <c r="Y243" s="5"/>
      <c r="Z243" s="7"/>
      <c r="AA243" s="5"/>
      <c r="AB243" s="5"/>
      <c r="AC243" s="5"/>
      <c r="AD243" s="5"/>
      <c r="AE243" s="5"/>
      <c r="AF243" s="5"/>
      <c r="AG243" s="5"/>
      <c r="AH243" s="5"/>
      <c r="AI243" s="5"/>
    </row>
    <row r="244" spans="1:35" ht="1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104"/>
      <c r="V244" s="5"/>
      <c r="W244" s="5"/>
      <c r="X244" s="5"/>
      <c r="Y244" s="5"/>
      <c r="Z244" s="7"/>
      <c r="AA244" s="5"/>
      <c r="AB244" s="5"/>
      <c r="AC244" s="5"/>
      <c r="AD244" s="5"/>
      <c r="AE244" s="5"/>
      <c r="AF244" s="5"/>
      <c r="AG244" s="5"/>
      <c r="AH244" s="5"/>
      <c r="AI244" s="5"/>
    </row>
    <row r="245" spans="1:35" ht="1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104"/>
      <c r="V245" s="5"/>
      <c r="W245" s="5"/>
      <c r="X245" s="5"/>
      <c r="Y245" s="5"/>
      <c r="Z245" s="7"/>
      <c r="AA245" s="5"/>
      <c r="AB245" s="5"/>
      <c r="AC245" s="5"/>
      <c r="AD245" s="5"/>
      <c r="AE245" s="5"/>
      <c r="AF245" s="5"/>
      <c r="AG245" s="5"/>
      <c r="AH245" s="5"/>
      <c r="AI245" s="5"/>
    </row>
    <row r="246" spans="1:35" ht="1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104"/>
      <c r="V246" s="5"/>
      <c r="W246" s="5"/>
      <c r="X246" s="5"/>
      <c r="Y246" s="5"/>
      <c r="Z246" s="7"/>
      <c r="AA246" s="5"/>
      <c r="AB246" s="5"/>
      <c r="AC246" s="5"/>
      <c r="AD246" s="5"/>
      <c r="AE246" s="5"/>
      <c r="AF246" s="5"/>
      <c r="AG246" s="5"/>
      <c r="AH246" s="5"/>
      <c r="AI246" s="5"/>
    </row>
    <row r="247" spans="1:35" ht="1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104"/>
      <c r="V247" s="5"/>
      <c r="W247" s="5"/>
      <c r="X247" s="5"/>
      <c r="Y247" s="5"/>
      <c r="Z247" s="7"/>
      <c r="AA247" s="5"/>
      <c r="AB247" s="5"/>
      <c r="AC247" s="5"/>
      <c r="AD247" s="5"/>
      <c r="AE247" s="5"/>
      <c r="AF247" s="5"/>
      <c r="AG247" s="5"/>
      <c r="AH247" s="5"/>
      <c r="AI247" s="5"/>
    </row>
    <row r="248" spans="1:35" ht="1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104"/>
      <c r="V248" s="5"/>
      <c r="W248" s="5"/>
      <c r="X248" s="5"/>
      <c r="Y248" s="5"/>
      <c r="Z248" s="7"/>
      <c r="AA248" s="5"/>
      <c r="AB248" s="5"/>
      <c r="AC248" s="5"/>
      <c r="AD248" s="5"/>
      <c r="AE248" s="5"/>
      <c r="AF248" s="5"/>
      <c r="AG248" s="5"/>
      <c r="AH248" s="5"/>
      <c r="AI248" s="5"/>
    </row>
    <row r="249" spans="1:35" ht="1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104"/>
      <c r="V249" s="5"/>
      <c r="W249" s="5"/>
      <c r="X249" s="5"/>
      <c r="Y249" s="5"/>
      <c r="Z249" s="7"/>
      <c r="AA249" s="5"/>
      <c r="AB249" s="5"/>
      <c r="AC249" s="5"/>
      <c r="AD249" s="5"/>
      <c r="AE249" s="5"/>
      <c r="AF249" s="5"/>
      <c r="AG249" s="5"/>
      <c r="AH249" s="5"/>
      <c r="AI249" s="5"/>
    </row>
    <row r="250" spans="1:35" ht="1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104"/>
      <c r="V250" s="5"/>
      <c r="W250" s="5"/>
      <c r="X250" s="5"/>
      <c r="Y250" s="5"/>
      <c r="Z250" s="7"/>
      <c r="AA250" s="5"/>
      <c r="AB250" s="5"/>
      <c r="AC250" s="5"/>
      <c r="AD250" s="5"/>
      <c r="AE250" s="5"/>
      <c r="AF250" s="5"/>
      <c r="AG250" s="5"/>
      <c r="AH250" s="5"/>
      <c r="AI250" s="5"/>
    </row>
    <row r="251" spans="1:35" ht="1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104"/>
      <c r="V251" s="5"/>
      <c r="W251" s="5"/>
      <c r="X251" s="5"/>
      <c r="Y251" s="5"/>
      <c r="Z251" s="7"/>
      <c r="AA251" s="5"/>
      <c r="AB251" s="5"/>
      <c r="AC251" s="5"/>
      <c r="AD251" s="5"/>
      <c r="AE251" s="5"/>
      <c r="AF251" s="5"/>
      <c r="AG251" s="5"/>
      <c r="AH251" s="5"/>
      <c r="AI251" s="5"/>
    </row>
    <row r="252" spans="1:35" ht="1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104"/>
      <c r="V252" s="5"/>
      <c r="W252" s="5"/>
      <c r="X252" s="5"/>
      <c r="Y252" s="5"/>
      <c r="Z252" s="7"/>
      <c r="AA252" s="5"/>
      <c r="AB252" s="5"/>
      <c r="AC252" s="5"/>
      <c r="AD252" s="5"/>
      <c r="AE252" s="5"/>
      <c r="AF252" s="5"/>
      <c r="AG252" s="5"/>
      <c r="AH252" s="5"/>
      <c r="AI252" s="5"/>
    </row>
    <row r="253" spans="1:35" ht="1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104"/>
      <c r="V253" s="5"/>
      <c r="W253" s="5"/>
      <c r="X253" s="5"/>
      <c r="Y253" s="5"/>
      <c r="Z253" s="7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 ht="1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104"/>
      <c r="V254" s="5"/>
      <c r="W254" s="5"/>
      <c r="X254" s="5"/>
      <c r="Y254" s="5"/>
      <c r="Z254" s="7"/>
      <c r="AA254" s="5"/>
      <c r="AB254" s="5"/>
      <c r="AC254" s="5"/>
      <c r="AD254" s="5"/>
      <c r="AE254" s="5"/>
      <c r="AF254" s="5"/>
      <c r="AG254" s="5"/>
      <c r="AH254" s="5"/>
      <c r="AI254" s="5"/>
    </row>
    <row r="255" spans="1:35" ht="1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104"/>
      <c r="V255" s="5"/>
      <c r="W255" s="5"/>
      <c r="X255" s="5"/>
      <c r="Y255" s="5"/>
      <c r="Z255" s="7"/>
      <c r="AA255" s="5"/>
      <c r="AB255" s="5"/>
      <c r="AC255" s="5"/>
      <c r="AD255" s="5"/>
      <c r="AE255" s="5"/>
      <c r="AF255" s="5"/>
      <c r="AG255" s="5"/>
      <c r="AH255" s="5"/>
      <c r="AI255" s="5"/>
    </row>
    <row r="256" spans="1:35" ht="15.75" customHeight="1">
      <c r="A256" s="5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5"/>
      <c r="T256" s="5"/>
      <c r="U256" s="104"/>
      <c r="V256" s="5"/>
      <c r="W256" s="5"/>
      <c r="X256" s="5"/>
      <c r="Y256" s="5"/>
      <c r="Z256" s="7"/>
      <c r="AA256" s="5"/>
      <c r="AB256" s="5"/>
      <c r="AC256" s="5"/>
      <c r="AD256" s="5"/>
      <c r="AE256" s="5"/>
      <c r="AF256" s="5"/>
      <c r="AG256" s="5"/>
      <c r="AH256" s="5"/>
      <c r="AI256" s="5"/>
    </row>
    <row r="257" spans="1:35" ht="15.75" customHeight="1">
      <c r="A257" s="5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5"/>
      <c r="T257" s="5"/>
      <c r="U257" s="104"/>
      <c r="V257" s="5"/>
      <c r="W257" s="5"/>
      <c r="X257" s="5"/>
      <c r="Y257" s="5"/>
      <c r="Z257" s="7"/>
      <c r="AA257" s="5"/>
      <c r="AB257" s="5"/>
      <c r="AC257" s="5"/>
      <c r="AD257" s="5"/>
      <c r="AE257" s="5"/>
      <c r="AF257" s="5"/>
      <c r="AG257" s="5"/>
      <c r="AH257" s="5"/>
      <c r="AI257" s="5"/>
    </row>
    <row r="258" spans="1:35" ht="15.75" customHeight="1">
      <c r="A258" s="5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5"/>
      <c r="T258" s="5"/>
      <c r="U258" s="104"/>
      <c r="V258" s="5"/>
      <c r="W258" s="5"/>
      <c r="X258" s="5"/>
      <c r="Y258" s="5"/>
      <c r="Z258" s="7"/>
      <c r="AA258" s="5"/>
      <c r="AB258" s="5"/>
      <c r="AC258" s="5"/>
      <c r="AD258" s="5"/>
      <c r="AE258" s="5"/>
      <c r="AF258" s="5"/>
      <c r="AG258" s="5"/>
      <c r="AH258" s="5"/>
      <c r="AI258" s="5"/>
    </row>
    <row r="259" spans="1:35" ht="15.75" customHeight="1">
      <c r="A259" s="5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5"/>
      <c r="T259" s="5"/>
      <c r="U259" s="104"/>
      <c r="V259" s="5"/>
      <c r="W259" s="5"/>
      <c r="X259" s="5"/>
      <c r="Y259" s="5"/>
      <c r="Z259" s="7"/>
      <c r="AA259" s="5"/>
      <c r="AB259" s="5"/>
      <c r="AC259" s="5"/>
      <c r="AD259" s="5"/>
      <c r="AE259" s="5"/>
      <c r="AF259" s="5"/>
      <c r="AG259" s="5"/>
      <c r="AH259" s="5"/>
      <c r="AI259" s="5"/>
    </row>
    <row r="260" spans="1:35" ht="15.75" customHeight="1">
      <c r="A260" s="5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5"/>
      <c r="T260" s="5"/>
      <c r="U260" s="104"/>
      <c r="V260" s="5"/>
      <c r="W260" s="5"/>
      <c r="X260" s="5"/>
      <c r="Y260" s="5"/>
      <c r="Z260" s="7"/>
      <c r="AA260" s="5"/>
      <c r="AB260" s="5"/>
      <c r="AC260" s="5"/>
      <c r="AD260" s="5"/>
      <c r="AE260" s="5"/>
      <c r="AF260" s="5"/>
      <c r="AG260" s="5"/>
      <c r="AH260" s="5"/>
      <c r="AI260" s="5"/>
    </row>
    <row r="261" spans="1:35" ht="15.75" customHeight="1">
      <c r="A261" s="5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5"/>
      <c r="T261" s="5"/>
      <c r="U261" s="104"/>
      <c r="V261" s="5"/>
      <c r="W261" s="5"/>
      <c r="X261" s="5"/>
      <c r="Y261" s="5"/>
      <c r="Z261" s="7"/>
      <c r="AA261" s="5"/>
      <c r="AB261" s="5"/>
      <c r="AC261" s="5"/>
      <c r="AD261" s="5"/>
      <c r="AE261" s="5"/>
      <c r="AF261" s="5"/>
      <c r="AG261" s="5"/>
      <c r="AH261" s="5"/>
      <c r="AI261" s="5"/>
    </row>
    <row r="262" spans="1:35" ht="15.75" customHeight="1">
      <c r="A262" s="5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5"/>
      <c r="T262" s="5"/>
      <c r="U262" s="104"/>
      <c r="V262" s="5"/>
      <c r="W262" s="5"/>
      <c r="X262" s="5"/>
      <c r="Y262" s="5"/>
      <c r="Z262" s="7"/>
      <c r="AA262" s="5"/>
      <c r="AB262" s="5"/>
      <c r="AC262" s="5"/>
      <c r="AD262" s="5"/>
      <c r="AE262" s="5"/>
      <c r="AF262" s="5"/>
      <c r="AG262" s="5"/>
      <c r="AH262" s="5"/>
      <c r="AI262" s="5"/>
    </row>
    <row r="263" spans="1:35" ht="15.75" customHeight="1">
      <c r="A263" s="5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5"/>
      <c r="T263" s="5"/>
      <c r="U263" s="104"/>
      <c r="V263" s="5"/>
      <c r="W263" s="5"/>
      <c r="X263" s="5"/>
      <c r="Y263" s="5"/>
      <c r="Z263" s="7"/>
      <c r="AA263" s="5"/>
      <c r="AB263" s="5"/>
      <c r="AC263" s="5"/>
      <c r="AD263" s="5"/>
      <c r="AE263" s="5"/>
      <c r="AF263" s="5"/>
      <c r="AG263" s="5"/>
      <c r="AH263" s="5"/>
      <c r="AI263" s="5"/>
    </row>
    <row r="264" spans="1:35" ht="15.75" customHeight="1">
      <c r="A264" s="5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5"/>
      <c r="T264" s="5"/>
      <c r="U264" s="104"/>
      <c r="V264" s="5"/>
      <c r="W264" s="5"/>
      <c r="X264" s="5"/>
      <c r="Y264" s="5"/>
      <c r="Z264" s="7"/>
      <c r="AA264" s="5"/>
      <c r="AB264" s="5"/>
      <c r="AC264" s="5"/>
      <c r="AD264" s="5"/>
      <c r="AE264" s="5"/>
      <c r="AF264" s="5"/>
      <c r="AG264" s="5"/>
      <c r="AH264" s="5"/>
      <c r="AI264" s="5"/>
    </row>
    <row r="265" spans="1:35" ht="15.75" customHeight="1">
      <c r="A265" s="5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5"/>
      <c r="T265" s="5"/>
      <c r="U265" s="104"/>
      <c r="V265" s="5"/>
      <c r="W265" s="5"/>
      <c r="X265" s="5"/>
      <c r="Y265" s="5"/>
      <c r="Z265" s="7"/>
      <c r="AA265" s="5"/>
      <c r="AB265" s="5"/>
      <c r="AC265" s="5"/>
      <c r="AD265" s="5"/>
      <c r="AE265" s="5"/>
      <c r="AF265" s="5"/>
      <c r="AG265" s="5"/>
      <c r="AH265" s="5"/>
      <c r="AI265" s="5"/>
    </row>
    <row r="266" spans="1:35" ht="15.75" customHeight="1">
      <c r="A266" s="5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5"/>
      <c r="T266" s="5"/>
      <c r="U266" s="104"/>
      <c r="V266" s="5"/>
      <c r="W266" s="5"/>
      <c r="X266" s="5"/>
      <c r="Y266" s="5"/>
      <c r="Z266" s="7"/>
      <c r="AA266" s="5"/>
      <c r="AB266" s="5"/>
      <c r="AC266" s="5"/>
      <c r="AD266" s="5"/>
      <c r="AE266" s="5"/>
      <c r="AF266" s="5"/>
      <c r="AG266" s="5"/>
      <c r="AH266" s="5"/>
      <c r="AI266" s="5"/>
    </row>
    <row r="267" spans="1:35" ht="15.75" customHeight="1">
      <c r="A267" s="5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5"/>
      <c r="T267" s="5"/>
      <c r="U267" s="104"/>
      <c r="V267" s="5"/>
      <c r="W267" s="5"/>
      <c r="X267" s="5"/>
      <c r="Y267" s="5"/>
      <c r="Z267" s="7"/>
      <c r="AA267" s="5"/>
      <c r="AB267" s="5"/>
      <c r="AC267" s="5"/>
      <c r="AD267" s="5"/>
      <c r="AE267" s="5"/>
      <c r="AF267" s="5"/>
      <c r="AG267" s="5"/>
      <c r="AH267" s="5"/>
      <c r="AI267" s="5"/>
    </row>
    <row r="268" spans="1:35" ht="15.75" customHeight="1">
      <c r="A268" s="5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5"/>
      <c r="T268" s="5"/>
      <c r="U268" s="104"/>
      <c r="V268" s="5"/>
      <c r="W268" s="5"/>
      <c r="X268" s="5"/>
      <c r="Y268" s="5"/>
      <c r="Z268" s="7"/>
      <c r="AA268" s="5"/>
      <c r="AB268" s="5"/>
      <c r="AC268" s="5"/>
      <c r="AD268" s="5"/>
      <c r="AE268" s="5"/>
      <c r="AF268" s="5"/>
      <c r="AG268" s="5"/>
      <c r="AH268" s="5"/>
      <c r="AI268" s="5"/>
    </row>
    <row r="269" spans="1:35" ht="15.75" customHeight="1">
      <c r="A269" s="5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5"/>
      <c r="T269" s="5"/>
      <c r="U269" s="104"/>
      <c r="V269" s="5"/>
      <c r="W269" s="5"/>
      <c r="X269" s="5"/>
      <c r="Y269" s="5"/>
      <c r="Z269" s="7"/>
      <c r="AA269" s="5"/>
      <c r="AB269" s="5"/>
      <c r="AC269" s="5"/>
      <c r="AD269" s="5"/>
      <c r="AE269" s="5"/>
      <c r="AF269" s="5"/>
      <c r="AG269" s="5"/>
      <c r="AH269" s="5"/>
      <c r="AI269" s="5"/>
    </row>
    <row r="270" spans="1:35" ht="15.75" customHeight="1">
      <c r="A270" s="5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5"/>
      <c r="T270" s="5"/>
      <c r="U270" s="104"/>
      <c r="V270" s="5"/>
      <c r="W270" s="5"/>
      <c r="X270" s="5"/>
      <c r="Y270" s="5"/>
      <c r="Z270" s="7"/>
      <c r="AA270" s="5"/>
      <c r="AB270" s="5"/>
      <c r="AC270" s="5"/>
      <c r="AD270" s="5"/>
      <c r="AE270" s="5"/>
      <c r="AF270" s="5"/>
      <c r="AG270" s="5"/>
      <c r="AH270" s="5"/>
      <c r="AI270" s="5"/>
    </row>
    <row r="271" spans="1:35" ht="15.75" customHeight="1">
      <c r="A271" s="5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5"/>
      <c r="T271" s="5"/>
      <c r="U271" s="104"/>
      <c r="V271" s="5"/>
      <c r="W271" s="5"/>
      <c r="X271" s="5"/>
      <c r="Y271" s="5"/>
      <c r="Z271" s="7"/>
      <c r="AA271" s="5"/>
      <c r="AB271" s="5"/>
      <c r="AC271" s="5"/>
      <c r="AD271" s="5"/>
      <c r="AE271" s="5"/>
      <c r="AF271" s="5"/>
      <c r="AG271" s="5"/>
      <c r="AH271" s="5"/>
      <c r="AI271" s="5"/>
    </row>
    <row r="272" spans="1:35" ht="15.75" customHeight="1">
      <c r="A272" s="5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5"/>
      <c r="T272" s="5"/>
      <c r="U272" s="104"/>
      <c r="V272" s="5"/>
      <c r="W272" s="5"/>
      <c r="X272" s="5"/>
      <c r="Y272" s="5"/>
      <c r="Z272" s="7"/>
      <c r="AA272" s="5"/>
      <c r="AB272" s="5"/>
      <c r="AC272" s="5"/>
      <c r="AD272" s="5"/>
      <c r="AE272" s="5"/>
      <c r="AF272" s="5"/>
      <c r="AG272" s="5"/>
      <c r="AH272" s="5"/>
      <c r="AI272" s="5"/>
    </row>
    <row r="273" spans="1:35" ht="15.75" customHeight="1">
      <c r="A273" s="5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5"/>
      <c r="T273" s="5"/>
      <c r="U273" s="104"/>
      <c r="V273" s="5"/>
      <c r="W273" s="5"/>
      <c r="X273" s="5"/>
      <c r="Y273" s="5"/>
      <c r="Z273" s="7"/>
      <c r="AA273" s="5"/>
      <c r="AB273" s="5"/>
      <c r="AC273" s="5"/>
      <c r="AD273" s="5"/>
      <c r="AE273" s="5"/>
      <c r="AF273" s="5"/>
      <c r="AG273" s="5"/>
      <c r="AH273" s="5"/>
      <c r="AI273" s="5"/>
    </row>
    <row r="274" spans="1:35" ht="15.75" customHeight="1">
      <c r="A274" s="5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5"/>
      <c r="T274" s="5"/>
      <c r="U274" s="104"/>
      <c r="V274" s="5"/>
      <c r="W274" s="5"/>
      <c r="X274" s="5"/>
      <c r="Y274" s="5"/>
      <c r="Z274" s="7"/>
      <c r="AA274" s="5"/>
      <c r="AB274" s="5"/>
      <c r="AC274" s="5"/>
      <c r="AD274" s="5"/>
      <c r="AE274" s="5"/>
      <c r="AF274" s="5"/>
      <c r="AG274" s="5"/>
      <c r="AH274" s="5"/>
      <c r="AI274" s="5"/>
    </row>
    <row r="275" spans="1:35" ht="15.75" customHeight="1">
      <c r="A275" s="5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5"/>
      <c r="T275" s="5"/>
      <c r="U275" s="104"/>
      <c r="V275" s="5"/>
      <c r="W275" s="5"/>
      <c r="X275" s="5"/>
      <c r="Y275" s="5"/>
      <c r="Z275" s="7"/>
      <c r="AA275" s="5"/>
      <c r="AB275" s="5"/>
      <c r="AC275" s="5"/>
      <c r="AD275" s="5"/>
      <c r="AE275" s="5"/>
      <c r="AF275" s="5"/>
      <c r="AG275" s="5"/>
      <c r="AH275" s="5"/>
      <c r="AI275" s="5"/>
    </row>
    <row r="276" spans="1:35" ht="15.75" customHeight="1">
      <c r="A276" s="5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5"/>
      <c r="T276" s="5"/>
      <c r="U276" s="104"/>
      <c r="V276" s="5"/>
      <c r="W276" s="5"/>
      <c r="X276" s="5"/>
      <c r="Y276" s="5"/>
      <c r="Z276" s="7"/>
      <c r="AA276" s="5"/>
      <c r="AB276" s="5"/>
      <c r="AC276" s="5"/>
      <c r="AD276" s="5"/>
      <c r="AE276" s="5"/>
      <c r="AF276" s="5"/>
      <c r="AG276" s="5"/>
      <c r="AH276" s="5"/>
      <c r="AI276" s="5"/>
    </row>
    <row r="277" spans="1:35" ht="15.75" customHeight="1">
      <c r="A277" s="5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5"/>
      <c r="T277" s="5"/>
      <c r="U277" s="104"/>
      <c r="V277" s="5"/>
      <c r="W277" s="5"/>
      <c r="X277" s="5"/>
      <c r="Y277" s="5"/>
      <c r="Z277" s="7"/>
      <c r="AA277" s="5"/>
      <c r="AB277" s="5"/>
      <c r="AC277" s="5"/>
      <c r="AD277" s="5"/>
      <c r="AE277" s="5"/>
      <c r="AF277" s="5"/>
      <c r="AG277" s="5"/>
      <c r="AH277" s="5"/>
      <c r="AI277" s="5"/>
    </row>
    <row r="278" spans="1:35" ht="15.75" customHeight="1">
      <c r="A278" s="5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5"/>
      <c r="T278" s="5"/>
      <c r="U278" s="104"/>
      <c r="V278" s="5"/>
      <c r="W278" s="5"/>
      <c r="X278" s="5"/>
      <c r="Y278" s="5"/>
      <c r="Z278" s="7"/>
      <c r="AA278" s="5"/>
      <c r="AB278" s="5"/>
      <c r="AC278" s="5"/>
      <c r="AD278" s="5"/>
      <c r="AE278" s="5"/>
      <c r="AF278" s="5"/>
      <c r="AG278" s="5"/>
      <c r="AH278" s="5"/>
      <c r="AI278" s="5"/>
    </row>
    <row r="279" spans="1:35" ht="15.75" customHeight="1">
      <c r="A279" s="5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5"/>
      <c r="T279" s="5"/>
      <c r="U279" s="104"/>
      <c r="V279" s="5"/>
      <c r="W279" s="5"/>
      <c r="X279" s="5"/>
      <c r="Y279" s="5"/>
      <c r="Z279" s="7"/>
      <c r="AA279" s="5"/>
      <c r="AB279" s="5"/>
      <c r="AC279" s="5"/>
      <c r="AD279" s="5"/>
      <c r="AE279" s="5"/>
      <c r="AF279" s="5"/>
      <c r="AG279" s="5"/>
      <c r="AH279" s="5"/>
      <c r="AI279" s="5"/>
    </row>
    <row r="280" spans="1:35" ht="15.75" customHeight="1">
      <c r="A280" s="5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5"/>
      <c r="T280" s="5"/>
      <c r="U280" s="104"/>
      <c r="V280" s="5"/>
      <c r="W280" s="5"/>
      <c r="X280" s="5"/>
      <c r="Y280" s="5"/>
      <c r="Z280" s="7"/>
      <c r="AA280" s="5"/>
      <c r="AB280" s="5"/>
      <c r="AC280" s="5"/>
      <c r="AD280" s="5"/>
      <c r="AE280" s="5"/>
      <c r="AF280" s="5"/>
      <c r="AG280" s="5"/>
      <c r="AH280" s="5"/>
      <c r="AI280" s="5"/>
    </row>
    <row r="281" spans="1:35" ht="15.75" customHeight="1">
      <c r="A281" s="5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5"/>
      <c r="T281" s="5"/>
      <c r="U281" s="104"/>
      <c r="V281" s="5"/>
      <c r="W281" s="5"/>
      <c r="X281" s="5"/>
      <c r="Y281" s="5"/>
      <c r="Z281" s="7"/>
      <c r="AA281" s="5"/>
      <c r="AB281" s="5"/>
      <c r="AC281" s="5"/>
      <c r="AD281" s="5"/>
      <c r="AE281" s="5"/>
      <c r="AF281" s="5"/>
      <c r="AG281" s="5"/>
      <c r="AH281" s="5"/>
      <c r="AI281" s="5"/>
    </row>
    <row r="282" spans="1:35" ht="15.75" customHeight="1">
      <c r="A282" s="5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5"/>
      <c r="T282" s="5"/>
      <c r="U282" s="104"/>
      <c r="V282" s="5"/>
      <c r="W282" s="5"/>
      <c r="X282" s="5"/>
      <c r="Y282" s="5"/>
      <c r="Z282" s="7"/>
      <c r="AA282" s="5"/>
      <c r="AB282" s="5"/>
      <c r="AC282" s="5"/>
      <c r="AD282" s="5"/>
      <c r="AE282" s="5"/>
      <c r="AF282" s="5"/>
      <c r="AG282" s="5"/>
      <c r="AH282" s="5"/>
      <c r="AI282" s="5"/>
    </row>
    <row r="283" spans="1:35" ht="15.75" customHeight="1">
      <c r="A283" s="5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5"/>
      <c r="T283" s="5"/>
      <c r="U283" s="104"/>
      <c r="V283" s="5"/>
      <c r="W283" s="5"/>
      <c r="X283" s="5"/>
      <c r="Y283" s="5"/>
      <c r="Z283" s="7"/>
      <c r="AA283" s="5"/>
      <c r="AB283" s="5"/>
      <c r="AC283" s="5"/>
      <c r="AD283" s="5"/>
      <c r="AE283" s="5"/>
      <c r="AF283" s="5"/>
      <c r="AG283" s="5"/>
      <c r="AH283" s="5"/>
      <c r="AI283" s="5"/>
    </row>
    <row r="284" spans="1:35" ht="15.75" customHeight="1">
      <c r="A284" s="5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5"/>
      <c r="T284" s="5"/>
      <c r="U284" s="104"/>
      <c r="V284" s="5"/>
      <c r="W284" s="5"/>
      <c r="X284" s="5"/>
      <c r="Y284" s="5"/>
      <c r="Z284" s="7"/>
      <c r="AA284" s="5"/>
      <c r="AB284" s="5"/>
      <c r="AC284" s="5"/>
      <c r="AD284" s="5"/>
      <c r="AE284" s="5"/>
      <c r="AF284" s="5"/>
      <c r="AG284" s="5"/>
      <c r="AH284" s="5"/>
      <c r="AI284" s="5"/>
    </row>
    <row r="285" spans="1:35" ht="15.75" customHeight="1">
      <c r="A285" s="5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5"/>
      <c r="T285" s="5"/>
      <c r="U285" s="104"/>
      <c r="V285" s="5"/>
      <c r="W285" s="5"/>
      <c r="X285" s="5"/>
      <c r="Y285" s="5"/>
      <c r="Z285" s="7"/>
      <c r="AA285" s="5"/>
      <c r="AB285" s="5"/>
      <c r="AC285" s="5"/>
      <c r="AD285" s="5"/>
      <c r="AE285" s="5"/>
      <c r="AF285" s="5"/>
      <c r="AG285" s="5"/>
      <c r="AH285" s="5"/>
      <c r="AI285" s="5"/>
    </row>
    <row r="286" spans="1:35" ht="15.75" customHeight="1">
      <c r="A286" s="5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5"/>
      <c r="T286" s="5"/>
      <c r="U286" s="104"/>
      <c r="V286" s="5"/>
      <c r="W286" s="5"/>
      <c r="X286" s="5"/>
      <c r="Y286" s="5"/>
      <c r="Z286" s="7"/>
      <c r="AA286" s="5"/>
      <c r="AB286" s="5"/>
      <c r="AC286" s="5"/>
      <c r="AD286" s="5"/>
      <c r="AE286" s="5"/>
      <c r="AF286" s="5"/>
      <c r="AG286" s="5"/>
      <c r="AH286" s="5"/>
      <c r="AI286" s="5"/>
    </row>
    <row r="287" spans="1:35" ht="15.75" customHeight="1">
      <c r="A287" s="5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5"/>
      <c r="T287" s="5"/>
      <c r="U287" s="104"/>
      <c r="V287" s="5"/>
      <c r="W287" s="5"/>
      <c r="X287" s="5"/>
      <c r="Y287" s="5"/>
      <c r="Z287" s="7"/>
      <c r="AA287" s="5"/>
      <c r="AB287" s="5"/>
      <c r="AC287" s="5"/>
      <c r="AD287" s="5"/>
      <c r="AE287" s="5"/>
      <c r="AF287" s="5"/>
      <c r="AG287" s="5"/>
      <c r="AH287" s="5"/>
      <c r="AI287" s="5"/>
    </row>
    <row r="288" spans="1:35" ht="15.75" customHeight="1">
      <c r="A288" s="5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5"/>
      <c r="T288" s="5"/>
      <c r="U288" s="104"/>
      <c r="V288" s="5"/>
      <c r="W288" s="5"/>
      <c r="X288" s="5"/>
      <c r="Y288" s="5"/>
      <c r="Z288" s="7"/>
      <c r="AA288" s="5"/>
      <c r="AB288" s="5"/>
      <c r="AC288" s="5"/>
      <c r="AD288" s="5"/>
      <c r="AE288" s="5"/>
      <c r="AF288" s="5"/>
      <c r="AG288" s="5"/>
      <c r="AH288" s="5"/>
      <c r="AI288" s="5"/>
    </row>
    <row r="289" spans="1:35" ht="15.75" customHeight="1">
      <c r="A289" s="5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5"/>
      <c r="T289" s="5"/>
      <c r="U289" s="104"/>
      <c r="V289" s="5"/>
      <c r="W289" s="5"/>
      <c r="X289" s="5"/>
      <c r="Y289" s="5"/>
      <c r="Z289" s="7"/>
      <c r="AA289" s="5"/>
      <c r="AB289" s="5"/>
      <c r="AC289" s="5"/>
      <c r="AD289" s="5"/>
      <c r="AE289" s="5"/>
      <c r="AF289" s="5"/>
      <c r="AG289" s="5"/>
      <c r="AH289" s="5"/>
      <c r="AI289" s="5"/>
    </row>
    <row r="290" spans="1:35" ht="15.75" customHeight="1">
      <c r="A290" s="5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5"/>
      <c r="T290" s="5"/>
      <c r="U290" s="104"/>
      <c r="V290" s="5"/>
      <c r="W290" s="5"/>
      <c r="X290" s="5"/>
      <c r="Y290" s="5"/>
      <c r="Z290" s="7"/>
      <c r="AA290" s="5"/>
      <c r="AB290" s="5"/>
      <c r="AC290" s="5"/>
      <c r="AD290" s="5"/>
      <c r="AE290" s="5"/>
      <c r="AF290" s="5"/>
      <c r="AG290" s="5"/>
      <c r="AH290" s="5"/>
      <c r="AI290" s="5"/>
    </row>
    <row r="291" spans="1:35" ht="15.75" customHeight="1">
      <c r="A291" s="5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5"/>
      <c r="T291" s="5"/>
      <c r="U291" s="104"/>
      <c r="V291" s="5"/>
      <c r="W291" s="5"/>
      <c r="X291" s="5"/>
      <c r="Y291" s="5"/>
      <c r="Z291" s="7"/>
      <c r="AA291" s="5"/>
      <c r="AB291" s="5"/>
      <c r="AC291" s="5"/>
      <c r="AD291" s="5"/>
      <c r="AE291" s="5"/>
      <c r="AF291" s="5"/>
      <c r="AG291" s="5"/>
      <c r="AH291" s="5"/>
      <c r="AI291" s="5"/>
    </row>
    <row r="292" spans="1:35" ht="15.75" customHeight="1">
      <c r="A292" s="5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5"/>
      <c r="T292" s="5"/>
      <c r="U292" s="104"/>
      <c r="V292" s="5"/>
      <c r="W292" s="5"/>
      <c r="X292" s="5"/>
      <c r="Y292" s="5"/>
      <c r="Z292" s="7"/>
      <c r="AA292" s="5"/>
      <c r="AB292" s="5"/>
      <c r="AC292" s="5"/>
      <c r="AD292" s="5"/>
      <c r="AE292" s="5"/>
      <c r="AF292" s="5"/>
      <c r="AG292" s="5"/>
      <c r="AH292" s="5"/>
      <c r="AI292" s="5"/>
    </row>
    <row r="293" spans="1:35" ht="15.75" customHeight="1">
      <c r="A293" s="5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5"/>
      <c r="T293" s="5"/>
      <c r="U293" s="104"/>
      <c r="V293" s="5"/>
      <c r="W293" s="5"/>
      <c r="X293" s="5"/>
      <c r="Y293" s="5"/>
      <c r="Z293" s="7"/>
      <c r="AA293" s="5"/>
      <c r="AB293" s="5"/>
      <c r="AC293" s="5"/>
      <c r="AD293" s="5"/>
      <c r="AE293" s="5"/>
      <c r="AF293" s="5"/>
      <c r="AG293" s="5"/>
      <c r="AH293" s="5"/>
      <c r="AI293" s="5"/>
    </row>
    <row r="294" spans="1:35" ht="15.75" customHeight="1">
      <c r="A294" s="5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5"/>
      <c r="T294" s="5"/>
      <c r="U294" s="104"/>
      <c r="V294" s="5"/>
      <c r="W294" s="5"/>
      <c r="X294" s="5"/>
      <c r="Y294" s="5"/>
      <c r="Z294" s="7"/>
      <c r="AA294" s="5"/>
      <c r="AB294" s="5"/>
      <c r="AC294" s="5"/>
      <c r="AD294" s="5"/>
      <c r="AE294" s="5"/>
      <c r="AF294" s="5"/>
      <c r="AG294" s="5"/>
      <c r="AH294" s="5"/>
      <c r="AI294" s="5"/>
    </row>
    <row r="295" spans="1:35" ht="15.75" customHeight="1">
      <c r="A295" s="5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5"/>
      <c r="T295" s="5"/>
      <c r="U295" s="104"/>
      <c r="V295" s="5"/>
      <c r="W295" s="5"/>
      <c r="X295" s="5"/>
      <c r="Y295" s="5"/>
      <c r="Z295" s="7"/>
      <c r="AA295" s="5"/>
      <c r="AB295" s="5"/>
      <c r="AC295" s="5"/>
      <c r="AD295" s="5"/>
      <c r="AE295" s="5"/>
      <c r="AF295" s="5"/>
      <c r="AG295" s="5"/>
      <c r="AH295" s="5"/>
      <c r="AI295" s="5"/>
    </row>
    <row r="296" spans="1:35" ht="15.75" customHeight="1">
      <c r="A296" s="5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5"/>
      <c r="T296" s="5"/>
      <c r="U296" s="104"/>
      <c r="V296" s="5"/>
      <c r="W296" s="5"/>
      <c r="X296" s="5"/>
      <c r="Y296" s="5"/>
      <c r="Z296" s="7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 ht="15.75" customHeight="1">
      <c r="A297" s="5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5"/>
      <c r="T297" s="5"/>
      <c r="U297" s="104"/>
      <c r="V297" s="5"/>
      <c r="W297" s="5"/>
      <c r="X297" s="5"/>
      <c r="Y297" s="5"/>
      <c r="Z297" s="7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 ht="15.75" customHeight="1">
      <c r="A298" s="5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5"/>
      <c r="T298" s="5"/>
      <c r="U298" s="104"/>
      <c r="V298" s="5"/>
      <c r="W298" s="5"/>
      <c r="X298" s="5"/>
      <c r="Y298" s="5"/>
      <c r="Z298" s="7"/>
      <c r="AA298" s="5"/>
      <c r="AB298" s="5"/>
      <c r="AC298" s="5"/>
      <c r="AD298" s="5"/>
      <c r="AE298" s="5"/>
      <c r="AF298" s="5"/>
      <c r="AG298" s="5"/>
      <c r="AH298" s="5"/>
      <c r="AI298" s="5"/>
    </row>
    <row r="299" spans="1:35" ht="15.75" customHeight="1">
      <c r="A299" s="5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5"/>
      <c r="T299" s="5"/>
      <c r="U299" s="104"/>
      <c r="V299" s="5"/>
      <c r="W299" s="5"/>
      <c r="X299" s="5"/>
      <c r="Y299" s="5"/>
      <c r="Z299" s="7"/>
      <c r="AA299" s="5"/>
      <c r="AB299" s="5"/>
      <c r="AC299" s="5"/>
      <c r="AD299" s="5"/>
      <c r="AE299" s="5"/>
      <c r="AF299" s="5"/>
      <c r="AG299" s="5"/>
      <c r="AH299" s="5"/>
      <c r="AI299" s="5"/>
    </row>
    <row r="300" spans="1:35" ht="15.75" customHeight="1">
      <c r="A300" s="5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5"/>
      <c r="T300" s="5"/>
      <c r="U300" s="104"/>
      <c r="V300" s="5"/>
      <c r="W300" s="5"/>
      <c r="X300" s="5"/>
      <c r="Y300" s="5"/>
      <c r="Z300" s="7"/>
      <c r="AA300" s="5"/>
      <c r="AB300" s="5"/>
      <c r="AC300" s="5"/>
      <c r="AD300" s="5"/>
      <c r="AE300" s="5"/>
      <c r="AF300" s="5"/>
      <c r="AG300" s="5"/>
      <c r="AH300" s="5"/>
      <c r="AI300" s="5"/>
    </row>
    <row r="301" spans="1:35" ht="15.75" customHeight="1">
      <c r="A301" s="5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5"/>
      <c r="T301" s="5"/>
      <c r="U301" s="104"/>
      <c r="V301" s="5"/>
      <c r="W301" s="5"/>
      <c r="X301" s="5"/>
      <c r="Y301" s="5"/>
      <c r="Z301" s="7"/>
      <c r="AA301" s="5"/>
      <c r="AB301" s="5"/>
      <c r="AC301" s="5"/>
      <c r="AD301" s="5"/>
      <c r="AE301" s="5"/>
      <c r="AF301" s="5"/>
      <c r="AG301" s="5"/>
      <c r="AH301" s="5"/>
      <c r="AI301" s="5"/>
    </row>
    <row r="302" spans="1:35" ht="15.75" customHeight="1">
      <c r="A302" s="5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5"/>
      <c r="T302" s="5"/>
      <c r="U302" s="104"/>
      <c r="V302" s="5"/>
      <c r="W302" s="5"/>
      <c r="X302" s="5"/>
      <c r="Y302" s="5"/>
      <c r="Z302" s="7"/>
      <c r="AA302" s="5"/>
      <c r="AB302" s="5"/>
      <c r="AC302" s="5"/>
      <c r="AD302" s="5"/>
      <c r="AE302" s="5"/>
      <c r="AF302" s="5"/>
      <c r="AG302" s="5"/>
      <c r="AH302" s="5"/>
      <c r="AI302" s="5"/>
    </row>
    <row r="303" spans="1:35" ht="15.75" customHeight="1">
      <c r="A303" s="5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5"/>
      <c r="T303" s="5"/>
      <c r="U303" s="104"/>
      <c r="V303" s="5"/>
      <c r="W303" s="5"/>
      <c r="X303" s="5"/>
      <c r="Y303" s="5"/>
      <c r="Z303" s="7"/>
      <c r="AA303" s="5"/>
      <c r="AB303" s="5"/>
      <c r="AC303" s="5"/>
      <c r="AD303" s="5"/>
      <c r="AE303" s="5"/>
      <c r="AF303" s="5"/>
      <c r="AG303" s="5"/>
      <c r="AH303" s="5"/>
      <c r="AI303" s="5"/>
    </row>
    <row r="304" spans="1:35" ht="15.75" customHeight="1">
      <c r="A304" s="5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5"/>
      <c r="T304" s="5"/>
      <c r="U304" s="104"/>
      <c r="V304" s="5"/>
      <c r="W304" s="5"/>
      <c r="X304" s="5"/>
      <c r="Y304" s="5"/>
      <c r="Z304" s="7"/>
      <c r="AA304" s="5"/>
      <c r="AB304" s="5"/>
      <c r="AC304" s="5"/>
      <c r="AD304" s="5"/>
      <c r="AE304" s="5"/>
      <c r="AF304" s="5"/>
      <c r="AG304" s="5"/>
      <c r="AH304" s="5"/>
      <c r="AI304" s="5"/>
    </row>
    <row r="305" spans="1:35" ht="15.75" customHeight="1">
      <c r="A305" s="5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5"/>
      <c r="T305" s="5"/>
      <c r="U305" s="104"/>
      <c r="V305" s="5"/>
      <c r="W305" s="5"/>
      <c r="X305" s="5"/>
      <c r="Y305" s="5"/>
      <c r="Z305" s="7"/>
      <c r="AA305" s="5"/>
      <c r="AB305" s="5"/>
      <c r="AC305" s="5"/>
      <c r="AD305" s="5"/>
      <c r="AE305" s="5"/>
      <c r="AF305" s="5"/>
      <c r="AG305" s="5"/>
      <c r="AH305" s="5"/>
      <c r="AI305" s="5"/>
    </row>
    <row r="306" spans="1:35" ht="15.75" customHeight="1">
      <c r="A306" s="5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5"/>
      <c r="T306" s="5"/>
      <c r="U306" s="104"/>
      <c r="V306" s="5"/>
      <c r="W306" s="5"/>
      <c r="X306" s="5"/>
      <c r="Y306" s="5"/>
      <c r="Z306" s="7"/>
      <c r="AA306" s="5"/>
      <c r="AB306" s="5"/>
      <c r="AC306" s="5"/>
      <c r="AD306" s="5"/>
      <c r="AE306" s="5"/>
      <c r="AF306" s="5"/>
      <c r="AG306" s="5"/>
      <c r="AH306" s="5"/>
      <c r="AI306" s="5"/>
    </row>
    <row r="307" spans="1:35" ht="15.75" customHeight="1">
      <c r="A307" s="5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5"/>
      <c r="T307" s="5"/>
      <c r="U307" s="104"/>
      <c r="V307" s="5"/>
      <c r="W307" s="5"/>
      <c r="X307" s="5"/>
      <c r="Y307" s="5"/>
      <c r="Z307" s="7"/>
      <c r="AA307" s="5"/>
      <c r="AB307" s="5"/>
      <c r="AC307" s="5"/>
      <c r="AD307" s="5"/>
      <c r="AE307" s="5"/>
      <c r="AF307" s="5"/>
      <c r="AG307" s="5"/>
      <c r="AH307" s="5"/>
      <c r="AI307" s="5"/>
    </row>
    <row r="308" spans="1:35" ht="15.75" customHeight="1">
      <c r="A308" s="5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5"/>
      <c r="T308" s="5"/>
      <c r="U308" s="104"/>
      <c r="V308" s="5"/>
      <c r="W308" s="5"/>
      <c r="X308" s="5"/>
      <c r="Y308" s="5"/>
      <c r="Z308" s="7"/>
      <c r="AA308" s="5"/>
      <c r="AB308" s="5"/>
      <c r="AC308" s="5"/>
      <c r="AD308" s="5"/>
      <c r="AE308" s="5"/>
      <c r="AF308" s="5"/>
      <c r="AG308" s="5"/>
      <c r="AH308" s="5"/>
      <c r="AI308" s="5"/>
    </row>
    <row r="309" spans="1:35" ht="15.75" customHeight="1">
      <c r="A309" s="5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5"/>
      <c r="T309" s="5"/>
      <c r="U309" s="104"/>
      <c r="V309" s="5"/>
      <c r="W309" s="5"/>
      <c r="X309" s="5"/>
      <c r="Y309" s="5"/>
      <c r="Z309" s="7"/>
      <c r="AA309" s="5"/>
      <c r="AB309" s="5"/>
      <c r="AC309" s="5"/>
      <c r="AD309" s="5"/>
      <c r="AE309" s="5"/>
      <c r="AF309" s="5"/>
      <c r="AG309" s="5"/>
      <c r="AH309" s="5"/>
      <c r="AI309" s="5"/>
    </row>
    <row r="310" spans="1:35" ht="15.75" customHeight="1">
      <c r="A310" s="5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5"/>
      <c r="T310" s="5"/>
      <c r="U310" s="104"/>
      <c r="V310" s="5"/>
      <c r="W310" s="5"/>
      <c r="X310" s="5"/>
      <c r="Y310" s="5"/>
      <c r="Z310" s="7"/>
      <c r="AA310" s="5"/>
      <c r="AB310" s="5"/>
      <c r="AC310" s="5"/>
      <c r="AD310" s="5"/>
      <c r="AE310" s="5"/>
      <c r="AF310" s="5"/>
      <c r="AG310" s="5"/>
      <c r="AH310" s="5"/>
      <c r="AI310" s="5"/>
    </row>
    <row r="311" spans="1:35" ht="15.75" customHeight="1">
      <c r="A311" s="5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5"/>
      <c r="T311" s="5"/>
      <c r="U311" s="104"/>
      <c r="V311" s="5"/>
      <c r="W311" s="5"/>
      <c r="X311" s="5"/>
      <c r="Y311" s="5"/>
      <c r="Z311" s="7"/>
      <c r="AA311" s="5"/>
      <c r="AB311" s="5"/>
      <c r="AC311" s="5"/>
      <c r="AD311" s="5"/>
      <c r="AE311" s="5"/>
      <c r="AF311" s="5"/>
      <c r="AG311" s="5"/>
      <c r="AH311" s="5"/>
      <c r="AI311" s="5"/>
    </row>
    <row r="312" spans="1:35" ht="15.75" customHeight="1">
      <c r="A312" s="5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5"/>
      <c r="T312" s="5"/>
      <c r="U312" s="104"/>
      <c r="V312" s="5"/>
      <c r="W312" s="5"/>
      <c r="X312" s="5"/>
      <c r="Y312" s="5"/>
      <c r="Z312" s="7"/>
      <c r="AA312" s="5"/>
      <c r="AB312" s="5"/>
      <c r="AC312" s="5"/>
      <c r="AD312" s="5"/>
      <c r="AE312" s="5"/>
      <c r="AF312" s="5"/>
      <c r="AG312" s="5"/>
      <c r="AH312" s="5"/>
      <c r="AI312" s="5"/>
    </row>
    <row r="313" spans="1:35" ht="15.75" customHeight="1">
      <c r="A313" s="5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5"/>
      <c r="T313" s="5"/>
      <c r="U313" s="104"/>
      <c r="V313" s="5"/>
      <c r="W313" s="5"/>
      <c r="X313" s="5"/>
      <c r="Y313" s="5"/>
      <c r="Z313" s="7"/>
      <c r="AA313" s="5"/>
      <c r="AB313" s="5"/>
      <c r="AC313" s="5"/>
      <c r="AD313" s="5"/>
      <c r="AE313" s="5"/>
      <c r="AF313" s="5"/>
      <c r="AG313" s="5"/>
      <c r="AH313" s="5"/>
      <c r="AI313" s="5"/>
    </row>
    <row r="314" spans="1:35" ht="15.75" customHeight="1">
      <c r="A314" s="5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5"/>
      <c r="T314" s="5"/>
      <c r="U314" s="104"/>
      <c r="V314" s="5"/>
      <c r="W314" s="5"/>
      <c r="X314" s="5"/>
      <c r="Y314" s="5"/>
      <c r="Z314" s="7"/>
      <c r="AA314" s="5"/>
      <c r="AB314" s="5"/>
      <c r="AC314" s="5"/>
      <c r="AD314" s="5"/>
      <c r="AE314" s="5"/>
      <c r="AF314" s="5"/>
      <c r="AG314" s="5"/>
      <c r="AH314" s="5"/>
      <c r="AI314" s="5"/>
    </row>
    <row r="315" spans="1:35" ht="15.75" customHeight="1">
      <c r="A315" s="5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5"/>
      <c r="T315" s="5"/>
      <c r="U315" s="104"/>
      <c r="V315" s="5"/>
      <c r="W315" s="5"/>
      <c r="X315" s="5"/>
      <c r="Y315" s="5"/>
      <c r="Z315" s="7"/>
      <c r="AA315" s="5"/>
      <c r="AB315" s="5"/>
      <c r="AC315" s="5"/>
      <c r="AD315" s="5"/>
      <c r="AE315" s="5"/>
      <c r="AF315" s="5"/>
      <c r="AG315" s="5"/>
      <c r="AH315" s="5"/>
      <c r="AI315" s="5"/>
    </row>
    <row r="316" spans="1:35" ht="15.75" customHeight="1">
      <c r="A316" s="5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5"/>
      <c r="T316" s="5"/>
      <c r="U316" s="104"/>
      <c r="V316" s="5"/>
      <c r="W316" s="5"/>
      <c r="X316" s="5"/>
      <c r="Y316" s="5"/>
      <c r="Z316" s="7"/>
      <c r="AA316" s="5"/>
      <c r="AB316" s="5"/>
      <c r="AC316" s="5"/>
      <c r="AD316" s="5"/>
      <c r="AE316" s="5"/>
      <c r="AF316" s="5"/>
      <c r="AG316" s="5"/>
      <c r="AH316" s="5"/>
      <c r="AI316" s="5"/>
    </row>
    <row r="317" spans="1:35" ht="15.75" customHeight="1">
      <c r="A317" s="5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5"/>
      <c r="T317" s="5"/>
      <c r="U317" s="104"/>
      <c r="V317" s="5"/>
      <c r="W317" s="5"/>
      <c r="X317" s="5"/>
      <c r="Y317" s="5"/>
      <c r="Z317" s="7"/>
      <c r="AA317" s="5"/>
      <c r="AB317" s="5"/>
      <c r="AC317" s="5"/>
      <c r="AD317" s="5"/>
      <c r="AE317" s="5"/>
      <c r="AF317" s="5"/>
      <c r="AG317" s="5"/>
      <c r="AH317" s="5"/>
      <c r="AI317" s="5"/>
    </row>
    <row r="318" spans="1:35" ht="15.75" customHeight="1">
      <c r="A318" s="5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5"/>
      <c r="T318" s="5"/>
      <c r="U318" s="104"/>
      <c r="V318" s="5"/>
      <c r="W318" s="5"/>
      <c r="X318" s="5"/>
      <c r="Y318" s="5"/>
      <c r="Z318" s="7"/>
      <c r="AA318" s="5"/>
      <c r="AB318" s="5"/>
      <c r="AC318" s="5"/>
      <c r="AD318" s="5"/>
      <c r="AE318" s="5"/>
      <c r="AF318" s="5"/>
      <c r="AG318" s="5"/>
      <c r="AH318" s="5"/>
      <c r="AI318" s="5"/>
    </row>
    <row r="319" spans="1:35" ht="15.75" customHeight="1">
      <c r="A319" s="5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5"/>
      <c r="T319" s="5"/>
      <c r="U319" s="104"/>
      <c r="V319" s="5"/>
      <c r="W319" s="5"/>
      <c r="X319" s="5"/>
      <c r="Y319" s="5"/>
      <c r="Z319" s="7"/>
      <c r="AA319" s="5"/>
      <c r="AB319" s="5"/>
      <c r="AC319" s="5"/>
      <c r="AD319" s="5"/>
      <c r="AE319" s="5"/>
      <c r="AF319" s="5"/>
      <c r="AG319" s="5"/>
      <c r="AH319" s="5"/>
      <c r="AI319" s="5"/>
    </row>
    <row r="320" spans="1:35" ht="15.75" customHeight="1">
      <c r="A320" s="5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5"/>
      <c r="T320" s="5"/>
      <c r="U320" s="104"/>
      <c r="V320" s="5"/>
      <c r="W320" s="5"/>
      <c r="X320" s="5"/>
      <c r="Y320" s="5"/>
      <c r="Z320" s="7"/>
      <c r="AA320" s="5"/>
      <c r="AB320" s="5"/>
      <c r="AC320" s="5"/>
      <c r="AD320" s="5"/>
      <c r="AE320" s="5"/>
      <c r="AF320" s="5"/>
      <c r="AG320" s="5"/>
      <c r="AH320" s="5"/>
      <c r="AI320" s="5"/>
    </row>
    <row r="321" spans="1:35" ht="15.75" customHeight="1">
      <c r="A321" s="5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5"/>
      <c r="T321" s="5"/>
      <c r="U321" s="104"/>
      <c r="V321" s="5"/>
      <c r="W321" s="5"/>
      <c r="X321" s="5"/>
      <c r="Y321" s="5"/>
      <c r="Z321" s="7"/>
      <c r="AA321" s="5"/>
      <c r="AB321" s="5"/>
      <c r="AC321" s="5"/>
      <c r="AD321" s="5"/>
      <c r="AE321" s="5"/>
      <c r="AF321" s="5"/>
      <c r="AG321" s="5"/>
      <c r="AH321" s="5"/>
      <c r="AI321" s="5"/>
    </row>
    <row r="322" spans="1:35" ht="15.75" customHeight="1">
      <c r="A322" s="5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5"/>
      <c r="T322" s="5"/>
      <c r="U322" s="104"/>
      <c r="V322" s="5"/>
      <c r="W322" s="5"/>
      <c r="X322" s="5"/>
      <c r="Y322" s="5"/>
      <c r="Z322" s="7"/>
      <c r="AA322" s="5"/>
      <c r="AB322" s="5"/>
      <c r="AC322" s="5"/>
      <c r="AD322" s="5"/>
      <c r="AE322" s="5"/>
      <c r="AF322" s="5"/>
      <c r="AG322" s="5"/>
      <c r="AH322" s="5"/>
      <c r="AI322" s="5"/>
    </row>
    <row r="323" spans="1:35" ht="15.75" customHeight="1">
      <c r="A323" s="5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5"/>
      <c r="T323" s="5"/>
      <c r="U323" s="104"/>
      <c r="V323" s="5"/>
      <c r="W323" s="5"/>
      <c r="X323" s="5"/>
      <c r="Y323" s="5"/>
      <c r="Z323" s="7"/>
      <c r="AA323" s="5"/>
      <c r="AB323" s="5"/>
      <c r="AC323" s="5"/>
      <c r="AD323" s="5"/>
      <c r="AE323" s="5"/>
      <c r="AF323" s="5"/>
      <c r="AG323" s="5"/>
      <c r="AH323" s="5"/>
      <c r="AI323" s="5"/>
    </row>
    <row r="324" spans="1:35" ht="15.75" customHeight="1">
      <c r="A324" s="5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5"/>
      <c r="T324" s="5"/>
      <c r="U324" s="104"/>
      <c r="V324" s="5"/>
      <c r="W324" s="5"/>
      <c r="X324" s="5"/>
      <c r="Y324" s="5"/>
      <c r="Z324" s="7"/>
      <c r="AA324" s="5"/>
      <c r="AB324" s="5"/>
      <c r="AC324" s="5"/>
      <c r="AD324" s="5"/>
      <c r="AE324" s="5"/>
      <c r="AF324" s="5"/>
      <c r="AG324" s="5"/>
      <c r="AH324" s="5"/>
      <c r="AI324" s="5"/>
    </row>
    <row r="325" spans="1:35" ht="15.75" customHeight="1">
      <c r="A325" s="5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5"/>
      <c r="T325" s="5"/>
      <c r="U325" s="104"/>
      <c r="V325" s="5"/>
      <c r="W325" s="5"/>
      <c r="X325" s="5"/>
      <c r="Y325" s="5"/>
      <c r="Z325" s="7"/>
      <c r="AA325" s="5"/>
      <c r="AB325" s="5"/>
      <c r="AC325" s="5"/>
      <c r="AD325" s="5"/>
      <c r="AE325" s="5"/>
      <c r="AF325" s="5"/>
      <c r="AG325" s="5"/>
      <c r="AH325" s="5"/>
      <c r="AI325" s="5"/>
    </row>
    <row r="326" spans="1:35" ht="15.75" customHeight="1">
      <c r="A326" s="5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5"/>
      <c r="T326" s="5"/>
      <c r="U326" s="104"/>
      <c r="V326" s="5"/>
      <c r="W326" s="5"/>
      <c r="X326" s="5"/>
      <c r="Y326" s="5"/>
      <c r="Z326" s="7"/>
      <c r="AA326" s="5"/>
      <c r="AB326" s="5"/>
      <c r="AC326" s="5"/>
      <c r="AD326" s="5"/>
      <c r="AE326" s="5"/>
      <c r="AF326" s="5"/>
      <c r="AG326" s="5"/>
      <c r="AH326" s="5"/>
      <c r="AI326" s="5"/>
    </row>
    <row r="327" spans="1:35" ht="15.75" customHeight="1">
      <c r="A327" s="5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5"/>
      <c r="T327" s="5"/>
      <c r="U327" s="104"/>
      <c r="V327" s="5"/>
      <c r="W327" s="5"/>
      <c r="X327" s="5"/>
      <c r="Y327" s="5"/>
      <c r="Z327" s="7"/>
      <c r="AA327" s="5"/>
      <c r="AB327" s="5"/>
      <c r="AC327" s="5"/>
      <c r="AD327" s="5"/>
      <c r="AE327" s="5"/>
      <c r="AF327" s="5"/>
      <c r="AG327" s="5"/>
      <c r="AH327" s="5"/>
      <c r="AI327" s="5"/>
    </row>
    <row r="328" spans="1:35" ht="15.75" customHeight="1">
      <c r="A328" s="5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5"/>
      <c r="T328" s="5"/>
      <c r="U328" s="104"/>
      <c r="V328" s="5"/>
      <c r="W328" s="5"/>
      <c r="X328" s="5"/>
      <c r="Y328" s="5"/>
      <c r="Z328" s="7"/>
      <c r="AA328" s="5"/>
      <c r="AB328" s="5"/>
      <c r="AC328" s="5"/>
      <c r="AD328" s="5"/>
      <c r="AE328" s="5"/>
      <c r="AF328" s="5"/>
      <c r="AG328" s="5"/>
      <c r="AH328" s="5"/>
      <c r="AI328" s="5"/>
    </row>
    <row r="329" spans="1:35" ht="15.75" customHeight="1">
      <c r="A329" s="5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5"/>
      <c r="T329" s="5"/>
      <c r="U329" s="104"/>
      <c r="V329" s="5"/>
      <c r="W329" s="5"/>
      <c r="X329" s="5"/>
      <c r="Y329" s="5"/>
      <c r="Z329" s="7"/>
      <c r="AA329" s="5"/>
      <c r="AB329" s="5"/>
      <c r="AC329" s="5"/>
      <c r="AD329" s="5"/>
      <c r="AE329" s="5"/>
      <c r="AF329" s="5"/>
      <c r="AG329" s="5"/>
      <c r="AH329" s="5"/>
      <c r="AI329" s="5"/>
    </row>
    <row r="330" spans="1:35" ht="15.75" customHeight="1">
      <c r="A330" s="5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5"/>
      <c r="T330" s="5"/>
      <c r="U330" s="104"/>
      <c r="V330" s="5"/>
      <c r="W330" s="5"/>
      <c r="X330" s="5"/>
      <c r="Y330" s="5"/>
      <c r="Z330" s="7"/>
      <c r="AA330" s="5"/>
      <c r="AB330" s="5"/>
      <c r="AC330" s="5"/>
      <c r="AD330" s="5"/>
      <c r="AE330" s="5"/>
      <c r="AF330" s="5"/>
      <c r="AG330" s="5"/>
      <c r="AH330" s="5"/>
      <c r="AI330" s="5"/>
    </row>
    <row r="331" spans="1:35" ht="15.75" customHeight="1">
      <c r="A331" s="5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5"/>
      <c r="T331" s="5"/>
      <c r="U331" s="104"/>
      <c r="V331" s="5"/>
      <c r="W331" s="5"/>
      <c r="X331" s="5"/>
      <c r="Y331" s="5"/>
      <c r="Z331" s="7"/>
      <c r="AA331" s="5"/>
      <c r="AB331" s="5"/>
      <c r="AC331" s="5"/>
      <c r="AD331" s="5"/>
      <c r="AE331" s="5"/>
      <c r="AF331" s="5"/>
      <c r="AG331" s="5"/>
      <c r="AH331" s="5"/>
      <c r="AI331" s="5"/>
    </row>
    <row r="332" spans="1:35" ht="15.75" customHeight="1">
      <c r="A332" s="5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5"/>
      <c r="T332" s="5"/>
      <c r="U332" s="104"/>
      <c r="V332" s="5"/>
      <c r="W332" s="5"/>
      <c r="X332" s="5"/>
      <c r="Y332" s="5"/>
      <c r="Z332" s="7"/>
      <c r="AA332" s="5"/>
      <c r="AB332" s="5"/>
      <c r="AC332" s="5"/>
      <c r="AD332" s="5"/>
      <c r="AE332" s="5"/>
      <c r="AF332" s="5"/>
      <c r="AG332" s="5"/>
      <c r="AH332" s="5"/>
      <c r="AI332" s="5"/>
    </row>
    <row r="333" spans="1:35" ht="15.75" customHeight="1">
      <c r="A333" s="5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5"/>
      <c r="T333" s="5"/>
      <c r="U333" s="104"/>
      <c r="V333" s="5"/>
      <c r="W333" s="5"/>
      <c r="X333" s="5"/>
      <c r="Y333" s="5"/>
      <c r="Z333" s="7"/>
      <c r="AA333" s="5"/>
      <c r="AB333" s="5"/>
      <c r="AC333" s="5"/>
      <c r="AD333" s="5"/>
      <c r="AE333" s="5"/>
      <c r="AF333" s="5"/>
      <c r="AG333" s="5"/>
      <c r="AH333" s="5"/>
      <c r="AI333" s="5"/>
    </row>
    <row r="334" spans="1:35" ht="15.75" customHeight="1">
      <c r="A334" s="5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5"/>
      <c r="T334" s="5"/>
      <c r="U334" s="104"/>
      <c r="V334" s="5"/>
      <c r="W334" s="5"/>
      <c r="X334" s="5"/>
      <c r="Y334" s="5"/>
      <c r="Z334" s="7"/>
      <c r="AA334" s="5"/>
      <c r="AB334" s="5"/>
      <c r="AC334" s="5"/>
      <c r="AD334" s="5"/>
      <c r="AE334" s="5"/>
      <c r="AF334" s="5"/>
      <c r="AG334" s="5"/>
      <c r="AH334" s="5"/>
      <c r="AI334" s="5"/>
    </row>
    <row r="335" spans="1:35" ht="15.75" customHeight="1">
      <c r="A335" s="5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5"/>
      <c r="T335" s="5"/>
      <c r="U335" s="104"/>
      <c r="V335" s="5"/>
      <c r="W335" s="5"/>
      <c r="X335" s="5"/>
      <c r="Y335" s="5"/>
      <c r="Z335" s="7"/>
      <c r="AA335" s="5"/>
      <c r="AB335" s="5"/>
      <c r="AC335" s="5"/>
      <c r="AD335" s="5"/>
      <c r="AE335" s="5"/>
      <c r="AF335" s="5"/>
      <c r="AG335" s="5"/>
      <c r="AH335" s="5"/>
      <c r="AI335" s="5"/>
    </row>
    <row r="336" spans="1:35" ht="15.75" customHeight="1">
      <c r="A336" s="5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5"/>
      <c r="T336" s="5"/>
      <c r="U336" s="104"/>
      <c r="V336" s="5"/>
      <c r="W336" s="5"/>
      <c r="X336" s="5"/>
      <c r="Y336" s="5"/>
      <c r="Z336" s="7"/>
      <c r="AA336" s="5"/>
      <c r="AB336" s="5"/>
      <c r="AC336" s="5"/>
      <c r="AD336" s="5"/>
      <c r="AE336" s="5"/>
      <c r="AF336" s="5"/>
      <c r="AG336" s="5"/>
      <c r="AH336" s="5"/>
      <c r="AI336" s="5"/>
    </row>
    <row r="337" spans="1:35" ht="15.75" customHeight="1">
      <c r="A337" s="5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5"/>
      <c r="T337" s="5"/>
      <c r="U337" s="104"/>
      <c r="V337" s="5"/>
      <c r="W337" s="5"/>
      <c r="X337" s="5"/>
      <c r="Y337" s="5"/>
      <c r="Z337" s="7"/>
      <c r="AA337" s="5"/>
      <c r="AB337" s="5"/>
      <c r="AC337" s="5"/>
      <c r="AD337" s="5"/>
      <c r="AE337" s="5"/>
      <c r="AF337" s="5"/>
      <c r="AG337" s="5"/>
      <c r="AH337" s="5"/>
      <c r="AI337" s="5"/>
    </row>
    <row r="338" spans="1:35" ht="15.75" customHeight="1">
      <c r="A338" s="5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5"/>
      <c r="T338" s="5"/>
      <c r="U338" s="104"/>
      <c r="V338" s="5"/>
      <c r="W338" s="5"/>
      <c r="X338" s="5"/>
      <c r="Y338" s="5"/>
      <c r="Z338" s="7"/>
      <c r="AA338" s="5"/>
      <c r="AB338" s="5"/>
      <c r="AC338" s="5"/>
      <c r="AD338" s="5"/>
      <c r="AE338" s="5"/>
      <c r="AF338" s="5"/>
      <c r="AG338" s="5"/>
      <c r="AH338" s="5"/>
      <c r="AI338" s="5"/>
    </row>
    <row r="339" spans="1:35" ht="15.75" customHeight="1">
      <c r="A339" s="5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5"/>
      <c r="T339" s="5"/>
      <c r="U339" s="104"/>
      <c r="V339" s="5"/>
      <c r="W339" s="5"/>
      <c r="X339" s="5"/>
      <c r="Y339" s="5"/>
      <c r="Z339" s="7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ht="15.75" customHeight="1">
      <c r="A340" s="5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5"/>
      <c r="T340" s="5"/>
      <c r="U340" s="104"/>
      <c r="V340" s="5"/>
      <c r="W340" s="5"/>
      <c r="X340" s="5"/>
      <c r="Y340" s="5"/>
      <c r="Z340" s="7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 ht="15.75" customHeight="1">
      <c r="A341" s="5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5"/>
      <c r="T341" s="5"/>
      <c r="U341" s="104"/>
      <c r="V341" s="5"/>
      <c r="W341" s="5"/>
      <c r="X341" s="5"/>
      <c r="Y341" s="5"/>
      <c r="Z341" s="7"/>
      <c r="AA341" s="5"/>
      <c r="AB341" s="5"/>
      <c r="AC341" s="5"/>
      <c r="AD341" s="5"/>
      <c r="AE341" s="5"/>
      <c r="AF341" s="5"/>
      <c r="AG341" s="5"/>
      <c r="AH341" s="5"/>
      <c r="AI341" s="5"/>
    </row>
    <row r="342" spans="1:35" ht="15.75" customHeight="1">
      <c r="A342" s="5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5"/>
      <c r="T342" s="5"/>
      <c r="U342" s="104"/>
      <c r="V342" s="5"/>
      <c r="W342" s="5"/>
      <c r="X342" s="5"/>
      <c r="Y342" s="5"/>
      <c r="Z342" s="7"/>
      <c r="AA342" s="5"/>
      <c r="AB342" s="5"/>
      <c r="AC342" s="5"/>
      <c r="AD342" s="5"/>
      <c r="AE342" s="5"/>
      <c r="AF342" s="5"/>
      <c r="AG342" s="5"/>
      <c r="AH342" s="5"/>
      <c r="AI342" s="5"/>
    </row>
    <row r="343" spans="1:35" ht="15.75" customHeight="1">
      <c r="A343" s="5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5"/>
      <c r="T343" s="5"/>
      <c r="U343" s="104"/>
      <c r="V343" s="5"/>
      <c r="W343" s="5"/>
      <c r="X343" s="5"/>
      <c r="Y343" s="5"/>
      <c r="Z343" s="7"/>
      <c r="AA343" s="5"/>
      <c r="AB343" s="5"/>
      <c r="AC343" s="5"/>
      <c r="AD343" s="5"/>
      <c r="AE343" s="5"/>
      <c r="AF343" s="5"/>
      <c r="AG343" s="5"/>
      <c r="AH343" s="5"/>
      <c r="AI343" s="5"/>
    </row>
    <row r="344" spans="1:35" ht="15.75" customHeight="1">
      <c r="A344" s="5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5"/>
      <c r="T344" s="5"/>
      <c r="U344" s="104"/>
      <c r="V344" s="5"/>
      <c r="W344" s="5"/>
      <c r="X344" s="5"/>
      <c r="Y344" s="5"/>
      <c r="Z344" s="7"/>
      <c r="AA344" s="5"/>
      <c r="AB344" s="5"/>
      <c r="AC344" s="5"/>
      <c r="AD344" s="5"/>
      <c r="AE344" s="5"/>
      <c r="AF344" s="5"/>
      <c r="AG344" s="5"/>
      <c r="AH344" s="5"/>
      <c r="AI344" s="5"/>
    </row>
    <row r="345" spans="1:35" ht="15.75" customHeight="1">
      <c r="A345" s="5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5"/>
      <c r="T345" s="5"/>
      <c r="U345" s="104"/>
      <c r="V345" s="5"/>
      <c r="W345" s="5"/>
      <c r="X345" s="5"/>
      <c r="Y345" s="5"/>
      <c r="Z345" s="7"/>
      <c r="AA345" s="5"/>
      <c r="AB345" s="5"/>
      <c r="AC345" s="5"/>
      <c r="AD345" s="5"/>
      <c r="AE345" s="5"/>
      <c r="AF345" s="5"/>
      <c r="AG345" s="5"/>
      <c r="AH345" s="5"/>
      <c r="AI345" s="5"/>
    </row>
    <row r="346" spans="1:35" ht="15.75" customHeight="1">
      <c r="A346" s="5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5"/>
      <c r="T346" s="5"/>
      <c r="U346" s="104"/>
      <c r="V346" s="5"/>
      <c r="W346" s="5"/>
      <c r="X346" s="5"/>
      <c r="Y346" s="5"/>
      <c r="Z346" s="7"/>
      <c r="AA346" s="5"/>
      <c r="AB346" s="5"/>
      <c r="AC346" s="5"/>
      <c r="AD346" s="5"/>
      <c r="AE346" s="5"/>
      <c r="AF346" s="5"/>
      <c r="AG346" s="5"/>
      <c r="AH346" s="5"/>
      <c r="AI346" s="5"/>
    </row>
    <row r="347" spans="1:35" ht="15.75" customHeight="1">
      <c r="A347" s="5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5"/>
      <c r="T347" s="5"/>
      <c r="U347" s="104"/>
      <c r="V347" s="5"/>
      <c r="W347" s="5"/>
      <c r="X347" s="5"/>
      <c r="Y347" s="5"/>
      <c r="Z347" s="7"/>
      <c r="AA347" s="5"/>
      <c r="AB347" s="5"/>
      <c r="AC347" s="5"/>
      <c r="AD347" s="5"/>
      <c r="AE347" s="5"/>
      <c r="AF347" s="5"/>
      <c r="AG347" s="5"/>
      <c r="AH347" s="5"/>
      <c r="AI347" s="5"/>
    </row>
    <row r="348" spans="1:35" ht="15.75" customHeight="1">
      <c r="A348" s="5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5"/>
      <c r="T348" s="5"/>
      <c r="U348" s="104"/>
      <c r="V348" s="5"/>
      <c r="W348" s="5"/>
      <c r="X348" s="5"/>
      <c r="Y348" s="5"/>
      <c r="Z348" s="7"/>
      <c r="AA348" s="5"/>
      <c r="AB348" s="5"/>
      <c r="AC348" s="5"/>
      <c r="AD348" s="5"/>
      <c r="AE348" s="5"/>
      <c r="AF348" s="5"/>
      <c r="AG348" s="5"/>
      <c r="AH348" s="5"/>
      <c r="AI348" s="5"/>
    </row>
    <row r="349" spans="1:35" ht="15.75" customHeight="1">
      <c r="A349" s="5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5"/>
      <c r="T349" s="5"/>
      <c r="U349" s="104"/>
      <c r="V349" s="5"/>
      <c r="W349" s="5"/>
      <c r="X349" s="5"/>
      <c r="Y349" s="5"/>
      <c r="Z349" s="7"/>
      <c r="AA349" s="5"/>
      <c r="AB349" s="5"/>
      <c r="AC349" s="5"/>
      <c r="AD349" s="5"/>
      <c r="AE349" s="5"/>
      <c r="AF349" s="5"/>
      <c r="AG349" s="5"/>
      <c r="AH349" s="5"/>
      <c r="AI349" s="5"/>
    </row>
    <row r="350" spans="1:35" ht="15.75" customHeight="1">
      <c r="A350" s="5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5"/>
      <c r="T350" s="5"/>
      <c r="U350" s="104"/>
      <c r="V350" s="5"/>
      <c r="W350" s="5"/>
      <c r="X350" s="5"/>
      <c r="Y350" s="5"/>
      <c r="Z350" s="7"/>
      <c r="AA350" s="5"/>
      <c r="AB350" s="5"/>
      <c r="AC350" s="5"/>
      <c r="AD350" s="5"/>
      <c r="AE350" s="5"/>
      <c r="AF350" s="5"/>
      <c r="AG350" s="5"/>
      <c r="AH350" s="5"/>
      <c r="AI350" s="5"/>
    </row>
    <row r="351" spans="1:35" ht="15.75" customHeight="1">
      <c r="A351" s="5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5"/>
      <c r="T351" s="5"/>
      <c r="U351" s="104"/>
      <c r="V351" s="5"/>
      <c r="W351" s="5"/>
      <c r="X351" s="5"/>
      <c r="Y351" s="5"/>
      <c r="Z351" s="7"/>
      <c r="AA351" s="5"/>
      <c r="AB351" s="5"/>
      <c r="AC351" s="5"/>
      <c r="AD351" s="5"/>
      <c r="AE351" s="5"/>
      <c r="AF351" s="5"/>
      <c r="AG351" s="5"/>
      <c r="AH351" s="5"/>
      <c r="AI351" s="5"/>
    </row>
    <row r="352" spans="1:35" ht="15.75" customHeight="1">
      <c r="A352" s="5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5"/>
      <c r="T352" s="5"/>
      <c r="U352" s="104"/>
      <c r="V352" s="5"/>
      <c r="W352" s="5"/>
      <c r="X352" s="5"/>
      <c r="Y352" s="5"/>
      <c r="Z352" s="7"/>
      <c r="AA352" s="5"/>
      <c r="AB352" s="5"/>
      <c r="AC352" s="5"/>
      <c r="AD352" s="5"/>
      <c r="AE352" s="5"/>
      <c r="AF352" s="5"/>
      <c r="AG352" s="5"/>
      <c r="AH352" s="5"/>
      <c r="AI352" s="5"/>
    </row>
    <row r="353" spans="1:35" ht="15.75" customHeight="1">
      <c r="A353" s="5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5"/>
      <c r="T353" s="5"/>
      <c r="U353" s="104"/>
      <c r="V353" s="5"/>
      <c r="W353" s="5"/>
      <c r="X353" s="5"/>
      <c r="Y353" s="5"/>
      <c r="Z353" s="7"/>
      <c r="AA353" s="5"/>
      <c r="AB353" s="5"/>
      <c r="AC353" s="5"/>
      <c r="AD353" s="5"/>
      <c r="AE353" s="5"/>
      <c r="AF353" s="5"/>
      <c r="AG353" s="5"/>
      <c r="AH353" s="5"/>
      <c r="AI353" s="5"/>
    </row>
    <row r="354" spans="1:35" ht="15.75" customHeight="1">
      <c r="A354" s="5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5"/>
      <c r="T354" s="5"/>
      <c r="U354" s="104"/>
      <c r="V354" s="5"/>
      <c r="W354" s="5"/>
      <c r="X354" s="5"/>
      <c r="Y354" s="5"/>
      <c r="Z354" s="7"/>
      <c r="AA354" s="5"/>
      <c r="AB354" s="5"/>
      <c r="AC354" s="5"/>
      <c r="AD354" s="5"/>
      <c r="AE354" s="5"/>
      <c r="AF354" s="5"/>
      <c r="AG354" s="5"/>
      <c r="AH354" s="5"/>
      <c r="AI354" s="5"/>
    </row>
    <row r="355" spans="1:35" ht="15.75" customHeight="1">
      <c r="A355" s="5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5"/>
      <c r="T355" s="5"/>
      <c r="U355" s="104"/>
      <c r="V355" s="5"/>
      <c r="W355" s="5"/>
      <c r="X355" s="5"/>
      <c r="Y355" s="5"/>
      <c r="Z355" s="7"/>
      <c r="AA355" s="5"/>
      <c r="AB355" s="5"/>
      <c r="AC355" s="5"/>
      <c r="AD355" s="5"/>
      <c r="AE355" s="5"/>
      <c r="AF355" s="5"/>
      <c r="AG355" s="5"/>
      <c r="AH355" s="5"/>
      <c r="AI355" s="5"/>
    </row>
    <row r="356" spans="1:35" ht="15.75" customHeight="1">
      <c r="A356" s="5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5"/>
      <c r="T356" s="5"/>
      <c r="U356" s="104"/>
      <c r="V356" s="5"/>
      <c r="W356" s="5"/>
      <c r="X356" s="5"/>
      <c r="Y356" s="5"/>
      <c r="Z356" s="7"/>
      <c r="AA356" s="5"/>
      <c r="AB356" s="5"/>
      <c r="AC356" s="5"/>
      <c r="AD356" s="5"/>
      <c r="AE356" s="5"/>
      <c r="AF356" s="5"/>
      <c r="AG356" s="5"/>
      <c r="AH356" s="5"/>
      <c r="AI356" s="5"/>
    </row>
    <row r="357" spans="1:35" ht="15.75" customHeight="1">
      <c r="A357" s="5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5"/>
      <c r="T357" s="5"/>
      <c r="U357" s="104"/>
      <c r="V357" s="5"/>
      <c r="W357" s="5"/>
      <c r="X357" s="5"/>
      <c r="Y357" s="5"/>
      <c r="Z357" s="7"/>
      <c r="AA357" s="5"/>
      <c r="AB357" s="5"/>
      <c r="AC357" s="5"/>
      <c r="AD357" s="5"/>
      <c r="AE357" s="5"/>
      <c r="AF357" s="5"/>
      <c r="AG357" s="5"/>
      <c r="AH357" s="5"/>
      <c r="AI357" s="5"/>
    </row>
    <row r="358" spans="1:35" ht="15.75" customHeight="1">
      <c r="A358" s="5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5"/>
      <c r="T358" s="5"/>
      <c r="U358" s="104"/>
      <c r="V358" s="5"/>
      <c r="W358" s="5"/>
      <c r="X358" s="5"/>
      <c r="Y358" s="5"/>
      <c r="Z358" s="7"/>
      <c r="AA358" s="5"/>
      <c r="AB358" s="5"/>
      <c r="AC358" s="5"/>
      <c r="AD358" s="5"/>
      <c r="AE358" s="5"/>
      <c r="AF358" s="5"/>
      <c r="AG358" s="5"/>
      <c r="AH358" s="5"/>
      <c r="AI358" s="5"/>
    </row>
    <row r="359" spans="1:35" ht="15.75" customHeight="1">
      <c r="A359" s="5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5"/>
      <c r="T359" s="5"/>
      <c r="U359" s="104"/>
      <c r="V359" s="5"/>
      <c r="W359" s="5"/>
      <c r="X359" s="5"/>
      <c r="Y359" s="5"/>
      <c r="Z359" s="7"/>
      <c r="AA359" s="5"/>
      <c r="AB359" s="5"/>
      <c r="AC359" s="5"/>
      <c r="AD359" s="5"/>
      <c r="AE359" s="5"/>
      <c r="AF359" s="5"/>
      <c r="AG359" s="5"/>
      <c r="AH359" s="5"/>
      <c r="AI359" s="5"/>
    </row>
    <row r="360" spans="1:35" ht="15.75" customHeight="1">
      <c r="A360" s="5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5"/>
      <c r="T360" s="5"/>
      <c r="U360" s="104"/>
      <c r="V360" s="5"/>
      <c r="W360" s="5"/>
      <c r="X360" s="5"/>
      <c r="Y360" s="5"/>
      <c r="Z360" s="7"/>
      <c r="AA360" s="5"/>
      <c r="AB360" s="5"/>
      <c r="AC360" s="5"/>
      <c r="AD360" s="5"/>
      <c r="AE360" s="5"/>
      <c r="AF360" s="5"/>
      <c r="AG360" s="5"/>
      <c r="AH360" s="5"/>
      <c r="AI360" s="5"/>
    </row>
    <row r="361" spans="1:35" ht="15.75" customHeight="1">
      <c r="A361" s="5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5"/>
      <c r="T361" s="5"/>
      <c r="U361" s="104"/>
      <c r="V361" s="5"/>
      <c r="W361" s="5"/>
      <c r="X361" s="5"/>
      <c r="Y361" s="5"/>
      <c r="Z361" s="7"/>
      <c r="AA361" s="5"/>
      <c r="AB361" s="5"/>
      <c r="AC361" s="5"/>
      <c r="AD361" s="5"/>
      <c r="AE361" s="5"/>
      <c r="AF361" s="5"/>
      <c r="AG361" s="5"/>
      <c r="AH361" s="5"/>
      <c r="AI361" s="5"/>
    </row>
    <row r="362" spans="1:35" ht="15.75" customHeight="1">
      <c r="A362" s="5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5"/>
      <c r="T362" s="5"/>
      <c r="U362" s="104"/>
      <c r="V362" s="5"/>
      <c r="W362" s="5"/>
      <c r="X362" s="5"/>
      <c r="Y362" s="5"/>
      <c r="Z362" s="7"/>
      <c r="AA362" s="5"/>
      <c r="AB362" s="5"/>
      <c r="AC362" s="5"/>
      <c r="AD362" s="5"/>
      <c r="AE362" s="5"/>
      <c r="AF362" s="5"/>
      <c r="AG362" s="5"/>
      <c r="AH362" s="5"/>
      <c r="AI362" s="5"/>
    </row>
    <row r="363" spans="1:35" ht="15.75" customHeight="1">
      <c r="A363" s="5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5"/>
      <c r="T363" s="5"/>
      <c r="U363" s="104"/>
      <c r="V363" s="5"/>
      <c r="W363" s="5"/>
      <c r="X363" s="5"/>
      <c r="Y363" s="5"/>
      <c r="Z363" s="7"/>
      <c r="AA363" s="5"/>
      <c r="AB363" s="5"/>
      <c r="AC363" s="5"/>
      <c r="AD363" s="5"/>
      <c r="AE363" s="5"/>
      <c r="AF363" s="5"/>
      <c r="AG363" s="5"/>
      <c r="AH363" s="5"/>
      <c r="AI363" s="5"/>
    </row>
    <row r="364" spans="1:35" ht="15.75" customHeight="1">
      <c r="A364" s="5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5"/>
      <c r="T364" s="5"/>
      <c r="U364" s="104"/>
      <c r="V364" s="5"/>
      <c r="W364" s="5"/>
      <c r="X364" s="5"/>
      <c r="Y364" s="5"/>
      <c r="Z364" s="7"/>
      <c r="AA364" s="5"/>
      <c r="AB364" s="5"/>
      <c r="AC364" s="5"/>
      <c r="AD364" s="5"/>
      <c r="AE364" s="5"/>
      <c r="AF364" s="5"/>
      <c r="AG364" s="5"/>
      <c r="AH364" s="5"/>
      <c r="AI364" s="5"/>
    </row>
    <row r="365" spans="1:35" ht="15.75" customHeight="1">
      <c r="A365" s="5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5"/>
      <c r="T365" s="5"/>
      <c r="U365" s="104"/>
      <c r="V365" s="5"/>
      <c r="W365" s="5"/>
      <c r="X365" s="5"/>
      <c r="Y365" s="5"/>
      <c r="Z365" s="7"/>
      <c r="AA365" s="5"/>
      <c r="AB365" s="5"/>
      <c r="AC365" s="5"/>
      <c r="AD365" s="5"/>
      <c r="AE365" s="5"/>
      <c r="AF365" s="5"/>
      <c r="AG365" s="5"/>
      <c r="AH365" s="5"/>
      <c r="AI365" s="5"/>
    </row>
    <row r="366" spans="1:35" ht="15.75" customHeight="1">
      <c r="A366" s="5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5"/>
      <c r="T366" s="5"/>
      <c r="U366" s="104"/>
      <c r="V366" s="5"/>
      <c r="W366" s="5"/>
      <c r="X366" s="5"/>
      <c r="Y366" s="5"/>
      <c r="Z366" s="7"/>
      <c r="AA366" s="5"/>
      <c r="AB366" s="5"/>
      <c r="AC366" s="5"/>
      <c r="AD366" s="5"/>
      <c r="AE366" s="5"/>
      <c r="AF366" s="5"/>
      <c r="AG366" s="5"/>
      <c r="AH366" s="5"/>
      <c r="AI366" s="5"/>
    </row>
    <row r="367" spans="1:35" ht="15.75" customHeight="1">
      <c r="A367" s="5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5"/>
      <c r="T367" s="5"/>
      <c r="U367" s="104"/>
      <c r="V367" s="5"/>
      <c r="W367" s="5"/>
      <c r="X367" s="5"/>
      <c r="Y367" s="5"/>
      <c r="Z367" s="7"/>
      <c r="AA367" s="5"/>
      <c r="AB367" s="5"/>
      <c r="AC367" s="5"/>
      <c r="AD367" s="5"/>
      <c r="AE367" s="5"/>
      <c r="AF367" s="5"/>
      <c r="AG367" s="5"/>
      <c r="AH367" s="5"/>
      <c r="AI367" s="5"/>
    </row>
    <row r="368" spans="1:35" ht="15.75" customHeight="1">
      <c r="A368" s="5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5"/>
      <c r="T368" s="5"/>
      <c r="U368" s="104"/>
      <c r="V368" s="5"/>
      <c r="W368" s="5"/>
      <c r="X368" s="5"/>
      <c r="Y368" s="5"/>
      <c r="Z368" s="7"/>
      <c r="AA368" s="5"/>
      <c r="AB368" s="5"/>
      <c r="AC368" s="5"/>
      <c r="AD368" s="5"/>
      <c r="AE368" s="5"/>
      <c r="AF368" s="5"/>
      <c r="AG368" s="5"/>
      <c r="AH368" s="5"/>
      <c r="AI368" s="5"/>
    </row>
    <row r="369" spans="1:35" ht="15.75" customHeight="1">
      <c r="A369" s="5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5"/>
      <c r="T369" s="5"/>
      <c r="U369" s="104"/>
      <c r="V369" s="5"/>
      <c r="W369" s="5"/>
      <c r="X369" s="5"/>
      <c r="Y369" s="5"/>
      <c r="Z369" s="7"/>
      <c r="AA369" s="5"/>
      <c r="AB369" s="5"/>
      <c r="AC369" s="5"/>
      <c r="AD369" s="5"/>
      <c r="AE369" s="5"/>
      <c r="AF369" s="5"/>
      <c r="AG369" s="5"/>
      <c r="AH369" s="5"/>
      <c r="AI369" s="5"/>
    </row>
    <row r="370" spans="1:35" ht="15.75" customHeight="1">
      <c r="A370" s="5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5"/>
      <c r="T370" s="5"/>
      <c r="U370" s="104"/>
      <c r="V370" s="5"/>
      <c r="W370" s="5"/>
      <c r="X370" s="5"/>
      <c r="Y370" s="5"/>
      <c r="Z370" s="7"/>
      <c r="AA370" s="5"/>
      <c r="AB370" s="5"/>
      <c r="AC370" s="5"/>
      <c r="AD370" s="5"/>
      <c r="AE370" s="5"/>
      <c r="AF370" s="5"/>
      <c r="AG370" s="5"/>
      <c r="AH370" s="5"/>
      <c r="AI370" s="5"/>
    </row>
    <row r="371" spans="1:35" ht="15.75" customHeight="1">
      <c r="A371" s="5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5"/>
      <c r="T371" s="5"/>
      <c r="U371" s="104"/>
      <c r="V371" s="5"/>
      <c r="W371" s="5"/>
      <c r="X371" s="5"/>
      <c r="Y371" s="5"/>
      <c r="Z371" s="7"/>
      <c r="AA371" s="5"/>
      <c r="AB371" s="5"/>
      <c r="AC371" s="5"/>
      <c r="AD371" s="5"/>
      <c r="AE371" s="5"/>
      <c r="AF371" s="5"/>
      <c r="AG371" s="5"/>
      <c r="AH371" s="5"/>
      <c r="AI371" s="5"/>
    </row>
    <row r="372" spans="1:35" ht="15.75" customHeight="1">
      <c r="A372" s="5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5"/>
      <c r="T372" s="5"/>
      <c r="U372" s="104"/>
      <c r="V372" s="5"/>
      <c r="W372" s="5"/>
      <c r="X372" s="5"/>
      <c r="Y372" s="5"/>
      <c r="Z372" s="7"/>
      <c r="AA372" s="5"/>
      <c r="AB372" s="5"/>
      <c r="AC372" s="5"/>
      <c r="AD372" s="5"/>
      <c r="AE372" s="5"/>
      <c r="AF372" s="5"/>
      <c r="AG372" s="5"/>
      <c r="AH372" s="5"/>
      <c r="AI372" s="5"/>
    </row>
    <row r="373" spans="1:35" ht="15.75" customHeight="1">
      <c r="A373" s="5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5"/>
      <c r="T373" s="5"/>
      <c r="U373" s="104"/>
      <c r="V373" s="5"/>
      <c r="W373" s="5"/>
      <c r="X373" s="5"/>
      <c r="Y373" s="5"/>
      <c r="Z373" s="7"/>
      <c r="AA373" s="5"/>
      <c r="AB373" s="5"/>
      <c r="AC373" s="5"/>
      <c r="AD373" s="5"/>
      <c r="AE373" s="5"/>
      <c r="AF373" s="5"/>
      <c r="AG373" s="5"/>
      <c r="AH373" s="5"/>
      <c r="AI373" s="5"/>
    </row>
    <row r="374" spans="1:35" ht="15.75" customHeight="1">
      <c r="A374" s="5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5"/>
      <c r="T374" s="5"/>
      <c r="U374" s="104"/>
      <c r="V374" s="5"/>
      <c r="W374" s="5"/>
      <c r="X374" s="5"/>
      <c r="Y374" s="5"/>
      <c r="Z374" s="7"/>
      <c r="AA374" s="5"/>
      <c r="AB374" s="5"/>
      <c r="AC374" s="5"/>
      <c r="AD374" s="5"/>
      <c r="AE374" s="5"/>
      <c r="AF374" s="5"/>
      <c r="AG374" s="5"/>
      <c r="AH374" s="5"/>
      <c r="AI374" s="5"/>
    </row>
    <row r="375" spans="1:35" ht="15.75" customHeight="1">
      <c r="A375" s="5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5"/>
      <c r="T375" s="5"/>
      <c r="U375" s="104"/>
      <c r="V375" s="5"/>
      <c r="W375" s="5"/>
      <c r="X375" s="5"/>
      <c r="Y375" s="5"/>
      <c r="Z375" s="7"/>
      <c r="AA375" s="5"/>
      <c r="AB375" s="5"/>
      <c r="AC375" s="5"/>
      <c r="AD375" s="5"/>
      <c r="AE375" s="5"/>
      <c r="AF375" s="5"/>
      <c r="AG375" s="5"/>
      <c r="AH375" s="5"/>
      <c r="AI375" s="5"/>
    </row>
    <row r="376" spans="1:35" ht="15.75" customHeight="1">
      <c r="A376" s="5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5"/>
      <c r="T376" s="5"/>
      <c r="U376" s="104"/>
      <c r="V376" s="5"/>
      <c r="W376" s="5"/>
      <c r="X376" s="5"/>
      <c r="Y376" s="5"/>
      <c r="Z376" s="7"/>
      <c r="AA376" s="5"/>
      <c r="AB376" s="5"/>
      <c r="AC376" s="5"/>
      <c r="AD376" s="5"/>
      <c r="AE376" s="5"/>
      <c r="AF376" s="5"/>
      <c r="AG376" s="5"/>
      <c r="AH376" s="5"/>
      <c r="AI376" s="5"/>
    </row>
    <row r="377" spans="1:35" ht="15.75" customHeight="1">
      <c r="A377" s="5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5"/>
      <c r="T377" s="5"/>
      <c r="U377" s="104"/>
      <c r="V377" s="5"/>
      <c r="W377" s="5"/>
      <c r="X377" s="5"/>
      <c r="Y377" s="5"/>
      <c r="Z377" s="7"/>
      <c r="AA377" s="5"/>
      <c r="AB377" s="5"/>
      <c r="AC377" s="5"/>
      <c r="AD377" s="5"/>
      <c r="AE377" s="5"/>
      <c r="AF377" s="5"/>
      <c r="AG377" s="5"/>
      <c r="AH377" s="5"/>
      <c r="AI377" s="5"/>
    </row>
    <row r="378" spans="1:35" ht="15.75" customHeight="1">
      <c r="A378" s="5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5"/>
      <c r="T378" s="5"/>
      <c r="U378" s="104"/>
      <c r="V378" s="5"/>
      <c r="W378" s="5"/>
      <c r="X378" s="5"/>
      <c r="Y378" s="5"/>
      <c r="Z378" s="7"/>
      <c r="AA378" s="5"/>
      <c r="AB378" s="5"/>
      <c r="AC378" s="5"/>
      <c r="AD378" s="5"/>
      <c r="AE378" s="5"/>
      <c r="AF378" s="5"/>
      <c r="AG378" s="5"/>
      <c r="AH378" s="5"/>
      <c r="AI378" s="5"/>
    </row>
    <row r="379" spans="1:35" ht="15.75" customHeight="1">
      <c r="A379" s="5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5"/>
      <c r="T379" s="5"/>
      <c r="U379" s="104"/>
      <c r="V379" s="5"/>
      <c r="W379" s="5"/>
      <c r="X379" s="5"/>
      <c r="Y379" s="5"/>
      <c r="Z379" s="7"/>
      <c r="AA379" s="5"/>
      <c r="AB379" s="5"/>
      <c r="AC379" s="5"/>
      <c r="AD379" s="5"/>
      <c r="AE379" s="5"/>
      <c r="AF379" s="5"/>
      <c r="AG379" s="5"/>
      <c r="AH379" s="5"/>
      <c r="AI379" s="5"/>
    </row>
    <row r="380" spans="1:35" ht="15.75" customHeight="1">
      <c r="A380" s="5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5"/>
      <c r="T380" s="5"/>
      <c r="U380" s="104"/>
      <c r="V380" s="5"/>
      <c r="W380" s="5"/>
      <c r="X380" s="5"/>
      <c r="Y380" s="5"/>
      <c r="Z380" s="7"/>
      <c r="AA380" s="5"/>
      <c r="AB380" s="5"/>
      <c r="AC380" s="5"/>
      <c r="AD380" s="5"/>
      <c r="AE380" s="5"/>
      <c r="AF380" s="5"/>
      <c r="AG380" s="5"/>
      <c r="AH380" s="5"/>
      <c r="AI380" s="5"/>
    </row>
    <row r="381" spans="1:35" ht="15.75" customHeight="1">
      <c r="A381" s="5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5"/>
      <c r="T381" s="5"/>
      <c r="U381" s="104"/>
      <c r="V381" s="5"/>
      <c r="W381" s="5"/>
      <c r="X381" s="5"/>
      <c r="Y381" s="5"/>
      <c r="Z381" s="7"/>
      <c r="AA381" s="5"/>
      <c r="AB381" s="5"/>
      <c r="AC381" s="5"/>
      <c r="AD381" s="5"/>
      <c r="AE381" s="5"/>
      <c r="AF381" s="5"/>
      <c r="AG381" s="5"/>
      <c r="AH381" s="5"/>
      <c r="AI381" s="5"/>
    </row>
    <row r="382" spans="1:35" ht="15.75" customHeight="1">
      <c r="A382" s="5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5"/>
      <c r="T382" s="5"/>
      <c r="U382" s="104"/>
      <c r="V382" s="5"/>
      <c r="W382" s="5"/>
      <c r="X382" s="5"/>
      <c r="Y382" s="5"/>
      <c r="Z382" s="7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ht="15.75" customHeight="1">
      <c r="A383" s="5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5"/>
      <c r="T383" s="5"/>
      <c r="U383" s="104"/>
      <c r="V383" s="5"/>
      <c r="W383" s="5"/>
      <c r="X383" s="5"/>
      <c r="Y383" s="5"/>
      <c r="Z383" s="7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 ht="15.75" customHeight="1">
      <c r="A384" s="5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5"/>
      <c r="T384" s="5"/>
      <c r="U384" s="104"/>
      <c r="V384" s="5"/>
      <c r="W384" s="5"/>
      <c r="X384" s="5"/>
      <c r="Y384" s="5"/>
      <c r="Z384" s="7"/>
      <c r="AA384" s="5"/>
      <c r="AB384" s="5"/>
      <c r="AC384" s="5"/>
      <c r="AD384" s="5"/>
      <c r="AE384" s="5"/>
      <c r="AF384" s="5"/>
      <c r="AG384" s="5"/>
      <c r="AH384" s="5"/>
      <c r="AI384" s="5"/>
    </row>
    <row r="385" spans="1:35" ht="15.75" customHeight="1">
      <c r="A385" s="5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5"/>
      <c r="T385" s="5"/>
      <c r="U385" s="104"/>
      <c r="V385" s="5"/>
      <c r="W385" s="5"/>
      <c r="X385" s="5"/>
      <c r="Y385" s="5"/>
      <c r="Z385" s="7"/>
      <c r="AA385" s="5"/>
      <c r="AB385" s="5"/>
      <c r="AC385" s="5"/>
      <c r="AD385" s="5"/>
      <c r="AE385" s="5"/>
      <c r="AF385" s="5"/>
      <c r="AG385" s="5"/>
      <c r="AH385" s="5"/>
      <c r="AI385" s="5"/>
    </row>
    <row r="386" spans="1:35" ht="15.75" customHeight="1">
      <c r="A386" s="5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5"/>
      <c r="T386" s="5"/>
      <c r="U386" s="104"/>
      <c r="V386" s="5"/>
      <c r="W386" s="5"/>
      <c r="X386" s="5"/>
      <c r="Y386" s="5"/>
      <c r="Z386" s="7"/>
      <c r="AA386" s="5"/>
      <c r="AB386" s="5"/>
      <c r="AC386" s="5"/>
      <c r="AD386" s="5"/>
      <c r="AE386" s="5"/>
      <c r="AF386" s="5"/>
      <c r="AG386" s="5"/>
      <c r="AH386" s="5"/>
      <c r="AI386" s="5"/>
    </row>
    <row r="387" spans="1:35" ht="15.75" customHeight="1">
      <c r="A387" s="5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5"/>
      <c r="T387" s="5"/>
      <c r="U387" s="104"/>
      <c r="V387" s="5"/>
      <c r="W387" s="5"/>
      <c r="X387" s="5"/>
      <c r="Y387" s="5"/>
      <c r="Z387" s="7"/>
      <c r="AA387" s="5"/>
      <c r="AB387" s="5"/>
      <c r="AC387" s="5"/>
      <c r="AD387" s="5"/>
      <c r="AE387" s="5"/>
      <c r="AF387" s="5"/>
      <c r="AG387" s="5"/>
      <c r="AH387" s="5"/>
      <c r="AI387" s="5"/>
    </row>
    <row r="388" spans="1:35" ht="15.75" customHeight="1">
      <c r="A388" s="5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5"/>
      <c r="T388" s="5"/>
      <c r="U388" s="104"/>
      <c r="V388" s="5"/>
      <c r="W388" s="5"/>
      <c r="X388" s="5"/>
      <c r="Y388" s="5"/>
      <c r="Z388" s="7"/>
      <c r="AA388" s="5"/>
      <c r="AB388" s="5"/>
      <c r="AC388" s="5"/>
      <c r="AD388" s="5"/>
      <c r="AE388" s="5"/>
      <c r="AF388" s="5"/>
      <c r="AG388" s="5"/>
      <c r="AH388" s="5"/>
      <c r="AI388" s="5"/>
    </row>
    <row r="389" spans="1:35" ht="15.75" customHeight="1">
      <c r="A389" s="5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5"/>
      <c r="T389" s="5"/>
      <c r="U389" s="104"/>
      <c r="V389" s="5"/>
      <c r="W389" s="5"/>
      <c r="X389" s="5"/>
      <c r="Y389" s="5"/>
      <c r="Z389" s="7"/>
      <c r="AA389" s="5"/>
      <c r="AB389" s="5"/>
      <c r="AC389" s="5"/>
      <c r="AD389" s="5"/>
      <c r="AE389" s="5"/>
      <c r="AF389" s="5"/>
      <c r="AG389" s="5"/>
      <c r="AH389" s="5"/>
      <c r="AI389" s="5"/>
    </row>
    <row r="390" spans="1:35" ht="15.75" customHeight="1">
      <c r="A390" s="5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5"/>
      <c r="T390" s="5"/>
      <c r="U390" s="104"/>
      <c r="V390" s="5"/>
      <c r="W390" s="5"/>
      <c r="X390" s="5"/>
      <c r="Y390" s="5"/>
      <c r="Z390" s="7"/>
      <c r="AA390" s="5"/>
      <c r="AB390" s="5"/>
      <c r="AC390" s="5"/>
      <c r="AD390" s="5"/>
      <c r="AE390" s="5"/>
      <c r="AF390" s="5"/>
      <c r="AG390" s="5"/>
      <c r="AH390" s="5"/>
      <c r="AI390" s="5"/>
    </row>
    <row r="391" spans="1:35" ht="15.75" customHeight="1">
      <c r="A391" s="5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5"/>
      <c r="T391" s="5"/>
      <c r="U391" s="104"/>
      <c r="V391" s="5"/>
      <c r="W391" s="5"/>
      <c r="X391" s="5"/>
      <c r="Y391" s="5"/>
      <c r="Z391" s="7"/>
      <c r="AA391" s="5"/>
      <c r="AB391" s="5"/>
      <c r="AC391" s="5"/>
      <c r="AD391" s="5"/>
      <c r="AE391" s="5"/>
      <c r="AF391" s="5"/>
      <c r="AG391" s="5"/>
      <c r="AH391" s="5"/>
      <c r="AI391" s="5"/>
    </row>
    <row r="392" spans="1:35" ht="15.75" customHeight="1">
      <c r="A392" s="5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5"/>
      <c r="T392" s="5"/>
      <c r="U392" s="104"/>
      <c r="V392" s="5"/>
      <c r="W392" s="5"/>
      <c r="X392" s="5"/>
      <c r="Y392" s="5"/>
      <c r="Z392" s="7"/>
      <c r="AA392" s="5"/>
      <c r="AB392" s="5"/>
      <c r="AC392" s="5"/>
      <c r="AD392" s="5"/>
      <c r="AE392" s="5"/>
      <c r="AF392" s="5"/>
      <c r="AG392" s="5"/>
      <c r="AH392" s="5"/>
      <c r="AI392" s="5"/>
    </row>
    <row r="393" spans="1:35" ht="15.75" customHeight="1">
      <c r="A393" s="5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5"/>
      <c r="T393" s="5"/>
      <c r="U393" s="104"/>
      <c r="V393" s="5"/>
      <c r="W393" s="5"/>
      <c r="X393" s="5"/>
      <c r="Y393" s="5"/>
      <c r="Z393" s="7"/>
      <c r="AA393" s="5"/>
      <c r="AB393" s="5"/>
      <c r="AC393" s="5"/>
      <c r="AD393" s="5"/>
      <c r="AE393" s="5"/>
      <c r="AF393" s="5"/>
      <c r="AG393" s="5"/>
      <c r="AH393" s="5"/>
      <c r="AI393" s="5"/>
    </row>
    <row r="394" spans="1:35" ht="15.75" customHeight="1">
      <c r="A394" s="5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5"/>
      <c r="T394" s="5"/>
      <c r="U394" s="104"/>
      <c r="V394" s="5"/>
      <c r="W394" s="5"/>
      <c r="X394" s="5"/>
      <c r="Y394" s="5"/>
      <c r="Z394" s="7"/>
      <c r="AA394" s="5"/>
      <c r="AB394" s="5"/>
      <c r="AC394" s="5"/>
      <c r="AD394" s="5"/>
      <c r="AE394" s="5"/>
      <c r="AF394" s="5"/>
      <c r="AG394" s="5"/>
      <c r="AH394" s="5"/>
      <c r="AI394" s="5"/>
    </row>
    <row r="395" spans="1:35" ht="15.75" customHeight="1">
      <c r="A395" s="5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5"/>
      <c r="T395" s="5"/>
      <c r="U395" s="104"/>
      <c r="V395" s="5"/>
      <c r="W395" s="5"/>
      <c r="X395" s="5"/>
      <c r="Y395" s="5"/>
      <c r="Z395" s="7"/>
      <c r="AA395" s="5"/>
      <c r="AB395" s="5"/>
      <c r="AC395" s="5"/>
      <c r="AD395" s="5"/>
      <c r="AE395" s="5"/>
      <c r="AF395" s="5"/>
      <c r="AG395" s="5"/>
      <c r="AH395" s="5"/>
      <c r="AI395" s="5"/>
    </row>
    <row r="396" spans="1:35" ht="15.75" customHeight="1">
      <c r="A396" s="5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5"/>
      <c r="T396" s="5"/>
      <c r="U396" s="104"/>
      <c r="V396" s="5"/>
      <c r="W396" s="5"/>
      <c r="X396" s="5"/>
      <c r="Y396" s="5"/>
      <c r="Z396" s="7"/>
      <c r="AA396" s="5"/>
      <c r="AB396" s="5"/>
      <c r="AC396" s="5"/>
      <c r="AD396" s="5"/>
      <c r="AE396" s="5"/>
      <c r="AF396" s="5"/>
      <c r="AG396" s="5"/>
      <c r="AH396" s="5"/>
      <c r="AI396" s="5"/>
    </row>
    <row r="397" spans="1:35" ht="15.75" customHeight="1">
      <c r="A397" s="5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5"/>
      <c r="T397" s="5"/>
      <c r="U397" s="104"/>
      <c r="V397" s="5"/>
      <c r="W397" s="5"/>
      <c r="X397" s="5"/>
      <c r="Y397" s="5"/>
      <c r="Z397" s="7"/>
      <c r="AA397" s="5"/>
      <c r="AB397" s="5"/>
      <c r="AC397" s="5"/>
      <c r="AD397" s="5"/>
      <c r="AE397" s="5"/>
      <c r="AF397" s="5"/>
      <c r="AG397" s="5"/>
      <c r="AH397" s="5"/>
      <c r="AI397" s="5"/>
    </row>
    <row r="398" spans="1:35" ht="15.75" customHeight="1">
      <c r="A398" s="5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5"/>
      <c r="T398" s="5"/>
      <c r="U398" s="104"/>
      <c r="V398" s="5"/>
      <c r="W398" s="5"/>
      <c r="X398" s="5"/>
      <c r="Y398" s="5"/>
      <c r="Z398" s="7"/>
      <c r="AA398" s="5"/>
      <c r="AB398" s="5"/>
      <c r="AC398" s="5"/>
      <c r="AD398" s="5"/>
      <c r="AE398" s="5"/>
      <c r="AF398" s="5"/>
      <c r="AG398" s="5"/>
      <c r="AH398" s="5"/>
      <c r="AI398" s="5"/>
    </row>
    <row r="399" spans="1:35" ht="15.75" customHeight="1">
      <c r="A399" s="5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5"/>
      <c r="T399" s="5"/>
      <c r="U399" s="104"/>
      <c r="V399" s="5"/>
      <c r="W399" s="5"/>
      <c r="X399" s="5"/>
      <c r="Y399" s="5"/>
      <c r="Z399" s="7"/>
      <c r="AA399" s="5"/>
      <c r="AB399" s="5"/>
      <c r="AC399" s="5"/>
      <c r="AD399" s="5"/>
      <c r="AE399" s="5"/>
      <c r="AF399" s="5"/>
      <c r="AG399" s="5"/>
      <c r="AH399" s="5"/>
      <c r="AI399" s="5"/>
    </row>
    <row r="400" spans="1:35" ht="15.75" customHeight="1">
      <c r="A400" s="5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5"/>
      <c r="T400" s="5"/>
      <c r="U400" s="104"/>
      <c r="V400" s="5"/>
      <c r="W400" s="5"/>
      <c r="X400" s="5"/>
      <c r="Y400" s="5"/>
      <c r="Z400" s="7"/>
      <c r="AA400" s="5"/>
      <c r="AB400" s="5"/>
      <c r="AC400" s="5"/>
      <c r="AD400" s="5"/>
      <c r="AE400" s="5"/>
      <c r="AF400" s="5"/>
      <c r="AG400" s="5"/>
      <c r="AH400" s="5"/>
      <c r="AI400" s="5"/>
    </row>
    <row r="401" spans="1:35" ht="15.75" customHeight="1">
      <c r="A401" s="5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5"/>
      <c r="T401" s="5"/>
      <c r="U401" s="104"/>
      <c r="V401" s="5"/>
      <c r="W401" s="5"/>
      <c r="X401" s="5"/>
      <c r="Y401" s="5"/>
      <c r="Z401" s="7"/>
      <c r="AA401" s="5"/>
      <c r="AB401" s="5"/>
      <c r="AC401" s="5"/>
      <c r="AD401" s="5"/>
      <c r="AE401" s="5"/>
      <c r="AF401" s="5"/>
      <c r="AG401" s="5"/>
      <c r="AH401" s="5"/>
      <c r="AI401" s="5"/>
    </row>
    <row r="402" spans="1:35" ht="15.75" customHeight="1">
      <c r="A402" s="5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5"/>
      <c r="T402" s="5"/>
      <c r="U402" s="104"/>
      <c r="V402" s="5"/>
      <c r="W402" s="5"/>
      <c r="X402" s="5"/>
      <c r="Y402" s="5"/>
      <c r="Z402" s="7"/>
      <c r="AA402" s="5"/>
      <c r="AB402" s="5"/>
      <c r="AC402" s="5"/>
      <c r="AD402" s="5"/>
      <c r="AE402" s="5"/>
      <c r="AF402" s="5"/>
      <c r="AG402" s="5"/>
      <c r="AH402" s="5"/>
      <c r="AI402" s="5"/>
    </row>
    <row r="403" spans="1:35" ht="15.75" customHeight="1">
      <c r="A403" s="5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5"/>
      <c r="T403" s="5"/>
      <c r="U403" s="104"/>
      <c r="V403" s="5"/>
      <c r="W403" s="5"/>
      <c r="X403" s="5"/>
      <c r="Y403" s="5"/>
      <c r="Z403" s="7"/>
      <c r="AA403" s="5"/>
      <c r="AB403" s="5"/>
      <c r="AC403" s="5"/>
      <c r="AD403" s="5"/>
      <c r="AE403" s="5"/>
      <c r="AF403" s="5"/>
      <c r="AG403" s="5"/>
      <c r="AH403" s="5"/>
      <c r="AI403" s="5"/>
    </row>
    <row r="404" spans="1:35" ht="15.75" customHeight="1">
      <c r="A404" s="5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5"/>
      <c r="T404" s="5"/>
      <c r="U404" s="104"/>
      <c r="V404" s="5"/>
      <c r="W404" s="5"/>
      <c r="X404" s="5"/>
      <c r="Y404" s="5"/>
      <c r="Z404" s="7"/>
      <c r="AA404" s="5"/>
      <c r="AB404" s="5"/>
      <c r="AC404" s="5"/>
      <c r="AD404" s="5"/>
      <c r="AE404" s="5"/>
      <c r="AF404" s="5"/>
      <c r="AG404" s="5"/>
      <c r="AH404" s="5"/>
      <c r="AI404" s="5"/>
    </row>
    <row r="405" spans="1:35" ht="15.75" customHeight="1">
      <c r="A405" s="5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5"/>
      <c r="T405" s="5"/>
      <c r="U405" s="104"/>
      <c r="V405" s="5"/>
      <c r="W405" s="5"/>
      <c r="X405" s="5"/>
      <c r="Y405" s="5"/>
      <c r="Z405" s="7"/>
      <c r="AA405" s="5"/>
      <c r="AB405" s="5"/>
      <c r="AC405" s="5"/>
      <c r="AD405" s="5"/>
      <c r="AE405" s="5"/>
      <c r="AF405" s="5"/>
      <c r="AG405" s="5"/>
      <c r="AH405" s="5"/>
      <c r="AI405" s="5"/>
    </row>
    <row r="406" spans="1:35" ht="15.75" customHeight="1">
      <c r="A406" s="5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5"/>
      <c r="T406" s="5"/>
      <c r="U406" s="104"/>
      <c r="V406" s="5"/>
      <c r="W406" s="5"/>
      <c r="X406" s="5"/>
      <c r="Y406" s="5"/>
      <c r="Z406" s="7"/>
      <c r="AA406" s="5"/>
      <c r="AB406" s="5"/>
      <c r="AC406" s="5"/>
      <c r="AD406" s="5"/>
      <c r="AE406" s="5"/>
      <c r="AF406" s="5"/>
      <c r="AG406" s="5"/>
      <c r="AH406" s="5"/>
      <c r="AI406" s="5"/>
    </row>
    <row r="407" spans="1:35" ht="15.75" customHeight="1">
      <c r="A407" s="5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5"/>
      <c r="T407" s="5"/>
      <c r="U407" s="104"/>
      <c r="V407" s="5"/>
      <c r="W407" s="5"/>
      <c r="X407" s="5"/>
      <c r="Y407" s="5"/>
      <c r="Z407" s="7"/>
      <c r="AA407" s="5"/>
      <c r="AB407" s="5"/>
      <c r="AC407" s="5"/>
      <c r="AD407" s="5"/>
      <c r="AE407" s="5"/>
      <c r="AF407" s="5"/>
      <c r="AG407" s="5"/>
      <c r="AH407" s="5"/>
      <c r="AI407" s="5"/>
    </row>
    <row r="408" spans="1:35" ht="15.75" customHeight="1">
      <c r="A408" s="5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5"/>
      <c r="T408" s="5"/>
      <c r="U408" s="104"/>
      <c r="V408" s="5"/>
      <c r="W408" s="5"/>
      <c r="X408" s="5"/>
      <c r="Y408" s="5"/>
      <c r="Z408" s="7"/>
      <c r="AA408" s="5"/>
      <c r="AB408" s="5"/>
      <c r="AC408" s="5"/>
      <c r="AD408" s="5"/>
      <c r="AE408" s="5"/>
      <c r="AF408" s="5"/>
      <c r="AG408" s="5"/>
      <c r="AH408" s="5"/>
      <c r="AI408" s="5"/>
    </row>
    <row r="409" spans="1:35" ht="15.75" customHeight="1">
      <c r="A409" s="5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5"/>
      <c r="T409" s="5"/>
      <c r="U409" s="104"/>
      <c r="V409" s="5"/>
      <c r="W409" s="5"/>
      <c r="X409" s="5"/>
      <c r="Y409" s="5"/>
      <c r="Z409" s="7"/>
      <c r="AA409" s="5"/>
      <c r="AB409" s="5"/>
      <c r="AC409" s="5"/>
      <c r="AD409" s="5"/>
      <c r="AE409" s="5"/>
      <c r="AF409" s="5"/>
      <c r="AG409" s="5"/>
      <c r="AH409" s="5"/>
      <c r="AI409" s="5"/>
    </row>
    <row r="410" spans="1:35" ht="15.75" customHeight="1">
      <c r="A410" s="5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5"/>
      <c r="T410" s="5"/>
      <c r="U410" s="104"/>
      <c r="V410" s="5"/>
      <c r="W410" s="5"/>
      <c r="X410" s="5"/>
      <c r="Y410" s="5"/>
      <c r="Z410" s="7"/>
      <c r="AA410" s="5"/>
      <c r="AB410" s="5"/>
      <c r="AC410" s="5"/>
      <c r="AD410" s="5"/>
      <c r="AE410" s="5"/>
      <c r="AF410" s="5"/>
      <c r="AG410" s="5"/>
      <c r="AH410" s="5"/>
      <c r="AI410" s="5"/>
    </row>
    <row r="411" spans="1:35" ht="15.75" customHeight="1">
      <c r="A411" s="5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5"/>
      <c r="T411" s="5"/>
      <c r="U411" s="104"/>
      <c r="V411" s="5"/>
      <c r="W411" s="5"/>
      <c r="X411" s="5"/>
      <c r="Y411" s="5"/>
      <c r="Z411" s="7"/>
      <c r="AA411" s="5"/>
      <c r="AB411" s="5"/>
      <c r="AC411" s="5"/>
      <c r="AD411" s="5"/>
      <c r="AE411" s="5"/>
      <c r="AF411" s="5"/>
      <c r="AG411" s="5"/>
      <c r="AH411" s="5"/>
      <c r="AI411" s="5"/>
    </row>
    <row r="412" spans="1:35" ht="15.75" customHeight="1">
      <c r="A412" s="5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5"/>
      <c r="T412" s="5"/>
      <c r="U412" s="104"/>
      <c r="V412" s="5"/>
      <c r="W412" s="5"/>
      <c r="X412" s="5"/>
      <c r="Y412" s="5"/>
      <c r="Z412" s="7"/>
      <c r="AA412" s="5"/>
      <c r="AB412" s="5"/>
      <c r="AC412" s="5"/>
      <c r="AD412" s="5"/>
      <c r="AE412" s="5"/>
      <c r="AF412" s="5"/>
      <c r="AG412" s="5"/>
      <c r="AH412" s="5"/>
      <c r="AI412" s="5"/>
    </row>
    <row r="413" spans="1:35" ht="15.75" customHeight="1">
      <c r="A413" s="5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5"/>
      <c r="T413" s="5"/>
      <c r="U413" s="104"/>
      <c r="V413" s="5"/>
      <c r="W413" s="5"/>
      <c r="X413" s="5"/>
      <c r="Y413" s="5"/>
      <c r="Z413" s="7"/>
      <c r="AA413" s="5"/>
      <c r="AB413" s="5"/>
      <c r="AC413" s="5"/>
      <c r="AD413" s="5"/>
      <c r="AE413" s="5"/>
      <c r="AF413" s="5"/>
      <c r="AG413" s="5"/>
      <c r="AH413" s="5"/>
      <c r="AI413" s="5"/>
    </row>
    <row r="414" spans="1:35" ht="15.75" customHeight="1">
      <c r="A414" s="5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5"/>
      <c r="T414" s="5"/>
      <c r="U414" s="104"/>
      <c r="V414" s="5"/>
      <c r="W414" s="5"/>
      <c r="X414" s="5"/>
      <c r="Y414" s="5"/>
      <c r="Z414" s="7"/>
      <c r="AA414" s="5"/>
      <c r="AB414" s="5"/>
      <c r="AC414" s="5"/>
      <c r="AD414" s="5"/>
      <c r="AE414" s="5"/>
      <c r="AF414" s="5"/>
      <c r="AG414" s="5"/>
      <c r="AH414" s="5"/>
      <c r="AI414" s="5"/>
    </row>
    <row r="415" spans="1:35" ht="15.75" customHeight="1">
      <c r="A415" s="5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5"/>
      <c r="T415" s="5"/>
      <c r="U415" s="104"/>
      <c r="V415" s="5"/>
      <c r="W415" s="5"/>
      <c r="X415" s="5"/>
      <c r="Y415" s="5"/>
      <c r="Z415" s="7"/>
      <c r="AA415" s="5"/>
      <c r="AB415" s="5"/>
      <c r="AC415" s="5"/>
      <c r="AD415" s="5"/>
      <c r="AE415" s="5"/>
      <c r="AF415" s="5"/>
      <c r="AG415" s="5"/>
      <c r="AH415" s="5"/>
      <c r="AI415" s="5"/>
    </row>
    <row r="416" spans="1:35" ht="15.75" customHeight="1">
      <c r="A416" s="5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5"/>
      <c r="T416" s="5"/>
      <c r="U416" s="104"/>
      <c r="V416" s="5"/>
      <c r="W416" s="5"/>
      <c r="X416" s="5"/>
      <c r="Y416" s="5"/>
      <c r="Z416" s="7"/>
      <c r="AA416" s="5"/>
      <c r="AB416" s="5"/>
      <c r="AC416" s="5"/>
      <c r="AD416" s="5"/>
      <c r="AE416" s="5"/>
      <c r="AF416" s="5"/>
      <c r="AG416" s="5"/>
      <c r="AH416" s="5"/>
      <c r="AI416" s="5"/>
    </row>
    <row r="417" spans="1:35" ht="15.75" customHeight="1">
      <c r="A417" s="5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5"/>
      <c r="T417" s="5"/>
      <c r="U417" s="104"/>
      <c r="V417" s="5"/>
      <c r="W417" s="5"/>
      <c r="X417" s="5"/>
      <c r="Y417" s="5"/>
      <c r="Z417" s="7"/>
      <c r="AA417" s="5"/>
      <c r="AB417" s="5"/>
      <c r="AC417" s="5"/>
      <c r="AD417" s="5"/>
      <c r="AE417" s="5"/>
      <c r="AF417" s="5"/>
      <c r="AG417" s="5"/>
      <c r="AH417" s="5"/>
      <c r="AI417" s="5"/>
    </row>
    <row r="418" spans="1:35" ht="15.75" customHeight="1">
      <c r="A418" s="5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5"/>
      <c r="T418" s="5"/>
      <c r="U418" s="104"/>
      <c r="V418" s="5"/>
      <c r="W418" s="5"/>
      <c r="X418" s="5"/>
      <c r="Y418" s="5"/>
      <c r="Z418" s="7"/>
      <c r="AA418" s="5"/>
      <c r="AB418" s="5"/>
      <c r="AC418" s="5"/>
      <c r="AD418" s="5"/>
      <c r="AE418" s="5"/>
      <c r="AF418" s="5"/>
      <c r="AG418" s="5"/>
      <c r="AH418" s="5"/>
      <c r="AI418" s="5"/>
    </row>
    <row r="419" spans="1:35" ht="15.75" customHeight="1">
      <c r="A419" s="5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5"/>
      <c r="T419" s="5"/>
      <c r="U419" s="104"/>
      <c r="V419" s="5"/>
      <c r="W419" s="5"/>
      <c r="X419" s="5"/>
      <c r="Y419" s="5"/>
      <c r="Z419" s="7"/>
      <c r="AA419" s="5"/>
      <c r="AB419" s="5"/>
      <c r="AC419" s="5"/>
      <c r="AD419" s="5"/>
      <c r="AE419" s="5"/>
      <c r="AF419" s="5"/>
      <c r="AG419" s="5"/>
      <c r="AH419" s="5"/>
      <c r="AI419" s="5"/>
    </row>
    <row r="420" spans="1:35" ht="15.75" customHeight="1">
      <c r="A420" s="5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5"/>
      <c r="T420" s="5"/>
      <c r="U420" s="104"/>
      <c r="V420" s="5"/>
      <c r="W420" s="5"/>
      <c r="X420" s="5"/>
      <c r="Y420" s="5"/>
      <c r="Z420" s="7"/>
      <c r="AA420" s="5"/>
      <c r="AB420" s="5"/>
      <c r="AC420" s="5"/>
      <c r="AD420" s="5"/>
      <c r="AE420" s="5"/>
      <c r="AF420" s="5"/>
      <c r="AG420" s="5"/>
      <c r="AH420" s="5"/>
      <c r="AI420" s="5"/>
    </row>
    <row r="421" spans="1:35" ht="15.75" customHeight="1">
      <c r="A421" s="5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5"/>
      <c r="T421" s="5"/>
      <c r="U421" s="104"/>
      <c r="V421" s="5"/>
      <c r="W421" s="5"/>
      <c r="X421" s="5"/>
      <c r="Y421" s="5"/>
      <c r="Z421" s="7"/>
      <c r="AA421" s="5"/>
      <c r="AB421" s="5"/>
      <c r="AC421" s="5"/>
      <c r="AD421" s="5"/>
      <c r="AE421" s="5"/>
      <c r="AF421" s="5"/>
      <c r="AG421" s="5"/>
      <c r="AH421" s="5"/>
      <c r="AI421" s="5"/>
    </row>
    <row r="422" spans="1:35" ht="15.75" customHeight="1">
      <c r="A422" s="5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5"/>
      <c r="T422" s="5"/>
      <c r="U422" s="104"/>
      <c r="V422" s="5"/>
      <c r="W422" s="5"/>
      <c r="X422" s="5"/>
      <c r="Y422" s="5"/>
      <c r="Z422" s="7"/>
      <c r="AA422" s="5"/>
      <c r="AB422" s="5"/>
      <c r="AC422" s="5"/>
      <c r="AD422" s="5"/>
      <c r="AE422" s="5"/>
      <c r="AF422" s="5"/>
      <c r="AG422" s="5"/>
      <c r="AH422" s="5"/>
      <c r="AI422" s="5"/>
    </row>
    <row r="423" spans="1:35" ht="15.75" customHeight="1">
      <c r="A423" s="5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5"/>
      <c r="T423" s="5"/>
      <c r="U423" s="104"/>
      <c r="V423" s="5"/>
      <c r="W423" s="5"/>
      <c r="X423" s="5"/>
      <c r="Y423" s="5"/>
      <c r="Z423" s="7"/>
      <c r="AA423" s="5"/>
      <c r="AB423" s="5"/>
      <c r="AC423" s="5"/>
      <c r="AD423" s="5"/>
      <c r="AE423" s="5"/>
      <c r="AF423" s="5"/>
      <c r="AG423" s="5"/>
      <c r="AH423" s="5"/>
      <c r="AI423" s="5"/>
    </row>
    <row r="424" spans="1:35" ht="15.75" customHeight="1">
      <c r="A424" s="5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5"/>
      <c r="T424" s="5"/>
      <c r="U424" s="104"/>
      <c r="V424" s="5"/>
      <c r="W424" s="5"/>
      <c r="X424" s="5"/>
      <c r="Y424" s="5"/>
      <c r="Z424" s="7"/>
      <c r="AA424" s="5"/>
      <c r="AB424" s="5"/>
      <c r="AC424" s="5"/>
      <c r="AD424" s="5"/>
      <c r="AE424" s="5"/>
      <c r="AF424" s="5"/>
      <c r="AG424" s="5"/>
      <c r="AH424" s="5"/>
      <c r="AI424" s="5"/>
    </row>
    <row r="425" spans="1:35" ht="15.75" customHeight="1">
      <c r="A425" s="5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5"/>
      <c r="T425" s="5"/>
      <c r="U425" s="104"/>
      <c r="V425" s="5"/>
      <c r="W425" s="5"/>
      <c r="X425" s="5"/>
      <c r="Y425" s="5"/>
      <c r="Z425" s="7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ht="15.75" customHeight="1">
      <c r="A426" s="5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5"/>
      <c r="T426" s="5"/>
      <c r="U426" s="104"/>
      <c r="V426" s="5"/>
      <c r="W426" s="5"/>
      <c r="X426" s="5"/>
      <c r="Y426" s="5"/>
      <c r="Z426" s="7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 ht="15.75" customHeight="1">
      <c r="A427" s="5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5"/>
      <c r="T427" s="5"/>
      <c r="U427" s="104"/>
      <c r="V427" s="5"/>
      <c r="W427" s="5"/>
      <c r="X427" s="5"/>
      <c r="Y427" s="5"/>
      <c r="Z427" s="7"/>
      <c r="AA427" s="5"/>
      <c r="AB427" s="5"/>
      <c r="AC427" s="5"/>
      <c r="AD427" s="5"/>
      <c r="AE427" s="5"/>
      <c r="AF427" s="5"/>
      <c r="AG427" s="5"/>
      <c r="AH427" s="5"/>
      <c r="AI427" s="5"/>
    </row>
    <row r="428" spans="1:35" ht="15.75" customHeight="1">
      <c r="A428" s="5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5"/>
      <c r="T428" s="5"/>
      <c r="U428" s="104"/>
      <c r="V428" s="5"/>
      <c r="W428" s="5"/>
      <c r="X428" s="5"/>
      <c r="Y428" s="5"/>
      <c r="Z428" s="7"/>
      <c r="AA428" s="5"/>
      <c r="AB428" s="5"/>
      <c r="AC428" s="5"/>
      <c r="AD428" s="5"/>
      <c r="AE428" s="5"/>
      <c r="AF428" s="5"/>
      <c r="AG428" s="5"/>
      <c r="AH428" s="5"/>
      <c r="AI428" s="5"/>
    </row>
    <row r="429" spans="1:35" ht="15.75" customHeight="1">
      <c r="A429" s="5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5"/>
      <c r="T429" s="5"/>
      <c r="U429" s="104"/>
      <c r="V429" s="5"/>
      <c r="W429" s="5"/>
      <c r="X429" s="5"/>
      <c r="Y429" s="5"/>
      <c r="Z429" s="7"/>
      <c r="AA429" s="5"/>
      <c r="AB429" s="5"/>
      <c r="AC429" s="5"/>
      <c r="AD429" s="5"/>
      <c r="AE429" s="5"/>
      <c r="AF429" s="5"/>
      <c r="AG429" s="5"/>
      <c r="AH429" s="5"/>
      <c r="AI429" s="5"/>
    </row>
    <row r="430" spans="1:35" ht="15.75" customHeight="1">
      <c r="A430" s="5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5"/>
      <c r="T430" s="5"/>
      <c r="U430" s="104"/>
      <c r="V430" s="5"/>
      <c r="W430" s="5"/>
      <c r="X430" s="5"/>
      <c r="Y430" s="5"/>
      <c r="Z430" s="7"/>
      <c r="AA430" s="5"/>
      <c r="AB430" s="5"/>
      <c r="AC430" s="5"/>
      <c r="AD430" s="5"/>
      <c r="AE430" s="5"/>
      <c r="AF430" s="5"/>
      <c r="AG430" s="5"/>
      <c r="AH430" s="5"/>
      <c r="AI430" s="5"/>
    </row>
    <row r="431" spans="1:35" ht="15.75" customHeight="1">
      <c r="A431" s="5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5"/>
      <c r="T431" s="5"/>
      <c r="U431" s="104"/>
      <c r="V431" s="5"/>
      <c r="W431" s="5"/>
      <c r="X431" s="5"/>
      <c r="Y431" s="5"/>
      <c r="Z431" s="7"/>
      <c r="AA431" s="5"/>
      <c r="AB431" s="5"/>
      <c r="AC431" s="5"/>
      <c r="AD431" s="5"/>
      <c r="AE431" s="5"/>
      <c r="AF431" s="5"/>
      <c r="AG431" s="5"/>
      <c r="AH431" s="5"/>
      <c r="AI431" s="5"/>
    </row>
    <row r="432" spans="1:35" ht="15.75" customHeight="1">
      <c r="A432" s="5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5"/>
      <c r="T432" s="5"/>
      <c r="U432" s="104"/>
      <c r="V432" s="5"/>
      <c r="W432" s="5"/>
      <c r="X432" s="5"/>
      <c r="Y432" s="5"/>
      <c r="Z432" s="7"/>
      <c r="AA432" s="5"/>
      <c r="AB432" s="5"/>
      <c r="AC432" s="5"/>
      <c r="AD432" s="5"/>
      <c r="AE432" s="5"/>
      <c r="AF432" s="5"/>
      <c r="AG432" s="5"/>
      <c r="AH432" s="5"/>
      <c r="AI432" s="5"/>
    </row>
    <row r="433" spans="1:35" ht="15.75" customHeight="1">
      <c r="A433" s="5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5"/>
      <c r="T433" s="5"/>
      <c r="U433" s="104"/>
      <c r="V433" s="5"/>
      <c r="W433" s="5"/>
      <c r="X433" s="5"/>
      <c r="Y433" s="5"/>
      <c r="Z433" s="7"/>
      <c r="AA433" s="5"/>
      <c r="AB433" s="5"/>
      <c r="AC433" s="5"/>
      <c r="AD433" s="5"/>
      <c r="AE433" s="5"/>
      <c r="AF433" s="5"/>
      <c r="AG433" s="5"/>
      <c r="AH433" s="5"/>
      <c r="AI433" s="5"/>
    </row>
    <row r="434" spans="1:35" ht="15.75" customHeight="1">
      <c r="A434" s="5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5"/>
      <c r="T434" s="5"/>
      <c r="U434" s="104"/>
      <c r="V434" s="5"/>
      <c r="W434" s="5"/>
      <c r="X434" s="5"/>
      <c r="Y434" s="5"/>
      <c r="Z434" s="7"/>
      <c r="AA434" s="5"/>
      <c r="AB434" s="5"/>
      <c r="AC434" s="5"/>
      <c r="AD434" s="5"/>
      <c r="AE434" s="5"/>
      <c r="AF434" s="5"/>
      <c r="AG434" s="5"/>
      <c r="AH434" s="5"/>
      <c r="AI434" s="5"/>
    </row>
    <row r="435" spans="1:35" ht="15.75" customHeight="1">
      <c r="A435" s="5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5"/>
      <c r="T435" s="5"/>
      <c r="U435" s="104"/>
      <c r="V435" s="5"/>
      <c r="W435" s="5"/>
      <c r="X435" s="5"/>
      <c r="Y435" s="5"/>
      <c r="Z435" s="7"/>
      <c r="AA435" s="5"/>
      <c r="AB435" s="5"/>
      <c r="AC435" s="5"/>
      <c r="AD435" s="5"/>
      <c r="AE435" s="5"/>
      <c r="AF435" s="5"/>
      <c r="AG435" s="5"/>
      <c r="AH435" s="5"/>
      <c r="AI435" s="5"/>
    </row>
    <row r="436" spans="1:35" ht="15.75" customHeight="1">
      <c r="A436" s="5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5"/>
      <c r="T436" s="5"/>
      <c r="U436" s="104"/>
      <c r="V436" s="5"/>
      <c r="W436" s="5"/>
      <c r="X436" s="5"/>
      <c r="Y436" s="5"/>
      <c r="Z436" s="7"/>
      <c r="AA436" s="5"/>
      <c r="AB436" s="5"/>
      <c r="AC436" s="5"/>
      <c r="AD436" s="5"/>
      <c r="AE436" s="5"/>
      <c r="AF436" s="5"/>
      <c r="AG436" s="5"/>
      <c r="AH436" s="5"/>
      <c r="AI436" s="5"/>
    </row>
    <row r="437" spans="1:35" ht="15.75" customHeight="1">
      <c r="A437" s="5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5"/>
      <c r="T437" s="5"/>
      <c r="U437" s="104"/>
      <c r="V437" s="5"/>
      <c r="W437" s="5"/>
      <c r="X437" s="5"/>
      <c r="Y437" s="5"/>
      <c r="Z437" s="7"/>
      <c r="AA437" s="5"/>
      <c r="AB437" s="5"/>
      <c r="AC437" s="5"/>
      <c r="AD437" s="5"/>
      <c r="AE437" s="5"/>
      <c r="AF437" s="5"/>
      <c r="AG437" s="5"/>
      <c r="AH437" s="5"/>
      <c r="AI437" s="5"/>
    </row>
    <row r="438" spans="1:35" ht="15.75" customHeight="1">
      <c r="A438" s="5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5"/>
      <c r="T438" s="5"/>
      <c r="U438" s="104"/>
      <c r="V438" s="5"/>
      <c r="W438" s="5"/>
      <c r="X438" s="5"/>
      <c r="Y438" s="5"/>
      <c r="Z438" s="7"/>
      <c r="AA438" s="5"/>
      <c r="AB438" s="5"/>
      <c r="AC438" s="5"/>
      <c r="AD438" s="5"/>
      <c r="AE438" s="5"/>
      <c r="AF438" s="5"/>
      <c r="AG438" s="5"/>
      <c r="AH438" s="5"/>
      <c r="AI438" s="5"/>
    </row>
    <row r="439" spans="1:35" ht="15.75" customHeight="1">
      <c r="A439" s="5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5"/>
      <c r="T439" s="5"/>
      <c r="U439" s="104"/>
      <c r="V439" s="5"/>
      <c r="W439" s="5"/>
      <c r="X439" s="5"/>
      <c r="Y439" s="5"/>
      <c r="Z439" s="7"/>
      <c r="AA439" s="5"/>
      <c r="AB439" s="5"/>
      <c r="AC439" s="5"/>
      <c r="AD439" s="5"/>
      <c r="AE439" s="5"/>
      <c r="AF439" s="5"/>
      <c r="AG439" s="5"/>
      <c r="AH439" s="5"/>
      <c r="AI439" s="5"/>
    </row>
    <row r="440" spans="1:35" ht="15.75" customHeight="1">
      <c r="A440" s="5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5"/>
      <c r="T440" s="5"/>
      <c r="U440" s="104"/>
      <c r="V440" s="5"/>
      <c r="W440" s="5"/>
      <c r="X440" s="5"/>
      <c r="Y440" s="5"/>
      <c r="Z440" s="7"/>
      <c r="AA440" s="5"/>
      <c r="AB440" s="5"/>
      <c r="AC440" s="5"/>
      <c r="AD440" s="5"/>
      <c r="AE440" s="5"/>
      <c r="AF440" s="5"/>
      <c r="AG440" s="5"/>
      <c r="AH440" s="5"/>
      <c r="AI440" s="5"/>
    </row>
    <row r="441" spans="1:35" ht="15.75" customHeight="1">
      <c r="A441" s="5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5"/>
      <c r="T441" s="5"/>
      <c r="U441" s="104"/>
      <c r="V441" s="5"/>
      <c r="W441" s="5"/>
      <c r="X441" s="5"/>
      <c r="Y441" s="5"/>
      <c r="Z441" s="7"/>
      <c r="AA441" s="5"/>
      <c r="AB441" s="5"/>
      <c r="AC441" s="5"/>
      <c r="AD441" s="5"/>
      <c r="AE441" s="5"/>
      <c r="AF441" s="5"/>
      <c r="AG441" s="5"/>
      <c r="AH441" s="5"/>
      <c r="AI441" s="5"/>
    </row>
    <row r="442" spans="1:35" ht="15.75" customHeight="1">
      <c r="A442" s="5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5"/>
      <c r="T442" s="5"/>
      <c r="U442" s="104"/>
      <c r="V442" s="5"/>
      <c r="W442" s="5"/>
      <c r="X442" s="5"/>
      <c r="Y442" s="5"/>
      <c r="Z442" s="7"/>
      <c r="AA442" s="5"/>
      <c r="AB442" s="5"/>
      <c r="AC442" s="5"/>
      <c r="AD442" s="5"/>
      <c r="AE442" s="5"/>
      <c r="AF442" s="5"/>
      <c r="AG442" s="5"/>
      <c r="AH442" s="5"/>
      <c r="AI442" s="5"/>
    </row>
    <row r="443" spans="1:35" ht="15.75" customHeight="1">
      <c r="A443" s="5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5"/>
      <c r="T443" s="5"/>
      <c r="U443" s="104"/>
      <c r="V443" s="5"/>
      <c r="W443" s="5"/>
      <c r="X443" s="5"/>
      <c r="Y443" s="5"/>
      <c r="Z443" s="7"/>
      <c r="AA443" s="5"/>
      <c r="AB443" s="5"/>
      <c r="AC443" s="5"/>
      <c r="AD443" s="5"/>
      <c r="AE443" s="5"/>
      <c r="AF443" s="5"/>
      <c r="AG443" s="5"/>
      <c r="AH443" s="5"/>
      <c r="AI443" s="5"/>
    </row>
    <row r="444" spans="1:35" ht="15.75" customHeight="1">
      <c r="A444" s="5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5"/>
      <c r="T444" s="5"/>
      <c r="U444" s="104"/>
      <c r="V444" s="5"/>
      <c r="W444" s="5"/>
      <c r="X444" s="5"/>
      <c r="Y444" s="5"/>
      <c r="Z444" s="7"/>
      <c r="AA444" s="5"/>
      <c r="AB444" s="5"/>
      <c r="AC444" s="5"/>
      <c r="AD444" s="5"/>
      <c r="AE444" s="5"/>
      <c r="AF444" s="5"/>
      <c r="AG444" s="5"/>
      <c r="AH444" s="5"/>
      <c r="AI444" s="5"/>
    </row>
    <row r="445" spans="1:35" ht="15.75" customHeight="1">
      <c r="A445" s="5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5"/>
      <c r="T445" s="5"/>
      <c r="U445" s="104"/>
      <c r="V445" s="5"/>
      <c r="W445" s="5"/>
      <c r="X445" s="5"/>
      <c r="Y445" s="5"/>
      <c r="Z445" s="7"/>
      <c r="AA445" s="5"/>
      <c r="AB445" s="5"/>
      <c r="AC445" s="5"/>
      <c r="AD445" s="5"/>
      <c r="AE445" s="5"/>
      <c r="AF445" s="5"/>
      <c r="AG445" s="5"/>
      <c r="AH445" s="5"/>
      <c r="AI445" s="5"/>
    </row>
    <row r="446" spans="1:35" ht="15.75" customHeight="1">
      <c r="A446" s="5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5"/>
      <c r="T446" s="5"/>
      <c r="U446" s="104"/>
      <c r="V446" s="5"/>
      <c r="W446" s="5"/>
      <c r="X446" s="5"/>
      <c r="Y446" s="5"/>
      <c r="Z446" s="7"/>
      <c r="AA446" s="5"/>
      <c r="AB446" s="5"/>
      <c r="AC446" s="5"/>
      <c r="AD446" s="5"/>
      <c r="AE446" s="5"/>
      <c r="AF446" s="5"/>
      <c r="AG446" s="5"/>
      <c r="AH446" s="5"/>
      <c r="AI446" s="5"/>
    </row>
    <row r="447" spans="1:35" ht="15.75" customHeight="1">
      <c r="A447" s="5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5"/>
      <c r="T447" s="5"/>
      <c r="U447" s="104"/>
      <c r="V447" s="5"/>
      <c r="W447" s="5"/>
      <c r="X447" s="5"/>
      <c r="Y447" s="5"/>
      <c r="Z447" s="7"/>
      <c r="AA447" s="5"/>
      <c r="AB447" s="5"/>
      <c r="AC447" s="5"/>
      <c r="AD447" s="5"/>
      <c r="AE447" s="5"/>
      <c r="AF447" s="5"/>
      <c r="AG447" s="5"/>
      <c r="AH447" s="5"/>
      <c r="AI447" s="5"/>
    </row>
    <row r="448" spans="1:35" ht="15.75" customHeight="1">
      <c r="A448" s="5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5"/>
      <c r="T448" s="5"/>
      <c r="U448" s="104"/>
      <c r="V448" s="5"/>
      <c r="W448" s="5"/>
      <c r="X448" s="5"/>
      <c r="Y448" s="5"/>
      <c r="Z448" s="7"/>
      <c r="AA448" s="5"/>
      <c r="AB448" s="5"/>
      <c r="AC448" s="5"/>
      <c r="AD448" s="5"/>
      <c r="AE448" s="5"/>
      <c r="AF448" s="5"/>
      <c r="AG448" s="5"/>
      <c r="AH448" s="5"/>
      <c r="AI448" s="5"/>
    </row>
    <row r="449" spans="1:35" ht="15.75" customHeight="1">
      <c r="A449" s="5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5"/>
      <c r="T449" s="5"/>
      <c r="U449" s="104"/>
      <c r="V449" s="5"/>
      <c r="W449" s="5"/>
      <c r="X449" s="5"/>
      <c r="Y449" s="5"/>
      <c r="Z449" s="7"/>
      <c r="AA449" s="5"/>
      <c r="AB449" s="5"/>
      <c r="AC449" s="5"/>
      <c r="AD449" s="5"/>
      <c r="AE449" s="5"/>
      <c r="AF449" s="5"/>
      <c r="AG449" s="5"/>
      <c r="AH449" s="5"/>
      <c r="AI449" s="5"/>
    </row>
    <row r="450" spans="1:35" ht="15.75" customHeight="1">
      <c r="A450" s="5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5"/>
      <c r="T450" s="5"/>
      <c r="U450" s="104"/>
      <c r="V450" s="5"/>
      <c r="W450" s="5"/>
      <c r="X450" s="5"/>
      <c r="Y450" s="5"/>
      <c r="Z450" s="7"/>
      <c r="AA450" s="5"/>
      <c r="AB450" s="5"/>
      <c r="AC450" s="5"/>
      <c r="AD450" s="5"/>
      <c r="AE450" s="5"/>
      <c r="AF450" s="5"/>
      <c r="AG450" s="5"/>
      <c r="AH450" s="5"/>
      <c r="AI450" s="5"/>
    </row>
    <row r="451" spans="1:35" ht="15.75" customHeight="1">
      <c r="A451" s="5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5"/>
      <c r="T451" s="5"/>
      <c r="U451" s="104"/>
      <c r="V451" s="5"/>
      <c r="W451" s="5"/>
      <c r="X451" s="5"/>
      <c r="Y451" s="5"/>
      <c r="Z451" s="7"/>
      <c r="AA451" s="5"/>
      <c r="AB451" s="5"/>
      <c r="AC451" s="5"/>
      <c r="AD451" s="5"/>
      <c r="AE451" s="5"/>
      <c r="AF451" s="5"/>
      <c r="AG451" s="5"/>
      <c r="AH451" s="5"/>
      <c r="AI451" s="5"/>
    </row>
    <row r="452" spans="1:35" ht="15.75" customHeight="1">
      <c r="A452" s="5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5"/>
      <c r="T452" s="5"/>
      <c r="U452" s="104"/>
      <c r="V452" s="5"/>
      <c r="W452" s="5"/>
      <c r="X452" s="5"/>
      <c r="Y452" s="5"/>
      <c r="Z452" s="7"/>
      <c r="AA452" s="5"/>
      <c r="AB452" s="5"/>
      <c r="AC452" s="5"/>
      <c r="AD452" s="5"/>
      <c r="AE452" s="5"/>
      <c r="AF452" s="5"/>
      <c r="AG452" s="5"/>
      <c r="AH452" s="5"/>
      <c r="AI452" s="5"/>
    </row>
    <row r="453" spans="1:35" ht="15.75" customHeight="1">
      <c r="A453" s="5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5"/>
      <c r="T453" s="5"/>
      <c r="U453" s="104"/>
      <c r="V453" s="5"/>
      <c r="W453" s="5"/>
      <c r="X453" s="5"/>
      <c r="Y453" s="5"/>
      <c r="Z453" s="7"/>
      <c r="AA453" s="5"/>
      <c r="AB453" s="5"/>
      <c r="AC453" s="5"/>
      <c r="AD453" s="5"/>
      <c r="AE453" s="5"/>
      <c r="AF453" s="5"/>
      <c r="AG453" s="5"/>
      <c r="AH453" s="5"/>
      <c r="AI453" s="5"/>
    </row>
    <row r="454" spans="1:35" ht="15.75" customHeight="1">
      <c r="A454" s="5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5"/>
      <c r="T454" s="5"/>
      <c r="U454" s="104"/>
      <c r="V454" s="5"/>
      <c r="W454" s="5"/>
      <c r="X454" s="5"/>
      <c r="Y454" s="5"/>
      <c r="Z454" s="7"/>
      <c r="AA454" s="5"/>
      <c r="AB454" s="5"/>
      <c r="AC454" s="5"/>
      <c r="AD454" s="5"/>
      <c r="AE454" s="5"/>
      <c r="AF454" s="5"/>
      <c r="AG454" s="5"/>
      <c r="AH454" s="5"/>
      <c r="AI454" s="5"/>
    </row>
    <row r="455" spans="1:35" ht="15.75" customHeight="1">
      <c r="A455" s="5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5"/>
      <c r="T455" s="5"/>
      <c r="U455" s="104"/>
      <c r="V455" s="5"/>
      <c r="W455" s="5"/>
      <c r="X455" s="5"/>
      <c r="Y455" s="5"/>
      <c r="Z455" s="7"/>
      <c r="AA455" s="5"/>
      <c r="AB455" s="5"/>
      <c r="AC455" s="5"/>
      <c r="AD455" s="5"/>
      <c r="AE455" s="5"/>
      <c r="AF455" s="5"/>
      <c r="AG455" s="5"/>
      <c r="AH455" s="5"/>
      <c r="AI455" s="5"/>
    </row>
    <row r="456" spans="1:35" ht="15.75" customHeight="1">
      <c r="A456" s="5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5"/>
      <c r="T456" s="5"/>
      <c r="U456" s="104"/>
      <c r="V456" s="5"/>
      <c r="W456" s="5"/>
      <c r="X456" s="5"/>
      <c r="Y456" s="5"/>
      <c r="Z456" s="7"/>
      <c r="AA456" s="5"/>
      <c r="AB456" s="5"/>
      <c r="AC456" s="5"/>
      <c r="AD456" s="5"/>
      <c r="AE456" s="5"/>
      <c r="AF456" s="5"/>
      <c r="AG456" s="5"/>
      <c r="AH456" s="5"/>
      <c r="AI456" s="5"/>
    </row>
    <row r="457" spans="1:35" ht="15.75" customHeight="1">
      <c r="A457" s="5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5"/>
      <c r="T457" s="5"/>
      <c r="U457" s="104"/>
      <c r="V457" s="5"/>
      <c r="W457" s="5"/>
      <c r="X457" s="5"/>
      <c r="Y457" s="5"/>
      <c r="Z457" s="7"/>
      <c r="AA457" s="5"/>
      <c r="AB457" s="5"/>
      <c r="AC457" s="5"/>
      <c r="AD457" s="5"/>
      <c r="AE457" s="5"/>
      <c r="AF457" s="5"/>
      <c r="AG457" s="5"/>
      <c r="AH457" s="5"/>
      <c r="AI457" s="5"/>
    </row>
    <row r="458" spans="1:35" ht="15.75" customHeight="1">
      <c r="A458" s="5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5"/>
      <c r="T458" s="5"/>
      <c r="U458" s="104"/>
      <c r="V458" s="5"/>
      <c r="W458" s="5"/>
      <c r="X458" s="5"/>
      <c r="Y458" s="5"/>
      <c r="Z458" s="7"/>
      <c r="AA458" s="5"/>
      <c r="AB458" s="5"/>
      <c r="AC458" s="5"/>
      <c r="AD458" s="5"/>
      <c r="AE458" s="5"/>
      <c r="AF458" s="5"/>
      <c r="AG458" s="5"/>
      <c r="AH458" s="5"/>
      <c r="AI458" s="5"/>
    </row>
    <row r="459" spans="1:35" ht="15.75" customHeight="1">
      <c r="A459" s="5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5"/>
      <c r="T459" s="5"/>
      <c r="U459" s="104"/>
      <c r="V459" s="5"/>
      <c r="W459" s="5"/>
      <c r="X459" s="5"/>
      <c r="Y459" s="5"/>
      <c r="Z459" s="7"/>
      <c r="AA459" s="5"/>
      <c r="AB459" s="5"/>
      <c r="AC459" s="5"/>
      <c r="AD459" s="5"/>
      <c r="AE459" s="5"/>
      <c r="AF459" s="5"/>
      <c r="AG459" s="5"/>
      <c r="AH459" s="5"/>
      <c r="AI459" s="5"/>
    </row>
    <row r="460" spans="1:35" ht="15.75" customHeight="1">
      <c r="A460" s="5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5"/>
      <c r="T460" s="5"/>
      <c r="U460" s="104"/>
      <c r="V460" s="5"/>
      <c r="W460" s="5"/>
      <c r="X460" s="5"/>
      <c r="Y460" s="5"/>
      <c r="Z460" s="7"/>
      <c r="AA460" s="5"/>
      <c r="AB460" s="5"/>
      <c r="AC460" s="5"/>
      <c r="AD460" s="5"/>
      <c r="AE460" s="5"/>
      <c r="AF460" s="5"/>
      <c r="AG460" s="5"/>
      <c r="AH460" s="5"/>
      <c r="AI460" s="5"/>
    </row>
    <row r="461" spans="1:35" ht="15.75" customHeight="1">
      <c r="A461" s="5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5"/>
      <c r="T461" s="5"/>
      <c r="U461" s="104"/>
      <c r="V461" s="5"/>
      <c r="W461" s="5"/>
      <c r="X461" s="5"/>
      <c r="Y461" s="5"/>
      <c r="Z461" s="7"/>
      <c r="AA461" s="5"/>
      <c r="AB461" s="5"/>
      <c r="AC461" s="5"/>
      <c r="AD461" s="5"/>
      <c r="AE461" s="5"/>
      <c r="AF461" s="5"/>
      <c r="AG461" s="5"/>
      <c r="AH461" s="5"/>
      <c r="AI461" s="5"/>
    </row>
    <row r="462" spans="1:35" ht="15.75" customHeight="1">
      <c r="A462" s="5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5"/>
      <c r="T462" s="5"/>
      <c r="U462" s="104"/>
      <c r="V462" s="5"/>
      <c r="W462" s="5"/>
      <c r="X462" s="5"/>
      <c r="Y462" s="5"/>
      <c r="Z462" s="7"/>
      <c r="AA462" s="5"/>
      <c r="AB462" s="5"/>
      <c r="AC462" s="5"/>
      <c r="AD462" s="5"/>
      <c r="AE462" s="5"/>
      <c r="AF462" s="5"/>
      <c r="AG462" s="5"/>
      <c r="AH462" s="5"/>
      <c r="AI462" s="5"/>
    </row>
    <row r="463" spans="1:35" ht="15.75" customHeight="1">
      <c r="A463" s="5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5"/>
      <c r="T463" s="5"/>
      <c r="U463" s="104"/>
      <c r="V463" s="5"/>
      <c r="W463" s="5"/>
      <c r="X463" s="5"/>
      <c r="Y463" s="5"/>
      <c r="Z463" s="7"/>
      <c r="AA463" s="5"/>
      <c r="AB463" s="5"/>
      <c r="AC463" s="5"/>
      <c r="AD463" s="5"/>
      <c r="AE463" s="5"/>
      <c r="AF463" s="5"/>
      <c r="AG463" s="5"/>
      <c r="AH463" s="5"/>
      <c r="AI463" s="5"/>
    </row>
    <row r="464" spans="1:35" ht="15.75" customHeight="1">
      <c r="A464" s="5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5"/>
      <c r="T464" s="5"/>
      <c r="U464" s="104"/>
      <c r="V464" s="5"/>
      <c r="W464" s="5"/>
      <c r="X464" s="5"/>
      <c r="Y464" s="5"/>
      <c r="Z464" s="7"/>
      <c r="AA464" s="5"/>
      <c r="AB464" s="5"/>
      <c r="AC464" s="5"/>
      <c r="AD464" s="5"/>
      <c r="AE464" s="5"/>
      <c r="AF464" s="5"/>
      <c r="AG464" s="5"/>
      <c r="AH464" s="5"/>
      <c r="AI464" s="5"/>
    </row>
    <row r="465" spans="1:35" ht="15.75" customHeight="1">
      <c r="A465" s="5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5"/>
      <c r="T465" s="5"/>
      <c r="U465" s="104"/>
      <c r="V465" s="5"/>
      <c r="W465" s="5"/>
      <c r="X465" s="5"/>
      <c r="Y465" s="5"/>
      <c r="Z465" s="7"/>
      <c r="AA465" s="5"/>
      <c r="AB465" s="5"/>
      <c r="AC465" s="5"/>
      <c r="AD465" s="5"/>
      <c r="AE465" s="5"/>
      <c r="AF465" s="5"/>
      <c r="AG465" s="5"/>
      <c r="AH465" s="5"/>
      <c r="AI465" s="5"/>
    </row>
    <row r="466" spans="1:35" ht="15.75" customHeight="1">
      <c r="A466" s="5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5"/>
      <c r="T466" s="5"/>
      <c r="U466" s="104"/>
      <c r="V466" s="5"/>
      <c r="W466" s="5"/>
      <c r="X466" s="5"/>
      <c r="Y466" s="5"/>
      <c r="Z466" s="7"/>
      <c r="AA466" s="5"/>
      <c r="AB466" s="5"/>
      <c r="AC466" s="5"/>
      <c r="AD466" s="5"/>
      <c r="AE466" s="5"/>
      <c r="AF466" s="5"/>
      <c r="AG466" s="5"/>
      <c r="AH466" s="5"/>
      <c r="AI466" s="5"/>
    </row>
    <row r="467" spans="1:35" ht="15.75" customHeight="1">
      <c r="A467" s="5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5"/>
      <c r="T467" s="5"/>
      <c r="U467" s="104"/>
      <c r="V467" s="5"/>
      <c r="W467" s="5"/>
      <c r="X467" s="5"/>
      <c r="Y467" s="5"/>
      <c r="Z467" s="7"/>
      <c r="AA467" s="5"/>
      <c r="AB467" s="5"/>
      <c r="AC467" s="5"/>
      <c r="AD467" s="5"/>
      <c r="AE467" s="5"/>
      <c r="AF467" s="5"/>
      <c r="AG467" s="5"/>
      <c r="AH467" s="5"/>
      <c r="AI467" s="5"/>
    </row>
    <row r="468" spans="1:35" ht="15.75" customHeight="1">
      <c r="A468" s="5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5"/>
      <c r="T468" s="5"/>
      <c r="U468" s="104"/>
      <c r="V468" s="5"/>
      <c r="W468" s="5"/>
      <c r="X468" s="5"/>
      <c r="Y468" s="5"/>
      <c r="Z468" s="7"/>
      <c r="AA468" s="5"/>
      <c r="AB468" s="5"/>
      <c r="AC468" s="5"/>
      <c r="AD468" s="5"/>
      <c r="AE468" s="5"/>
      <c r="AF468" s="5"/>
      <c r="AG468" s="5"/>
      <c r="AH468" s="5"/>
      <c r="AI468" s="5"/>
    </row>
    <row r="469" spans="1:35" ht="15.75" customHeight="1">
      <c r="A469" s="5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5"/>
      <c r="T469" s="5"/>
      <c r="U469" s="104"/>
      <c r="V469" s="5"/>
      <c r="W469" s="5"/>
      <c r="X469" s="5"/>
      <c r="Y469" s="5"/>
      <c r="Z469" s="7"/>
      <c r="AA469" s="5"/>
      <c r="AB469" s="5"/>
      <c r="AC469" s="5"/>
      <c r="AD469" s="5"/>
      <c r="AE469" s="5"/>
      <c r="AF469" s="5"/>
      <c r="AG469" s="5"/>
      <c r="AH469" s="5"/>
      <c r="AI469" s="5"/>
    </row>
    <row r="470" spans="1:35" ht="15.75" customHeight="1">
      <c r="A470" s="5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5"/>
      <c r="T470" s="5"/>
      <c r="U470" s="104"/>
      <c r="V470" s="5"/>
      <c r="W470" s="5"/>
      <c r="X470" s="5"/>
      <c r="Y470" s="5"/>
      <c r="Z470" s="7"/>
      <c r="AA470" s="5"/>
      <c r="AB470" s="5"/>
      <c r="AC470" s="5"/>
      <c r="AD470" s="5"/>
      <c r="AE470" s="5"/>
      <c r="AF470" s="5"/>
      <c r="AG470" s="5"/>
      <c r="AH470" s="5"/>
      <c r="AI470" s="5"/>
    </row>
    <row r="471" spans="1:35" ht="15.75" customHeight="1">
      <c r="A471" s="5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5"/>
      <c r="T471" s="5"/>
      <c r="U471" s="104"/>
      <c r="V471" s="5"/>
      <c r="W471" s="5"/>
      <c r="X471" s="5"/>
      <c r="Y471" s="5"/>
      <c r="Z471" s="7"/>
      <c r="AA471" s="5"/>
      <c r="AB471" s="5"/>
      <c r="AC471" s="5"/>
      <c r="AD471" s="5"/>
      <c r="AE471" s="5"/>
      <c r="AF471" s="5"/>
      <c r="AG471" s="5"/>
      <c r="AH471" s="5"/>
      <c r="AI471" s="5"/>
    </row>
    <row r="472" spans="1:35" ht="15.75" customHeight="1">
      <c r="A472" s="5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5"/>
      <c r="T472" s="5"/>
      <c r="U472" s="104"/>
      <c r="V472" s="5"/>
      <c r="W472" s="5"/>
      <c r="X472" s="5"/>
      <c r="Y472" s="5"/>
      <c r="Z472" s="7"/>
      <c r="AA472" s="5"/>
      <c r="AB472" s="5"/>
      <c r="AC472" s="5"/>
      <c r="AD472" s="5"/>
      <c r="AE472" s="5"/>
      <c r="AF472" s="5"/>
      <c r="AG472" s="5"/>
      <c r="AH472" s="5"/>
      <c r="AI472" s="5"/>
    </row>
    <row r="473" spans="1:35" ht="15.75" customHeight="1">
      <c r="A473" s="5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5"/>
      <c r="T473" s="5"/>
      <c r="U473" s="104"/>
      <c r="V473" s="5"/>
      <c r="W473" s="5"/>
      <c r="X473" s="5"/>
      <c r="Y473" s="5"/>
      <c r="Z473" s="7"/>
      <c r="AA473" s="5"/>
      <c r="AB473" s="5"/>
      <c r="AC473" s="5"/>
      <c r="AD473" s="5"/>
      <c r="AE473" s="5"/>
      <c r="AF473" s="5"/>
      <c r="AG473" s="5"/>
      <c r="AH473" s="5"/>
      <c r="AI473" s="5"/>
    </row>
    <row r="474" spans="1:35" ht="15.75" customHeight="1">
      <c r="A474" s="5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5"/>
      <c r="T474" s="5"/>
      <c r="U474" s="104"/>
      <c r="V474" s="5"/>
      <c r="W474" s="5"/>
      <c r="X474" s="5"/>
      <c r="Y474" s="5"/>
      <c r="Z474" s="7"/>
      <c r="AA474" s="5"/>
      <c r="AB474" s="5"/>
      <c r="AC474" s="5"/>
      <c r="AD474" s="5"/>
      <c r="AE474" s="5"/>
      <c r="AF474" s="5"/>
      <c r="AG474" s="5"/>
      <c r="AH474" s="5"/>
      <c r="AI474" s="5"/>
    </row>
    <row r="475" spans="1:35" ht="15.75" customHeight="1">
      <c r="A475" s="5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5"/>
      <c r="T475" s="5"/>
      <c r="U475" s="104"/>
      <c r="V475" s="5"/>
      <c r="W475" s="5"/>
      <c r="X475" s="5"/>
      <c r="Y475" s="5"/>
      <c r="Z475" s="7"/>
      <c r="AA475" s="5"/>
      <c r="AB475" s="5"/>
      <c r="AC475" s="5"/>
      <c r="AD475" s="5"/>
      <c r="AE475" s="5"/>
      <c r="AF475" s="5"/>
      <c r="AG475" s="5"/>
      <c r="AH475" s="5"/>
      <c r="AI475" s="5"/>
    </row>
    <row r="476" spans="1:35" ht="15.75" customHeight="1">
      <c r="A476" s="5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5"/>
      <c r="T476" s="5"/>
      <c r="U476" s="104"/>
      <c r="V476" s="5"/>
      <c r="W476" s="5"/>
      <c r="X476" s="5"/>
      <c r="Y476" s="5"/>
      <c r="Z476" s="7"/>
      <c r="AA476" s="5"/>
      <c r="AB476" s="5"/>
      <c r="AC476" s="5"/>
      <c r="AD476" s="5"/>
      <c r="AE476" s="5"/>
      <c r="AF476" s="5"/>
      <c r="AG476" s="5"/>
      <c r="AH476" s="5"/>
      <c r="AI476" s="5"/>
    </row>
    <row r="477" spans="1:35" ht="15.75" customHeight="1">
      <c r="A477" s="5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5"/>
      <c r="T477" s="5"/>
      <c r="U477" s="104"/>
      <c r="V477" s="5"/>
      <c r="W477" s="5"/>
      <c r="X477" s="5"/>
      <c r="Y477" s="5"/>
      <c r="Z477" s="7"/>
      <c r="AA477" s="5"/>
      <c r="AB477" s="5"/>
      <c r="AC477" s="5"/>
      <c r="AD477" s="5"/>
      <c r="AE477" s="5"/>
      <c r="AF477" s="5"/>
      <c r="AG477" s="5"/>
      <c r="AH477" s="5"/>
      <c r="AI477" s="5"/>
    </row>
    <row r="478" spans="1:35" ht="15.75" customHeight="1">
      <c r="A478" s="5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5"/>
      <c r="T478" s="5"/>
      <c r="U478" s="104"/>
      <c r="V478" s="5"/>
      <c r="W478" s="5"/>
      <c r="X478" s="5"/>
      <c r="Y478" s="5"/>
      <c r="Z478" s="7"/>
      <c r="AA478" s="5"/>
      <c r="AB478" s="5"/>
      <c r="AC478" s="5"/>
      <c r="AD478" s="5"/>
      <c r="AE478" s="5"/>
      <c r="AF478" s="5"/>
      <c r="AG478" s="5"/>
      <c r="AH478" s="5"/>
      <c r="AI478" s="5"/>
    </row>
    <row r="479" spans="1:35" ht="15.75" customHeight="1">
      <c r="A479" s="5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5"/>
      <c r="T479" s="5"/>
      <c r="U479" s="104"/>
      <c r="V479" s="5"/>
      <c r="W479" s="5"/>
      <c r="X479" s="5"/>
      <c r="Y479" s="5"/>
      <c r="Z479" s="7"/>
      <c r="AA479" s="5"/>
      <c r="AB479" s="5"/>
      <c r="AC479" s="5"/>
      <c r="AD479" s="5"/>
      <c r="AE479" s="5"/>
      <c r="AF479" s="5"/>
      <c r="AG479" s="5"/>
      <c r="AH479" s="5"/>
      <c r="AI479" s="5"/>
    </row>
    <row r="480" spans="1:35" ht="15.75" customHeight="1">
      <c r="A480" s="5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5"/>
      <c r="T480" s="5"/>
      <c r="U480" s="104"/>
      <c r="V480" s="5"/>
      <c r="W480" s="5"/>
      <c r="X480" s="5"/>
      <c r="Y480" s="5"/>
      <c r="Z480" s="7"/>
      <c r="AA480" s="5"/>
      <c r="AB480" s="5"/>
      <c r="AC480" s="5"/>
      <c r="AD480" s="5"/>
      <c r="AE480" s="5"/>
      <c r="AF480" s="5"/>
      <c r="AG480" s="5"/>
      <c r="AH480" s="5"/>
      <c r="AI480" s="5"/>
    </row>
    <row r="481" spans="1:35" ht="15.75" customHeight="1">
      <c r="A481" s="5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5"/>
      <c r="T481" s="5"/>
      <c r="U481" s="104"/>
      <c r="V481" s="5"/>
      <c r="W481" s="5"/>
      <c r="X481" s="5"/>
      <c r="Y481" s="5"/>
      <c r="Z481" s="7"/>
      <c r="AA481" s="5"/>
      <c r="AB481" s="5"/>
      <c r="AC481" s="5"/>
      <c r="AD481" s="5"/>
      <c r="AE481" s="5"/>
      <c r="AF481" s="5"/>
      <c r="AG481" s="5"/>
      <c r="AH481" s="5"/>
      <c r="AI481" s="5"/>
    </row>
    <row r="482" spans="1:35" ht="15.75" customHeight="1">
      <c r="A482" s="5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5"/>
      <c r="T482" s="5"/>
      <c r="U482" s="104"/>
      <c r="V482" s="5"/>
      <c r="W482" s="5"/>
      <c r="X482" s="5"/>
      <c r="Y482" s="5"/>
      <c r="Z482" s="7"/>
      <c r="AA482" s="5"/>
      <c r="AB482" s="5"/>
      <c r="AC482" s="5"/>
      <c r="AD482" s="5"/>
      <c r="AE482" s="5"/>
      <c r="AF482" s="5"/>
      <c r="AG482" s="5"/>
      <c r="AH482" s="5"/>
      <c r="AI482" s="5"/>
    </row>
    <row r="483" spans="1:35" ht="15.75" customHeight="1">
      <c r="A483" s="5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5"/>
      <c r="T483" s="5"/>
      <c r="U483" s="104"/>
      <c r="V483" s="5"/>
      <c r="W483" s="5"/>
      <c r="X483" s="5"/>
      <c r="Y483" s="5"/>
      <c r="Z483" s="7"/>
      <c r="AA483" s="5"/>
      <c r="AB483" s="5"/>
      <c r="AC483" s="5"/>
      <c r="AD483" s="5"/>
      <c r="AE483" s="5"/>
      <c r="AF483" s="5"/>
      <c r="AG483" s="5"/>
      <c r="AH483" s="5"/>
      <c r="AI483" s="5"/>
    </row>
    <row r="484" spans="1:35" ht="15.75" customHeight="1">
      <c r="A484" s="5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5"/>
      <c r="T484" s="5"/>
      <c r="U484" s="104"/>
      <c r="V484" s="5"/>
      <c r="W484" s="5"/>
      <c r="X484" s="5"/>
      <c r="Y484" s="5"/>
      <c r="Z484" s="7"/>
      <c r="AA484" s="5"/>
      <c r="AB484" s="5"/>
      <c r="AC484" s="5"/>
      <c r="AD484" s="5"/>
      <c r="AE484" s="5"/>
      <c r="AF484" s="5"/>
      <c r="AG484" s="5"/>
      <c r="AH484" s="5"/>
      <c r="AI484" s="5"/>
    </row>
    <row r="485" spans="1:35" ht="15.75" customHeight="1">
      <c r="A485" s="5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5"/>
      <c r="T485" s="5"/>
      <c r="U485" s="104"/>
      <c r="V485" s="5"/>
      <c r="W485" s="5"/>
      <c r="X485" s="5"/>
      <c r="Y485" s="5"/>
      <c r="Z485" s="7"/>
      <c r="AA485" s="5"/>
      <c r="AB485" s="5"/>
      <c r="AC485" s="5"/>
      <c r="AD485" s="5"/>
      <c r="AE485" s="5"/>
      <c r="AF485" s="5"/>
      <c r="AG485" s="5"/>
      <c r="AH485" s="5"/>
      <c r="AI485" s="5"/>
    </row>
    <row r="486" spans="1:35" ht="15.75" customHeight="1">
      <c r="A486" s="5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5"/>
      <c r="T486" s="5"/>
      <c r="U486" s="104"/>
      <c r="V486" s="5"/>
      <c r="W486" s="5"/>
      <c r="X486" s="5"/>
      <c r="Y486" s="5"/>
      <c r="Z486" s="7"/>
      <c r="AA486" s="5"/>
      <c r="AB486" s="5"/>
      <c r="AC486" s="5"/>
      <c r="AD486" s="5"/>
      <c r="AE486" s="5"/>
      <c r="AF486" s="5"/>
      <c r="AG486" s="5"/>
      <c r="AH486" s="5"/>
      <c r="AI486" s="5"/>
    </row>
    <row r="487" spans="1:35" ht="15.75" customHeight="1">
      <c r="A487" s="5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5"/>
      <c r="T487" s="5"/>
      <c r="U487" s="104"/>
      <c r="V487" s="5"/>
      <c r="W487" s="5"/>
      <c r="X487" s="5"/>
      <c r="Y487" s="5"/>
      <c r="Z487" s="7"/>
      <c r="AA487" s="5"/>
      <c r="AB487" s="5"/>
      <c r="AC487" s="5"/>
      <c r="AD487" s="5"/>
      <c r="AE487" s="5"/>
      <c r="AF487" s="5"/>
      <c r="AG487" s="5"/>
      <c r="AH487" s="5"/>
      <c r="AI487" s="5"/>
    </row>
    <row r="488" spans="1:35" ht="15.75" customHeight="1">
      <c r="A488" s="5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5"/>
      <c r="T488" s="5"/>
      <c r="U488" s="104"/>
      <c r="V488" s="5"/>
      <c r="W488" s="5"/>
      <c r="X488" s="5"/>
      <c r="Y488" s="5"/>
      <c r="Z488" s="7"/>
      <c r="AA488" s="5"/>
      <c r="AB488" s="5"/>
      <c r="AC488" s="5"/>
      <c r="AD488" s="5"/>
      <c r="AE488" s="5"/>
      <c r="AF488" s="5"/>
      <c r="AG488" s="5"/>
      <c r="AH488" s="5"/>
      <c r="AI488" s="5"/>
    </row>
    <row r="489" spans="1:35" ht="15.75" customHeight="1">
      <c r="A489" s="5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5"/>
      <c r="T489" s="5"/>
      <c r="U489" s="104"/>
      <c r="V489" s="5"/>
      <c r="W489" s="5"/>
      <c r="X489" s="5"/>
      <c r="Y489" s="5"/>
      <c r="Z489" s="7"/>
      <c r="AA489" s="5"/>
      <c r="AB489" s="5"/>
      <c r="AC489" s="5"/>
      <c r="AD489" s="5"/>
      <c r="AE489" s="5"/>
      <c r="AF489" s="5"/>
      <c r="AG489" s="5"/>
      <c r="AH489" s="5"/>
      <c r="AI489" s="5"/>
    </row>
    <row r="490" spans="1:35" ht="15.75" customHeight="1">
      <c r="A490" s="5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5"/>
      <c r="T490" s="5"/>
      <c r="U490" s="104"/>
      <c r="V490" s="5"/>
      <c r="W490" s="5"/>
      <c r="X490" s="5"/>
      <c r="Y490" s="5"/>
      <c r="Z490" s="7"/>
      <c r="AA490" s="5"/>
      <c r="AB490" s="5"/>
      <c r="AC490" s="5"/>
      <c r="AD490" s="5"/>
      <c r="AE490" s="5"/>
      <c r="AF490" s="5"/>
      <c r="AG490" s="5"/>
      <c r="AH490" s="5"/>
      <c r="AI490" s="5"/>
    </row>
    <row r="491" spans="1:35" ht="15.75" customHeight="1">
      <c r="A491" s="5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5"/>
      <c r="T491" s="5"/>
      <c r="U491" s="104"/>
      <c r="V491" s="5"/>
      <c r="W491" s="5"/>
      <c r="X491" s="5"/>
      <c r="Y491" s="5"/>
      <c r="Z491" s="7"/>
      <c r="AA491" s="5"/>
      <c r="AB491" s="5"/>
      <c r="AC491" s="5"/>
      <c r="AD491" s="5"/>
      <c r="AE491" s="5"/>
      <c r="AF491" s="5"/>
      <c r="AG491" s="5"/>
      <c r="AH491" s="5"/>
      <c r="AI491" s="5"/>
    </row>
    <row r="492" spans="1:35" ht="15.75" customHeight="1">
      <c r="A492" s="5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5"/>
      <c r="T492" s="5"/>
      <c r="U492" s="104"/>
      <c r="V492" s="5"/>
      <c r="W492" s="5"/>
      <c r="X492" s="5"/>
      <c r="Y492" s="5"/>
      <c r="Z492" s="7"/>
      <c r="AA492" s="5"/>
      <c r="AB492" s="5"/>
      <c r="AC492" s="5"/>
      <c r="AD492" s="5"/>
      <c r="AE492" s="5"/>
      <c r="AF492" s="5"/>
      <c r="AG492" s="5"/>
      <c r="AH492" s="5"/>
      <c r="AI492" s="5"/>
    </row>
    <row r="493" spans="1:35" ht="15.75" customHeight="1">
      <c r="A493" s="5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5"/>
      <c r="T493" s="5"/>
      <c r="U493" s="104"/>
      <c r="V493" s="5"/>
      <c r="W493" s="5"/>
      <c r="X493" s="5"/>
      <c r="Y493" s="5"/>
      <c r="Z493" s="7"/>
      <c r="AA493" s="5"/>
      <c r="AB493" s="5"/>
      <c r="AC493" s="5"/>
      <c r="AD493" s="5"/>
      <c r="AE493" s="5"/>
      <c r="AF493" s="5"/>
      <c r="AG493" s="5"/>
      <c r="AH493" s="5"/>
      <c r="AI493" s="5"/>
    </row>
    <row r="494" spans="1:35" ht="15.75" customHeight="1">
      <c r="A494" s="5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5"/>
      <c r="T494" s="5"/>
      <c r="U494" s="104"/>
      <c r="V494" s="5"/>
      <c r="W494" s="5"/>
      <c r="X494" s="5"/>
      <c r="Y494" s="5"/>
      <c r="Z494" s="7"/>
      <c r="AA494" s="5"/>
      <c r="AB494" s="5"/>
      <c r="AC494" s="5"/>
      <c r="AD494" s="5"/>
      <c r="AE494" s="5"/>
      <c r="AF494" s="5"/>
      <c r="AG494" s="5"/>
      <c r="AH494" s="5"/>
      <c r="AI494" s="5"/>
    </row>
    <row r="495" spans="1:35" ht="15.75" customHeight="1">
      <c r="A495" s="5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5"/>
      <c r="T495" s="5"/>
      <c r="U495" s="104"/>
      <c r="V495" s="5"/>
      <c r="W495" s="5"/>
      <c r="X495" s="5"/>
      <c r="Y495" s="5"/>
      <c r="Z495" s="7"/>
      <c r="AA495" s="5"/>
      <c r="AB495" s="5"/>
      <c r="AC495" s="5"/>
      <c r="AD495" s="5"/>
      <c r="AE495" s="5"/>
      <c r="AF495" s="5"/>
      <c r="AG495" s="5"/>
      <c r="AH495" s="5"/>
      <c r="AI495" s="5"/>
    </row>
    <row r="496" spans="1:35" ht="15.75" customHeight="1">
      <c r="A496" s="5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5"/>
      <c r="T496" s="5"/>
      <c r="U496" s="104"/>
      <c r="V496" s="5"/>
      <c r="W496" s="5"/>
      <c r="X496" s="5"/>
      <c r="Y496" s="5"/>
      <c r="Z496" s="7"/>
      <c r="AA496" s="5"/>
      <c r="AB496" s="5"/>
      <c r="AC496" s="5"/>
      <c r="AD496" s="5"/>
      <c r="AE496" s="5"/>
      <c r="AF496" s="5"/>
      <c r="AG496" s="5"/>
      <c r="AH496" s="5"/>
      <c r="AI496" s="5"/>
    </row>
    <row r="497" spans="1:35" ht="15.75" customHeight="1">
      <c r="A497" s="5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5"/>
      <c r="T497" s="5"/>
      <c r="U497" s="104"/>
      <c r="V497" s="5"/>
      <c r="W497" s="5"/>
      <c r="X497" s="5"/>
      <c r="Y497" s="5"/>
      <c r="Z497" s="7"/>
      <c r="AA497" s="5"/>
      <c r="AB497" s="5"/>
      <c r="AC497" s="5"/>
      <c r="AD497" s="5"/>
      <c r="AE497" s="5"/>
      <c r="AF497" s="5"/>
      <c r="AG497" s="5"/>
      <c r="AH497" s="5"/>
      <c r="AI497" s="5"/>
    </row>
    <row r="498" spans="1:35" ht="15.75" customHeight="1">
      <c r="A498" s="5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5"/>
      <c r="T498" s="5"/>
      <c r="U498" s="104"/>
      <c r="V498" s="5"/>
      <c r="W498" s="5"/>
      <c r="X498" s="5"/>
      <c r="Y498" s="5"/>
      <c r="Z498" s="7"/>
      <c r="AA498" s="5"/>
      <c r="AB498" s="5"/>
      <c r="AC498" s="5"/>
      <c r="AD498" s="5"/>
      <c r="AE498" s="5"/>
      <c r="AF498" s="5"/>
      <c r="AG498" s="5"/>
      <c r="AH498" s="5"/>
      <c r="AI498" s="5"/>
    </row>
    <row r="499" spans="1:35" ht="15.75" customHeight="1">
      <c r="A499" s="5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5"/>
      <c r="T499" s="5"/>
      <c r="U499" s="104"/>
      <c r="V499" s="5"/>
      <c r="W499" s="5"/>
      <c r="X499" s="5"/>
      <c r="Y499" s="5"/>
      <c r="Z499" s="7"/>
      <c r="AA499" s="5"/>
      <c r="AB499" s="5"/>
      <c r="AC499" s="5"/>
      <c r="AD499" s="5"/>
      <c r="AE499" s="5"/>
      <c r="AF499" s="5"/>
      <c r="AG499" s="5"/>
      <c r="AH499" s="5"/>
      <c r="AI499" s="5"/>
    </row>
    <row r="500" spans="1:35" ht="15.75" customHeight="1">
      <c r="A500" s="5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5"/>
      <c r="T500" s="5"/>
      <c r="U500" s="104"/>
      <c r="V500" s="5"/>
      <c r="W500" s="5"/>
      <c r="X500" s="5"/>
      <c r="Y500" s="5"/>
      <c r="Z500" s="7"/>
      <c r="AA500" s="5"/>
      <c r="AB500" s="5"/>
      <c r="AC500" s="5"/>
      <c r="AD500" s="5"/>
      <c r="AE500" s="5"/>
      <c r="AF500" s="5"/>
      <c r="AG500" s="5"/>
      <c r="AH500" s="5"/>
      <c r="AI500" s="5"/>
    </row>
    <row r="501" spans="1:35" ht="15.75" customHeight="1">
      <c r="A501" s="5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5"/>
      <c r="T501" s="5"/>
      <c r="U501" s="104"/>
      <c r="V501" s="5"/>
      <c r="W501" s="5"/>
      <c r="X501" s="5"/>
      <c r="Y501" s="5"/>
      <c r="Z501" s="7"/>
      <c r="AA501" s="5"/>
      <c r="AB501" s="5"/>
      <c r="AC501" s="5"/>
      <c r="AD501" s="5"/>
      <c r="AE501" s="5"/>
      <c r="AF501" s="5"/>
      <c r="AG501" s="5"/>
      <c r="AH501" s="5"/>
      <c r="AI501" s="5"/>
    </row>
    <row r="502" spans="1:35" ht="15.75" customHeight="1">
      <c r="A502" s="5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5"/>
      <c r="T502" s="5"/>
      <c r="U502" s="104"/>
      <c r="V502" s="5"/>
      <c r="W502" s="5"/>
      <c r="X502" s="5"/>
      <c r="Y502" s="5"/>
      <c r="Z502" s="7"/>
      <c r="AA502" s="5"/>
      <c r="AB502" s="5"/>
      <c r="AC502" s="5"/>
      <c r="AD502" s="5"/>
      <c r="AE502" s="5"/>
      <c r="AF502" s="5"/>
      <c r="AG502" s="5"/>
      <c r="AH502" s="5"/>
      <c r="AI502" s="5"/>
    </row>
    <row r="503" spans="1:35" ht="15.75" customHeight="1">
      <c r="A503" s="5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5"/>
      <c r="T503" s="5"/>
      <c r="U503" s="104"/>
      <c r="V503" s="5"/>
      <c r="W503" s="5"/>
      <c r="X503" s="5"/>
      <c r="Y503" s="5"/>
      <c r="Z503" s="7"/>
      <c r="AA503" s="5"/>
      <c r="AB503" s="5"/>
      <c r="AC503" s="5"/>
      <c r="AD503" s="5"/>
      <c r="AE503" s="5"/>
      <c r="AF503" s="5"/>
      <c r="AG503" s="5"/>
      <c r="AH503" s="5"/>
      <c r="AI503" s="5"/>
    </row>
    <row r="504" spans="1:35" ht="15.75" customHeight="1">
      <c r="A504" s="5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5"/>
      <c r="T504" s="5"/>
      <c r="U504" s="104"/>
      <c r="V504" s="5"/>
      <c r="W504" s="5"/>
      <c r="X504" s="5"/>
      <c r="Y504" s="5"/>
      <c r="Z504" s="7"/>
      <c r="AA504" s="5"/>
      <c r="AB504" s="5"/>
      <c r="AC504" s="5"/>
      <c r="AD504" s="5"/>
      <c r="AE504" s="5"/>
      <c r="AF504" s="5"/>
      <c r="AG504" s="5"/>
      <c r="AH504" s="5"/>
      <c r="AI504" s="5"/>
    </row>
    <row r="505" spans="1:35" ht="15.75" customHeight="1">
      <c r="A505" s="5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5"/>
      <c r="T505" s="5"/>
      <c r="U505" s="104"/>
      <c r="V505" s="5"/>
      <c r="W505" s="5"/>
      <c r="X505" s="5"/>
      <c r="Y505" s="5"/>
      <c r="Z505" s="7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ht="15.75" customHeight="1">
      <c r="A506" s="5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5"/>
      <c r="T506" s="5"/>
      <c r="U506" s="104"/>
      <c r="V506" s="5"/>
      <c r="W506" s="5"/>
      <c r="X506" s="5"/>
      <c r="Y506" s="5"/>
      <c r="Z506" s="7"/>
      <c r="AA506" s="5"/>
      <c r="AB506" s="5"/>
      <c r="AC506" s="5"/>
      <c r="AD506" s="5"/>
      <c r="AE506" s="5"/>
      <c r="AF506" s="5"/>
      <c r="AG506" s="5"/>
      <c r="AH506" s="5"/>
      <c r="AI506" s="5"/>
    </row>
    <row r="507" spans="1:35" ht="15.75" customHeight="1">
      <c r="A507" s="5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5"/>
      <c r="T507" s="5"/>
      <c r="U507" s="104"/>
      <c r="V507" s="5"/>
      <c r="W507" s="5"/>
      <c r="X507" s="5"/>
      <c r="Y507" s="5"/>
      <c r="Z507" s="7"/>
      <c r="AA507" s="5"/>
      <c r="AB507" s="5"/>
      <c r="AC507" s="5"/>
      <c r="AD507" s="5"/>
      <c r="AE507" s="5"/>
      <c r="AF507" s="5"/>
      <c r="AG507" s="5"/>
      <c r="AH507" s="5"/>
      <c r="AI507" s="5"/>
    </row>
    <row r="508" spans="1:35" ht="15.75" customHeight="1">
      <c r="A508" s="5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5"/>
      <c r="T508" s="5"/>
      <c r="U508" s="104"/>
      <c r="V508" s="5"/>
      <c r="W508" s="5"/>
      <c r="X508" s="5"/>
      <c r="Y508" s="5"/>
      <c r="Z508" s="7"/>
      <c r="AA508" s="5"/>
      <c r="AB508" s="5"/>
      <c r="AC508" s="5"/>
      <c r="AD508" s="5"/>
      <c r="AE508" s="5"/>
      <c r="AF508" s="5"/>
      <c r="AG508" s="5"/>
      <c r="AH508" s="5"/>
      <c r="AI508" s="5"/>
    </row>
    <row r="509" spans="1:35" ht="15.75" customHeight="1">
      <c r="A509" s="5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5"/>
      <c r="T509" s="5"/>
      <c r="U509" s="104"/>
      <c r="V509" s="5"/>
      <c r="W509" s="5"/>
      <c r="X509" s="5"/>
      <c r="Y509" s="5"/>
      <c r="Z509" s="7"/>
      <c r="AA509" s="5"/>
      <c r="AB509" s="5"/>
      <c r="AC509" s="5"/>
      <c r="AD509" s="5"/>
      <c r="AE509" s="5"/>
      <c r="AF509" s="5"/>
      <c r="AG509" s="5"/>
      <c r="AH509" s="5"/>
      <c r="AI509" s="5"/>
    </row>
    <row r="510" spans="1:35" ht="15.75" customHeight="1">
      <c r="A510" s="5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5"/>
      <c r="T510" s="5"/>
      <c r="U510" s="104"/>
      <c r="V510" s="5"/>
      <c r="W510" s="5"/>
      <c r="X510" s="5"/>
      <c r="Y510" s="5"/>
      <c r="Z510" s="7"/>
      <c r="AA510" s="5"/>
      <c r="AB510" s="5"/>
      <c r="AC510" s="5"/>
      <c r="AD510" s="5"/>
      <c r="AE510" s="5"/>
      <c r="AF510" s="5"/>
      <c r="AG510" s="5"/>
      <c r="AH510" s="5"/>
      <c r="AI510" s="5"/>
    </row>
    <row r="511" spans="1:35" ht="15.75" customHeight="1">
      <c r="A511" s="5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5"/>
      <c r="T511" s="5"/>
      <c r="U511" s="104"/>
      <c r="V511" s="5"/>
      <c r="W511" s="5"/>
      <c r="X511" s="5"/>
      <c r="Y511" s="5"/>
      <c r="Z511" s="7"/>
      <c r="AA511" s="5"/>
      <c r="AB511" s="5"/>
      <c r="AC511" s="5"/>
      <c r="AD511" s="5"/>
      <c r="AE511" s="5"/>
      <c r="AF511" s="5"/>
      <c r="AG511" s="5"/>
      <c r="AH511" s="5"/>
      <c r="AI511" s="5"/>
    </row>
    <row r="512" spans="1:35" ht="15.75" customHeight="1">
      <c r="A512" s="5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5"/>
      <c r="T512" s="5"/>
      <c r="U512" s="104"/>
      <c r="V512" s="5"/>
      <c r="W512" s="5"/>
      <c r="X512" s="5"/>
      <c r="Y512" s="5"/>
      <c r="Z512" s="7"/>
      <c r="AA512" s="5"/>
      <c r="AB512" s="5"/>
      <c r="AC512" s="5"/>
      <c r="AD512" s="5"/>
      <c r="AE512" s="5"/>
      <c r="AF512" s="5"/>
      <c r="AG512" s="5"/>
      <c r="AH512" s="5"/>
      <c r="AI512" s="5"/>
    </row>
    <row r="513" spans="1:35" ht="15.75" customHeight="1">
      <c r="A513" s="5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5"/>
      <c r="T513" s="5"/>
      <c r="U513" s="104"/>
      <c r="V513" s="5"/>
      <c r="W513" s="5"/>
      <c r="X513" s="5"/>
      <c r="Y513" s="5"/>
      <c r="Z513" s="7"/>
      <c r="AA513" s="5"/>
      <c r="AB513" s="5"/>
      <c r="AC513" s="5"/>
      <c r="AD513" s="5"/>
      <c r="AE513" s="5"/>
      <c r="AF513" s="5"/>
      <c r="AG513" s="5"/>
      <c r="AH513" s="5"/>
      <c r="AI513" s="5"/>
    </row>
    <row r="514" spans="1:35" ht="15.75" customHeight="1">
      <c r="A514" s="5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5"/>
      <c r="T514" s="5"/>
      <c r="U514" s="104"/>
      <c r="V514" s="5"/>
      <c r="W514" s="5"/>
      <c r="X514" s="5"/>
      <c r="Y514" s="5"/>
      <c r="Z514" s="7"/>
      <c r="AA514" s="5"/>
      <c r="AB514" s="5"/>
      <c r="AC514" s="5"/>
      <c r="AD514" s="5"/>
      <c r="AE514" s="5"/>
      <c r="AF514" s="5"/>
      <c r="AG514" s="5"/>
      <c r="AH514" s="5"/>
      <c r="AI514" s="5"/>
    </row>
    <row r="515" spans="1:35" ht="15.75" customHeight="1">
      <c r="A515" s="5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5"/>
      <c r="T515" s="5"/>
      <c r="U515" s="104"/>
      <c r="V515" s="5"/>
      <c r="W515" s="5"/>
      <c r="X515" s="5"/>
      <c r="Y515" s="5"/>
      <c r="Z515" s="7"/>
      <c r="AA515" s="5"/>
      <c r="AB515" s="5"/>
      <c r="AC515" s="5"/>
      <c r="AD515" s="5"/>
      <c r="AE515" s="5"/>
      <c r="AF515" s="5"/>
      <c r="AG515" s="5"/>
      <c r="AH515" s="5"/>
      <c r="AI515" s="5"/>
    </row>
    <row r="516" spans="1:35" ht="15.75" customHeight="1">
      <c r="A516" s="5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5"/>
      <c r="T516" s="5"/>
      <c r="U516" s="104"/>
      <c r="V516" s="5"/>
      <c r="W516" s="5"/>
      <c r="X516" s="5"/>
      <c r="Y516" s="5"/>
      <c r="Z516" s="7"/>
      <c r="AA516" s="5"/>
      <c r="AB516" s="5"/>
      <c r="AC516" s="5"/>
      <c r="AD516" s="5"/>
      <c r="AE516" s="5"/>
      <c r="AF516" s="5"/>
      <c r="AG516" s="5"/>
      <c r="AH516" s="5"/>
      <c r="AI516" s="5"/>
    </row>
    <row r="517" spans="1:35" ht="15.75" customHeight="1">
      <c r="A517" s="5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5"/>
      <c r="T517" s="5"/>
      <c r="U517" s="104"/>
      <c r="V517" s="5"/>
      <c r="W517" s="5"/>
      <c r="X517" s="5"/>
      <c r="Y517" s="5"/>
      <c r="Z517" s="7"/>
      <c r="AA517" s="5"/>
      <c r="AB517" s="5"/>
      <c r="AC517" s="5"/>
      <c r="AD517" s="5"/>
      <c r="AE517" s="5"/>
      <c r="AF517" s="5"/>
      <c r="AG517" s="5"/>
      <c r="AH517" s="5"/>
      <c r="AI517" s="5"/>
    </row>
    <row r="518" spans="1:35" ht="15.75" customHeight="1">
      <c r="A518" s="5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5"/>
      <c r="T518" s="5"/>
      <c r="U518" s="104"/>
      <c r="V518" s="5"/>
      <c r="W518" s="5"/>
      <c r="X518" s="5"/>
      <c r="Y518" s="5"/>
      <c r="Z518" s="7"/>
      <c r="AA518" s="5"/>
      <c r="AB518" s="5"/>
      <c r="AC518" s="5"/>
      <c r="AD518" s="5"/>
      <c r="AE518" s="5"/>
      <c r="AF518" s="5"/>
      <c r="AG518" s="5"/>
      <c r="AH518" s="5"/>
      <c r="AI518" s="5"/>
    </row>
    <row r="519" spans="1:35" ht="15.75" customHeight="1">
      <c r="A519" s="5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5"/>
      <c r="T519" s="5"/>
      <c r="U519" s="104"/>
      <c r="V519" s="5"/>
      <c r="W519" s="5"/>
      <c r="X519" s="5"/>
      <c r="Y519" s="5"/>
      <c r="Z519" s="7"/>
      <c r="AA519" s="5"/>
      <c r="AB519" s="5"/>
      <c r="AC519" s="5"/>
      <c r="AD519" s="5"/>
      <c r="AE519" s="5"/>
      <c r="AF519" s="5"/>
      <c r="AG519" s="5"/>
      <c r="AH519" s="5"/>
      <c r="AI519" s="5"/>
    </row>
    <row r="520" spans="1:35" ht="15.75" customHeight="1">
      <c r="A520" s="5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5"/>
      <c r="T520" s="5"/>
      <c r="U520" s="104"/>
      <c r="V520" s="5"/>
      <c r="W520" s="5"/>
      <c r="X520" s="5"/>
      <c r="Y520" s="5"/>
      <c r="Z520" s="7"/>
      <c r="AA520" s="5"/>
      <c r="AB520" s="5"/>
      <c r="AC520" s="5"/>
      <c r="AD520" s="5"/>
      <c r="AE520" s="5"/>
      <c r="AF520" s="5"/>
      <c r="AG520" s="5"/>
      <c r="AH520" s="5"/>
      <c r="AI520" s="5"/>
    </row>
    <row r="521" spans="1:35" ht="15.75" customHeight="1">
      <c r="A521" s="5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5"/>
      <c r="T521" s="5"/>
      <c r="U521" s="104"/>
      <c r="V521" s="5"/>
      <c r="W521" s="5"/>
      <c r="X521" s="5"/>
      <c r="Y521" s="5"/>
      <c r="Z521" s="7"/>
      <c r="AA521" s="5"/>
      <c r="AB521" s="5"/>
      <c r="AC521" s="5"/>
      <c r="AD521" s="5"/>
      <c r="AE521" s="5"/>
      <c r="AF521" s="5"/>
      <c r="AG521" s="5"/>
      <c r="AH521" s="5"/>
      <c r="AI521" s="5"/>
    </row>
    <row r="522" spans="1:35" ht="15.75" customHeight="1">
      <c r="A522" s="5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5"/>
      <c r="T522" s="5"/>
      <c r="U522" s="104"/>
      <c r="V522" s="5"/>
      <c r="W522" s="5"/>
      <c r="X522" s="5"/>
      <c r="Y522" s="5"/>
      <c r="Z522" s="7"/>
      <c r="AA522" s="5"/>
      <c r="AB522" s="5"/>
      <c r="AC522" s="5"/>
      <c r="AD522" s="5"/>
      <c r="AE522" s="5"/>
      <c r="AF522" s="5"/>
      <c r="AG522" s="5"/>
      <c r="AH522" s="5"/>
      <c r="AI522" s="5"/>
    </row>
    <row r="523" spans="1:35" ht="15.75" customHeight="1">
      <c r="A523" s="5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5"/>
      <c r="T523" s="5"/>
      <c r="U523" s="104"/>
      <c r="V523" s="5"/>
      <c r="W523" s="5"/>
      <c r="X523" s="5"/>
      <c r="Y523" s="5"/>
      <c r="Z523" s="7"/>
      <c r="AA523" s="5"/>
      <c r="AB523" s="5"/>
      <c r="AC523" s="5"/>
      <c r="AD523" s="5"/>
      <c r="AE523" s="5"/>
      <c r="AF523" s="5"/>
      <c r="AG523" s="5"/>
      <c r="AH523" s="5"/>
      <c r="AI523" s="5"/>
    </row>
    <row r="524" spans="1:35" ht="15.75" customHeight="1">
      <c r="A524" s="5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5"/>
      <c r="T524" s="5"/>
      <c r="U524" s="104"/>
      <c r="V524" s="5"/>
      <c r="W524" s="5"/>
      <c r="X524" s="5"/>
      <c r="Y524" s="5"/>
      <c r="Z524" s="7"/>
      <c r="AA524" s="5"/>
      <c r="AB524" s="5"/>
      <c r="AC524" s="5"/>
      <c r="AD524" s="5"/>
      <c r="AE524" s="5"/>
      <c r="AF524" s="5"/>
      <c r="AG524" s="5"/>
      <c r="AH524" s="5"/>
      <c r="AI524" s="5"/>
    </row>
    <row r="525" spans="1:35" ht="15.75" customHeight="1">
      <c r="A525" s="5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5"/>
      <c r="T525" s="5"/>
      <c r="U525" s="104"/>
      <c r="V525" s="5"/>
      <c r="W525" s="5"/>
      <c r="X525" s="5"/>
      <c r="Y525" s="5"/>
      <c r="Z525" s="7"/>
      <c r="AA525" s="5"/>
      <c r="AB525" s="5"/>
      <c r="AC525" s="5"/>
      <c r="AD525" s="5"/>
      <c r="AE525" s="5"/>
      <c r="AF525" s="5"/>
      <c r="AG525" s="5"/>
      <c r="AH525" s="5"/>
      <c r="AI525" s="5"/>
    </row>
    <row r="526" spans="1:35" ht="15.75" customHeight="1">
      <c r="A526" s="5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5"/>
      <c r="T526" s="5"/>
      <c r="U526" s="104"/>
      <c r="V526" s="5"/>
      <c r="W526" s="5"/>
      <c r="X526" s="5"/>
      <c r="Y526" s="5"/>
      <c r="Z526" s="7"/>
      <c r="AA526" s="5"/>
      <c r="AB526" s="5"/>
      <c r="AC526" s="5"/>
      <c r="AD526" s="5"/>
      <c r="AE526" s="5"/>
      <c r="AF526" s="5"/>
      <c r="AG526" s="5"/>
      <c r="AH526" s="5"/>
      <c r="AI526" s="5"/>
    </row>
    <row r="527" spans="1:35" ht="15.75" customHeight="1">
      <c r="A527" s="5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5"/>
      <c r="T527" s="5"/>
      <c r="U527" s="104"/>
      <c r="V527" s="5"/>
      <c r="W527" s="5"/>
      <c r="X527" s="5"/>
      <c r="Y527" s="5"/>
      <c r="Z527" s="7"/>
      <c r="AA527" s="5"/>
      <c r="AB527" s="5"/>
      <c r="AC527" s="5"/>
      <c r="AD527" s="5"/>
      <c r="AE527" s="5"/>
      <c r="AF527" s="5"/>
      <c r="AG527" s="5"/>
      <c r="AH527" s="5"/>
      <c r="AI527" s="5"/>
    </row>
    <row r="528" spans="1:35" ht="15.75" customHeight="1">
      <c r="A528" s="5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5"/>
      <c r="T528" s="5"/>
      <c r="U528" s="104"/>
      <c r="V528" s="5"/>
      <c r="W528" s="5"/>
      <c r="X528" s="5"/>
      <c r="Y528" s="5"/>
      <c r="Z528" s="7"/>
      <c r="AA528" s="5"/>
      <c r="AB528" s="5"/>
      <c r="AC528" s="5"/>
      <c r="AD528" s="5"/>
      <c r="AE528" s="5"/>
      <c r="AF528" s="5"/>
      <c r="AG528" s="5"/>
      <c r="AH528" s="5"/>
      <c r="AI528" s="5"/>
    </row>
    <row r="529" spans="1:35" ht="15.75" customHeight="1">
      <c r="A529" s="5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5"/>
      <c r="T529" s="5"/>
      <c r="U529" s="104"/>
      <c r="V529" s="5"/>
      <c r="W529" s="5"/>
      <c r="X529" s="5"/>
      <c r="Y529" s="5"/>
      <c r="Z529" s="7"/>
      <c r="AA529" s="5"/>
      <c r="AB529" s="5"/>
      <c r="AC529" s="5"/>
      <c r="AD529" s="5"/>
      <c r="AE529" s="5"/>
      <c r="AF529" s="5"/>
      <c r="AG529" s="5"/>
      <c r="AH529" s="5"/>
      <c r="AI529" s="5"/>
    </row>
    <row r="530" spans="1:35" ht="15.75" customHeight="1">
      <c r="A530" s="5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5"/>
      <c r="T530" s="5"/>
      <c r="U530" s="104"/>
      <c r="V530" s="5"/>
      <c r="W530" s="5"/>
      <c r="X530" s="5"/>
      <c r="Y530" s="5"/>
      <c r="Z530" s="7"/>
      <c r="AA530" s="5"/>
      <c r="AB530" s="5"/>
      <c r="AC530" s="5"/>
      <c r="AD530" s="5"/>
      <c r="AE530" s="5"/>
      <c r="AF530" s="5"/>
      <c r="AG530" s="5"/>
      <c r="AH530" s="5"/>
      <c r="AI530" s="5"/>
    </row>
    <row r="531" spans="1:35" ht="15.75" customHeight="1">
      <c r="A531" s="5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5"/>
      <c r="T531" s="5"/>
      <c r="U531" s="104"/>
      <c r="V531" s="5"/>
      <c r="W531" s="5"/>
      <c r="X531" s="5"/>
      <c r="Y531" s="5"/>
      <c r="Z531" s="7"/>
      <c r="AA531" s="5"/>
      <c r="AB531" s="5"/>
      <c r="AC531" s="5"/>
      <c r="AD531" s="5"/>
      <c r="AE531" s="5"/>
      <c r="AF531" s="5"/>
      <c r="AG531" s="5"/>
      <c r="AH531" s="5"/>
      <c r="AI531" s="5"/>
    </row>
    <row r="532" spans="1:35" ht="15.75" customHeight="1">
      <c r="A532" s="5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5"/>
      <c r="T532" s="5"/>
      <c r="U532" s="104"/>
      <c r="V532" s="5"/>
      <c r="W532" s="5"/>
      <c r="X532" s="5"/>
      <c r="Y532" s="5"/>
      <c r="Z532" s="7"/>
      <c r="AA532" s="5"/>
      <c r="AB532" s="5"/>
      <c r="AC532" s="5"/>
      <c r="AD532" s="5"/>
      <c r="AE532" s="5"/>
      <c r="AF532" s="5"/>
      <c r="AG532" s="5"/>
      <c r="AH532" s="5"/>
      <c r="AI532" s="5"/>
    </row>
    <row r="533" spans="1:35" ht="15.75" customHeight="1">
      <c r="A533" s="5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5"/>
      <c r="T533" s="5"/>
      <c r="U533" s="104"/>
      <c r="V533" s="5"/>
      <c r="W533" s="5"/>
      <c r="X533" s="5"/>
      <c r="Y533" s="5"/>
      <c r="Z533" s="7"/>
      <c r="AA533" s="5"/>
      <c r="AB533" s="5"/>
      <c r="AC533" s="5"/>
      <c r="AD533" s="5"/>
      <c r="AE533" s="5"/>
      <c r="AF533" s="5"/>
      <c r="AG533" s="5"/>
      <c r="AH533" s="5"/>
      <c r="AI533" s="5"/>
    </row>
    <row r="534" spans="1:35" ht="15.75" customHeight="1">
      <c r="A534" s="5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5"/>
      <c r="T534" s="5"/>
      <c r="U534" s="104"/>
      <c r="V534" s="5"/>
      <c r="W534" s="5"/>
      <c r="X534" s="5"/>
      <c r="Y534" s="5"/>
      <c r="Z534" s="7"/>
      <c r="AA534" s="5"/>
      <c r="AB534" s="5"/>
      <c r="AC534" s="5"/>
      <c r="AD534" s="5"/>
      <c r="AE534" s="5"/>
      <c r="AF534" s="5"/>
      <c r="AG534" s="5"/>
      <c r="AH534" s="5"/>
      <c r="AI534" s="5"/>
    </row>
    <row r="535" spans="1:35" ht="15.75" customHeight="1">
      <c r="A535" s="5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5"/>
      <c r="T535" s="5"/>
      <c r="U535" s="104"/>
      <c r="V535" s="5"/>
      <c r="W535" s="5"/>
      <c r="X535" s="5"/>
      <c r="Y535" s="5"/>
      <c r="Z535" s="7"/>
      <c r="AA535" s="5"/>
      <c r="AB535" s="5"/>
      <c r="AC535" s="5"/>
      <c r="AD535" s="5"/>
      <c r="AE535" s="5"/>
      <c r="AF535" s="5"/>
      <c r="AG535" s="5"/>
      <c r="AH535" s="5"/>
      <c r="AI535" s="5"/>
    </row>
    <row r="536" spans="1:35" ht="15.75" customHeight="1">
      <c r="A536" s="5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5"/>
      <c r="T536" s="5"/>
      <c r="U536" s="104"/>
      <c r="V536" s="5"/>
      <c r="W536" s="5"/>
      <c r="X536" s="5"/>
      <c r="Y536" s="5"/>
      <c r="Z536" s="7"/>
      <c r="AA536" s="5"/>
      <c r="AB536" s="5"/>
      <c r="AC536" s="5"/>
      <c r="AD536" s="5"/>
      <c r="AE536" s="5"/>
      <c r="AF536" s="5"/>
      <c r="AG536" s="5"/>
      <c r="AH536" s="5"/>
      <c r="AI536" s="5"/>
    </row>
    <row r="537" spans="1:35" ht="15.75" customHeight="1">
      <c r="A537" s="5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5"/>
      <c r="T537" s="5"/>
      <c r="U537" s="104"/>
      <c r="V537" s="5"/>
      <c r="W537" s="5"/>
      <c r="X537" s="5"/>
      <c r="Y537" s="5"/>
      <c r="Z537" s="7"/>
      <c r="AA537" s="5"/>
      <c r="AB537" s="5"/>
      <c r="AC537" s="5"/>
      <c r="AD537" s="5"/>
      <c r="AE537" s="5"/>
      <c r="AF537" s="5"/>
      <c r="AG537" s="5"/>
      <c r="AH537" s="5"/>
      <c r="AI537" s="5"/>
    </row>
    <row r="538" spans="1:35" ht="15.75" customHeight="1">
      <c r="A538" s="5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5"/>
      <c r="T538" s="5"/>
      <c r="U538" s="104"/>
      <c r="V538" s="5"/>
      <c r="W538" s="5"/>
      <c r="X538" s="5"/>
      <c r="Y538" s="5"/>
      <c r="Z538" s="7"/>
      <c r="AA538" s="5"/>
      <c r="AB538" s="5"/>
      <c r="AC538" s="5"/>
      <c r="AD538" s="5"/>
      <c r="AE538" s="5"/>
      <c r="AF538" s="5"/>
      <c r="AG538" s="5"/>
      <c r="AH538" s="5"/>
      <c r="AI538" s="5"/>
    </row>
    <row r="539" spans="1:35" ht="15.75" customHeight="1">
      <c r="A539" s="5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5"/>
      <c r="T539" s="5"/>
      <c r="U539" s="104"/>
      <c r="V539" s="5"/>
      <c r="W539" s="5"/>
      <c r="X539" s="5"/>
      <c r="Y539" s="5"/>
      <c r="Z539" s="7"/>
      <c r="AA539" s="5"/>
      <c r="AB539" s="5"/>
      <c r="AC539" s="5"/>
      <c r="AD539" s="5"/>
      <c r="AE539" s="5"/>
      <c r="AF539" s="5"/>
      <c r="AG539" s="5"/>
      <c r="AH539" s="5"/>
      <c r="AI539" s="5"/>
    </row>
    <row r="540" spans="1:35" ht="15.75" customHeight="1">
      <c r="A540" s="5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5"/>
      <c r="T540" s="5"/>
      <c r="U540" s="104"/>
      <c r="V540" s="5"/>
      <c r="W540" s="5"/>
      <c r="X540" s="5"/>
      <c r="Y540" s="5"/>
      <c r="Z540" s="7"/>
      <c r="AA540" s="5"/>
      <c r="AB540" s="5"/>
      <c r="AC540" s="5"/>
      <c r="AD540" s="5"/>
      <c r="AE540" s="5"/>
      <c r="AF540" s="5"/>
      <c r="AG540" s="5"/>
      <c r="AH540" s="5"/>
      <c r="AI540" s="5"/>
    </row>
    <row r="541" spans="1:35" ht="15.75" customHeight="1">
      <c r="A541" s="5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5"/>
      <c r="T541" s="5"/>
      <c r="U541" s="104"/>
      <c r="V541" s="5"/>
      <c r="W541" s="5"/>
      <c r="X541" s="5"/>
      <c r="Y541" s="5"/>
      <c r="Z541" s="7"/>
      <c r="AA541" s="5"/>
      <c r="AB541" s="5"/>
      <c r="AC541" s="5"/>
      <c r="AD541" s="5"/>
      <c r="AE541" s="5"/>
      <c r="AF541" s="5"/>
      <c r="AG541" s="5"/>
      <c r="AH541" s="5"/>
      <c r="AI541" s="5"/>
    </row>
    <row r="542" spans="1:35" ht="15.75" customHeight="1">
      <c r="A542" s="5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5"/>
      <c r="T542" s="5"/>
      <c r="U542" s="104"/>
      <c r="V542" s="5"/>
      <c r="W542" s="5"/>
      <c r="X542" s="5"/>
      <c r="Y542" s="5"/>
      <c r="Z542" s="7"/>
      <c r="AA542" s="5"/>
      <c r="AB542" s="5"/>
      <c r="AC542" s="5"/>
      <c r="AD542" s="5"/>
      <c r="AE542" s="5"/>
      <c r="AF542" s="5"/>
      <c r="AG542" s="5"/>
      <c r="AH542" s="5"/>
      <c r="AI542" s="5"/>
    </row>
    <row r="543" spans="1:35" ht="15.75" customHeight="1">
      <c r="A543" s="5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5"/>
      <c r="T543" s="5"/>
      <c r="U543" s="104"/>
      <c r="V543" s="5"/>
      <c r="W543" s="5"/>
      <c r="X543" s="5"/>
      <c r="Y543" s="5"/>
      <c r="Z543" s="7"/>
      <c r="AA543" s="5"/>
      <c r="AB543" s="5"/>
      <c r="AC543" s="5"/>
      <c r="AD543" s="5"/>
      <c r="AE543" s="5"/>
      <c r="AF543" s="5"/>
      <c r="AG543" s="5"/>
      <c r="AH543" s="5"/>
      <c r="AI543" s="5"/>
    </row>
    <row r="544" spans="1:35" ht="15.75" customHeight="1">
      <c r="A544" s="5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5"/>
      <c r="T544" s="5"/>
      <c r="U544" s="104"/>
      <c r="V544" s="5"/>
      <c r="W544" s="5"/>
      <c r="X544" s="5"/>
      <c r="Y544" s="5"/>
      <c r="Z544" s="7"/>
      <c r="AA544" s="5"/>
      <c r="AB544" s="5"/>
      <c r="AC544" s="5"/>
      <c r="AD544" s="5"/>
      <c r="AE544" s="5"/>
      <c r="AF544" s="5"/>
      <c r="AG544" s="5"/>
      <c r="AH544" s="5"/>
      <c r="AI544" s="5"/>
    </row>
    <row r="545" spans="1:35" ht="15.75" customHeight="1">
      <c r="A545" s="5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5"/>
      <c r="T545" s="5"/>
      <c r="U545" s="104"/>
      <c r="V545" s="5"/>
      <c r="W545" s="5"/>
      <c r="X545" s="5"/>
      <c r="Y545" s="5"/>
      <c r="Z545" s="7"/>
      <c r="AA545" s="5"/>
      <c r="AB545" s="5"/>
      <c r="AC545" s="5"/>
      <c r="AD545" s="5"/>
      <c r="AE545" s="5"/>
      <c r="AF545" s="5"/>
      <c r="AG545" s="5"/>
      <c r="AH545" s="5"/>
      <c r="AI545" s="5"/>
    </row>
    <row r="546" spans="1:35" ht="15.75" customHeight="1">
      <c r="A546" s="5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5"/>
      <c r="T546" s="5"/>
      <c r="U546" s="104"/>
      <c r="V546" s="5"/>
      <c r="W546" s="5"/>
      <c r="X546" s="5"/>
      <c r="Y546" s="5"/>
      <c r="Z546" s="7"/>
      <c r="AA546" s="5"/>
      <c r="AB546" s="5"/>
      <c r="AC546" s="5"/>
      <c r="AD546" s="5"/>
      <c r="AE546" s="5"/>
      <c r="AF546" s="5"/>
      <c r="AG546" s="5"/>
      <c r="AH546" s="5"/>
      <c r="AI546" s="5"/>
    </row>
    <row r="547" spans="1:35" ht="15.75" customHeight="1">
      <c r="A547" s="5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5"/>
      <c r="T547" s="5"/>
      <c r="U547" s="104"/>
      <c r="V547" s="5"/>
      <c r="W547" s="5"/>
      <c r="X547" s="5"/>
      <c r="Y547" s="5"/>
      <c r="Z547" s="7"/>
      <c r="AA547" s="5"/>
      <c r="AB547" s="5"/>
      <c r="AC547" s="5"/>
      <c r="AD547" s="5"/>
      <c r="AE547" s="5"/>
      <c r="AF547" s="5"/>
      <c r="AG547" s="5"/>
      <c r="AH547" s="5"/>
      <c r="AI547" s="5"/>
    </row>
    <row r="548" spans="1:35" ht="15.75" customHeight="1">
      <c r="A548" s="5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5"/>
      <c r="T548" s="5"/>
      <c r="U548" s="104"/>
      <c r="V548" s="5"/>
      <c r="W548" s="5"/>
      <c r="X548" s="5"/>
      <c r="Y548" s="5"/>
      <c r="Z548" s="7"/>
      <c r="AA548" s="5"/>
      <c r="AB548" s="5"/>
      <c r="AC548" s="5"/>
      <c r="AD548" s="5"/>
      <c r="AE548" s="5"/>
      <c r="AF548" s="5"/>
      <c r="AG548" s="5"/>
      <c r="AH548" s="5"/>
      <c r="AI548" s="5"/>
    </row>
    <row r="549" spans="1:35" ht="15.75" customHeight="1">
      <c r="A549" s="5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5"/>
      <c r="T549" s="5"/>
      <c r="U549" s="104"/>
      <c r="V549" s="5"/>
      <c r="W549" s="5"/>
      <c r="X549" s="5"/>
      <c r="Y549" s="5"/>
      <c r="Z549" s="7"/>
      <c r="AA549" s="5"/>
      <c r="AB549" s="5"/>
      <c r="AC549" s="5"/>
      <c r="AD549" s="5"/>
      <c r="AE549" s="5"/>
      <c r="AF549" s="5"/>
      <c r="AG549" s="5"/>
      <c r="AH549" s="5"/>
      <c r="AI549" s="5"/>
    </row>
    <row r="550" spans="1:35" ht="15.75" customHeight="1">
      <c r="A550" s="5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5"/>
      <c r="T550" s="5"/>
      <c r="U550" s="104"/>
      <c r="V550" s="5"/>
      <c r="W550" s="5"/>
      <c r="X550" s="5"/>
      <c r="Y550" s="5"/>
      <c r="Z550" s="7"/>
      <c r="AA550" s="5"/>
      <c r="AB550" s="5"/>
      <c r="AC550" s="5"/>
      <c r="AD550" s="5"/>
      <c r="AE550" s="5"/>
      <c r="AF550" s="5"/>
      <c r="AG550" s="5"/>
      <c r="AH550" s="5"/>
      <c r="AI550" s="5"/>
    </row>
    <row r="551" spans="1:35" ht="15.75" customHeight="1">
      <c r="A551" s="5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5"/>
      <c r="T551" s="5"/>
      <c r="U551" s="104"/>
      <c r="V551" s="5"/>
      <c r="W551" s="5"/>
      <c r="X551" s="5"/>
      <c r="Y551" s="5"/>
      <c r="Z551" s="7"/>
      <c r="AA551" s="5"/>
      <c r="AB551" s="5"/>
      <c r="AC551" s="5"/>
      <c r="AD551" s="5"/>
      <c r="AE551" s="5"/>
      <c r="AF551" s="5"/>
      <c r="AG551" s="5"/>
      <c r="AH551" s="5"/>
      <c r="AI551" s="5"/>
    </row>
    <row r="552" spans="1:35" ht="15.75" customHeight="1">
      <c r="A552" s="5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5"/>
      <c r="T552" s="5"/>
      <c r="U552" s="104"/>
      <c r="V552" s="5"/>
      <c r="W552" s="5"/>
      <c r="X552" s="5"/>
      <c r="Y552" s="5"/>
      <c r="Z552" s="7"/>
      <c r="AA552" s="5"/>
      <c r="AB552" s="5"/>
      <c r="AC552" s="5"/>
      <c r="AD552" s="5"/>
      <c r="AE552" s="5"/>
      <c r="AF552" s="5"/>
      <c r="AG552" s="5"/>
      <c r="AH552" s="5"/>
      <c r="AI552" s="5"/>
    </row>
    <row r="553" spans="1:35" ht="15.75" customHeight="1">
      <c r="A553" s="5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5"/>
      <c r="T553" s="5"/>
      <c r="U553" s="104"/>
      <c r="V553" s="5"/>
      <c r="W553" s="5"/>
      <c r="X553" s="5"/>
      <c r="Y553" s="5"/>
      <c r="Z553" s="7"/>
      <c r="AA553" s="5"/>
      <c r="AB553" s="5"/>
      <c r="AC553" s="5"/>
      <c r="AD553" s="5"/>
      <c r="AE553" s="5"/>
      <c r="AF553" s="5"/>
      <c r="AG553" s="5"/>
      <c r="AH553" s="5"/>
      <c r="AI553" s="5"/>
    </row>
    <row r="554" spans="1:35" ht="15.75" customHeight="1">
      <c r="A554" s="5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5"/>
      <c r="T554" s="5"/>
      <c r="U554" s="104"/>
      <c r="V554" s="5"/>
      <c r="W554" s="5"/>
      <c r="X554" s="5"/>
      <c r="Y554" s="5"/>
      <c r="Z554" s="7"/>
      <c r="AA554" s="5"/>
      <c r="AB554" s="5"/>
      <c r="AC554" s="5"/>
      <c r="AD554" s="5"/>
      <c r="AE554" s="5"/>
      <c r="AF554" s="5"/>
      <c r="AG554" s="5"/>
      <c r="AH554" s="5"/>
      <c r="AI554" s="5"/>
    </row>
    <row r="555" spans="1:35" ht="15.75" customHeight="1">
      <c r="A555" s="5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5"/>
      <c r="T555" s="5"/>
      <c r="U555" s="104"/>
      <c r="V555" s="5"/>
      <c r="W555" s="5"/>
      <c r="X555" s="5"/>
      <c r="Y555" s="5"/>
      <c r="Z555" s="7"/>
      <c r="AA555" s="5"/>
      <c r="AB555" s="5"/>
      <c r="AC555" s="5"/>
      <c r="AD555" s="5"/>
      <c r="AE555" s="5"/>
      <c r="AF555" s="5"/>
      <c r="AG555" s="5"/>
      <c r="AH555" s="5"/>
      <c r="AI555" s="5"/>
    </row>
    <row r="556" spans="1:35" ht="15.75" customHeight="1">
      <c r="A556" s="5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5"/>
      <c r="T556" s="5"/>
      <c r="U556" s="104"/>
      <c r="V556" s="5"/>
      <c r="W556" s="5"/>
      <c r="X556" s="5"/>
      <c r="Y556" s="5"/>
      <c r="Z556" s="7"/>
      <c r="AA556" s="5"/>
      <c r="AB556" s="5"/>
      <c r="AC556" s="5"/>
      <c r="AD556" s="5"/>
      <c r="AE556" s="5"/>
      <c r="AF556" s="5"/>
      <c r="AG556" s="5"/>
      <c r="AH556" s="5"/>
      <c r="AI556" s="5"/>
    </row>
    <row r="557" spans="1:35" ht="15.75" customHeight="1">
      <c r="A557" s="5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5"/>
      <c r="T557" s="5"/>
      <c r="U557" s="104"/>
      <c r="V557" s="5"/>
      <c r="W557" s="5"/>
      <c r="X557" s="5"/>
      <c r="Y557" s="5"/>
      <c r="Z557" s="7"/>
      <c r="AA557" s="5"/>
      <c r="AB557" s="5"/>
      <c r="AC557" s="5"/>
      <c r="AD557" s="5"/>
      <c r="AE557" s="5"/>
      <c r="AF557" s="5"/>
      <c r="AG557" s="5"/>
      <c r="AH557" s="5"/>
      <c r="AI557" s="5"/>
    </row>
    <row r="558" spans="1:35" ht="15.75" customHeight="1">
      <c r="A558" s="5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5"/>
      <c r="T558" s="5"/>
      <c r="U558" s="104"/>
      <c r="V558" s="5"/>
      <c r="W558" s="5"/>
      <c r="X558" s="5"/>
      <c r="Y558" s="5"/>
      <c r="Z558" s="7"/>
      <c r="AA558" s="5"/>
      <c r="AB558" s="5"/>
      <c r="AC558" s="5"/>
      <c r="AD558" s="5"/>
      <c r="AE558" s="5"/>
      <c r="AF558" s="5"/>
      <c r="AG558" s="5"/>
      <c r="AH558" s="5"/>
      <c r="AI558" s="5"/>
    </row>
    <row r="559" spans="1:35" ht="15.75" customHeight="1">
      <c r="A559" s="5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5"/>
      <c r="T559" s="5"/>
      <c r="U559" s="104"/>
      <c r="V559" s="5"/>
      <c r="W559" s="5"/>
      <c r="X559" s="5"/>
      <c r="Y559" s="5"/>
      <c r="Z559" s="7"/>
      <c r="AA559" s="5"/>
      <c r="AB559" s="5"/>
      <c r="AC559" s="5"/>
      <c r="AD559" s="5"/>
      <c r="AE559" s="5"/>
      <c r="AF559" s="5"/>
      <c r="AG559" s="5"/>
      <c r="AH559" s="5"/>
      <c r="AI559" s="5"/>
    </row>
    <row r="560" spans="1:35" ht="15.75" customHeight="1">
      <c r="A560" s="5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5"/>
      <c r="T560" s="5"/>
      <c r="U560" s="104"/>
      <c r="V560" s="5"/>
      <c r="W560" s="5"/>
      <c r="X560" s="5"/>
      <c r="Y560" s="5"/>
      <c r="Z560" s="7"/>
      <c r="AA560" s="5"/>
      <c r="AB560" s="5"/>
      <c r="AC560" s="5"/>
      <c r="AD560" s="5"/>
      <c r="AE560" s="5"/>
      <c r="AF560" s="5"/>
      <c r="AG560" s="5"/>
      <c r="AH560" s="5"/>
      <c r="AI560" s="5"/>
    </row>
    <row r="561" spans="1:35" ht="15.75" customHeight="1">
      <c r="A561" s="5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5"/>
      <c r="T561" s="5"/>
      <c r="U561" s="104"/>
      <c r="V561" s="5"/>
      <c r="W561" s="5"/>
      <c r="X561" s="5"/>
      <c r="Y561" s="5"/>
      <c r="Z561" s="7"/>
      <c r="AA561" s="5"/>
      <c r="AB561" s="5"/>
      <c r="AC561" s="5"/>
      <c r="AD561" s="5"/>
      <c r="AE561" s="5"/>
      <c r="AF561" s="5"/>
      <c r="AG561" s="5"/>
      <c r="AH561" s="5"/>
      <c r="AI561" s="5"/>
    </row>
    <row r="562" spans="1:35" ht="15.75" customHeight="1">
      <c r="A562" s="5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5"/>
      <c r="T562" s="5"/>
      <c r="U562" s="104"/>
      <c r="V562" s="5"/>
      <c r="W562" s="5"/>
      <c r="X562" s="5"/>
      <c r="Y562" s="5"/>
      <c r="Z562" s="7"/>
      <c r="AA562" s="5"/>
      <c r="AB562" s="5"/>
      <c r="AC562" s="5"/>
      <c r="AD562" s="5"/>
      <c r="AE562" s="5"/>
      <c r="AF562" s="5"/>
      <c r="AG562" s="5"/>
      <c r="AH562" s="5"/>
      <c r="AI562" s="5"/>
    </row>
    <row r="563" spans="1:35" ht="15.75" customHeight="1">
      <c r="A563" s="5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5"/>
      <c r="T563" s="5"/>
      <c r="U563" s="104"/>
      <c r="V563" s="5"/>
      <c r="W563" s="5"/>
      <c r="X563" s="5"/>
      <c r="Y563" s="5"/>
      <c r="Z563" s="7"/>
      <c r="AA563" s="5"/>
      <c r="AB563" s="5"/>
      <c r="AC563" s="5"/>
      <c r="AD563" s="5"/>
      <c r="AE563" s="5"/>
      <c r="AF563" s="5"/>
      <c r="AG563" s="5"/>
      <c r="AH563" s="5"/>
      <c r="AI563" s="5"/>
    </row>
    <row r="564" spans="1:35" ht="15.75" customHeight="1">
      <c r="A564" s="5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5"/>
      <c r="T564" s="5"/>
      <c r="U564" s="104"/>
      <c r="V564" s="5"/>
      <c r="W564" s="5"/>
      <c r="X564" s="5"/>
      <c r="Y564" s="5"/>
      <c r="Z564" s="7"/>
      <c r="AA564" s="5"/>
      <c r="AB564" s="5"/>
      <c r="AC564" s="5"/>
      <c r="AD564" s="5"/>
      <c r="AE564" s="5"/>
      <c r="AF564" s="5"/>
      <c r="AG564" s="5"/>
      <c r="AH564" s="5"/>
      <c r="AI564" s="5"/>
    </row>
    <row r="565" spans="1:35" ht="15.75" customHeight="1">
      <c r="A565" s="5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5"/>
      <c r="T565" s="5"/>
      <c r="U565" s="104"/>
      <c r="V565" s="5"/>
      <c r="W565" s="5"/>
      <c r="X565" s="5"/>
      <c r="Y565" s="5"/>
      <c r="Z565" s="7"/>
      <c r="AA565" s="5"/>
      <c r="AB565" s="5"/>
      <c r="AC565" s="5"/>
      <c r="AD565" s="5"/>
      <c r="AE565" s="5"/>
      <c r="AF565" s="5"/>
      <c r="AG565" s="5"/>
      <c r="AH565" s="5"/>
      <c r="AI565" s="5"/>
    </row>
    <row r="566" spans="1:35" ht="15.75" customHeight="1">
      <c r="A566" s="5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5"/>
      <c r="T566" s="5"/>
      <c r="U566" s="104"/>
      <c r="V566" s="5"/>
      <c r="W566" s="5"/>
      <c r="X566" s="5"/>
      <c r="Y566" s="5"/>
      <c r="Z566" s="7"/>
      <c r="AA566" s="5"/>
      <c r="AB566" s="5"/>
      <c r="AC566" s="5"/>
      <c r="AD566" s="5"/>
      <c r="AE566" s="5"/>
      <c r="AF566" s="5"/>
      <c r="AG566" s="5"/>
      <c r="AH566" s="5"/>
      <c r="AI566" s="5"/>
    </row>
    <row r="567" spans="1:35" ht="15.75" customHeight="1">
      <c r="A567" s="5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5"/>
      <c r="T567" s="5"/>
      <c r="U567" s="104"/>
      <c r="V567" s="5"/>
      <c r="W567" s="5"/>
      <c r="X567" s="5"/>
      <c r="Y567" s="5"/>
      <c r="Z567" s="7"/>
      <c r="AA567" s="5"/>
      <c r="AB567" s="5"/>
      <c r="AC567" s="5"/>
      <c r="AD567" s="5"/>
      <c r="AE567" s="5"/>
      <c r="AF567" s="5"/>
      <c r="AG567" s="5"/>
      <c r="AH567" s="5"/>
      <c r="AI567" s="5"/>
    </row>
    <row r="568" spans="1:35" ht="15.75" customHeight="1">
      <c r="A568" s="5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5"/>
      <c r="T568" s="5"/>
      <c r="U568" s="104"/>
      <c r="V568" s="5"/>
      <c r="W568" s="5"/>
      <c r="X568" s="5"/>
      <c r="Y568" s="5"/>
      <c r="Z568" s="7"/>
      <c r="AA568" s="5"/>
      <c r="AB568" s="5"/>
      <c r="AC568" s="5"/>
      <c r="AD568" s="5"/>
      <c r="AE568" s="5"/>
      <c r="AF568" s="5"/>
      <c r="AG568" s="5"/>
      <c r="AH568" s="5"/>
      <c r="AI568" s="5"/>
    </row>
    <row r="569" spans="1:35" ht="15.75" customHeight="1">
      <c r="A569" s="5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5"/>
      <c r="T569" s="5"/>
      <c r="U569" s="104"/>
      <c r="V569" s="5"/>
      <c r="W569" s="5"/>
      <c r="X569" s="5"/>
      <c r="Y569" s="5"/>
      <c r="Z569" s="7"/>
      <c r="AA569" s="5"/>
      <c r="AB569" s="5"/>
      <c r="AC569" s="5"/>
      <c r="AD569" s="5"/>
      <c r="AE569" s="5"/>
      <c r="AF569" s="5"/>
      <c r="AG569" s="5"/>
      <c r="AH569" s="5"/>
      <c r="AI569" s="5"/>
    </row>
    <row r="570" spans="1:35" ht="15.75" customHeight="1">
      <c r="A570" s="5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5"/>
      <c r="T570" s="5"/>
      <c r="U570" s="104"/>
      <c r="V570" s="5"/>
      <c r="W570" s="5"/>
      <c r="X570" s="5"/>
      <c r="Y570" s="5"/>
      <c r="Z570" s="7"/>
      <c r="AA570" s="5"/>
      <c r="AB570" s="5"/>
      <c r="AC570" s="5"/>
      <c r="AD570" s="5"/>
      <c r="AE570" s="5"/>
      <c r="AF570" s="5"/>
      <c r="AG570" s="5"/>
      <c r="AH570" s="5"/>
      <c r="AI570" s="5"/>
    </row>
    <row r="571" spans="1:35" ht="15.75" customHeight="1">
      <c r="A571" s="5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5"/>
      <c r="T571" s="5"/>
      <c r="U571" s="104"/>
      <c r="V571" s="5"/>
      <c r="W571" s="5"/>
      <c r="X571" s="5"/>
      <c r="Y571" s="5"/>
      <c r="Z571" s="7"/>
      <c r="AA571" s="5"/>
      <c r="AB571" s="5"/>
      <c r="AC571" s="5"/>
      <c r="AD571" s="5"/>
      <c r="AE571" s="5"/>
      <c r="AF571" s="5"/>
      <c r="AG571" s="5"/>
      <c r="AH571" s="5"/>
      <c r="AI571" s="5"/>
    </row>
    <row r="572" spans="1:35" ht="15.75" customHeight="1">
      <c r="A572" s="5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5"/>
      <c r="T572" s="5"/>
      <c r="U572" s="104"/>
      <c r="V572" s="5"/>
      <c r="W572" s="5"/>
      <c r="X572" s="5"/>
      <c r="Y572" s="5"/>
      <c r="Z572" s="7"/>
      <c r="AA572" s="5"/>
      <c r="AB572" s="5"/>
      <c r="AC572" s="5"/>
      <c r="AD572" s="5"/>
      <c r="AE572" s="5"/>
      <c r="AF572" s="5"/>
      <c r="AG572" s="5"/>
      <c r="AH572" s="5"/>
      <c r="AI572" s="5"/>
    </row>
    <row r="573" spans="1:35" ht="15.75" customHeight="1">
      <c r="A573" s="5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5"/>
      <c r="T573" s="5"/>
      <c r="U573" s="104"/>
      <c r="V573" s="5"/>
      <c r="W573" s="5"/>
      <c r="X573" s="5"/>
      <c r="Y573" s="5"/>
      <c r="Z573" s="7"/>
      <c r="AA573" s="5"/>
      <c r="AB573" s="5"/>
      <c r="AC573" s="5"/>
      <c r="AD573" s="5"/>
      <c r="AE573" s="5"/>
      <c r="AF573" s="5"/>
      <c r="AG573" s="5"/>
      <c r="AH573" s="5"/>
      <c r="AI573" s="5"/>
    </row>
    <row r="574" spans="1:35" ht="15.75" customHeight="1">
      <c r="A574" s="5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5"/>
      <c r="T574" s="5"/>
      <c r="U574" s="104"/>
      <c r="V574" s="5"/>
      <c r="W574" s="5"/>
      <c r="X574" s="5"/>
      <c r="Y574" s="5"/>
      <c r="Z574" s="7"/>
      <c r="AA574" s="5"/>
      <c r="AB574" s="5"/>
      <c r="AC574" s="5"/>
      <c r="AD574" s="5"/>
      <c r="AE574" s="5"/>
      <c r="AF574" s="5"/>
      <c r="AG574" s="5"/>
      <c r="AH574" s="5"/>
      <c r="AI574" s="5"/>
    </row>
    <row r="575" spans="1:35" ht="15.75" customHeight="1">
      <c r="A575" s="5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5"/>
      <c r="T575" s="5"/>
      <c r="U575" s="104"/>
      <c r="V575" s="5"/>
      <c r="W575" s="5"/>
      <c r="X575" s="5"/>
      <c r="Y575" s="5"/>
      <c r="Z575" s="7"/>
      <c r="AA575" s="5"/>
      <c r="AB575" s="5"/>
      <c r="AC575" s="5"/>
      <c r="AD575" s="5"/>
      <c r="AE575" s="5"/>
      <c r="AF575" s="5"/>
      <c r="AG575" s="5"/>
      <c r="AH575" s="5"/>
      <c r="AI575" s="5"/>
    </row>
    <row r="576" spans="1:35" ht="15.75" customHeight="1">
      <c r="A576" s="5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5"/>
      <c r="T576" s="5"/>
      <c r="U576" s="104"/>
      <c r="V576" s="5"/>
      <c r="W576" s="5"/>
      <c r="X576" s="5"/>
      <c r="Y576" s="5"/>
      <c r="Z576" s="7"/>
      <c r="AA576" s="5"/>
      <c r="AB576" s="5"/>
      <c r="AC576" s="5"/>
      <c r="AD576" s="5"/>
      <c r="AE576" s="5"/>
      <c r="AF576" s="5"/>
      <c r="AG576" s="5"/>
      <c r="AH576" s="5"/>
      <c r="AI576" s="5"/>
    </row>
    <row r="577" spans="1:35" ht="15.75" customHeight="1">
      <c r="A577" s="5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5"/>
      <c r="T577" s="5"/>
      <c r="U577" s="104"/>
      <c r="V577" s="5"/>
      <c r="W577" s="5"/>
      <c r="X577" s="5"/>
      <c r="Y577" s="5"/>
      <c r="Z577" s="7"/>
      <c r="AA577" s="5"/>
      <c r="AB577" s="5"/>
      <c r="AC577" s="5"/>
      <c r="AD577" s="5"/>
      <c r="AE577" s="5"/>
      <c r="AF577" s="5"/>
      <c r="AG577" s="5"/>
      <c r="AH577" s="5"/>
      <c r="AI577" s="5"/>
    </row>
    <row r="578" spans="1:35" ht="15.75" customHeight="1">
      <c r="A578" s="5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5"/>
      <c r="T578" s="5"/>
      <c r="U578" s="104"/>
      <c r="V578" s="5"/>
      <c r="W578" s="5"/>
      <c r="X578" s="5"/>
      <c r="Y578" s="5"/>
      <c r="Z578" s="7"/>
      <c r="AA578" s="5"/>
      <c r="AB578" s="5"/>
      <c r="AC578" s="5"/>
      <c r="AD578" s="5"/>
      <c r="AE578" s="5"/>
      <c r="AF578" s="5"/>
      <c r="AG578" s="5"/>
      <c r="AH578" s="5"/>
      <c r="AI578" s="5"/>
    </row>
    <row r="579" spans="1:35" ht="15.75" customHeight="1">
      <c r="A579" s="5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5"/>
      <c r="T579" s="5"/>
      <c r="U579" s="104"/>
      <c r="V579" s="5"/>
      <c r="W579" s="5"/>
      <c r="X579" s="5"/>
      <c r="Y579" s="5"/>
      <c r="Z579" s="7"/>
      <c r="AA579" s="5"/>
      <c r="AB579" s="5"/>
      <c r="AC579" s="5"/>
      <c r="AD579" s="5"/>
      <c r="AE579" s="5"/>
      <c r="AF579" s="5"/>
      <c r="AG579" s="5"/>
      <c r="AH579" s="5"/>
      <c r="AI579" s="5"/>
    </row>
    <row r="580" spans="1:35" ht="15.75" customHeight="1">
      <c r="A580" s="5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5"/>
      <c r="T580" s="5"/>
      <c r="U580" s="104"/>
      <c r="V580" s="5"/>
      <c r="W580" s="5"/>
      <c r="X580" s="5"/>
      <c r="Y580" s="5"/>
      <c r="Z580" s="7"/>
      <c r="AA580" s="5"/>
      <c r="AB580" s="5"/>
      <c r="AC580" s="5"/>
      <c r="AD580" s="5"/>
      <c r="AE580" s="5"/>
      <c r="AF580" s="5"/>
      <c r="AG580" s="5"/>
      <c r="AH580" s="5"/>
      <c r="AI580" s="5"/>
    </row>
    <row r="581" spans="1:35" ht="15.75" customHeight="1">
      <c r="A581" s="5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5"/>
      <c r="T581" s="5"/>
      <c r="U581" s="104"/>
      <c r="V581" s="5"/>
      <c r="W581" s="5"/>
      <c r="X581" s="5"/>
      <c r="Y581" s="5"/>
      <c r="Z581" s="7"/>
      <c r="AA581" s="5"/>
      <c r="AB581" s="5"/>
      <c r="AC581" s="5"/>
      <c r="AD581" s="5"/>
      <c r="AE581" s="5"/>
      <c r="AF581" s="5"/>
      <c r="AG581" s="5"/>
      <c r="AH581" s="5"/>
      <c r="AI581" s="5"/>
    </row>
    <row r="582" spans="1:35" ht="15.75" customHeight="1">
      <c r="A582" s="5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5"/>
      <c r="T582" s="5"/>
      <c r="U582" s="104"/>
      <c r="V582" s="5"/>
      <c r="W582" s="5"/>
      <c r="X582" s="5"/>
      <c r="Y582" s="5"/>
      <c r="Z582" s="7"/>
      <c r="AA582" s="5"/>
      <c r="AB582" s="5"/>
      <c r="AC582" s="5"/>
      <c r="AD582" s="5"/>
      <c r="AE582" s="5"/>
      <c r="AF582" s="5"/>
      <c r="AG582" s="5"/>
      <c r="AH582" s="5"/>
      <c r="AI582" s="5"/>
    </row>
    <row r="583" spans="1:35" ht="15.75" customHeight="1">
      <c r="A583" s="5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5"/>
      <c r="T583" s="5"/>
      <c r="U583" s="104"/>
      <c r="V583" s="5"/>
      <c r="W583" s="5"/>
      <c r="X583" s="5"/>
      <c r="Y583" s="5"/>
      <c r="Z583" s="7"/>
      <c r="AA583" s="5"/>
      <c r="AB583" s="5"/>
      <c r="AC583" s="5"/>
      <c r="AD583" s="5"/>
      <c r="AE583" s="5"/>
      <c r="AF583" s="5"/>
      <c r="AG583" s="5"/>
      <c r="AH583" s="5"/>
      <c r="AI583" s="5"/>
    </row>
    <row r="584" spans="1:35" ht="15.75" customHeight="1">
      <c r="A584" s="5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5"/>
      <c r="T584" s="5"/>
      <c r="U584" s="104"/>
      <c r="V584" s="5"/>
      <c r="W584" s="5"/>
      <c r="X584" s="5"/>
      <c r="Y584" s="5"/>
      <c r="Z584" s="7"/>
      <c r="AA584" s="5"/>
      <c r="AB584" s="5"/>
      <c r="AC584" s="5"/>
      <c r="AD584" s="5"/>
      <c r="AE584" s="5"/>
      <c r="AF584" s="5"/>
      <c r="AG584" s="5"/>
      <c r="AH584" s="5"/>
      <c r="AI584" s="5"/>
    </row>
    <row r="585" spans="1:35" ht="15.75" customHeight="1">
      <c r="A585" s="5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5"/>
      <c r="T585" s="5"/>
      <c r="U585" s="104"/>
      <c r="V585" s="5"/>
      <c r="W585" s="5"/>
      <c r="X585" s="5"/>
      <c r="Y585" s="5"/>
      <c r="Z585" s="7"/>
      <c r="AA585" s="5"/>
      <c r="AB585" s="5"/>
      <c r="AC585" s="5"/>
      <c r="AD585" s="5"/>
      <c r="AE585" s="5"/>
      <c r="AF585" s="5"/>
      <c r="AG585" s="5"/>
      <c r="AH585" s="5"/>
      <c r="AI585" s="5"/>
    </row>
    <row r="586" spans="1:35" ht="15.75" customHeight="1">
      <c r="A586" s="5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5"/>
      <c r="T586" s="5"/>
      <c r="U586" s="104"/>
      <c r="V586" s="5"/>
      <c r="W586" s="5"/>
      <c r="X586" s="5"/>
      <c r="Y586" s="5"/>
      <c r="Z586" s="7"/>
      <c r="AA586" s="5"/>
      <c r="AB586" s="5"/>
      <c r="AC586" s="5"/>
      <c r="AD586" s="5"/>
      <c r="AE586" s="5"/>
      <c r="AF586" s="5"/>
      <c r="AG586" s="5"/>
      <c r="AH586" s="5"/>
      <c r="AI586" s="5"/>
    </row>
    <row r="587" spans="1:35" ht="15.75" customHeight="1">
      <c r="A587" s="5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5"/>
      <c r="T587" s="5"/>
      <c r="U587" s="104"/>
      <c r="V587" s="5"/>
      <c r="W587" s="5"/>
      <c r="X587" s="5"/>
      <c r="Y587" s="5"/>
      <c r="Z587" s="7"/>
      <c r="AA587" s="5"/>
      <c r="AB587" s="5"/>
      <c r="AC587" s="5"/>
      <c r="AD587" s="5"/>
      <c r="AE587" s="5"/>
      <c r="AF587" s="5"/>
      <c r="AG587" s="5"/>
      <c r="AH587" s="5"/>
      <c r="AI587" s="5"/>
    </row>
    <row r="588" spans="1:35" ht="15.75" customHeight="1">
      <c r="A588" s="5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5"/>
      <c r="T588" s="5"/>
      <c r="U588" s="104"/>
      <c r="V588" s="5"/>
      <c r="W588" s="5"/>
      <c r="X588" s="5"/>
      <c r="Y588" s="5"/>
      <c r="Z588" s="7"/>
      <c r="AA588" s="5"/>
      <c r="AB588" s="5"/>
      <c r="AC588" s="5"/>
      <c r="AD588" s="5"/>
      <c r="AE588" s="5"/>
      <c r="AF588" s="5"/>
      <c r="AG588" s="5"/>
      <c r="AH588" s="5"/>
      <c r="AI588" s="5"/>
    </row>
    <row r="589" spans="1:35" ht="15.75" customHeight="1">
      <c r="A589" s="5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5"/>
      <c r="T589" s="5"/>
      <c r="U589" s="104"/>
      <c r="V589" s="5"/>
      <c r="W589" s="5"/>
      <c r="X589" s="5"/>
      <c r="Y589" s="5"/>
      <c r="Z589" s="7"/>
      <c r="AA589" s="5"/>
      <c r="AB589" s="5"/>
      <c r="AC589" s="5"/>
      <c r="AD589" s="5"/>
      <c r="AE589" s="5"/>
      <c r="AF589" s="5"/>
      <c r="AG589" s="5"/>
      <c r="AH589" s="5"/>
      <c r="AI589" s="5"/>
    </row>
    <row r="590" spans="1:35" ht="15.75" customHeight="1">
      <c r="A590" s="5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5"/>
      <c r="T590" s="5"/>
      <c r="U590" s="104"/>
      <c r="V590" s="5"/>
      <c r="W590" s="5"/>
      <c r="X590" s="5"/>
      <c r="Y590" s="5"/>
      <c r="Z590" s="7"/>
      <c r="AA590" s="5"/>
      <c r="AB590" s="5"/>
      <c r="AC590" s="5"/>
      <c r="AD590" s="5"/>
      <c r="AE590" s="5"/>
      <c r="AF590" s="5"/>
      <c r="AG590" s="5"/>
      <c r="AH590" s="5"/>
      <c r="AI590" s="5"/>
    </row>
    <row r="591" spans="1:35" ht="15.75" customHeight="1">
      <c r="A591" s="5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5"/>
      <c r="T591" s="5"/>
      <c r="U591" s="104"/>
      <c r="V591" s="5"/>
      <c r="W591" s="5"/>
      <c r="X591" s="5"/>
      <c r="Y591" s="5"/>
      <c r="Z591" s="7"/>
      <c r="AA591" s="5"/>
      <c r="AB591" s="5"/>
      <c r="AC591" s="5"/>
      <c r="AD591" s="5"/>
      <c r="AE591" s="5"/>
      <c r="AF591" s="5"/>
      <c r="AG591" s="5"/>
      <c r="AH591" s="5"/>
      <c r="AI591" s="5"/>
    </row>
    <row r="592" spans="1:35" ht="15.75" customHeight="1">
      <c r="A592" s="5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5"/>
      <c r="T592" s="5"/>
      <c r="U592" s="104"/>
      <c r="V592" s="5"/>
      <c r="W592" s="5"/>
      <c r="X592" s="5"/>
      <c r="Y592" s="5"/>
      <c r="Z592" s="7"/>
      <c r="AA592" s="5"/>
      <c r="AB592" s="5"/>
      <c r="AC592" s="5"/>
      <c r="AD592" s="5"/>
      <c r="AE592" s="5"/>
      <c r="AF592" s="5"/>
      <c r="AG592" s="5"/>
      <c r="AH592" s="5"/>
      <c r="AI592" s="5"/>
    </row>
    <row r="593" spans="1:35" ht="15.75" customHeight="1">
      <c r="A593" s="5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5"/>
      <c r="T593" s="5"/>
      <c r="U593" s="104"/>
      <c r="V593" s="5"/>
      <c r="W593" s="5"/>
      <c r="X593" s="5"/>
      <c r="Y593" s="5"/>
      <c r="Z593" s="7"/>
      <c r="AA593" s="5"/>
      <c r="AB593" s="5"/>
      <c r="AC593" s="5"/>
      <c r="AD593" s="5"/>
      <c r="AE593" s="5"/>
      <c r="AF593" s="5"/>
      <c r="AG593" s="5"/>
      <c r="AH593" s="5"/>
      <c r="AI593" s="5"/>
    </row>
    <row r="594" spans="1:35" ht="15.75" customHeight="1">
      <c r="A594" s="5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5"/>
      <c r="T594" s="5"/>
      <c r="U594" s="104"/>
      <c r="V594" s="5"/>
      <c r="W594" s="5"/>
      <c r="X594" s="5"/>
      <c r="Y594" s="5"/>
      <c r="Z594" s="7"/>
      <c r="AA594" s="5"/>
      <c r="AB594" s="5"/>
      <c r="AC594" s="5"/>
      <c r="AD594" s="5"/>
      <c r="AE594" s="5"/>
      <c r="AF594" s="5"/>
      <c r="AG594" s="5"/>
      <c r="AH594" s="5"/>
      <c r="AI594" s="5"/>
    </row>
    <row r="595" spans="1:35" ht="15.75" customHeight="1">
      <c r="A595" s="5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5"/>
      <c r="T595" s="5"/>
      <c r="U595" s="104"/>
      <c r="V595" s="5"/>
      <c r="W595" s="5"/>
      <c r="X595" s="5"/>
      <c r="Y595" s="5"/>
      <c r="Z595" s="7"/>
      <c r="AA595" s="5"/>
      <c r="AB595" s="5"/>
      <c r="AC595" s="5"/>
      <c r="AD595" s="5"/>
      <c r="AE595" s="5"/>
      <c r="AF595" s="5"/>
      <c r="AG595" s="5"/>
      <c r="AH595" s="5"/>
      <c r="AI595" s="5"/>
    </row>
    <row r="596" spans="1:35" ht="15.75" customHeight="1">
      <c r="A596" s="5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5"/>
      <c r="T596" s="5"/>
      <c r="U596" s="104"/>
      <c r="V596" s="5"/>
      <c r="W596" s="5"/>
      <c r="X596" s="5"/>
      <c r="Y596" s="5"/>
      <c r="Z596" s="7"/>
      <c r="AA596" s="5"/>
      <c r="AB596" s="5"/>
      <c r="AC596" s="5"/>
      <c r="AD596" s="5"/>
      <c r="AE596" s="5"/>
      <c r="AF596" s="5"/>
      <c r="AG596" s="5"/>
      <c r="AH596" s="5"/>
      <c r="AI596" s="5"/>
    </row>
    <row r="597" spans="1:35" ht="15.75" customHeight="1">
      <c r="A597" s="5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5"/>
      <c r="T597" s="5"/>
      <c r="U597" s="104"/>
      <c r="V597" s="5"/>
      <c r="W597" s="5"/>
      <c r="X597" s="5"/>
      <c r="Y597" s="5"/>
      <c r="Z597" s="7"/>
      <c r="AA597" s="5"/>
      <c r="AB597" s="5"/>
      <c r="AC597" s="5"/>
      <c r="AD597" s="5"/>
      <c r="AE597" s="5"/>
      <c r="AF597" s="5"/>
      <c r="AG597" s="5"/>
      <c r="AH597" s="5"/>
      <c r="AI597" s="5"/>
    </row>
    <row r="598" spans="1:35" ht="15.75" customHeight="1">
      <c r="A598" s="5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5"/>
      <c r="T598" s="5"/>
      <c r="U598" s="104"/>
      <c r="V598" s="5"/>
      <c r="W598" s="5"/>
      <c r="X598" s="5"/>
      <c r="Y598" s="5"/>
      <c r="Z598" s="7"/>
      <c r="AA598" s="5"/>
      <c r="AB598" s="5"/>
      <c r="AC598" s="5"/>
      <c r="AD598" s="5"/>
      <c r="AE598" s="5"/>
      <c r="AF598" s="5"/>
      <c r="AG598" s="5"/>
      <c r="AH598" s="5"/>
      <c r="AI598" s="5"/>
    </row>
    <row r="599" spans="1:35" ht="15.75" customHeight="1">
      <c r="A599" s="5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5"/>
      <c r="T599" s="5"/>
      <c r="U599" s="104"/>
      <c r="V599" s="5"/>
      <c r="W599" s="5"/>
      <c r="X599" s="5"/>
      <c r="Y599" s="5"/>
      <c r="Z599" s="7"/>
      <c r="AA599" s="5"/>
      <c r="AB599" s="5"/>
      <c r="AC599" s="5"/>
      <c r="AD599" s="5"/>
      <c r="AE599" s="5"/>
      <c r="AF599" s="5"/>
      <c r="AG599" s="5"/>
      <c r="AH599" s="5"/>
      <c r="AI599" s="5"/>
    </row>
    <row r="600" spans="1:35" ht="15.75" customHeight="1">
      <c r="A600" s="5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5"/>
      <c r="T600" s="5"/>
      <c r="U600" s="104"/>
      <c r="V600" s="5"/>
      <c r="W600" s="5"/>
      <c r="X600" s="5"/>
      <c r="Y600" s="5"/>
      <c r="Z600" s="7"/>
      <c r="AA600" s="5"/>
      <c r="AB600" s="5"/>
      <c r="AC600" s="5"/>
      <c r="AD600" s="5"/>
      <c r="AE600" s="5"/>
      <c r="AF600" s="5"/>
      <c r="AG600" s="5"/>
      <c r="AH600" s="5"/>
      <c r="AI600" s="5"/>
    </row>
    <row r="601" spans="1:35" ht="15.75" customHeight="1">
      <c r="A601" s="5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5"/>
      <c r="T601" s="5"/>
      <c r="U601" s="104"/>
      <c r="V601" s="5"/>
      <c r="W601" s="5"/>
      <c r="X601" s="5"/>
      <c r="Y601" s="5"/>
      <c r="Z601" s="7"/>
      <c r="AA601" s="5"/>
      <c r="AB601" s="5"/>
      <c r="AC601" s="5"/>
      <c r="AD601" s="5"/>
      <c r="AE601" s="5"/>
      <c r="AF601" s="5"/>
      <c r="AG601" s="5"/>
      <c r="AH601" s="5"/>
      <c r="AI601" s="5"/>
    </row>
    <row r="602" spans="1:35" ht="15.75" customHeight="1">
      <c r="A602" s="5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5"/>
      <c r="T602" s="5"/>
      <c r="U602" s="104"/>
      <c r="V602" s="5"/>
      <c r="W602" s="5"/>
      <c r="X602" s="5"/>
      <c r="Y602" s="5"/>
      <c r="Z602" s="7"/>
      <c r="AA602" s="5"/>
      <c r="AB602" s="5"/>
      <c r="AC602" s="5"/>
      <c r="AD602" s="5"/>
      <c r="AE602" s="5"/>
      <c r="AF602" s="5"/>
      <c r="AG602" s="5"/>
      <c r="AH602" s="5"/>
      <c r="AI602" s="5"/>
    </row>
    <row r="603" spans="1:35" ht="15.75" customHeight="1">
      <c r="A603" s="5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5"/>
      <c r="T603" s="5"/>
      <c r="U603" s="104"/>
      <c r="V603" s="5"/>
      <c r="W603" s="5"/>
      <c r="X603" s="5"/>
      <c r="Y603" s="5"/>
      <c r="Z603" s="7"/>
      <c r="AA603" s="5"/>
      <c r="AB603" s="5"/>
      <c r="AC603" s="5"/>
      <c r="AD603" s="5"/>
      <c r="AE603" s="5"/>
      <c r="AF603" s="5"/>
      <c r="AG603" s="5"/>
      <c r="AH603" s="5"/>
      <c r="AI603" s="5"/>
    </row>
    <row r="604" spans="1:35" ht="15.75" customHeight="1">
      <c r="A604" s="5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5"/>
      <c r="T604" s="5"/>
      <c r="U604" s="104"/>
      <c r="V604" s="5"/>
      <c r="W604" s="5"/>
      <c r="X604" s="5"/>
      <c r="Y604" s="5"/>
      <c r="Z604" s="7"/>
      <c r="AA604" s="5"/>
      <c r="AB604" s="5"/>
      <c r="AC604" s="5"/>
      <c r="AD604" s="5"/>
      <c r="AE604" s="5"/>
      <c r="AF604" s="5"/>
      <c r="AG604" s="5"/>
      <c r="AH604" s="5"/>
      <c r="AI604" s="5"/>
    </row>
    <row r="605" spans="1:35" ht="15.75" customHeight="1">
      <c r="A605" s="5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5"/>
      <c r="T605" s="5"/>
      <c r="U605" s="104"/>
      <c r="V605" s="5"/>
      <c r="W605" s="5"/>
      <c r="X605" s="5"/>
      <c r="Y605" s="5"/>
      <c r="Z605" s="7"/>
      <c r="AA605" s="5"/>
      <c r="AB605" s="5"/>
      <c r="AC605" s="5"/>
      <c r="AD605" s="5"/>
      <c r="AE605" s="5"/>
      <c r="AF605" s="5"/>
      <c r="AG605" s="5"/>
      <c r="AH605" s="5"/>
      <c r="AI605" s="5"/>
    </row>
    <row r="606" spans="1:35" ht="15.75" customHeight="1">
      <c r="A606" s="5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5"/>
      <c r="T606" s="5"/>
      <c r="U606" s="104"/>
      <c r="V606" s="5"/>
      <c r="W606" s="5"/>
      <c r="X606" s="5"/>
      <c r="Y606" s="5"/>
      <c r="Z606" s="7"/>
      <c r="AA606" s="5"/>
      <c r="AB606" s="5"/>
      <c r="AC606" s="5"/>
      <c r="AD606" s="5"/>
      <c r="AE606" s="5"/>
      <c r="AF606" s="5"/>
      <c r="AG606" s="5"/>
      <c r="AH606" s="5"/>
      <c r="AI606" s="5"/>
    </row>
    <row r="607" spans="1:35" ht="15.75" customHeight="1">
      <c r="A607" s="5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5"/>
      <c r="T607" s="5"/>
      <c r="U607" s="104"/>
      <c r="V607" s="5"/>
      <c r="W607" s="5"/>
      <c r="X607" s="5"/>
      <c r="Y607" s="5"/>
      <c r="Z607" s="7"/>
      <c r="AA607" s="5"/>
      <c r="AB607" s="5"/>
      <c r="AC607" s="5"/>
      <c r="AD607" s="5"/>
      <c r="AE607" s="5"/>
      <c r="AF607" s="5"/>
      <c r="AG607" s="5"/>
      <c r="AH607" s="5"/>
      <c r="AI607" s="5"/>
    </row>
    <row r="608" spans="1:35" ht="15.75" customHeight="1">
      <c r="A608" s="5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5"/>
      <c r="T608" s="5"/>
      <c r="U608" s="104"/>
      <c r="V608" s="5"/>
      <c r="W608" s="5"/>
      <c r="X608" s="5"/>
      <c r="Y608" s="5"/>
      <c r="Z608" s="7"/>
      <c r="AA608" s="5"/>
      <c r="AB608" s="5"/>
      <c r="AC608" s="5"/>
      <c r="AD608" s="5"/>
      <c r="AE608" s="5"/>
      <c r="AF608" s="5"/>
      <c r="AG608" s="5"/>
      <c r="AH608" s="5"/>
      <c r="AI608" s="5"/>
    </row>
    <row r="609" spans="1:35" ht="15.75" customHeight="1">
      <c r="A609" s="5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5"/>
      <c r="T609" s="5"/>
      <c r="U609" s="104"/>
      <c r="V609" s="5"/>
      <c r="W609" s="5"/>
      <c r="X609" s="5"/>
      <c r="Y609" s="5"/>
      <c r="Z609" s="7"/>
      <c r="AA609" s="5"/>
      <c r="AB609" s="5"/>
      <c r="AC609" s="5"/>
      <c r="AD609" s="5"/>
      <c r="AE609" s="5"/>
      <c r="AF609" s="5"/>
      <c r="AG609" s="5"/>
      <c r="AH609" s="5"/>
      <c r="AI609" s="5"/>
    </row>
    <row r="610" spans="1:35" ht="15.75" customHeight="1">
      <c r="A610" s="5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5"/>
      <c r="T610" s="5"/>
      <c r="U610" s="104"/>
      <c r="V610" s="5"/>
      <c r="W610" s="5"/>
      <c r="X610" s="5"/>
      <c r="Y610" s="5"/>
      <c r="Z610" s="7"/>
      <c r="AA610" s="5"/>
      <c r="AB610" s="5"/>
      <c r="AC610" s="5"/>
      <c r="AD610" s="5"/>
      <c r="AE610" s="5"/>
      <c r="AF610" s="5"/>
      <c r="AG610" s="5"/>
      <c r="AH610" s="5"/>
      <c r="AI610" s="5"/>
    </row>
    <row r="611" spans="1:35" ht="15.75" customHeight="1">
      <c r="A611" s="5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5"/>
      <c r="T611" s="5"/>
      <c r="U611" s="104"/>
      <c r="V611" s="5"/>
      <c r="W611" s="5"/>
      <c r="X611" s="5"/>
      <c r="Y611" s="5"/>
      <c r="Z611" s="7"/>
      <c r="AA611" s="5"/>
      <c r="AB611" s="5"/>
      <c r="AC611" s="5"/>
      <c r="AD611" s="5"/>
      <c r="AE611" s="5"/>
      <c r="AF611" s="5"/>
      <c r="AG611" s="5"/>
      <c r="AH611" s="5"/>
      <c r="AI611" s="5"/>
    </row>
    <row r="612" spans="1:35" ht="15.75" customHeight="1">
      <c r="A612" s="5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5"/>
      <c r="T612" s="5"/>
      <c r="U612" s="104"/>
      <c r="V612" s="5"/>
      <c r="W612" s="5"/>
      <c r="X612" s="5"/>
      <c r="Y612" s="5"/>
      <c r="Z612" s="7"/>
      <c r="AA612" s="5"/>
      <c r="AB612" s="5"/>
      <c r="AC612" s="5"/>
      <c r="AD612" s="5"/>
      <c r="AE612" s="5"/>
      <c r="AF612" s="5"/>
      <c r="AG612" s="5"/>
      <c r="AH612" s="5"/>
      <c r="AI612" s="5"/>
    </row>
    <row r="613" spans="1:35" ht="15.75" customHeight="1">
      <c r="A613" s="5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5"/>
      <c r="T613" s="5"/>
      <c r="U613" s="104"/>
      <c r="V613" s="5"/>
      <c r="W613" s="5"/>
      <c r="X613" s="5"/>
      <c r="Y613" s="5"/>
      <c r="Z613" s="7"/>
      <c r="AA613" s="5"/>
      <c r="AB613" s="5"/>
      <c r="AC613" s="5"/>
      <c r="AD613" s="5"/>
      <c r="AE613" s="5"/>
      <c r="AF613" s="5"/>
      <c r="AG613" s="5"/>
      <c r="AH613" s="5"/>
      <c r="AI613" s="5"/>
    </row>
    <row r="614" spans="1:35" ht="15.75" customHeight="1">
      <c r="A614" s="5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5"/>
      <c r="T614" s="5"/>
      <c r="U614" s="104"/>
      <c r="V614" s="5"/>
      <c r="W614" s="5"/>
      <c r="X614" s="5"/>
      <c r="Y614" s="5"/>
      <c r="Z614" s="7"/>
      <c r="AA614" s="5"/>
      <c r="AB614" s="5"/>
      <c r="AC614" s="5"/>
      <c r="AD614" s="5"/>
      <c r="AE614" s="5"/>
      <c r="AF614" s="5"/>
      <c r="AG614" s="5"/>
      <c r="AH614" s="5"/>
      <c r="AI614" s="5"/>
    </row>
    <row r="615" spans="1:35" ht="15.75" customHeight="1">
      <c r="A615" s="5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5"/>
      <c r="T615" s="5"/>
      <c r="U615" s="104"/>
      <c r="V615" s="5"/>
      <c r="W615" s="5"/>
      <c r="X615" s="5"/>
      <c r="Y615" s="5"/>
      <c r="Z615" s="7"/>
      <c r="AA615" s="5"/>
      <c r="AB615" s="5"/>
      <c r="AC615" s="5"/>
      <c r="AD615" s="5"/>
      <c r="AE615" s="5"/>
      <c r="AF615" s="5"/>
      <c r="AG615" s="5"/>
      <c r="AH615" s="5"/>
      <c r="AI615" s="5"/>
    </row>
    <row r="616" spans="1:35" ht="15.75" customHeight="1">
      <c r="A616" s="5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5"/>
      <c r="T616" s="5"/>
      <c r="U616" s="104"/>
      <c r="V616" s="5"/>
      <c r="W616" s="5"/>
      <c r="X616" s="5"/>
      <c r="Y616" s="5"/>
      <c r="Z616" s="7"/>
      <c r="AA616" s="5"/>
      <c r="AB616" s="5"/>
      <c r="AC616" s="5"/>
      <c r="AD616" s="5"/>
      <c r="AE616" s="5"/>
      <c r="AF616" s="5"/>
      <c r="AG616" s="5"/>
      <c r="AH616" s="5"/>
      <c r="AI616" s="5"/>
    </row>
    <row r="617" spans="1:35" ht="15.75" customHeight="1">
      <c r="A617" s="5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5"/>
      <c r="T617" s="5"/>
      <c r="U617" s="104"/>
      <c r="V617" s="5"/>
      <c r="W617" s="5"/>
      <c r="X617" s="5"/>
      <c r="Y617" s="5"/>
      <c r="Z617" s="7"/>
      <c r="AA617" s="5"/>
      <c r="AB617" s="5"/>
      <c r="AC617" s="5"/>
      <c r="AD617" s="5"/>
      <c r="AE617" s="5"/>
      <c r="AF617" s="5"/>
      <c r="AG617" s="5"/>
      <c r="AH617" s="5"/>
      <c r="AI617" s="5"/>
    </row>
    <row r="618" spans="1:35" ht="15.75" customHeight="1">
      <c r="A618" s="5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5"/>
      <c r="T618" s="5"/>
      <c r="U618" s="104"/>
      <c r="V618" s="5"/>
      <c r="W618" s="5"/>
      <c r="X618" s="5"/>
      <c r="Y618" s="5"/>
      <c r="Z618" s="7"/>
      <c r="AA618" s="5"/>
      <c r="AB618" s="5"/>
      <c r="AC618" s="5"/>
      <c r="AD618" s="5"/>
      <c r="AE618" s="5"/>
      <c r="AF618" s="5"/>
      <c r="AG618" s="5"/>
      <c r="AH618" s="5"/>
      <c r="AI618" s="5"/>
    </row>
    <row r="619" spans="1:35" ht="15.75" customHeight="1">
      <c r="A619" s="5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5"/>
      <c r="T619" s="5"/>
      <c r="U619" s="104"/>
      <c r="V619" s="5"/>
      <c r="W619" s="5"/>
      <c r="X619" s="5"/>
      <c r="Y619" s="5"/>
      <c r="Z619" s="7"/>
      <c r="AA619" s="5"/>
      <c r="AB619" s="5"/>
      <c r="AC619" s="5"/>
      <c r="AD619" s="5"/>
      <c r="AE619" s="5"/>
      <c r="AF619" s="5"/>
      <c r="AG619" s="5"/>
      <c r="AH619" s="5"/>
      <c r="AI619" s="5"/>
    </row>
    <row r="620" spans="1:35" ht="15.75" customHeight="1">
      <c r="A620" s="5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5"/>
      <c r="T620" s="5"/>
      <c r="U620" s="104"/>
      <c r="V620" s="5"/>
      <c r="W620" s="5"/>
      <c r="X620" s="5"/>
      <c r="Y620" s="5"/>
      <c r="Z620" s="7"/>
      <c r="AA620" s="5"/>
      <c r="AB620" s="5"/>
      <c r="AC620" s="5"/>
      <c r="AD620" s="5"/>
      <c r="AE620" s="5"/>
      <c r="AF620" s="5"/>
      <c r="AG620" s="5"/>
      <c r="AH620" s="5"/>
      <c r="AI620" s="5"/>
    </row>
    <row r="621" spans="1:35" ht="15.75" customHeight="1">
      <c r="A621" s="5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5"/>
      <c r="T621" s="5"/>
      <c r="U621" s="104"/>
      <c r="V621" s="5"/>
      <c r="W621" s="5"/>
      <c r="X621" s="5"/>
      <c r="Y621" s="5"/>
      <c r="Z621" s="7"/>
      <c r="AA621" s="5"/>
      <c r="AB621" s="5"/>
      <c r="AC621" s="5"/>
      <c r="AD621" s="5"/>
      <c r="AE621" s="5"/>
      <c r="AF621" s="5"/>
      <c r="AG621" s="5"/>
      <c r="AH621" s="5"/>
      <c r="AI621" s="5"/>
    </row>
    <row r="622" spans="1:35" ht="15.75" customHeight="1">
      <c r="A622" s="5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5"/>
      <c r="T622" s="5"/>
      <c r="U622" s="104"/>
      <c r="V622" s="5"/>
      <c r="W622" s="5"/>
      <c r="X622" s="5"/>
      <c r="Y622" s="5"/>
      <c r="Z622" s="7"/>
      <c r="AA622" s="5"/>
      <c r="AB622" s="5"/>
      <c r="AC622" s="5"/>
      <c r="AD622" s="5"/>
      <c r="AE622" s="5"/>
      <c r="AF622" s="5"/>
      <c r="AG622" s="5"/>
      <c r="AH622" s="5"/>
      <c r="AI622" s="5"/>
    </row>
    <row r="623" spans="1:35" ht="15.75" customHeight="1">
      <c r="A623" s="5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5"/>
      <c r="T623" s="5"/>
      <c r="U623" s="104"/>
      <c r="V623" s="5"/>
      <c r="W623" s="5"/>
      <c r="X623" s="5"/>
      <c r="Y623" s="5"/>
      <c r="Z623" s="7"/>
      <c r="AA623" s="5"/>
      <c r="AB623" s="5"/>
      <c r="AC623" s="5"/>
      <c r="AD623" s="5"/>
      <c r="AE623" s="5"/>
      <c r="AF623" s="5"/>
      <c r="AG623" s="5"/>
      <c r="AH623" s="5"/>
      <c r="AI623" s="5"/>
    </row>
    <row r="624" spans="1:35" ht="15.75" customHeight="1">
      <c r="A624" s="5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5"/>
      <c r="T624" s="5"/>
      <c r="U624" s="104"/>
      <c r="V624" s="5"/>
      <c r="W624" s="5"/>
      <c r="X624" s="5"/>
      <c r="Y624" s="5"/>
      <c r="Z624" s="7"/>
      <c r="AA624" s="5"/>
      <c r="AB624" s="5"/>
      <c r="AC624" s="5"/>
      <c r="AD624" s="5"/>
      <c r="AE624" s="5"/>
      <c r="AF624" s="5"/>
      <c r="AG624" s="5"/>
      <c r="AH624" s="5"/>
      <c r="AI624" s="5"/>
    </row>
    <row r="625" spans="1:35" ht="15.75" customHeight="1">
      <c r="A625" s="5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5"/>
      <c r="T625" s="5"/>
      <c r="U625" s="104"/>
      <c r="V625" s="5"/>
      <c r="W625" s="5"/>
      <c r="X625" s="5"/>
      <c r="Y625" s="5"/>
      <c r="Z625" s="7"/>
      <c r="AA625" s="5"/>
      <c r="AB625" s="5"/>
      <c r="AC625" s="5"/>
      <c r="AD625" s="5"/>
      <c r="AE625" s="5"/>
      <c r="AF625" s="5"/>
      <c r="AG625" s="5"/>
      <c r="AH625" s="5"/>
      <c r="AI625" s="5"/>
    </row>
    <row r="626" spans="1:35" ht="15.75" customHeight="1">
      <c r="A626" s="5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5"/>
      <c r="T626" s="5"/>
      <c r="U626" s="104"/>
      <c r="V626" s="5"/>
      <c r="W626" s="5"/>
      <c r="X626" s="5"/>
      <c r="Y626" s="5"/>
      <c r="Z626" s="7"/>
      <c r="AA626" s="5"/>
      <c r="AB626" s="5"/>
      <c r="AC626" s="5"/>
      <c r="AD626" s="5"/>
      <c r="AE626" s="5"/>
      <c r="AF626" s="5"/>
      <c r="AG626" s="5"/>
      <c r="AH626" s="5"/>
      <c r="AI626" s="5"/>
    </row>
    <row r="627" spans="1:35" ht="15.75" customHeight="1">
      <c r="A627" s="5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5"/>
      <c r="T627" s="5"/>
      <c r="U627" s="104"/>
      <c r="V627" s="5"/>
      <c r="W627" s="5"/>
      <c r="X627" s="5"/>
      <c r="Y627" s="5"/>
      <c r="Z627" s="7"/>
      <c r="AA627" s="5"/>
      <c r="AB627" s="5"/>
      <c r="AC627" s="5"/>
      <c r="AD627" s="5"/>
      <c r="AE627" s="5"/>
      <c r="AF627" s="5"/>
      <c r="AG627" s="5"/>
      <c r="AH627" s="5"/>
      <c r="AI627" s="5"/>
    </row>
    <row r="628" spans="1:35" ht="15.75" customHeight="1">
      <c r="A628" s="5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5"/>
      <c r="T628" s="5"/>
      <c r="U628" s="104"/>
      <c r="V628" s="5"/>
      <c r="W628" s="5"/>
      <c r="X628" s="5"/>
      <c r="Y628" s="5"/>
      <c r="Z628" s="7"/>
      <c r="AA628" s="5"/>
      <c r="AB628" s="5"/>
      <c r="AC628" s="5"/>
      <c r="AD628" s="5"/>
      <c r="AE628" s="5"/>
      <c r="AF628" s="5"/>
      <c r="AG628" s="5"/>
      <c r="AH628" s="5"/>
      <c r="AI628" s="5"/>
    </row>
    <row r="629" spans="1:35" ht="15.75" customHeight="1">
      <c r="A629" s="5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5"/>
      <c r="T629" s="5"/>
      <c r="U629" s="104"/>
      <c r="V629" s="5"/>
      <c r="W629" s="5"/>
      <c r="X629" s="5"/>
      <c r="Y629" s="5"/>
      <c r="Z629" s="7"/>
      <c r="AA629" s="5"/>
      <c r="AB629" s="5"/>
      <c r="AC629" s="5"/>
      <c r="AD629" s="5"/>
      <c r="AE629" s="5"/>
      <c r="AF629" s="5"/>
      <c r="AG629" s="5"/>
      <c r="AH629" s="5"/>
      <c r="AI629" s="5"/>
    </row>
    <row r="630" spans="1:35" ht="15.75" customHeight="1">
      <c r="A630" s="5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5"/>
      <c r="T630" s="5"/>
      <c r="U630" s="104"/>
      <c r="V630" s="5"/>
      <c r="W630" s="5"/>
      <c r="X630" s="5"/>
      <c r="Y630" s="5"/>
      <c r="Z630" s="7"/>
      <c r="AA630" s="5"/>
      <c r="AB630" s="5"/>
      <c r="AC630" s="5"/>
      <c r="AD630" s="5"/>
      <c r="AE630" s="5"/>
      <c r="AF630" s="5"/>
      <c r="AG630" s="5"/>
      <c r="AH630" s="5"/>
      <c r="AI630" s="5"/>
    </row>
    <row r="631" spans="1:35" ht="15.75" customHeight="1">
      <c r="A631" s="5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5"/>
      <c r="T631" s="5"/>
      <c r="U631" s="104"/>
      <c r="V631" s="5"/>
      <c r="W631" s="5"/>
      <c r="X631" s="5"/>
      <c r="Y631" s="5"/>
      <c r="Z631" s="7"/>
      <c r="AA631" s="5"/>
      <c r="AB631" s="5"/>
      <c r="AC631" s="5"/>
      <c r="AD631" s="5"/>
      <c r="AE631" s="5"/>
      <c r="AF631" s="5"/>
      <c r="AG631" s="5"/>
      <c r="AH631" s="5"/>
      <c r="AI631" s="5"/>
    </row>
    <row r="632" spans="1:35" ht="15.75" customHeight="1">
      <c r="A632" s="5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5"/>
      <c r="T632" s="5"/>
      <c r="U632" s="104"/>
      <c r="V632" s="5"/>
      <c r="W632" s="5"/>
      <c r="X632" s="5"/>
      <c r="Y632" s="5"/>
      <c r="Z632" s="7"/>
      <c r="AA632" s="5"/>
      <c r="AB632" s="5"/>
      <c r="AC632" s="5"/>
      <c r="AD632" s="5"/>
      <c r="AE632" s="5"/>
      <c r="AF632" s="5"/>
      <c r="AG632" s="5"/>
      <c r="AH632" s="5"/>
      <c r="AI632" s="5"/>
    </row>
    <row r="633" spans="1:35" ht="15.75" customHeight="1">
      <c r="A633" s="5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5"/>
      <c r="T633" s="5"/>
      <c r="U633" s="104"/>
      <c r="V633" s="5"/>
      <c r="W633" s="5"/>
      <c r="X633" s="5"/>
      <c r="Y633" s="5"/>
      <c r="Z633" s="7"/>
      <c r="AA633" s="5"/>
      <c r="AB633" s="5"/>
      <c r="AC633" s="5"/>
      <c r="AD633" s="5"/>
      <c r="AE633" s="5"/>
      <c r="AF633" s="5"/>
      <c r="AG633" s="5"/>
      <c r="AH633" s="5"/>
      <c r="AI633" s="5"/>
    </row>
    <row r="634" spans="1:35" ht="15.75" customHeight="1">
      <c r="A634" s="5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5"/>
      <c r="T634" s="5"/>
      <c r="U634" s="104"/>
      <c r="V634" s="5"/>
      <c r="W634" s="5"/>
      <c r="X634" s="5"/>
      <c r="Y634" s="5"/>
      <c r="Z634" s="7"/>
      <c r="AA634" s="5"/>
      <c r="AB634" s="5"/>
      <c r="AC634" s="5"/>
      <c r="AD634" s="5"/>
      <c r="AE634" s="5"/>
      <c r="AF634" s="5"/>
      <c r="AG634" s="5"/>
      <c r="AH634" s="5"/>
      <c r="AI634" s="5"/>
    </row>
    <row r="635" spans="1:35" ht="15.75" customHeight="1">
      <c r="A635" s="5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5"/>
      <c r="T635" s="5"/>
      <c r="U635" s="104"/>
      <c r="V635" s="5"/>
      <c r="W635" s="5"/>
      <c r="X635" s="5"/>
      <c r="Y635" s="5"/>
      <c r="Z635" s="7"/>
      <c r="AA635" s="5"/>
      <c r="AB635" s="5"/>
      <c r="AC635" s="5"/>
      <c r="AD635" s="5"/>
      <c r="AE635" s="5"/>
      <c r="AF635" s="5"/>
      <c r="AG635" s="5"/>
      <c r="AH635" s="5"/>
      <c r="AI635" s="5"/>
    </row>
    <row r="636" spans="1:35" ht="15.75" customHeight="1">
      <c r="A636" s="5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5"/>
      <c r="T636" s="5"/>
      <c r="U636" s="104"/>
      <c r="V636" s="5"/>
      <c r="W636" s="5"/>
      <c r="X636" s="5"/>
      <c r="Y636" s="5"/>
      <c r="Z636" s="7"/>
      <c r="AA636" s="5"/>
      <c r="AB636" s="5"/>
      <c r="AC636" s="5"/>
      <c r="AD636" s="5"/>
      <c r="AE636" s="5"/>
      <c r="AF636" s="5"/>
      <c r="AG636" s="5"/>
      <c r="AH636" s="5"/>
      <c r="AI636" s="5"/>
    </row>
    <row r="637" spans="1:35" ht="15.75" customHeight="1">
      <c r="A637" s="5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5"/>
      <c r="T637" s="5"/>
      <c r="U637" s="104"/>
      <c r="V637" s="5"/>
      <c r="W637" s="5"/>
      <c r="X637" s="5"/>
      <c r="Y637" s="5"/>
      <c r="Z637" s="7"/>
      <c r="AA637" s="5"/>
      <c r="AB637" s="5"/>
      <c r="AC637" s="5"/>
      <c r="AD637" s="5"/>
      <c r="AE637" s="5"/>
      <c r="AF637" s="5"/>
      <c r="AG637" s="5"/>
      <c r="AH637" s="5"/>
      <c r="AI637" s="5"/>
    </row>
    <row r="638" spans="1:35" ht="15.75" customHeight="1">
      <c r="A638" s="5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5"/>
      <c r="T638" s="5"/>
      <c r="U638" s="104"/>
      <c r="V638" s="5"/>
      <c r="W638" s="5"/>
      <c r="X638" s="5"/>
      <c r="Y638" s="5"/>
      <c r="Z638" s="7"/>
      <c r="AA638" s="5"/>
      <c r="AB638" s="5"/>
      <c r="AC638" s="5"/>
      <c r="AD638" s="5"/>
      <c r="AE638" s="5"/>
      <c r="AF638" s="5"/>
      <c r="AG638" s="5"/>
      <c r="AH638" s="5"/>
      <c r="AI638" s="5"/>
    </row>
    <row r="639" spans="1:35" ht="15.75" customHeight="1">
      <c r="A639" s="5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5"/>
      <c r="T639" s="5"/>
      <c r="U639" s="104"/>
      <c r="V639" s="5"/>
      <c r="W639" s="5"/>
      <c r="X639" s="5"/>
      <c r="Y639" s="5"/>
      <c r="Z639" s="7"/>
      <c r="AA639" s="5"/>
      <c r="AB639" s="5"/>
      <c r="AC639" s="5"/>
      <c r="AD639" s="5"/>
      <c r="AE639" s="5"/>
      <c r="AF639" s="5"/>
      <c r="AG639" s="5"/>
      <c r="AH639" s="5"/>
      <c r="AI639" s="5"/>
    </row>
    <row r="640" spans="1:35" ht="15.75" customHeight="1">
      <c r="A640" s="5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5"/>
      <c r="T640" s="5"/>
      <c r="U640" s="104"/>
      <c r="V640" s="5"/>
      <c r="W640" s="5"/>
      <c r="X640" s="5"/>
      <c r="Y640" s="5"/>
      <c r="Z640" s="7"/>
      <c r="AA640" s="5"/>
      <c r="AB640" s="5"/>
      <c r="AC640" s="5"/>
      <c r="AD640" s="5"/>
      <c r="AE640" s="5"/>
      <c r="AF640" s="5"/>
      <c r="AG640" s="5"/>
      <c r="AH640" s="5"/>
      <c r="AI640" s="5"/>
    </row>
    <row r="641" spans="1:35" ht="15.75" customHeight="1">
      <c r="A641" s="5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5"/>
      <c r="T641" s="5"/>
      <c r="U641" s="104"/>
      <c r="V641" s="5"/>
      <c r="W641" s="5"/>
      <c r="X641" s="5"/>
      <c r="Y641" s="5"/>
      <c r="Z641" s="7"/>
      <c r="AA641" s="5"/>
      <c r="AB641" s="5"/>
      <c r="AC641" s="5"/>
      <c r="AD641" s="5"/>
      <c r="AE641" s="5"/>
      <c r="AF641" s="5"/>
      <c r="AG641" s="5"/>
      <c r="AH641" s="5"/>
      <c r="AI641" s="5"/>
    </row>
    <row r="642" spans="1:35" ht="15.75" customHeight="1">
      <c r="A642" s="5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5"/>
      <c r="T642" s="5"/>
      <c r="U642" s="104"/>
      <c r="V642" s="5"/>
      <c r="W642" s="5"/>
      <c r="X642" s="5"/>
      <c r="Y642" s="5"/>
      <c r="Z642" s="7"/>
      <c r="AA642" s="5"/>
      <c r="AB642" s="5"/>
      <c r="AC642" s="5"/>
      <c r="AD642" s="5"/>
      <c r="AE642" s="5"/>
      <c r="AF642" s="5"/>
      <c r="AG642" s="5"/>
      <c r="AH642" s="5"/>
      <c r="AI642" s="5"/>
    </row>
    <row r="643" spans="1:35" ht="15.75" customHeight="1">
      <c r="A643" s="5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5"/>
      <c r="T643" s="5"/>
      <c r="U643" s="104"/>
      <c r="V643" s="5"/>
      <c r="W643" s="5"/>
      <c r="X643" s="5"/>
      <c r="Y643" s="5"/>
      <c r="Z643" s="7"/>
      <c r="AA643" s="5"/>
      <c r="AB643" s="5"/>
      <c r="AC643" s="5"/>
      <c r="AD643" s="5"/>
      <c r="AE643" s="5"/>
      <c r="AF643" s="5"/>
      <c r="AG643" s="5"/>
      <c r="AH643" s="5"/>
      <c r="AI643" s="5"/>
    </row>
    <row r="644" spans="1:35" ht="15.75" customHeight="1">
      <c r="A644" s="5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5"/>
      <c r="T644" s="5"/>
      <c r="U644" s="104"/>
      <c r="V644" s="5"/>
      <c r="W644" s="5"/>
      <c r="X644" s="5"/>
      <c r="Y644" s="5"/>
      <c r="Z644" s="7"/>
      <c r="AA644" s="5"/>
      <c r="AB644" s="5"/>
      <c r="AC644" s="5"/>
      <c r="AD644" s="5"/>
      <c r="AE644" s="5"/>
      <c r="AF644" s="5"/>
      <c r="AG644" s="5"/>
      <c r="AH644" s="5"/>
      <c r="AI644" s="5"/>
    </row>
    <row r="645" spans="1:35" ht="15.75" customHeight="1">
      <c r="A645" s="5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5"/>
      <c r="T645" s="5"/>
      <c r="U645" s="104"/>
      <c r="V645" s="5"/>
      <c r="W645" s="5"/>
      <c r="X645" s="5"/>
      <c r="Y645" s="5"/>
      <c r="Z645" s="7"/>
      <c r="AA645" s="5"/>
      <c r="AB645" s="5"/>
      <c r="AC645" s="5"/>
      <c r="AD645" s="5"/>
      <c r="AE645" s="5"/>
      <c r="AF645" s="5"/>
      <c r="AG645" s="5"/>
      <c r="AH645" s="5"/>
      <c r="AI645" s="5"/>
    </row>
    <row r="646" spans="1:35" ht="15.75" customHeight="1">
      <c r="A646" s="5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5"/>
      <c r="T646" s="5"/>
      <c r="U646" s="104"/>
      <c r="V646" s="5"/>
      <c r="W646" s="5"/>
      <c r="X646" s="5"/>
      <c r="Y646" s="5"/>
      <c r="Z646" s="7"/>
      <c r="AA646" s="5"/>
      <c r="AB646" s="5"/>
      <c r="AC646" s="5"/>
      <c r="AD646" s="5"/>
      <c r="AE646" s="5"/>
      <c r="AF646" s="5"/>
      <c r="AG646" s="5"/>
      <c r="AH646" s="5"/>
      <c r="AI646" s="5"/>
    </row>
    <row r="647" spans="1:35" ht="15.75" customHeight="1">
      <c r="A647" s="5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5"/>
      <c r="T647" s="5"/>
      <c r="U647" s="104"/>
      <c r="V647" s="5"/>
      <c r="W647" s="5"/>
      <c r="X647" s="5"/>
      <c r="Y647" s="5"/>
      <c r="Z647" s="7"/>
      <c r="AA647" s="5"/>
      <c r="AB647" s="5"/>
      <c r="AC647" s="5"/>
      <c r="AD647" s="5"/>
      <c r="AE647" s="5"/>
      <c r="AF647" s="5"/>
      <c r="AG647" s="5"/>
      <c r="AH647" s="5"/>
      <c r="AI647" s="5"/>
    </row>
    <row r="648" spans="1:35" ht="15.75" customHeight="1">
      <c r="A648" s="5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5"/>
      <c r="T648" s="5"/>
      <c r="U648" s="104"/>
      <c r="V648" s="5"/>
      <c r="W648" s="5"/>
      <c r="X648" s="5"/>
      <c r="Y648" s="5"/>
      <c r="Z648" s="7"/>
      <c r="AA648" s="5"/>
      <c r="AB648" s="5"/>
      <c r="AC648" s="5"/>
      <c r="AD648" s="5"/>
      <c r="AE648" s="5"/>
      <c r="AF648" s="5"/>
      <c r="AG648" s="5"/>
      <c r="AH648" s="5"/>
      <c r="AI648" s="5"/>
    </row>
    <row r="649" spans="1:35" ht="15.75" customHeight="1">
      <c r="A649" s="5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5"/>
      <c r="T649" s="5"/>
      <c r="U649" s="104"/>
      <c r="V649" s="5"/>
      <c r="W649" s="5"/>
      <c r="X649" s="5"/>
      <c r="Y649" s="5"/>
      <c r="Z649" s="7"/>
      <c r="AA649" s="5"/>
      <c r="AB649" s="5"/>
      <c r="AC649" s="5"/>
      <c r="AD649" s="5"/>
      <c r="AE649" s="5"/>
      <c r="AF649" s="5"/>
      <c r="AG649" s="5"/>
      <c r="AH649" s="5"/>
      <c r="AI649" s="5"/>
    </row>
    <row r="650" spans="1:35" ht="15.75" customHeight="1">
      <c r="A650" s="5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5"/>
      <c r="T650" s="5"/>
      <c r="U650" s="104"/>
      <c r="V650" s="5"/>
      <c r="W650" s="5"/>
      <c r="X650" s="5"/>
      <c r="Y650" s="5"/>
      <c r="Z650" s="7"/>
      <c r="AA650" s="5"/>
      <c r="AB650" s="5"/>
      <c r="AC650" s="5"/>
      <c r="AD650" s="5"/>
      <c r="AE650" s="5"/>
      <c r="AF650" s="5"/>
      <c r="AG650" s="5"/>
      <c r="AH650" s="5"/>
      <c r="AI650" s="5"/>
    </row>
    <row r="651" spans="1:35" ht="15.75" customHeight="1">
      <c r="A651" s="5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5"/>
      <c r="T651" s="5"/>
      <c r="U651" s="104"/>
      <c r="V651" s="5"/>
      <c r="W651" s="5"/>
      <c r="X651" s="5"/>
      <c r="Y651" s="5"/>
      <c r="Z651" s="7"/>
      <c r="AA651" s="5"/>
      <c r="AB651" s="5"/>
      <c r="AC651" s="5"/>
      <c r="AD651" s="5"/>
      <c r="AE651" s="5"/>
      <c r="AF651" s="5"/>
      <c r="AG651" s="5"/>
      <c r="AH651" s="5"/>
      <c r="AI651" s="5"/>
    </row>
    <row r="652" spans="1:35" ht="15.75" customHeight="1">
      <c r="A652" s="5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5"/>
      <c r="T652" s="5"/>
      <c r="U652" s="104"/>
      <c r="V652" s="5"/>
      <c r="W652" s="5"/>
      <c r="X652" s="5"/>
      <c r="Y652" s="5"/>
      <c r="Z652" s="7"/>
      <c r="AA652" s="5"/>
      <c r="AB652" s="5"/>
      <c r="AC652" s="5"/>
      <c r="AD652" s="5"/>
      <c r="AE652" s="5"/>
      <c r="AF652" s="5"/>
      <c r="AG652" s="5"/>
      <c r="AH652" s="5"/>
      <c r="AI652" s="5"/>
    </row>
    <row r="653" spans="1:35" ht="15.75" customHeight="1">
      <c r="A653" s="5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5"/>
      <c r="T653" s="5"/>
      <c r="U653" s="104"/>
      <c r="V653" s="5"/>
      <c r="W653" s="5"/>
      <c r="X653" s="5"/>
      <c r="Y653" s="5"/>
      <c r="Z653" s="7"/>
      <c r="AA653" s="5"/>
      <c r="AB653" s="5"/>
      <c r="AC653" s="5"/>
      <c r="AD653" s="5"/>
      <c r="AE653" s="5"/>
      <c r="AF653" s="5"/>
      <c r="AG653" s="5"/>
      <c r="AH653" s="5"/>
      <c r="AI653" s="5"/>
    </row>
    <row r="654" spans="1:35" ht="15.75" customHeight="1">
      <c r="A654" s="5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5"/>
      <c r="T654" s="5"/>
      <c r="U654" s="104"/>
      <c r="V654" s="5"/>
      <c r="W654" s="5"/>
      <c r="X654" s="5"/>
      <c r="Y654" s="5"/>
      <c r="Z654" s="7"/>
      <c r="AA654" s="5"/>
      <c r="AB654" s="5"/>
      <c r="AC654" s="5"/>
      <c r="AD654" s="5"/>
      <c r="AE654" s="5"/>
      <c r="AF654" s="5"/>
      <c r="AG654" s="5"/>
      <c r="AH654" s="5"/>
      <c r="AI654" s="5"/>
    </row>
    <row r="655" spans="1:35" ht="15.75" customHeight="1">
      <c r="A655" s="5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5"/>
      <c r="T655" s="5"/>
      <c r="U655" s="104"/>
      <c r="V655" s="5"/>
      <c r="W655" s="5"/>
      <c r="X655" s="5"/>
      <c r="Y655" s="5"/>
      <c r="Z655" s="7"/>
      <c r="AA655" s="5"/>
      <c r="AB655" s="5"/>
      <c r="AC655" s="5"/>
      <c r="AD655" s="5"/>
      <c r="AE655" s="5"/>
      <c r="AF655" s="5"/>
      <c r="AG655" s="5"/>
      <c r="AH655" s="5"/>
      <c r="AI655" s="5"/>
    </row>
    <row r="656" spans="1:35" ht="15.75" customHeight="1">
      <c r="A656" s="5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5"/>
      <c r="T656" s="5"/>
      <c r="U656" s="104"/>
      <c r="V656" s="5"/>
      <c r="W656" s="5"/>
      <c r="X656" s="5"/>
      <c r="Y656" s="5"/>
      <c r="Z656" s="7"/>
      <c r="AA656" s="5"/>
      <c r="AB656" s="5"/>
      <c r="AC656" s="5"/>
      <c r="AD656" s="5"/>
      <c r="AE656" s="5"/>
      <c r="AF656" s="5"/>
      <c r="AG656" s="5"/>
      <c r="AH656" s="5"/>
      <c r="AI656" s="5"/>
    </row>
    <row r="657" spans="1:35" ht="15.75" customHeight="1">
      <c r="A657" s="5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5"/>
      <c r="T657" s="5"/>
      <c r="U657" s="104"/>
      <c r="V657" s="5"/>
      <c r="W657" s="5"/>
      <c r="X657" s="5"/>
      <c r="Y657" s="5"/>
      <c r="Z657" s="7"/>
      <c r="AA657" s="5"/>
      <c r="AB657" s="5"/>
      <c r="AC657" s="5"/>
      <c r="AD657" s="5"/>
      <c r="AE657" s="5"/>
      <c r="AF657" s="5"/>
      <c r="AG657" s="5"/>
      <c r="AH657" s="5"/>
      <c r="AI657" s="5"/>
    </row>
    <row r="658" spans="1:35" ht="15.75" customHeight="1">
      <c r="A658" s="5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5"/>
      <c r="T658" s="5"/>
      <c r="U658" s="104"/>
      <c r="V658" s="5"/>
      <c r="W658" s="5"/>
      <c r="X658" s="5"/>
      <c r="Y658" s="5"/>
      <c r="Z658" s="7"/>
      <c r="AA658" s="5"/>
      <c r="AB658" s="5"/>
      <c r="AC658" s="5"/>
      <c r="AD658" s="5"/>
      <c r="AE658" s="5"/>
      <c r="AF658" s="5"/>
      <c r="AG658" s="5"/>
      <c r="AH658" s="5"/>
      <c r="AI658" s="5"/>
    </row>
    <row r="659" spans="1:35" ht="15.75" customHeight="1">
      <c r="A659" s="5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5"/>
      <c r="T659" s="5"/>
      <c r="U659" s="104"/>
      <c r="V659" s="5"/>
      <c r="W659" s="5"/>
      <c r="X659" s="5"/>
      <c r="Y659" s="5"/>
      <c r="Z659" s="7"/>
      <c r="AA659" s="5"/>
      <c r="AB659" s="5"/>
      <c r="AC659" s="5"/>
      <c r="AD659" s="5"/>
      <c r="AE659" s="5"/>
      <c r="AF659" s="5"/>
      <c r="AG659" s="5"/>
      <c r="AH659" s="5"/>
      <c r="AI659" s="5"/>
    </row>
    <row r="660" spans="1:35" ht="15.75" customHeight="1">
      <c r="A660" s="5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5"/>
      <c r="T660" s="5"/>
      <c r="U660" s="104"/>
      <c r="V660" s="5"/>
      <c r="W660" s="5"/>
      <c r="X660" s="5"/>
      <c r="Y660" s="5"/>
      <c r="Z660" s="7"/>
      <c r="AA660" s="5"/>
      <c r="AB660" s="5"/>
      <c r="AC660" s="5"/>
      <c r="AD660" s="5"/>
      <c r="AE660" s="5"/>
      <c r="AF660" s="5"/>
      <c r="AG660" s="5"/>
      <c r="AH660" s="5"/>
      <c r="AI660" s="5"/>
    </row>
    <row r="661" spans="1:35" ht="15.75" customHeight="1">
      <c r="A661" s="5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5"/>
      <c r="T661" s="5"/>
      <c r="U661" s="104"/>
      <c r="V661" s="5"/>
      <c r="W661" s="5"/>
      <c r="X661" s="5"/>
      <c r="Y661" s="5"/>
      <c r="Z661" s="7"/>
      <c r="AA661" s="5"/>
      <c r="AB661" s="5"/>
      <c r="AC661" s="5"/>
      <c r="AD661" s="5"/>
      <c r="AE661" s="5"/>
      <c r="AF661" s="5"/>
      <c r="AG661" s="5"/>
      <c r="AH661" s="5"/>
      <c r="AI661" s="5"/>
    </row>
    <row r="662" spans="1:35" ht="15.75" customHeight="1">
      <c r="A662" s="5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5"/>
      <c r="T662" s="5"/>
      <c r="U662" s="104"/>
      <c r="V662" s="5"/>
      <c r="W662" s="5"/>
      <c r="X662" s="5"/>
      <c r="Y662" s="5"/>
      <c r="Z662" s="7"/>
      <c r="AA662" s="5"/>
      <c r="AB662" s="5"/>
      <c r="AC662" s="5"/>
      <c r="AD662" s="5"/>
      <c r="AE662" s="5"/>
      <c r="AF662" s="5"/>
      <c r="AG662" s="5"/>
      <c r="AH662" s="5"/>
      <c r="AI662" s="5"/>
    </row>
    <row r="663" spans="1:35" ht="15.75" customHeight="1">
      <c r="A663" s="5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5"/>
      <c r="T663" s="5"/>
      <c r="U663" s="104"/>
      <c r="V663" s="5"/>
      <c r="W663" s="5"/>
      <c r="X663" s="5"/>
      <c r="Y663" s="5"/>
      <c r="Z663" s="7"/>
      <c r="AA663" s="5"/>
      <c r="AB663" s="5"/>
      <c r="AC663" s="5"/>
      <c r="AD663" s="5"/>
      <c r="AE663" s="5"/>
      <c r="AF663" s="5"/>
      <c r="AG663" s="5"/>
      <c r="AH663" s="5"/>
      <c r="AI663" s="5"/>
    </row>
    <row r="664" spans="1:35" ht="15.75" customHeight="1">
      <c r="A664" s="5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5"/>
      <c r="T664" s="5"/>
      <c r="U664" s="104"/>
      <c r="V664" s="5"/>
      <c r="W664" s="5"/>
      <c r="X664" s="5"/>
      <c r="Y664" s="5"/>
      <c r="Z664" s="7"/>
      <c r="AA664" s="5"/>
      <c r="AB664" s="5"/>
      <c r="AC664" s="5"/>
      <c r="AD664" s="5"/>
      <c r="AE664" s="5"/>
      <c r="AF664" s="5"/>
      <c r="AG664" s="5"/>
      <c r="AH664" s="5"/>
      <c r="AI664" s="5"/>
    </row>
    <row r="665" spans="1:35" ht="15.75" customHeight="1">
      <c r="A665" s="5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5"/>
      <c r="T665" s="5"/>
      <c r="U665" s="104"/>
      <c r="V665" s="5"/>
      <c r="W665" s="5"/>
      <c r="X665" s="5"/>
      <c r="Y665" s="5"/>
      <c r="Z665" s="7"/>
      <c r="AA665" s="5"/>
      <c r="AB665" s="5"/>
      <c r="AC665" s="5"/>
      <c r="AD665" s="5"/>
      <c r="AE665" s="5"/>
      <c r="AF665" s="5"/>
      <c r="AG665" s="5"/>
      <c r="AH665" s="5"/>
      <c r="AI665" s="5"/>
    </row>
    <row r="666" spans="1:35" ht="15.75" customHeight="1">
      <c r="A666" s="5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5"/>
      <c r="T666" s="5"/>
      <c r="U666" s="104"/>
      <c r="V666" s="5"/>
      <c r="W666" s="5"/>
      <c r="X666" s="5"/>
      <c r="Y666" s="5"/>
      <c r="Z666" s="7"/>
      <c r="AA666" s="5"/>
      <c r="AB666" s="5"/>
      <c r="AC666" s="5"/>
      <c r="AD666" s="5"/>
      <c r="AE666" s="5"/>
      <c r="AF666" s="5"/>
      <c r="AG666" s="5"/>
      <c r="AH666" s="5"/>
      <c r="AI666" s="5"/>
    </row>
    <row r="667" spans="1:35" ht="15.75" customHeight="1">
      <c r="A667" s="5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5"/>
      <c r="T667" s="5"/>
      <c r="U667" s="104"/>
      <c r="V667" s="5"/>
      <c r="W667" s="5"/>
      <c r="X667" s="5"/>
      <c r="Y667" s="5"/>
      <c r="Z667" s="7"/>
      <c r="AA667" s="5"/>
      <c r="AB667" s="5"/>
      <c r="AC667" s="5"/>
      <c r="AD667" s="5"/>
      <c r="AE667" s="5"/>
      <c r="AF667" s="5"/>
      <c r="AG667" s="5"/>
      <c r="AH667" s="5"/>
      <c r="AI667" s="5"/>
    </row>
    <row r="668" spans="1:35" ht="15.75" customHeight="1">
      <c r="A668" s="5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5"/>
      <c r="T668" s="5"/>
      <c r="U668" s="104"/>
      <c r="V668" s="5"/>
      <c r="W668" s="5"/>
      <c r="X668" s="5"/>
      <c r="Y668" s="5"/>
      <c r="Z668" s="7"/>
      <c r="AA668" s="5"/>
      <c r="AB668" s="5"/>
      <c r="AC668" s="5"/>
      <c r="AD668" s="5"/>
      <c r="AE668" s="5"/>
      <c r="AF668" s="5"/>
      <c r="AG668" s="5"/>
      <c r="AH668" s="5"/>
      <c r="AI668" s="5"/>
    </row>
    <row r="669" spans="1:35" ht="15.75" customHeight="1">
      <c r="A669" s="5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5"/>
      <c r="T669" s="5"/>
      <c r="U669" s="104"/>
      <c r="V669" s="5"/>
      <c r="W669" s="5"/>
      <c r="X669" s="5"/>
      <c r="Y669" s="5"/>
      <c r="Z669" s="7"/>
      <c r="AA669" s="5"/>
      <c r="AB669" s="5"/>
      <c r="AC669" s="5"/>
      <c r="AD669" s="5"/>
      <c r="AE669" s="5"/>
      <c r="AF669" s="5"/>
      <c r="AG669" s="5"/>
      <c r="AH669" s="5"/>
      <c r="AI669" s="5"/>
    </row>
    <row r="670" spans="1:35" ht="15.75" customHeight="1">
      <c r="A670" s="5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5"/>
      <c r="T670" s="5"/>
      <c r="U670" s="104"/>
      <c r="V670" s="5"/>
      <c r="W670" s="5"/>
      <c r="X670" s="5"/>
      <c r="Y670" s="5"/>
      <c r="Z670" s="7"/>
      <c r="AA670" s="5"/>
      <c r="AB670" s="5"/>
      <c r="AC670" s="5"/>
      <c r="AD670" s="5"/>
      <c r="AE670" s="5"/>
      <c r="AF670" s="5"/>
      <c r="AG670" s="5"/>
      <c r="AH670" s="5"/>
      <c r="AI670" s="5"/>
    </row>
    <row r="671" spans="1:35" ht="15.75" customHeight="1">
      <c r="A671" s="5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5"/>
      <c r="T671" s="5"/>
      <c r="U671" s="104"/>
      <c r="V671" s="5"/>
      <c r="W671" s="5"/>
      <c r="X671" s="5"/>
      <c r="Y671" s="5"/>
      <c r="Z671" s="7"/>
      <c r="AA671" s="5"/>
      <c r="AB671" s="5"/>
      <c r="AC671" s="5"/>
      <c r="AD671" s="5"/>
      <c r="AE671" s="5"/>
      <c r="AF671" s="5"/>
      <c r="AG671" s="5"/>
      <c r="AH671" s="5"/>
      <c r="AI671" s="5"/>
    </row>
    <row r="672" spans="1:35" ht="15.75" customHeight="1">
      <c r="A672" s="5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5"/>
      <c r="T672" s="5"/>
      <c r="U672" s="104"/>
      <c r="V672" s="5"/>
      <c r="W672" s="5"/>
      <c r="X672" s="5"/>
      <c r="Y672" s="5"/>
      <c r="Z672" s="7"/>
      <c r="AA672" s="5"/>
      <c r="AB672" s="5"/>
      <c r="AC672" s="5"/>
      <c r="AD672" s="5"/>
      <c r="AE672" s="5"/>
      <c r="AF672" s="5"/>
      <c r="AG672" s="5"/>
      <c r="AH672" s="5"/>
      <c r="AI672" s="5"/>
    </row>
    <row r="673" spans="1:35" ht="15.75" customHeight="1">
      <c r="A673" s="5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5"/>
      <c r="T673" s="5"/>
      <c r="U673" s="104"/>
      <c r="V673" s="5"/>
      <c r="W673" s="5"/>
      <c r="X673" s="5"/>
      <c r="Y673" s="5"/>
      <c r="Z673" s="7"/>
      <c r="AA673" s="5"/>
      <c r="AB673" s="5"/>
      <c r="AC673" s="5"/>
      <c r="AD673" s="5"/>
      <c r="AE673" s="5"/>
      <c r="AF673" s="5"/>
      <c r="AG673" s="5"/>
      <c r="AH673" s="5"/>
      <c r="AI673" s="5"/>
    </row>
    <row r="674" spans="1:35" ht="15.75" customHeight="1">
      <c r="A674" s="5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5"/>
      <c r="T674" s="5"/>
      <c r="U674" s="104"/>
      <c r="V674" s="5"/>
      <c r="W674" s="5"/>
      <c r="X674" s="5"/>
      <c r="Y674" s="5"/>
      <c r="Z674" s="7"/>
      <c r="AA674" s="5"/>
      <c r="AB674" s="5"/>
      <c r="AC674" s="5"/>
      <c r="AD674" s="5"/>
      <c r="AE674" s="5"/>
      <c r="AF674" s="5"/>
      <c r="AG674" s="5"/>
      <c r="AH674" s="5"/>
      <c r="AI674" s="5"/>
    </row>
    <row r="675" spans="1:35" ht="15.75" customHeight="1">
      <c r="A675" s="5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5"/>
      <c r="T675" s="5"/>
      <c r="U675" s="104"/>
      <c r="V675" s="5"/>
      <c r="W675" s="5"/>
      <c r="X675" s="5"/>
      <c r="Y675" s="5"/>
      <c r="Z675" s="7"/>
      <c r="AA675" s="5"/>
      <c r="AB675" s="5"/>
      <c r="AC675" s="5"/>
      <c r="AD675" s="5"/>
      <c r="AE675" s="5"/>
      <c r="AF675" s="5"/>
      <c r="AG675" s="5"/>
      <c r="AH675" s="5"/>
      <c r="AI675" s="5"/>
    </row>
    <row r="676" spans="1:35" ht="15.75" customHeight="1">
      <c r="A676" s="5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5"/>
      <c r="T676" s="5"/>
      <c r="U676" s="104"/>
      <c r="V676" s="5"/>
      <c r="W676" s="5"/>
      <c r="X676" s="5"/>
      <c r="Y676" s="5"/>
      <c r="Z676" s="7"/>
      <c r="AA676" s="5"/>
      <c r="AB676" s="5"/>
      <c r="AC676" s="5"/>
      <c r="AD676" s="5"/>
      <c r="AE676" s="5"/>
      <c r="AF676" s="5"/>
      <c r="AG676" s="5"/>
      <c r="AH676" s="5"/>
      <c r="AI676" s="5"/>
    </row>
    <row r="677" spans="1:35" ht="15.75" customHeight="1">
      <c r="A677" s="5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5"/>
      <c r="T677" s="5"/>
      <c r="U677" s="104"/>
      <c r="V677" s="5"/>
      <c r="W677" s="5"/>
      <c r="X677" s="5"/>
      <c r="Y677" s="5"/>
      <c r="Z677" s="7"/>
      <c r="AA677" s="5"/>
      <c r="AB677" s="5"/>
      <c r="AC677" s="5"/>
      <c r="AD677" s="5"/>
      <c r="AE677" s="5"/>
      <c r="AF677" s="5"/>
      <c r="AG677" s="5"/>
      <c r="AH677" s="5"/>
      <c r="AI677" s="5"/>
    </row>
    <row r="678" spans="1:35" ht="15.75" customHeight="1">
      <c r="A678" s="5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5"/>
      <c r="T678" s="5"/>
      <c r="U678" s="104"/>
      <c r="V678" s="5"/>
      <c r="W678" s="5"/>
      <c r="X678" s="5"/>
      <c r="Y678" s="5"/>
      <c r="Z678" s="7"/>
      <c r="AA678" s="5"/>
      <c r="AB678" s="5"/>
      <c r="AC678" s="5"/>
      <c r="AD678" s="5"/>
      <c r="AE678" s="5"/>
      <c r="AF678" s="5"/>
      <c r="AG678" s="5"/>
      <c r="AH678" s="5"/>
      <c r="AI678" s="5"/>
    </row>
    <row r="679" spans="1:35" ht="15.75" customHeight="1">
      <c r="A679" s="5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5"/>
      <c r="T679" s="5"/>
      <c r="U679" s="104"/>
      <c r="V679" s="5"/>
      <c r="W679" s="5"/>
      <c r="X679" s="5"/>
      <c r="Y679" s="5"/>
      <c r="Z679" s="7"/>
      <c r="AA679" s="5"/>
      <c r="AB679" s="5"/>
      <c r="AC679" s="5"/>
      <c r="AD679" s="5"/>
      <c r="AE679" s="5"/>
      <c r="AF679" s="5"/>
      <c r="AG679" s="5"/>
      <c r="AH679" s="5"/>
      <c r="AI679" s="5"/>
    </row>
    <row r="680" spans="1:35" ht="15.75" customHeight="1">
      <c r="A680" s="5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5"/>
      <c r="T680" s="5"/>
      <c r="U680" s="104"/>
      <c r="V680" s="5"/>
      <c r="W680" s="5"/>
      <c r="X680" s="5"/>
      <c r="Y680" s="5"/>
      <c r="Z680" s="7"/>
      <c r="AA680" s="5"/>
      <c r="AB680" s="5"/>
      <c r="AC680" s="5"/>
      <c r="AD680" s="5"/>
      <c r="AE680" s="5"/>
      <c r="AF680" s="5"/>
      <c r="AG680" s="5"/>
      <c r="AH680" s="5"/>
      <c r="AI680" s="5"/>
    </row>
    <row r="681" spans="1:35" ht="15.75" customHeight="1">
      <c r="A681" s="5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5"/>
      <c r="T681" s="5"/>
      <c r="U681" s="104"/>
      <c r="V681" s="5"/>
      <c r="W681" s="5"/>
      <c r="X681" s="5"/>
      <c r="Y681" s="5"/>
      <c r="Z681" s="7"/>
      <c r="AA681" s="5"/>
      <c r="AB681" s="5"/>
      <c r="AC681" s="5"/>
      <c r="AD681" s="5"/>
      <c r="AE681" s="5"/>
      <c r="AF681" s="5"/>
      <c r="AG681" s="5"/>
      <c r="AH681" s="5"/>
      <c r="AI681" s="5"/>
    </row>
    <row r="682" spans="1:35" ht="15.75" customHeight="1">
      <c r="A682" s="5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5"/>
      <c r="T682" s="5"/>
      <c r="U682" s="104"/>
      <c r="V682" s="5"/>
      <c r="W682" s="5"/>
      <c r="X682" s="5"/>
      <c r="Y682" s="5"/>
      <c r="Z682" s="7"/>
      <c r="AA682" s="5"/>
      <c r="AB682" s="5"/>
      <c r="AC682" s="5"/>
      <c r="AD682" s="5"/>
      <c r="AE682" s="5"/>
      <c r="AF682" s="5"/>
      <c r="AG682" s="5"/>
      <c r="AH682" s="5"/>
      <c r="AI682" s="5"/>
    </row>
    <row r="683" spans="1:35" ht="15.75" customHeight="1">
      <c r="A683" s="5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5"/>
      <c r="T683" s="5"/>
      <c r="U683" s="104"/>
      <c r="V683" s="5"/>
      <c r="W683" s="5"/>
      <c r="X683" s="5"/>
      <c r="Y683" s="5"/>
      <c r="Z683" s="7"/>
      <c r="AA683" s="5"/>
      <c r="AB683" s="5"/>
      <c r="AC683" s="5"/>
      <c r="AD683" s="5"/>
      <c r="AE683" s="5"/>
      <c r="AF683" s="5"/>
      <c r="AG683" s="5"/>
      <c r="AH683" s="5"/>
      <c r="AI683" s="5"/>
    </row>
    <row r="684" spans="1:35" ht="15.75" customHeight="1">
      <c r="A684" s="5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5"/>
      <c r="T684" s="5"/>
      <c r="U684" s="104"/>
      <c r="V684" s="5"/>
      <c r="W684" s="5"/>
      <c r="X684" s="5"/>
      <c r="Y684" s="5"/>
      <c r="Z684" s="7"/>
      <c r="AA684" s="5"/>
      <c r="AB684" s="5"/>
      <c r="AC684" s="5"/>
      <c r="AD684" s="5"/>
      <c r="AE684" s="5"/>
      <c r="AF684" s="5"/>
      <c r="AG684" s="5"/>
      <c r="AH684" s="5"/>
      <c r="AI684" s="5"/>
    </row>
    <row r="685" spans="1:35" ht="15.75" customHeight="1">
      <c r="A685" s="5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5"/>
      <c r="T685" s="5"/>
      <c r="U685" s="104"/>
      <c r="V685" s="5"/>
      <c r="W685" s="5"/>
      <c r="X685" s="5"/>
      <c r="Y685" s="5"/>
      <c r="Z685" s="7"/>
      <c r="AA685" s="5"/>
      <c r="AB685" s="5"/>
      <c r="AC685" s="5"/>
      <c r="AD685" s="5"/>
      <c r="AE685" s="5"/>
      <c r="AF685" s="5"/>
      <c r="AG685" s="5"/>
      <c r="AH685" s="5"/>
      <c r="AI685" s="5"/>
    </row>
    <row r="686" spans="1:35" ht="15.75" customHeight="1">
      <c r="A686" s="5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5"/>
      <c r="T686" s="5"/>
      <c r="U686" s="104"/>
      <c r="V686" s="5"/>
      <c r="W686" s="5"/>
      <c r="X686" s="5"/>
      <c r="Y686" s="5"/>
      <c r="Z686" s="7"/>
      <c r="AA686" s="5"/>
      <c r="AB686" s="5"/>
      <c r="AC686" s="5"/>
      <c r="AD686" s="5"/>
      <c r="AE686" s="5"/>
      <c r="AF686" s="5"/>
      <c r="AG686" s="5"/>
      <c r="AH686" s="5"/>
      <c r="AI686" s="5"/>
    </row>
    <row r="687" spans="1:35" ht="15.75" customHeight="1">
      <c r="A687" s="5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5"/>
      <c r="T687" s="5"/>
      <c r="U687" s="104"/>
      <c r="V687" s="5"/>
      <c r="W687" s="5"/>
      <c r="X687" s="5"/>
      <c r="Y687" s="5"/>
      <c r="Z687" s="7"/>
      <c r="AA687" s="5"/>
      <c r="AB687" s="5"/>
      <c r="AC687" s="5"/>
      <c r="AD687" s="5"/>
      <c r="AE687" s="5"/>
      <c r="AF687" s="5"/>
      <c r="AG687" s="5"/>
      <c r="AH687" s="5"/>
      <c r="AI687" s="5"/>
    </row>
    <row r="688" spans="1:35" ht="15.75" customHeight="1">
      <c r="A688" s="5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5"/>
      <c r="T688" s="5"/>
      <c r="U688" s="104"/>
      <c r="V688" s="5"/>
      <c r="W688" s="5"/>
      <c r="X688" s="5"/>
      <c r="Y688" s="5"/>
      <c r="Z688" s="7"/>
      <c r="AA688" s="5"/>
      <c r="AB688" s="5"/>
      <c r="AC688" s="5"/>
      <c r="AD688" s="5"/>
      <c r="AE688" s="5"/>
      <c r="AF688" s="5"/>
      <c r="AG688" s="5"/>
      <c r="AH688" s="5"/>
      <c r="AI688" s="5"/>
    </row>
    <row r="689" spans="1:35" ht="15.75" customHeight="1">
      <c r="A689" s="5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5"/>
      <c r="T689" s="5"/>
      <c r="U689" s="104"/>
      <c r="V689" s="5"/>
      <c r="W689" s="5"/>
      <c r="X689" s="5"/>
      <c r="Y689" s="5"/>
      <c r="Z689" s="7"/>
      <c r="AA689" s="5"/>
      <c r="AB689" s="5"/>
      <c r="AC689" s="5"/>
      <c r="AD689" s="5"/>
      <c r="AE689" s="5"/>
      <c r="AF689" s="5"/>
      <c r="AG689" s="5"/>
      <c r="AH689" s="5"/>
      <c r="AI689" s="5"/>
    </row>
    <row r="690" spans="1:35" ht="15.75" customHeight="1">
      <c r="A690" s="5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5"/>
      <c r="T690" s="5"/>
      <c r="U690" s="104"/>
      <c r="V690" s="5"/>
      <c r="W690" s="5"/>
      <c r="X690" s="5"/>
      <c r="Y690" s="5"/>
      <c r="Z690" s="7"/>
      <c r="AA690" s="5"/>
      <c r="AB690" s="5"/>
      <c r="AC690" s="5"/>
      <c r="AD690" s="5"/>
      <c r="AE690" s="5"/>
      <c r="AF690" s="5"/>
      <c r="AG690" s="5"/>
      <c r="AH690" s="5"/>
      <c r="AI690" s="5"/>
    </row>
    <row r="691" spans="1:35" ht="15.75" customHeight="1">
      <c r="A691" s="5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5"/>
      <c r="T691" s="5"/>
      <c r="U691" s="104"/>
      <c r="V691" s="5"/>
      <c r="W691" s="5"/>
      <c r="X691" s="5"/>
      <c r="Y691" s="5"/>
      <c r="Z691" s="7"/>
      <c r="AA691" s="5"/>
      <c r="AB691" s="5"/>
      <c r="AC691" s="5"/>
      <c r="AD691" s="5"/>
      <c r="AE691" s="5"/>
      <c r="AF691" s="5"/>
      <c r="AG691" s="5"/>
      <c r="AH691" s="5"/>
      <c r="AI691" s="5"/>
    </row>
    <row r="692" spans="1:35" ht="15.75" customHeight="1">
      <c r="A692" s="5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5"/>
      <c r="T692" s="5"/>
      <c r="U692" s="104"/>
      <c r="V692" s="5"/>
      <c r="W692" s="5"/>
      <c r="X692" s="5"/>
      <c r="Y692" s="5"/>
      <c r="Z692" s="7"/>
      <c r="AA692" s="5"/>
      <c r="AB692" s="5"/>
      <c r="AC692" s="5"/>
      <c r="AD692" s="5"/>
      <c r="AE692" s="5"/>
      <c r="AF692" s="5"/>
      <c r="AG692" s="5"/>
      <c r="AH692" s="5"/>
      <c r="AI692" s="5"/>
    </row>
    <row r="693" spans="1:35" ht="15.75" customHeight="1">
      <c r="A693" s="5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5"/>
      <c r="T693" s="5"/>
      <c r="U693" s="104"/>
      <c r="V693" s="5"/>
      <c r="W693" s="5"/>
      <c r="X693" s="5"/>
      <c r="Y693" s="5"/>
      <c r="Z693" s="7"/>
      <c r="AA693" s="5"/>
      <c r="AB693" s="5"/>
      <c r="AC693" s="5"/>
      <c r="AD693" s="5"/>
      <c r="AE693" s="5"/>
      <c r="AF693" s="5"/>
      <c r="AG693" s="5"/>
      <c r="AH693" s="5"/>
      <c r="AI693" s="5"/>
    </row>
    <row r="694" spans="1:35" ht="15.75" customHeight="1">
      <c r="A694" s="5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5"/>
      <c r="T694" s="5"/>
      <c r="U694" s="104"/>
      <c r="V694" s="5"/>
      <c r="W694" s="5"/>
      <c r="X694" s="5"/>
      <c r="Y694" s="5"/>
      <c r="Z694" s="7"/>
      <c r="AA694" s="5"/>
      <c r="AB694" s="5"/>
      <c r="AC694" s="5"/>
      <c r="AD694" s="5"/>
      <c r="AE694" s="5"/>
      <c r="AF694" s="5"/>
      <c r="AG694" s="5"/>
      <c r="AH694" s="5"/>
      <c r="AI694" s="5"/>
    </row>
    <row r="695" spans="1:35" ht="15.75" customHeight="1">
      <c r="A695" s="5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5"/>
      <c r="T695" s="5"/>
      <c r="U695" s="104"/>
      <c r="V695" s="5"/>
      <c r="W695" s="5"/>
      <c r="X695" s="5"/>
      <c r="Y695" s="5"/>
      <c r="Z695" s="7"/>
      <c r="AA695" s="5"/>
      <c r="AB695" s="5"/>
      <c r="AC695" s="5"/>
      <c r="AD695" s="5"/>
      <c r="AE695" s="5"/>
      <c r="AF695" s="5"/>
      <c r="AG695" s="5"/>
      <c r="AH695" s="5"/>
      <c r="AI695" s="5"/>
    </row>
    <row r="696" spans="1:35" ht="15.75" customHeight="1">
      <c r="A696" s="5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5"/>
      <c r="T696" s="5"/>
      <c r="U696" s="104"/>
      <c r="V696" s="5"/>
      <c r="W696" s="5"/>
      <c r="X696" s="5"/>
      <c r="Y696" s="5"/>
      <c r="Z696" s="7"/>
      <c r="AA696" s="5"/>
      <c r="AB696" s="5"/>
      <c r="AC696" s="5"/>
      <c r="AD696" s="5"/>
      <c r="AE696" s="5"/>
      <c r="AF696" s="5"/>
      <c r="AG696" s="5"/>
      <c r="AH696" s="5"/>
      <c r="AI696" s="5"/>
    </row>
    <row r="697" spans="1:35" ht="15.75" customHeight="1">
      <c r="A697" s="5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5"/>
      <c r="T697" s="5"/>
      <c r="U697" s="104"/>
      <c r="V697" s="5"/>
      <c r="W697" s="5"/>
      <c r="X697" s="5"/>
      <c r="Y697" s="5"/>
      <c r="Z697" s="7"/>
      <c r="AA697" s="5"/>
      <c r="AB697" s="5"/>
      <c r="AC697" s="5"/>
      <c r="AD697" s="5"/>
      <c r="AE697" s="5"/>
      <c r="AF697" s="5"/>
      <c r="AG697" s="5"/>
      <c r="AH697" s="5"/>
      <c r="AI697" s="5"/>
    </row>
    <row r="698" spans="1:35" ht="15.75" customHeight="1">
      <c r="A698" s="5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5"/>
      <c r="T698" s="5"/>
      <c r="U698" s="104"/>
      <c r="V698" s="5"/>
      <c r="W698" s="5"/>
      <c r="X698" s="5"/>
      <c r="Y698" s="5"/>
      <c r="Z698" s="7"/>
      <c r="AA698" s="5"/>
      <c r="AB698" s="5"/>
      <c r="AC698" s="5"/>
      <c r="AD698" s="5"/>
      <c r="AE698" s="5"/>
      <c r="AF698" s="5"/>
      <c r="AG698" s="5"/>
      <c r="AH698" s="5"/>
      <c r="AI698" s="5"/>
    </row>
    <row r="699" spans="1:35" ht="15.75" customHeight="1">
      <c r="A699" s="5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5"/>
      <c r="T699" s="5"/>
      <c r="U699" s="104"/>
      <c r="V699" s="5"/>
      <c r="W699" s="5"/>
      <c r="X699" s="5"/>
      <c r="Y699" s="5"/>
      <c r="Z699" s="7"/>
      <c r="AA699" s="5"/>
      <c r="AB699" s="5"/>
      <c r="AC699" s="5"/>
      <c r="AD699" s="5"/>
      <c r="AE699" s="5"/>
      <c r="AF699" s="5"/>
      <c r="AG699" s="5"/>
      <c r="AH699" s="5"/>
      <c r="AI699" s="5"/>
    </row>
    <row r="700" spans="1:35" ht="15.75" customHeight="1">
      <c r="A700" s="5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5"/>
      <c r="T700" s="5"/>
      <c r="U700" s="104"/>
      <c r="V700" s="5"/>
      <c r="W700" s="5"/>
      <c r="X700" s="5"/>
      <c r="Y700" s="5"/>
      <c r="Z700" s="7"/>
      <c r="AA700" s="5"/>
      <c r="AB700" s="5"/>
      <c r="AC700" s="5"/>
      <c r="AD700" s="5"/>
      <c r="AE700" s="5"/>
      <c r="AF700" s="5"/>
      <c r="AG700" s="5"/>
      <c r="AH700" s="5"/>
      <c r="AI700" s="5"/>
    </row>
    <row r="701" spans="1:35" ht="15.75" customHeight="1">
      <c r="A701" s="5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5"/>
      <c r="T701" s="5"/>
      <c r="U701" s="104"/>
      <c r="V701" s="5"/>
      <c r="W701" s="5"/>
      <c r="X701" s="5"/>
      <c r="Y701" s="5"/>
      <c r="Z701" s="7"/>
      <c r="AA701" s="5"/>
      <c r="AB701" s="5"/>
      <c r="AC701" s="5"/>
      <c r="AD701" s="5"/>
      <c r="AE701" s="5"/>
      <c r="AF701" s="5"/>
      <c r="AG701" s="5"/>
      <c r="AH701" s="5"/>
      <c r="AI701" s="5"/>
    </row>
    <row r="702" spans="1:35" ht="15.75" customHeight="1">
      <c r="A702" s="5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5"/>
      <c r="T702" s="5"/>
      <c r="U702" s="104"/>
      <c r="V702" s="5"/>
      <c r="W702" s="5"/>
      <c r="X702" s="5"/>
      <c r="Y702" s="5"/>
      <c r="Z702" s="7"/>
      <c r="AA702" s="5"/>
      <c r="AB702" s="5"/>
      <c r="AC702" s="5"/>
      <c r="AD702" s="5"/>
      <c r="AE702" s="5"/>
      <c r="AF702" s="5"/>
      <c r="AG702" s="5"/>
      <c r="AH702" s="5"/>
      <c r="AI702" s="5"/>
    </row>
    <row r="703" spans="1:35" ht="15.75" customHeight="1">
      <c r="A703" s="5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5"/>
      <c r="T703" s="5"/>
      <c r="U703" s="104"/>
      <c r="V703" s="5"/>
      <c r="W703" s="5"/>
      <c r="X703" s="5"/>
      <c r="Y703" s="5"/>
      <c r="Z703" s="7"/>
      <c r="AA703" s="5"/>
      <c r="AB703" s="5"/>
      <c r="AC703" s="5"/>
      <c r="AD703" s="5"/>
      <c r="AE703" s="5"/>
      <c r="AF703" s="5"/>
      <c r="AG703" s="5"/>
      <c r="AH703" s="5"/>
      <c r="AI703" s="5"/>
    </row>
    <row r="704" spans="1:35" ht="15.75" customHeight="1">
      <c r="A704" s="5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5"/>
      <c r="T704" s="5"/>
      <c r="U704" s="104"/>
      <c r="V704" s="5"/>
      <c r="W704" s="5"/>
      <c r="X704" s="5"/>
      <c r="Y704" s="5"/>
      <c r="Z704" s="7"/>
      <c r="AA704" s="5"/>
      <c r="AB704" s="5"/>
      <c r="AC704" s="5"/>
      <c r="AD704" s="5"/>
      <c r="AE704" s="5"/>
      <c r="AF704" s="5"/>
      <c r="AG704" s="5"/>
      <c r="AH704" s="5"/>
      <c r="AI704" s="5"/>
    </row>
    <row r="705" spans="1:35" ht="15.75" customHeight="1">
      <c r="A705" s="5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5"/>
      <c r="T705" s="5"/>
      <c r="U705" s="104"/>
      <c r="V705" s="5"/>
      <c r="W705" s="5"/>
      <c r="X705" s="5"/>
      <c r="Y705" s="5"/>
      <c r="Z705" s="7"/>
      <c r="AA705" s="5"/>
      <c r="AB705" s="5"/>
      <c r="AC705" s="5"/>
      <c r="AD705" s="5"/>
      <c r="AE705" s="5"/>
      <c r="AF705" s="5"/>
      <c r="AG705" s="5"/>
      <c r="AH705" s="5"/>
      <c r="AI705" s="5"/>
    </row>
    <row r="706" spans="1:35" ht="15.75" customHeight="1">
      <c r="A706" s="5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5"/>
      <c r="T706" s="5"/>
      <c r="U706" s="104"/>
      <c r="V706" s="5"/>
      <c r="W706" s="5"/>
      <c r="X706" s="5"/>
      <c r="Y706" s="5"/>
      <c r="Z706" s="7"/>
      <c r="AA706" s="5"/>
      <c r="AB706" s="5"/>
      <c r="AC706" s="5"/>
      <c r="AD706" s="5"/>
      <c r="AE706" s="5"/>
      <c r="AF706" s="5"/>
      <c r="AG706" s="5"/>
      <c r="AH706" s="5"/>
      <c r="AI706" s="5"/>
    </row>
    <row r="707" spans="1:35" ht="15.75" customHeight="1">
      <c r="A707" s="5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5"/>
      <c r="T707" s="5"/>
      <c r="U707" s="104"/>
      <c r="V707" s="5"/>
      <c r="W707" s="5"/>
      <c r="X707" s="5"/>
      <c r="Y707" s="5"/>
      <c r="Z707" s="7"/>
      <c r="AA707" s="5"/>
      <c r="AB707" s="5"/>
      <c r="AC707" s="5"/>
      <c r="AD707" s="5"/>
      <c r="AE707" s="5"/>
      <c r="AF707" s="5"/>
      <c r="AG707" s="5"/>
      <c r="AH707" s="5"/>
      <c r="AI707" s="5"/>
    </row>
    <row r="708" spans="1:35" ht="15.75" customHeight="1">
      <c r="A708" s="5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5"/>
      <c r="T708" s="5"/>
      <c r="U708" s="104"/>
      <c r="V708" s="5"/>
      <c r="W708" s="5"/>
      <c r="X708" s="5"/>
      <c r="Y708" s="5"/>
      <c r="Z708" s="7"/>
      <c r="AA708" s="5"/>
      <c r="AB708" s="5"/>
      <c r="AC708" s="5"/>
      <c r="AD708" s="5"/>
      <c r="AE708" s="5"/>
      <c r="AF708" s="5"/>
      <c r="AG708" s="5"/>
      <c r="AH708" s="5"/>
      <c r="AI708" s="5"/>
    </row>
    <row r="709" spans="1:35" ht="15.75" customHeight="1">
      <c r="A709" s="5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5"/>
      <c r="T709" s="5"/>
      <c r="U709" s="104"/>
      <c r="V709" s="5"/>
      <c r="W709" s="5"/>
      <c r="X709" s="5"/>
      <c r="Y709" s="5"/>
      <c r="Z709" s="7"/>
      <c r="AA709" s="5"/>
      <c r="AB709" s="5"/>
      <c r="AC709" s="5"/>
      <c r="AD709" s="5"/>
      <c r="AE709" s="5"/>
      <c r="AF709" s="5"/>
      <c r="AG709" s="5"/>
      <c r="AH709" s="5"/>
      <c r="AI709" s="5"/>
    </row>
    <row r="710" spans="1:35" ht="15.75" customHeight="1">
      <c r="A710" s="5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5"/>
      <c r="T710" s="5"/>
      <c r="U710" s="104"/>
      <c r="V710" s="5"/>
      <c r="W710" s="5"/>
      <c r="X710" s="5"/>
      <c r="Y710" s="5"/>
      <c r="Z710" s="7"/>
      <c r="AA710" s="5"/>
      <c r="AB710" s="5"/>
      <c r="AC710" s="5"/>
      <c r="AD710" s="5"/>
      <c r="AE710" s="5"/>
      <c r="AF710" s="5"/>
      <c r="AG710" s="5"/>
      <c r="AH710" s="5"/>
      <c r="AI710" s="5"/>
    </row>
    <row r="711" spans="1:35" ht="15.75" customHeight="1">
      <c r="A711" s="5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5"/>
      <c r="T711" s="5"/>
      <c r="U711" s="104"/>
      <c r="V711" s="5"/>
      <c r="W711" s="5"/>
      <c r="X711" s="5"/>
      <c r="Y711" s="5"/>
      <c r="Z711" s="7"/>
      <c r="AA711" s="5"/>
      <c r="AB711" s="5"/>
      <c r="AC711" s="5"/>
      <c r="AD711" s="5"/>
      <c r="AE711" s="5"/>
      <c r="AF711" s="5"/>
      <c r="AG711" s="5"/>
      <c r="AH711" s="5"/>
      <c r="AI711" s="5"/>
    </row>
    <row r="712" spans="1:35" ht="15.75" customHeight="1">
      <c r="A712" s="5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5"/>
      <c r="T712" s="5"/>
      <c r="U712" s="104"/>
      <c r="V712" s="5"/>
      <c r="W712" s="5"/>
      <c r="X712" s="5"/>
      <c r="Y712" s="5"/>
      <c r="Z712" s="7"/>
      <c r="AA712" s="5"/>
      <c r="AB712" s="5"/>
      <c r="AC712" s="5"/>
      <c r="AD712" s="5"/>
      <c r="AE712" s="5"/>
      <c r="AF712" s="5"/>
      <c r="AG712" s="5"/>
      <c r="AH712" s="5"/>
      <c r="AI712" s="5"/>
    </row>
    <row r="713" spans="1:35" ht="15.75" customHeight="1">
      <c r="A713" s="5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5"/>
      <c r="T713" s="5"/>
      <c r="U713" s="104"/>
      <c r="V713" s="5"/>
      <c r="W713" s="5"/>
      <c r="X713" s="5"/>
      <c r="Y713" s="5"/>
      <c r="Z713" s="7"/>
      <c r="AA713" s="5"/>
      <c r="AB713" s="5"/>
      <c r="AC713" s="5"/>
      <c r="AD713" s="5"/>
      <c r="AE713" s="5"/>
      <c r="AF713" s="5"/>
      <c r="AG713" s="5"/>
      <c r="AH713" s="5"/>
      <c r="AI713" s="5"/>
    </row>
    <row r="714" spans="1:35" ht="15.75" customHeight="1">
      <c r="A714" s="5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5"/>
      <c r="T714" s="5"/>
      <c r="U714" s="104"/>
      <c r="V714" s="5"/>
      <c r="W714" s="5"/>
      <c r="X714" s="5"/>
      <c r="Y714" s="5"/>
      <c r="Z714" s="7"/>
      <c r="AA714" s="5"/>
      <c r="AB714" s="5"/>
      <c r="AC714" s="5"/>
      <c r="AD714" s="5"/>
      <c r="AE714" s="5"/>
      <c r="AF714" s="5"/>
      <c r="AG714" s="5"/>
      <c r="AH714" s="5"/>
      <c r="AI714" s="5"/>
    </row>
    <row r="715" spans="1:35" ht="15.75" customHeight="1">
      <c r="A715" s="5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5"/>
      <c r="T715" s="5"/>
      <c r="U715" s="104"/>
      <c r="V715" s="5"/>
      <c r="W715" s="5"/>
      <c r="X715" s="5"/>
      <c r="Y715" s="5"/>
      <c r="Z715" s="7"/>
      <c r="AA715" s="5"/>
      <c r="AB715" s="5"/>
      <c r="AC715" s="5"/>
      <c r="AD715" s="5"/>
      <c r="AE715" s="5"/>
      <c r="AF715" s="5"/>
      <c r="AG715" s="5"/>
      <c r="AH715" s="5"/>
      <c r="AI715" s="5"/>
    </row>
    <row r="716" spans="1:35" ht="15.75" customHeight="1">
      <c r="A716" s="5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5"/>
      <c r="T716" s="5"/>
      <c r="U716" s="104"/>
      <c r="V716" s="5"/>
      <c r="W716" s="5"/>
      <c r="X716" s="5"/>
      <c r="Y716" s="5"/>
      <c r="Z716" s="7"/>
      <c r="AA716" s="5"/>
      <c r="AB716" s="5"/>
      <c r="AC716" s="5"/>
      <c r="AD716" s="5"/>
      <c r="AE716" s="5"/>
      <c r="AF716" s="5"/>
      <c r="AG716" s="5"/>
      <c r="AH716" s="5"/>
      <c r="AI716" s="5"/>
    </row>
    <row r="717" spans="1:35" ht="15.75" customHeight="1">
      <c r="A717" s="5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5"/>
      <c r="T717" s="5"/>
      <c r="U717" s="104"/>
      <c r="V717" s="5"/>
      <c r="W717" s="5"/>
      <c r="X717" s="5"/>
      <c r="Y717" s="5"/>
      <c r="Z717" s="7"/>
      <c r="AA717" s="5"/>
      <c r="AB717" s="5"/>
      <c r="AC717" s="5"/>
      <c r="AD717" s="5"/>
      <c r="AE717" s="5"/>
      <c r="AF717" s="5"/>
      <c r="AG717" s="5"/>
      <c r="AH717" s="5"/>
      <c r="AI717" s="5"/>
    </row>
    <row r="718" spans="1:35" ht="15.75" customHeight="1">
      <c r="A718" s="5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5"/>
      <c r="T718" s="5"/>
      <c r="U718" s="104"/>
      <c r="V718" s="5"/>
      <c r="W718" s="5"/>
      <c r="X718" s="5"/>
      <c r="Y718" s="5"/>
      <c r="Z718" s="7"/>
      <c r="AA718" s="5"/>
      <c r="AB718" s="5"/>
      <c r="AC718" s="5"/>
      <c r="AD718" s="5"/>
      <c r="AE718" s="5"/>
      <c r="AF718" s="5"/>
      <c r="AG718" s="5"/>
      <c r="AH718" s="5"/>
      <c r="AI718" s="5"/>
    </row>
    <row r="719" spans="1:35" ht="15.75" customHeight="1">
      <c r="A719" s="5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5"/>
      <c r="T719" s="5"/>
      <c r="U719" s="104"/>
      <c r="V719" s="5"/>
      <c r="W719" s="5"/>
      <c r="X719" s="5"/>
      <c r="Y719" s="5"/>
      <c r="Z719" s="7"/>
      <c r="AA719" s="5"/>
      <c r="AB719" s="5"/>
      <c r="AC719" s="5"/>
      <c r="AD719" s="5"/>
      <c r="AE719" s="5"/>
      <c r="AF719" s="5"/>
      <c r="AG719" s="5"/>
      <c r="AH719" s="5"/>
      <c r="AI719" s="5"/>
    </row>
    <row r="720" spans="1:35" ht="15.75" customHeight="1">
      <c r="A720" s="5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5"/>
      <c r="T720" s="5"/>
      <c r="U720" s="104"/>
      <c r="V720" s="5"/>
      <c r="W720" s="5"/>
      <c r="X720" s="5"/>
      <c r="Y720" s="5"/>
      <c r="Z720" s="7"/>
      <c r="AA720" s="5"/>
      <c r="AB720" s="5"/>
      <c r="AC720" s="5"/>
      <c r="AD720" s="5"/>
      <c r="AE720" s="5"/>
      <c r="AF720" s="5"/>
      <c r="AG720" s="5"/>
      <c r="AH720" s="5"/>
      <c r="AI720" s="5"/>
    </row>
    <row r="721" spans="1:35" ht="15.75" customHeight="1">
      <c r="A721" s="5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5"/>
      <c r="T721" s="5"/>
      <c r="U721" s="104"/>
      <c r="V721" s="5"/>
      <c r="W721" s="5"/>
      <c r="X721" s="5"/>
      <c r="Y721" s="5"/>
      <c r="Z721" s="7"/>
      <c r="AA721" s="5"/>
      <c r="AB721" s="5"/>
      <c r="AC721" s="5"/>
      <c r="AD721" s="5"/>
      <c r="AE721" s="5"/>
      <c r="AF721" s="5"/>
      <c r="AG721" s="5"/>
      <c r="AH721" s="5"/>
      <c r="AI721" s="5"/>
    </row>
    <row r="722" spans="1:35" ht="15.75" customHeight="1">
      <c r="A722" s="5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5"/>
      <c r="T722" s="5"/>
      <c r="U722" s="104"/>
      <c r="V722" s="5"/>
      <c r="W722" s="5"/>
      <c r="X722" s="5"/>
      <c r="Y722" s="5"/>
      <c r="Z722" s="7"/>
      <c r="AA722" s="5"/>
      <c r="AB722" s="5"/>
      <c r="AC722" s="5"/>
      <c r="AD722" s="5"/>
      <c r="AE722" s="5"/>
      <c r="AF722" s="5"/>
      <c r="AG722" s="5"/>
      <c r="AH722" s="5"/>
      <c r="AI722" s="5"/>
    </row>
    <row r="723" spans="1:35" ht="15.75" customHeight="1">
      <c r="A723" s="5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5"/>
      <c r="T723" s="5"/>
      <c r="U723" s="104"/>
      <c r="V723" s="5"/>
      <c r="W723" s="5"/>
      <c r="X723" s="5"/>
      <c r="Y723" s="5"/>
      <c r="Z723" s="7"/>
      <c r="AA723" s="5"/>
      <c r="AB723" s="5"/>
      <c r="AC723" s="5"/>
      <c r="AD723" s="5"/>
      <c r="AE723" s="5"/>
      <c r="AF723" s="5"/>
      <c r="AG723" s="5"/>
      <c r="AH723" s="5"/>
      <c r="AI723" s="5"/>
    </row>
    <row r="724" spans="1:35" ht="15.75" customHeight="1">
      <c r="A724" s="5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5"/>
      <c r="T724" s="5"/>
      <c r="U724" s="104"/>
      <c r="V724" s="5"/>
      <c r="W724" s="5"/>
      <c r="X724" s="5"/>
      <c r="Y724" s="5"/>
      <c r="Z724" s="7"/>
      <c r="AA724" s="5"/>
      <c r="AB724" s="5"/>
      <c r="AC724" s="5"/>
      <c r="AD724" s="5"/>
      <c r="AE724" s="5"/>
      <c r="AF724" s="5"/>
      <c r="AG724" s="5"/>
      <c r="AH724" s="5"/>
      <c r="AI724" s="5"/>
    </row>
    <row r="725" spans="1:35" ht="15.75" customHeight="1">
      <c r="A725" s="5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5"/>
      <c r="T725" s="5"/>
      <c r="U725" s="104"/>
      <c r="V725" s="5"/>
      <c r="W725" s="5"/>
      <c r="X725" s="5"/>
      <c r="Y725" s="5"/>
      <c r="Z725" s="7"/>
      <c r="AA725" s="5"/>
      <c r="AB725" s="5"/>
      <c r="AC725" s="5"/>
      <c r="AD725" s="5"/>
      <c r="AE725" s="5"/>
      <c r="AF725" s="5"/>
      <c r="AG725" s="5"/>
      <c r="AH725" s="5"/>
      <c r="AI725" s="5"/>
    </row>
    <row r="726" spans="1:35" ht="15.75" customHeight="1">
      <c r="A726" s="5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5"/>
      <c r="T726" s="5"/>
      <c r="U726" s="104"/>
      <c r="V726" s="5"/>
      <c r="W726" s="5"/>
      <c r="X726" s="5"/>
      <c r="Y726" s="5"/>
      <c r="Z726" s="7"/>
      <c r="AA726" s="5"/>
      <c r="AB726" s="5"/>
      <c r="AC726" s="5"/>
      <c r="AD726" s="5"/>
      <c r="AE726" s="5"/>
      <c r="AF726" s="5"/>
      <c r="AG726" s="5"/>
      <c r="AH726" s="5"/>
      <c r="AI726" s="5"/>
    </row>
    <row r="727" spans="1:35" ht="15.75" customHeight="1">
      <c r="A727" s="5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5"/>
      <c r="T727" s="5"/>
      <c r="U727" s="104"/>
      <c r="V727" s="5"/>
      <c r="W727" s="5"/>
      <c r="X727" s="5"/>
      <c r="Y727" s="5"/>
      <c r="Z727" s="7"/>
      <c r="AA727" s="5"/>
      <c r="AB727" s="5"/>
      <c r="AC727" s="5"/>
      <c r="AD727" s="5"/>
      <c r="AE727" s="5"/>
      <c r="AF727" s="5"/>
      <c r="AG727" s="5"/>
      <c r="AH727" s="5"/>
      <c r="AI727" s="5"/>
    </row>
    <row r="728" spans="1:35" ht="15.75" customHeight="1">
      <c r="A728" s="5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5"/>
      <c r="T728" s="5"/>
      <c r="U728" s="104"/>
      <c r="V728" s="5"/>
      <c r="W728" s="5"/>
      <c r="X728" s="5"/>
      <c r="Y728" s="5"/>
      <c r="Z728" s="7"/>
      <c r="AA728" s="5"/>
      <c r="AB728" s="5"/>
      <c r="AC728" s="5"/>
      <c r="AD728" s="5"/>
      <c r="AE728" s="5"/>
      <c r="AF728" s="5"/>
      <c r="AG728" s="5"/>
      <c r="AH728" s="5"/>
      <c r="AI728" s="5"/>
    </row>
    <row r="729" spans="1:35" ht="15.75" customHeight="1">
      <c r="A729" s="5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5"/>
      <c r="T729" s="5"/>
      <c r="U729" s="104"/>
      <c r="V729" s="5"/>
      <c r="W729" s="5"/>
      <c r="X729" s="5"/>
      <c r="Y729" s="5"/>
      <c r="Z729" s="7"/>
      <c r="AA729" s="5"/>
      <c r="AB729" s="5"/>
      <c r="AC729" s="5"/>
      <c r="AD729" s="5"/>
      <c r="AE729" s="5"/>
      <c r="AF729" s="5"/>
      <c r="AG729" s="5"/>
      <c r="AH729" s="5"/>
      <c r="AI729" s="5"/>
    </row>
    <row r="730" spans="1:35" ht="15.75" customHeight="1">
      <c r="A730" s="5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5"/>
      <c r="T730" s="5"/>
      <c r="U730" s="104"/>
      <c r="V730" s="5"/>
      <c r="W730" s="5"/>
      <c r="X730" s="5"/>
      <c r="Y730" s="5"/>
      <c r="Z730" s="7"/>
      <c r="AA730" s="5"/>
      <c r="AB730" s="5"/>
      <c r="AC730" s="5"/>
      <c r="AD730" s="5"/>
      <c r="AE730" s="5"/>
      <c r="AF730" s="5"/>
      <c r="AG730" s="5"/>
      <c r="AH730" s="5"/>
      <c r="AI730" s="5"/>
    </row>
    <row r="731" spans="1:35" ht="15.75" customHeight="1">
      <c r="A731" s="5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5"/>
      <c r="T731" s="5"/>
      <c r="U731" s="104"/>
      <c r="V731" s="5"/>
      <c r="W731" s="5"/>
      <c r="X731" s="5"/>
      <c r="Y731" s="5"/>
      <c r="Z731" s="7"/>
      <c r="AA731" s="5"/>
      <c r="AB731" s="5"/>
      <c r="AC731" s="5"/>
      <c r="AD731" s="5"/>
      <c r="AE731" s="5"/>
      <c r="AF731" s="5"/>
      <c r="AG731" s="5"/>
      <c r="AH731" s="5"/>
      <c r="AI731" s="5"/>
    </row>
    <row r="732" spans="1:35" ht="15.75" customHeight="1">
      <c r="A732" s="5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5"/>
      <c r="T732" s="5"/>
      <c r="U732" s="104"/>
      <c r="V732" s="5"/>
      <c r="W732" s="5"/>
      <c r="X732" s="5"/>
      <c r="Y732" s="5"/>
      <c r="Z732" s="7"/>
      <c r="AA732" s="5"/>
      <c r="AB732" s="5"/>
      <c r="AC732" s="5"/>
      <c r="AD732" s="5"/>
      <c r="AE732" s="5"/>
      <c r="AF732" s="5"/>
      <c r="AG732" s="5"/>
      <c r="AH732" s="5"/>
      <c r="AI732" s="5"/>
    </row>
    <row r="733" spans="1:35" ht="15.75" customHeight="1">
      <c r="A733" s="5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5"/>
      <c r="T733" s="5"/>
      <c r="U733" s="104"/>
      <c r="V733" s="5"/>
      <c r="W733" s="5"/>
      <c r="X733" s="5"/>
      <c r="Y733" s="5"/>
      <c r="Z733" s="7"/>
      <c r="AA733" s="5"/>
      <c r="AB733" s="5"/>
      <c r="AC733" s="5"/>
      <c r="AD733" s="5"/>
      <c r="AE733" s="5"/>
      <c r="AF733" s="5"/>
      <c r="AG733" s="5"/>
      <c r="AH733" s="5"/>
      <c r="AI733" s="5"/>
    </row>
    <row r="734" spans="1:35" ht="15.75" customHeight="1">
      <c r="A734" s="5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5"/>
      <c r="T734" s="5"/>
      <c r="U734" s="104"/>
      <c r="V734" s="5"/>
      <c r="W734" s="5"/>
      <c r="X734" s="5"/>
      <c r="Y734" s="5"/>
      <c r="Z734" s="7"/>
      <c r="AA734" s="5"/>
      <c r="AB734" s="5"/>
      <c r="AC734" s="5"/>
      <c r="AD734" s="5"/>
      <c r="AE734" s="5"/>
      <c r="AF734" s="5"/>
      <c r="AG734" s="5"/>
      <c r="AH734" s="5"/>
      <c r="AI734" s="5"/>
    </row>
    <row r="735" spans="1:35" ht="15.75" customHeight="1">
      <c r="A735" s="5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5"/>
      <c r="T735" s="5"/>
      <c r="U735" s="104"/>
      <c r="V735" s="5"/>
      <c r="W735" s="5"/>
      <c r="X735" s="5"/>
      <c r="Y735" s="5"/>
      <c r="Z735" s="7"/>
      <c r="AA735" s="5"/>
      <c r="AB735" s="5"/>
      <c r="AC735" s="5"/>
      <c r="AD735" s="5"/>
      <c r="AE735" s="5"/>
      <c r="AF735" s="5"/>
      <c r="AG735" s="5"/>
      <c r="AH735" s="5"/>
      <c r="AI735" s="5"/>
    </row>
    <row r="736" spans="1:35" ht="15.75" customHeight="1">
      <c r="A736" s="5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5"/>
      <c r="T736" s="5"/>
      <c r="U736" s="104"/>
      <c r="V736" s="5"/>
      <c r="W736" s="5"/>
      <c r="X736" s="5"/>
      <c r="Y736" s="5"/>
      <c r="Z736" s="7"/>
      <c r="AA736" s="5"/>
      <c r="AB736" s="5"/>
      <c r="AC736" s="5"/>
      <c r="AD736" s="5"/>
      <c r="AE736" s="5"/>
      <c r="AF736" s="5"/>
      <c r="AG736" s="5"/>
      <c r="AH736" s="5"/>
      <c r="AI736" s="5"/>
    </row>
    <row r="737" spans="1:35" ht="15.75" customHeight="1">
      <c r="A737" s="5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5"/>
      <c r="T737" s="5"/>
      <c r="U737" s="104"/>
      <c r="V737" s="5"/>
      <c r="W737" s="5"/>
      <c r="X737" s="5"/>
      <c r="Y737" s="5"/>
      <c r="Z737" s="7"/>
      <c r="AA737" s="5"/>
      <c r="AB737" s="5"/>
      <c r="AC737" s="5"/>
      <c r="AD737" s="5"/>
      <c r="AE737" s="5"/>
      <c r="AF737" s="5"/>
      <c r="AG737" s="5"/>
      <c r="AH737" s="5"/>
      <c r="AI737" s="5"/>
    </row>
    <row r="738" spans="1:35" ht="15.75" customHeight="1">
      <c r="A738" s="5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5"/>
      <c r="T738" s="5"/>
      <c r="U738" s="104"/>
      <c r="V738" s="5"/>
      <c r="W738" s="5"/>
      <c r="X738" s="5"/>
      <c r="Y738" s="5"/>
      <c r="Z738" s="7"/>
      <c r="AA738" s="5"/>
      <c r="AB738" s="5"/>
      <c r="AC738" s="5"/>
      <c r="AD738" s="5"/>
      <c r="AE738" s="5"/>
      <c r="AF738" s="5"/>
      <c r="AG738" s="5"/>
      <c r="AH738" s="5"/>
      <c r="AI738" s="5"/>
    </row>
    <row r="739" spans="1:35" ht="15.75" customHeight="1">
      <c r="A739" s="5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5"/>
      <c r="T739" s="5"/>
      <c r="U739" s="104"/>
      <c r="V739" s="5"/>
      <c r="W739" s="5"/>
      <c r="X739" s="5"/>
      <c r="Y739" s="5"/>
      <c r="Z739" s="7"/>
      <c r="AA739" s="5"/>
      <c r="AB739" s="5"/>
      <c r="AC739" s="5"/>
      <c r="AD739" s="5"/>
      <c r="AE739" s="5"/>
      <c r="AF739" s="5"/>
      <c r="AG739" s="5"/>
      <c r="AH739" s="5"/>
      <c r="AI739" s="5"/>
    </row>
    <row r="740" spans="1:35" ht="15.75" customHeight="1">
      <c r="A740" s="5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5"/>
      <c r="T740" s="5"/>
      <c r="U740" s="104"/>
      <c r="V740" s="5"/>
      <c r="W740" s="5"/>
      <c r="X740" s="5"/>
      <c r="Y740" s="5"/>
      <c r="Z740" s="7"/>
      <c r="AA740" s="5"/>
      <c r="AB740" s="5"/>
      <c r="AC740" s="5"/>
      <c r="AD740" s="5"/>
      <c r="AE740" s="5"/>
      <c r="AF740" s="5"/>
      <c r="AG740" s="5"/>
      <c r="AH740" s="5"/>
      <c r="AI740" s="5"/>
    </row>
    <row r="741" spans="1:35" ht="15.75" customHeight="1">
      <c r="A741" s="5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5"/>
      <c r="T741" s="5"/>
      <c r="U741" s="104"/>
      <c r="V741" s="5"/>
      <c r="W741" s="5"/>
      <c r="X741" s="5"/>
      <c r="Y741" s="5"/>
      <c r="Z741" s="7"/>
      <c r="AA741" s="5"/>
      <c r="AB741" s="5"/>
      <c r="AC741" s="5"/>
      <c r="AD741" s="5"/>
      <c r="AE741" s="5"/>
      <c r="AF741" s="5"/>
      <c r="AG741" s="5"/>
      <c r="AH741" s="5"/>
      <c r="AI741" s="5"/>
    </row>
    <row r="742" spans="1:35" ht="15.75" customHeight="1">
      <c r="A742" s="5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5"/>
      <c r="T742" s="5"/>
      <c r="U742" s="104"/>
      <c r="V742" s="5"/>
      <c r="W742" s="5"/>
      <c r="X742" s="5"/>
      <c r="Y742" s="5"/>
      <c r="Z742" s="7"/>
      <c r="AA742" s="5"/>
      <c r="AB742" s="5"/>
      <c r="AC742" s="5"/>
      <c r="AD742" s="5"/>
      <c r="AE742" s="5"/>
      <c r="AF742" s="5"/>
      <c r="AG742" s="5"/>
      <c r="AH742" s="5"/>
      <c r="AI742" s="5"/>
    </row>
    <row r="743" spans="1:35" ht="15.75" customHeight="1">
      <c r="A743" s="5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5"/>
      <c r="T743" s="5"/>
      <c r="U743" s="104"/>
      <c r="V743" s="5"/>
      <c r="W743" s="5"/>
      <c r="X743" s="5"/>
      <c r="Y743" s="5"/>
      <c r="Z743" s="7"/>
      <c r="AA743" s="5"/>
      <c r="AB743" s="5"/>
      <c r="AC743" s="5"/>
      <c r="AD743" s="5"/>
      <c r="AE743" s="5"/>
      <c r="AF743" s="5"/>
      <c r="AG743" s="5"/>
      <c r="AH743" s="5"/>
      <c r="AI743" s="5"/>
    </row>
    <row r="744" spans="1:35" ht="15.75" customHeight="1">
      <c r="A744" s="5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5"/>
      <c r="T744" s="5"/>
      <c r="U744" s="104"/>
      <c r="V744" s="5"/>
      <c r="W744" s="5"/>
      <c r="X744" s="5"/>
      <c r="Y744" s="5"/>
      <c r="Z744" s="7"/>
      <c r="AA744" s="5"/>
      <c r="AB744" s="5"/>
      <c r="AC744" s="5"/>
      <c r="AD744" s="5"/>
      <c r="AE744" s="5"/>
      <c r="AF744" s="5"/>
      <c r="AG744" s="5"/>
      <c r="AH744" s="5"/>
      <c r="AI744" s="5"/>
    </row>
    <row r="745" spans="1:35" ht="15.75" customHeight="1">
      <c r="A745" s="5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5"/>
      <c r="T745" s="5"/>
      <c r="U745" s="104"/>
      <c r="V745" s="5"/>
      <c r="W745" s="5"/>
      <c r="X745" s="5"/>
      <c r="Y745" s="5"/>
      <c r="Z745" s="7"/>
      <c r="AA745" s="5"/>
      <c r="AB745" s="5"/>
      <c r="AC745" s="5"/>
      <c r="AD745" s="5"/>
      <c r="AE745" s="5"/>
      <c r="AF745" s="5"/>
      <c r="AG745" s="5"/>
      <c r="AH745" s="5"/>
      <c r="AI745" s="5"/>
    </row>
    <row r="746" spans="1:35" ht="15.75" customHeight="1">
      <c r="A746" s="5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5"/>
      <c r="T746" s="5"/>
      <c r="U746" s="104"/>
      <c r="V746" s="5"/>
      <c r="W746" s="5"/>
      <c r="X746" s="5"/>
      <c r="Y746" s="5"/>
      <c r="Z746" s="7"/>
      <c r="AA746" s="5"/>
      <c r="AB746" s="5"/>
      <c r="AC746" s="5"/>
      <c r="AD746" s="5"/>
      <c r="AE746" s="5"/>
      <c r="AF746" s="5"/>
      <c r="AG746" s="5"/>
      <c r="AH746" s="5"/>
      <c r="AI746" s="5"/>
    </row>
    <row r="747" spans="1:35" ht="15.75" customHeight="1">
      <c r="A747" s="5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5"/>
      <c r="T747" s="5"/>
      <c r="U747" s="104"/>
      <c r="V747" s="5"/>
      <c r="W747" s="5"/>
      <c r="X747" s="5"/>
      <c r="Y747" s="5"/>
      <c r="Z747" s="7"/>
      <c r="AA747" s="5"/>
      <c r="AB747" s="5"/>
      <c r="AC747" s="5"/>
      <c r="AD747" s="5"/>
      <c r="AE747" s="5"/>
      <c r="AF747" s="5"/>
      <c r="AG747" s="5"/>
      <c r="AH747" s="5"/>
      <c r="AI747" s="5"/>
    </row>
    <row r="748" spans="1:35" ht="15.75" customHeight="1">
      <c r="A748" s="5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5"/>
      <c r="T748" s="5"/>
      <c r="U748" s="104"/>
      <c r="V748" s="5"/>
      <c r="W748" s="5"/>
      <c r="X748" s="5"/>
      <c r="Y748" s="5"/>
      <c r="Z748" s="7"/>
      <c r="AA748" s="5"/>
      <c r="AB748" s="5"/>
      <c r="AC748" s="5"/>
      <c r="AD748" s="5"/>
      <c r="AE748" s="5"/>
      <c r="AF748" s="5"/>
      <c r="AG748" s="5"/>
      <c r="AH748" s="5"/>
      <c r="AI748" s="5"/>
    </row>
    <row r="749" spans="1:35" ht="15.75" customHeight="1">
      <c r="A749" s="5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5"/>
      <c r="T749" s="5"/>
      <c r="U749" s="104"/>
      <c r="V749" s="5"/>
      <c r="W749" s="5"/>
      <c r="X749" s="5"/>
      <c r="Y749" s="5"/>
      <c r="Z749" s="7"/>
      <c r="AA749" s="5"/>
      <c r="AB749" s="5"/>
      <c r="AC749" s="5"/>
      <c r="AD749" s="5"/>
      <c r="AE749" s="5"/>
      <c r="AF749" s="5"/>
      <c r="AG749" s="5"/>
      <c r="AH749" s="5"/>
      <c r="AI749" s="5"/>
    </row>
    <row r="750" spans="1:35" ht="15.75" customHeight="1">
      <c r="A750" s="5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5"/>
      <c r="T750" s="5"/>
      <c r="U750" s="104"/>
      <c r="V750" s="5"/>
      <c r="W750" s="5"/>
      <c r="X750" s="5"/>
      <c r="Y750" s="5"/>
      <c r="Z750" s="7"/>
      <c r="AA750" s="5"/>
      <c r="AB750" s="5"/>
      <c r="AC750" s="5"/>
      <c r="AD750" s="5"/>
      <c r="AE750" s="5"/>
      <c r="AF750" s="5"/>
      <c r="AG750" s="5"/>
      <c r="AH750" s="5"/>
      <c r="AI750" s="5"/>
    </row>
    <row r="751" spans="1:35" ht="15.75" customHeight="1">
      <c r="A751" s="5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5"/>
      <c r="T751" s="5"/>
      <c r="U751" s="104"/>
      <c r="V751" s="5"/>
      <c r="W751" s="5"/>
      <c r="X751" s="5"/>
      <c r="Y751" s="5"/>
      <c r="Z751" s="7"/>
      <c r="AA751" s="5"/>
      <c r="AB751" s="5"/>
      <c r="AC751" s="5"/>
      <c r="AD751" s="5"/>
      <c r="AE751" s="5"/>
      <c r="AF751" s="5"/>
      <c r="AG751" s="5"/>
      <c r="AH751" s="5"/>
      <c r="AI751" s="5"/>
    </row>
    <row r="752" spans="1:35" ht="15.75" customHeight="1">
      <c r="A752" s="5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5"/>
      <c r="T752" s="5"/>
      <c r="U752" s="104"/>
      <c r="V752" s="5"/>
      <c r="W752" s="5"/>
      <c r="X752" s="5"/>
      <c r="Y752" s="5"/>
      <c r="Z752" s="7"/>
      <c r="AA752" s="5"/>
      <c r="AB752" s="5"/>
      <c r="AC752" s="5"/>
      <c r="AD752" s="5"/>
      <c r="AE752" s="5"/>
      <c r="AF752" s="5"/>
      <c r="AG752" s="5"/>
      <c r="AH752" s="5"/>
      <c r="AI752" s="5"/>
    </row>
    <row r="753" spans="1:35" ht="15.75" customHeight="1">
      <c r="A753" s="5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5"/>
      <c r="T753" s="5"/>
      <c r="U753" s="104"/>
      <c r="V753" s="5"/>
      <c r="W753" s="5"/>
      <c r="X753" s="5"/>
      <c r="Y753" s="5"/>
      <c r="Z753" s="7"/>
      <c r="AA753" s="5"/>
      <c r="AB753" s="5"/>
      <c r="AC753" s="5"/>
      <c r="AD753" s="5"/>
      <c r="AE753" s="5"/>
      <c r="AF753" s="5"/>
      <c r="AG753" s="5"/>
      <c r="AH753" s="5"/>
      <c r="AI753" s="5"/>
    </row>
    <row r="754" spans="1:35" ht="15.75" customHeight="1">
      <c r="A754" s="5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5"/>
      <c r="T754" s="5"/>
      <c r="U754" s="104"/>
      <c r="V754" s="5"/>
      <c r="W754" s="5"/>
      <c r="X754" s="5"/>
      <c r="Y754" s="5"/>
      <c r="Z754" s="7"/>
      <c r="AA754" s="5"/>
      <c r="AB754" s="5"/>
      <c r="AC754" s="5"/>
      <c r="AD754" s="5"/>
      <c r="AE754" s="5"/>
      <c r="AF754" s="5"/>
      <c r="AG754" s="5"/>
      <c r="AH754" s="5"/>
      <c r="AI754" s="5"/>
    </row>
    <row r="755" spans="1:35" ht="15.75" customHeight="1">
      <c r="A755" s="5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5"/>
      <c r="T755" s="5"/>
      <c r="U755" s="104"/>
      <c r="V755" s="5"/>
      <c r="W755" s="5"/>
      <c r="X755" s="5"/>
      <c r="Y755" s="5"/>
      <c r="Z755" s="7"/>
      <c r="AA755" s="5"/>
      <c r="AB755" s="5"/>
      <c r="AC755" s="5"/>
      <c r="AD755" s="5"/>
      <c r="AE755" s="5"/>
      <c r="AF755" s="5"/>
      <c r="AG755" s="5"/>
      <c r="AH755" s="5"/>
      <c r="AI755" s="5"/>
    </row>
    <row r="756" spans="1:35" ht="15.75" customHeight="1">
      <c r="A756" s="5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5"/>
      <c r="T756" s="5"/>
      <c r="U756" s="104"/>
      <c r="V756" s="5"/>
      <c r="W756" s="5"/>
      <c r="X756" s="5"/>
      <c r="Y756" s="5"/>
      <c r="Z756" s="7"/>
      <c r="AA756" s="5"/>
      <c r="AB756" s="5"/>
      <c r="AC756" s="5"/>
      <c r="AD756" s="5"/>
      <c r="AE756" s="5"/>
      <c r="AF756" s="5"/>
      <c r="AG756" s="5"/>
      <c r="AH756" s="5"/>
      <c r="AI756" s="5"/>
    </row>
    <row r="757" spans="1:35" ht="15.75" customHeight="1">
      <c r="A757" s="5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5"/>
      <c r="T757" s="5"/>
      <c r="U757" s="104"/>
      <c r="V757" s="5"/>
      <c r="W757" s="5"/>
      <c r="X757" s="5"/>
      <c r="Y757" s="5"/>
      <c r="Z757" s="7"/>
      <c r="AA757" s="5"/>
      <c r="AB757" s="5"/>
      <c r="AC757" s="5"/>
      <c r="AD757" s="5"/>
      <c r="AE757" s="5"/>
      <c r="AF757" s="5"/>
      <c r="AG757" s="5"/>
      <c r="AH757" s="5"/>
      <c r="AI757" s="5"/>
    </row>
    <row r="758" spans="1:35" ht="15.75" customHeight="1">
      <c r="A758" s="5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5"/>
      <c r="T758" s="5"/>
      <c r="U758" s="104"/>
      <c r="V758" s="5"/>
      <c r="W758" s="5"/>
      <c r="X758" s="5"/>
      <c r="Y758" s="5"/>
      <c r="Z758" s="7"/>
      <c r="AA758" s="5"/>
      <c r="AB758" s="5"/>
      <c r="AC758" s="5"/>
      <c r="AD758" s="5"/>
      <c r="AE758" s="5"/>
      <c r="AF758" s="5"/>
      <c r="AG758" s="5"/>
      <c r="AH758" s="5"/>
      <c r="AI758" s="5"/>
    </row>
    <row r="759" spans="1:35" ht="15.75" customHeight="1">
      <c r="A759" s="5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5"/>
      <c r="T759" s="5"/>
      <c r="U759" s="104"/>
      <c r="V759" s="5"/>
      <c r="W759" s="5"/>
      <c r="X759" s="5"/>
      <c r="Y759" s="5"/>
      <c r="Z759" s="7"/>
      <c r="AA759" s="5"/>
      <c r="AB759" s="5"/>
      <c r="AC759" s="5"/>
      <c r="AD759" s="5"/>
      <c r="AE759" s="5"/>
      <c r="AF759" s="5"/>
      <c r="AG759" s="5"/>
      <c r="AH759" s="5"/>
      <c r="AI759" s="5"/>
    </row>
    <row r="760" spans="1:35" ht="15.75" customHeight="1">
      <c r="A760" s="5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5"/>
      <c r="T760" s="5"/>
      <c r="U760" s="104"/>
      <c r="V760" s="5"/>
      <c r="W760" s="5"/>
      <c r="X760" s="5"/>
      <c r="Y760" s="5"/>
      <c r="Z760" s="7"/>
      <c r="AA760" s="5"/>
      <c r="AB760" s="5"/>
      <c r="AC760" s="5"/>
      <c r="AD760" s="5"/>
      <c r="AE760" s="5"/>
      <c r="AF760" s="5"/>
      <c r="AG760" s="5"/>
      <c r="AH760" s="5"/>
      <c r="AI760" s="5"/>
    </row>
    <row r="761" spans="1:35" ht="15.75" customHeight="1">
      <c r="A761" s="5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5"/>
      <c r="T761" s="5"/>
      <c r="U761" s="104"/>
      <c r="V761" s="5"/>
      <c r="W761" s="5"/>
      <c r="X761" s="5"/>
      <c r="Y761" s="5"/>
      <c r="Z761" s="7"/>
      <c r="AA761" s="5"/>
      <c r="AB761" s="5"/>
      <c r="AC761" s="5"/>
      <c r="AD761" s="5"/>
      <c r="AE761" s="5"/>
      <c r="AF761" s="5"/>
      <c r="AG761" s="5"/>
      <c r="AH761" s="5"/>
      <c r="AI761" s="5"/>
    </row>
    <row r="762" spans="1:35" ht="15.75" customHeight="1">
      <c r="A762" s="5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5"/>
      <c r="T762" s="5"/>
      <c r="U762" s="104"/>
      <c r="V762" s="5"/>
      <c r="W762" s="5"/>
      <c r="X762" s="5"/>
      <c r="Y762" s="5"/>
      <c r="Z762" s="7"/>
      <c r="AA762" s="5"/>
      <c r="AB762" s="5"/>
      <c r="AC762" s="5"/>
      <c r="AD762" s="5"/>
      <c r="AE762" s="5"/>
      <c r="AF762" s="5"/>
      <c r="AG762" s="5"/>
      <c r="AH762" s="5"/>
      <c r="AI762" s="5"/>
    </row>
    <row r="763" spans="1:35" ht="15.75" customHeight="1">
      <c r="A763" s="5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5"/>
      <c r="T763" s="5"/>
      <c r="U763" s="104"/>
      <c r="V763" s="5"/>
      <c r="W763" s="5"/>
      <c r="X763" s="5"/>
      <c r="Y763" s="5"/>
      <c r="Z763" s="7"/>
      <c r="AA763" s="5"/>
      <c r="AB763" s="5"/>
      <c r="AC763" s="5"/>
      <c r="AD763" s="5"/>
      <c r="AE763" s="5"/>
      <c r="AF763" s="5"/>
      <c r="AG763" s="5"/>
      <c r="AH763" s="5"/>
      <c r="AI763" s="5"/>
    </row>
    <row r="764" spans="1:35" ht="15.75" customHeight="1">
      <c r="A764" s="5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5"/>
      <c r="T764" s="5"/>
      <c r="U764" s="104"/>
      <c r="V764" s="5"/>
      <c r="W764" s="5"/>
      <c r="X764" s="5"/>
      <c r="Y764" s="5"/>
      <c r="Z764" s="7"/>
      <c r="AA764" s="5"/>
      <c r="AB764" s="5"/>
      <c r="AC764" s="5"/>
      <c r="AD764" s="5"/>
      <c r="AE764" s="5"/>
      <c r="AF764" s="5"/>
      <c r="AG764" s="5"/>
      <c r="AH764" s="5"/>
      <c r="AI764" s="5"/>
    </row>
    <row r="765" spans="1:35" ht="15.75" customHeight="1">
      <c r="A765" s="5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5"/>
      <c r="T765" s="5"/>
      <c r="U765" s="104"/>
      <c r="V765" s="5"/>
      <c r="W765" s="5"/>
      <c r="X765" s="5"/>
      <c r="Y765" s="5"/>
      <c r="Z765" s="7"/>
      <c r="AA765" s="5"/>
      <c r="AB765" s="5"/>
      <c r="AC765" s="5"/>
      <c r="AD765" s="5"/>
      <c r="AE765" s="5"/>
      <c r="AF765" s="5"/>
      <c r="AG765" s="5"/>
      <c r="AH765" s="5"/>
      <c r="AI765" s="5"/>
    </row>
    <row r="766" spans="1:35" ht="15.75" customHeight="1">
      <c r="A766" s="5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5"/>
      <c r="T766" s="5"/>
      <c r="U766" s="104"/>
      <c r="V766" s="5"/>
      <c r="W766" s="5"/>
      <c r="X766" s="5"/>
      <c r="Y766" s="5"/>
      <c r="Z766" s="7"/>
      <c r="AA766" s="5"/>
      <c r="AB766" s="5"/>
      <c r="AC766" s="5"/>
      <c r="AD766" s="5"/>
      <c r="AE766" s="5"/>
      <c r="AF766" s="5"/>
      <c r="AG766" s="5"/>
      <c r="AH766" s="5"/>
      <c r="AI766" s="5"/>
    </row>
    <row r="767" spans="1:35" ht="15.75" customHeight="1">
      <c r="A767" s="5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5"/>
      <c r="T767" s="5"/>
      <c r="U767" s="104"/>
      <c r="V767" s="5"/>
      <c r="W767" s="5"/>
      <c r="X767" s="5"/>
      <c r="Y767" s="5"/>
      <c r="Z767" s="7"/>
      <c r="AA767" s="5"/>
      <c r="AB767" s="5"/>
      <c r="AC767" s="5"/>
      <c r="AD767" s="5"/>
      <c r="AE767" s="5"/>
      <c r="AF767" s="5"/>
      <c r="AG767" s="5"/>
      <c r="AH767" s="5"/>
      <c r="AI767" s="5"/>
    </row>
    <row r="768" spans="1:35" ht="15.75" customHeight="1">
      <c r="A768" s="5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5"/>
      <c r="T768" s="5"/>
      <c r="U768" s="104"/>
      <c r="V768" s="5"/>
      <c r="W768" s="5"/>
      <c r="X768" s="5"/>
      <c r="Y768" s="5"/>
      <c r="Z768" s="7"/>
      <c r="AA768" s="5"/>
      <c r="AB768" s="5"/>
      <c r="AC768" s="5"/>
      <c r="AD768" s="5"/>
      <c r="AE768" s="5"/>
      <c r="AF768" s="5"/>
      <c r="AG768" s="5"/>
      <c r="AH768" s="5"/>
      <c r="AI768" s="5"/>
    </row>
    <row r="769" spans="1:35" ht="15.75" customHeight="1">
      <c r="A769" s="5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5"/>
      <c r="T769" s="5"/>
      <c r="U769" s="104"/>
      <c r="V769" s="5"/>
      <c r="W769" s="5"/>
      <c r="X769" s="5"/>
      <c r="Y769" s="5"/>
      <c r="Z769" s="7"/>
      <c r="AA769" s="5"/>
      <c r="AB769" s="5"/>
      <c r="AC769" s="5"/>
      <c r="AD769" s="5"/>
      <c r="AE769" s="5"/>
      <c r="AF769" s="5"/>
      <c r="AG769" s="5"/>
      <c r="AH769" s="5"/>
      <c r="AI769" s="5"/>
    </row>
    <row r="770" spans="1:35" ht="15.75" customHeight="1">
      <c r="A770" s="5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5"/>
      <c r="T770" s="5"/>
      <c r="U770" s="104"/>
      <c r="V770" s="5"/>
      <c r="W770" s="5"/>
      <c r="X770" s="5"/>
      <c r="Y770" s="5"/>
      <c r="Z770" s="7"/>
      <c r="AA770" s="5"/>
      <c r="AB770" s="5"/>
      <c r="AC770" s="5"/>
      <c r="AD770" s="5"/>
      <c r="AE770" s="5"/>
      <c r="AF770" s="5"/>
      <c r="AG770" s="5"/>
      <c r="AH770" s="5"/>
      <c r="AI770" s="5"/>
    </row>
    <row r="771" spans="1:35" ht="15.75" customHeight="1">
      <c r="A771" s="5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5"/>
      <c r="T771" s="5"/>
      <c r="U771" s="104"/>
      <c r="V771" s="5"/>
      <c r="W771" s="5"/>
      <c r="X771" s="5"/>
      <c r="Y771" s="5"/>
      <c r="Z771" s="7"/>
      <c r="AA771" s="5"/>
      <c r="AB771" s="5"/>
      <c r="AC771" s="5"/>
      <c r="AD771" s="5"/>
      <c r="AE771" s="5"/>
      <c r="AF771" s="5"/>
      <c r="AG771" s="5"/>
      <c r="AH771" s="5"/>
      <c r="AI771" s="5"/>
    </row>
    <row r="772" spans="1:35" ht="15.75" customHeight="1">
      <c r="A772" s="5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5"/>
      <c r="T772" s="5"/>
      <c r="U772" s="104"/>
      <c r="V772" s="5"/>
      <c r="W772" s="5"/>
      <c r="X772" s="5"/>
      <c r="Y772" s="5"/>
      <c r="Z772" s="7"/>
      <c r="AA772" s="5"/>
      <c r="AB772" s="5"/>
      <c r="AC772" s="5"/>
      <c r="AD772" s="5"/>
      <c r="AE772" s="5"/>
      <c r="AF772" s="5"/>
      <c r="AG772" s="5"/>
      <c r="AH772" s="5"/>
      <c r="AI772" s="5"/>
    </row>
    <row r="773" spans="1:35" ht="15.75" customHeight="1">
      <c r="A773" s="5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5"/>
      <c r="T773" s="5"/>
      <c r="U773" s="104"/>
      <c r="V773" s="5"/>
      <c r="W773" s="5"/>
      <c r="X773" s="5"/>
      <c r="Y773" s="5"/>
      <c r="Z773" s="7"/>
      <c r="AA773" s="5"/>
      <c r="AB773" s="5"/>
      <c r="AC773" s="5"/>
      <c r="AD773" s="5"/>
      <c r="AE773" s="5"/>
      <c r="AF773" s="5"/>
      <c r="AG773" s="5"/>
      <c r="AH773" s="5"/>
      <c r="AI773" s="5"/>
    </row>
    <row r="774" spans="1:35" ht="15.75" customHeight="1">
      <c r="A774" s="5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5"/>
      <c r="T774" s="5"/>
      <c r="U774" s="104"/>
      <c r="V774" s="5"/>
      <c r="W774" s="5"/>
      <c r="X774" s="5"/>
      <c r="Y774" s="5"/>
      <c r="Z774" s="7"/>
      <c r="AA774" s="5"/>
      <c r="AB774" s="5"/>
      <c r="AC774" s="5"/>
      <c r="AD774" s="5"/>
      <c r="AE774" s="5"/>
      <c r="AF774" s="5"/>
      <c r="AG774" s="5"/>
      <c r="AH774" s="5"/>
      <c r="AI774" s="5"/>
    </row>
    <row r="775" spans="1:35" ht="15.75" customHeight="1">
      <c r="A775" s="5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5"/>
      <c r="T775" s="5"/>
      <c r="U775" s="104"/>
      <c r="V775" s="5"/>
      <c r="W775" s="5"/>
      <c r="X775" s="5"/>
      <c r="Y775" s="5"/>
      <c r="Z775" s="7"/>
      <c r="AA775" s="5"/>
      <c r="AB775" s="5"/>
      <c r="AC775" s="5"/>
      <c r="AD775" s="5"/>
      <c r="AE775" s="5"/>
      <c r="AF775" s="5"/>
      <c r="AG775" s="5"/>
      <c r="AH775" s="5"/>
      <c r="AI775" s="5"/>
    </row>
    <row r="776" spans="1:35" ht="15.75" customHeight="1">
      <c r="A776" s="5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5"/>
      <c r="T776" s="5"/>
      <c r="U776" s="104"/>
      <c r="V776" s="5"/>
      <c r="W776" s="5"/>
      <c r="X776" s="5"/>
      <c r="Y776" s="5"/>
      <c r="Z776" s="7"/>
      <c r="AA776" s="5"/>
      <c r="AB776" s="5"/>
      <c r="AC776" s="5"/>
      <c r="AD776" s="5"/>
      <c r="AE776" s="5"/>
      <c r="AF776" s="5"/>
      <c r="AG776" s="5"/>
      <c r="AH776" s="5"/>
      <c r="AI776" s="5"/>
    </row>
    <row r="777" spans="1:35" ht="15.75" customHeight="1">
      <c r="A777" s="5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5"/>
      <c r="T777" s="5"/>
      <c r="U777" s="104"/>
      <c r="V777" s="5"/>
      <c r="W777" s="5"/>
      <c r="X777" s="5"/>
      <c r="Y777" s="5"/>
      <c r="Z777" s="7"/>
      <c r="AA777" s="5"/>
      <c r="AB777" s="5"/>
      <c r="AC777" s="5"/>
      <c r="AD777" s="5"/>
      <c r="AE777" s="5"/>
      <c r="AF777" s="5"/>
      <c r="AG777" s="5"/>
      <c r="AH777" s="5"/>
      <c r="AI777" s="5"/>
    </row>
    <row r="778" spans="1:35" ht="15.75" customHeight="1">
      <c r="A778" s="5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5"/>
      <c r="T778" s="5"/>
      <c r="U778" s="104"/>
      <c r="V778" s="5"/>
      <c r="W778" s="5"/>
      <c r="X778" s="5"/>
      <c r="Y778" s="5"/>
      <c r="Z778" s="7"/>
      <c r="AA778" s="5"/>
      <c r="AB778" s="5"/>
      <c r="AC778" s="5"/>
      <c r="AD778" s="5"/>
      <c r="AE778" s="5"/>
      <c r="AF778" s="5"/>
      <c r="AG778" s="5"/>
      <c r="AH778" s="5"/>
      <c r="AI778" s="5"/>
    </row>
    <row r="779" spans="1:35" ht="15.75" customHeight="1">
      <c r="A779" s="5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5"/>
      <c r="T779" s="5"/>
      <c r="U779" s="104"/>
      <c r="V779" s="5"/>
      <c r="W779" s="5"/>
      <c r="X779" s="5"/>
      <c r="Y779" s="5"/>
      <c r="Z779" s="7"/>
      <c r="AA779" s="5"/>
      <c r="AB779" s="5"/>
      <c r="AC779" s="5"/>
      <c r="AD779" s="5"/>
      <c r="AE779" s="5"/>
      <c r="AF779" s="5"/>
      <c r="AG779" s="5"/>
      <c r="AH779" s="5"/>
      <c r="AI779" s="5"/>
    </row>
    <row r="780" spans="1:35" ht="15.75" customHeight="1">
      <c r="A780" s="5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5"/>
      <c r="T780" s="5"/>
      <c r="U780" s="104"/>
      <c r="V780" s="5"/>
      <c r="W780" s="5"/>
      <c r="X780" s="5"/>
      <c r="Y780" s="5"/>
      <c r="Z780" s="7"/>
      <c r="AA780" s="5"/>
      <c r="AB780" s="5"/>
      <c r="AC780" s="5"/>
      <c r="AD780" s="5"/>
      <c r="AE780" s="5"/>
      <c r="AF780" s="5"/>
      <c r="AG780" s="5"/>
      <c r="AH780" s="5"/>
      <c r="AI780" s="5"/>
    </row>
    <row r="781" spans="1:35" ht="15.75" customHeight="1">
      <c r="A781" s="5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5"/>
      <c r="T781" s="5"/>
      <c r="U781" s="104"/>
      <c r="V781" s="5"/>
      <c r="W781" s="5"/>
      <c r="X781" s="5"/>
      <c r="Y781" s="5"/>
      <c r="Z781" s="7"/>
      <c r="AA781" s="5"/>
      <c r="AB781" s="5"/>
      <c r="AC781" s="5"/>
      <c r="AD781" s="5"/>
      <c r="AE781" s="5"/>
      <c r="AF781" s="5"/>
      <c r="AG781" s="5"/>
      <c r="AH781" s="5"/>
      <c r="AI781" s="5"/>
    </row>
    <row r="782" spans="1:35" ht="15.75" customHeight="1">
      <c r="A782" s="5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5"/>
      <c r="T782" s="5"/>
      <c r="U782" s="104"/>
      <c r="V782" s="5"/>
      <c r="W782" s="5"/>
      <c r="X782" s="5"/>
      <c r="Y782" s="5"/>
      <c r="Z782" s="7"/>
      <c r="AA782" s="5"/>
      <c r="AB782" s="5"/>
      <c r="AC782" s="5"/>
      <c r="AD782" s="5"/>
      <c r="AE782" s="5"/>
      <c r="AF782" s="5"/>
      <c r="AG782" s="5"/>
      <c r="AH782" s="5"/>
      <c r="AI782" s="5"/>
    </row>
    <row r="783" spans="1:35" ht="15.75" customHeight="1">
      <c r="A783" s="5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5"/>
      <c r="T783" s="5"/>
      <c r="U783" s="104"/>
      <c r="V783" s="5"/>
      <c r="W783" s="5"/>
      <c r="X783" s="5"/>
      <c r="Y783" s="5"/>
      <c r="Z783" s="7"/>
      <c r="AA783" s="5"/>
      <c r="AB783" s="5"/>
      <c r="AC783" s="5"/>
      <c r="AD783" s="5"/>
      <c r="AE783" s="5"/>
      <c r="AF783" s="5"/>
      <c r="AG783" s="5"/>
      <c r="AH783" s="5"/>
      <c r="AI783" s="5"/>
    </row>
    <row r="784" spans="1:35" ht="15.75" customHeight="1">
      <c r="A784" s="5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5"/>
      <c r="T784" s="5"/>
      <c r="U784" s="104"/>
      <c r="V784" s="5"/>
      <c r="W784" s="5"/>
      <c r="X784" s="5"/>
      <c r="Y784" s="5"/>
      <c r="Z784" s="7"/>
      <c r="AA784" s="5"/>
      <c r="AB784" s="5"/>
      <c r="AC784" s="5"/>
      <c r="AD784" s="5"/>
      <c r="AE784" s="5"/>
      <c r="AF784" s="5"/>
      <c r="AG784" s="5"/>
      <c r="AH784" s="5"/>
      <c r="AI784" s="5"/>
    </row>
    <row r="785" spans="1:35" ht="15.75" customHeight="1">
      <c r="A785" s="5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5"/>
      <c r="T785" s="5"/>
      <c r="U785" s="104"/>
      <c r="V785" s="5"/>
      <c r="W785" s="5"/>
      <c r="X785" s="5"/>
      <c r="Y785" s="5"/>
      <c r="Z785" s="7"/>
      <c r="AA785" s="5"/>
      <c r="AB785" s="5"/>
      <c r="AC785" s="5"/>
      <c r="AD785" s="5"/>
      <c r="AE785" s="5"/>
      <c r="AF785" s="5"/>
      <c r="AG785" s="5"/>
      <c r="AH785" s="5"/>
      <c r="AI785" s="5"/>
    </row>
    <row r="786" spans="1:35" ht="15.75" customHeight="1">
      <c r="A786" s="5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5"/>
      <c r="T786" s="5"/>
      <c r="U786" s="104"/>
      <c r="V786" s="5"/>
      <c r="W786" s="5"/>
      <c r="X786" s="5"/>
      <c r="Y786" s="5"/>
      <c r="Z786" s="7"/>
      <c r="AA786" s="5"/>
      <c r="AB786" s="5"/>
      <c r="AC786" s="5"/>
      <c r="AD786" s="5"/>
      <c r="AE786" s="5"/>
      <c r="AF786" s="5"/>
      <c r="AG786" s="5"/>
      <c r="AH786" s="5"/>
      <c r="AI786" s="5"/>
    </row>
    <row r="787" spans="1:35" ht="15.75" customHeight="1">
      <c r="A787" s="5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5"/>
      <c r="T787" s="5"/>
      <c r="U787" s="104"/>
      <c r="V787" s="5"/>
      <c r="W787" s="5"/>
      <c r="X787" s="5"/>
      <c r="Y787" s="5"/>
      <c r="Z787" s="7"/>
      <c r="AA787" s="5"/>
      <c r="AB787" s="5"/>
      <c r="AC787" s="5"/>
      <c r="AD787" s="5"/>
      <c r="AE787" s="5"/>
      <c r="AF787" s="5"/>
      <c r="AG787" s="5"/>
      <c r="AH787" s="5"/>
      <c r="AI787" s="5"/>
    </row>
    <row r="788" spans="1:35" ht="15.75" customHeight="1">
      <c r="A788" s="5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5"/>
      <c r="T788" s="5"/>
      <c r="U788" s="104"/>
      <c r="V788" s="5"/>
      <c r="W788" s="5"/>
      <c r="X788" s="5"/>
      <c r="Y788" s="5"/>
      <c r="Z788" s="7"/>
      <c r="AA788" s="5"/>
      <c r="AB788" s="5"/>
      <c r="AC788" s="5"/>
      <c r="AD788" s="5"/>
      <c r="AE788" s="5"/>
      <c r="AF788" s="5"/>
      <c r="AG788" s="5"/>
      <c r="AH788" s="5"/>
      <c r="AI788" s="5"/>
    </row>
    <row r="789" spans="1:35" ht="15.75" customHeight="1">
      <c r="A789" s="5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5"/>
      <c r="T789" s="5"/>
      <c r="U789" s="104"/>
      <c r="V789" s="5"/>
      <c r="W789" s="5"/>
      <c r="X789" s="5"/>
      <c r="Y789" s="5"/>
      <c r="Z789" s="7"/>
      <c r="AA789" s="5"/>
      <c r="AB789" s="5"/>
      <c r="AC789" s="5"/>
      <c r="AD789" s="5"/>
      <c r="AE789" s="5"/>
      <c r="AF789" s="5"/>
      <c r="AG789" s="5"/>
      <c r="AH789" s="5"/>
      <c r="AI789" s="5"/>
    </row>
    <row r="790" spans="1:35" ht="15.75" customHeight="1">
      <c r="A790" s="5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5"/>
      <c r="T790" s="5"/>
      <c r="U790" s="104"/>
      <c r="V790" s="5"/>
      <c r="W790" s="5"/>
      <c r="X790" s="5"/>
      <c r="Y790" s="5"/>
      <c r="Z790" s="7"/>
      <c r="AA790" s="5"/>
      <c r="AB790" s="5"/>
      <c r="AC790" s="5"/>
      <c r="AD790" s="5"/>
      <c r="AE790" s="5"/>
      <c r="AF790" s="5"/>
      <c r="AG790" s="5"/>
      <c r="AH790" s="5"/>
      <c r="AI790" s="5"/>
    </row>
    <row r="791" spans="1:35" ht="15.75" customHeight="1">
      <c r="A791" s="5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5"/>
      <c r="T791" s="5"/>
      <c r="U791" s="104"/>
      <c r="V791" s="5"/>
      <c r="W791" s="5"/>
      <c r="X791" s="5"/>
      <c r="Y791" s="5"/>
      <c r="Z791" s="7"/>
      <c r="AA791" s="5"/>
      <c r="AB791" s="5"/>
      <c r="AC791" s="5"/>
      <c r="AD791" s="5"/>
      <c r="AE791" s="5"/>
      <c r="AF791" s="5"/>
      <c r="AG791" s="5"/>
      <c r="AH791" s="5"/>
      <c r="AI791" s="5"/>
    </row>
    <row r="792" spans="1:35" ht="15.75" customHeight="1">
      <c r="A792" s="5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5"/>
      <c r="T792" s="5"/>
      <c r="U792" s="104"/>
      <c r="V792" s="5"/>
      <c r="W792" s="5"/>
      <c r="X792" s="5"/>
      <c r="Y792" s="5"/>
      <c r="Z792" s="7"/>
      <c r="AA792" s="5"/>
      <c r="AB792" s="5"/>
      <c r="AC792" s="5"/>
      <c r="AD792" s="5"/>
      <c r="AE792" s="5"/>
      <c r="AF792" s="5"/>
      <c r="AG792" s="5"/>
      <c r="AH792" s="5"/>
      <c r="AI792" s="5"/>
    </row>
    <row r="793" spans="1:35" ht="15.75" customHeight="1">
      <c r="A793" s="5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5"/>
      <c r="T793" s="5"/>
      <c r="U793" s="104"/>
      <c r="V793" s="5"/>
      <c r="W793" s="5"/>
      <c r="X793" s="5"/>
      <c r="Y793" s="5"/>
      <c r="Z793" s="7"/>
      <c r="AA793" s="5"/>
      <c r="AB793" s="5"/>
      <c r="AC793" s="5"/>
      <c r="AD793" s="5"/>
      <c r="AE793" s="5"/>
      <c r="AF793" s="5"/>
      <c r="AG793" s="5"/>
      <c r="AH793" s="5"/>
      <c r="AI793" s="5"/>
    </row>
    <row r="794" spans="1:35" ht="15.75" customHeight="1">
      <c r="A794" s="5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5"/>
      <c r="T794" s="5"/>
      <c r="U794" s="104"/>
      <c r="V794" s="5"/>
      <c r="W794" s="5"/>
      <c r="X794" s="5"/>
      <c r="Y794" s="5"/>
      <c r="Z794" s="7"/>
      <c r="AA794" s="5"/>
      <c r="AB794" s="5"/>
      <c r="AC794" s="5"/>
      <c r="AD794" s="5"/>
      <c r="AE794" s="5"/>
      <c r="AF794" s="5"/>
      <c r="AG794" s="5"/>
      <c r="AH794" s="5"/>
      <c r="AI794" s="5"/>
    </row>
    <row r="795" spans="1:35" ht="15.75" customHeight="1">
      <c r="A795" s="5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5"/>
      <c r="T795" s="5"/>
      <c r="U795" s="104"/>
      <c r="V795" s="5"/>
      <c r="W795" s="5"/>
      <c r="X795" s="5"/>
      <c r="Y795" s="5"/>
      <c r="Z795" s="7"/>
      <c r="AA795" s="5"/>
      <c r="AB795" s="5"/>
      <c r="AC795" s="5"/>
      <c r="AD795" s="5"/>
      <c r="AE795" s="5"/>
      <c r="AF795" s="5"/>
      <c r="AG795" s="5"/>
      <c r="AH795" s="5"/>
      <c r="AI795" s="5"/>
    </row>
    <row r="796" spans="1:35" ht="15.75" customHeight="1">
      <c r="A796" s="5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5"/>
      <c r="T796" s="5"/>
      <c r="U796" s="104"/>
      <c r="V796" s="5"/>
      <c r="W796" s="5"/>
      <c r="X796" s="5"/>
      <c r="Y796" s="5"/>
      <c r="Z796" s="7"/>
      <c r="AA796" s="5"/>
      <c r="AB796" s="5"/>
      <c r="AC796" s="5"/>
      <c r="AD796" s="5"/>
      <c r="AE796" s="5"/>
      <c r="AF796" s="5"/>
      <c r="AG796" s="5"/>
      <c r="AH796" s="5"/>
      <c r="AI796" s="5"/>
    </row>
    <row r="797" spans="1:35" ht="15.75" customHeight="1">
      <c r="A797" s="5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5"/>
      <c r="T797" s="5"/>
      <c r="U797" s="104"/>
      <c r="V797" s="5"/>
      <c r="W797" s="5"/>
      <c r="X797" s="5"/>
      <c r="Y797" s="5"/>
      <c r="Z797" s="7"/>
      <c r="AA797" s="5"/>
      <c r="AB797" s="5"/>
      <c r="AC797" s="5"/>
      <c r="AD797" s="5"/>
      <c r="AE797" s="5"/>
      <c r="AF797" s="5"/>
      <c r="AG797" s="5"/>
      <c r="AH797" s="5"/>
      <c r="AI797" s="5"/>
    </row>
    <row r="798" spans="1:35" ht="15.75" customHeight="1">
      <c r="A798" s="5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5"/>
      <c r="T798" s="5"/>
      <c r="U798" s="104"/>
      <c r="V798" s="5"/>
      <c r="W798" s="5"/>
      <c r="X798" s="5"/>
      <c r="Y798" s="5"/>
      <c r="Z798" s="7"/>
      <c r="AA798" s="5"/>
      <c r="AB798" s="5"/>
      <c r="AC798" s="5"/>
      <c r="AD798" s="5"/>
      <c r="AE798" s="5"/>
      <c r="AF798" s="5"/>
      <c r="AG798" s="5"/>
      <c r="AH798" s="5"/>
      <c r="AI798" s="5"/>
    </row>
    <row r="799" spans="1:35" ht="15.75" customHeight="1">
      <c r="A799" s="5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5"/>
      <c r="T799" s="5"/>
      <c r="U799" s="104"/>
      <c r="V799" s="5"/>
      <c r="W799" s="5"/>
      <c r="X799" s="5"/>
      <c r="Y799" s="5"/>
      <c r="Z799" s="7"/>
      <c r="AA799" s="5"/>
      <c r="AB799" s="5"/>
      <c r="AC799" s="5"/>
      <c r="AD799" s="5"/>
      <c r="AE799" s="5"/>
      <c r="AF799" s="5"/>
      <c r="AG799" s="5"/>
      <c r="AH799" s="5"/>
      <c r="AI799" s="5"/>
    </row>
    <row r="800" spans="1:35" ht="15.75" customHeight="1">
      <c r="A800" s="5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5"/>
      <c r="T800" s="5"/>
      <c r="U800" s="104"/>
      <c r="V800" s="5"/>
      <c r="W800" s="5"/>
      <c r="X800" s="5"/>
      <c r="Y800" s="5"/>
      <c r="Z800" s="7"/>
      <c r="AA800" s="5"/>
      <c r="AB800" s="5"/>
      <c r="AC800" s="5"/>
      <c r="AD800" s="5"/>
      <c r="AE800" s="5"/>
      <c r="AF800" s="5"/>
      <c r="AG800" s="5"/>
      <c r="AH800" s="5"/>
      <c r="AI800" s="5"/>
    </row>
    <row r="801" spans="1:35" ht="15.75" customHeight="1">
      <c r="A801" s="5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5"/>
      <c r="T801" s="5"/>
      <c r="U801" s="104"/>
      <c r="V801" s="5"/>
      <c r="W801" s="5"/>
      <c r="X801" s="5"/>
      <c r="Y801" s="5"/>
      <c r="Z801" s="7"/>
      <c r="AA801" s="5"/>
      <c r="AB801" s="5"/>
      <c r="AC801" s="5"/>
      <c r="AD801" s="5"/>
      <c r="AE801" s="5"/>
      <c r="AF801" s="5"/>
      <c r="AG801" s="5"/>
      <c r="AH801" s="5"/>
      <c r="AI801" s="5"/>
    </row>
    <row r="802" spans="1:35" ht="15.75" customHeight="1">
      <c r="A802" s="5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5"/>
      <c r="T802" s="5"/>
      <c r="U802" s="104"/>
      <c r="V802" s="5"/>
      <c r="W802" s="5"/>
      <c r="X802" s="5"/>
      <c r="Y802" s="5"/>
      <c r="Z802" s="7"/>
      <c r="AA802" s="5"/>
      <c r="AB802" s="5"/>
      <c r="AC802" s="5"/>
      <c r="AD802" s="5"/>
      <c r="AE802" s="5"/>
      <c r="AF802" s="5"/>
      <c r="AG802" s="5"/>
      <c r="AH802" s="5"/>
      <c r="AI802" s="5"/>
    </row>
    <row r="803" spans="1:35" ht="15.75" customHeight="1">
      <c r="A803" s="5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5"/>
      <c r="T803" s="5"/>
      <c r="U803" s="104"/>
      <c r="V803" s="5"/>
      <c r="W803" s="5"/>
      <c r="X803" s="5"/>
      <c r="Y803" s="5"/>
      <c r="Z803" s="7"/>
      <c r="AA803" s="5"/>
      <c r="AB803" s="5"/>
      <c r="AC803" s="5"/>
      <c r="AD803" s="5"/>
      <c r="AE803" s="5"/>
      <c r="AF803" s="5"/>
      <c r="AG803" s="5"/>
      <c r="AH803" s="5"/>
      <c r="AI803" s="5"/>
    </row>
    <row r="804" spans="1:35" ht="15.75" customHeight="1">
      <c r="A804" s="5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5"/>
      <c r="T804" s="5"/>
      <c r="U804" s="104"/>
      <c r="V804" s="5"/>
      <c r="W804" s="5"/>
      <c r="X804" s="5"/>
      <c r="Y804" s="5"/>
      <c r="Z804" s="7"/>
      <c r="AA804" s="5"/>
      <c r="AB804" s="5"/>
      <c r="AC804" s="5"/>
      <c r="AD804" s="5"/>
      <c r="AE804" s="5"/>
      <c r="AF804" s="5"/>
      <c r="AG804" s="5"/>
      <c r="AH804" s="5"/>
      <c r="AI804" s="5"/>
    </row>
    <row r="805" spans="1:35" ht="15.75" customHeight="1">
      <c r="A805" s="5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5"/>
      <c r="T805" s="5"/>
      <c r="U805" s="104"/>
      <c r="V805" s="5"/>
      <c r="W805" s="5"/>
      <c r="X805" s="5"/>
      <c r="Y805" s="5"/>
      <c r="Z805" s="7"/>
      <c r="AA805" s="5"/>
      <c r="AB805" s="5"/>
      <c r="AC805" s="5"/>
      <c r="AD805" s="5"/>
      <c r="AE805" s="5"/>
      <c r="AF805" s="5"/>
      <c r="AG805" s="5"/>
      <c r="AH805" s="5"/>
      <c r="AI805" s="5"/>
    </row>
    <row r="806" spans="1:35" ht="15.75" customHeight="1">
      <c r="A806" s="5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5"/>
      <c r="T806" s="5"/>
      <c r="U806" s="104"/>
      <c r="V806" s="5"/>
      <c r="W806" s="5"/>
      <c r="X806" s="5"/>
      <c r="Y806" s="5"/>
      <c r="Z806" s="7"/>
      <c r="AA806" s="5"/>
      <c r="AB806" s="5"/>
      <c r="AC806" s="5"/>
      <c r="AD806" s="5"/>
      <c r="AE806" s="5"/>
      <c r="AF806" s="5"/>
      <c r="AG806" s="5"/>
      <c r="AH806" s="5"/>
      <c r="AI806" s="5"/>
    </row>
    <row r="807" spans="1:35" ht="15.75" customHeight="1">
      <c r="A807" s="5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5"/>
      <c r="T807" s="5"/>
      <c r="U807" s="104"/>
      <c r="V807" s="5"/>
      <c r="W807" s="5"/>
      <c r="X807" s="5"/>
      <c r="Y807" s="5"/>
      <c r="Z807" s="7"/>
      <c r="AA807" s="5"/>
      <c r="AB807" s="5"/>
      <c r="AC807" s="5"/>
      <c r="AD807" s="5"/>
      <c r="AE807" s="5"/>
      <c r="AF807" s="5"/>
      <c r="AG807" s="5"/>
      <c r="AH807" s="5"/>
      <c r="AI807" s="5"/>
    </row>
    <row r="808" spans="1:35" ht="15.75" customHeight="1">
      <c r="A808" s="5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5"/>
      <c r="T808" s="5"/>
      <c r="U808" s="104"/>
      <c r="V808" s="5"/>
      <c r="W808" s="5"/>
      <c r="X808" s="5"/>
      <c r="Y808" s="5"/>
      <c r="Z808" s="7"/>
      <c r="AA808" s="5"/>
      <c r="AB808" s="5"/>
      <c r="AC808" s="5"/>
      <c r="AD808" s="5"/>
      <c r="AE808" s="5"/>
      <c r="AF808" s="5"/>
      <c r="AG808" s="5"/>
      <c r="AH808" s="5"/>
      <c r="AI808" s="5"/>
    </row>
    <row r="809" spans="1:35" ht="15.75" customHeight="1">
      <c r="A809" s="5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5"/>
      <c r="T809" s="5"/>
      <c r="U809" s="104"/>
      <c r="V809" s="5"/>
      <c r="W809" s="5"/>
      <c r="X809" s="5"/>
      <c r="Y809" s="5"/>
      <c r="Z809" s="7"/>
      <c r="AA809" s="5"/>
      <c r="AB809" s="5"/>
      <c r="AC809" s="5"/>
      <c r="AD809" s="5"/>
      <c r="AE809" s="5"/>
      <c r="AF809" s="5"/>
      <c r="AG809" s="5"/>
      <c r="AH809" s="5"/>
      <c r="AI809" s="5"/>
    </row>
    <row r="810" spans="1:35" ht="15.75" customHeight="1">
      <c r="A810" s="5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5"/>
      <c r="T810" s="5"/>
      <c r="U810" s="104"/>
      <c r="V810" s="5"/>
      <c r="W810" s="5"/>
      <c r="X810" s="5"/>
      <c r="Y810" s="5"/>
      <c r="Z810" s="7"/>
      <c r="AA810" s="5"/>
      <c r="AB810" s="5"/>
      <c r="AC810" s="5"/>
      <c r="AD810" s="5"/>
      <c r="AE810" s="5"/>
      <c r="AF810" s="5"/>
      <c r="AG810" s="5"/>
      <c r="AH810" s="5"/>
      <c r="AI810" s="5"/>
    </row>
    <row r="811" spans="1:35" ht="15.75" customHeight="1">
      <c r="A811" s="5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5"/>
      <c r="T811" s="5"/>
      <c r="U811" s="104"/>
      <c r="V811" s="5"/>
      <c r="W811" s="5"/>
      <c r="X811" s="5"/>
      <c r="Y811" s="5"/>
      <c r="Z811" s="7"/>
      <c r="AA811" s="5"/>
      <c r="AB811" s="5"/>
      <c r="AC811" s="5"/>
      <c r="AD811" s="5"/>
      <c r="AE811" s="5"/>
      <c r="AF811" s="5"/>
      <c r="AG811" s="5"/>
      <c r="AH811" s="5"/>
      <c r="AI811" s="5"/>
    </row>
    <row r="812" spans="1:35" ht="15.75" customHeight="1">
      <c r="A812" s="5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5"/>
      <c r="T812" s="5"/>
      <c r="U812" s="104"/>
      <c r="V812" s="5"/>
      <c r="W812" s="5"/>
      <c r="X812" s="5"/>
      <c r="Y812" s="5"/>
      <c r="Z812" s="7"/>
      <c r="AA812" s="5"/>
      <c r="AB812" s="5"/>
      <c r="AC812" s="5"/>
      <c r="AD812" s="5"/>
      <c r="AE812" s="5"/>
      <c r="AF812" s="5"/>
      <c r="AG812" s="5"/>
      <c r="AH812" s="5"/>
      <c r="AI812" s="5"/>
    </row>
    <row r="813" spans="1:35" ht="15.75" customHeight="1">
      <c r="A813" s="5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5"/>
      <c r="T813" s="5"/>
      <c r="U813" s="104"/>
      <c r="V813" s="5"/>
      <c r="W813" s="5"/>
      <c r="X813" s="5"/>
      <c r="Y813" s="5"/>
      <c r="Z813" s="7"/>
      <c r="AA813" s="5"/>
      <c r="AB813" s="5"/>
      <c r="AC813" s="5"/>
      <c r="AD813" s="5"/>
      <c r="AE813" s="5"/>
      <c r="AF813" s="5"/>
      <c r="AG813" s="5"/>
      <c r="AH813" s="5"/>
      <c r="AI813" s="5"/>
    </row>
    <row r="814" spans="1:35" ht="15.75" customHeight="1">
      <c r="A814" s="5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5"/>
      <c r="T814" s="5"/>
      <c r="U814" s="104"/>
      <c r="V814" s="5"/>
      <c r="W814" s="5"/>
      <c r="X814" s="5"/>
      <c r="Y814" s="5"/>
      <c r="Z814" s="7"/>
      <c r="AA814" s="5"/>
      <c r="AB814" s="5"/>
      <c r="AC814" s="5"/>
      <c r="AD814" s="5"/>
      <c r="AE814" s="5"/>
      <c r="AF814" s="5"/>
      <c r="AG814" s="5"/>
      <c r="AH814" s="5"/>
      <c r="AI814" s="5"/>
    </row>
    <row r="815" spans="1:35" ht="15.75" customHeight="1">
      <c r="A815" s="5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5"/>
      <c r="T815" s="5"/>
      <c r="U815" s="104"/>
      <c r="V815" s="5"/>
      <c r="W815" s="5"/>
      <c r="X815" s="5"/>
      <c r="Y815" s="5"/>
      <c r="Z815" s="7"/>
      <c r="AA815" s="5"/>
      <c r="AB815" s="5"/>
      <c r="AC815" s="5"/>
      <c r="AD815" s="5"/>
      <c r="AE815" s="5"/>
      <c r="AF815" s="5"/>
      <c r="AG815" s="5"/>
      <c r="AH815" s="5"/>
      <c r="AI815" s="5"/>
    </row>
    <row r="816" spans="1:35" ht="15.75" customHeight="1">
      <c r="A816" s="5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5"/>
      <c r="T816" s="5"/>
      <c r="U816" s="104"/>
      <c r="V816" s="5"/>
      <c r="W816" s="5"/>
      <c r="X816" s="5"/>
      <c r="Y816" s="5"/>
      <c r="Z816" s="7"/>
      <c r="AA816" s="5"/>
      <c r="AB816" s="5"/>
      <c r="AC816" s="5"/>
      <c r="AD816" s="5"/>
      <c r="AE816" s="5"/>
      <c r="AF816" s="5"/>
      <c r="AG816" s="5"/>
      <c r="AH816" s="5"/>
      <c r="AI816" s="5"/>
    </row>
    <row r="817" spans="1:35" ht="15.75" customHeight="1">
      <c r="A817" s="5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5"/>
      <c r="T817" s="5"/>
      <c r="U817" s="104"/>
      <c r="V817" s="5"/>
      <c r="W817" s="5"/>
      <c r="X817" s="5"/>
      <c r="Y817" s="5"/>
      <c r="Z817" s="7"/>
      <c r="AA817" s="5"/>
      <c r="AB817" s="5"/>
      <c r="AC817" s="5"/>
      <c r="AD817" s="5"/>
      <c r="AE817" s="5"/>
      <c r="AF817" s="5"/>
      <c r="AG817" s="5"/>
      <c r="AH817" s="5"/>
      <c r="AI817" s="5"/>
    </row>
    <row r="818" spans="1:35" ht="15.75" customHeight="1">
      <c r="A818" s="5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5"/>
      <c r="T818" s="5"/>
      <c r="U818" s="104"/>
      <c r="V818" s="5"/>
      <c r="W818" s="5"/>
      <c r="X818" s="5"/>
      <c r="Y818" s="5"/>
      <c r="Z818" s="7"/>
      <c r="AA818" s="5"/>
      <c r="AB818" s="5"/>
      <c r="AC818" s="5"/>
      <c r="AD818" s="5"/>
      <c r="AE818" s="5"/>
      <c r="AF818" s="5"/>
      <c r="AG818" s="5"/>
      <c r="AH818" s="5"/>
      <c r="AI818" s="5"/>
    </row>
    <row r="819" spans="1:35" ht="15.75" customHeight="1">
      <c r="A819" s="5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5"/>
      <c r="T819" s="5"/>
      <c r="U819" s="104"/>
      <c r="V819" s="5"/>
      <c r="W819" s="5"/>
      <c r="X819" s="5"/>
      <c r="Y819" s="5"/>
      <c r="Z819" s="7"/>
      <c r="AA819" s="5"/>
      <c r="AB819" s="5"/>
      <c r="AC819" s="5"/>
      <c r="AD819" s="5"/>
      <c r="AE819" s="5"/>
      <c r="AF819" s="5"/>
      <c r="AG819" s="5"/>
      <c r="AH819" s="5"/>
      <c r="AI819" s="5"/>
    </row>
    <row r="820" spans="1:35" ht="15.75" customHeight="1">
      <c r="A820" s="5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5"/>
      <c r="T820" s="5"/>
      <c r="U820" s="104"/>
      <c r="V820" s="5"/>
      <c r="W820" s="5"/>
      <c r="X820" s="5"/>
      <c r="Y820" s="5"/>
      <c r="Z820" s="7"/>
      <c r="AA820" s="5"/>
      <c r="AB820" s="5"/>
      <c r="AC820" s="5"/>
      <c r="AD820" s="5"/>
      <c r="AE820" s="5"/>
      <c r="AF820" s="5"/>
      <c r="AG820" s="5"/>
      <c r="AH820" s="5"/>
      <c r="AI820" s="5"/>
    </row>
    <row r="821" spans="1:35" ht="15.75" customHeight="1">
      <c r="A821" s="5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5"/>
      <c r="T821" s="5"/>
      <c r="U821" s="104"/>
      <c r="V821" s="5"/>
      <c r="W821" s="5"/>
      <c r="X821" s="5"/>
      <c r="Y821" s="5"/>
      <c r="Z821" s="7"/>
      <c r="AA821" s="5"/>
      <c r="AB821" s="5"/>
      <c r="AC821" s="5"/>
      <c r="AD821" s="5"/>
      <c r="AE821" s="5"/>
      <c r="AF821" s="5"/>
      <c r="AG821" s="5"/>
      <c r="AH821" s="5"/>
      <c r="AI821" s="5"/>
    </row>
    <row r="822" spans="1:35" ht="15.75" customHeight="1">
      <c r="A822" s="5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5"/>
      <c r="T822" s="5"/>
      <c r="U822" s="104"/>
      <c r="V822" s="5"/>
      <c r="W822" s="5"/>
      <c r="X822" s="5"/>
      <c r="Y822" s="5"/>
      <c r="Z822" s="7"/>
      <c r="AA822" s="5"/>
      <c r="AB822" s="5"/>
      <c r="AC822" s="5"/>
      <c r="AD822" s="5"/>
      <c r="AE822" s="5"/>
      <c r="AF822" s="5"/>
      <c r="AG822" s="5"/>
      <c r="AH822" s="5"/>
      <c r="AI822" s="5"/>
    </row>
    <row r="823" spans="1:35" ht="15.75" customHeight="1">
      <c r="A823" s="5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5"/>
      <c r="T823" s="5"/>
      <c r="U823" s="104"/>
      <c r="V823" s="5"/>
      <c r="W823" s="5"/>
      <c r="X823" s="5"/>
      <c r="Y823" s="5"/>
      <c r="Z823" s="7"/>
      <c r="AA823" s="5"/>
      <c r="AB823" s="5"/>
      <c r="AC823" s="5"/>
      <c r="AD823" s="5"/>
      <c r="AE823" s="5"/>
      <c r="AF823" s="5"/>
      <c r="AG823" s="5"/>
      <c r="AH823" s="5"/>
      <c r="AI823" s="5"/>
    </row>
    <row r="824" spans="1:35" ht="15.75" customHeight="1">
      <c r="A824" s="5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5"/>
      <c r="T824" s="5"/>
      <c r="U824" s="104"/>
      <c r="V824" s="5"/>
      <c r="W824" s="5"/>
      <c r="X824" s="5"/>
      <c r="Y824" s="5"/>
      <c r="Z824" s="7"/>
      <c r="AA824" s="5"/>
      <c r="AB824" s="5"/>
      <c r="AC824" s="5"/>
      <c r="AD824" s="5"/>
      <c r="AE824" s="5"/>
      <c r="AF824" s="5"/>
      <c r="AG824" s="5"/>
      <c r="AH824" s="5"/>
      <c r="AI824" s="5"/>
    </row>
    <row r="825" spans="1:35" ht="15.75" customHeight="1">
      <c r="A825" s="5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5"/>
      <c r="T825" s="5"/>
      <c r="U825" s="104"/>
      <c r="V825" s="5"/>
      <c r="W825" s="5"/>
      <c r="X825" s="5"/>
      <c r="Y825" s="5"/>
      <c r="Z825" s="7"/>
      <c r="AA825" s="5"/>
      <c r="AB825" s="5"/>
      <c r="AC825" s="5"/>
      <c r="AD825" s="5"/>
      <c r="AE825" s="5"/>
      <c r="AF825" s="5"/>
      <c r="AG825" s="5"/>
      <c r="AH825" s="5"/>
      <c r="AI825" s="5"/>
    </row>
    <row r="826" spans="1:35" ht="15.75" customHeight="1">
      <c r="A826" s="5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5"/>
      <c r="T826" s="5"/>
      <c r="U826" s="104"/>
      <c r="V826" s="5"/>
      <c r="W826" s="5"/>
      <c r="X826" s="5"/>
      <c r="Y826" s="5"/>
      <c r="Z826" s="7"/>
      <c r="AA826" s="5"/>
      <c r="AB826" s="5"/>
      <c r="AC826" s="5"/>
      <c r="AD826" s="5"/>
      <c r="AE826" s="5"/>
      <c r="AF826" s="5"/>
      <c r="AG826" s="5"/>
      <c r="AH826" s="5"/>
      <c r="AI826" s="5"/>
    </row>
    <row r="827" spans="1:35" ht="15.75" customHeight="1">
      <c r="A827" s="5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5"/>
      <c r="T827" s="5"/>
      <c r="U827" s="104"/>
      <c r="V827" s="5"/>
      <c r="W827" s="5"/>
      <c r="X827" s="5"/>
      <c r="Y827" s="5"/>
      <c r="Z827" s="7"/>
      <c r="AA827" s="5"/>
      <c r="AB827" s="5"/>
      <c r="AC827" s="5"/>
      <c r="AD827" s="5"/>
      <c r="AE827" s="5"/>
      <c r="AF827" s="5"/>
      <c r="AG827" s="5"/>
      <c r="AH827" s="5"/>
      <c r="AI827" s="5"/>
    </row>
    <row r="828" spans="1:35" ht="15.75" customHeight="1">
      <c r="A828" s="5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5"/>
      <c r="T828" s="5"/>
      <c r="U828" s="104"/>
      <c r="V828" s="5"/>
      <c r="W828" s="5"/>
      <c r="X828" s="5"/>
      <c r="Y828" s="5"/>
      <c r="Z828" s="7"/>
      <c r="AA828" s="5"/>
      <c r="AB828" s="5"/>
      <c r="AC828" s="5"/>
      <c r="AD828" s="5"/>
      <c r="AE828" s="5"/>
      <c r="AF828" s="5"/>
      <c r="AG828" s="5"/>
      <c r="AH828" s="5"/>
      <c r="AI828" s="5"/>
    </row>
    <row r="829" spans="1:35" ht="15.75" customHeight="1">
      <c r="A829" s="5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5"/>
      <c r="T829" s="5"/>
      <c r="U829" s="104"/>
      <c r="V829" s="5"/>
      <c r="W829" s="5"/>
      <c r="X829" s="5"/>
      <c r="Y829" s="5"/>
      <c r="Z829" s="7"/>
      <c r="AA829" s="5"/>
      <c r="AB829" s="5"/>
      <c r="AC829" s="5"/>
      <c r="AD829" s="5"/>
      <c r="AE829" s="5"/>
      <c r="AF829" s="5"/>
      <c r="AG829" s="5"/>
      <c r="AH829" s="5"/>
      <c r="AI829" s="5"/>
    </row>
    <row r="830" spans="1:35" ht="15.75" customHeight="1">
      <c r="A830" s="5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5"/>
      <c r="T830" s="5"/>
      <c r="U830" s="104"/>
      <c r="V830" s="5"/>
      <c r="W830" s="5"/>
      <c r="X830" s="5"/>
      <c r="Y830" s="5"/>
      <c r="Z830" s="7"/>
      <c r="AA830" s="5"/>
      <c r="AB830" s="5"/>
      <c r="AC830" s="5"/>
      <c r="AD830" s="5"/>
      <c r="AE830" s="5"/>
      <c r="AF830" s="5"/>
      <c r="AG830" s="5"/>
      <c r="AH830" s="5"/>
      <c r="AI830" s="5"/>
    </row>
    <row r="831" spans="1:35" ht="15.75" customHeight="1">
      <c r="A831" s="5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5"/>
      <c r="T831" s="5"/>
      <c r="U831" s="104"/>
      <c r="V831" s="5"/>
      <c r="W831" s="5"/>
      <c r="X831" s="5"/>
      <c r="Y831" s="5"/>
      <c r="Z831" s="7"/>
      <c r="AA831" s="5"/>
      <c r="AB831" s="5"/>
      <c r="AC831" s="5"/>
      <c r="AD831" s="5"/>
      <c r="AE831" s="5"/>
      <c r="AF831" s="5"/>
      <c r="AG831" s="5"/>
      <c r="AH831" s="5"/>
      <c r="AI831" s="5"/>
    </row>
    <row r="832" spans="1:35" ht="15.75" customHeight="1">
      <c r="A832" s="5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5"/>
      <c r="T832" s="5"/>
      <c r="U832" s="104"/>
      <c r="V832" s="5"/>
      <c r="W832" s="5"/>
      <c r="X832" s="5"/>
      <c r="Y832" s="5"/>
      <c r="Z832" s="7"/>
      <c r="AA832" s="5"/>
      <c r="AB832" s="5"/>
      <c r="AC832" s="5"/>
      <c r="AD832" s="5"/>
      <c r="AE832" s="5"/>
      <c r="AF832" s="5"/>
      <c r="AG832" s="5"/>
      <c r="AH832" s="5"/>
      <c r="AI832" s="5"/>
    </row>
    <row r="833" spans="1:35" ht="15.75" customHeight="1">
      <c r="A833" s="5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5"/>
      <c r="T833" s="5"/>
      <c r="U833" s="104"/>
      <c r="V833" s="5"/>
      <c r="W833" s="5"/>
      <c r="X833" s="5"/>
      <c r="Y833" s="5"/>
      <c r="Z833" s="7"/>
      <c r="AA833" s="5"/>
      <c r="AB833" s="5"/>
      <c r="AC833" s="5"/>
      <c r="AD833" s="5"/>
      <c r="AE833" s="5"/>
      <c r="AF833" s="5"/>
      <c r="AG833" s="5"/>
      <c r="AH833" s="5"/>
      <c r="AI833" s="5"/>
    </row>
    <row r="834" spans="1:35" ht="15.75" customHeight="1">
      <c r="A834" s="5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5"/>
      <c r="T834" s="5"/>
      <c r="U834" s="104"/>
      <c r="V834" s="5"/>
      <c r="W834" s="5"/>
      <c r="X834" s="5"/>
      <c r="Y834" s="5"/>
      <c r="Z834" s="7"/>
      <c r="AA834" s="5"/>
      <c r="AB834" s="5"/>
      <c r="AC834" s="5"/>
      <c r="AD834" s="5"/>
      <c r="AE834" s="5"/>
      <c r="AF834" s="5"/>
      <c r="AG834" s="5"/>
      <c r="AH834" s="5"/>
      <c r="AI834" s="5"/>
    </row>
    <row r="835" spans="1:35" ht="15.75" customHeight="1">
      <c r="A835" s="5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5"/>
      <c r="T835" s="5"/>
      <c r="U835" s="104"/>
      <c r="V835" s="5"/>
      <c r="W835" s="5"/>
      <c r="X835" s="5"/>
      <c r="Y835" s="5"/>
      <c r="Z835" s="7"/>
      <c r="AA835" s="5"/>
      <c r="AB835" s="5"/>
      <c r="AC835" s="5"/>
      <c r="AD835" s="5"/>
      <c r="AE835" s="5"/>
      <c r="AF835" s="5"/>
      <c r="AG835" s="5"/>
      <c r="AH835" s="5"/>
      <c r="AI835" s="5"/>
    </row>
    <row r="836" spans="1:35" ht="15.75" customHeight="1">
      <c r="A836" s="5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5"/>
      <c r="T836" s="5"/>
      <c r="U836" s="104"/>
      <c r="V836" s="5"/>
      <c r="W836" s="5"/>
      <c r="X836" s="5"/>
      <c r="Y836" s="5"/>
      <c r="Z836" s="7"/>
      <c r="AA836" s="5"/>
      <c r="AB836" s="5"/>
      <c r="AC836" s="5"/>
      <c r="AD836" s="5"/>
      <c r="AE836" s="5"/>
      <c r="AF836" s="5"/>
      <c r="AG836" s="5"/>
      <c r="AH836" s="5"/>
      <c r="AI836" s="5"/>
    </row>
    <row r="837" spans="1:35" ht="15.75" customHeight="1">
      <c r="A837" s="5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5"/>
      <c r="T837" s="5"/>
      <c r="U837" s="104"/>
      <c r="V837" s="5"/>
      <c r="W837" s="5"/>
      <c r="X837" s="5"/>
      <c r="Y837" s="5"/>
      <c r="Z837" s="7"/>
      <c r="AA837" s="5"/>
      <c r="AB837" s="5"/>
      <c r="AC837" s="5"/>
      <c r="AD837" s="5"/>
      <c r="AE837" s="5"/>
      <c r="AF837" s="5"/>
      <c r="AG837" s="5"/>
      <c r="AH837" s="5"/>
      <c r="AI837" s="5"/>
    </row>
    <row r="838" spans="1:35" ht="15.75" customHeight="1">
      <c r="A838" s="5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5"/>
      <c r="T838" s="5"/>
      <c r="U838" s="104"/>
      <c r="V838" s="5"/>
      <c r="W838" s="5"/>
      <c r="X838" s="5"/>
      <c r="Y838" s="5"/>
      <c r="Z838" s="7"/>
      <c r="AA838" s="5"/>
      <c r="AB838" s="5"/>
      <c r="AC838" s="5"/>
      <c r="AD838" s="5"/>
      <c r="AE838" s="5"/>
      <c r="AF838" s="5"/>
      <c r="AG838" s="5"/>
      <c r="AH838" s="5"/>
      <c r="AI838" s="5"/>
    </row>
    <row r="839" spans="1:35" ht="15.75" customHeight="1">
      <c r="A839" s="5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5"/>
      <c r="T839" s="5"/>
      <c r="U839" s="104"/>
      <c r="V839" s="5"/>
      <c r="W839" s="5"/>
      <c r="X839" s="5"/>
      <c r="Y839" s="5"/>
      <c r="Z839" s="7"/>
      <c r="AA839" s="5"/>
      <c r="AB839" s="5"/>
      <c r="AC839" s="5"/>
      <c r="AD839" s="5"/>
      <c r="AE839" s="5"/>
      <c r="AF839" s="5"/>
      <c r="AG839" s="5"/>
      <c r="AH839" s="5"/>
      <c r="AI839" s="5"/>
    </row>
    <row r="840" spans="1:35" ht="15.75" customHeight="1">
      <c r="A840" s="5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5"/>
      <c r="T840" s="5"/>
      <c r="U840" s="104"/>
      <c r="V840" s="5"/>
      <c r="W840" s="5"/>
      <c r="X840" s="5"/>
      <c r="Y840" s="5"/>
      <c r="Z840" s="7"/>
      <c r="AA840" s="5"/>
      <c r="AB840" s="5"/>
      <c r="AC840" s="5"/>
      <c r="AD840" s="5"/>
      <c r="AE840" s="5"/>
      <c r="AF840" s="5"/>
      <c r="AG840" s="5"/>
      <c r="AH840" s="5"/>
      <c r="AI840" s="5"/>
    </row>
    <row r="841" spans="1:35" ht="15.75" customHeight="1">
      <c r="A841" s="5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5"/>
      <c r="T841" s="5"/>
      <c r="U841" s="104"/>
      <c r="V841" s="5"/>
      <c r="W841" s="5"/>
      <c r="X841" s="5"/>
      <c r="Y841" s="5"/>
      <c r="Z841" s="7"/>
      <c r="AA841" s="5"/>
      <c r="AB841" s="5"/>
      <c r="AC841" s="5"/>
      <c r="AD841" s="5"/>
      <c r="AE841" s="5"/>
      <c r="AF841" s="5"/>
      <c r="AG841" s="5"/>
      <c r="AH841" s="5"/>
      <c r="AI841" s="5"/>
    </row>
    <row r="842" spans="1:35" ht="15.75" customHeight="1">
      <c r="A842" s="5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5"/>
      <c r="T842" s="5"/>
      <c r="U842" s="104"/>
      <c r="V842" s="5"/>
      <c r="W842" s="5"/>
      <c r="X842" s="5"/>
      <c r="Y842" s="5"/>
      <c r="Z842" s="7"/>
      <c r="AA842" s="5"/>
      <c r="AB842" s="5"/>
      <c r="AC842" s="5"/>
      <c r="AD842" s="5"/>
      <c r="AE842" s="5"/>
      <c r="AF842" s="5"/>
      <c r="AG842" s="5"/>
      <c r="AH842" s="5"/>
      <c r="AI842" s="5"/>
    </row>
    <row r="843" spans="1:35" ht="15.75" customHeight="1">
      <c r="A843" s="5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5"/>
      <c r="T843" s="5"/>
      <c r="U843" s="104"/>
      <c r="V843" s="5"/>
      <c r="W843" s="5"/>
      <c r="X843" s="5"/>
      <c r="Y843" s="5"/>
      <c r="Z843" s="7"/>
      <c r="AA843" s="5"/>
      <c r="AB843" s="5"/>
      <c r="AC843" s="5"/>
      <c r="AD843" s="5"/>
      <c r="AE843" s="5"/>
      <c r="AF843" s="5"/>
      <c r="AG843" s="5"/>
      <c r="AH843" s="5"/>
      <c r="AI843" s="5"/>
    </row>
    <row r="844" spans="1:35" ht="15.75" customHeight="1">
      <c r="A844" s="5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5"/>
      <c r="T844" s="5"/>
      <c r="U844" s="104"/>
      <c r="V844" s="5"/>
      <c r="W844" s="5"/>
      <c r="X844" s="5"/>
      <c r="Y844" s="5"/>
      <c r="Z844" s="7"/>
      <c r="AA844" s="5"/>
      <c r="AB844" s="5"/>
      <c r="AC844" s="5"/>
      <c r="AD844" s="5"/>
      <c r="AE844" s="5"/>
      <c r="AF844" s="5"/>
      <c r="AG844" s="5"/>
      <c r="AH844" s="5"/>
      <c r="AI844" s="5"/>
    </row>
    <row r="845" spans="1:35" ht="15.75" customHeight="1">
      <c r="A845" s="5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5"/>
      <c r="T845" s="5"/>
      <c r="U845" s="104"/>
      <c r="V845" s="5"/>
      <c r="W845" s="5"/>
      <c r="X845" s="5"/>
      <c r="Y845" s="5"/>
      <c r="Z845" s="7"/>
      <c r="AA845" s="5"/>
      <c r="AB845" s="5"/>
      <c r="AC845" s="5"/>
      <c r="AD845" s="5"/>
      <c r="AE845" s="5"/>
      <c r="AF845" s="5"/>
      <c r="AG845" s="5"/>
      <c r="AH845" s="5"/>
      <c r="AI845" s="5"/>
    </row>
    <row r="846" spans="1:35" ht="15.75" customHeight="1">
      <c r="A846" s="5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5"/>
      <c r="T846" s="5"/>
      <c r="U846" s="104"/>
      <c r="V846" s="5"/>
      <c r="W846" s="5"/>
      <c r="X846" s="5"/>
      <c r="Y846" s="5"/>
      <c r="Z846" s="7"/>
      <c r="AA846" s="5"/>
      <c r="AB846" s="5"/>
      <c r="AC846" s="5"/>
      <c r="AD846" s="5"/>
      <c r="AE846" s="5"/>
      <c r="AF846" s="5"/>
      <c r="AG846" s="5"/>
      <c r="AH846" s="5"/>
      <c r="AI846" s="5"/>
    </row>
    <row r="847" spans="1:35" ht="15.75" customHeight="1">
      <c r="A847" s="5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5"/>
      <c r="T847" s="5"/>
      <c r="U847" s="104"/>
      <c r="V847" s="5"/>
      <c r="W847" s="5"/>
      <c r="X847" s="5"/>
      <c r="Y847" s="5"/>
      <c r="Z847" s="7"/>
      <c r="AA847" s="5"/>
      <c r="AB847" s="5"/>
      <c r="AC847" s="5"/>
      <c r="AD847" s="5"/>
      <c r="AE847" s="5"/>
      <c r="AF847" s="5"/>
      <c r="AG847" s="5"/>
      <c r="AH847" s="5"/>
      <c r="AI847" s="5"/>
    </row>
    <row r="848" spans="1:35" ht="15.75" customHeight="1">
      <c r="A848" s="5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5"/>
      <c r="T848" s="5"/>
      <c r="U848" s="104"/>
      <c r="V848" s="5"/>
      <c r="W848" s="5"/>
      <c r="X848" s="5"/>
      <c r="Y848" s="5"/>
      <c r="Z848" s="7"/>
      <c r="AA848" s="5"/>
      <c r="AB848" s="5"/>
      <c r="AC848" s="5"/>
      <c r="AD848" s="5"/>
      <c r="AE848" s="5"/>
      <c r="AF848" s="5"/>
      <c r="AG848" s="5"/>
      <c r="AH848" s="5"/>
      <c r="AI848" s="5"/>
    </row>
    <row r="849" spans="1:35" ht="15.75" customHeight="1">
      <c r="A849" s="5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5"/>
      <c r="T849" s="5"/>
      <c r="U849" s="104"/>
      <c r="V849" s="5"/>
      <c r="W849" s="5"/>
      <c r="X849" s="5"/>
      <c r="Y849" s="5"/>
      <c r="Z849" s="7"/>
      <c r="AA849" s="5"/>
      <c r="AB849" s="5"/>
      <c r="AC849" s="5"/>
      <c r="AD849" s="5"/>
      <c r="AE849" s="5"/>
      <c r="AF849" s="5"/>
      <c r="AG849" s="5"/>
      <c r="AH849" s="5"/>
      <c r="AI849" s="5"/>
    </row>
    <row r="850" spans="1:35" ht="15.75" customHeight="1">
      <c r="A850" s="5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5"/>
      <c r="T850" s="5"/>
      <c r="U850" s="104"/>
      <c r="V850" s="5"/>
      <c r="W850" s="5"/>
      <c r="X850" s="5"/>
      <c r="Y850" s="5"/>
      <c r="Z850" s="7"/>
      <c r="AA850" s="5"/>
      <c r="AB850" s="5"/>
      <c r="AC850" s="5"/>
      <c r="AD850" s="5"/>
      <c r="AE850" s="5"/>
      <c r="AF850" s="5"/>
      <c r="AG850" s="5"/>
      <c r="AH850" s="5"/>
      <c r="AI850" s="5"/>
    </row>
    <row r="851" spans="1:35" ht="15.75" customHeight="1">
      <c r="A851" s="5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5"/>
      <c r="T851" s="5"/>
      <c r="U851" s="104"/>
      <c r="V851" s="5"/>
      <c r="W851" s="5"/>
      <c r="X851" s="5"/>
      <c r="Y851" s="5"/>
      <c r="Z851" s="7"/>
      <c r="AA851" s="5"/>
      <c r="AB851" s="5"/>
      <c r="AC851" s="5"/>
      <c r="AD851" s="5"/>
      <c r="AE851" s="5"/>
      <c r="AF851" s="5"/>
      <c r="AG851" s="5"/>
      <c r="AH851" s="5"/>
      <c r="AI851" s="5"/>
    </row>
    <row r="852" spans="1:35" ht="15.75" customHeight="1">
      <c r="A852" s="5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5"/>
      <c r="T852" s="5"/>
      <c r="U852" s="104"/>
      <c r="V852" s="5"/>
      <c r="W852" s="5"/>
      <c r="X852" s="5"/>
      <c r="Y852" s="5"/>
      <c r="Z852" s="7"/>
      <c r="AA852" s="5"/>
      <c r="AB852" s="5"/>
      <c r="AC852" s="5"/>
      <c r="AD852" s="5"/>
      <c r="AE852" s="5"/>
      <c r="AF852" s="5"/>
      <c r="AG852" s="5"/>
      <c r="AH852" s="5"/>
      <c r="AI852" s="5"/>
    </row>
    <row r="853" spans="1:35" ht="15.75" customHeight="1">
      <c r="A853" s="5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5"/>
      <c r="T853" s="5"/>
      <c r="U853" s="104"/>
      <c r="V853" s="5"/>
      <c r="W853" s="5"/>
      <c r="X853" s="5"/>
      <c r="Y853" s="5"/>
      <c r="Z853" s="7"/>
      <c r="AA853" s="5"/>
      <c r="AB853" s="5"/>
      <c r="AC853" s="5"/>
      <c r="AD853" s="5"/>
      <c r="AE853" s="5"/>
      <c r="AF853" s="5"/>
      <c r="AG853" s="5"/>
      <c r="AH853" s="5"/>
      <c r="AI853" s="5"/>
    </row>
    <row r="854" spans="1:35" ht="15.75" customHeight="1">
      <c r="A854" s="5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5"/>
      <c r="T854" s="5"/>
      <c r="U854" s="104"/>
      <c r="V854" s="5"/>
      <c r="W854" s="5"/>
      <c r="X854" s="5"/>
      <c r="Y854" s="5"/>
      <c r="Z854" s="7"/>
      <c r="AA854" s="5"/>
      <c r="AB854" s="5"/>
      <c r="AC854" s="5"/>
      <c r="AD854" s="5"/>
      <c r="AE854" s="5"/>
      <c r="AF854" s="5"/>
      <c r="AG854" s="5"/>
      <c r="AH854" s="5"/>
      <c r="AI854" s="5"/>
    </row>
    <row r="855" spans="1:35" ht="15.75" customHeight="1">
      <c r="A855" s="5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5"/>
      <c r="T855" s="5"/>
      <c r="U855" s="104"/>
      <c r="V855" s="5"/>
      <c r="W855" s="5"/>
      <c r="X855" s="5"/>
      <c r="Y855" s="5"/>
      <c r="Z855" s="7"/>
      <c r="AA855" s="5"/>
      <c r="AB855" s="5"/>
      <c r="AC855" s="5"/>
      <c r="AD855" s="5"/>
      <c r="AE855" s="5"/>
      <c r="AF855" s="5"/>
      <c r="AG855" s="5"/>
      <c r="AH855" s="5"/>
      <c r="AI855" s="5"/>
    </row>
    <row r="856" spans="1:35" ht="15.75" customHeight="1">
      <c r="A856" s="5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5"/>
      <c r="T856" s="5"/>
      <c r="U856" s="104"/>
      <c r="V856" s="5"/>
      <c r="W856" s="5"/>
      <c r="X856" s="5"/>
      <c r="Y856" s="5"/>
      <c r="Z856" s="7"/>
      <c r="AA856" s="5"/>
      <c r="AB856" s="5"/>
      <c r="AC856" s="5"/>
      <c r="AD856" s="5"/>
      <c r="AE856" s="5"/>
      <c r="AF856" s="5"/>
      <c r="AG856" s="5"/>
      <c r="AH856" s="5"/>
      <c r="AI856" s="5"/>
    </row>
    <row r="857" spans="1:35" ht="15.75" customHeight="1">
      <c r="A857" s="5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5"/>
      <c r="T857" s="5"/>
      <c r="U857" s="104"/>
      <c r="V857" s="5"/>
      <c r="W857" s="5"/>
      <c r="X857" s="5"/>
      <c r="Y857" s="5"/>
      <c r="Z857" s="7"/>
      <c r="AA857" s="5"/>
      <c r="AB857" s="5"/>
      <c r="AC857" s="5"/>
      <c r="AD857" s="5"/>
      <c r="AE857" s="5"/>
      <c r="AF857" s="5"/>
      <c r="AG857" s="5"/>
      <c r="AH857" s="5"/>
      <c r="AI857" s="5"/>
    </row>
    <row r="858" spans="1:35" ht="15.75" customHeight="1">
      <c r="A858" s="5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5"/>
      <c r="T858" s="5"/>
      <c r="U858" s="104"/>
      <c r="V858" s="5"/>
      <c r="W858" s="5"/>
      <c r="X858" s="5"/>
      <c r="Y858" s="5"/>
      <c r="Z858" s="7"/>
      <c r="AA858" s="5"/>
      <c r="AB858" s="5"/>
      <c r="AC858" s="5"/>
      <c r="AD858" s="5"/>
      <c r="AE858" s="5"/>
      <c r="AF858" s="5"/>
      <c r="AG858" s="5"/>
      <c r="AH858" s="5"/>
      <c r="AI858" s="5"/>
    </row>
    <row r="859" spans="1:35" ht="15.75" customHeight="1">
      <c r="A859" s="5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5"/>
      <c r="T859" s="5"/>
      <c r="U859" s="104"/>
      <c r="V859" s="5"/>
      <c r="W859" s="5"/>
      <c r="X859" s="5"/>
      <c r="Y859" s="5"/>
      <c r="Z859" s="7"/>
      <c r="AA859" s="5"/>
      <c r="AB859" s="5"/>
      <c r="AC859" s="5"/>
      <c r="AD859" s="5"/>
      <c r="AE859" s="5"/>
      <c r="AF859" s="5"/>
      <c r="AG859" s="5"/>
      <c r="AH859" s="5"/>
      <c r="AI859" s="5"/>
    </row>
    <row r="860" spans="1:35" ht="15.75" customHeight="1">
      <c r="A860" s="5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5"/>
      <c r="T860" s="5"/>
      <c r="U860" s="104"/>
      <c r="V860" s="5"/>
      <c r="W860" s="5"/>
      <c r="X860" s="5"/>
      <c r="Y860" s="5"/>
      <c r="Z860" s="7"/>
      <c r="AA860" s="5"/>
      <c r="AB860" s="5"/>
      <c r="AC860" s="5"/>
      <c r="AD860" s="5"/>
      <c r="AE860" s="5"/>
      <c r="AF860" s="5"/>
      <c r="AG860" s="5"/>
      <c r="AH860" s="5"/>
      <c r="AI860" s="5"/>
    </row>
    <row r="861" spans="1:35" ht="15.75" customHeight="1">
      <c r="A861" s="5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5"/>
      <c r="T861" s="5"/>
      <c r="U861" s="104"/>
      <c r="V861" s="5"/>
      <c r="W861" s="5"/>
      <c r="X861" s="5"/>
      <c r="Y861" s="5"/>
      <c r="Z861" s="7"/>
      <c r="AA861" s="5"/>
      <c r="AB861" s="5"/>
      <c r="AC861" s="5"/>
      <c r="AD861" s="5"/>
      <c r="AE861" s="5"/>
      <c r="AF861" s="5"/>
      <c r="AG861" s="5"/>
      <c r="AH861" s="5"/>
      <c r="AI861" s="5"/>
    </row>
    <row r="862" spans="1:35" ht="15.75" customHeight="1">
      <c r="A862" s="5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5"/>
      <c r="T862" s="5"/>
      <c r="U862" s="104"/>
      <c r="V862" s="5"/>
      <c r="W862" s="5"/>
      <c r="X862" s="5"/>
      <c r="Y862" s="5"/>
      <c r="Z862" s="7"/>
      <c r="AA862" s="5"/>
      <c r="AB862" s="5"/>
      <c r="AC862" s="5"/>
      <c r="AD862" s="5"/>
      <c r="AE862" s="5"/>
      <c r="AF862" s="5"/>
      <c r="AG862" s="5"/>
      <c r="AH862" s="5"/>
      <c r="AI862" s="5"/>
    </row>
    <row r="863" spans="1:35" ht="15.75" customHeight="1">
      <c r="A863" s="5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5"/>
      <c r="T863" s="5"/>
      <c r="U863" s="104"/>
      <c r="V863" s="5"/>
      <c r="W863" s="5"/>
      <c r="X863" s="5"/>
      <c r="Y863" s="5"/>
      <c r="Z863" s="7"/>
      <c r="AA863" s="5"/>
      <c r="AB863" s="5"/>
      <c r="AC863" s="5"/>
      <c r="AD863" s="5"/>
      <c r="AE863" s="5"/>
      <c r="AF863" s="5"/>
      <c r="AG863" s="5"/>
      <c r="AH863" s="5"/>
      <c r="AI863" s="5"/>
    </row>
    <row r="864" spans="1:35" ht="15.75" customHeight="1">
      <c r="A864" s="5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5"/>
      <c r="T864" s="5"/>
      <c r="U864" s="104"/>
      <c r="V864" s="5"/>
      <c r="W864" s="5"/>
      <c r="X864" s="5"/>
      <c r="Y864" s="5"/>
      <c r="Z864" s="7"/>
      <c r="AA864" s="5"/>
      <c r="AB864" s="5"/>
      <c r="AC864" s="5"/>
      <c r="AD864" s="5"/>
      <c r="AE864" s="5"/>
      <c r="AF864" s="5"/>
      <c r="AG864" s="5"/>
      <c r="AH864" s="5"/>
      <c r="AI864" s="5"/>
    </row>
    <row r="865" spans="1:35" ht="15.75" customHeight="1">
      <c r="A865" s="5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5"/>
      <c r="T865" s="5"/>
      <c r="U865" s="104"/>
      <c r="V865" s="5"/>
      <c r="W865" s="5"/>
      <c r="X865" s="5"/>
      <c r="Y865" s="5"/>
      <c r="Z865" s="7"/>
      <c r="AA865" s="5"/>
      <c r="AB865" s="5"/>
      <c r="AC865" s="5"/>
      <c r="AD865" s="5"/>
      <c r="AE865" s="5"/>
      <c r="AF865" s="5"/>
      <c r="AG865" s="5"/>
      <c r="AH865" s="5"/>
      <c r="AI865" s="5"/>
    </row>
    <row r="866" spans="1:35" ht="15.75" customHeight="1">
      <c r="A866" s="5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5"/>
      <c r="T866" s="5"/>
      <c r="U866" s="104"/>
      <c r="V866" s="5"/>
      <c r="W866" s="5"/>
      <c r="X866" s="5"/>
      <c r="Y866" s="5"/>
      <c r="Z866" s="7"/>
      <c r="AA866" s="5"/>
      <c r="AB866" s="5"/>
      <c r="AC866" s="5"/>
      <c r="AD866" s="5"/>
      <c r="AE866" s="5"/>
      <c r="AF866" s="5"/>
      <c r="AG866" s="5"/>
      <c r="AH866" s="5"/>
      <c r="AI866" s="5"/>
    </row>
    <row r="867" spans="1:35" ht="15.75" customHeight="1">
      <c r="A867" s="5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5"/>
      <c r="T867" s="5"/>
      <c r="U867" s="104"/>
      <c r="V867" s="5"/>
      <c r="W867" s="5"/>
      <c r="X867" s="5"/>
      <c r="Y867" s="5"/>
      <c r="Z867" s="7"/>
      <c r="AA867" s="5"/>
      <c r="AB867" s="5"/>
      <c r="AC867" s="5"/>
      <c r="AD867" s="5"/>
      <c r="AE867" s="5"/>
      <c r="AF867" s="5"/>
      <c r="AG867" s="5"/>
      <c r="AH867" s="5"/>
      <c r="AI867" s="5"/>
    </row>
    <row r="868" spans="1:35" ht="15.75" customHeight="1">
      <c r="A868" s="5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5"/>
      <c r="T868" s="5"/>
      <c r="U868" s="104"/>
      <c r="V868" s="5"/>
      <c r="W868" s="5"/>
      <c r="X868" s="5"/>
      <c r="Y868" s="5"/>
      <c r="Z868" s="7"/>
      <c r="AA868" s="5"/>
      <c r="AB868" s="5"/>
      <c r="AC868" s="5"/>
      <c r="AD868" s="5"/>
      <c r="AE868" s="5"/>
      <c r="AF868" s="5"/>
      <c r="AG868" s="5"/>
      <c r="AH868" s="5"/>
      <c r="AI868" s="5"/>
    </row>
    <row r="869" spans="1:35" ht="15.75" customHeight="1">
      <c r="A869" s="5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5"/>
      <c r="T869" s="5"/>
      <c r="U869" s="104"/>
      <c r="V869" s="5"/>
      <c r="W869" s="5"/>
      <c r="X869" s="5"/>
      <c r="Y869" s="5"/>
      <c r="Z869" s="7"/>
      <c r="AA869" s="5"/>
      <c r="AB869" s="5"/>
      <c r="AC869" s="5"/>
      <c r="AD869" s="5"/>
      <c r="AE869" s="5"/>
      <c r="AF869" s="5"/>
      <c r="AG869" s="5"/>
      <c r="AH869" s="5"/>
      <c r="AI869" s="5"/>
    </row>
    <row r="870" spans="1:35" ht="15.75" customHeight="1">
      <c r="A870" s="5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5"/>
      <c r="T870" s="5"/>
      <c r="U870" s="104"/>
      <c r="V870" s="5"/>
      <c r="W870" s="5"/>
      <c r="X870" s="5"/>
      <c r="Y870" s="5"/>
      <c r="Z870" s="7"/>
      <c r="AA870" s="5"/>
      <c r="AB870" s="5"/>
      <c r="AC870" s="5"/>
      <c r="AD870" s="5"/>
      <c r="AE870" s="5"/>
      <c r="AF870" s="5"/>
      <c r="AG870" s="5"/>
      <c r="AH870" s="5"/>
      <c r="AI870" s="5"/>
    </row>
    <row r="871" spans="1:35" ht="15.75" customHeight="1">
      <c r="A871" s="5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5"/>
      <c r="T871" s="5"/>
      <c r="U871" s="104"/>
      <c r="V871" s="5"/>
      <c r="W871" s="5"/>
      <c r="X871" s="5"/>
      <c r="Y871" s="5"/>
      <c r="Z871" s="7"/>
      <c r="AA871" s="5"/>
      <c r="AB871" s="5"/>
      <c r="AC871" s="5"/>
      <c r="AD871" s="5"/>
      <c r="AE871" s="5"/>
      <c r="AF871" s="5"/>
      <c r="AG871" s="5"/>
      <c r="AH871" s="5"/>
      <c r="AI871" s="5"/>
    </row>
    <row r="872" spans="1:35" ht="15.75" customHeight="1">
      <c r="A872" s="5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5"/>
      <c r="T872" s="5"/>
      <c r="U872" s="104"/>
      <c r="V872" s="5"/>
      <c r="W872" s="5"/>
      <c r="X872" s="5"/>
      <c r="Y872" s="5"/>
      <c r="Z872" s="7"/>
      <c r="AA872" s="5"/>
      <c r="AB872" s="5"/>
      <c r="AC872" s="5"/>
      <c r="AD872" s="5"/>
      <c r="AE872" s="5"/>
      <c r="AF872" s="5"/>
      <c r="AG872" s="5"/>
      <c r="AH872" s="5"/>
      <c r="AI872" s="5"/>
    </row>
    <row r="873" spans="1:35" ht="15.75" customHeight="1">
      <c r="A873" s="5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5"/>
      <c r="T873" s="5"/>
      <c r="U873" s="104"/>
      <c r="V873" s="5"/>
      <c r="W873" s="5"/>
      <c r="X873" s="5"/>
      <c r="Y873" s="5"/>
      <c r="Z873" s="7"/>
      <c r="AA873" s="5"/>
      <c r="AB873" s="5"/>
      <c r="AC873" s="5"/>
      <c r="AD873" s="5"/>
      <c r="AE873" s="5"/>
      <c r="AF873" s="5"/>
      <c r="AG873" s="5"/>
      <c r="AH873" s="5"/>
      <c r="AI873" s="5"/>
    </row>
    <row r="874" spans="1:35" ht="15.75" customHeight="1">
      <c r="A874" s="5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5"/>
      <c r="T874" s="5"/>
      <c r="U874" s="104"/>
      <c r="V874" s="5"/>
      <c r="W874" s="5"/>
      <c r="X874" s="5"/>
      <c r="Y874" s="5"/>
      <c r="Z874" s="7"/>
      <c r="AA874" s="5"/>
      <c r="AB874" s="5"/>
      <c r="AC874" s="5"/>
      <c r="AD874" s="5"/>
      <c r="AE874" s="5"/>
      <c r="AF874" s="5"/>
      <c r="AG874" s="5"/>
      <c r="AH874" s="5"/>
      <c r="AI874" s="5"/>
    </row>
    <row r="875" spans="1:35" ht="15.75" customHeight="1">
      <c r="A875" s="5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5"/>
      <c r="T875" s="5"/>
      <c r="U875" s="104"/>
      <c r="V875" s="5"/>
      <c r="W875" s="5"/>
      <c r="X875" s="5"/>
      <c r="Y875" s="5"/>
      <c r="Z875" s="7"/>
      <c r="AA875" s="5"/>
      <c r="AB875" s="5"/>
      <c r="AC875" s="5"/>
      <c r="AD875" s="5"/>
      <c r="AE875" s="5"/>
      <c r="AF875" s="5"/>
      <c r="AG875" s="5"/>
      <c r="AH875" s="5"/>
      <c r="AI875" s="5"/>
    </row>
    <row r="876" spans="1:35" ht="15.75" customHeight="1">
      <c r="A876" s="5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5"/>
      <c r="T876" s="5"/>
      <c r="U876" s="104"/>
      <c r="V876" s="5"/>
      <c r="W876" s="5"/>
      <c r="X876" s="5"/>
      <c r="Y876" s="5"/>
      <c r="Z876" s="7"/>
      <c r="AA876" s="5"/>
      <c r="AB876" s="5"/>
      <c r="AC876" s="5"/>
      <c r="AD876" s="5"/>
      <c r="AE876" s="5"/>
      <c r="AF876" s="5"/>
      <c r="AG876" s="5"/>
      <c r="AH876" s="5"/>
      <c r="AI876" s="5"/>
    </row>
    <row r="877" spans="1:35" ht="15.75" customHeight="1">
      <c r="A877" s="5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5"/>
      <c r="T877" s="5"/>
      <c r="U877" s="104"/>
      <c r="V877" s="5"/>
      <c r="W877" s="5"/>
      <c r="X877" s="5"/>
      <c r="Y877" s="5"/>
      <c r="Z877" s="7"/>
      <c r="AA877" s="5"/>
      <c r="AB877" s="5"/>
      <c r="AC877" s="5"/>
      <c r="AD877" s="5"/>
      <c r="AE877" s="5"/>
      <c r="AF877" s="5"/>
      <c r="AG877" s="5"/>
      <c r="AH877" s="5"/>
      <c r="AI877" s="5"/>
    </row>
    <row r="878" spans="1:35" ht="15.75" customHeight="1">
      <c r="A878" s="5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5"/>
      <c r="T878" s="5"/>
      <c r="U878" s="104"/>
      <c r="V878" s="5"/>
      <c r="W878" s="5"/>
      <c r="X878" s="5"/>
      <c r="Y878" s="5"/>
      <c r="Z878" s="7"/>
      <c r="AA878" s="5"/>
      <c r="AB878" s="5"/>
      <c r="AC878" s="5"/>
      <c r="AD878" s="5"/>
      <c r="AE878" s="5"/>
      <c r="AF878" s="5"/>
      <c r="AG878" s="5"/>
      <c r="AH878" s="5"/>
      <c r="AI878" s="5"/>
    </row>
    <row r="879" spans="1:35" ht="15.75" customHeight="1">
      <c r="A879" s="5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5"/>
      <c r="T879" s="5"/>
      <c r="U879" s="104"/>
      <c r="V879" s="5"/>
      <c r="W879" s="5"/>
      <c r="X879" s="5"/>
      <c r="Y879" s="5"/>
      <c r="Z879" s="7"/>
      <c r="AA879" s="5"/>
      <c r="AB879" s="5"/>
      <c r="AC879" s="5"/>
      <c r="AD879" s="5"/>
      <c r="AE879" s="5"/>
      <c r="AF879" s="5"/>
      <c r="AG879" s="5"/>
      <c r="AH879" s="5"/>
      <c r="AI879" s="5"/>
    </row>
    <row r="880" spans="1:35" ht="15.75" customHeight="1">
      <c r="A880" s="5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5"/>
      <c r="T880" s="5"/>
      <c r="U880" s="104"/>
      <c r="V880" s="5"/>
      <c r="W880" s="5"/>
      <c r="X880" s="5"/>
      <c r="Y880" s="5"/>
      <c r="Z880" s="7"/>
      <c r="AA880" s="5"/>
      <c r="AB880" s="5"/>
      <c r="AC880" s="5"/>
      <c r="AD880" s="5"/>
      <c r="AE880" s="5"/>
      <c r="AF880" s="5"/>
      <c r="AG880" s="5"/>
      <c r="AH880" s="5"/>
      <c r="AI880" s="5"/>
    </row>
    <row r="881" spans="1:35" ht="15.75" customHeight="1">
      <c r="A881" s="5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5"/>
      <c r="T881" s="5"/>
      <c r="U881" s="104"/>
      <c r="V881" s="5"/>
      <c r="W881" s="5"/>
      <c r="X881" s="5"/>
      <c r="Y881" s="5"/>
      <c r="Z881" s="7"/>
      <c r="AA881" s="5"/>
      <c r="AB881" s="5"/>
      <c r="AC881" s="5"/>
      <c r="AD881" s="5"/>
      <c r="AE881" s="5"/>
      <c r="AF881" s="5"/>
      <c r="AG881" s="5"/>
      <c r="AH881" s="5"/>
      <c r="AI881" s="5"/>
    </row>
    <row r="882" spans="1:35" ht="15.75" customHeight="1">
      <c r="A882" s="5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5"/>
      <c r="T882" s="5"/>
      <c r="U882" s="104"/>
      <c r="V882" s="5"/>
      <c r="W882" s="5"/>
      <c r="X882" s="5"/>
      <c r="Y882" s="5"/>
      <c r="Z882" s="7"/>
      <c r="AA882" s="5"/>
      <c r="AB882" s="5"/>
      <c r="AC882" s="5"/>
      <c r="AD882" s="5"/>
      <c r="AE882" s="5"/>
      <c r="AF882" s="5"/>
      <c r="AG882" s="5"/>
      <c r="AH882" s="5"/>
      <c r="AI882" s="5"/>
    </row>
    <row r="883" spans="1:35" ht="15.75" customHeight="1">
      <c r="A883" s="5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5"/>
      <c r="T883" s="5"/>
      <c r="U883" s="104"/>
      <c r="V883" s="5"/>
      <c r="W883" s="5"/>
      <c r="X883" s="5"/>
      <c r="Y883" s="5"/>
      <c r="Z883" s="7"/>
      <c r="AA883" s="5"/>
      <c r="AB883" s="5"/>
      <c r="AC883" s="5"/>
      <c r="AD883" s="5"/>
      <c r="AE883" s="5"/>
      <c r="AF883" s="5"/>
      <c r="AG883" s="5"/>
      <c r="AH883" s="5"/>
      <c r="AI883" s="5"/>
    </row>
    <row r="884" spans="1:35" ht="15.75" customHeight="1">
      <c r="A884" s="5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5"/>
      <c r="T884" s="5"/>
      <c r="U884" s="104"/>
      <c r="V884" s="5"/>
      <c r="W884" s="5"/>
      <c r="X884" s="5"/>
      <c r="Y884" s="5"/>
      <c r="Z884" s="7"/>
      <c r="AA884" s="5"/>
      <c r="AB884" s="5"/>
      <c r="AC884" s="5"/>
      <c r="AD884" s="5"/>
      <c r="AE884" s="5"/>
      <c r="AF884" s="5"/>
      <c r="AG884" s="5"/>
      <c r="AH884" s="5"/>
      <c r="AI884" s="5"/>
    </row>
    <row r="885" spans="1:35" ht="15.75" customHeight="1">
      <c r="A885" s="5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5"/>
      <c r="T885" s="5"/>
      <c r="U885" s="104"/>
      <c r="V885" s="5"/>
      <c r="W885" s="5"/>
      <c r="X885" s="5"/>
      <c r="Y885" s="5"/>
      <c r="Z885" s="7"/>
      <c r="AA885" s="5"/>
      <c r="AB885" s="5"/>
      <c r="AC885" s="5"/>
      <c r="AD885" s="5"/>
      <c r="AE885" s="5"/>
      <c r="AF885" s="5"/>
      <c r="AG885" s="5"/>
      <c r="AH885" s="5"/>
      <c r="AI885" s="5"/>
    </row>
    <row r="886" spans="1:35" ht="15.75" customHeight="1">
      <c r="A886" s="5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5"/>
      <c r="T886" s="5"/>
      <c r="U886" s="104"/>
      <c r="V886" s="5"/>
      <c r="W886" s="5"/>
      <c r="X886" s="5"/>
      <c r="Y886" s="5"/>
      <c r="Z886" s="7"/>
      <c r="AA886" s="5"/>
      <c r="AB886" s="5"/>
      <c r="AC886" s="5"/>
      <c r="AD886" s="5"/>
      <c r="AE886" s="5"/>
      <c r="AF886" s="5"/>
      <c r="AG886" s="5"/>
      <c r="AH886" s="5"/>
      <c r="AI886" s="5"/>
    </row>
    <row r="887" spans="1:35" ht="15.75" customHeight="1">
      <c r="A887" s="5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5"/>
      <c r="T887" s="5"/>
      <c r="U887" s="104"/>
      <c r="V887" s="5"/>
      <c r="W887" s="5"/>
      <c r="X887" s="5"/>
      <c r="Y887" s="5"/>
      <c r="Z887" s="7"/>
      <c r="AA887" s="5"/>
      <c r="AB887" s="5"/>
      <c r="AC887" s="5"/>
      <c r="AD887" s="5"/>
      <c r="AE887" s="5"/>
      <c r="AF887" s="5"/>
      <c r="AG887" s="5"/>
      <c r="AH887" s="5"/>
      <c r="AI887" s="5"/>
    </row>
    <row r="888" spans="1:35" ht="15.75" customHeight="1">
      <c r="A888" s="5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5"/>
      <c r="T888" s="5"/>
      <c r="U888" s="104"/>
      <c r="V888" s="5"/>
      <c r="W888" s="5"/>
      <c r="X888" s="5"/>
      <c r="Y888" s="5"/>
      <c r="Z888" s="7"/>
      <c r="AA888" s="5"/>
      <c r="AB888" s="5"/>
      <c r="AC888" s="5"/>
      <c r="AD888" s="5"/>
      <c r="AE888" s="5"/>
      <c r="AF888" s="5"/>
      <c r="AG888" s="5"/>
      <c r="AH888" s="5"/>
      <c r="AI888" s="5"/>
    </row>
    <row r="889" spans="1:35" ht="15.75" customHeight="1">
      <c r="A889" s="5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5"/>
      <c r="T889" s="5"/>
      <c r="U889" s="104"/>
      <c r="V889" s="5"/>
      <c r="W889" s="5"/>
      <c r="X889" s="5"/>
      <c r="Y889" s="5"/>
      <c r="Z889" s="7"/>
      <c r="AA889" s="5"/>
      <c r="AB889" s="5"/>
      <c r="AC889" s="5"/>
      <c r="AD889" s="5"/>
      <c r="AE889" s="5"/>
      <c r="AF889" s="5"/>
      <c r="AG889" s="5"/>
      <c r="AH889" s="5"/>
      <c r="AI889" s="5"/>
    </row>
    <row r="890" spans="1:35" ht="15.75" customHeight="1">
      <c r="A890" s="5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5"/>
      <c r="T890" s="5"/>
      <c r="U890" s="104"/>
      <c r="V890" s="5"/>
      <c r="W890" s="5"/>
      <c r="X890" s="5"/>
      <c r="Y890" s="5"/>
      <c r="Z890" s="7"/>
      <c r="AA890" s="5"/>
      <c r="AB890" s="5"/>
      <c r="AC890" s="5"/>
      <c r="AD890" s="5"/>
      <c r="AE890" s="5"/>
      <c r="AF890" s="5"/>
      <c r="AG890" s="5"/>
      <c r="AH890" s="5"/>
      <c r="AI890" s="5"/>
    </row>
    <row r="891" spans="1:35" ht="15.75" customHeight="1">
      <c r="A891" s="5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5"/>
      <c r="T891" s="5"/>
      <c r="U891" s="104"/>
      <c r="V891" s="5"/>
      <c r="W891" s="5"/>
      <c r="X891" s="5"/>
      <c r="Y891" s="5"/>
      <c r="Z891" s="7"/>
      <c r="AA891" s="5"/>
      <c r="AB891" s="5"/>
      <c r="AC891" s="5"/>
      <c r="AD891" s="5"/>
      <c r="AE891" s="5"/>
      <c r="AF891" s="5"/>
      <c r="AG891" s="5"/>
      <c r="AH891" s="5"/>
      <c r="AI891" s="5"/>
    </row>
    <row r="892" spans="1:35" ht="15.75" customHeight="1">
      <c r="A892" s="5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5"/>
      <c r="T892" s="5"/>
      <c r="U892" s="104"/>
      <c r="V892" s="5"/>
      <c r="W892" s="5"/>
      <c r="X892" s="5"/>
      <c r="Y892" s="5"/>
      <c r="Z892" s="7"/>
      <c r="AA892" s="5"/>
      <c r="AB892" s="5"/>
      <c r="AC892" s="5"/>
      <c r="AD892" s="5"/>
      <c r="AE892" s="5"/>
      <c r="AF892" s="5"/>
      <c r="AG892" s="5"/>
      <c r="AH892" s="5"/>
      <c r="AI892" s="5"/>
    </row>
    <row r="893" spans="1:35" ht="15.75" customHeight="1">
      <c r="A893" s="5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5"/>
      <c r="T893" s="5"/>
      <c r="U893" s="104"/>
      <c r="V893" s="5"/>
      <c r="W893" s="5"/>
      <c r="X893" s="5"/>
      <c r="Y893" s="5"/>
      <c r="Z893" s="7"/>
      <c r="AA893" s="5"/>
      <c r="AB893" s="5"/>
      <c r="AC893" s="5"/>
      <c r="AD893" s="5"/>
      <c r="AE893" s="5"/>
      <c r="AF893" s="5"/>
      <c r="AG893" s="5"/>
      <c r="AH893" s="5"/>
      <c r="AI893" s="5"/>
    </row>
    <row r="894" spans="1:35" ht="15.75" customHeight="1">
      <c r="A894" s="5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5"/>
      <c r="T894" s="5"/>
      <c r="U894" s="104"/>
      <c r="V894" s="5"/>
      <c r="W894" s="5"/>
      <c r="X894" s="5"/>
      <c r="Y894" s="5"/>
      <c r="Z894" s="7"/>
      <c r="AA894" s="5"/>
      <c r="AB894" s="5"/>
      <c r="AC894" s="5"/>
      <c r="AD894" s="5"/>
      <c r="AE894" s="5"/>
      <c r="AF894" s="5"/>
      <c r="AG894" s="5"/>
      <c r="AH894" s="5"/>
      <c r="AI894" s="5"/>
    </row>
    <row r="895" spans="1:35" ht="15.75" customHeight="1">
      <c r="A895" s="5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5"/>
      <c r="T895" s="5"/>
      <c r="U895" s="104"/>
      <c r="V895" s="5"/>
      <c r="W895" s="5"/>
      <c r="X895" s="5"/>
      <c r="Y895" s="5"/>
      <c r="Z895" s="7"/>
      <c r="AA895" s="5"/>
      <c r="AB895" s="5"/>
      <c r="AC895" s="5"/>
      <c r="AD895" s="5"/>
      <c r="AE895" s="5"/>
      <c r="AF895" s="5"/>
      <c r="AG895" s="5"/>
      <c r="AH895" s="5"/>
      <c r="AI895" s="5"/>
    </row>
    <row r="896" spans="1:35" ht="15.75" customHeight="1">
      <c r="A896" s="5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5"/>
      <c r="T896" s="5"/>
      <c r="U896" s="104"/>
      <c r="V896" s="5"/>
      <c r="W896" s="5"/>
      <c r="X896" s="5"/>
      <c r="Y896" s="5"/>
      <c r="Z896" s="7"/>
      <c r="AA896" s="5"/>
      <c r="AB896" s="5"/>
      <c r="AC896" s="5"/>
      <c r="AD896" s="5"/>
      <c r="AE896" s="5"/>
      <c r="AF896" s="5"/>
      <c r="AG896" s="5"/>
      <c r="AH896" s="5"/>
      <c r="AI896" s="5"/>
    </row>
    <row r="897" spans="1:35" ht="15.75" customHeight="1">
      <c r="A897" s="5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5"/>
      <c r="T897" s="5"/>
      <c r="U897" s="104"/>
      <c r="V897" s="5"/>
      <c r="W897" s="5"/>
      <c r="X897" s="5"/>
      <c r="Y897" s="5"/>
      <c r="Z897" s="7"/>
      <c r="AA897" s="5"/>
      <c r="AB897" s="5"/>
      <c r="AC897" s="5"/>
      <c r="AD897" s="5"/>
      <c r="AE897" s="5"/>
      <c r="AF897" s="5"/>
      <c r="AG897" s="5"/>
      <c r="AH897" s="5"/>
      <c r="AI897" s="5"/>
    </row>
    <row r="898" spans="1:35" ht="15.75" customHeight="1">
      <c r="A898" s="5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5"/>
      <c r="T898" s="5"/>
      <c r="U898" s="104"/>
      <c r="V898" s="5"/>
      <c r="W898" s="5"/>
      <c r="X898" s="5"/>
      <c r="Y898" s="5"/>
      <c r="Z898" s="7"/>
      <c r="AA898" s="5"/>
      <c r="AB898" s="5"/>
      <c r="AC898" s="5"/>
      <c r="AD898" s="5"/>
      <c r="AE898" s="5"/>
      <c r="AF898" s="5"/>
      <c r="AG898" s="5"/>
      <c r="AH898" s="5"/>
      <c r="AI898" s="5"/>
    </row>
    <row r="899" spans="1:35" ht="15.75" customHeight="1">
      <c r="A899" s="5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5"/>
      <c r="T899" s="5"/>
      <c r="U899" s="104"/>
      <c r="V899" s="5"/>
      <c r="W899" s="5"/>
      <c r="X899" s="5"/>
      <c r="Y899" s="5"/>
      <c r="Z899" s="7"/>
      <c r="AA899" s="5"/>
      <c r="AB899" s="5"/>
      <c r="AC899" s="5"/>
      <c r="AD899" s="5"/>
      <c r="AE899" s="5"/>
      <c r="AF899" s="5"/>
      <c r="AG899" s="5"/>
      <c r="AH899" s="5"/>
      <c r="AI899" s="5"/>
    </row>
    <row r="900" spans="1:35" ht="15.75" customHeight="1">
      <c r="A900" s="5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5"/>
      <c r="T900" s="5"/>
      <c r="U900" s="104"/>
      <c r="V900" s="5"/>
      <c r="W900" s="5"/>
      <c r="X900" s="5"/>
      <c r="Y900" s="5"/>
      <c r="Z900" s="7"/>
      <c r="AA900" s="5"/>
      <c r="AB900" s="5"/>
      <c r="AC900" s="5"/>
      <c r="AD900" s="5"/>
      <c r="AE900" s="5"/>
      <c r="AF900" s="5"/>
      <c r="AG900" s="5"/>
      <c r="AH900" s="5"/>
      <c r="AI900" s="5"/>
    </row>
    <row r="901" spans="1:35" ht="15.75" customHeight="1">
      <c r="A901" s="5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5"/>
      <c r="T901" s="5"/>
      <c r="U901" s="104"/>
      <c r="V901" s="5"/>
      <c r="W901" s="5"/>
      <c r="X901" s="5"/>
      <c r="Y901" s="5"/>
      <c r="Z901" s="7"/>
      <c r="AA901" s="5"/>
      <c r="AB901" s="5"/>
      <c r="AC901" s="5"/>
      <c r="AD901" s="5"/>
      <c r="AE901" s="5"/>
      <c r="AF901" s="5"/>
      <c r="AG901" s="5"/>
      <c r="AH901" s="5"/>
      <c r="AI901" s="5"/>
    </row>
    <row r="902" spans="1:35" ht="15.75" customHeight="1">
      <c r="A902" s="5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5"/>
      <c r="T902" s="5"/>
      <c r="U902" s="104"/>
      <c r="V902" s="5"/>
      <c r="W902" s="5"/>
      <c r="X902" s="5"/>
      <c r="Y902" s="5"/>
      <c r="Z902" s="7"/>
      <c r="AA902" s="5"/>
      <c r="AB902" s="5"/>
      <c r="AC902" s="5"/>
      <c r="AD902" s="5"/>
      <c r="AE902" s="5"/>
      <c r="AF902" s="5"/>
      <c r="AG902" s="5"/>
      <c r="AH902" s="5"/>
      <c r="AI902" s="5"/>
    </row>
    <row r="903" spans="1:35" ht="15.75" customHeight="1">
      <c r="A903" s="5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5"/>
      <c r="T903" s="5"/>
      <c r="U903" s="104"/>
      <c r="V903" s="5"/>
      <c r="W903" s="5"/>
      <c r="X903" s="5"/>
      <c r="Y903" s="5"/>
      <c r="Z903" s="7"/>
      <c r="AA903" s="5"/>
      <c r="AB903" s="5"/>
      <c r="AC903" s="5"/>
      <c r="AD903" s="5"/>
      <c r="AE903" s="5"/>
      <c r="AF903" s="5"/>
      <c r="AG903" s="5"/>
      <c r="AH903" s="5"/>
      <c r="AI903" s="5"/>
    </row>
    <row r="904" spans="1:35" ht="15.75" customHeight="1">
      <c r="A904" s="5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5"/>
      <c r="T904" s="5"/>
      <c r="U904" s="104"/>
      <c r="V904" s="5"/>
      <c r="W904" s="5"/>
      <c r="X904" s="5"/>
      <c r="Y904" s="5"/>
      <c r="Z904" s="7"/>
      <c r="AA904" s="5"/>
      <c r="AB904" s="5"/>
      <c r="AC904" s="5"/>
      <c r="AD904" s="5"/>
      <c r="AE904" s="5"/>
      <c r="AF904" s="5"/>
      <c r="AG904" s="5"/>
      <c r="AH904" s="5"/>
      <c r="AI904" s="5"/>
    </row>
    <row r="905" spans="1:35" ht="15.75" customHeight="1">
      <c r="A905" s="5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5"/>
      <c r="T905" s="5"/>
      <c r="U905" s="104"/>
      <c r="V905" s="5"/>
      <c r="W905" s="5"/>
      <c r="X905" s="5"/>
      <c r="Y905" s="5"/>
      <c r="Z905" s="7"/>
      <c r="AA905" s="5"/>
      <c r="AB905" s="5"/>
      <c r="AC905" s="5"/>
      <c r="AD905" s="5"/>
      <c r="AE905" s="5"/>
      <c r="AF905" s="5"/>
      <c r="AG905" s="5"/>
      <c r="AH905" s="5"/>
      <c r="AI905" s="5"/>
    </row>
    <row r="906" spans="1:35" ht="15.75" customHeight="1">
      <c r="A906" s="5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5"/>
      <c r="T906" s="5"/>
      <c r="U906" s="104"/>
      <c r="V906" s="5"/>
      <c r="W906" s="5"/>
      <c r="X906" s="5"/>
      <c r="Y906" s="5"/>
      <c r="Z906" s="7"/>
      <c r="AA906" s="5"/>
      <c r="AB906" s="5"/>
      <c r="AC906" s="5"/>
      <c r="AD906" s="5"/>
      <c r="AE906" s="5"/>
      <c r="AF906" s="5"/>
      <c r="AG906" s="5"/>
      <c r="AH906" s="5"/>
      <c r="AI906" s="5"/>
    </row>
    <row r="907" spans="1:35" ht="15.75" customHeight="1">
      <c r="A907" s="5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5"/>
      <c r="T907" s="5"/>
      <c r="U907" s="104"/>
      <c r="V907" s="5"/>
      <c r="W907" s="5"/>
      <c r="X907" s="5"/>
      <c r="Y907" s="5"/>
      <c r="Z907" s="7"/>
      <c r="AA907" s="5"/>
      <c r="AB907" s="5"/>
      <c r="AC907" s="5"/>
      <c r="AD907" s="5"/>
      <c r="AE907" s="5"/>
      <c r="AF907" s="5"/>
      <c r="AG907" s="5"/>
      <c r="AH907" s="5"/>
      <c r="AI907" s="5"/>
    </row>
    <row r="908" spans="1:35" ht="15.75" customHeight="1">
      <c r="A908" s="5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5"/>
      <c r="T908" s="5"/>
      <c r="U908" s="104"/>
      <c r="V908" s="5"/>
      <c r="W908" s="5"/>
      <c r="X908" s="5"/>
      <c r="Y908" s="5"/>
      <c r="Z908" s="7"/>
      <c r="AA908" s="5"/>
      <c r="AB908" s="5"/>
      <c r="AC908" s="5"/>
      <c r="AD908" s="5"/>
      <c r="AE908" s="5"/>
      <c r="AF908" s="5"/>
      <c r="AG908" s="5"/>
      <c r="AH908" s="5"/>
      <c r="AI908" s="5"/>
    </row>
    <row r="909" spans="1:35" ht="15.75" customHeight="1">
      <c r="A909" s="5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5"/>
      <c r="T909" s="5"/>
      <c r="U909" s="104"/>
      <c r="V909" s="5"/>
      <c r="W909" s="5"/>
      <c r="X909" s="5"/>
      <c r="Y909" s="5"/>
      <c r="Z909" s="7"/>
      <c r="AA909" s="5"/>
      <c r="AB909" s="5"/>
      <c r="AC909" s="5"/>
      <c r="AD909" s="5"/>
      <c r="AE909" s="5"/>
      <c r="AF909" s="5"/>
      <c r="AG909" s="5"/>
      <c r="AH909" s="5"/>
      <c r="AI909" s="5"/>
    </row>
    <row r="910" spans="1:35" ht="15.75" customHeight="1">
      <c r="A910" s="5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5"/>
      <c r="T910" s="5"/>
      <c r="U910" s="104"/>
      <c r="V910" s="5"/>
      <c r="W910" s="5"/>
      <c r="X910" s="5"/>
      <c r="Y910" s="5"/>
      <c r="Z910" s="7"/>
      <c r="AA910" s="5"/>
      <c r="AB910" s="5"/>
      <c r="AC910" s="5"/>
      <c r="AD910" s="5"/>
      <c r="AE910" s="5"/>
      <c r="AF910" s="5"/>
      <c r="AG910" s="5"/>
      <c r="AH910" s="5"/>
      <c r="AI910" s="5"/>
    </row>
    <row r="911" spans="1:35" ht="15.75" customHeight="1">
      <c r="A911" s="5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5"/>
      <c r="T911" s="5"/>
      <c r="U911" s="104"/>
      <c r="V911" s="5"/>
      <c r="W911" s="5"/>
      <c r="X911" s="5"/>
      <c r="Y911" s="5"/>
      <c r="Z911" s="7"/>
      <c r="AA911" s="5"/>
      <c r="AB911" s="5"/>
      <c r="AC911" s="5"/>
      <c r="AD911" s="5"/>
      <c r="AE911" s="5"/>
      <c r="AF911" s="5"/>
      <c r="AG911" s="5"/>
      <c r="AH911" s="5"/>
      <c r="AI911" s="5"/>
    </row>
    <row r="912" spans="1:35" ht="15.75" customHeight="1">
      <c r="A912" s="5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5"/>
      <c r="T912" s="5"/>
      <c r="U912" s="104"/>
      <c r="V912" s="5"/>
      <c r="W912" s="5"/>
      <c r="X912" s="5"/>
      <c r="Y912" s="5"/>
      <c r="Z912" s="7"/>
      <c r="AA912" s="5"/>
      <c r="AB912" s="5"/>
      <c r="AC912" s="5"/>
      <c r="AD912" s="5"/>
      <c r="AE912" s="5"/>
      <c r="AF912" s="5"/>
      <c r="AG912" s="5"/>
      <c r="AH912" s="5"/>
      <c r="AI912" s="5"/>
    </row>
    <row r="913" spans="1:35" ht="15.75" customHeight="1">
      <c r="A913" s="5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5"/>
      <c r="T913" s="5"/>
      <c r="U913" s="104"/>
      <c r="V913" s="5"/>
      <c r="W913" s="5"/>
      <c r="X913" s="5"/>
      <c r="Y913" s="5"/>
      <c r="Z913" s="7"/>
      <c r="AA913" s="5"/>
      <c r="AB913" s="5"/>
      <c r="AC913" s="5"/>
      <c r="AD913" s="5"/>
      <c r="AE913" s="5"/>
      <c r="AF913" s="5"/>
      <c r="AG913" s="5"/>
      <c r="AH913" s="5"/>
      <c r="AI913" s="5"/>
    </row>
    <row r="914" spans="1:35" ht="15.75" customHeight="1">
      <c r="A914" s="5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5"/>
      <c r="T914" s="5"/>
      <c r="U914" s="104"/>
      <c r="V914" s="5"/>
      <c r="W914" s="5"/>
      <c r="X914" s="5"/>
      <c r="Y914" s="5"/>
      <c r="Z914" s="7"/>
      <c r="AA914" s="5"/>
      <c r="AB914" s="5"/>
      <c r="AC914" s="5"/>
      <c r="AD914" s="5"/>
      <c r="AE914" s="5"/>
      <c r="AF914" s="5"/>
      <c r="AG914" s="5"/>
      <c r="AH914" s="5"/>
      <c r="AI914" s="5"/>
    </row>
    <row r="915" spans="1:35" ht="15.75" customHeight="1">
      <c r="A915" s="5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5"/>
      <c r="T915" s="5"/>
      <c r="U915" s="104"/>
      <c r="V915" s="5"/>
      <c r="W915" s="5"/>
      <c r="X915" s="5"/>
      <c r="Y915" s="5"/>
      <c r="Z915" s="7"/>
      <c r="AA915" s="5"/>
      <c r="AB915" s="5"/>
      <c r="AC915" s="5"/>
      <c r="AD915" s="5"/>
      <c r="AE915" s="5"/>
      <c r="AF915" s="5"/>
      <c r="AG915" s="5"/>
      <c r="AH915" s="5"/>
      <c r="AI915" s="5"/>
    </row>
    <row r="916" spans="1:35" ht="15.75" customHeight="1">
      <c r="A916" s="5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5"/>
      <c r="T916" s="5"/>
      <c r="U916" s="104"/>
      <c r="V916" s="5"/>
      <c r="W916" s="5"/>
      <c r="X916" s="5"/>
      <c r="Y916" s="5"/>
      <c r="Z916" s="7"/>
      <c r="AA916" s="5"/>
      <c r="AB916" s="5"/>
      <c r="AC916" s="5"/>
      <c r="AD916" s="5"/>
      <c r="AE916" s="5"/>
      <c r="AF916" s="5"/>
      <c r="AG916" s="5"/>
      <c r="AH916" s="5"/>
      <c r="AI916" s="5"/>
    </row>
    <row r="917" spans="1:35" ht="15.75" customHeight="1">
      <c r="A917" s="5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5"/>
      <c r="T917" s="5"/>
      <c r="U917" s="104"/>
      <c r="V917" s="5"/>
      <c r="W917" s="5"/>
      <c r="X917" s="5"/>
      <c r="Y917" s="5"/>
      <c r="Z917" s="7"/>
      <c r="AA917" s="5"/>
      <c r="AB917" s="5"/>
      <c r="AC917" s="5"/>
      <c r="AD917" s="5"/>
      <c r="AE917" s="5"/>
      <c r="AF917" s="5"/>
      <c r="AG917" s="5"/>
      <c r="AH917" s="5"/>
      <c r="AI917" s="5"/>
    </row>
    <row r="918" spans="1:35" ht="15.75" customHeight="1">
      <c r="A918" s="5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5"/>
      <c r="T918" s="5"/>
      <c r="U918" s="104"/>
      <c r="V918" s="5"/>
      <c r="W918" s="5"/>
      <c r="X918" s="5"/>
      <c r="Y918" s="5"/>
      <c r="Z918" s="7"/>
      <c r="AA918" s="5"/>
      <c r="AB918" s="5"/>
      <c r="AC918" s="5"/>
      <c r="AD918" s="5"/>
      <c r="AE918" s="5"/>
      <c r="AF918" s="5"/>
      <c r="AG918" s="5"/>
      <c r="AH918" s="5"/>
      <c r="AI918" s="5"/>
    </row>
    <row r="919" spans="1:35" ht="15.75" customHeight="1">
      <c r="A919" s="5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5"/>
      <c r="T919" s="5"/>
      <c r="U919" s="104"/>
      <c r="V919" s="5"/>
      <c r="W919" s="5"/>
      <c r="X919" s="5"/>
      <c r="Y919" s="5"/>
      <c r="Z919" s="7"/>
      <c r="AA919" s="5"/>
      <c r="AB919" s="5"/>
      <c r="AC919" s="5"/>
      <c r="AD919" s="5"/>
      <c r="AE919" s="5"/>
      <c r="AF919" s="5"/>
      <c r="AG919" s="5"/>
      <c r="AH919" s="5"/>
      <c r="AI919" s="5"/>
    </row>
    <row r="920" spans="1:35" ht="15.75" customHeight="1">
      <c r="A920" s="5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5"/>
      <c r="T920" s="5"/>
      <c r="U920" s="104"/>
      <c r="V920" s="5"/>
      <c r="W920" s="5"/>
      <c r="X920" s="5"/>
      <c r="Y920" s="5"/>
      <c r="Z920" s="7"/>
      <c r="AA920" s="5"/>
      <c r="AB920" s="5"/>
      <c r="AC920" s="5"/>
      <c r="AD920" s="5"/>
      <c r="AE920" s="5"/>
      <c r="AF920" s="5"/>
      <c r="AG920" s="5"/>
      <c r="AH920" s="5"/>
      <c r="AI920" s="5"/>
    </row>
    <row r="921" spans="1:35" ht="15.75" customHeight="1">
      <c r="A921" s="5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5"/>
      <c r="T921" s="5"/>
      <c r="U921" s="104"/>
      <c r="V921" s="5"/>
      <c r="W921" s="5"/>
      <c r="X921" s="5"/>
      <c r="Y921" s="5"/>
      <c r="Z921" s="7"/>
      <c r="AA921" s="5"/>
      <c r="AB921" s="5"/>
      <c r="AC921" s="5"/>
      <c r="AD921" s="5"/>
      <c r="AE921" s="5"/>
      <c r="AF921" s="5"/>
      <c r="AG921" s="5"/>
      <c r="AH921" s="5"/>
      <c r="AI921" s="5"/>
    </row>
    <row r="922" spans="1:35" ht="15.75" customHeight="1">
      <c r="A922" s="5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5"/>
      <c r="T922" s="5"/>
      <c r="U922" s="104"/>
      <c r="V922" s="5"/>
      <c r="W922" s="5"/>
      <c r="X922" s="5"/>
      <c r="Y922" s="5"/>
      <c r="Z922" s="7"/>
      <c r="AA922" s="5"/>
      <c r="AB922" s="5"/>
      <c r="AC922" s="5"/>
      <c r="AD922" s="5"/>
      <c r="AE922" s="5"/>
      <c r="AF922" s="5"/>
      <c r="AG922" s="5"/>
      <c r="AH922" s="5"/>
      <c r="AI922" s="5"/>
    </row>
    <row r="923" spans="1:35" ht="15.75" customHeight="1">
      <c r="A923" s="5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5"/>
      <c r="T923" s="5"/>
      <c r="U923" s="104"/>
      <c r="V923" s="5"/>
      <c r="W923" s="5"/>
      <c r="X923" s="5"/>
      <c r="Y923" s="5"/>
      <c r="Z923" s="7"/>
      <c r="AA923" s="5"/>
      <c r="AB923" s="5"/>
      <c r="AC923" s="5"/>
      <c r="AD923" s="5"/>
      <c r="AE923" s="5"/>
      <c r="AF923" s="5"/>
      <c r="AG923" s="5"/>
      <c r="AH923" s="5"/>
      <c r="AI923" s="5"/>
    </row>
    <row r="924" spans="1:35" ht="15.75" customHeight="1">
      <c r="A924" s="5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5"/>
      <c r="T924" s="5"/>
      <c r="U924" s="104"/>
      <c r="V924" s="5"/>
      <c r="W924" s="5"/>
      <c r="X924" s="5"/>
      <c r="Y924" s="5"/>
      <c r="Z924" s="7"/>
      <c r="AA924" s="5"/>
      <c r="AB924" s="5"/>
      <c r="AC924" s="5"/>
      <c r="AD924" s="5"/>
      <c r="AE924" s="5"/>
      <c r="AF924" s="5"/>
      <c r="AG924" s="5"/>
      <c r="AH924" s="5"/>
      <c r="AI924" s="5"/>
    </row>
    <row r="925" spans="1:35" ht="15.75" customHeight="1">
      <c r="A925" s="5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5"/>
      <c r="T925" s="5"/>
      <c r="U925" s="104"/>
      <c r="V925" s="5"/>
      <c r="W925" s="5"/>
      <c r="X925" s="5"/>
      <c r="Y925" s="5"/>
      <c r="Z925" s="7"/>
      <c r="AA925" s="5"/>
      <c r="AB925" s="5"/>
      <c r="AC925" s="5"/>
      <c r="AD925" s="5"/>
      <c r="AE925" s="5"/>
      <c r="AF925" s="5"/>
      <c r="AG925" s="5"/>
      <c r="AH925" s="5"/>
      <c r="AI925" s="5"/>
    </row>
    <row r="926" spans="1:35" ht="15.75" customHeight="1">
      <c r="A926" s="5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5"/>
      <c r="T926" s="5"/>
      <c r="U926" s="104"/>
      <c r="V926" s="5"/>
      <c r="W926" s="5"/>
      <c r="X926" s="5"/>
      <c r="Y926" s="5"/>
      <c r="Z926" s="7"/>
      <c r="AA926" s="5"/>
      <c r="AB926" s="5"/>
      <c r="AC926" s="5"/>
      <c r="AD926" s="5"/>
      <c r="AE926" s="5"/>
      <c r="AF926" s="5"/>
      <c r="AG926" s="5"/>
      <c r="AH926" s="5"/>
      <c r="AI926" s="5"/>
    </row>
    <row r="927" spans="1:35" ht="15.75" customHeight="1">
      <c r="A927" s="5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5"/>
      <c r="T927" s="5"/>
      <c r="U927" s="104"/>
      <c r="V927" s="5"/>
      <c r="W927" s="5"/>
      <c r="X927" s="5"/>
      <c r="Y927" s="5"/>
      <c r="Z927" s="7"/>
      <c r="AA927" s="5"/>
      <c r="AB927" s="5"/>
      <c r="AC927" s="5"/>
      <c r="AD927" s="5"/>
      <c r="AE927" s="5"/>
      <c r="AF927" s="5"/>
      <c r="AG927" s="5"/>
      <c r="AH927" s="5"/>
      <c r="AI927" s="5"/>
    </row>
    <row r="928" spans="1:35" ht="15.75" customHeight="1">
      <c r="A928" s="5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5"/>
      <c r="T928" s="5"/>
      <c r="U928" s="104"/>
      <c r="V928" s="5"/>
      <c r="W928" s="5"/>
      <c r="X928" s="5"/>
      <c r="Y928" s="5"/>
      <c r="Z928" s="7"/>
      <c r="AA928" s="5"/>
      <c r="AB928" s="5"/>
      <c r="AC928" s="5"/>
      <c r="AD928" s="5"/>
      <c r="AE928" s="5"/>
      <c r="AF928" s="5"/>
      <c r="AG928" s="5"/>
      <c r="AH928" s="5"/>
      <c r="AI928" s="5"/>
    </row>
    <row r="929" spans="1:35" ht="15.75" customHeight="1">
      <c r="A929" s="5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5"/>
      <c r="T929" s="5"/>
      <c r="U929" s="104"/>
      <c r="V929" s="5"/>
      <c r="W929" s="5"/>
      <c r="X929" s="5"/>
      <c r="Y929" s="5"/>
      <c r="Z929" s="7"/>
      <c r="AA929" s="5"/>
      <c r="AB929" s="5"/>
      <c r="AC929" s="5"/>
      <c r="AD929" s="5"/>
      <c r="AE929" s="5"/>
      <c r="AF929" s="5"/>
      <c r="AG929" s="5"/>
      <c r="AH929" s="5"/>
      <c r="AI929" s="5"/>
    </row>
    <row r="930" spans="1:35" ht="15.75" customHeight="1">
      <c r="A930" s="5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5"/>
      <c r="T930" s="5"/>
      <c r="U930" s="104"/>
      <c r="V930" s="5"/>
      <c r="W930" s="5"/>
      <c r="X930" s="5"/>
      <c r="Y930" s="5"/>
      <c r="Z930" s="7"/>
      <c r="AA930" s="5"/>
      <c r="AB930" s="5"/>
      <c r="AC930" s="5"/>
      <c r="AD930" s="5"/>
      <c r="AE930" s="5"/>
      <c r="AF930" s="5"/>
      <c r="AG930" s="5"/>
      <c r="AH930" s="5"/>
      <c r="AI930" s="5"/>
    </row>
    <row r="931" spans="1:35" ht="15.75" customHeight="1">
      <c r="A931" s="5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5"/>
      <c r="T931" s="5"/>
      <c r="U931" s="104"/>
      <c r="V931" s="5"/>
      <c r="W931" s="5"/>
      <c r="X931" s="5"/>
      <c r="Y931" s="5"/>
      <c r="Z931" s="7"/>
      <c r="AA931" s="5"/>
      <c r="AB931" s="5"/>
      <c r="AC931" s="5"/>
      <c r="AD931" s="5"/>
      <c r="AE931" s="5"/>
      <c r="AF931" s="5"/>
      <c r="AG931" s="5"/>
      <c r="AH931" s="5"/>
      <c r="AI931" s="5"/>
    </row>
    <row r="932" spans="1:35" ht="15.75" customHeight="1">
      <c r="A932" s="5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5"/>
      <c r="T932" s="5"/>
      <c r="U932" s="104"/>
      <c r="V932" s="5"/>
      <c r="W932" s="5"/>
      <c r="X932" s="5"/>
      <c r="Y932" s="5"/>
      <c r="Z932" s="7"/>
      <c r="AA932" s="5"/>
      <c r="AB932" s="5"/>
      <c r="AC932" s="5"/>
      <c r="AD932" s="5"/>
      <c r="AE932" s="5"/>
      <c r="AF932" s="5"/>
      <c r="AG932" s="5"/>
      <c r="AH932" s="5"/>
      <c r="AI932" s="5"/>
    </row>
    <row r="933" spans="1:35" ht="15.75" customHeight="1">
      <c r="A933" s="5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5"/>
      <c r="T933" s="5"/>
      <c r="U933" s="104"/>
      <c r="V933" s="5"/>
      <c r="W933" s="5"/>
      <c r="X933" s="5"/>
      <c r="Y933" s="5"/>
      <c r="Z933" s="7"/>
      <c r="AA933" s="5"/>
      <c r="AB933" s="5"/>
      <c r="AC933" s="5"/>
      <c r="AD933" s="5"/>
      <c r="AE933" s="5"/>
      <c r="AF933" s="5"/>
      <c r="AG933" s="5"/>
      <c r="AH933" s="5"/>
      <c r="AI933" s="5"/>
    </row>
    <row r="934" spans="1:35" ht="15.75" customHeight="1">
      <c r="A934" s="5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5"/>
      <c r="T934" s="5"/>
      <c r="U934" s="104"/>
      <c r="V934" s="5"/>
      <c r="W934" s="5"/>
      <c r="X934" s="5"/>
      <c r="Y934" s="5"/>
      <c r="Z934" s="7"/>
      <c r="AA934" s="5"/>
      <c r="AB934" s="5"/>
      <c r="AC934" s="5"/>
      <c r="AD934" s="5"/>
      <c r="AE934" s="5"/>
      <c r="AF934" s="5"/>
      <c r="AG934" s="5"/>
      <c r="AH934" s="5"/>
      <c r="AI934" s="5"/>
    </row>
    <row r="935" spans="1:35" ht="15.75" customHeight="1">
      <c r="A935" s="5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5"/>
      <c r="T935" s="5"/>
      <c r="U935" s="104"/>
      <c r="V935" s="5"/>
      <c r="W935" s="5"/>
      <c r="X935" s="5"/>
      <c r="Y935" s="5"/>
      <c r="Z935" s="7"/>
      <c r="AA935" s="5"/>
      <c r="AB935" s="5"/>
      <c r="AC935" s="5"/>
      <c r="AD935" s="5"/>
      <c r="AE935" s="5"/>
      <c r="AF935" s="5"/>
      <c r="AG935" s="5"/>
      <c r="AH935" s="5"/>
      <c r="AI935" s="5"/>
    </row>
    <row r="936" spans="1:35" ht="15.75" customHeight="1">
      <c r="A936" s="5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5"/>
      <c r="T936" s="5"/>
      <c r="U936" s="104"/>
      <c r="V936" s="5"/>
      <c r="W936" s="5"/>
      <c r="X936" s="5"/>
      <c r="Y936" s="5"/>
      <c r="Z936" s="7"/>
      <c r="AA936" s="5"/>
      <c r="AB936" s="5"/>
      <c r="AC936" s="5"/>
      <c r="AD936" s="5"/>
      <c r="AE936" s="5"/>
      <c r="AF936" s="5"/>
      <c r="AG936" s="5"/>
      <c r="AH936" s="5"/>
      <c r="AI936" s="5"/>
    </row>
    <row r="937" spans="1:35" ht="15.75" customHeight="1">
      <c r="A937" s="5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5"/>
      <c r="T937" s="5"/>
      <c r="U937" s="104"/>
      <c r="V937" s="5"/>
      <c r="W937" s="5"/>
      <c r="X937" s="5"/>
      <c r="Y937" s="5"/>
      <c r="Z937" s="7"/>
      <c r="AA937" s="5"/>
      <c r="AB937" s="5"/>
      <c r="AC937" s="5"/>
      <c r="AD937" s="5"/>
      <c r="AE937" s="5"/>
      <c r="AF937" s="5"/>
      <c r="AG937" s="5"/>
      <c r="AH937" s="5"/>
      <c r="AI937" s="5"/>
    </row>
    <row r="938" spans="1:35" ht="15.75" customHeight="1">
      <c r="A938" s="5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5"/>
      <c r="T938" s="5"/>
      <c r="U938" s="104"/>
      <c r="V938" s="5"/>
      <c r="W938" s="5"/>
      <c r="X938" s="5"/>
      <c r="Y938" s="5"/>
      <c r="Z938" s="7"/>
      <c r="AA938" s="5"/>
      <c r="AB938" s="5"/>
      <c r="AC938" s="5"/>
      <c r="AD938" s="5"/>
      <c r="AE938" s="5"/>
      <c r="AF938" s="5"/>
      <c r="AG938" s="5"/>
      <c r="AH938" s="5"/>
      <c r="AI938" s="5"/>
    </row>
    <row r="939" spans="1:35" ht="15.75" customHeight="1">
      <c r="A939" s="5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5"/>
      <c r="T939" s="5"/>
      <c r="U939" s="104"/>
      <c r="V939" s="5"/>
      <c r="W939" s="5"/>
      <c r="X939" s="5"/>
      <c r="Y939" s="5"/>
      <c r="Z939" s="7"/>
      <c r="AA939" s="5"/>
      <c r="AB939" s="5"/>
      <c r="AC939" s="5"/>
      <c r="AD939" s="5"/>
      <c r="AE939" s="5"/>
      <c r="AF939" s="5"/>
      <c r="AG939" s="5"/>
      <c r="AH939" s="5"/>
      <c r="AI939" s="5"/>
    </row>
    <row r="940" spans="1:35" ht="15.75" customHeight="1">
      <c r="A940" s="5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5"/>
      <c r="T940" s="5"/>
      <c r="U940" s="104"/>
      <c r="V940" s="5"/>
      <c r="W940" s="5"/>
      <c r="X940" s="5"/>
      <c r="Y940" s="5"/>
      <c r="Z940" s="7"/>
      <c r="AA940" s="5"/>
      <c r="AB940" s="5"/>
      <c r="AC940" s="5"/>
      <c r="AD940" s="5"/>
      <c r="AE940" s="5"/>
      <c r="AF940" s="5"/>
      <c r="AG940" s="5"/>
      <c r="AH940" s="5"/>
      <c r="AI940" s="5"/>
    </row>
    <row r="941" spans="1:35" ht="15.75" customHeight="1">
      <c r="A941" s="5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5"/>
      <c r="T941" s="5"/>
      <c r="U941" s="104"/>
      <c r="V941" s="5"/>
      <c r="W941" s="5"/>
      <c r="X941" s="5"/>
      <c r="Y941" s="5"/>
      <c r="Z941" s="7"/>
      <c r="AA941" s="5"/>
      <c r="AB941" s="5"/>
      <c r="AC941" s="5"/>
      <c r="AD941" s="5"/>
      <c r="AE941" s="5"/>
      <c r="AF941" s="5"/>
      <c r="AG941" s="5"/>
      <c r="AH941" s="5"/>
      <c r="AI941" s="5"/>
    </row>
    <row r="942" spans="1:35" ht="15.75" customHeight="1">
      <c r="A942" s="5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5"/>
      <c r="T942" s="5"/>
      <c r="U942" s="104"/>
      <c r="V942" s="5"/>
      <c r="W942" s="5"/>
      <c r="X942" s="5"/>
      <c r="Y942" s="5"/>
      <c r="Z942" s="7"/>
      <c r="AA942" s="5"/>
      <c r="AB942" s="5"/>
      <c r="AC942" s="5"/>
      <c r="AD942" s="5"/>
      <c r="AE942" s="5"/>
      <c r="AF942" s="5"/>
      <c r="AG942" s="5"/>
      <c r="AH942" s="5"/>
      <c r="AI942" s="5"/>
    </row>
    <row r="943" spans="1:35" ht="15.75" customHeight="1">
      <c r="A943" s="5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5"/>
      <c r="T943" s="5"/>
      <c r="U943" s="104"/>
      <c r="V943" s="5"/>
      <c r="W943" s="5"/>
      <c r="X943" s="5"/>
      <c r="Y943" s="5"/>
      <c r="Z943" s="7"/>
      <c r="AA943" s="5"/>
      <c r="AB943" s="5"/>
      <c r="AC943" s="5"/>
      <c r="AD943" s="5"/>
      <c r="AE943" s="5"/>
      <c r="AF943" s="5"/>
      <c r="AG943" s="5"/>
      <c r="AH943" s="5"/>
      <c r="AI943" s="5"/>
    </row>
    <row r="944" spans="1:35" ht="15.75" customHeight="1">
      <c r="A944" s="5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5"/>
      <c r="T944" s="5"/>
      <c r="U944" s="104"/>
      <c r="V944" s="5"/>
      <c r="W944" s="5"/>
      <c r="X944" s="5"/>
      <c r="Y944" s="5"/>
      <c r="Z944" s="7"/>
      <c r="AA944" s="5"/>
      <c r="AB944" s="5"/>
      <c r="AC944" s="5"/>
      <c r="AD944" s="5"/>
      <c r="AE944" s="5"/>
      <c r="AF944" s="5"/>
      <c r="AG944" s="5"/>
      <c r="AH944" s="5"/>
      <c r="AI944" s="5"/>
    </row>
    <row r="945" spans="1:35" ht="15.75" customHeight="1">
      <c r="A945" s="5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5"/>
      <c r="T945" s="5"/>
      <c r="U945" s="104"/>
      <c r="V945" s="5"/>
      <c r="W945" s="5"/>
      <c r="X945" s="5"/>
      <c r="Y945" s="5"/>
      <c r="Z945" s="7"/>
      <c r="AA945" s="5"/>
      <c r="AB945" s="5"/>
      <c r="AC945" s="5"/>
      <c r="AD945" s="5"/>
      <c r="AE945" s="5"/>
      <c r="AF945" s="5"/>
      <c r="AG945" s="5"/>
      <c r="AH945" s="5"/>
      <c r="AI945" s="5"/>
    </row>
    <row r="946" spans="1:35" ht="15.75" customHeight="1">
      <c r="A946" s="5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5"/>
      <c r="T946" s="5"/>
      <c r="U946" s="104"/>
      <c r="V946" s="5"/>
      <c r="W946" s="5"/>
      <c r="X946" s="5"/>
      <c r="Y946" s="5"/>
      <c r="Z946" s="7"/>
      <c r="AA946" s="5"/>
      <c r="AB946" s="5"/>
      <c r="AC946" s="5"/>
      <c r="AD946" s="5"/>
      <c r="AE946" s="5"/>
      <c r="AF946" s="5"/>
      <c r="AG946" s="5"/>
      <c r="AH946" s="5"/>
      <c r="AI946" s="5"/>
    </row>
    <row r="947" spans="1:35" ht="15.75" customHeight="1">
      <c r="A947" s="5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5"/>
      <c r="T947" s="5"/>
      <c r="U947" s="104"/>
      <c r="V947" s="5"/>
      <c r="W947" s="5"/>
      <c r="X947" s="5"/>
      <c r="Y947" s="5"/>
      <c r="Z947" s="7"/>
      <c r="AA947" s="5"/>
      <c r="AB947" s="5"/>
      <c r="AC947" s="5"/>
      <c r="AD947" s="5"/>
      <c r="AE947" s="5"/>
      <c r="AF947" s="5"/>
      <c r="AG947" s="5"/>
      <c r="AH947" s="5"/>
      <c r="AI947" s="5"/>
    </row>
    <row r="948" spans="1:35" ht="15.75" customHeight="1">
      <c r="A948" s="5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5"/>
      <c r="T948" s="5"/>
      <c r="U948" s="104"/>
      <c r="V948" s="5"/>
      <c r="W948" s="5"/>
      <c r="X948" s="5"/>
      <c r="Y948" s="5"/>
      <c r="Z948" s="7"/>
      <c r="AA948" s="5"/>
      <c r="AB948" s="5"/>
      <c r="AC948" s="5"/>
      <c r="AD948" s="5"/>
      <c r="AE948" s="5"/>
      <c r="AF948" s="5"/>
      <c r="AG948" s="5"/>
      <c r="AH948" s="5"/>
      <c r="AI948" s="5"/>
    </row>
    <row r="949" spans="1:35" ht="15.75" customHeight="1">
      <c r="A949" s="5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5"/>
      <c r="T949" s="5"/>
      <c r="U949" s="104"/>
      <c r="V949" s="5"/>
      <c r="W949" s="5"/>
      <c r="X949" s="5"/>
      <c r="Y949" s="5"/>
      <c r="Z949" s="7"/>
      <c r="AA949" s="5"/>
      <c r="AB949" s="5"/>
      <c r="AC949" s="5"/>
      <c r="AD949" s="5"/>
      <c r="AE949" s="5"/>
      <c r="AF949" s="5"/>
      <c r="AG949" s="5"/>
      <c r="AH949" s="5"/>
      <c r="AI949" s="5"/>
    </row>
    <row r="950" spans="1:35" ht="15.75" customHeight="1">
      <c r="A950" s="5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5"/>
      <c r="T950" s="5"/>
      <c r="U950" s="104"/>
      <c r="V950" s="5"/>
      <c r="W950" s="5"/>
      <c r="X950" s="5"/>
      <c r="Y950" s="5"/>
      <c r="Z950" s="7"/>
      <c r="AA950" s="5"/>
      <c r="AB950" s="5"/>
      <c r="AC950" s="5"/>
      <c r="AD950" s="5"/>
      <c r="AE950" s="5"/>
      <c r="AF950" s="5"/>
      <c r="AG950" s="5"/>
      <c r="AH950" s="5"/>
      <c r="AI950" s="5"/>
    </row>
    <row r="951" spans="1:35" ht="15.75" customHeight="1">
      <c r="A951" s="5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5"/>
      <c r="T951" s="5"/>
      <c r="U951" s="104"/>
      <c r="V951" s="5"/>
      <c r="W951" s="5"/>
      <c r="X951" s="5"/>
      <c r="Y951" s="5"/>
      <c r="Z951" s="7"/>
      <c r="AA951" s="5"/>
      <c r="AB951" s="5"/>
      <c r="AC951" s="5"/>
      <c r="AD951" s="5"/>
      <c r="AE951" s="5"/>
      <c r="AF951" s="5"/>
      <c r="AG951" s="5"/>
      <c r="AH951" s="5"/>
      <c r="AI951" s="5"/>
    </row>
    <row r="952" spans="1:35" ht="15.75" customHeight="1">
      <c r="A952" s="5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5"/>
      <c r="T952" s="5"/>
      <c r="U952" s="104"/>
      <c r="V952" s="5"/>
      <c r="W952" s="5"/>
      <c r="X952" s="5"/>
      <c r="Y952" s="5"/>
      <c r="Z952" s="7"/>
      <c r="AA952" s="5"/>
      <c r="AB952" s="5"/>
      <c r="AC952" s="5"/>
      <c r="AD952" s="5"/>
      <c r="AE952" s="5"/>
      <c r="AF952" s="5"/>
      <c r="AG952" s="5"/>
      <c r="AH952" s="5"/>
      <c r="AI952" s="5"/>
    </row>
    <row r="953" spans="1:35" ht="15.75" customHeight="1">
      <c r="A953" s="5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5"/>
      <c r="T953" s="5"/>
      <c r="U953" s="104"/>
      <c r="V953" s="5"/>
      <c r="W953" s="5"/>
      <c r="X953" s="5"/>
      <c r="Y953" s="5"/>
      <c r="Z953" s="7"/>
      <c r="AA953" s="5"/>
      <c r="AB953" s="5"/>
      <c r="AC953" s="5"/>
      <c r="AD953" s="5"/>
      <c r="AE953" s="5"/>
      <c r="AF953" s="5"/>
      <c r="AG953" s="5"/>
      <c r="AH953" s="5"/>
      <c r="AI953" s="5"/>
    </row>
    <row r="954" spans="1:35" ht="15.75" customHeight="1">
      <c r="A954" s="5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5"/>
      <c r="T954" s="5"/>
      <c r="U954" s="104"/>
      <c r="V954" s="5"/>
      <c r="W954" s="5"/>
      <c r="X954" s="5"/>
      <c r="Y954" s="5"/>
      <c r="Z954" s="7"/>
      <c r="AA954" s="5"/>
      <c r="AB954" s="5"/>
      <c r="AC954" s="5"/>
      <c r="AD954" s="5"/>
      <c r="AE954" s="5"/>
      <c r="AF954" s="5"/>
      <c r="AG954" s="5"/>
      <c r="AH954" s="5"/>
      <c r="AI954" s="5"/>
    </row>
    <row r="955" spans="1:35" ht="15.75" customHeight="1">
      <c r="A955" s="5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5"/>
      <c r="T955" s="5"/>
      <c r="U955" s="104"/>
      <c r="V955" s="5"/>
      <c r="W955" s="5"/>
      <c r="X955" s="5"/>
      <c r="Y955" s="5"/>
      <c r="Z955" s="7"/>
      <c r="AA955" s="5"/>
      <c r="AB955" s="5"/>
      <c r="AC955" s="5"/>
      <c r="AD955" s="5"/>
      <c r="AE955" s="5"/>
      <c r="AF955" s="5"/>
      <c r="AG955" s="5"/>
      <c r="AH955" s="5"/>
      <c r="AI955" s="5"/>
    </row>
    <row r="956" spans="1:35" ht="15.75" customHeight="1">
      <c r="A956" s="5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5"/>
      <c r="T956" s="5"/>
      <c r="U956" s="104"/>
      <c r="V956" s="5"/>
      <c r="W956" s="5"/>
      <c r="X956" s="5"/>
      <c r="Y956" s="5"/>
      <c r="Z956" s="7"/>
      <c r="AA956" s="5"/>
      <c r="AB956" s="5"/>
      <c r="AC956" s="5"/>
      <c r="AD956" s="5"/>
      <c r="AE956" s="5"/>
      <c r="AF956" s="5"/>
      <c r="AG956" s="5"/>
      <c r="AH956" s="5"/>
      <c r="AI956" s="5"/>
    </row>
    <row r="957" spans="1:35" ht="15.75" customHeight="1">
      <c r="A957" s="5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5"/>
      <c r="T957" s="5"/>
      <c r="U957" s="104"/>
      <c r="V957" s="5"/>
      <c r="W957" s="5"/>
      <c r="X957" s="5"/>
      <c r="Y957" s="5"/>
      <c r="Z957" s="7"/>
      <c r="AA957" s="5"/>
      <c r="AB957" s="5"/>
      <c r="AC957" s="5"/>
      <c r="AD957" s="5"/>
      <c r="AE957" s="5"/>
      <c r="AF957" s="5"/>
      <c r="AG957" s="5"/>
      <c r="AH957" s="5"/>
      <c r="AI957" s="5"/>
    </row>
    <row r="958" spans="1:35" ht="15.75" customHeight="1">
      <c r="A958" s="5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5"/>
      <c r="T958" s="5"/>
      <c r="U958" s="104"/>
      <c r="V958" s="5"/>
      <c r="W958" s="5"/>
      <c r="X958" s="5"/>
      <c r="Y958" s="5"/>
      <c r="Z958" s="7"/>
      <c r="AA958" s="5"/>
      <c r="AB958" s="5"/>
      <c r="AC958" s="5"/>
      <c r="AD958" s="5"/>
      <c r="AE958" s="5"/>
      <c r="AF958" s="5"/>
      <c r="AG958" s="5"/>
      <c r="AH958" s="5"/>
      <c r="AI958" s="5"/>
    </row>
    <row r="959" spans="1:35" ht="15.75" customHeight="1">
      <c r="A959" s="5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5"/>
      <c r="T959" s="5"/>
      <c r="U959" s="104"/>
      <c r="V959" s="5"/>
      <c r="W959" s="5"/>
      <c r="X959" s="5"/>
      <c r="Y959" s="5"/>
      <c r="Z959" s="7"/>
      <c r="AA959" s="5"/>
      <c r="AB959" s="5"/>
      <c r="AC959" s="5"/>
      <c r="AD959" s="5"/>
      <c r="AE959" s="5"/>
      <c r="AF959" s="5"/>
      <c r="AG959" s="5"/>
      <c r="AH959" s="5"/>
      <c r="AI959" s="5"/>
    </row>
    <row r="960" spans="1:35" ht="15.75" customHeight="1">
      <c r="A960" s="5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5"/>
      <c r="T960" s="5"/>
      <c r="U960" s="104"/>
      <c r="V960" s="5"/>
      <c r="W960" s="5"/>
      <c r="X960" s="5"/>
      <c r="Y960" s="5"/>
      <c r="Z960" s="7"/>
      <c r="AA960" s="5"/>
      <c r="AB960" s="5"/>
      <c r="AC960" s="5"/>
      <c r="AD960" s="5"/>
      <c r="AE960" s="5"/>
      <c r="AF960" s="5"/>
      <c r="AG960" s="5"/>
      <c r="AH960" s="5"/>
      <c r="AI960" s="5"/>
    </row>
    <row r="961" spans="1:35" ht="15.75" customHeight="1">
      <c r="A961" s="5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5"/>
      <c r="T961" s="5"/>
      <c r="U961" s="104"/>
      <c r="V961" s="5"/>
      <c r="W961" s="5"/>
      <c r="X961" s="5"/>
      <c r="Y961" s="5"/>
      <c r="Z961" s="7"/>
      <c r="AA961" s="5"/>
      <c r="AB961" s="5"/>
      <c r="AC961" s="5"/>
      <c r="AD961" s="5"/>
      <c r="AE961" s="5"/>
      <c r="AF961" s="5"/>
      <c r="AG961" s="5"/>
      <c r="AH961" s="5"/>
      <c r="AI961" s="5"/>
    </row>
    <row r="962" spans="1:35" ht="15.75" customHeight="1">
      <c r="A962" s="5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5"/>
      <c r="T962" s="5"/>
      <c r="U962" s="104"/>
      <c r="V962" s="5"/>
      <c r="W962" s="5"/>
      <c r="X962" s="5"/>
      <c r="Y962" s="5"/>
      <c r="Z962" s="7"/>
      <c r="AA962" s="5"/>
      <c r="AB962" s="5"/>
      <c r="AC962" s="5"/>
      <c r="AD962" s="5"/>
      <c r="AE962" s="5"/>
      <c r="AF962" s="5"/>
      <c r="AG962" s="5"/>
      <c r="AH962" s="5"/>
      <c r="AI962" s="5"/>
    </row>
    <row r="963" spans="1:35" ht="15.75" customHeight="1">
      <c r="A963" s="5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5"/>
      <c r="T963" s="5"/>
      <c r="U963" s="104"/>
      <c r="V963" s="5"/>
      <c r="W963" s="5"/>
      <c r="X963" s="5"/>
      <c r="Y963" s="5"/>
      <c r="Z963" s="7"/>
      <c r="AA963" s="5"/>
      <c r="AB963" s="5"/>
      <c r="AC963" s="5"/>
      <c r="AD963" s="5"/>
      <c r="AE963" s="5"/>
      <c r="AF963" s="5"/>
      <c r="AG963" s="5"/>
      <c r="AH963" s="5"/>
      <c r="AI963" s="5"/>
    </row>
    <row r="964" spans="1:35" ht="15.75" customHeight="1">
      <c r="A964" s="5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5"/>
      <c r="T964" s="5"/>
      <c r="U964" s="104"/>
      <c r="V964" s="5"/>
      <c r="W964" s="5"/>
      <c r="X964" s="5"/>
      <c r="Y964" s="5"/>
      <c r="Z964" s="7"/>
      <c r="AA964" s="5"/>
      <c r="AB964" s="5"/>
      <c r="AC964" s="5"/>
      <c r="AD964" s="5"/>
      <c r="AE964" s="5"/>
      <c r="AF964" s="5"/>
      <c r="AG964" s="5"/>
      <c r="AH964" s="5"/>
      <c r="AI964" s="5"/>
    </row>
    <row r="965" spans="1:35" ht="15.75" customHeight="1">
      <c r="A965" s="5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5"/>
      <c r="T965" s="5"/>
      <c r="U965" s="104"/>
      <c r="V965" s="5"/>
      <c r="W965" s="5"/>
      <c r="X965" s="5"/>
      <c r="Y965" s="5"/>
      <c r="Z965" s="7"/>
      <c r="AA965" s="5"/>
      <c r="AB965" s="5"/>
      <c r="AC965" s="5"/>
      <c r="AD965" s="5"/>
      <c r="AE965" s="5"/>
      <c r="AF965" s="5"/>
      <c r="AG965" s="5"/>
      <c r="AH965" s="5"/>
      <c r="AI965" s="5"/>
    </row>
    <row r="966" spans="1:35" ht="15.75" customHeight="1">
      <c r="A966" s="5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5"/>
      <c r="T966" s="5"/>
      <c r="U966" s="104"/>
      <c r="V966" s="5"/>
      <c r="W966" s="5"/>
      <c r="X966" s="5"/>
      <c r="Y966" s="5"/>
      <c r="Z966" s="7"/>
      <c r="AA966" s="5"/>
      <c r="AB966" s="5"/>
      <c r="AC966" s="5"/>
      <c r="AD966" s="5"/>
      <c r="AE966" s="5"/>
      <c r="AF966" s="5"/>
      <c r="AG966" s="5"/>
      <c r="AH966" s="5"/>
      <c r="AI966" s="5"/>
    </row>
    <row r="967" spans="1:35" ht="15.75" customHeight="1">
      <c r="A967" s="5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5"/>
      <c r="T967" s="5"/>
      <c r="U967" s="104"/>
      <c r="V967" s="5"/>
      <c r="W967" s="5"/>
      <c r="X967" s="5"/>
      <c r="Y967" s="5"/>
      <c r="Z967" s="7"/>
      <c r="AA967" s="5"/>
      <c r="AB967" s="5"/>
      <c r="AC967" s="5"/>
      <c r="AD967" s="5"/>
      <c r="AE967" s="5"/>
      <c r="AF967" s="5"/>
      <c r="AG967" s="5"/>
      <c r="AH967" s="5"/>
      <c r="AI967" s="5"/>
    </row>
    <row r="968" spans="1:35" ht="15.75" customHeight="1">
      <c r="A968" s="5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5"/>
      <c r="T968" s="5"/>
      <c r="U968" s="104"/>
      <c r="V968" s="5"/>
      <c r="W968" s="5"/>
      <c r="X968" s="5"/>
      <c r="Y968" s="5"/>
      <c r="Z968" s="7"/>
      <c r="AA968" s="5"/>
      <c r="AB968" s="5"/>
      <c r="AC968" s="5"/>
      <c r="AD968" s="5"/>
      <c r="AE968" s="5"/>
      <c r="AF968" s="5"/>
      <c r="AG968" s="5"/>
      <c r="AH968" s="5"/>
      <c r="AI968" s="5"/>
    </row>
    <row r="969" spans="1:35" ht="15.75" customHeight="1">
      <c r="A969" s="5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5"/>
      <c r="T969" s="5"/>
      <c r="U969" s="104"/>
      <c r="V969" s="5"/>
      <c r="W969" s="5"/>
      <c r="X969" s="5"/>
      <c r="Y969" s="5"/>
      <c r="Z969" s="7"/>
      <c r="AA969" s="5"/>
      <c r="AB969" s="5"/>
      <c r="AC969" s="5"/>
      <c r="AD969" s="5"/>
      <c r="AE969" s="5"/>
      <c r="AF969" s="5"/>
      <c r="AG969" s="5"/>
      <c r="AH969" s="5"/>
      <c r="AI969" s="5"/>
    </row>
    <row r="970" spans="1:35" ht="15.75" customHeight="1">
      <c r="A970" s="5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5"/>
      <c r="T970" s="5"/>
      <c r="U970" s="104"/>
      <c r="V970" s="5"/>
      <c r="W970" s="5"/>
      <c r="X970" s="5"/>
      <c r="Y970" s="5"/>
      <c r="Z970" s="7"/>
      <c r="AA970" s="5"/>
      <c r="AB970" s="5"/>
      <c r="AC970" s="5"/>
      <c r="AD970" s="5"/>
      <c r="AE970" s="5"/>
      <c r="AF970" s="5"/>
      <c r="AG970" s="5"/>
      <c r="AH970" s="5"/>
      <c r="AI970" s="5"/>
    </row>
    <row r="971" spans="1:35" ht="15.75" customHeight="1">
      <c r="A971" s="5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5"/>
      <c r="T971" s="5"/>
      <c r="U971" s="104"/>
      <c r="V971" s="5"/>
      <c r="W971" s="5"/>
      <c r="X971" s="5"/>
      <c r="Y971" s="5"/>
      <c r="Z971" s="7"/>
      <c r="AA971" s="5"/>
      <c r="AB971" s="5"/>
      <c r="AC971" s="5"/>
      <c r="AD971" s="5"/>
      <c r="AE971" s="5"/>
      <c r="AF971" s="5"/>
      <c r="AG971" s="5"/>
      <c r="AH971" s="5"/>
      <c r="AI971" s="5"/>
    </row>
    <row r="972" spans="1:35" ht="15.75" customHeight="1">
      <c r="A972" s="5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5"/>
      <c r="T972" s="5"/>
      <c r="U972" s="104"/>
      <c r="V972" s="5"/>
      <c r="W972" s="5"/>
      <c r="X972" s="5"/>
      <c r="Y972" s="5"/>
      <c r="Z972" s="7"/>
      <c r="AA972" s="5"/>
      <c r="AB972" s="5"/>
      <c r="AC972" s="5"/>
      <c r="AD972" s="5"/>
      <c r="AE972" s="5"/>
      <c r="AF972" s="5"/>
      <c r="AG972" s="5"/>
      <c r="AH972" s="5"/>
      <c r="AI972" s="5"/>
    </row>
    <row r="973" spans="1:35" ht="15.75" customHeight="1">
      <c r="A973" s="5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5"/>
      <c r="T973" s="5"/>
      <c r="U973" s="104"/>
      <c r="V973" s="5"/>
      <c r="W973" s="5"/>
      <c r="X973" s="5"/>
      <c r="Y973" s="5"/>
      <c r="Z973" s="7"/>
      <c r="AA973" s="5"/>
      <c r="AB973" s="5"/>
      <c r="AC973" s="5"/>
      <c r="AD973" s="5"/>
      <c r="AE973" s="5"/>
      <c r="AF973" s="5"/>
      <c r="AG973" s="5"/>
      <c r="AH973" s="5"/>
      <c r="AI973" s="5"/>
    </row>
    <row r="974" spans="1:35" ht="15.75" customHeight="1">
      <c r="A974" s="5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5"/>
      <c r="T974" s="5"/>
      <c r="U974" s="104"/>
      <c r="V974" s="5"/>
      <c r="W974" s="5"/>
      <c r="X974" s="5"/>
      <c r="Y974" s="5"/>
      <c r="Z974" s="7"/>
      <c r="AA974" s="5"/>
      <c r="AB974" s="5"/>
      <c r="AC974" s="5"/>
      <c r="AD974" s="5"/>
      <c r="AE974" s="5"/>
      <c r="AF974" s="5"/>
      <c r="AG974" s="5"/>
      <c r="AH974" s="5"/>
      <c r="AI974" s="5"/>
    </row>
    <row r="975" spans="1:35" ht="15.75" customHeight="1">
      <c r="A975" s="5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5"/>
      <c r="T975" s="5"/>
      <c r="U975" s="104"/>
      <c r="V975" s="5"/>
      <c r="W975" s="5"/>
      <c r="X975" s="5"/>
      <c r="Y975" s="5"/>
      <c r="Z975" s="7"/>
      <c r="AA975" s="5"/>
      <c r="AB975" s="5"/>
      <c r="AC975" s="5"/>
      <c r="AD975" s="5"/>
      <c r="AE975" s="5"/>
      <c r="AF975" s="5"/>
      <c r="AG975" s="5"/>
      <c r="AH975" s="5"/>
      <c r="AI975" s="5"/>
    </row>
    <row r="976" spans="1:35" ht="15.75" customHeight="1">
      <c r="A976" s="5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5"/>
      <c r="T976" s="5"/>
      <c r="U976" s="104"/>
      <c r="V976" s="5"/>
      <c r="W976" s="5"/>
      <c r="X976" s="5"/>
      <c r="Y976" s="5"/>
      <c r="Z976" s="7"/>
      <c r="AA976" s="5"/>
      <c r="AB976" s="5"/>
      <c r="AC976" s="5"/>
      <c r="AD976" s="5"/>
      <c r="AE976" s="5"/>
      <c r="AF976" s="5"/>
      <c r="AG976" s="5"/>
      <c r="AH976" s="5"/>
      <c r="AI976" s="5"/>
    </row>
    <row r="977" spans="1:35" ht="15.75" customHeight="1">
      <c r="A977" s="5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5"/>
      <c r="T977" s="5"/>
      <c r="U977" s="104"/>
      <c r="V977" s="5"/>
      <c r="W977" s="5"/>
      <c r="X977" s="5"/>
      <c r="Y977" s="5"/>
      <c r="Z977" s="7"/>
      <c r="AA977" s="5"/>
      <c r="AB977" s="5"/>
      <c r="AC977" s="5"/>
      <c r="AD977" s="5"/>
      <c r="AE977" s="5"/>
      <c r="AF977" s="5"/>
      <c r="AG977" s="5"/>
      <c r="AH977" s="5"/>
      <c r="AI977" s="5"/>
    </row>
    <row r="978" spans="1:35" ht="15.75" customHeight="1">
      <c r="A978" s="5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5"/>
      <c r="T978" s="5"/>
      <c r="U978" s="104"/>
      <c r="V978" s="5"/>
      <c r="W978" s="5"/>
      <c r="X978" s="5"/>
      <c r="Y978" s="5"/>
      <c r="Z978" s="7"/>
      <c r="AA978" s="5"/>
      <c r="AB978" s="5"/>
      <c r="AC978" s="5"/>
      <c r="AD978" s="5"/>
      <c r="AE978" s="5"/>
      <c r="AF978" s="5"/>
      <c r="AG978" s="5"/>
      <c r="AH978" s="5"/>
      <c r="AI978" s="5"/>
    </row>
    <row r="979" spans="1:35" ht="15.75" customHeight="1">
      <c r="A979" s="5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5"/>
      <c r="T979" s="5"/>
      <c r="U979" s="104"/>
      <c r="V979" s="5"/>
      <c r="W979" s="5"/>
      <c r="X979" s="5"/>
      <c r="Y979" s="5"/>
      <c r="Z979" s="7"/>
      <c r="AA979" s="5"/>
      <c r="AB979" s="5"/>
      <c r="AC979" s="5"/>
      <c r="AD979" s="5"/>
      <c r="AE979" s="5"/>
      <c r="AF979" s="5"/>
      <c r="AG979" s="5"/>
      <c r="AH979" s="5"/>
      <c r="AI979" s="5"/>
    </row>
    <row r="980" spans="1:35" ht="15.75" customHeight="1">
      <c r="A980" s="5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5"/>
      <c r="T980" s="5"/>
      <c r="U980" s="104"/>
      <c r="V980" s="5"/>
      <c r="W980" s="5"/>
      <c r="X980" s="5"/>
      <c r="Y980" s="5"/>
      <c r="Z980" s="7"/>
      <c r="AA980" s="5"/>
      <c r="AB980" s="5"/>
      <c r="AC980" s="5"/>
      <c r="AD980" s="5"/>
      <c r="AE980" s="5"/>
      <c r="AF980" s="5"/>
      <c r="AG980" s="5"/>
      <c r="AH980" s="5"/>
      <c r="AI980" s="5"/>
    </row>
    <row r="981" spans="1:35" ht="15.75" customHeight="1">
      <c r="A981" s="5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5"/>
      <c r="T981" s="5"/>
      <c r="U981" s="104"/>
      <c r="V981" s="5"/>
      <c r="W981" s="5"/>
      <c r="X981" s="5"/>
      <c r="Y981" s="5"/>
      <c r="Z981" s="7"/>
      <c r="AA981" s="5"/>
      <c r="AB981" s="5"/>
      <c r="AC981" s="5"/>
      <c r="AD981" s="5"/>
      <c r="AE981" s="5"/>
      <c r="AF981" s="5"/>
      <c r="AG981" s="5"/>
      <c r="AH981" s="5"/>
      <c r="AI981" s="5"/>
    </row>
    <row r="982" spans="1:35" ht="15.75" customHeight="1">
      <c r="A982" s="5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5"/>
      <c r="T982" s="5"/>
      <c r="U982" s="104"/>
      <c r="V982" s="5"/>
      <c r="W982" s="5"/>
      <c r="X982" s="5"/>
      <c r="Y982" s="5"/>
      <c r="Z982" s="7"/>
      <c r="AA982" s="5"/>
      <c r="AB982" s="5"/>
      <c r="AC982" s="5"/>
      <c r="AD982" s="5"/>
      <c r="AE982" s="5"/>
      <c r="AF982" s="5"/>
      <c r="AG982" s="5"/>
      <c r="AH982" s="5"/>
      <c r="AI982" s="5"/>
    </row>
    <row r="983" spans="1:35" ht="15.75" customHeight="1">
      <c r="A983" s="5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5"/>
      <c r="T983" s="5"/>
      <c r="U983" s="104"/>
      <c r="V983" s="5"/>
      <c r="W983" s="5"/>
      <c r="X983" s="5"/>
      <c r="Y983" s="5"/>
      <c r="Z983" s="7"/>
      <c r="AA983" s="5"/>
      <c r="AB983" s="5"/>
      <c r="AC983" s="5"/>
      <c r="AD983" s="5"/>
      <c r="AE983" s="5"/>
      <c r="AF983" s="5"/>
      <c r="AG983" s="5"/>
      <c r="AH983" s="5"/>
      <c r="AI983" s="5"/>
    </row>
    <row r="984" spans="1:35" ht="15.75" customHeight="1">
      <c r="A984" s="5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5"/>
      <c r="T984" s="5"/>
      <c r="U984" s="104"/>
      <c r="V984" s="5"/>
      <c r="W984" s="5"/>
      <c r="X984" s="5"/>
      <c r="Y984" s="5"/>
      <c r="Z984" s="7"/>
      <c r="AA984" s="5"/>
      <c r="AB984" s="5"/>
      <c r="AC984" s="5"/>
      <c r="AD984" s="5"/>
      <c r="AE984" s="5"/>
      <c r="AF984" s="5"/>
      <c r="AG984" s="5"/>
      <c r="AH984" s="5"/>
      <c r="AI984" s="5"/>
    </row>
    <row r="985" spans="1:35" ht="15.75" customHeight="1">
      <c r="A985" s="5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5"/>
      <c r="T985" s="5"/>
      <c r="U985" s="104"/>
      <c r="V985" s="5"/>
      <c r="W985" s="5"/>
      <c r="X985" s="5"/>
      <c r="Y985" s="5"/>
      <c r="Z985" s="7"/>
      <c r="AA985" s="5"/>
      <c r="AB985" s="5"/>
      <c r="AC985" s="5"/>
      <c r="AD985" s="5"/>
      <c r="AE985" s="5"/>
      <c r="AF985" s="5"/>
      <c r="AG985" s="5"/>
      <c r="AH985" s="5"/>
      <c r="AI985" s="5"/>
    </row>
    <row r="986" spans="1:35" ht="15.75" customHeight="1">
      <c r="A986" s="5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5"/>
      <c r="T986" s="5"/>
      <c r="U986" s="104"/>
      <c r="V986" s="5"/>
      <c r="W986" s="5"/>
      <c r="X986" s="5"/>
      <c r="Y986" s="5"/>
      <c r="Z986" s="7"/>
      <c r="AA986" s="5"/>
      <c r="AB986" s="5"/>
      <c r="AC986" s="5"/>
      <c r="AD986" s="5"/>
      <c r="AE986" s="5"/>
      <c r="AF986" s="5"/>
      <c r="AG986" s="5"/>
      <c r="AH986" s="5"/>
      <c r="AI986" s="5"/>
    </row>
    <row r="987" spans="1:35" ht="15.75" customHeight="1">
      <c r="A987" s="5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5"/>
      <c r="T987" s="5"/>
      <c r="U987" s="104"/>
      <c r="V987" s="5"/>
      <c r="W987" s="5"/>
      <c r="X987" s="5"/>
      <c r="Y987" s="5"/>
      <c r="Z987" s="7"/>
      <c r="AA987" s="5"/>
      <c r="AB987" s="5"/>
      <c r="AC987" s="5"/>
      <c r="AD987" s="5"/>
      <c r="AE987" s="5"/>
      <c r="AF987" s="5"/>
      <c r="AG987" s="5"/>
      <c r="AH987" s="5"/>
      <c r="AI987" s="5"/>
    </row>
    <row r="988" spans="1:35" ht="15.75" customHeight="1">
      <c r="A988" s="5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5"/>
      <c r="T988" s="5"/>
      <c r="U988" s="104"/>
      <c r="V988" s="5"/>
      <c r="W988" s="5"/>
      <c r="X988" s="5"/>
      <c r="Y988" s="5"/>
      <c r="Z988" s="7"/>
      <c r="AA988" s="5"/>
      <c r="AB988" s="5"/>
      <c r="AC988" s="5"/>
      <c r="AD988" s="5"/>
      <c r="AE988" s="5"/>
      <c r="AF988" s="5"/>
      <c r="AG988" s="5"/>
      <c r="AH988" s="5"/>
      <c r="AI988" s="5"/>
    </row>
    <row r="989" spans="1:35" ht="15.75" customHeight="1">
      <c r="A989" s="5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5"/>
      <c r="T989" s="5"/>
      <c r="U989" s="104"/>
      <c r="V989" s="5"/>
      <c r="W989" s="5"/>
      <c r="X989" s="5"/>
      <c r="Y989" s="5"/>
      <c r="Z989" s="7"/>
      <c r="AA989" s="5"/>
      <c r="AB989" s="5"/>
      <c r="AC989" s="5"/>
      <c r="AD989" s="5"/>
      <c r="AE989" s="5"/>
      <c r="AF989" s="5"/>
      <c r="AG989" s="5"/>
      <c r="AH989" s="5"/>
      <c r="AI989" s="5"/>
    </row>
    <row r="990" spans="1:35" ht="15.75" customHeight="1">
      <c r="A990" s="5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5"/>
      <c r="T990" s="5"/>
      <c r="U990" s="104"/>
      <c r="V990" s="5"/>
      <c r="W990" s="5"/>
      <c r="X990" s="5"/>
      <c r="Y990" s="5"/>
      <c r="Z990" s="7"/>
      <c r="AA990" s="5"/>
      <c r="AB990" s="5"/>
      <c r="AC990" s="5"/>
      <c r="AD990" s="5"/>
      <c r="AE990" s="5"/>
      <c r="AF990" s="5"/>
      <c r="AG990" s="5"/>
      <c r="AH990" s="5"/>
      <c r="AI990" s="5"/>
    </row>
    <row r="991" spans="1:35" ht="15.75" customHeight="1">
      <c r="A991" s="5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5"/>
      <c r="T991" s="5"/>
      <c r="U991" s="104"/>
      <c r="V991" s="5"/>
      <c r="W991" s="5"/>
      <c r="X991" s="5"/>
      <c r="Y991" s="5"/>
      <c r="Z991" s="7"/>
      <c r="AA991" s="5"/>
      <c r="AB991" s="5"/>
      <c r="AC991" s="5"/>
      <c r="AD991" s="5"/>
      <c r="AE991" s="5"/>
      <c r="AF991" s="5"/>
      <c r="AG991" s="5"/>
      <c r="AH991" s="5"/>
      <c r="AI991" s="5"/>
    </row>
    <row r="992" spans="1:35" ht="15.75" customHeight="1">
      <c r="A992" s="5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5"/>
      <c r="T992" s="5"/>
      <c r="U992" s="104"/>
      <c r="V992" s="5"/>
      <c r="W992" s="5"/>
      <c r="X992" s="5"/>
      <c r="Y992" s="5"/>
      <c r="Z992" s="7"/>
      <c r="AA992" s="5"/>
      <c r="AB992" s="5"/>
      <c r="AC992" s="5"/>
      <c r="AD992" s="5"/>
      <c r="AE992" s="5"/>
      <c r="AF992" s="5"/>
      <c r="AG992" s="5"/>
      <c r="AH992" s="5"/>
      <c r="AI992" s="5"/>
    </row>
    <row r="993" spans="1:35" ht="15.75" customHeight="1">
      <c r="A993" s="5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5"/>
      <c r="T993" s="5"/>
      <c r="U993" s="104"/>
      <c r="V993" s="5"/>
      <c r="W993" s="5"/>
      <c r="X993" s="5"/>
      <c r="Y993" s="5"/>
      <c r="Z993" s="7"/>
      <c r="AA993" s="5"/>
      <c r="AB993" s="5"/>
      <c r="AC993" s="5"/>
      <c r="AD993" s="5"/>
      <c r="AE993" s="5"/>
      <c r="AF993" s="5"/>
      <c r="AG993" s="5"/>
      <c r="AH993" s="5"/>
      <c r="AI993" s="5"/>
    </row>
    <row r="994" spans="1:35" ht="15.75" customHeight="1">
      <c r="A994" s="5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5"/>
      <c r="T994" s="5"/>
      <c r="U994" s="104"/>
      <c r="V994" s="5"/>
      <c r="W994" s="5"/>
      <c r="X994" s="5"/>
      <c r="Y994" s="5"/>
      <c r="Z994" s="7"/>
      <c r="AA994" s="5"/>
      <c r="AB994" s="5"/>
      <c r="AC994" s="5"/>
      <c r="AD994" s="5"/>
      <c r="AE994" s="5"/>
      <c r="AF994" s="5"/>
      <c r="AG994" s="5"/>
      <c r="AH994" s="5"/>
      <c r="AI994" s="5"/>
    </row>
    <row r="995" spans="1:35" ht="15.75" customHeight="1">
      <c r="A995" s="5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5"/>
      <c r="T995" s="5"/>
      <c r="U995" s="104"/>
      <c r="V995" s="5"/>
      <c r="W995" s="5"/>
      <c r="X995" s="5"/>
      <c r="Y995" s="5"/>
      <c r="Z995" s="7"/>
      <c r="AA995" s="5"/>
      <c r="AB995" s="5"/>
      <c r="AC995" s="5"/>
      <c r="AD995" s="5"/>
      <c r="AE995" s="5"/>
      <c r="AF995" s="5"/>
      <c r="AG995" s="5"/>
      <c r="AH995" s="5"/>
      <c r="AI995" s="5"/>
    </row>
    <row r="996" spans="1:35" ht="15.75" customHeight="1">
      <c r="A996" s="5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5"/>
      <c r="T996" s="5"/>
      <c r="U996" s="104"/>
      <c r="V996" s="5"/>
      <c r="W996" s="5"/>
      <c r="X996" s="5"/>
      <c r="Y996" s="5"/>
      <c r="Z996" s="7"/>
      <c r="AA996" s="5"/>
      <c r="AB996" s="5"/>
      <c r="AC996" s="5"/>
      <c r="AD996" s="5"/>
      <c r="AE996" s="5"/>
      <c r="AF996" s="5"/>
      <c r="AG996" s="5"/>
      <c r="AH996" s="5"/>
      <c r="AI996" s="5"/>
    </row>
    <row r="997" spans="1:35" ht="15.75" customHeight="1">
      <c r="A997" s="5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5"/>
      <c r="T997" s="5"/>
      <c r="U997" s="104"/>
      <c r="V997" s="5"/>
      <c r="W997" s="5"/>
      <c r="X997" s="5"/>
      <c r="Y997" s="5"/>
      <c r="Z997" s="7"/>
      <c r="AA997" s="5"/>
      <c r="AB997" s="5"/>
      <c r="AC997" s="5"/>
      <c r="AD997" s="5"/>
      <c r="AE997" s="5"/>
      <c r="AF997" s="5"/>
      <c r="AG997" s="5"/>
      <c r="AH997" s="5"/>
      <c r="AI997" s="5"/>
    </row>
    <row r="998" spans="1:35" ht="15.75" customHeight="1">
      <c r="A998" s="5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5"/>
      <c r="T998" s="5"/>
      <c r="U998" s="104"/>
      <c r="V998" s="5"/>
      <c r="W998" s="5"/>
      <c r="X998" s="5"/>
      <c r="Y998" s="5"/>
      <c r="Z998" s="7"/>
      <c r="AA998" s="5"/>
      <c r="AB998" s="5"/>
      <c r="AC998" s="5"/>
      <c r="AD998" s="5"/>
      <c r="AE998" s="5"/>
      <c r="AF998" s="5"/>
      <c r="AG998" s="5"/>
      <c r="AH998" s="5"/>
      <c r="AI998" s="5"/>
    </row>
    <row r="999" spans="1:35" ht="15.75" customHeight="1">
      <c r="A999" s="5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5"/>
      <c r="T999" s="5"/>
      <c r="U999" s="104"/>
      <c r="V999" s="5"/>
      <c r="W999" s="5"/>
      <c r="X999" s="5"/>
      <c r="Y999" s="5"/>
      <c r="Z999" s="7"/>
      <c r="AA999" s="5"/>
      <c r="AB999" s="5"/>
      <c r="AC999" s="5"/>
      <c r="AD999" s="5"/>
      <c r="AE999" s="5"/>
      <c r="AF999" s="5"/>
      <c r="AG999" s="5"/>
      <c r="AH999" s="5"/>
      <c r="AI999" s="5"/>
    </row>
    <row r="1000" spans="1:35" ht="15.75" customHeight="1">
      <c r="A1000" s="5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5"/>
      <c r="T1000" s="5"/>
      <c r="U1000" s="104"/>
      <c r="V1000" s="5"/>
      <c r="W1000" s="5"/>
      <c r="X1000" s="5"/>
      <c r="Y1000" s="5"/>
      <c r="Z1000" s="7"/>
      <c r="AA1000" s="5"/>
      <c r="AB1000" s="5"/>
      <c r="AC1000" s="5"/>
      <c r="AD1000" s="5"/>
      <c r="AE1000" s="5"/>
      <c r="AF1000" s="5"/>
      <c r="AG1000" s="5"/>
      <c r="AH1000" s="5"/>
      <c r="AI1000" s="5"/>
    </row>
  </sheetData>
  <mergeCells count="95">
    <mergeCell ref="F14:G14"/>
    <mergeCell ref="B17:B19"/>
    <mergeCell ref="C17:C19"/>
    <mergeCell ref="G17:I17"/>
    <mergeCell ref="J17:K17"/>
    <mergeCell ref="G18:H18"/>
    <mergeCell ref="J18:K18"/>
    <mergeCell ref="AI18:AI19"/>
    <mergeCell ref="W18:W19"/>
    <mergeCell ref="X18:X19"/>
    <mergeCell ref="Y18:Y19"/>
    <mergeCell ref="Z18:Z19"/>
    <mergeCell ref="AA18:AA19"/>
    <mergeCell ref="AC18:AC19"/>
    <mergeCell ref="AD18:AD19"/>
    <mergeCell ref="V18:V19"/>
    <mergeCell ref="AE18:AE19"/>
    <mergeCell ref="AF18:AF19"/>
    <mergeCell ref="AG18:AG19"/>
    <mergeCell ref="AH18:AH19"/>
    <mergeCell ref="M18:N18"/>
    <mergeCell ref="P18:P19"/>
    <mergeCell ref="Q18:Q19"/>
    <mergeCell ref="R18:R19"/>
    <mergeCell ref="U18:U19"/>
    <mergeCell ref="L14:M14"/>
    <mergeCell ref="N14:O14"/>
    <mergeCell ref="L15:M15"/>
    <mergeCell ref="N15:O15"/>
    <mergeCell ref="M17:O17"/>
    <mergeCell ref="L11:M11"/>
    <mergeCell ref="N11:O11"/>
    <mergeCell ref="N12:O12"/>
    <mergeCell ref="L12:M12"/>
    <mergeCell ref="L13:M13"/>
    <mergeCell ref="N13:O13"/>
    <mergeCell ref="Q50:R50"/>
    <mergeCell ref="H51:I51"/>
    <mergeCell ref="H52:I52"/>
    <mergeCell ref="O52:P52"/>
    <mergeCell ref="D2:H2"/>
    <mergeCell ref="K2:L2"/>
    <mergeCell ref="O2:R2"/>
    <mergeCell ref="D3:E3"/>
    <mergeCell ref="K3:L3"/>
    <mergeCell ref="O3:R3"/>
    <mergeCell ref="B5:E5"/>
    <mergeCell ref="N5:Q5"/>
    <mergeCell ref="F5:I5"/>
    <mergeCell ref="J5:M5"/>
    <mergeCell ref="H6:I6"/>
    <mergeCell ref="J10:Q10"/>
    <mergeCell ref="K52:L52"/>
    <mergeCell ref="C50:D50"/>
    <mergeCell ref="E50:F50"/>
    <mergeCell ref="H50:J50"/>
    <mergeCell ref="K50:M50"/>
    <mergeCell ref="B46:C47"/>
    <mergeCell ref="D46:E47"/>
    <mergeCell ref="N50:P50"/>
    <mergeCell ref="O51:P51"/>
    <mergeCell ref="K51:L51"/>
    <mergeCell ref="P46:R47"/>
    <mergeCell ref="G48:H48"/>
    <mergeCell ref="P48:Q48"/>
    <mergeCell ref="D40:E40"/>
    <mergeCell ref="D41:E41"/>
    <mergeCell ref="D42:E42"/>
    <mergeCell ref="D43:E43"/>
    <mergeCell ref="D44:E44"/>
    <mergeCell ref="D39:E39"/>
    <mergeCell ref="F46:H47"/>
    <mergeCell ref="I46:J46"/>
    <mergeCell ref="K46:L46"/>
    <mergeCell ref="N46:O47"/>
    <mergeCell ref="D34:E34"/>
    <mergeCell ref="D35:E35"/>
    <mergeCell ref="D36:E36"/>
    <mergeCell ref="D37:E37"/>
    <mergeCell ref="D38:E38"/>
    <mergeCell ref="D29:E29"/>
    <mergeCell ref="D30:E30"/>
    <mergeCell ref="D31:E31"/>
    <mergeCell ref="D32:E32"/>
    <mergeCell ref="D33:E33"/>
    <mergeCell ref="D24:E24"/>
    <mergeCell ref="D25:E25"/>
    <mergeCell ref="D26:E26"/>
    <mergeCell ref="D27:E27"/>
    <mergeCell ref="D28:E28"/>
    <mergeCell ref="D17:E19"/>
    <mergeCell ref="D20:E20"/>
    <mergeCell ref="D21:E21"/>
    <mergeCell ref="D22:E22"/>
    <mergeCell ref="D23:E23"/>
  </mergeCells>
  <conditionalFormatting sqref="Q20:Q43">
    <cfRule type="expression" dxfId="35" priority="1" stopIfTrue="1">
      <formula>OR(AND(ISNUMBER(Q20),Q20&lt;9),AND(ISNUMBER(Q20),Q20&gt;11))</formula>
    </cfRule>
  </conditionalFormatting>
  <conditionalFormatting sqref="R20:R43">
    <cfRule type="expression" dxfId="34" priority="2" stopIfTrue="1">
      <formula>OR(AND(ISNUMBER(R20),R20&lt;2.25),AND(ISNUMBER(R20),R20&gt;2.75))</formula>
    </cfRule>
  </conditionalFormatting>
  <conditionalFormatting sqref="AC20:AC43">
    <cfRule type="expression" dxfId="33" priority="3">
      <formula>AND(ISNUMBER(F20),AC20&lt;F20)</formula>
    </cfRule>
  </conditionalFormatting>
  <conditionalFormatting sqref="AC20:AC43">
    <cfRule type="expression" dxfId="32" priority="4" stopIfTrue="1">
      <formula>AND(ISNUMBER(F20),AC20&gt;F20)</formula>
    </cfRule>
  </conditionalFormatting>
  <conditionalFormatting sqref="AD20:AD43">
    <cfRule type="expression" dxfId="31" priority="5">
      <formula>AND(ISNUMBER(F20),AD20&gt;F20)</formula>
    </cfRule>
  </conditionalFormatting>
  <conditionalFormatting sqref="AD20:AD43">
    <cfRule type="expression" dxfId="30" priority="6" stopIfTrue="1">
      <formula>AND(ISNUMBER(F20),AD20&lt;F20)</formula>
    </cfRule>
  </conditionalFormatting>
  <printOptions horizontalCentered="1" verticalCentered="1"/>
  <pageMargins left="0.25" right="0.25" top="0.5" bottom="0.5" header="0" footer="0"/>
  <pageSetup orientation="portrait"/>
  <headerFooter>
    <oddHeader>&amp;CSpreadsheet for U.S. EPA Method 201A - Determination of Filterable PM10 and PM2.5 Emissions TEST DATA SHEET</oddHeader>
    <oddFooter>&amp;CCopyright 2017 by Environmental Supply Company, Inc.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000"/>
  <sheetViews>
    <sheetView zoomScale="99" workbookViewId="0"/>
  </sheetViews>
  <sheetFormatPr baseColWidth="10" defaultColWidth="14.5" defaultRowHeight="15" customHeight="1"/>
  <cols>
    <col min="1" max="1" width="1" customWidth="1"/>
    <col min="2" max="2" width="6.33203125" customWidth="1"/>
    <col min="3" max="3" width="6.6640625" customWidth="1"/>
    <col min="4" max="8" width="6.33203125" customWidth="1"/>
    <col min="9" max="9" width="6.5" customWidth="1"/>
    <col min="10" max="11" width="6.33203125" customWidth="1"/>
    <col min="12" max="12" width="7.5" customWidth="1"/>
    <col min="13" max="13" width="6.33203125" customWidth="1"/>
    <col min="14" max="15" width="7.5" customWidth="1"/>
    <col min="16" max="16" width="7.83203125" customWidth="1"/>
    <col min="17" max="17" width="7.5" customWidth="1"/>
    <col min="18" max="18" width="6.33203125" customWidth="1"/>
    <col min="19" max="20" width="1" customWidth="1"/>
    <col min="21" max="21" width="9.83203125" customWidth="1"/>
    <col min="22" max="27" width="8.6640625" customWidth="1"/>
    <col min="28" max="28" width="1" customWidth="1"/>
    <col min="29" max="35" width="7.6640625" customWidth="1"/>
  </cols>
  <sheetData>
    <row r="1" spans="1:35" ht="5.2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/>
      <c r="U1" s="104"/>
      <c r="V1" s="5"/>
      <c r="W1" s="5"/>
      <c r="X1" s="5"/>
      <c r="Y1" s="5"/>
      <c r="Z1" s="7"/>
      <c r="AA1" s="5"/>
      <c r="AB1" s="5"/>
      <c r="AC1" s="5"/>
      <c r="AD1" s="5"/>
      <c r="AE1" s="5"/>
      <c r="AF1" s="5"/>
      <c r="AG1" s="5"/>
      <c r="AH1" s="5"/>
      <c r="AI1" s="5"/>
    </row>
    <row r="2" spans="1:35" ht="15" customHeight="1">
      <c r="A2" s="8"/>
      <c r="B2" s="9"/>
      <c r="C2" s="10" t="s">
        <v>26</v>
      </c>
      <c r="D2" s="379" t="str">
        <f>IF(ISTEXT('Pre-Test'!D2:H2),'Pre-Test'!D2:H2,"")</f>
        <v/>
      </c>
      <c r="E2" s="295"/>
      <c r="F2" s="295"/>
      <c r="G2" s="295"/>
      <c r="H2" s="296"/>
      <c r="I2" s="9"/>
      <c r="J2" s="10" t="s">
        <v>27</v>
      </c>
      <c r="K2" s="380"/>
      <c r="L2" s="296"/>
      <c r="M2" s="9"/>
      <c r="N2" s="10" t="s">
        <v>28</v>
      </c>
      <c r="O2" s="298"/>
      <c r="P2" s="295"/>
      <c r="Q2" s="295"/>
      <c r="R2" s="296"/>
      <c r="S2" s="12"/>
      <c r="T2" s="5"/>
      <c r="U2" s="104"/>
      <c r="V2" s="5"/>
      <c r="W2" s="5"/>
      <c r="X2" s="5"/>
      <c r="Y2" s="5"/>
      <c r="Z2" s="7"/>
      <c r="AA2" s="5"/>
      <c r="AB2" s="5"/>
      <c r="AC2" s="5"/>
      <c r="AD2" s="5"/>
      <c r="AE2" s="5"/>
      <c r="AF2" s="5"/>
      <c r="AG2" s="5"/>
      <c r="AH2" s="5"/>
      <c r="AI2" s="5"/>
    </row>
    <row r="3" spans="1:35" ht="15" customHeight="1">
      <c r="A3" s="8"/>
      <c r="B3" s="9"/>
      <c r="C3" s="10" t="s">
        <v>29</v>
      </c>
      <c r="D3" s="299"/>
      <c r="E3" s="280"/>
      <c r="F3" s="9"/>
      <c r="G3" s="9"/>
      <c r="H3" s="9"/>
      <c r="I3" s="9"/>
      <c r="J3" s="10" t="s">
        <v>30</v>
      </c>
      <c r="K3" s="381"/>
      <c r="L3" s="280"/>
      <c r="M3" s="9"/>
      <c r="N3" s="10" t="s">
        <v>31</v>
      </c>
      <c r="O3" s="379" t="str">
        <f>IF(ISTEXT('Pre-Test'!P3),'Pre-Test'!P3,"")</f>
        <v/>
      </c>
      <c r="P3" s="295"/>
      <c r="Q3" s="295"/>
      <c r="R3" s="296"/>
      <c r="S3" s="12"/>
      <c r="T3" s="5"/>
      <c r="U3" s="104"/>
      <c r="V3" s="5"/>
      <c r="W3" s="5"/>
      <c r="X3" s="5"/>
      <c r="Y3" s="5"/>
      <c r="Z3" s="7"/>
      <c r="AA3" s="5"/>
      <c r="AB3" s="5"/>
      <c r="AC3" s="5"/>
      <c r="AD3" s="5"/>
      <c r="AE3" s="5"/>
      <c r="AF3" s="5"/>
      <c r="AG3" s="5"/>
      <c r="AH3" s="5"/>
      <c r="AI3" s="5"/>
    </row>
    <row r="4" spans="1:35" ht="6" customHeight="1">
      <c r="A4" s="8"/>
      <c r="B4" s="5"/>
      <c r="C4" s="10"/>
      <c r="D4" s="18"/>
      <c r="E4" s="5"/>
      <c r="F4" s="5"/>
      <c r="G4" s="5"/>
      <c r="H4" s="5"/>
      <c r="I4" s="5"/>
      <c r="J4" s="19"/>
      <c r="K4" s="5"/>
      <c r="L4" s="5"/>
      <c r="M4" s="5"/>
      <c r="N4" s="5"/>
      <c r="O4" s="5"/>
      <c r="P4" s="5"/>
      <c r="Q4" s="20"/>
      <c r="R4" s="20"/>
      <c r="S4" s="12"/>
      <c r="T4" s="5"/>
      <c r="U4" s="104"/>
      <c r="V4" s="5"/>
      <c r="W4" s="5"/>
      <c r="X4" s="5"/>
      <c r="Y4" s="5"/>
      <c r="Z4" s="7"/>
      <c r="AA4" s="5"/>
      <c r="AB4" s="5"/>
      <c r="AC4" s="5"/>
      <c r="AD4" s="5"/>
      <c r="AE4" s="5"/>
      <c r="AF4" s="5"/>
      <c r="AG4" s="5"/>
      <c r="AH4" s="5"/>
      <c r="AI4" s="5"/>
    </row>
    <row r="5" spans="1:35" ht="15" customHeight="1">
      <c r="A5" s="8"/>
      <c r="B5" s="382" t="s">
        <v>32</v>
      </c>
      <c r="C5" s="383"/>
      <c r="D5" s="383"/>
      <c r="E5" s="384"/>
      <c r="F5" s="386" t="s">
        <v>34</v>
      </c>
      <c r="G5" s="309"/>
      <c r="H5" s="309"/>
      <c r="I5" s="310"/>
      <c r="J5" s="387" t="s">
        <v>113</v>
      </c>
      <c r="K5" s="383"/>
      <c r="L5" s="383"/>
      <c r="M5" s="384"/>
      <c r="N5" s="385" t="s">
        <v>204</v>
      </c>
      <c r="O5" s="383"/>
      <c r="P5" s="383"/>
      <c r="Q5" s="278"/>
      <c r="R5" s="5"/>
      <c r="S5" s="12"/>
      <c r="T5" s="5"/>
      <c r="U5" s="7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ht="15" customHeight="1">
      <c r="A6" s="8"/>
      <c r="B6" s="2"/>
      <c r="C6" s="23" t="s">
        <v>35</v>
      </c>
      <c r="D6" s="54" t="str">
        <f>IF(ISNUMBER(Bwse),Bwse,"-")</f>
        <v>-</v>
      </c>
      <c r="E6" s="25" t="s">
        <v>36</v>
      </c>
      <c r="F6" s="2"/>
      <c r="G6" s="23" t="s">
        <v>41</v>
      </c>
      <c r="H6" s="313" t="str">
        <f>IF(ISTEXT(MB),MB,"-")</f>
        <v>-</v>
      </c>
      <c r="I6" s="314"/>
      <c r="J6" s="129" t="s">
        <v>115</v>
      </c>
      <c r="K6" s="54" t="str">
        <f>IF(ISNUMBER(Tse),Tse,"-")</f>
        <v>-</v>
      </c>
      <c r="L6" s="130" t="s">
        <v>116</v>
      </c>
      <c r="M6" s="131" t="str">
        <f>IF(ISNUMBER(Tme),Tme,"-")</f>
        <v>-</v>
      </c>
      <c r="N6" s="21" t="s">
        <v>117</v>
      </c>
      <c r="O6" s="132" t="str">
        <f>IF(ISNUMBER(Ts_1),Ts_1-460-50,IF(ISNUMBER(Tse),Tse-460-50,"-"))</f>
        <v>-</v>
      </c>
      <c r="P6" s="23" t="s">
        <v>118</v>
      </c>
      <c r="Q6" s="132" t="str">
        <f>IF(ISNUMBER(Ts_1),Ts_1-460+50,IF(ISNUMBER(Tse),Tse-460+50,"-"))</f>
        <v>-</v>
      </c>
      <c r="R6" s="5"/>
      <c r="S6" s="12"/>
      <c r="T6" s="5"/>
      <c r="U6" s="7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 ht="15" customHeight="1">
      <c r="A7" s="8"/>
      <c r="B7" s="8"/>
      <c r="C7" s="10" t="s">
        <v>42</v>
      </c>
      <c r="D7" s="30"/>
      <c r="E7" s="31" t="s">
        <v>43</v>
      </c>
      <c r="F7" s="8"/>
      <c r="G7" s="10" t="s">
        <v>46</v>
      </c>
      <c r="H7" s="133" t="str">
        <f>IF(ISNUMBER(Y),Y,"-")</f>
        <v>-</v>
      </c>
      <c r="I7" s="34"/>
      <c r="J7" s="8"/>
      <c r="K7" s="134" t="s">
        <v>119</v>
      </c>
      <c r="L7" s="135" t="str">
        <f>IF(ISNUMBER(Qse),Qse,"-")</f>
        <v>-</v>
      </c>
      <c r="M7" s="12" t="s">
        <v>120</v>
      </c>
      <c r="N7" s="16" t="s">
        <v>119</v>
      </c>
      <c r="O7" s="136" t="str">
        <f>IF(ISNUMBER(Qse),0.002837*vise*((Tsl_2+460)/Mwe/Ps_2)^0.2949,"-")</f>
        <v>-</v>
      </c>
      <c r="P7" s="16" t="s">
        <v>119</v>
      </c>
      <c r="Q7" s="136" t="str">
        <f>IF(ISNUMBER(Qse),0.002837*vise*((Tsh_2+460)/Mwe/Ps_2)^0.2949,"-")</f>
        <v>-</v>
      </c>
      <c r="R7" s="5"/>
      <c r="S7" s="12"/>
      <c r="T7" s="5"/>
      <c r="U7" s="7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 ht="15" customHeight="1">
      <c r="A8" s="8"/>
      <c r="B8" s="8"/>
      <c r="C8" s="10" t="s">
        <v>47</v>
      </c>
      <c r="D8" s="30"/>
      <c r="E8" s="31" t="s">
        <v>205</v>
      </c>
      <c r="F8" s="8"/>
      <c r="G8" s="38" t="s">
        <v>206</v>
      </c>
      <c r="H8" s="137" t="str">
        <f>IF(ISNUMBER(dHa),dHa,"-")</f>
        <v>-</v>
      </c>
      <c r="I8" s="31" t="s">
        <v>207</v>
      </c>
      <c r="J8" s="8"/>
      <c r="K8" s="138" t="s">
        <v>208</v>
      </c>
      <c r="L8" s="139" t="str">
        <f>IF(ISNUMBER(vise),vise,"-")</f>
        <v>-</v>
      </c>
      <c r="M8" s="40" t="s">
        <v>40</v>
      </c>
      <c r="N8" s="140" t="s">
        <v>209</v>
      </c>
      <c r="O8" s="141" t="str">
        <f>IF(ISNUMBER(Tsl_2),-150.3162+13.4622*SQRT(Tsl_2+460)+3861530/(Tsl_2+460)^2+0.591123*(1-Bwse/100)*OO/100-91.9723*Bwse/100+0.0000151761*Bwse/100*(Tsl_2+460)^2,"-")</f>
        <v>-</v>
      </c>
      <c r="P8" s="142" t="s">
        <v>210</v>
      </c>
      <c r="Q8" s="141" t="str">
        <f>IF(ISNUMBER(Tsh_2),-150.3162+13.4622*SQRT(Tsh_2+460)+3861530/(Tsh_2+460)^2+0.591123*(1-Bwse/100)*OO/100-91.9723*Bwse/100+0.0000151761*Bwse/100*(Tsh_2+460)^2,"-")</f>
        <v>-</v>
      </c>
      <c r="R8" s="5"/>
      <c r="S8" s="12"/>
      <c r="T8" s="5"/>
      <c r="U8" s="7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 ht="15" customHeight="1">
      <c r="A9" s="8"/>
      <c r="B9" s="8"/>
      <c r="C9" s="10" t="s">
        <v>54</v>
      </c>
      <c r="D9" s="36" t="str">
        <f>IF(AND(ISNUMBER(Pg_2),ISNUMBER(Pbar_2)),Pbar_2+Pg_2/13.6,"-")</f>
        <v>-</v>
      </c>
      <c r="E9" s="31" t="s">
        <v>43</v>
      </c>
      <c r="F9" s="46" t="s">
        <v>66</v>
      </c>
      <c r="G9" s="133" t="str">
        <f>IF(ISNUMBER(Cpp),Cpp,"-")</f>
        <v>-</v>
      </c>
      <c r="H9" s="47" t="s">
        <v>67</v>
      </c>
      <c r="I9" s="143" t="str">
        <f>IF(OR(ISNUMBER('Pre-Test'!R11),ISTEXT('Pre-Test'!R11)),'Pre-Test'!R11,"-")</f>
        <v>-</v>
      </c>
      <c r="J9" s="144"/>
      <c r="K9" s="57" t="s">
        <v>211</v>
      </c>
      <c r="L9" s="145" t="str">
        <f>IF(ISNUMBER(dHe),dHe,"-")</f>
        <v>-</v>
      </c>
      <c r="M9" s="146" t="s">
        <v>212</v>
      </c>
      <c r="N9" s="147" t="s">
        <v>213</v>
      </c>
      <c r="O9" s="148" t="str">
        <f>IF(ISNUMBER(dHe),(Qse*(1-Bwse/100)*Ps_2/(Tsl_2+460))^2*(Tme+460)*Md*(1.083)*dHa/Pbar_2,"-")</f>
        <v>-</v>
      </c>
      <c r="P9" s="149" t="s">
        <v>214</v>
      </c>
      <c r="Q9" s="148" t="str">
        <f>IF(ISNUMBER(dHe),(Qse*(1-Bwse/100)*Ps_2/(Tsh_2+460))^2*(Tme+460)*Md*(1.083)*dHa/Pbar_2,"-")</f>
        <v>-</v>
      </c>
      <c r="R9" s="5"/>
      <c r="S9" s="12"/>
      <c r="T9" s="5"/>
      <c r="U9" s="7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 ht="15" customHeight="1">
      <c r="A10" s="8"/>
      <c r="B10" s="8"/>
      <c r="C10" s="10" t="s">
        <v>215</v>
      </c>
      <c r="D10" s="36" t="str">
        <f>IF(ISNUMBER(COO),COO,"-")</f>
        <v>-</v>
      </c>
      <c r="E10" s="150" t="s">
        <v>38</v>
      </c>
      <c r="F10" s="46" t="s">
        <v>71</v>
      </c>
      <c r="G10" s="151" t="str">
        <f>IF(ISNUMBER(Cp),Cp,"-")</f>
        <v>-</v>
      </c>
      <c r="H10" s="47" t="s">
        <v>67</v>
      </c>
      <c r="I10" s="143" t="str">
        <f>IF(OR(ISNUMBER('Pre-Test'!R11),ISTEXT('Pre-Test'!R11)),'Pre-Test'!R11,"-")</f>
        <v>-</v>
      </c>
      <c r="J10" s="388" t="s">
        <v>132</v>
      </c>
      <c r="K10" s="309"/>
      <c r="L10" s="309"/>
      <c r="M10" s="309"/>
      <c r="N10" s="309"/>
      <c r="O10" s="309"/>
      <c r="P10" s="309"/>
      <c r="Q10" s="357"/>
      <c r="R10" s="5"/>
      <c r="S10" s="12"/>
      <c r="T10" s="5"/>
      <c r="U10" s="104"/>
      <c r="V10" s="5"/>
      <c r="W10" s="5"/>
      <c r="X10" s="5"/>
      <c r="Y10" s="5"/>
      <c r="Z10" s="7"/>
      <c r="AA10" s="5"/>
      <c r="AB10" s="5"/>
      <c r="AC10" s="5"/>
      <c r="AD10" s="5"/>
      <c r="AE10" s="5"/>
      <c r="AF10" s="5"/>
      <c r="AG10" s="5"/>
      <c r="AH10" s="5"/>
      <c r="AI10" s="5"/>
    </row>
    <row r="11" spans="1:35" ht="15" customHeight="1">
      <c r="A11" s="8"/>
      <c r="B11" s="8"/>
      <c r="C11" s="10" t="s">
        <v>216</v>
      </c>
      <c r="D11" s="152" t="str">
        <f>IF(ISNUMBER(OO),OO,"-")</f>
        <v>-</v>
      </c>
      <c r="E11" s="150" t="s">
        <v>38</v>
      </c>
      <c r="F11" s="8"/>
      <c r="G11" s="10" t="s">
        <v>75</v>
      </c>
      <c r="H11" s="153" t="str">
        <f>IF(ISNUMBER(Dn),Dn,"-")</f>
        <v>-</v>
      </c>
      <c r="I11" s="56" t="s">
        <v>76</v>
      </c>
      <c r="J11" s="2"/>
      <c r="K11" s="23" t="s">
        <v>134</v>
      </c>
      <c r="L11" s="389"/>
      <c r="M11" s="390"/>
      <c r="N11" s="391"/>
      <c r="O11" s="390"/>
      <c r="P11" s="3" t="s">
        <v>135</v>
      </c>
      <c r="Q11" s="4"/>
      <c r="R11" s="5"/>
      <c r="S11" s="12"/>
      <c r="T11" s="5"/>
      <c r="U11" s="104"/>
      <c r="V11" s="5"/>
      <c r="W11" s="5"/>
      <c r="X11" s="5"/>
      <c r="Y11" s="5"/>
      <c r="Z11" s="7"/>
      <c r="AA11" s="5"/>
      <c r="AB11" s="5"/>
      <c r="AC11" s="5"/>
      <c r="AD11" s="5"/>
      <c r="AE11" s="5"/>
      <c r="AF11" s="5"/>
      <c r="AG11" s="5"/>
      <c r="AH11" s="5"/>
      <c r="AI11" s="5"/>
    </row>
    <row r="12" spans="1:35" ht="15" customHeight="1">
      <c r="A12" s="8"/>
      <c r="B12" s="8"/>
      <c r="C12" s="10" t="s">
        <v>217</v>
      </c>
      <c r="D12" s="36" t="str">
        <f>IF(ISNUMBER(NN),NN,"-")</f>
        <v>-</v>
      </c>
      <c r="E12" s="150" t="s">
        <v>38</v>
      </c>
      <c r="F12" s="154"/>
      <c r="G12" s="23" t="s">
        <v>61</v>
      </c>
      <c r="H12" s="155" t="str">
        <f>IF(ISNUMBER(A),A,"-")</f>
        <v>-</v>
      </c>
      <c r="I12" s="27" t="s">
        <v>218</v>
      </c>
      <c r="J12" s="8"/>
      <c r="K12" s="10" t="s">
        <v>138</v>
      </c>
      <c r="L12" s="393"/>
      <c r="M12" s="347"/>
      <c r="N12" s="392"/>
      <c r="O12" s="347"/>
      <c r="P12" s="5" t="s">
        <v>135</v>
      </c>
      <c r="Q12" s="12"/>
      <c r="R12" s="5"/>
      <c r="S12" s="12"/>
      <c r="T12" s="5"/>
      <c r="U12" s="104"/>
      <c r="V12" s="5"/>
      <c r="W12" s="5"/>
      <c r="X12" s="5"/>
      <c r="Y12" s="5"/>
      <c r="Z12" s="7"/>
      <c r="AA12" s="5"/>
      <c r="AB12" s="5"/>
      <c r="AC12" s="5"/>
      <c r="AD12" s="5"/>
      <c r="AE12" s="5"/>
      <c r="AF12" s="5"/>
      <c r="AG12" s="5"/>
      <c r="AH12" s="5"/>
      <c r="AI12" s="5"/>
    </row>
    <row r="13" spans="1:35" ht="15" customHeight="1">
      <c r="A13" s="8"/>
      <c r="B13" s="8"/>
      <c r="C13" s="10" t="s">
        <v>219</v>
      </c>
      <c r="D13" s="152" t="str">
        <f>IF(ISNUMBER(Md),Md,"-")</f>
        <v>-</v>
      </c>
      <c r="E13" s="31" t="s">
        <v>56</v>
      </c>
      <c r="F13" s="8"/>
      <c r="G13" s="10" t="s">
        <v>140</v>
      </c>
      <c r="H13" s="156"/>
      <c r="I13" s="12" t="s">
        <v>141</v>
      </c>
      <c r="J13" s="157"/>
      <c r="K13" s="9" t="s">
        <v>142</v>
      </c>
      <c r="L13" s="393"/>
      <c r="M13" s="347"/>
      <c r="N13" s="392"/>
      <c r="O13" s="347"/>
      <c r="P13" s="128" t="s">
        <v>143</v>
      </c>
      <c r="Q13" s="12"/>
      <c r="R13" s="5"/>
      <c r="S13" s="12"/>
      <c r="T13" s="5"/>
      <c r="U13" s="104"/>
      <c r="V13" s="5"/>
      <c r="W13" s="5"/>
      <c r="X13" s="5"/>
      <c r="Y13" s="5"/>
      <c r="Z13" s="7"/>
      <c r="AA13" s="5"/>
      <c r="AB13" s="5"/>
      <c r="AC13" s="5"/>
      <c r="AD13" s="5"/>
      <c r="AE13" s="5"/>
      <c r="AF13" s="5"/>
      <c r="AG13" s="5"/>
      <c r="AH13" s="5"/>
      <c r="AI13" s="5"/>
    </row>
    <row r="14" spans="1:35" ht="15" customHeight="1">
      <c r="A14" s="8"/>
      <c r="B14" s="60"/>
      <c r="C14" s="57" t="s">
        <v>220</v>
      </c>
      <c r="D14" s="158" t="str">
        <f>IF(ISNUMBER(Mwe),Mwe,"-")</f>
        <v>-</v>
      </c>
      <c r="E14" s="59" t="s">
        <v>56</v>
      </c>
      <c r="F14" s="323" t="s">
        <v>145</v>
      </c>
      <c r="G14" s="325"/>
      <c r="H14" s="159"/>
      <c r="I14" s="52" t="s">
        <v>146</v>
      </c>
      <c r="J14" s="8"/>
      <c r="K14" s="10" t="s">
        <v>147</v>
      </c>
      <c r="L14" s="394" t="str">
        <f>IF(ISNUMBER(L13),(L12-L11)/L13,"-")</f>
        <v>-</v>
      </c>
      <c r="M14" s="347"/>
      <c r="N14" s="394" t="str">
        <f>IF(ISNUMBER(N13),(N12-N11)/N13,"-")</f>
        <v>-</v>
      </c>
      <c r="O14" s="280"/>
      <c r="P14" s="5" t="s">
        <v>120</v>
      </c>
      <c r="Q14" s="12"/>
      <c r="R14" s="5"/>
      <c r="S14" s="12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ht="15" customHeight="1">
      <c r="A15" s="8"/>
      <c r="B15" s="160"/>
      <c r="C15" s="161" t="s">
        <v>221</v>
      </c>
      <c r="D15" s="162">
        <f>IF(ISNUMBER(Tstd),Tstd,"-")</f>
        <v>528</v>
      </c>
      <c r="E15" s="163" t="s">
        <v>149</v>
      </c>
      <c r="F15" s="164"/>
      <c r="G15" s="164" t="s">
        <v>222</v>
      </c>
      <c r="H15" s="165">
        <f>IF(ISNUMBER(Pstd),Pstd,"-")</f>
        <v>29.92</v>
      </c>
      <c r="I15" s="166" t="s">
        <v>43</v>
      </c>
      <c r="J15" s="60"/>
      <c r="K15" s="57" t="s">
        <v>151</v>
      </c>
      <c r="L15" s="395"/>
      <c r="M15" s="349"/>
      <c r="N15" s="396"/>
      <c r="O15" s="349"/>
      <c r="P15" s="51" t="s">
        <v>152</v>
      </c>
      <c r="Q15" s="52"/>
      <c r="R15" s="5"/>
      <c r="S15" s="12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ht="5.25" customHeight="1">
      <c r="A16" s="8"/>
      <c r="B16" s="5"/>
      <c r="C16" s="5"/>
      <c r="D16" s="5"/>
      <c r="E16" s="5"/>
      <c r="F16" s="5"/>
      <c r="G16" s="5"/>
      <c r="H16" s="5"/>
      <c r="I16" s="5"/>
      <c r="J16" s="5"/>
      <c r="K16" s="10"/>
      <c r="L16" s="17"/>
      <c r="M16" s="14"/>
      <c r="N16" s="17"/>
      <c r="O16" s="14"/>
      <c r="P16" s="5"/>
      <c r="Q16" s="5"/>
      <c r="R16" s="5"/>
      <c r="S16" s="12"/>
      <c r="T16" s="5"/>
      <c r="U16" s="104"/>
      <c r="V16" s="5"/>
      <c r="W16" s="5"/>
      <c r="X16" s="5"/>
      <c r="Y16" s="5"/>
      <c r="Z16" s="7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15" customHeight="1">
      <c r="A17" s="8"/>
      <c r="B17" s="406" t="s">
        <v>86</v>
      </c>
      <c r="C17" s="409" t="s">
        <v>153</v>
      </c>
      <c r="D17" s="361" t="s">
        <v>223</v>
      </c>
      <c r="E17" s="288"/>
      <c r="F17" s="167" t="s">
        <v>155</v>
      </c>
      <c r="G17" s="410" t="s">
        <v>156</v>
      </c>
      <c r="H17" s="411"/>
      <c r="I17" s="314"/>
      <c r="J17" s="368" t="s">
        <v>157</v>
      </c>
      <c r="K17" s="357"/>
      <c r="L17" s="168" t="s">
        <v>158</v>
      </c>
      <c r="M17" s="319" t="s">
        <v>159</v>
      </c>
      <c r="N17" s="309"/>
      <c r="O17" s="357"/>
      <c r="P17" s="14"/>
      <c r="Q17" s="21"/>
      <c r="R17" s="128"/>
      <c r="S17" s="12"/>
      <c r="T17" s="5"/>
      <c r="U17" s="104"/>
      <c r="V17" s="5"/>
      <c r="W17" s="5"/>
      <c r="X17" s="5"/>
      <c r="Y17" s="5"/>
      <c r="Z17" s="7"/>
      <c r="AA17" s="5"/>
      <c r="AB17" s="5"/>
      <c r="AC17" s="5"/>
      <c r="AD17" s="5"/>
      <c r="AE17" s="5"/>
      <c r="AF17" s="5"/>
      <c r="AG17" s="5"/>
      <c r="AH17" s="5"/>
      <c r="AI17" s="5"/>
    </row>
    <row r="18" spans="1:35" ht="15" customHeight="1">
      <c r="A18" s="8"/>
      <c r="B18" s="407"/>
      <c r="C18" s="336"/>
      <c r="D18" s="362"/>
      <c r="E18" s="290"/>
      <c r="F18" s="169" t="s">
        <v>224</v>
      </c>
      <c r="G18" s="397" t="s">
        <v>161</v>
      </c>
      <c r="H18" s="296"/>
      <c r="I18" s="170"/>
      <c r="J18" s="412" t="s">
        <v>225</v>
      </c>
      <c r="K18" s="413"/>
      <c r="L18" s="171" t="s">
        <v>163</v>
      </c>
      <c r="M18" s="397" t="s">
        <v>104</v>
      </c>
      <c r="N18" s="296"/>
      <c r="O18" s="172" t="s">
        <v>164</v>
      </c>
      <c r="P18" s="398" t="s">
        <v>165</v>
      </c>
      <c r="Q18" s="400" t="s">
        <v>226</v>
      </c>
      <c r="R18" s="400" t="s">
        <v>227</v>
      </c>
      <c r="S18" s="12"/>
      <c r="T18" s="5"/>
      <c r="U18" s="402" t="s">
        <v>228</v>
      </c>
      <c r="V18" s="403" t="s">
        <v>229</v>
      </c>
      <c r="W18" s="400" t="s">
        <v>230</v>
      </c>
      <c r="X18" s="398" t="s">
        <v>231</v>
      </c>
      <c r="Y18" s="404" t="s">
        <v>232</v>
      </c>
      <c r="Z18" s="405" t="s">
        <v>233</v>
      </c>
      <c r="AA18" s="404" t="s">
        <v>234</v>
      </c>
      <c r="AB18" s="5"/>
      <c r="AC18" s="402" t="s">
        <v>235</v>
      </c>
      <c r="AD18" s="402" t="s">
        <v>236</v>
      </c>
      <c r="AE18" s="400" t="s">
        <v>237</v>
      </c>
      <c r="AF18" s="400" t="s">
        <v>238</v>
      </c>
      <c r="AG18" s="400" t="s">
        <v>239</v>
      </c>
      <c r="AH18" s="403" t="s">
        <v>240</v>
      </c>
      <c r="AI18" s="403" t="s">
        <v>241</v>
      </c>
    </row>
    <row r="19" spans="1:35" ht="15" customHeight="1">
      <c r="A19" s="8"/>
      <c r="B19" s="408"/>
      <c r="C19" s="401"/>
      <c r="D19" s="363"/>
      <c r="E19" s="306"/>
      <c r="F19" s="69" t="s">
        <v>242</v>
      </c>
      <c r="G19" s="173" t="s">
        <v>183</v>
      </c>
      <c r="H19" s="174" t="s">
        <v>184</v>
      </c>
      <c r="I19" s="170" t="s">
        <v>185</v>
      </c>
      <c r="J19" s="175" t="s">
        <v>186</v>
      </c>
      <c r="K19" s="172" t="s">
        <v>187</v>
      </c>
      <c r="L19" s="176" t="s">
        <v>188</v>
      </c>
      <c r="M19" s="173" t="s">
        <v>189</v>
      </c>
      <c r="N19" s="177" t="s">
        <v>190</v>
      </c>
      <c r="O19" s="170" t="s">
        <v>191</v>
      </c>
      <c r="P19" s="399"/>
      <c r="Q19" s="401"/>
      <c r="R19" s="401"/>
      <c r="S19" s="12"/>
      <c r="T19" s="5"/>
      <c r="U19" s="337"/>
      <c r="V19" s="401"/>
      <c r="W19" s="401"/>
      <c r="X19" s="399"/>
      <c r="Y19" s="337"/>
      <c r="Z19" s="337"/>
      <c r="AA19" s="337"/>
      <c r="AB19" s="5"/>
      <c r="AC19" s="337"/>
      <c r="AD19" s="401"/>
      <c r="AE19" s="401"/>
      <c r="AF19" s="401"/>
      <c r="AG19" s="401"/>
      <c r="AH19" s="401"/>
      <c r="AI19" s="401"/>
    </row>
    <row r="20" spans="1:35" ht="15" customHeight="1">
      <c r="A20" s="8"/>
      <c r="B20" s="78">
        <v>1</v>
      </c>
      <c r="C20" s="178" t="str">
        <f>IF(ISNUMBER(F20),MAX(ROUND(Cp/Cpp*U20/'Pre-Test'!$U$46*Tr_2*4/N_2,0)/4,2),"-")</f>
        <v>-</v>
      </c>
      <c r="D20" s="364"/>
      <c r="E20" s="320"/>
      <c r="F20" s="79"/>
      <c r="G20" s="179"/>
      <c r="H20" s="179"/>
      <c r="I20" s="180"/>
      <c r="J20" s="80" t="str">
        <f>IF(ISNUMBER(I20),(Qse*(1-Bwse/100)*Ps_2/(I20+460))^2*1.083*(H20+460)*Md*dHa/Pbar_2,dHe)</f>
        <v>-</v>
      </c>
      <c r="K20" s="79"/>
      <c r="L20" s="181"/>
      <c r="M20" s="181"/>
      <c r="N20" s="181"/>
      <c r="O20" s="181"/>
      <c r="P20" s="182" t="str">
        <f>IF(ISNUMBER(D21),((D21-D20)*Y*(I20+460)/(AVERAGE(G20:H20)+460)*(Pbar_2+K20/13.6)/Ps_2)/(1-Bwse/100)/C20,"-")</f>
        <v>-</v>
      </c>
      <c r="Q20" s="183" t="str">
        <f t="shared" ref="Q20:Q43" si="0">IF(ISNUMBER(P20),0.15625*((I20+460)/Mwe/Ps_2)^0.2091*(Y20/P20)^0.7091,"-")</f>
        <v>-</v>
      </c>
      <c r="R20" s="178" t="str">
        <f t="shared" ref="R20:R43" si="1">IF(ISNUMBER(P20),IF(Z20&lt;3162,0.0024302*(Y20/P20)^1.1791*SQRT(1/AA20)*((I20+460)/Ps_2/Mwe)^0.679,0.019723*(Y20/P20)^0.8058*SQRT(1/AA20)*((I20+460)/Ps_2/Mwe)^0.3058),"-")</f>
        <v>-</v>
      </c>
      <c r="S20" s="12"/>
      <c r="T20" s="5"/>
      <c r="U20" s="184" t="str">
        <f t="shared" ref="U20:U43" si="2">IF(ISNUMBER(F20),SQRT(F20),"-")</f>
        <v>-</v>
      </c>
      <c r="V20" s="185" t="str">
        <f t="shared" ref="V20:V43" si="3">IF(ISNUMBER(U20),85.49*Cp*U20*SQRT((I20+460)/Ps_2/Mwe),"-")</f>
        <v>-</v>
      </c>
      <c r="W20" s="186" t="str">
        <f t="shared" ref="W20:W43" si="4">IF(ISNUMBER(D21),Tstd/Pstd*Y*(D21-D20)*(Pbar_2+K20/13.6)/(AVERAGE(G20:H20)+460),"-")</f>
        <v>-</v>
      </c>
      <c r="X20" s="187" t="str">
        <f>IF(ISNUMBER(W20),W20/C20,"-")</f>
        <v>-</v>
      </c>
      <c r="Y20" s="183" t="str">
        <f t="shared" ref="Y20:Y43" si="5">IF(ISNUMBER(I20),-150.3162+13.4622*SQRT(I20+460)+3861530/(I20+460)^2+0.591123*(1-Bwse/100)*OO-91.9723*Bwse/100+0.0000151761*Bwse/100*(I20+460)^2,"-")</f>
        <v>-</v>
      </c>
      <c r="Z20" s="183" t="str">
        <f t="shared" ref="Z20:Z43" si="6">IF(ISNUMBER(Y20),864000*Ps_2*Mwe/(I20+460)*P20/Y20,"-")</f>
        <v>-</v>
      </c>
      <c r="AA20" s="188" t="str">
        <f t="shared" ref="AA20:AA43" si="7">IF(ISNUMBER(Y20),1+0.0057193*(Y20/Ps_2/(IF(ISNUMBER(R20),R20,2.5))*SQRT((I20+460)/Mwe)),"-")</f>
        <v>-</v>
      </c>
      <c r="AB20" s="5"/>
      <c r="AC20" s="184" t="str">
        <f t="shared" ref="AC20:AC43" si="8">IF(ISNUMBER(AF20),0.00013686*Ps_2*Mwe*(AF20)^2/(I20+460)/Cp^2,"-")</f>
        <v>-</v>
      </c>
      <c r="AD20" s="189" t="str">
        <f t="shared" ref="AD20:AD43" si="9">IF(ISNUMBER(AG20),0.00013686*Ps_2*Mwe*(AG20)^2/(I20+460)/Cp^2,"-")</f>
        <v>-</v>
      </c>
      <c r="AE20" s="83" t="str">
        <f t="shared" ref="AE20:AE43" si="10">IF(ISNUMBER(P20),3.055775*P20/(Dn)^2,"-")</f>
        <v>-</v>
      </c>
      <c r="AF20" s="83" t="str">
        <f t="shared" ref="AF20:AF43" si="11">IF(ISNUMBER(AH20),AE20*AH20,"-")</f>
        <v>-</v>
      </c>
      <c r="AG20" s="83" t="str">
        <f t="shared" ref="AG20:AG43" si="12">IF(ISNUMBER(AI20),AE20*AI20,"-")</f>
        <v>-</v>
      </c>
      <c r="AH20" s="83" t="str">
        <f t="shared" ref="AH20:AH43" si="13">IF(ISNUMBER(AE20),IF((0.2603*Y20*SQRT(P20))/(AE20)^1.5&gt;0.3072,0.5,(0.2457+SQRT(0.3072-(0.2603*Y20*SQRT(P20))/(AE20)^1.5))),"-")</f>
        <v>-</v>
      </c>
      <c r="AI20" s="190" t="str">
        <f t="shared" ref="AI20:AI43" si="14">IF(ISNUMBER(AE20),IF((0.4457+SQRT(0.569+(0.2603*Y20*SQRT(P20))/(AE20)^1.5))&gt;1.5,1.5,(0.4457+SQRT(0.569+(0.2603*Y20*SQRT(P20))/(AE20)^1.5))),"-")</f>
        <v>-</v>
      </c>
    </row>
    <row r="21" spans="1:35" ht="15" customHeight="1">
      <c r="A21" s="8"/>
      <c r="B21" s="88">
        <v>2</v>
      </c>
      <c r="C21" s="191" t="str">
        <f>IF(2&gt;N_2,"-",IF(ISNUMBER(F21),MAX(ROUND(Cp/Cpp*U21/'Pre-Test'!$U$46*Tr_2*4/N_2,0)/4,2)+C20,"-"))</f>
        <v>-</v>
      </c>
      <c r="D21" s="365"/>
      <c r="E21" s="347"/>
      <c r="F21" s="89"/>
      <c r="G21" s="192"/>
      <c r="H21" s="192"/>
      <c r="I21" s="193"/>
      <c r="J21" s="90" t="str">
        <f t="shared" ref="J21:J43" si="15">IF(ISNUMBER(I21),(Qse*(1-Bwse/100)*Ps_2/(I21+460))^2*1.083*(H21+460)*Md*dHa/Pbar_2,"-")</f>
        <v>-</v>
      </c>
      <c r="K21" s="89"/>
      <c r="L21" s="193"/>
      <c r="M21" s="193"/>
      <c r="N21" s="193"/>
      <c r="O21" s="193"/>
      <c r="P21" s="249" t="str">
        <f t="shared" ref="P21:P43" si="16">IF(ISNUMBER(D22),((D22-D21)*Y*(I21+460)/(AVERAGE(G21:H21)+460)*(Pbar_2+K21/13.6)/Ps_2)/(1-Bwse/100)/(C21-C20),"-")</f>
        <v>-</v>
      </c>
      <c r="Q21" s="191" t="str">
        <f t="shared" si="0"/>
        <v>-</v>
      </c>
      <c r="R21" s="191" t="str">
        <f t="shared" si="1"/>
        <v>-</v>
      </c>
      <c r="S21" s="12"/>
      <c r="T21" s="5"/>
      <c r="U21" s="195" t="str">
        <f t="shared" si="2"/>
        <v>-</v>
      </c>
      <c r="V21" s="92" t="str">
        <f t="shared" si="3"/>
        <v>-</v>
      </c>
      <c r="W21" s="196" t="str">
        <f t="shared" si="4"/>
        <v>-</v>
      </c>
      <c r="X21" s="196" t="str">
        <f t="shared" ref="X21:X43" si="17">IF(ISNUMBER(W21),W21/(C21-C20),"-")</f>
        <v>-</v>
      </c>
      <c r="Y21" s="191" t="str">
        <f t="shared" si="5"/>
        <v>-</v>
      </c>
      <c r="Z21" s="191" t="str">
        <f t="shared" si="6"/>
        <v>-</v>
      </c>
      <c r="AA21" s="197" t="str">
        <f t="shared" si="7"/>
        <v>-</v>
      </c>
      <c r="AB21" s="5"/>
      <c r="AC21" s="195" t="str">
        <f t="shared" si="8"/>
        <v>-</v>
      </c>
      <c r="AD21" s="90" t="str">
        <f t="shared" si="9"/>
        <v>-</v>
      </c>
      <c r="AE21" s="92" t="str">
        <f t="shared" si="10"/>
        <v>-</v>
      </c>
      <c r="AF21" s="92" t="str">
        <f t="shared" si="11"/>
        <v>-</v>
      </c>
      <c r="AG21" s="92" t="str">
        <f t="shared" si="12"/>
        <v>-</v>
      </c>
      <c r="AH21" s="92" t="str">
        <f t="shared" si="13"/>
        <v>-</v>
      </c>
      <c r="AI21" s="198" t="str">
        <f t="shared" si="14"/>
        <v>-</v>
      </c>
    </row>
    <row r="22" spans="1:35" ht="15" customHeight="1">
      <c r="A22" s="8"/>
      <c r="B22" s="88">
        <v>3</v>
      </c>
      <c r="C22" s="191" t="str">
        <f>IF(3&gt;N_2,"-",IF(ISNUMBER(F22),MAX(ROUND(Cp/Cpp*U22/'Pre-Test'!$U$46*Tr_2*4/N_2,0)/4,2)+C21,"-"))</f>
        <v>-</v>
      </c>
      <c r="D22" s="365"/>
      <c r="E22" s="347"/>
      <c r="F22" s="89"/>
      <c r="G22" s="192"/>
      <c r="H22" s="192"/>
      <c r="I22" s="193"/>
      <c r="J22" s="90" t="str">
        <f t="shared" si="15"/>
        <v>-</v>
      </c>
      <c r="K22" s="89"/>
      <c r="L22" s="193"/>
      <c r="M22" s="193"/>
      <c r="N22" s="193"/>
      <c r="O22" s="193"/>
      <c r="P22" s="249" t="str">
        <f t="shared" si="16"/>
        <v>-</v>
      </c>
      <c r="Q22" s="191" t="str">
        <f t="shared" si="0"/>
        <v>-</v>
      </c>
      <c r="R22" s="191" t="str">
        <f t="shared" si="1"/>
        <v>-</v>
      </c>
      <c r="S22" s="12"/>
      <c r="T22" s="5"/>
      <c r="U22" s="195" t="str">
        <f t="shared" si="2"/>
        <v>-</v>
      </c>
      <c r="V22" s="92" t="str">
        <f t="shared" si="3"/>
        <v>-</v>
      </c>
      <c r="W22" s="196" t="str">
        <f t="shared" si="4"/>
        <v>-</v>
      </c>
      <c r="X22" s="196" t="str">
        <f t="shared" si="17"/>
        <v>-</v>
      </c>
      <c r="Y22" s="191" t="str">
        <f t="shared" si="5"/>
        <v>-</v>
      </c>
      <c r="Z22" s="191" t="str">
        <f t="shared" si="6"/>
        <v>-</v>
      </c>
      <c r="AA22" s="197" t="str">
        <f t="shared" si="7"/>
        <v>-</v>
      </c>
      <c r="AB22" s="5"/>
      <c r="AC22" s="195" t="str">
        <f t="shared" si="8"/>
        <v>-</v>
      </c>
      <c r="AD22" s="90" t="str">
        <f t="shared" si="9"/>
        <v>-</v>
      </c>
      <c r="AE22" s="92" t="str">
        <f t="shared" si="10"/>
        <v>-</v>
      </c>
      <c r="AF22" s="92" t="str">
        <f t="shared" si="11"/>
        <v>-</v>
      </c>
      <c r="AG22" s="92" t="str">
        <f t="shared" si="12"/>
        <v>-</v>
      </c>
      <c r="AH22" s="92" t="str">
        <f t="shared" si="13"/>
        <v>-</v>
      </c>
      <c r="AI22" s="198" t="str">
        <f t="shared" si="14"/>
        <v>-</v>
      </c>
    </row>
    <row r="23" spans="1:35" ht="15" customHeight="1">
      <c r="A23" s="8"/>
      <c r="B23" s="88">
        <v>4</v>
      </c>
      <c r="C23" s="191" t="str">
        <f>IF(4&gt;N_2,"-",IF(ISNUMBER(F23),MAX(ROUND(Cp/Cpp*U23/'Pre-Test'!$U$46*Tr_2*4/N_2,0)/4,2)+C22,"-"))</f>
        <v>-</v>
      </c>
      <c r="D23" s="365"/>
      <c r="E23" s="347"/>
      <c r="F23" s="89"/>
      <c r="G23" s="192"/>
      <c r="H23" s="192"/>
      <c r="I23" s="193"/>
      <c r="J23" s="90" t="str">
        <f t="shared" si="15"/>
        <v>-</v>
      </c>
      <c r="K23" s="89"/>
      <c r="L23" s="193"/>
      <c r="M23" s="193"/>
      <c r="N23" s="193"/>
      <c r="O23" s="193"/>
      <c r="P23" s="249" t="str">
        <f t="shared" si="16"/>
        <v>-</v>
      </c>
      <c r="Q23" s="191" t="str">
        <f t="shared" si="0"/>
        <v>-</v>
      </c>
      <c r="R23" s="191" t="str">
        <f t="shared" si="1"/>
        <v>-</v>
      </c>
      <c r="S23" s="12"/>
      <c r="T23" s="5"/>
      <c r="U23" s="195" t="str">
        <f t="shared" si="2"/>
        <v>-</v>
      </c>
      <c r="V23" s="92" t="str">
        <f t="shared" si="3"/>
        <v>-</v>
      </c>
      <c r="W23" s="196" t="str">
        <f t="shared" si="4"/>
        <v>-</v>
      </c>
      <c r="X23" s="196" t="str">
        <f t="shared" si="17"/>
        <v>-</v>
      </c>
      <c r="Y23" s="191" t="str">
        <f t="shared" si="5"/>
        <v>-</v>
      </c>
      <c r="Z23" s="191" t="str">
        <f t="shared" si="6"/>
        <v>-</v>
      </c>
      <c r="AA23" s="197" t="str">
        <f t="shared" si="7"/>
        <v>-</v>
      </c>
      <c r="AB23" s="5"/>
      <c r="AC23" s="195" t="str">
        <f t="shared" si="8"/>
        <v>-</v>
      </c>
      <c r="AD23" s="90" t="str">
        <f t="shared" si="9"/>
        <v>-</v>
      </c>
      <c r="AE23" s="92" t="str">
        <f t="shared" si="10"/>
        <v>-</v>
      </c>
      <c r="AF23" s="92" t="str">
        <f t="shared" si="11"/>
        <v>-</v>
      </c>
      <c r="AG23" s="92" t="str">
        <f t="shared" si="12"/>
        <v>-</v>
      </c>
      <c r="AH23" s="92" t="str">
        <f t="shared" si="13"/>
        <v>-</v>
      </c>
      <c r="AI23" s="198" t="str">
        <f t="shared" si="14"/>
        <v>-</v>
      </c>
    </row>
    <row r="24" spans="1:35" ht="15" customHeight="1">
      <c r="A24" s="8"/>
      <c r="B24" s="88">
        <v>5</v>
      </c>
      <c r="C24" s="191" t="str">
        <f>IF(5&gt;N_2,"-",IF(ISNUMBER(F24),MAX(ROUND(Cp/Cpp*U24/'Pre-Test'!$U$46*Tr_2*4/N_2,0)/4,2)+C23,"-"))</f>
        <v>-</v>
      </c>
      <c r="D24" s="365"/>
      <c r="E24" s="347"/>
      <c r="F24" s="89"/>
      <c r="G24" s="192"/>
      <c r="H24" s="192"/>
      <c r="I24" s="193"/>
      <c r="J24" s="90" t="str">
        <f t="shared" si="15"/>
        <v>-</v>
      </c>
      <c r="K24" s="89"/>
      <c r="L24" s="193"/>
      <c r="M24" s="193"/>
      <c r="N24" s="193"/>
      <c r="O24" s="193"/>
      <c r="P24" s="249" t="str">
        <f t="shared" si="16"/>
        <v>-</v>
      </c>
      <c r="Q24" s="191" t="str">
        <f t="shared" si="0"/>
        <v>-</v>
      </c>
      <c r="R24" s="191" t="str">
        <f t="shared" si="1"/>
        <v>-</v>
      </c>
      <c r="S24" s="12"/>
      <c r="T24" s="5"/>
      <c r="U24" s="195" t="str">
        <f t="shared" si="2"/>
        <v>-</v>
      </c>
      <c r="V24" s="92" t="str">
        <f t="shared" si="3"/>
        <v>-</v>
      </c>
      <c r="W24" s="196" t="str">
        <f t="shared" si="4"/>
        <v>-</v>
      </c>
      <c r="X24" s="196" t="str">
        <f t="shared" si="17"/>
        <v>-</v>
      </c>
      <c r="Y24" s="191" t="str">
        <f t="shared" si="5"/>
        <v>-</v>
      </c>
      <c r="Z24" s="191" t="str">
        <f t="shared" si="6"/>
        <v>-</v>
      </c>
      <c r="AA24" s="197" t="str">
        <f t="shared" si="7"/>
        <v>-</v>
      </c>
      <c r="AB24" s="5"/>
      <c r="AC24" s="195" t="str">
        <f t="shared" si="8"/>
        <v>-</v>
      </c>
      <c r="AD24" s="90" t="str">
        <f t="shared" si="9"/>
        <v>-</v>
      </c>
      <c r="AE24" s="92" t="str">
        <f t="shared" si="10"/>
        <v>-</v>
      </c>
      <c r="AF24" s="92" t="str">
        <f t="shared" si="11"/>
        <v>-</v>
      </c>
      <c r="AG24" s="92" t="str">
        <f t="shared" si="12"/>
        <v>-</v>
      </c>
      <c r="AH24" s="92" t="str">
        <f t="shared" si="13"/>
        <v>-</v>
      </c>
      <c r="AI24" s="198" t="str">
        <f t="shared" si="14"/>
        <v>-</v>
      </c>
    </row>
    <row r="25" spans="1:35" ht="15" customHeight="1">
      <c r="A25" s="8"/>
      <c r="B25" s="88">
        <v>6</v>
      </c>
      <c r="C25" s="191" t="str">
        <f>IF(6&gt;N_2,"-",IF(ISNUMBER(F25),MAX(ROUND(Cp/Cpp*U25/'Pre-Test'!$U$46*Tr_2*4/N_2,0)/4,2)+C24,"-"))</f>
        <v>-</v>
      </c>
      <c r="D25" s="365"/>
      <c r="E25" s="347"/>
      <c r="F25" s="89"/>
      <c r="G25" s="192"/>
      <c r="H25" s="192"/>
      <c r="I25" s="193"/>
      <c r="J25" s="90" t="str">
        <f t="shared" si="15"/>
        <v>-</v>
      </c>
      <c r="K25" s="89"/>
      <c r="L25" s="193"/>
      <c r="M25" s="193"/>
      <c r="N25" s="193"/>
      <c r="O25" s="193"/>
      <c r="P25" s="249" t="str">
        <f t="shared" si="16"/>
        <v>-</v>
      </c>
      <c r="Q25" s="191" t="str">
        <f t="shared" si="0"/>
        <v>-</v>
      </c>
      <c r="R25" s="191" t="str">
        <f t="shared" si="1"/>
        <v>-</v>
      </c>
      <c r="S25" s="12"/>
      <c r="T25" s="5"/>
      <c r="U25" s="195" t="str">
        <f t="shared" si="2"/>
        <v>-</v>
      </c>
      <c r="V25" s="92" t="str">
        <f t="shared" si="3"/>
        <v>-</v>
      </c>
      <c r="W25" s="196" t="str">
        <f t="shared" si="4"/>
        <v>-</v>
      </c>
      <c r="X25" s="196" t="str">
        <f t="shared" si="17"/>
        <v>-</v>
      </c>
      <c r="Y25" s="191" t="str">
        <f t="shared" si="5"/>
        <v>-</v>
      </c>
      <c r="Z25" s="191" t="str">
        <f t="shared" si="6"/>
        <v>-</v>
      </c>
      <c r="AA25" s="197" t="str">
        <f t="shared" si="7"/>
        <v>-</v>
      </c>
      <c r="AB25" s="5"/>
      <c r="AC25" s="195" t="str">
        <f t="shared" si="8"/>
        <v>-</v>
      </c>
      <c r="AD25" s="90" t="str">
        <f t="shared" si="9"/>
        <v>-</v>
      </c>
      <c r="AE25" s="92" t="str">
        <f t="shared" si="10"/>
        <v>-</v>
      </c>
      <c r="AF25" s="92" t="str">
        <f t="shared" si="11"/>
        <v>-</v>
      </c>
      <c r="AG25" s="92" t="str">
        <f t="shared" si="12"/>
        <v>-</v>
      </c>
      <c r="AH25" s="92" t="str">
        <f t="shared" si="13"/>
        <v>-</v>
      </c>
      <c r="AI25" s="198" t="str">
        <f t="shared" si="14"/>
        <v>-</v>
      </c>
    </row>
    <row r="26" spans="1:35" ht="15" customHeight="1">
      <c r="A26" s="8"/>
      <c r="B26" s="88">
        <v>7</v>
      </c>
      <c r="C26" s="191" t="str">
        <f>IF(7&gt;N_2,"-",IF(ISNUMBER(F26),MAX(ROUND(Cp/Cpp*U26/'Pre-Test'!$U$46*Tr_2*4/N_2,0)/4,2)+C25,"-"))</f>
        <v>-</v>
      </c>
      <c r="D26" s="365"/>
      <c r="E26" s="347"/>
      <c r="F26" s="89"/>
      <c r="G26" s="192"/>
      <c r="H26" s="192"/>
      <c r="I26" s="193"/>
      <c r="J26" s="90" t="str">
        <f t="shared" si="15"/>
        <v>-</v>
      </c>
      <c r="K26" s="89"/>
      <c r="L26" s="193"/>
      <c r="M26" s="193"/>
      <c r="N26" s="193"/>
      <c r="O26" s="193"/>
      <c r="P26" s="249" t="str">
        <f t="shared" si="16"/>
        <v>-</v>
      </c>
      <c r="Q26" s="191" t="str">
        <f t="shared" si="0"/>
        <v>-</v>
      </c>
      <c r="R26" s="191" t="str">
        <f t="shared" si="1"/>
        <v>-</v>
      </c>
      <c r="S26" s="12"/>
      <c r="T26" s="5"/>
      <c r="U26" s="195" t="str">
        <f t="shared" si="2"/>
        <v>-</v>
      </c>
      <c r="V26" s="92" t="str">
        <f t="shared" si="3"/>
        <v>-</v>
      </c>
      <c r="W26" s="196" t="str">
        <f t="shared" si="4"/>
        <v>-</v>
      </c>
      <c r="X26" s="196" t="str">
        <f t="shared" si="17"/>
        <v>-</v>
      </c>
      <c r="Y26" s="191" t="str">
        <f t="shared" si="5"/>
        <v>-</v>
      </c>
      <c r="Z26" s="191" t="str">
        <f t="shared" si="6"/>
        <v>-</v>
      </c>
      <c r="AA26" s="197" t="str">
        <f t="shared" si="7"/>
        <v>-</v>
      </c>
      <c r="AB26" s="5"/>
      <c r="AC26" s="195" t="str">
        <f t="shared" si="8"/>
        <v>-</v>
      </c>
      <c r="AD26" s="90" t="str">
        <f t="shared" si="9"/>
        <v>-</v>
      </c>
      <c r="AE26" s="92" t="str">
        <f t="shared" si="10"/>
        <v>-</v>
      </c>
      <c r="AF26" s="92" t="str">
        <f t="shared" si="11"/>
        <v>-</v>
      </c>
      <c r="AG26" s="92" t="str">
        <f t="shared" si="12"/>
        <v>-</v>
      </c>
      <c r="AH26" s="92" t="str">
        <f t="shared" si="13"/>
        <v>-</v>
      </c>
      <c r="AI26" s="198" t="str">
        <f t="shared" si="14"/>
        <v>-</v>
      </c>
    </row>
    <row r="27" spans="1:35" ht="15" customHeight="1">
      <c r="A27" s="8"/>
      <c r="B27" s="88">
        <v>8</v>
      </c>
      <c r="C27" s="191" t="str">
        <f>IF(8&gt;N_2,"-",IF(ISNUMBER(F27),MAX(ROUND(Cp/Cpp*U27/'Pre-Test'!$U$46*Tr_2*4/N_2,0)/4,2)+C26,"-"))</f>
        <v>-</v>
      </c>
      <c r="D27" s="365"/>
      <c r="E27" s="347"/>
      <c r="F27" s="89"/>
      <c r="G27" s="192"/>
      <c r="H27" s="192"/>
      <c r="I27" s="193"/>
      <c r="J27" s="90" t="str">
        <f t="shared" si="15"/>
        <v>-</v>
      </c>
      <c r="K27" s="89"/>
      <c r="L27" s="193"/>
      <c r="M27" s="193"/>
      <c r="N27" s="193"/>
      <c r="O27" s="193"/>
      <c r="P27" s="249" t="str">
        <f t="shared" si="16"/>
        <v>-</v>
      </c>
      <c r="Q27" s="191" t="str">
        <f t="shared" si="0"/>
        <v>-</v>
      </c>
      <c r="R27" s="191" t="str">
        <f t="shared" si="1"/>
        <v>-</v>
      </c>
      <c r="S27" s="12"/>
      <c r="T27" s="5"/>
      <c r="U27" s="195" t="str">
        <f t="shared" si="2"/>
        <v>-</v>
      </c>
      <c r="V27" s="92" t="str">
        <f t="shared" si="3"/>
        <v>-</v>
      </c>
      <c r="W27" s="196" t="str">
        <f t="shared" si="4"/>
        <v>-</v>
      </c>
      <c r="X27" s="196" t="str">
        <f t="shared" si="17"/>
        <v>-</v>
      </c>
      <c r="Y27" s="191" t="str">
        <f t="shared" si="5"/>
        <v>-</v>
      </c>
      <c r="Z27" s="191" t="str">
        <f t="shared" si="6"/>
        <v>-</v>
      </c>
      <c r="AA27" s="197" t="str">
        <f t="shared" si="7"/>
        <v>-</v>
      </c>
      <c r="AB27" s="5"/>
      <c r="AC27" s="195" t="str">
        <f t="shared" si="8"/>
        <v>-</v>
      </c>
      <c r="AD27" s="90" t="str">
        <f t="shared" si="9"/>
        <v>-</v>
      </c>
      <c r="AE27" s="92" t="str">
        <f t="shared" si="10"/>
        <v>-</v>
      </c>
      <c r="AF27" s="92" t="str">
        <f t="shared" si="11"/>
        <v>-</v>
      </c>
      <c r="AG27" s="92" t="str">
        <f t="shared" si="12"/>
        <v>-</v>
      </c>
      <c r="AH27" s="92" t="str">
        <f t="shared" si="13"/>
        <v>-</v>
      </c>
      <c r="AI27" s="198" t="str">
        <f t="shared" si="14"/>
        <v>-</v>
      </c>
    </row>
    <row r="28" spans="1:35" ht="15" customHeight="1">
      <c r="A28" s="8"/>
      <c r="B28" s="88">
        <v>9</v>
      </c>
      <c r="C28" s="191" t="str">
        <f>IF(9&gt;N_2,"-",IF(ISNUMBER(F28),MAX(ROUND(Cp/Cpp*U28/'Pre-Test'!$U$46*Tr_2*4/N_2,0)/4,2)+C27,"-"))</f>
        <v>-</v>
      </c>
      <c r="D28" s="365"/>
      <c r="E28" s="347"/>
      <c r="F28" s="89"/>
      <c r="G28" s="192"/>
      <c r="H28" s="192"/>
      <c r="I28" s="193"/>
      <c r="J28" s="90" t="str">
        <f t="shared" si="15"/>
        <v>-</v>
      </c>
      <c r="K28" s="89"/>
      <c r="L28" s="193"/>
      <c r="M28" s="193"/>
      <c r="N28" s="193"/>
      <c r="O28" s="193"/>
      <c r="P28" s="249" t="str">
        <f t="shared" si="16"/>
        <v>-</v>
      </c>
      <c r="Q28" s="191" t="str">
        <f t="shared" si="0"/>
        <v>-</v>
      </c>
      <c r="R28" s="191" t="str">
        <f t="shared" si="1"/>
        <v>-</v>
      </c>
      <c r="S28" s="12"/>
      <c r="T28" s="5"/>
      <c r="U28" s="195" t="str">
        <f t="shared" si="2"/>
        <v>-</v>
      </c>
      <c r="V28" s="92" t="str">
        <f t="shared" si="3"/>
        <v>-</v>
      </c>
      <c r="W28" s="196" t="str">
        <f t="shared" si="4"/>
        <v>-</v>
      </c>
      <c r="X28" s="196" t="str">
        <f t="shared" si="17"/>
        <v>-</v>
      </c>
      <c r="Y28" s="191" t="str">
        <f t="shared" si="5"/>
        <v>-</v>
      </c>
      <c r="Z28" s="191" t="str">
        <f t="shared" si="6"/>
        <v>-</v>
      </c>
      <c r="AA28" s="197" t="str">
        <f t="shared" si="7"/>
        <v>-</v>
      </c>
      <c r="AB28" s="5"/>
      <c r="AC28" s="195" t="str">
        <f t="shared" si="8"/>
        <v>-</v>
      </c>
      <c r="AD28" s="90" t="str">
        <f t="shared" si="9"/>
        <v>-</v>
      </c>
      <c r="AE28" s="92" t="str">
        <f t="shared" si="10"/>
        <v>-</v>
      </c>
      <c r="AF28" s="92" t="str">
        <f t="shared" si="11"/>
        <v>-</v>
      </c>
      <c r="AG28" s="92" t="str">
        <f t="shared" si="12"/>
        <v>-</v>
      </c>
      <c r="AH28" s="92" t="str">
        <f t="shared" si="13"/>
        <v>-</v>
      </c>
      <c r="AI28" s="198" t="str">
        <f t="shared" si="14"/>
        <v>-</v>
      </c>
    </row>
    <row r="29" spans="1:35" ht="15" customHeight="1">
      <c r="A29" s="8"/>
      <c r="B29" s="88">
        <v>10</v>
      </c>
      <c r="C29" s="191" t="str">
        <f>IF(10&gt;N_2,"-",IF(ISNUMBER(F29),MAX(ROUND(Cp/Cpp*U29/'Pre-Test'!$U$46*Tr_2*4/N_2,0)/4,2)+C28,"-"))</f>
        <v>-</v>
      </c>
      <c r="D29" s="365"/>
      <c r="E29" s="347"/>
      <c r="F29" s="89"/>
      <c r="G29" s="192"/>
      <c r="H29" s="192"/>
      <c r="I29" s="193"/>
      <c r="J29" s="90" t="str">
        <f t="shared" si="15"/>
        <v>-</v>
      </c>
      <c r="K29" s="89"/>
      <c r="L29" s="193"/>
      <c r="M29" s="193"/>
      <c r="N29" s="193"/>
      <c r="O29" s="193"/>
      <c r="P29" s="249" t="str">
        <f t="shared" si="16"/>
        <v>-</v>
      </c>
      <c r="Q29" s="191" t="str">
        <f t="shared" si="0"/>
        <v>-</v>
      </c>
      <c r="R29" s="191" t="str">
        <f t="shared" si="1"/>
        <v>-</v>
      </c>
      <c r="S29" s="12"/>
      <c r="T29" s="5"/>
      <c r="U29" s="195" t="str">
        <f t="shared" si="2"/>
        <v>-</v>
      </c>
      <c r="V29" s="92" t="str">
        <f t="shared" si="3"/>
        <v>-</v>
      </c>
      <c r="W29" s="196" t="str">
        <f t="shared" si="4"/>
        <v>-</v>
      </c>
      <c r="X29" s="196" t="str">
        <f t="shared" si="17"/>
        <v>-</v>
      </c>
      <c r="Y29" s="191" t="str">
        <f t="shared" si="5"/>
        <v>-</v>
      </c>
      <c r="Z29" s="191" t="str">
        <f t="shared" si="6"/>
        <v>-</v>
      </c>
      <c r="AA29" s="197" t="str">
        <f t="shared" si="7"/>
        <v>-</v>
      </c>
      <c r="AB29" s="5"/>
      <c r="AC29" s="195" t="str">
        <f t="shared" si="8"/>
        <v>-</v>
      </c>
      <c r="AD29" s="90" t="str">
        <f t="shared" si="9"/>
        <v>-</v>
      </c>
      <c r="AE29" s="92" t="str">
        <f t="shared" si="10"/>
        <v>-</v>
      </c>
      <c r="AF29" s="92" t="str">
        <f t="shared" si="11"/>
        <v>-</v>
      </c>
      <c r="AG29" s="92" t="str">
        <f t="shared" si="12"/>
        <v>-</v>
      </c>
      <c r="AH29" s="92" t="str">
        <f t="shared" si="13"/>
        <v>-</v>
      </c>
      <c r="AI29" s="198" t="str">
        <f t="shared" si="14"/>
        <v>-</v>
      </c>
    </row>
    <row r="30" spans="1:35" ht="15" customHeight="1">
      <c r="A30" s="8"/>
      <c r="B30" s="88">
        <v>11</v>
      </c>
      <c r="C30" s="191" t="str">
        <f>IF(11&gt;N_2,"-",IF(ISNUMBER(F30),MAX(ROUND(Cp/Cpp*U30/'Pre-Test'!$U$46*Tr_2*4/N_2,0)/4,2)+C29,"-"))</f>
        <v>-</v>
      </c>
      <c r="D30" s="365"/>
      <c r="E30" s="347"/>
      <c r="F30" s="89"/>
      <c r="G30" s="192"/>
      <c r="H30" s="192"/>
      <c r="I30" s="193"/>
      <c r="J30" s="90" t="str">
        <f t="shared" si="15"/>
        <v>-</v>
      </c>
      <c r="K30" s="89"/>
      <c r="L30" s="193"/>
      <c r="M30" s="193"/>
      <c r="N30" s="193"/>
      <c r="O30" s="193"/>
      <c r="P30" s="249" t="str">
        <f t="shared" si="16"/>
        <v>-</v>
      </c>
      <c r="Q30" s="191" t="str">
        <f t="shared" si="0"/>
        <v>-</v>
      </c>
      <c r="R30" s="191" t="str">
        <f t="shared" si="1"/>
        <v>-</v>
      </c>
      <c r="S30" s="12"/>
      <c r="T30" s="5"/>
      <c r="U30" s="195" t="str">
        <f t="shared" si="2"/>
        <v>-</v>
      </c>
      <c r="V30" s="92" t="str">
        <f t="shared" si="3"/>
        <v>-</v>
      </c>
      <c r="W30" s="196" t="str">
        <f t="shared" si="4"/>
        <v>-</v>
      </c>
      <c r="X30" s="196" t="str">
        <f t="shared" si="17"/>
        <v>-</v>
      </c>
      <c r="Y30" s="191" t="str">
        <f t="shared" si="5"/>
        <v>-</v>
      </c>
      <c r="Z30" s="191" t="str">
        <f t="shared" si="6"/>
        <v>-</v>
      </c>
      <c r="AA30" s="197" t="str">
        <f t="shared" si="7"/>
        <v>-</v>
      </c>
      <c r="AB30" s="5"/>
      <c r="AC30" s="195" t="str">
        <f t="shared" si="8"/>
        <v>-</v>
      </c>
      <c r="AD30" s="90" t="str">
        <f t="shared" si="9"/>
        <v>-</v>
      </c>
      <c r="AE30" s="92" t="str">
        <f t="shared" si="10"/>
        <v>-</v>
      </c>
      <c r="AF30" s="92" t="str">
        <f t="shared" si="11"/>
        <v>-</v>
      </c>
      <c r="AG30" s="92" t="str">
        <f t="shared" si="12"/>
        <v>-</v>
      </c>
      <c r="AH30" s="92" t="str">
        <f t="shared" si="13"/>
        <v>-</v>
      </c>
      <c r="AI30" s="198" t="str">
        <f t="shared" si="14"/>
        <v>-</v>
      </c>
    </row>
    <row r="31" spans="1:35" ht="15" customHeight="1">
      <c r="A31" s="8"/>
      <c r="B31" s="88">
        <v>12</v>
      </c>
      <c r="C31" s="191" t="str">
        <f>IF(12&gt;N_2,"-",IF(ISNUMBER(F31),MAX(ROUND(Cp/Cpp*U31/'Pre-Test'!$U$46*Tr_2*4/N_2,0)/4,2)+C30,"-"))</f>
        <v>-</v>
      </c>
      <c r="D31" s="365"/>
      <c r="E31" s="347"/>
      <c r="F31" s="89"/>
      <c r="G31" s="192"/>
      <c r="H31" s="192"/>
      <c r="I31" s="193"/>
      <c r="J31" s="90" t="str">
        <f t="shared" si="15"/>
        <v>-</v>
      </c>
      <c r="K31" s="89"/>
      <c r="L31" s="193"/>
      <c r="M31" s="193"/>
      <c r="N31" s="193"/>
      <c r="O31" s="193"/>
      <c r="P31" s="249" t="str">
        <f t="shared" si="16"/>
        <v>-</v>
      </c>
      <c r="Q31" s="191" t="str">
        <f t="shared" si="0"/>
        <v>-</v>
      </c>
      <c r="R31" s="191" t="str">
        <f t="shared" si="1"/>
        <v>-</v>
      </c>
      <c r="S31" s="12"/>
      <c r="T31" s="5"/>
      <c r="U31" s="195" t="str">
        <f t="shared" si="2"/>
        <v>-</v>
      </c>
      <c r="V31" s="92" t="str">
        <f t="shared" si="3"/>
        <v>-</v>
      </c>
      <c r="W31" s="196" t="str">
        <f t="shared" si="4"/>
        <v>-</v>
      </c>
      <c r="X31" s="196" t="str">
        <f t="shared" si="17"/>
        <v>-</v>
      </c>
      <c r="Y31" s="191" t="str">
        <f t="shared" si="5"/>
        <v>-</v>
      </c>
      <c r="Z31" s="191" t="str">
        <f t="shared" si="6"/>
        <v>-</v>
      </c>
      <c r="AA31" s="197" t="str">
        <f t="shared" si="7"/>
        <v>-</v>
      </c>
      <c r="AB31" s="5"/>
      <c r="AC31" s="195" t="str">
        <f t="shared" si="8"/>
        <v>-</v>
      </c>
      <c r="AD31" s="90" t="str">
        <f t="shared" si="9"/>
        <v>-</v>
      </c>
      <c r="AE31" s="92" t="str">
        <f t="shared" si="10"/>
        <v>-</v>
      </c>
      <c r="AF31" s="92" t="str">
        <f t="shared" si="11"/>
        <v>-</v>
      </c>
      <c r="AG31" s="92" t="str">
        <f t="shared" si="12"/>
        <v>-</v>
      </c>
      <c r="AH31" s="92" t="str">
        <f t="shared" si="13"/>
        <v>-</v>
      </c>
      <c r="AI31" s="198" t="str">
        <f t="shared" si="14"/>
        <v>-</v>
      </c>
    </row>
    <row r="32" spans="1:35" ht="15" customHeight="1">
      <c r="A32" s="8"/>
      <c r="B32" s="88">
        <v>13</v>
      </c>
      <c r="C32" s="191" t="str">
        <f>IF(13&gt;N_2,"-",IF(ISNUMBER(F32),MAX(ROUND(Cp/Cpp*U32/'Pre-Test'!$U$46*Tr_2*4/N_2,0)/4,2)+C31,"-"))</f>
        <v>-</v>
      </c>
      <c r="D32" s="365"/>
      <c r="E32" s="347"/>
      <c r="F32" s="89"/>
      <c r="G32" s="192"/>
      <c r="H32" s="192"/>
      <c r="I32" s="193"/>
      <c r="J32" s="90" t="str">
        <f t="shared" si="15"/>
        <v>-</v>
      </c>
      <c r="K32" s="89"/>
      <c r="L32" s="193"/>
      <c r="M32" s="193"/>
      <c r="N32" s="193"/>
      <c r="O32" s="193"/>
      <c r="P32" s="249" t="str">
        <f t="shared" si="16"/>
        <v>-</v>
      </c>
      <c r="Q32" s="191" t="str">
        <f t="shared" si="0"/>
        <v>-</v>
      </c>
      <c r="R32" s="191" t="str">
        <f t="shared" si="1"/>
        <v>-</v>
      </c>
      <c r="S32" s="12"/>
      <c r="T32" s="5"/>
      <c r="U32" s="195" t="str">
        <f t="shared" si="2"/>
        <v>-</v>
      </c>
      <c r="V32" s="92" t="str">
        <f t="shared" si="3"/>
        <v>-</v>
      </c>
      <c r="W32" s="196" t="str">
        <f t="shared" si="4"/>
        <v>-</v>
      </c>
      <c r="X32" s="196" t="str">
        <f t="shared" si="17"/>
        <v>-</v>
      </c>
      <c r="Y32" s="191" t="str">
        <f t="shared" si="5"/>
        <v>-</v>
      </c>
      <c r="Z32" s="191" t="str">
        <f t="shared" si="6"/>
        <v>-</v>
      </c>
      <c r="AA32" s="197" t="str">
        <f t="shared" si="7"/>
        <v>-</v>
      </c>
      <c r="AB32" s="5"/>
      <c r="AC32" s="195" t="str">
        <f t="shared" si="8"/>
        <v>-</v>
      </c>
      <c r="AD32" s="90" t="str">
        <f t="shared" si="9"/>
        <v>-</v>
      </c>
      <c r="AE32" s="92" t="str">
        <f t="shared" si="10"/>
        <v>-</v>
      </c>
      <c r="AF32" s="92" t="str">
        <f t="shared" si="11"/>
        <v>-</v>
      </c>
      <c r="AG32" s="92" t="str">
        <f t="shared" si="12"/>
        <v>-</v>
      </c>
      <c r="AH32" s="92" t="str">
        <f t="shared" si="13"/>
        <v>-</v>
      </c>
      <c r="AI32" s="198" t="str">
        <f t="shared" si="14"/>
        <v>-</v>
      </c>
    </row>
    <row r="33" spans="1:35" ht="15" customHeight="1">
      <c r="A33" s="8"/>
      <c r="B33" s="88">
        <v>14</v>
      </c>
      <c r="C33" s="191" t="str">
        <f>IF(14&gt;N_2,"-",IF(ISNUMBER(F33),MAX(ROUND(Cp/Cpp*U33/'Pre-Test'!$U$46*Tr_2*4/N_2,0)/4,2)+C32,"-"))</f>
        <v>-</v>
      </c>
      <c r="D33" s="365"/>
      <c r="E33" s="347"/>
      <c r="F33" s="89"/>
      <c r="G33" s="192"/>
      <c r="H33" s="192"/>
      <c r="I33" s="193"/>
      <c r="J33" s="90" t="str">
        <f t="shared" si="15"/>
        <v>-</v>
      </c>
      <c r="K33" s="89"/>
      <c r="L33" s="193"/>
      <c r="M33" s="193"/>
      <c r="N33" s="193"/>
      <c r="O33" s="193"/>
      <c r="P33" s="249" t="str">
        <f t="shared" si="16"/>
        <v>-</v>
      </c>
      <c r="Q33" s="191" t="str">
        <f t="shared" si="0"/>
        <v>-</v>
      </c>
      <c r="R33" s="191" t="str">
        <f t="shared" si="1"/>
        <v>-</v>
      </c>
      <c r="S33" s="12"/>
      <c r="T33" s="5"/>
      <c r="U33" s="195" t="str">
        <f t="shared" si="2"/>
        <v>-</v>
      </c>
      <c r="V33" s="92" t="str">
        <f t="shared" si="3"/>
        <v>-</v>
      </c>
      <c r="W33" s="196" t="str">
        <f t="shared" si="4"/>
        <v>-</v>
      </c>
      <c r="X33" s="196" t="str">
        <f t="shared" si="17"/>
        <v>-</v>
      </c>
      <c r="Y33" s="191" t="str">
        <f t="shared" si="5"/>
        <v>-</v>
      </c>
      <c r="Z33" s="191" t="str">
        <f t="shared" si="6"/>
        <v>-</v>
      </c>
      <c r="AA33" s="197" t="str">
        <f t="shared" si="7"/>
        <v>-</v>
      </c>
      <c r="AB33" s="5"/>
      <c r="AC33" s="195" t="str">
        <f t="shared" si="8"/>
        <v>-</v>
      </c>
      <c r="AD33" s="90" t="str">
        <f t="shared" si="9"/>
        <v>-</v>
      </c>
      <c r="AE33" s="92" t="str">
        <f t="shared" si="10"/>
        <v>-</v>
      </c>
      <c r="AF33" s="92" t="str">
        <f t="shared" si="11"/>
        <v>-</v>
      </c>
      <c r="AG33" s="92" t="str">
        <f t="shared" si="12"/>
        <v>-</v>
      </c>
      <c r="AH33" s="92" t="str">
        <f t="shared" si="13"/>
        <v>-</v>
      </c>
      <c r="AI33" s="198" t="str">
        <f t="shared" si="14"/>
        <v>-</v>
      </c>
    </row>
    <row r="34" spans="1:35" ht="15" customHeight="1">
      <c r="A34" s="8"/>
      <c r="B34" s="88">
        <v>15</v>
      </c>
      <c r="C34" s="191" t="str">
        <f>IF(15&gt;N_2,"-",IF(ISNUMBER(F34),MAX(ROUND(Cp/Cpp*U34/'Pre-Test'!$U$46*Tr_2*4/N_2,0)/4,2)+C33,"-"))</f>
        <v>-</v>
      </c>
      <c r="D34" s="365"/>
      <c r="E34" s="347"/>
      <c r="F34" s="89"/>
      <c r="G34" s="192"/>
      <c r="H34" s="192"/>
      <c r="I34" s="193"/>
      <c r="J34" s="90" t="str">
        <f t="shared" si="15"/>
        <v>-</v>
      </c>
      <c r="K34" s="89"/>
      <c r="L34" s="193"/>
      <c r="M34" s="193"/>
      <c r="N34" s="193"/>
      <c r="O34" s="193"/>
      <c r="P34" s="249" t="str">
        <f t="shared" si="16"/>
        <v>-</v>
      </c>
      <c r="Q34" s="191" t="str">
        <f t="shared" si="0"/>
        <v>-</v>
      </c>
      <c r="R34" s="191" t="str">
        <f t="shared" si="1"/>
        <v>-</v>
      </c>
      <c r="S34" s="12"/>
      <c r="T34" s="5"/>
      <c r="U34" s="195" t="str">
        <f t="shared" si="2"/>
        <v>-</v>
      </c>
      <c r="V34" s="92" t="str">
        <f t="shared" si="3"/>
        <v>-</v>
      </c>
      <c r="W34" s="196" t="str">
        <f t="shared" si="4"/>
        <v>-</v>
      </c>
      <c r="X34" s="196" t="str">
        <f t="shared" si="17"/>
        <v>-</v>
      </c>
      <c r="Y34" s="191" t="str">
        <f t="shared" si="5"/>
        <v>-</v>
      </c>
      <c r="Z34" s="191" t="str">
        <f t="shared" si="6"/>
        <v>-</v>
      </c>
      <c r="AA34" s="197" t="str">
        <f t="shared" si="7"/>
        <v>-</v>
      </c>
      <c r="AB34" s="5"/>
      <c r="AC34" s="195" t="str">
        <f t="shared" si="8"/>
        <v>-</v>
      </c>
      <c r="AD34" s="90" t="str">
        <f t="shared" si="9"/>
        <v>-</v>
      </c>
      <c r="AE34" s="92" t="str">
        <f t="shared" si="10"/>
        <v>-</v>
      </c>
      <c r="AF34" s="92" t="str">
        <f t="shared" si="11"/>
        <v>-</v>
      </c>
      <c r="AG34" s="92" t="str">
        <f t="shared" si="12"/>
        <v>-</v>
      </c>
      <c r="AH34" s="92" t="str">
        <f t="shared" si="13"/>
        <v>-</v>
      </c>
      <c r="AI34" s="198" t="str">
        <f t="shared" si="14"/>
        <v>-</v>
      </c>
    </row>
    <row r="35" spans="1:35" ht="15" customHeight="1">
      <c r="A35" s="8"/>
      <c r="B35" s="88">
        <v>16</v>
      </c>
      <c r="C35" s="191" t="str">
        <f>IF(16&gt;N_2,"-",IF(ISNUMBER(F35),MAX(ROUND(Cp/Cpp*U35/'Pre-Test'!$U$46*Tr_2*4/N_2,0)/4,2)+C34,"-"))</f>
        <v>-</v>
      </c>
      <c r="D35" s="365"/>
      <c r="E35" s="347"/>
      <c r="F35" s="89"/>
      <c r="G35" s="192"/>
      <c r="H35" s="192"/>
      <c r="I35" s="193"/>
      <c r="J35" s="90" t="str">
        <f t="shared" si="15"/>
        <v>-</v>
      </c>
      <c r="K35" s="89"/>
      <c r="L35" s="193"/>
      <c r="M35" s="193"/>
      <c r="N35" s="193"/>
      <c r="O35" s="193"/>
      <c r="P35" s="249" t="str">
        <f t="shared" si="16"/>
        <v>-</v>
      </c>
      <c r="Q35" s="191" t="str">
        <f t="shared" si="0"/>
        <v>-</v>
      </c>
      <c r="R35" s="191" t="str">
        <f t="shared" si="1"/>
        <v>-</v>
      </c>
      <c r="S35" s="12"/>
      <c r="T35" s="5"/>
      <c r="U35" s="195" t="str">
        <f t="shared" si="2"/>
        <v>-</v>
      </c>
      <c r="V35" s="92" t="str">
        <f t="shared" si="3"/>
        <v>-</v>
      </c>
      <c r="W35" s="196" t="str">
        <f t="shared" si="4"/>
        <v>-</v>
      </c>
      <c r="X35" s="196" t="str">
        <f t="shared" si="17"/>
        <v>-</v>
      </c>
      <c r="Y35" s="191" t="str">
        <f t="shared" si="5"/>
        <v>-</v>
      </c>
      <c r="Z35" s="191" t="str">
        <f t="shared" si="6"/>
        <v>-</v>
      </c>
      <c r="AA35" s="197" t="str">
        <f t="shared" si="7"/>
        <v>-</v>
      </c>
      <c r="AB35" s="5"/>
      <c r="AC35" s="195" t="str">
        <f t="shared" si="8"/>
        <v>-</v>
      </c>
      <c r="AD35" s="90" t="str">
        <f t="shared" si="9"/>
        <v>-</v>
      </c>
      <c r="AE35" s="92" t="str">
        <f t="shared" si="10"/>
        <v>-</v>
      </c>
      <c r="AF35" s="92" t="str">
        <f t="shared" si="11"/>
        <v>-</v>
      </c>
      <c r="AG35" s="92" t="str">
        <f t="shared" si="12"/>
        <v>-</v>
      </c>
      <c r="AH35" s="92" t="str">
        <f t="shared" si="13"/>
        <v>-</v>
      </c>
      <c r="AI35" s="198" t="str">
        <f t="shared" si="14"/>
        <v>-</v>
      </c>
    </row>
    <row r="36" spans="1:35" ht="15" customHeight="1">
      <c r="A36" s="8"/>
      <c r="B36" s="88">
        <v>17</v>
      </c>
      <c r="C36" s="191" t="str">
        <f>IF(17&gt;N_2,"-",IF(ISNUMBER(F36),MAX(ROUND(Cp/Cpp*U36/'Pre-Test'!$U$46*Tr_2*4/N_2,0)/4,2)+C35,"-"))</f>
        <v>-</v>
      </c>
      <c r="D36" s="365"/>
      <c r="E36" s="347"/>
      <c r="F36" s="89"/>
      <c r="G36" s="192"/>
      <c r="H36" s="192"/>
      <c r="I36" s="193"/>
      <c r="J36" s="90" t="str">
        <f t="shared" si="15"/>
        <v>-</v>
      </c>
      <c r="K36" s="89"/>
      <c r="L36" s="193"/>
      <c r="M36" s="193"/>
      <c r="N36" s="193"/>
      <c r="O36" s="193"/>
      <c r="P36" s="249" t="str">
        <f t="shared" si="16"/>
        <v>-</v>
      </c>
      <c r="Q36" s="191" t="str">
        <f t="shared" si="0"/>
        <v>-</v>
      </c>
      <c r="R36" s="191" t="str">
        <f t="shared" si="1"/>
        <v>-</v>
      </c>
      <c r="S36" s="12"/>
      <c r="T36" s="5"/>
      <c r="U36" s="195" t="str">
        <f t="shared" si="2"/>
        <v>-</v>
      </c>
      <c r="V36" s="92" t="str">
        <f t="shared" si="3"/>
        <v>-</v>
      </c>
      <c r="W36" s="196" t="str">
        <f t="shared" si="4"/>
        <v>-</v>
      </c>
      <c r="X36" s="196" t="str">
        <f t="shared" si="17"/>
        <v>-</v>
      </c>
      <c r="Y36" s="191" t="str">
        <f t="shared" si="5"/>
        <v>-</v>
      </c>
      <c r="Z36" s="191" t="str">
        <f t="shared" si="6"/>
        <v>-</v>
      </c>
      <c r="AA36" s="197" t="str">
        <f t="shared" si="7"/>
        <v>-</v>
      </c>
      <c r="AB36" s="5"/>
      <c r="AC36" s="195" t="str">
        <f t="shared" si="8"/>
        <v>-</v>
      </c>
      <c r="AD36" s="90" t="str">
        <f t="shared" si="9"/>
        <v>-</v>
      </c>
      <c r="AE36" s="92" t="str">
        <f t="shared" si="10"/>
        <v>-</v>
      </c>
      <c r="AF36" s="92" t="str">
        <f t="shared" si="11"/>
        <v>-</v>
      </c>
      <c r="AG36" s="92" t="str">
        <f t="shared" si="12"/>
        <v>-</v>
      </c>
      <c r="AH36" s="92" t="str">
        <f t="shared" si="13"/>
        <v>-</v>
      </c>
      <c r="AI36" s="198" t="str">
        <f t="shared" si="14"/>
        <v>-</v>
      </c>
    </row>
    <row r="37" spans="1:35" ht="15" customHeight="1">
      <c r="A37" s="8"/>
      <c r="B37" s="88">
        <v>18</v>
      </c>
      <c r="C37" s="191" t="str">
        <f>IF(18&gt;N_2,"-",IF(ISNUMBER(F37),MAX(ROUND(Cp/Cpp*U37/'Pre-Test'!$U$46*Tr_2*4/N_2,0)/4,2)+C36,"-"))</f>
        <v>-</v>
      </c>
      <c r="D37" s="365"/>
      <c r="E37" s="347"/>
      <c r="F37" s="89"/>
      <c r="G37" s="192"/>
      <c r="H37" s="192"/>
      <c r="I37" s="193"/>
      <c r="J37" s="90" t="str">
        <f t="shared" si="15"/>
        <v>-</v>
      </c>
      <c r="K37" s="89"/>
      <c r="L37" s="193"/>
      <c r="M37" s="193"/>
      <c r="N37" s="193"/>
      <c r="O37" s="193"/>
      <c r="P37" s="249" t="str">
        <f t="shared" si="16"/>
        <v>-</v>
      </c>
      <c r="Q37" s="191" t="str">
        <f t="shared" si="0"/>
        <v>-</v>
      </c>
      <c r="R37" s="191" t="str">
        <f t="shared" si="1"/>
        <v>-</v>
      </c>
      <c r="S37" s="12"/>
      <c r="T37" s="5"/>
      <c r="U37" s="195" t="str">
        <f t="shared" si="2"/>
        <v>-</v>
      </c>
      <c r="V37" s="92" t="str">
        <f t="shared" si="3"/>
        <v>-</v>
      </c>
      <c r="W37" s="196" t="str">
        <f t="shared" si="4"/>
        <v>-</v>
      </c>
      <c r="X37" s="196" t="str">
        <f t="shared" si="17"/>
        <v>-</v>
      </c>
      <c r="Y37" s="191" t="str">
        <f t="shared" si="5"/>
        <v>-</v>
      </c>
      <c r="Z37" s="191" t="str">
        <f t="shared" si="6"/>
        <v>-</v>
      </c>
      <c r="AA37" s="197" t="str">
        <f t="shared" si="7"/>
        <v>-</v>
      </c>
      <c r="AB37" s="5"/>
      <c r="AC37" s="195" t="str">
        <f t="shared" si="8"/>
        <v>-</v>
      </c>
      <c r="AD37" s="90" t="str">
        <f t="shared" si="9"/>
        <v>-</v>
      </c>
      <c r="AE37" s="92" t="str">
        <f t="shared" si="10"/>
        <v>-</v>
      </c>
      <c r="AF37" s="92" t="str">
        <f t="shared" si="11"/>
        <v>-</v>
      </c>
      <c r="AG37" s="92" t="str">
        <f t="shared" si="12"/>
        <v>-</v>
      </c>
      <c r="AH37" s="92" t="str">
        <f t="shared" si="13"/>
        <v>-</v>
      </c>
      <c r="AI37" s="198" t="str">
        <f t="shared" si="14"/>
        <v>-</v>
      </c>
    </row>
    <row r="38" spans="1:35" ht="15" customHeight="1">
      <c r="A38" s="8"/>
      <c r="B38" s="88">
        <v>19</v>
      </c>
      <c r="C38" s="191" t="str">
        <f>IF(19&gt;N_2,"-",IF(ISNUMBER(F38),MAX(ROUND(Cp/Cpp*U38/'Pre-Test'!$U$46*Tr_2*4/N_2,0)/4,2)+C37,"-"))</f>
        <v>-</v>
      </c>
      <c r="D38" s="365"/>
      <c r="E38" s="347"/>
      <c r="F38" s="89"/>
      <c r="G38" s="192"/>
      <c r="H38" s="192"/>
      <c r="I38" s="193"/>
      <c r="J38" s="90" t="str">
        <f t="shared" si="15"/>
        <v>-</v>
      </c>
      <c r="K38" s="89"/>
      <c r="L38" s="193"/>
      <c r="M38" s="193"/>
      <c r="N38" s="193"/>
      <c r="O38" s="193"/>
      <c r="P38" s="249" t="str">
        <f t="shared" si="16"/>
        <v>-</v>
      </c>
      <c r="Q38" s="191" t="str">
        <f t="shared" si="0"/>
        <v>-</v>
      </c>
      <c r="R38" s="191" t="str">
        <f t="shared" si="1"/>
        <v>-</v>
      </c>
      <c r="S38" s="12"/>
      <c r="T38" s="5"/>
      <c r="U38" s="195" t="str">
        <f t="shared" si="2"/>
        <v>-</v>
      </c>
      <c r="V38" s="92" t="str">
        <f t="shared" si="3"/>
        <v>-</v>
      </c>
      <c r="W38" s="196" t="str">
        <f t="shared" si="4"/>
        <v>-</v>
      </c>
      <c r="X38" s="196" t="str">
        <f t="shared" si="17"/>
        <v>-</v>
      </c>
      <c r="Y38" s="191" t="str">
        <f t="shared" si="5"/>
        <v>-</v>
      </c>
      <c r="Z38" s="191" t="str">
        <f t="shared" si="6"/>
        <v>-</v>
      </c>
      <c r="AA38" s="197" t="str">
        <f t="shared" si="7"/>
        <v>-</v>
      </c>
      <c r="AB38" s="5"/>
      <c r="AC38" s="195" t="str">
        <f t="shared" si="8"/>
        <v>-</v>
      </c>
      <c r="AD38" s="90" t="str">
        <f t="shared" si="9"/>
        <v>-</v>
      </c>
      <c r="AE38" s="92" t="str">
        <f t="shared" si="10"/>
        <v>-</v>
      </c>
      <c r="AF38" s="92" t="str">
        <f t="shared" si="11"/>
        <v>-</v>
      </c>
      <c r="AG38" s="92" t="str">
        <f t="shared" si="12"/>
        <v>-</v>
      </c>
      <c r="AH38" s="92" t="str">
        <f t="shared" si="13"/>
        <v>-</v>
      </c>
      <c r="AI38" s="198" t="str">
        <f t="shared" si="14"/>
        <v>-</v>
      </c>
    </row>
    <row r="39" spans="1:35" ht="15" customHeight="1">
      <c r="A39" s="8"/>
      <c r="B39" s="88">
        <v>20</v>
      </c>
      <c r="C39" s="191" t="str">
        <f>IF(20&gt;N_2,"-",IF(ISNUMBER(F39),MAX(ROUND(Cp/Cpp*U39/'Pre-Test'!$U$46*Tr_2*4/N_2,0)/4,2)+C38,"-"))</f>
        <v>-</v>
      </c>
      <c r="D39" s="365"/>
      <c r="E39" s="347"/>
      <c r="F39" s="89"/>
      <c r="G39" s="192"/>
      <c r="H39" s="192"/>
      <c r="I39" s="193"/>
      <c r="J39" s="90" t="str">
        <f t="shared" si="15"/>
        <v>-</v>
      </c>
      <c r="K39" s="89"/>
      <c r="L39" s="193"/>
      <c r="M39" s="193"/>
      <c r="N39" s="193"/>
      <c r="O39" s="193"/>
      <c r="P39" s="249" t="str">
        <f t="shared" si="16"/>
        <v>-</v>
      </c>
      <c r="Q39" s="191" t="str">
        <f t="shared" si="0"/>
        <v>-</v>
      </c>
      <c r="R39" s="191" t="str">
        <f t="shared" si="1"/>
        <v>-</v>
      </c>
      <c r="S39" s="12"/>
      <c r="T39" s="5"/>
      <c r="U39" s="195" t="str">
        <f t="shared" si="2"/>
        <v>-</v>
      </c>
      <c r="V39" s="92" t="str">
        <f t="shared" si="3"/>
        <v>-</v>
      </c>
      <c r="W39" s="196" t="str">
        <f t="shared" si="4"/>
        <v>-</v>
      </c>
      <c r="X39" s="196" t="str">
        <f t="shared" si="17"/>
        <v>-</v>
      </c>
      <c r="Y39" s="191" t="str">
        <f t="shared" si="5"/>
        <v>-</v>
      </c>
      <c r="Z39" s="191" t="str">
        <f t="shared" si="6"/>
        <v>-</v>
      </c>
      <c r="AA39" s="197" t="str">
        <f t="shared" si="7"/>
        <v>-</v>
      </c>
      <c r="AB39" s="5"/>
      <c r="AC39" s="195" t="str">
        <f t="shared" si="8"/>
        <v>-</v>
      </c>
      <c r="AD39" s="90" t="str">
        <f t="shared" si="9"/>
        <v>-</v>
      </c>
      <c r="AE39" s="92" t="str">
        <f t="shared" si="10"/>
        <v>-</v>
      </c>
      <c r="AF39" s="92" t="str">
        <f t="shared" si="11"/>
        <v>-</v>
      </c>
      <c r="AG39" s="92" t="str">
        <f t="shared" si="12"/>
        <v>-</v>
      </c>
      <c r="AH39" s="92" t="str">
        <f t="shared" si="13"/>
        <v>-</v>
      </c>
      <c r="AI39" s="198" t="str">
        <f t="shared" si="14"/>
        <v>-</v>
      </c>
    </row>
    <row r="40" spans="1:35" ht="15" customHeight="1">
      <c r="A40" s="8"/>
      <c r="B40" s="88">
        <v>21</v>
      </c>
      <c r="C40" s="191" t="str">
        <f>IF(21&gt;N_2,"-",IF(ISNUMBER(F40),MAX(ROUND(Cp/Cpp*U40/'Pre-Test'!$U$46*Tr_2*4/N_2,0)/4,2)+C39,"-"))</f>
        <v>-</v>
      </c>
      <c r="D40" s="365"/>
      <c r="E40" s="347"/>
      <c r="F40" s="89"/>
      <c r="G40" s="192"/>
      <c r="H40" s="192"/>
      <c r="I40" s="193"/>
      <c r="J40" s="90" t="str">
        <f t="shared" si="15"/>
        <v>-</v>
      </c>
      <c r="K40" s="89"/>
      <c r="L40" s="193"/>
      <c r="M40" s="193"/>
      <c r="N40" s="193"/>
      <c r="O40" s="193"/>
      <c r="P40" s="249" t="str">
        <f t="shared" si="16"/>
        <v>-</v>
      </c>
      <c r="Q40" s="191" t="str">
        <f t="shared" si="0"/>
        <v>-</v>
      </c>
      <c r="R40" s="191" t="str">
        <f t="shared" si="1"/>
        <v>-</v>
      </c>
      <c r="S40" s="12"/>
      <c r="T40" s="5"/>
      <c r="U40" s="195" t="str">
        <f t="shared" si="2"/>
        <v>-</v>
      </c>
      <c r="V40" s="92" t="str">
        <f t="shared" si="3"/>
        <v>-</v>
      </c>
      <c r="W40" s="196" t="str">
        <f t="shared" si="4"/>
        <v>-</v>
      </c>
      <c r="X40" s="196" t="str">
        <f t="shared" si="17"/>
        <v>-</v>
      </c>
      <c r="Y40" s="191" t="str">
        <f t="shared" si="5"/>
        <v>-</v>
      </c>
      <c r="Z40" s="191" t="str">
        <f t="shared" si="6"/>
        <v>-</v>
      </c>
      <c r="AA40" s="197" t="str">
        <f t="shared" si="7"/>
        <v>-</v>
      </c>
      <c r="AB40" s="5"/>
      <c r="AC40" s="195" t="str">
        <f t="shared" si="8"/>
        <v>-</v>
      </c>
      <c r="AD40" s="90" t="str">
        <f t="shared" si="9"/>
        <v>-</v>
      </c>
      <c r="AE40" s="92" t="str">
        <f t="shared" si="10"/>
        <v>-</v>
      </c>
      <c r="AF40" s="92" t="str">
        <f t="shared" si="11"/>
        <v>-</v>
      </c>
      <c r="AG40" s="92" t="str">
        <f t="shared" si="12"/>
        <v>-</v>
      </c>
      <c r="AH40" s="92" t="str">
        <f t="shared" si="13"/>
        <v>-</v>
      </c>
      <c r="AI40" s="198" t="str">
        <f t="shared" si="14"/>
        <v>-</v>
      </c>
    </row>
    <row r="41" spans="1:35" ht="15" customHeight="1">
      <c r="A41" s="8"/>
      <c r="B41" s="88">
        <v>22</v>
      </c>
      <c r="C41" s="191" t="str">
        <f>IF(22&gt;N_2,"-",IF(ISNUMBER(F41),MAX(ROUND(Cp/Cpp*U41/'Pre-Test'!$U$46*Tr_2*4/N_2,0)/4,2)+C40,"-"))</f>
        <v>-</v>
      </c>
      <c r="D41" s="365"/>
      <c r="E41" s="347"/>
      <c r="F41" s="89"/>
      <c r="G41" s="192"/>
      <c r="H41" s="192"/>
      <c r="I41" s="193"/>
      <c r="J41" s="90" t="str">
        <f t="shared" si="15"/>
        <v>-</v>
      </c>
      <c r="K41" s="89"/>
      <c r="L41" s="193"/>
      <c r="M41" s="193"/>
      <c r="N41" s="193"/>
      <c r="O41" s="193"/>
      <c r="P41" s="249" t="str">
        <f t="shared" si="16"/>
        <v>-</v>
      </c>
      <c r="Q41" s="191" t="str">
        <f t="shared" si="0"/>
        <v>-</v>
      </c>
      <c r="R41" s="191" t="str">
        <f t="shared" si="1"/>
        <v>-</v>
      </c>
      <c r="S41" s="12"/>
      <c r="T41" s="5"/>
      <c r="U41" s="195" t="str">
        <f t="shared" si="2"/>
        <v>-</v>
      </c>
      <c r="V41" s="92" t="str">
        <f t="shared" si="3"/>
        <v>-</v>
      </c>
      <c r="W41" s="196" t="str">
        <f t="shared" si="4"/>
        <v>-</v>
      </c>
      <c r="X41" s="196" t="str">
        <f t="shared" si="17"/>
        <v>-</v>
      </c>
      <c r="Y41" s="191" t="str">
        <f t="shared" si="5"/>
        <v>-</v>
      </c>
      <c r="Z41" s="191" t="str">
        <f t="shared" si="6"/>
        <v>-</v>
      </c>
      <c r="AA41" s="197" t="str">
        <f t="shared" si="7"/>
        <v>-</v>
      </c>
      <c r="AB41" s="5"/>
      <c r="AC41" s="195" t="str">
        <f t="shared" si="8"/>
        <v>-</v>
      </c>
      <c r="AD41" s="90" t="str">
        <f t="shared" si="9"/>
        <v>-</v>
      </c>
      <c r="AE41" s="92" t="str">
        <f t="shared" si="10"/>
        <v>-</v>
      </c>
      <c r="AF41" s="92" t="str">
        <f t="shared" si="11"/>
        <v>-</v>
      </c>
      <c r="AG41" s="92" t="str">
        <f t="shared" si="12"/>
        <v>-</v>
      </c>
      <c r="AH41" s="92" t="str">
        <f t="shared" si="13"/>
        <v>-</v>
      </c>
      <c r="AI41" s="198" t="str">
        <f t="shared" si="14"/>
        <v>-</v>
      </c>
    </row>
    <row r="42" spans="1:35" ht="15" customHeight="1">
      <c r="A42" s="8"/>
      <c r="B42" s="88">
        <v>23</v>
      </c>
      <c r="C42" s="191" t="str">
        <f>IF(23&gt;N_2,"-",IF(ISNUMBER(F42),MAX(ROUND(Cp/Cpp*U42/'Pre-Test'!$U$46*Tr_2*4/N_2,0)/4,2)+C41,"-"))</f>
        <v>-</v>
      </c>
      <c r="D42" s="365"/>
      <c r="E42" s="347"/>
      <c r="F42" s="89"/>
      <c r="G42" s="192"/>
      <c r="H42" s="192"/>
      <c r="I42" s="193"/>
      <c r="J42" s="90" t="str">
        <f t="shared" si="15"/>
        <v>-</v>
      </c>
      <c r="K42" s="89"/>
      <c r="L42" s="193"/>
      <c r="M42" s="193"/>
      <c r="N42" s="193"/>
      <c r="O42" s="193"/>
      <c r="P42" s="249" t="str">
        <f t="shared" si="16"/>
        <v>-</v>
      </c>
      <c r="Q42" s="191" t="str">
        <f t="shared" si="0"/>
        <v>-</v>
      </c>
      <c r="R42" s="191" t="str">
        <f t="shared" si="1"/>
        <v>-</v>
      </c>
      <c r="S42" s="12"/>
      <c r="T42" s="5"/>
      <c r="U42" s="195" t="str">
        <f t="shared" si="2"/>
        <v>-</v>
      </c>
      <c r="V42" s="92" t="str">
        <f t="shared" si="3"/>
        <v>-</v>
      </c>
      <c r="W42" s="196" t="str">
        <f t="shared" si="4"/>
        <v>-</v>
      </c>
      <c r="X42" s="196" t="str">
        <f t="shared" si="17"/>
        <v>-</v>
      </c>
      <c r="Y42" s="191" t="str">
        <f t="shared" si="5"/>
        <v>-</v>
      </c>
      <c r="Z42" s="191" t="str">
        <f t="shared" si="6"/>
        <v>-</v>
      </c>
      <c r="AA42" s="197" t="str">
        <f t="shared" si="7"/>
        <v>-</v>
      </c>
      <c r="AB42" s="5"/>
      <c r="AC42" s="195" t="str">
        <f t="shared" si="8"/>
        <v>-</v>
      </c>
      <c r="AD42" s="90" t="str">
        <f t="shared" si="9"/>
        <v>-</v>
      </c>
      <c r="AE42" s="92" t="str">
        <f t="shared" si="10"/>
        <v>-</v>
      </c>
      <c r="AF42" s="92" t="str">
        <f t="shared" si="11"/>
        <v>-</v>
      </c>
      <c r="AG42" s="92" t="str">
        <f t="shared" si="12"/>
        <v>-</v>
      </c>
      <c r="AH42" s="92" t="str">
        <f t="shared" si="13"/>
        <v>-</v>
      </c>
      <c r="AI42" s="198" t="str">
        <f t="shared" si="14"/>
        <v>-</v>
      </c>
    </row>
    <row r="43" spans="1:35" ht="15" customHeight="1">
      <c r="A43" s="8"/>
      <c r="B43" s="106">
        <v>24</v>
      </c>
      <c r="C43" s="199" t="str">
        <f>IF(24&gt;N_2,"-",IF(ISNUMBER(F43),MAX(ROUND(Cp/Cpp*U43/'Pre-Test'!$U$46*Tr_2*4/N_2,0)/4,2)+C42,"-"))</f>
        <v>-</v>
      </c>
      <c r="D43" s="365"/>
      <c r="E43" s="347"/>
      <c r="F43" s="200"/>
      <c r="G43" s="201"/>
      <c r="H43" s="201"/>
      <c r="I43" s="250"/>
      <c r="J43" s="108" t="str">
        <f t="shared" si="15"/>
        <v>-</v>
      </c>
      <c r="K43" s="200"/>
      <c r="L43" s="203"/>
      <c r="M43" s="203"/>
      <c r="N43" s="203"/>
      <c r="O43" s="203"/>
      <c r="P43" s="204" t="str">
        <f t="shared" si="16"/>
        <v>-</v>
      </c>
      <c r="Q43" s="199" t="str">
        <f t="shared" si="0"/>
        <v>-</v>
      </c>
      <c r="R43" s="199" t="str">
        <f t="shared" si="1"/>
        <v>-</v>
      </c>
      <c r="S43" s="12"/>
      <c r="T43" s="5"/>
      <c r="U43" s="205" t="str">
        <f t="shared" si="2"/>
        <v>-</v>
      </c>
      <c r="V43" s="206" t="str">
        <f t="shared" si="3"/>
        <v>-</v>
      </c>
      <c r="W43" s="207" t="str">
        <f t="shared" si="4"/>
        <v>-</v>
      </c>
      <c r="X43" s="207" t="str">
        <f t="shared" si="17"/>
        <v>-</v>
      </c>
      <c r="Y43" s="208" t="str">
        <f t="shared" si="5"/>
        <v>-</v>
      </c>
      <c r="Z43" s="208" t="str">
        <f t="shared" si="6"/>
        <v>-</v>
      </c>
      <c r="AA43" s="209" t="str">
        <f t="shared" si="7"/>
        <v>-</v>
      </c>
      <c r="AB43" s="5"/>
      <c r="AC43" s="109" t="str">
        <f t="shared" si="8"/>
        <v>-</v>
      </c>
      <c r="AD43" s="108" t="str">
        <f t="shared" si="9"/>
        <v>-</v>
      </c>
      <c r="AE43" s="99" t="str">
        <f t="shared" si="10"/>
        <v>-</v>
      </c>
      <c r="AF43" s="99" t="str">
        <f t="shared" si="11"/>
        <v>-</v>
      </c>
      <c r="AG43" s="99" t="str">
        <f t="shared" si="12"/>
        <v>-</v>
      </c>
      <c r="AH43" s="99" t="str">
        <f t="shared" si="13"/>
        <v>-</v>
      </c>
      <c r="AI43" s="210" t="str">
        <f t="shared" si="14"/>
        <v>-</v>
      </c>
    </row>
    <row r="44" spans="1:35" ht="15" customHeight="1">
      <c r="A44" s="8"/>
      <c r="B44" s="7"/>
      <c r="C44" s="119"/>
      <c r="D44" s="373"/>
      <c r="E44" s="285"/>
      <c r="F44" s="211"/>
      <c r="G44" s="211"/>
      <c r="H44" s="212"/>
      <c r="I44" s="212"/>
      <c r="J44" s="213"/>
      <c r="K44" s="214"/>
      <c r="L44" s="214"/>
      <c r="M44" s="215"/>
      <c r="N44" s="216"/>
      <c r="O44" s="214"/>
      <c r="P44" s="214"/>
      <c r="Q44" s="215"/>
      <c r="R44" s="216"/>
      <c r="S44" s="12"/>
      <c r="T44" s="5"/>
      <c r="U44" s="217" t="str">
        <f t="shared" ref="U44:V44" si="18">IF(ISNUMBER(U20),AVERAGE(U20:U43),"-")</f>
        <v>-</v>
      </c>
      <c r="V44" s="218" t="str">
        <f t="shared" si="18"/>
        <v>-</v>
      </c>
      <c r="W44" s="219" t="str">
        <f t="shared" ref="W44:X44" si="19">IF(ISNUMBER(W20),SUM(W20:W43),"-")</f>
        <v>-</v>
      </c>
      <c r="X44" s="219" t="str">
        <f t="shared" si="19"/>
        <v>-</v>
      </c>
      <c r="Y44" s="220" t="str">
        <f t="shared" ref="Y44:AA44" si="20">IF(ISNUMBER(Y20),AVERAGE(Y20:Y43),"-")</f>
        <v>-</v>
      </c>
      <c r="Z44" s="220" t="str">
        <f t="shared" si="20"/>
        <v>-</v>
      </c>
      <c r="AA44" s="221" t="str">
        <f t="shared" si="20"/>
        <v>-</v>
      </c>
      <c r="AB44" s="222" t="s">
        <v>192</v>
      </c>
      <c r="AC44" s="5"/>
      <c r="AD44" s="5"/>
      <c r="AE44" s="5"/>
      <c r="AF44" s="5"/>
      <c r="AG44" s="5"/>
      <c r="AH44" s="5"/>
      <c r="AI44" s="5"/>
    </row>
    <row r="45" spans="1:35" ht="15" customHeight="1">
      <c r="A45" s="8"/>
      <c r="B45" s="7"/>
      <c r="C45" s="7"/>
      <c r="D45" s="116"/>
      <c r="E45" s="117"/>
      <c r="F45" s="211"/>
      <c r="G45" s="211"/>
      <c r="H45" s="212"/>
      <c r="I45" s="212"/>
      <c r="J45" s="213"/>
      <c r="K45" s="214"/>
      <c r="L45" s="214"/>
      <c r="M45" s="216"/>
      <c r="N45" s="216"/>
      <c r="O45" s="214"/>
      <c r="P45" s="214"/>
      <c r="Q45" s="216"/>
      <c r="R45" s="216"/>
      <c r="S45" s="12"/>
      <c r="T45" s="5"/>
      <c r="U45" s="104"/>
      <c r="V45" s="5"/>
      <c r="W45" s="5"/>
      <c r="X45" s="5"/>
      <c r="Y45" s="5"/>
      <c r="Z45" s="7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5" customHeight="1">
      <c r="A46" s="8"/>
      <c r="B46" s="343" t="s">
        <v>193</v>
      </c>
      <c r="C46" s="301"/>
      <c r="D46" s="370" t="s">
        <v>243</v>
      </c>
      <c r="E46" s="301"/>
      <c r="F46" s="366" t="s">
        <v>244</v>
      </c>
      <c r="G46" s="287"/>
      <c r="H46" s="301"/>
      <c r="I46" s="368" t="s">
        <v>245</v>
      </c>
      <c r="J46" s="310"/>
      <c r="K46" s="368" t="s">
        <v>246</v>
      </c>
      <c r="L46" s="310"/>
      <c r="M46" s="223" t="s">
        <v>198</v>
      </c>
      <c r="N46" s="369" t="s">
        <v>247</v>
      </c>
      <c r="O46" s="301"/>
      <c r="P46" s="370" t="s">
        <v>248</v>
      </c>
      <c r="Q46" s="287"/>
      <c r="R46" s="288"/>
      <c r="S46" s="12"/>
      <c r="T46" s="5"/>
      <c r="U46" s="104"/>
      <c r="V46" s="5"/>
      <c r="W46" s="5"/>
      <c r="X46" s="5"/>
      <c r="Y46" s="5"/>
      <c r="Z46" s="7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7.25" customHeight="1">
      <c r="A47" s="8"/>
      <c r="B47" s="341"/>
      <c r="C47" s="367"/>
      <c r="D47" s="339"/>
      <c r="E47" s="367"/>
      <c r="F47" s="339"/>
      <c r="G47" s="342"/>
      <c r="H47" s="367"/>
      <c r="I47" s="224" t="str">
        <f>IF(ISNUMBER(I48),I48+459.67,"-")</f>
        <v>-</v>
      </c>
      <c r="J47" s="225" t="s">
        <v>149</v>
      </c>
      <c r="K47" s="224" t="str">
        <f>IF(ISNUMBER(K48),K48+459.67,"-")</f>
        <v>-</v>
      </c>
      <c r="L47" s="225" t="s">
        <v>149</v>
      </c>
      <c r="M47" s="226" t="s">
        <v>163</v>
      </c>
      <c r="N47" s="363"/>
      <c r="O47" s="304"/>
      <c r="P47" s="339"/>
      <c r="Q47" s="342"/>
      <c r="R47" s="340"/>
      <c r="S47" s="12"/>
      <c r="T47" s="5"/>
      <c r="U47" s="104"/>
      <c r="V47" s="5"/>
      <c r="W47" s="5"/>
      <c r="X47" s="5"/>
      <c r="Y47" s="5"/>
      <c r="Z47" s="7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8" customHeight="1">
      <c r="A48" s="8"/>
      <c r="B48" s="227" t="str">
        <f>IF(ISNUMBER(C20),MAX(C20:C43),"-")</f>
        <v>-</v>
      </c>
      <c r="C48" s="228" t="s">
        <v>146</v>
      </c>
      <c r="D48" s="229" t="str">
        <f>IF(ISNUMBER(D20),MAX(D20:E44)-MIN(D20:E44),"-")</f>
        <v>-</v>
      </c>
      <c r="E48" s="230" t="s">
        <v>135</v>
      </c>
      <c r="F48" s="229" t="str">
        <f>IF(ISNUMBER(F20),AVERAGE($F$20:$F$43),"-")</f>
        <v>-</v>
      </c>
      <c r="G48" s="371" t="s">
        <v>249</v>
      </c>
      <c r="H48" s="349"/>
      <c r="I48" s="231" t="str">
        <f>IF(ISNUMBER(G20),AVERAGE($G$20:$H$43),"-")</f>
        <v>-</v>
      </c>
      <c r="J48" s="232" t="s">
        <v>60</v>
      </c>
      <c r="K48" s="231" t="str">
        <f>IF(ISNUMBER(I20),AVERAGE($I$20:$I$43),"-")</f>
        <v>-</v>
      </c>
      <c r="L48" s="232" t="s">
        <v>60</v>
      </c>
      <c r="M48" s="233">
        <f>MAX(L20:L43)</f>
        <v>0</v>
      </c>
      <c r="N48" s="234" t="str">
        <f>IF(ISNUMBER(K20),AVERAGE($K$20:$K$43),"-")</f>
        <v>-</v>
      </c>
      <c r="O48" s="235" t="s">
        <v>250</v>
      </c>
      <c r="P48" s="372" t="str">
        <f>IF(ISNUMBER($F$20),85.49*Cp*dPsqavg_2*SQRT(Ts_2/Ps_2/Mwe),"-")</f>
        <v>-</v>
      </c>
      <c r="Q48" s="327"/>
      <c r="R48" s="236" t="s">
        <v>203</v>
      </c>
      <c r="S48" s="12"/>
      <c r="T48" s="5"/>
      <c r="U48" s="104"/>
      <c r="V48" s="5"/>
      <c r="W48" s="5"/>
      <c r="X48" s="5"/>
      <c r="Y48" s="5"/>
      <c r="Z48" s="7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5" customHeight="1">
      <c r="A49" s="8"/>
      <c r="B49" s="237"/>
      <c r="C49" s="5"/>
      <c r="D49" s="5"/>
      <c r="E49" s="5"/>
      <c r="F49" s="5"/>
      <c r="G49" s="6"/>
      <c r="H49" s="5"/>
      <c r="I49" s="238"/>
      <c r="J49" s="6"/>
      <c r="K49" s="238"/>
      <c r="L49" s="5"/>
      <c r="M49" s="5"/>
      <c r="N49" s="5"/>
      <c r="O49" s="5"/>
      <c r="P49" s="5"/>
      <c r="Q49" s="5"/>
      <c r="R49" s="5"/>
      <c r="S49" s="12"/>
      <c r="T49" s="5"/>
      <c r="U49" s="104"/>
      <c r="V49" s="5"/>
      <c r="W49" s="5"/>
      <c r="X49" s="5"/>
      <c r="Y49" s="5"/>
      <c r="Z49" s="7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5" customHeight="1">
      <c r="A50" s="8"/>
      <c r="B50" s="237"/>
      <c r="C50" s="374"/>
      <c r="D50" s="273"/>
      <c r="E50" s="374"/>
      <c r="F50" s="273"/>
      <c r="G50" s="9"/>
      <c r="H50" s="378"/>
      <c r="I50" s="272"/>
      <c r="J50" s="273"/>
      <c r="K50" s="378"/>
      <c r="L50" s="272"/>
      <c r="M50" s="273"/>
      <c r="N50" s="374"/>
      <c r="O50" s="272"/>
      <c r="P50" s="273"/>
      <c r="Q50" s="374"/>
      <c r="R50" s="273"/>
      <c r="S50" s="12"/>
      <c r="T50" s="5"/>
      <c r="U50" s="104"/>
      <c r="V50" s="5"/>
      <c r="W50" s="5"/>
      <c r="X50" s="5"/>
      <c r="Y50" s="5"/>
      <c r="Z50" s="7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5" customHeight="1">
      <c r="A51" s="8"/>
      <c r="B51" s="237"/>
      <c r="C51" s="239"/>
      <c r="D51" s="240"/>
      <c r="E51" s="239"/>
      <c r="F51" s="240"/>
      <c r="G51" s="241"/>
      <c r="H51" s="376"/>
      <c r="I51" s="273"/>
      <c r="J51" s="242"/>
      <c r="K51" s="376"/>
      <c r="L51" s="273"/>
      <c r="M51" s="243"/>
      <c r="N51" s="244"/>
      <c r="O51" s="375"/>
      <c r="P51" s="273"/>
      <c r="Q51" s="245"/>
      <c r="R51" s="9"/>
      <c r="S51" s="12"/>
      <c r="T51" s="5"/>
      <c r="U51" s="104"/>
      <c r="V51" s="5"/>
      <c r="W51" s="5"/>
      <c r="X51" s="5"/>
      <c r="Y51" s="5"/>
      <c r="Z51" s="7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5" customHeight="1">
      <c r="A52" s="8"/>
      <c r="B52" s="237"/>
      <c r="C52" s="246"/>
      <c r="D52" s="240"/>
      <c r="E52" s="246"/>
      <c r="F52" s="240"/>
      <c r="G52" s="247"/>
      <c r="H52" s="377"/>
      <c r="I52" s="273"/>
      <c r="J52" s="242"/>
      <c r="K52" s="377"/>
      <c r="L52" s="273"/>
      <c r="M52" s="243"/>
      <c r="N52" s="248"/>
      <c r="O52" s="375"/>
      <c r="P52" s="273"/>
      <c r="Q52" s="245"/>
      <c r="R52" s="9"/>
      <c r="S52" s="12"/>
      <c r="T52" s="5"/>
      <c r="U52" s="104"/>
      <c r="V52" s="5"/>
      <c r="W52" s="5"/>
      <c r="X52" s="5"/>
      <c r="Y52" s="5"/>
      <c r="Z52" s="7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5" customHeight="1">
      <c r="A53" s="8"/>
      <c r="B53" s="5"/>
      <c r="C53" s="128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12"/>
      <c r="T53" s="5"/>
      <c r="U53" s="104"/>
      <c r="V53" s="5"/>
      <c r="W53" s="5"/>
      <c r="X53" s="5"/>
      <c r="Y53" s="5"/>
      <c r="Z53" s="7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5" customHeight="1">
      <c r="A54" s="8"/>
      <c r="B54" s="51"/>
      <c r="C54" s="51"/>
      <c r="D54" s="51"/>
      <c r="E54" s="51"/>
      <c r="F54" s="51"/>
      <c r="G54" s="51"/>
      <c r="H54" s="51"/>
      <c r="I54" s="51"/>
      <c r="J54" s="5"/>
      <c r="K54" s="51"/>
      <c r="L54" s="51"/>
      <c r="M54" s="51"/>
      <c r="N54" s="51"/>
      <c r="O54" s="51"/>
      <c r="P54" s="51"/>
      <c r="Q54" s="51"/>
      <c r="R54" s="51"/>
      <c r="S54" s="12"/>
      <c r="T54" s="5"/>
      <c r="U54" s="104"/>
      <c r="V54" s="5"/>
      <c r="W54" s="5"/>
      <c r="X54" s="5"/>
      <c r="Y54" s="5"/>
      <c r="Z54" s="7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5" customHeight="1">
      <c r="A55" s="8"/>
      <c r="B55" s="121"/>
      <c r="C55" s="121" t="s">
        <v>111</v>
      </c>
      <c r="D55" s="122"/>
      <c r="E55" s="122"/>
      <c r="F55" s="123"/>
      <c r="G55" s="123"/>
      <c r="H55" s="124"/>
      <c r="I55" s="124"/>
      <c r="J55" s="5"/>
      <c r="K55" s="121"/>
      <c r="L55" s="121" t="s">
        <v>112</v>
      </c>
      <c r="M55" s="122"/>
      <c r="N55" s="122"/>
      <c r="O55" s="123"/>
      <c r="P55" s="123"/>
      <c r="Q55" s="124"/>
      <c r="R55" s="124"/>
      <c r="S55" s="12"/>
      <c r="T55" s="5"/>
      <c r="U55" s="104"/>
      <c r="V55" s="5"/>
      <c r="W55" s="5"/>
      <c r="X55" s="5"/>
      <c r="Y55" s="5"/>
      <c r="Z55" s="7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5.25" customHeight="1">
      <c r="A56" s="60"/>
      <c r="B56" s="51"/>
      <c r="C56" s="51"/>
      <c r="D56" s="51"/>
      <c r="E56" s="51"/>
      <c r="F56" s="51"/>
      <c r="G56" s="51"/>
      <c r="H56" s="125"/>
      <c r="I56" s="51"/>
      <c r="J56" s="51"/>
      <c r="K56" s="51"/>
      <c r="L56" s="126"/>
      <c r="M56" s="125"/>
      <c r="N56" s="51"/>
      <c r="O56" s="126"/>
      <c r="P56" s="126"/>
      <c r="Q56" s="126"/>
      <c r="R56" s="126"/>
      <c r="S56" s="52"/>
      <c r="T56" s="5"/>
      <c r="U56" s="104"/>
      <c r="V56" s="5"/>
      <c r="W56" s="5"/>
      <c r="X56" s="5"/>
      <c r="Y56" s="5"/>
      <c r="Z56" s="7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104"/>
      <c r="V57" s="5"/>
      <c r="W57" s="5"/>
      <c r="X57" s="5"/>
      <c r="Y57" s="5"/>
      <c r="Z57" s="7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104"/>
      <c r="V58" s="5"/>
      <c r="W58" s="5"/>
      <c r="X58" s="5"/>
      <c r="Y58" s="5"/>
      <c r="Z58" s="7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5" customHeight="1">
      <c r="A59" s="5"/>
      <c r="B59" s="5"/>
      <c r="C59" s="5"/>
      <c r="D59" s="5"/>
      <c r="E59" s="5"/>
      <c r="F59" s="5"/>
      <c r="G59" s="12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104"/>
      <c r="V59" s="5"/>
      <c r="W59" s="5"/>
      <c r="X59" s="5"/>
      <c r="Y59" s="5"/>
      <c r="Z59" s="7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104"/>
      <c r="V60" s="5"/>
      <c r="W60" s="5"/>
      <c r="X60" s="5"/>
      <c r="Y60" s="5"/>
      <c r="Z60" s="7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104"/>
      <c r="V61" s="5"/>
      <c r="W61" s="5"/>
      <c r="X61" s="5"/>
      <c r="Y61" s="5"/>
      <c r="Z61" s="7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104"/>
      <c r="V62" s="5"/>
      <c r="W62" s="5"/>
      <c r="X62" s="5"/>
      <c r="Y62" s="5"/>
      <c r="Z62" s="7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104"/>
      <c r="V63" s="5"/>
      <c r="W63" s="5"/>
      <c r="X63" s="5"/>
      <c r="Y63" s="5"/>
      <c r="Z63" s="7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104"/>
      <c r="V64" s="5"/>
      <c r="W64" s="5"/>
      <c r="X64" s="5"/>
      <c r="Y64" s="5"/>
      <c r="Z64" s="7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104"/>
      <c r="V65" s="5"/>
      <c r="W65" s="5"/>
      <c r="X65" s="5"/>
      <c r="Y65" s="5"/>
      <c r="Z65" s="7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104"/>
      <c r="V66" s="5"/>
      <c r="W66" s="5"/>
      <c r="X66" s="5"/>
      <c r="Y66" s="5"/>
      <c r="Z66" s="7"/>
      <c r="AA66" s="5"/>
      <c r="AB66" s="5"/>
      <c r="AC66" s="5"/>
      <c r="AD66" s="5"/>
      <c r="AE66" s="5"/>
      <c r="AF66" s="5"/>
      <c r="AG66" s="5"/>
      <c r="AH66" s="5"/>
      <c r="AI66" s="5"/>
    </row>
    <row r="67" spans="1:35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104"/>
      <c r="V67" s="5"/>
      <c r="W67" s="5"/>
      <c r="X67" s="5"/>
      <c r="Y67" s="5"/>
      <c r="Z67" s="7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104"/>
      <c r="V68" s="5"/>
      <c r="W68" s="5"/>
      <c r="X68" s="5"/>
      <c r="Y68" s="5"/>
      <c r="Z68" s="7"/>
      <c r="AA68" s="5"/>
      <c r="AB68" s="5"/>
      <c r="AC68" s="5"/>
      <c r="AD68" s="5"/>
      <c r="AE68" s="5"/>
      <c r="AF68" s="5"/>
      <c r="AG68" s="5"/>
      <c r="AH68" s="5"/>
      <c r="AI68" s="5"/>
    </row>
    <row r="69" spans="1:35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104"/>
      <c r="V69" s="5"/>
      <c r="W69" s="5"/>
      <c r="X69" s="5"/>
      <c r="Y69" s="5"/>
      <c r="Z69" s="7"/>
      <c r="AA69" s="5"/>
      <c r="AB69" s="5"/>
      <c r="AC69" s="5"/>
      <c r="AD69" s="5"/>
      <c r="AE69" s="5"/>
      <c r="AF69" s="5"/>
      <c r="AG69" s="5"/>
      <c r="AH69" s="5"/>
      <c r="AI69" s="5"/>
    </row>
    <row r="70" spans="1:35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104"/>
      <c r="V70" s="5"/>
      <c r="W70" s="5"/>
      <c r="X70" s="5"/>
      <c r="Y70" s="5"/>
      <c r="Z70" s="7"/>
      <c r="AA70" s="5"/>
      <c r="AB70" s="5"/>
      <c r="AC70" s="5"/>
      <c r="AD70" s="5"/>
      <c r="AE70" s="5"/>
      <c r="AF70" s="5"/>
      <c r="AG70" s="5"/>
      <c r="AH70" s="5"/>
      <c r="AI70" s="5"/>
    </row>
    <row r="71" spans="1:35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104"/>
      <c r="V71" s="5"/>
      <c r="W71" s="5"/>
      <c r="X71" s="5"/>
      <c r="Y71" s="5"/>
      <c r="Z71" s="7"/>
      <c r="AA71" s="5"/>
      <c r="AB71" s="5"/>
      <c r="AC71" s="5"/>
      <c r="AD71" s="5"/>
      <c r="AE71" s="5"/>
      <c r="AF71" s="5"/>
      <c r="AG71" s="5"/>
      <c r="AH71" s="5"/>
      <c r="AI71" s="5"/>
    </row>
    <row r="72" spans="1:35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104"/>
      <c r="V72" s="5"/>
      <c r="W72" s="5"/>
      <c r="X72" s="5"/>
      <c r="Y72" s="5"/>
      <c r="Z72" s="7"/>
      <c r="AA72" s="5"/>
      <c r="AB72" s="5"/>
      <c r="AC72" s="5"/>
      <c r="AD72" s="5"/>
      <c r="AE72" s="5"/>
      <c r="AF72" s="5"/>
      <c r="AG72" s="5"/>
      <c r="AH72" s="5"/>
      <c r="AI72" s="5"/>
    </row>
    <row r="73" spans="1:35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104"/>
      <c r="V73" s="5"/>
      <c r="W73" s="5"/>
      <c r="X73" s="5"/>
      <c r="Y73" s="5"/>
      <c r="Z73" s="7"/>
      <c r="AA73" s="5"/>
      <c r="AB73" s="5"/>
      <c r="AC73" s="5"/>
      <c r="AD73" s="5"/>
      <c r="AE73" s="5"/>
      <c r="AF73" s="5"/>
      <c r="AG73" s="5"/>
      <c r="AH73" s="5"/>
      <c r="AI73" s="5"/>
    </row>
    <row r="74" spans="1:35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104"/>
      <c r="V74" s="5"/>
      <c r="W74" s="5"/>
      <c r="X74" s="5"/>
      <c r="Y74" s="5"/>
      <c r="Z74" s="7"/>
      <c r="AA74" s="5"/>
      <c r="AB74" s="5"/>
      <c r="AC74" s="5"/>
      <c r="AD74" s="5"/>
      <c r="AE74" s="5"/>
      <c r="AF74" s="5"/>
      <c r="AG74" s="5"/>
      <c r="AH74" s="5"/>
      <c r="AI74" s="5"/>
    </row>
    <row r="75" spans="1:35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104"/>
      <c r="V75" s="5"/>
      <c r="W75" s="5"/>
      <c r="X75" s="5"/>
      <c r="Y75" s="5"/>
      <c r="Z75" s="7"/>
      <c r="AA75" s="5"/>
      <c r="AB75" s="5"/>
      <c r="AC75" s="5"/>
      <c r="AD75" s="5"/>
      <c r="AE75" s="5"/>
      <c r="AF75" s="5"/>
      <c r="AG75" s="5"/>
      <c r="AH75" s="5"/>
      <c r="AI75" s="5"/>
    </row>
    <row r="76" spans="1:35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104"/>
      <c r="V76" s="5"/>
      <c r="W76" s="5"/>
      <c r="X76" s="5"/>
      <c r="Y76" s="5"/>
      <c r="Z76" s="7"/>
      <c r="AA76" s="5"/>
      <c r="AB76" s="5"/>
      <c r="AC76" s="5"/>
      <c r="AD76" s="5"/>
      <c r="AE76" s="5"/>
      <c r="AF76" s="5"/>
      <c r="AG76" s="5"/>
      <c r="AH76" s="5"/>
      <c r="AI76" s="5"/>
    </row>
    <row r="77" spans="1:35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104"/>
      <c r="V77" s="5"/>
      <c r="W77" s="5"/>
      <c r="X77" s="5"/>
      <c r="Y77" s="5"/>
      <c r="Z77" s="7"/>
      <c r="AA77" s="5"/>
      <c r="AB77" s="5"/>
      <c r="AC77" s="5"/>
      <c r="AD77" s="5"/>
      <c r="AE77" s="5"/>
      <c r="AF77" s="5"/>
      <c r="AG77" s="5"/>
      <c r="AH77" s="5"/>
      <c r="AI77" s="5"/>
    </row>
    <row r="78" spans="1:35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104"/>
      <c r="V78" s="5"/>
      <c r="W78" s="5"/>
      <c r="X78" s="5"/>
      <c r="Y78" s="5"/>
      <c r="Z78" s="7"/>
      <c r="AA78" s="5"/>
      <c r="AB78" s="5"/>
      <c r="AC78" s="5"/>
      <c r="AD78" s="5"/>
      <c r="AE78" s="5"/>
      <c r="AF78" s="5"/>
      <c r="AG78" s="5"/>
      <c r="AH78" s="5"/>
      <c r="AI78" s="5"/>
    </row>
    <row r="79" spans="1:35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104"/>
      <c r="V79" s="5"/>
      <c r="W79" s="5"/>
      <c r="X79" s="5"/>
      <c r="Y79" s="5"/>
      <c r="Z79" s="7"/>
      <c r="AA79" s="5"/>
      <c r="AB79" s="5"/>
      <c r="AC79" s="5"/>
      <c r="AD79" s="5"/>
      <c r="AE79" s="5"/>
      <c r="AF79" s="5"/>
      <c r="AG79" s="5"/>
      <c r="AH79" s="5"/>
      <c r="AI79" s="5"/>
    </row>
    <row r="80" spans="1:35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104"/>
      <c r="V80" s="5"/>
      <c r="W80" s="5"/>
      <c r="X80" s="5"/>
      <c r="Y80" s="5"/>
      <c r="Z80" s="7"/>
      <c r="AA80" s="5"/>
      <c r="AB80" s="5"/>
      <c r="AC80" s="5"/>
      <c r="AD80" s="5"/>
      <c r="AE80" s="5"/>
      <c r="AF80" s="5"/>
      <c r="AG80" s="5"/>
      <c r="AH80" s="5"/>
      <c r="AI80" s="5"/>
    </row>
    <row r="81" spans="1:35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104"/>
      <c r="V81" s="5"/>
      <c r="W81" s="5"/>
      <c r="X81" s="5"/>
      <c r="Y81" s="5"/>
      <c r="Z81" s="7"/>
      <c r="AA81" s="5"/>
      <c r="AB81" s="5"/>
      <c r="AC81" s="5"/>
      <c r="AD81" s="5"/>
      <c r="AE81" s="5"/>
      <c r="AF81" s="5"/>
      <c r="AG81" s="5"/>
      <c r="AH81" s="5"/>
      <c r="AI81" s="5"/>
    </row>
    <row r="82" spans="1:35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104"/>
      <c r="V82" s="5"/>
      <c r="W82" s="5"/>
      <c r="X82" s="5"/>
      <c r="Y82" s="5"/>
      <c r="Z82" s="7"/>
      <c r="AA82" s="5"/>
      <c r="AB82" s="5"/>
      <c r="AC82" s="5"/>
      <c r="AD82" s="5"/>
      <c r="AE82" s="5"/>
      <c r="AF82" s="5"/>
      <c r="AG82" s="5"/>
      <c r="AH82" s="5"/>
      <c r="AI82" s="5"/>
    </row>
    <row r="83" spans="1:35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104"/>
      <c r="V83" s="5"/>
      <c r="W83" s="5"/>
      <c r="X83" s="5"/>
      <c r="Y83" s="5"/>
      <c r="Z83" s="7"/>
      <c r="AA83" s="5"/>
      <c r="AB83" s="5"/>
      <c r="AC83" s="5"/>
      <c r="AD83" s="5"/>
      <c r="AE83" s="5"/>
      <c r="AF83" s="5"/>
      <c r="AG83" s="5"/>
      <c r="AH83" s="5"/>
      <c r="AI83" s="5"/>
    </row>
    <row r="84" spans="1:35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104"/>
      <c r="V84" s="5"/>
      <c r="W84" s="5"/>
      <c r="X84" s="5"/>
      <c r="Y84" s="5"/>
      <c r="Z84" s="7"/>
      <c r="AA84" s="5"/>
      <c r="AB84" s="5"/>
      <c r="AC84" s="5"/>
      <c r="AD84" s="5"/>
      <c r="AE84" s="5"/>
      <c r="AF84" s="5"/>
      <c r="AG84" s="5"/>
      <c r="AH84" s="5"/>
      <c r="AI84" s="5"/>
    </row>
    <row r="85" spans="1:35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104"/>
      <c r="V85" s="5"/>
      <c r="W85" s="5"/>
      <c r="X85" s="5"/>
      <c r="Y85" s="5"/>
      <c r="Z85" s="7"/>
      <c r="AA85" s="5"/>
      <c r="AB85" s="5"/>
      <c r="AC85" s="5"/>
      <c r="AD85" s="5"/>
      <c r="AE85" s="5"/>
      <c r="AF85" s="5"/>
      <c r="AG85" s="5"/>
      <c r="AH85" s="5"/>
      <c r="AI85" s="5"/>
    </row>
    <row r="86" spans="1:35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104"/>
      <c r="V86" s="5"/>
      <c r="W86" s="5"/>
      <c r="X86" s="5"/>
      <c r="Y86" s="5"/>
      <c r="Z86" s="7"/>
      <c r="AA86" s="5"/>
      <c r="AB86" s="5"/>
      <c r="AC86" s="5"/>
      <c r="AD86" s="5"/>
      <c r="AE86" s="5"/>
      <c r="AF86" s="5"/>
      <c r="AG86" s="5"/>
      <c r="AH86" s="5"/>
      <c r="AI86" s="5"/>
    </row>
    <row r="87" spans="1:35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104"/>
      <c r="V87" s="5"/>
      <c r="W87" s="5"/>
      <c r="X87" s="5"/>
      <c r="Y87" s="5"/>
      <c r="Z87" s="7"/>
      <c r="AA87" s="5"/>
      <c r="AB87" s="5"/>
      <c r="AC87" s="5"/>
      <c r="AD87" s="5"/>
      <c r="AE87" s="5"/>
      <c r="AF87" s="5"/>
      <c r="AG87" s="5"/>
      <c r="AH87" s="5"/>
      <c r="AI87" s="5"/>
    </row>
    <row r="88" spans="1:35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104"/>
      <c r="V88" s="5"/>
      <c r="W88" s="5"/>
      <c r="X88" s="5"/>
      <c r="Y88" s="5"/>
      <c r="Z88" s="7"/>
      <c r="AA88" s="5"/>
      <c r="AB88" s="5"/>
      <c r="AC88" s="5"/>
      <c r="AD88" s="5"/>
      <c r="AE88" s="5"/>
      <c r="AF88" s="5"/>
      <c r="AG88" s="5"/>
      <c r="AH88" s="5"/>
      <c r="AI88" s="5"/>
    </row>
    <row r="89" spans="1:35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104"/>
      <c r="V89" s="5"/>
      <c r="W89" s="5"/>
      <c r="X89" s="5"/>
      <c r="Y89" s="5"/>
      <c r="Z89" s="7"/>
      <c r="AA89" s="5"/>
      <c r="AB89" s="5"/>
      <c r="AC89" s="5"/>
      <c r="AD89" s="5"/>
      <c r="AE89" s="5"/>
      <c r="AF89" s="5"/>
      <c r="AG89" s="5"/>
      <c r="AH89" s="5"/>
      <c r="AI89" s="5"/>
    </row>
    <row r="90" spans="1:35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104"/>
      <c r="V90" s="5"/>
      <c r="W90" s="5"/>
      <c r="X90" s="5"/>
      <c r="Y90" s="5"/>
      <c r="Z90" s="7"/>
      <c r="AA90" s="5"/>
      <c r="AB90" s="5"/>
      <c r="AC90" s="5"/>
      <c r="AD90" s="5"/>
      <c r="AE90" s="5"/>
      <c r="AF90" s="5"/>
      <c r="AG90" s="5"/>
      <c r="AH90" s="5"/>
      <c r="AI90" s="5"/>
    </row>
    <row r="91" spans="1:35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104"/>
      <c r="V91" s="5"/>
      <c r="W91" s="5"/>
      <c r="X91" s="5"/>
      <c r="Y91" s="5"/>
      <c r="Z91" s="7"/>
      <c r="AA91" s="5"/>
      <c r="AB91" s="5"/>
      <c r="AC91" s="5"/>
      <c r="AD91" s="5"/>
      <c r="AE91" s="5"/>
      <c r="AF91" s="5"/>
      <c r="AG91" s="5"/>
      <c r="AH91" s="5"/>
      <c r="AI91" s="5"/>
    </row>
    <row r="92" spans="1:35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104"/>
      <c r="V92" s="5"/>
      <c r="W92" s="5"/>
      <c r="X92" s="5"/>
      <c r="Y92" s="5"/>
      <c r="Z92" s="7"/>
      <c r="AA92" s="5"/>
      <c r="AB92" s="5"/>
      <c r="AC92" s="5"/>
      <c r="AD92" s="5"/>
      <c r="AE92" s="5"/>
      <c r="AF92" s="5"/>
      <c r="AG92" s="5"/>
      <c r="AH92" s="5"/>
      <c r="AI92" s="5"/>
    </row>
    <row r="93" spans="1:35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104"/>
      <c r="V93" s="5"/>
      <c r="W93" s="5"/>
      <c r="X93" s="5"/>
      <c r="Y93" s="5"/>
      <c r="Z93" s="7"/>
      <c r="AA93" s="5"/>
      <c r="AB93" s="5"/>
      <c r="AC93" s="5"/>
      <c r="AD93" s="5"/>
      <c r="AE93" s="5"/>
      <c r="AF93" s="5"/>
      <c r="AG93" s="5"/>
      <c r="AH93" s="5"/>
      <c r="AI93" s="5"/>
    </row>
    <row r="94" spans="1:35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104"/>
      <c r="V94" s="5"/>
      <c r="W94" s="5"/>
      <c r="X94" s="5"/>
      <c r="Y94" s="5"/>
      <c r="Z94" s="7"/>
      <c r="AA94" s="5"/>
      <c r="AB94" s="5"/>
      <c r="AC94" s="5"/>
      <c r="AD94" s="5"/>
      <c r="AE94" s="5"/>
      <c r="AF94" s="5"/>
      <c r="AG94" s="5"/>
      <c r="AH94" s="5"/>
      <c r="AI94" s="5"/>
    </row>
    <row r="95" spans="1:35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104"/>
      <c r="V95" s="5"/>
      <c r="W95" s="5"/>
      <c r="X95" s="5"/>
      <c r="Y95" s="5"/>
      <c r="Z95" s="7"/>
      <c r="AA95" s="5"/>
      <c r="AB95" s="5"/>
      <c r="AC95" s="5"/>
      <c r="AD95" s="5"/>
      <c r="AE95" s="5"/>
      <c r="AF95" s="5"/>
      <c r="AG95" s="5"/>
      <c r="AH95" s="5"/>
      <c r="AI95" s="5"/>
    </row>
    <row r="96" spans="1:35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104"/>
      <c r="V96" s="5"/>
      <c r="W96" s="5"/>
      <c r="X96" s="5"/>
      <c r="Y96" s="5"/>
      <c r="Z96" s="7"/>
      <c r="AA96" s="5"/>
      <c r="AB96" s="5"/>
      <c r="AC96" s="5"/>
      <c r="AD96" s="5"/>
      <c r="AE96" s="5"/>
      <c r="AF96" s="5"/>
      <c r="AG96" s="5"/>
      <c r="AH96" s="5"/>
      <c r="AI96" s="5"/>
    </row>
    <row r="97" spans="1:35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104"/>
      <c r="V97" s="5"/>
      <c r="W97" s="5"/>
      <c r="X97" s="5"/>
      <c r="Y97" s="5"/>
      <c r="Z97" s="7"/>
      <c r="AA97" s="5"/>
      <c r="AB97" s="5"/>
      <c r="AC97" s="5"/>
      <c r="AD97" s="5"/>
      <c r="AE97" s="5"/>
      <c r="AF97" s="5"/>
      <c r="AG97" s="5"/>
      <c r="AH97" s="5"/>
      <c r="AI97" s="5"/>
    </row>
    <row r="98" spans="1:35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104"/>
      <c r="V98" s="5"/>
      <c r="W98" s="5"/>
      <c r="X98" s="5"/>
      <c r="Y98" s="5"/>
      <c r="Z98" s="7"/>
      <c r="AA98" s="5"/>
      <c r="AB98" s="5"/>
      <c r="AC98" s="5"/>
      <c r="AD98" s="5"/>
      <c r="AE98" s="5"/>
      <c r="AF98" s="5"/>
      <c r="AG98" s="5"/>
      <c r="AH98" s="5"/>
      <c r="AI98" s="5"/>
    </row>
    <row r="99" spans="1:35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104"/>
      <c r="V99" s="5"/>
      <c r="W99" s="5"/>
      <c r="X99" s="5"/>
      <c r="Y99" s="5"/>
      <c r="Z99" s="7"/>
      <c r="AA99" s="5"/>
      <c r="AB99" s="5"/>
      <c r="AC99" s="5"/>
      <c r="AD99" s="5"/>
      <c r="AE99" s="5"/>
      <c r="AF99" s="5"/>
      <c r="AG99" s="5"/>
      <c r="AH99" s="5"/>
      <c r="AI99" s="5"/>
    </row>
    <row r="100" spans="1:35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104"/>
      <c r="V100" s="5"/>
      <c r="W100" s="5"/>
      <c r="X100" s="5"/>
      <c r="Y100" s="5"/>
      <c r="Z100" s="7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1:35" ht="1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104"/>
      <c r="V101" s="5"/>
      <c r="W101" s="5"/>
      <c r="X101" s="5"/>
      <c r="Y101" s="5"/>
      <c r="Z101" s="7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1:35" ht="1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104"/>
      <c r="V102" s="5"/>
      <c r="W102" s="5"/>
      <c r="X102" s="5"/>
      <c r="Y102" s="5"/>
      <c r="Z102" s="7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1:35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104"/>
      <c r="V103" s="5"/>
      <c r="W103" s="5"/>
      <c r="X103" s="5"/>
      <c r="Y103" s="5"/>
      <c r="Z103" s="7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1:35" ht="1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104"/>
      <c r="V104" s="5"/>
      <c r="W104" s="5"/>
      <c r="X104" s="5"/>
      <c r="Y104" s="5"/>
      <c r="Z104" s="7"/>
      <c r="AA104" s="5"/>
      <c r="AB104" s="5"/>
      <c r="AC104" s="5"/>
      <c r="AD104" s="5"/>
      <c r="AE104" s="5"/>
      <c r="AF104" s="5"/>
      <c r="AG104" s="5"/>
      <c r="AH104" s="5"/>
      <c r="AI104" s="5"/>
    </row>
    <row r="105" spans="1:35" ht="1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104"/>
      <c r="V105" s="5"/>
      <c r="W105" s="5"/>
      <c r="X105" s="5"/>
      <c r="Y105" s="5"/>
      <c r="Z105" s="7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1:35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104"/>
      <c r="V106" s="5"/>
      <c r="W106" s="5"/>
      <c r="X106" s="5"/>
      <c r="Y106" s="5"/>
      <c r="Z106" s="7"/>
      <c r="AA106" s="5"/>
      <c r="AB106" s="5"/>
      <c r="AC106" s="5"/>
      <c r="AD106" s="5"/>
      <c r="AE106" s="5"/>
      <c r="AF106" s="5"/>
      <c r="AG106" s="5"/>
      <c r="AH106" s="5"/>
      <c r="AI106" s="5"/>
    </row>
    <row r="107" spans="1:35" ht="1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104"/>
      <c r="V107" s="5"/>
      <c r="W107" s="5"/>
      <c r="X107" s="5"/>
      <c r="Y107" s="5"/>
      <c r="Z107" s="7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1:35" ht="1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104"/>
      <c r="V108" s="5"/>
      <c r="W108" s="5"/>
      <c r="X108" s="5"/>
      <c r="Y108" s="5"/>
      <c r="Z108" s="7"/>
      <c r="AA108" s="5"/>
      <c r="AB108" s="5"/>
      <c r="AC108" s="5"/>
      <c r="AD108" s="5"/>
      <c r="AE108" s="5"/>
      <c r="AF108" s="5"/>
      <c r="AG108" s="5"/>
      <c r="AH108" s="5"/>
      <c r="AI108" s="5"/>
    </row>
    <row r="109" spans="1:35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104"/>
      <c r="V109" s="5"/>
      <c r="W109" s="5"/>
      <c r="X109" s="5"/>
      <c r="Y109" s="5"/>
      <c r="Z109" s="7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1:35" ht="1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104"/>
      <c r="V110" s="5"/>
      <c r="W110" s="5"/>
      <c r="X110" s="5"/>
      <c r="Y110" s="5"/>
      <c r="Z110" s="7"/>
      <c r="AA110" s="5"/>
      <c r="AB110" s="5"/>
      <c r="AC110" s="5"/>
      <c r="AD110" s="5"/>
      <c r="AE110" s="5"/>
      <c r="AF110" s="5"/>
      <c r="AG110" s="5"/>
      <c r="AH110" s="5"/>
      <c r="AI110" s="5"/>
    </row>
    <row r="111" spans="1:35" ht="1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104"/>
      <c r="V111" s="5"/>
      <c r="W111" s="5"/>
      <c r="X111" s="5"/>
      <c r="Y111" s="5"/>
      <c r="Z111" s="7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1:35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104"/>
      <c r="V112" s="5"/>
      <c r="W112" s="5"/>
      <c r="X112" s="5"/>
      <c r="Y112" s="5"/>
      <c r="Z112" s="7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1:35" ht="1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104"/>
      <c r="V113" s="5"/>
      <c r="W113" s="5"/>
      <c r="X113" s="5"/>
      <c r="Y113" s="5"/>
      <c r="Z113" s="7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1:35" ht="1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104"/>
      <c r="V114" s="5"/>
      <c r="W114" s="5"/>
      <c r="X114" s="5"/>
      <c r="Y114" s="5"/>
      <c r="Z114" s="7"/>
      <c r="AA114" s="5"/>
      <c r="AB114" s="5"/>
      <c r="AC114" s="5"/>
      <c r="AD114" s="5"/>
      <c r="AE114" s="5"/>
      <c r="AF114" s="5"/>
      <c r="AG114" s="5"/>
      <c r="AH114" s="5"/>
      <c r="AI114" s="5"/>
    </row>
    <row r="115" spans="1:35" ht="1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104"/>
      <c r="V115" s="5"/>
      <c r="W115" s="5"/>
      <c r="X115" s="5"/>
      <c r="Y115" s="5"/>
      <c r="Z115" s="7"/>
      <c r="AA115" s="5"/>
      <c r="AB115" s="5"/>
      <c r="AC115" s="5"/>
      <c r="AD115" s="5"/>
      <c r="AE115" s="5"/>
      <c r="AF115" s="5"/>
      <c r="AG115" s="5"/>
      <c r="AH115" s="5"/>
      <c r="AI115" s="5"/>
    </row>
    <row r="116" spans="1:35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104"/>
      <c r="V116" s="5"/>
      <c r="W116" s="5"/>
      <c r="X116" s="5"/>
      <c r="Y116" s="5"/>
      <c r="Z116" s="7"/>
      <c r="AA116" s="5"/>
      <c r="AB116" s="5"/>
      <c r="AC116" s="5"/>
      <c r="AD116" s="5"/>
      <c r="AE116" s="5"/>
      <c r="AF116" s="5"/>
      <c r="AG116" s="5"/>
      <c r="AH116" s="5"/>
      <c r="AI116" s="5"/>
    </row>
    <row r="117" spans="1:35" ht="1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104"/>
      <c r="V117" s="5"/>
      <c r="W117" s="5"/>
      <c r="X117" s="5"/>
      <c r="Y117" s="5"/>
      <c r="Z117" s="7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1:35" ht="1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104"/>
      <c r="V118" s="5"/>
      <c r="W118" s="5"/>
      <c r="X118" s="5"/>
      <c r="Y118" s="5"/>
      <c r="Z118" s="7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1:35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104"/>
      <c r="V119" s="5"/>
      <c r="W119" s="5"/>
      <c r="X119" s="5"/>
      <c r="Y119" s="5"/>
      <c r="Z119" s="7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1:35" ht="1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104"/>
      <c r="V120" s="5"/>
      <c r="W120" s="5"/>
      <c r="X120" s="5"/>
      <c r="Y120" s="5"/>
      <c r="Z120" s="7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1:35" ht="1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104"/>
      <c r="V121" s="5"/>
      <c r="W121" s="5"/>
      <c r="X121" s="5"/>
      <c r="Y121" s="5"/>
      <c r="Z121" s="7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1:35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104"/>
      <c r="V122" s="5"/>
      <c r="W122" s="5"/>
      <c r="X122" s="5"/>
      <c r="Y122" s="5"/>
      <c r="Z122" s="7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1:35" ht="1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104"/>
      <c r="V123" s="5"/>
      <c r="W123" s="5"/>
      <c r="X123" s="5"/>
      <c r="Y123" s="5"/>
      <c r="Z123" s="7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1:35" ht="1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104"/>
      <c r="V124" s="5"/>
      <c r="W124" s="5"/>
      <c r="X124" s="5"/>
      <c r="Y124" s="5"/>
      <c r="Z124" s="7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104"/>
      <c r="V125" s="5"/>
      <c r="W125" s="5"/>
      <c r="X125" s="5"/>
      <c r="Y125" s="5"/>
      <c r="Z125" s="7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 ht="1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104"/>
      <c r="V126" s="5"/>
      <c r="W126" s="5"/>
      <c r="X126" s="5"/>
      <c r="Y126" s="5"/>
      <c r="Z126" s="7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1:35" ht="1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104"/>
      <c r="V127" s="5"/>
      <c r="W127" s="5"/>
      <c r="X127" s="5"/>
      <c r="Y127" s="5"/>
      <c r="Z127" s="7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1:35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104"/>
      <c r="V128" s="5"/>
      <c r="W128" s="5"/>
      <c r="X128" s="5"/>
      <c r="Y128" s="5"/>
      <c r="Z128" s="7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1:35" ht="1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104"/>
      <c r="V129" s="5"/>
      <c r="W129" s="5"/>
      <c r="X129" s="5"/>
      <c r="Y129" s="5"/>
      <c r="Z129" s="7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1:35" ht="1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104"/>
      <c r="V130" s="5"/>
      <c r="W130" s="5"/>
      <c r="X130" s="5"/>
      <c r="Y130" s="5"/>
      <c r="Z130" s="7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1:35" ht="1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104"/>
      <c r="V131" s="5"/>
      <c r="W131" s="5"/>
      <c r="X131" s="5"/>
      <c r="Y131" s="5"/>
      <c r="Z131" s="7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1:35" ht="1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104"/>
      <c r="V132" s="5"/>
      <c r="W132" s="5"/>
      <c r="X132" s="5"/>
      <c r="Y132" s="5"/>
      <c r="Z132" s="7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1:35" ht="1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104"/>
      <c r="V133" s="5"/>
      <c r="W133" s="5"/>
      <c r="X133" s="5"/>
      <c r="Y133" s="5"/>
      <c r="Z133" s="7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1:35" ht="1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104"/>
      <c r="V134" s="5"/>
      <c r="W134" s="5"/>
      <c r="X134" s="5"/>
      <c r="Y134" s="5"/>
      <c r="Z134" s="7"/>
      <c r="AA134" s="5"/>
      <c r="AB134" s="5"/>
      <c r="AC134" s="5"/>
      <c r="AD134" s="5"/>
      <c r="AE134" s="5"/>
      <c r="AF134" s="5"/>
      <c r="AG134" s="5"/>
      <c r="AH134" s="5"/>
      <c r="AI134" s="5"/>
    </row>
    <row r="135" spans="1:35" ht="1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104"/>
      <c r="V135" s="5"/>
      <c r="W135" s="5"/>
      <c r="X135" s="5"/>
      <c r="Y135" s="5"/>
      <c r="Z135" s="7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1:35" ht="1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104"/>
      <c r="V136" s="5"/>
      <c r="W136" s="5"/>
      <c r="X136" s="5"/>
      <c r="Y136" s="5"/>
      <c r="Z136" s="7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1:35" ht="1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104"/>
      <c r="V137" s="5"/>
      <c r="W137" s="5"/>
      <c r="X137" s="5"/>
      <c r="Y137" s="5"/>
      <c r="Z137" s="7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1:35" ht="1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104"/>
      <c r="V138" s="5"/>
      <c r="W138" s="5"/>
      <c r="X138" s="5"/>
      <c r="Y138" s="5"/>
      <c r="Z138" s="7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1:35" ht="1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104"/>
      <c r="V139" s="5"/>
      <c r="W139" s="5"/>
      <c r="X139" s="5"/>
      <c r="Y139" s="5"/>
      <c r="Z139" s="7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1:35" ht="1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104"/>
      <c r="V140" s="5"/>
      <c r="W140" s="5"/>
      <c r="X140" s="5"/>
      <c r="Y140" s="5"/>
      <c r="Z140" s="7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1:35" ht="1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104"/>
      <c r="V141" s="5"/>
      <c r="W141" s="5"/>
      <c r="X141" s="5"/>
      <c r="Y141" s="5"/>
      <c r="Z141" s="7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1:35" ht="1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104"/>
      <c r="V142" s="5"/>
      <c r="W142" s="5"/>
      <c r="X142" s="5"/>
      <c r="Y142" s="5"/>
      <c r="Z142" s="7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1:35" ht="1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104"/>
      <c r="V143" s="5"/>
      <c r="W143" s="5"/>
      <c r="X143" s="5"/>
      <c r="Y143" s="5"/>
      <c r="Z143" s="7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1:35" ht="1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104"/>
      <c r="V144" s="5"/>
      <c r="W144" s="5"/>
      <c r="X144" s="5"/>
      <c r="Y144" s="5"/>
      <c r="Z144" s="7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1:35" ht="1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104"/>
      <c r="V145" s="5"/>
      <c r="W145" s="5"/>
      <c r="X145" s="5"/>
      <c r="Y145" s="5"/>
      <c r="Z145" s="7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1:35" ht="1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104"/>
      <c r="V146" s="5"/>
      <c r="W146" s="5"/>
      <c r="X146" s="5"/>
      <c r="Y146" s="5"/>
      <c r="Z146" s="7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1:35" ht="1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104"/>
      <c r="V147" s="5"/>
      <c r="W147" s="5"/>
      <c r="X147" s="5"/>
      <c r="Y147" s="5"/>
      <c r="Z147" s="7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1:35" ht="1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104"/>
      <c r="V148" s="5"/>
      <c r="W148" s="5"/>
      <c r="X148" s="5"/>
      <c r="Y148" s="5"/>
      <c r="Z148" s="7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1:35" ht="1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104"/>
      <c r="V149" s="5"/>
      <c r="W149" s="5"/>
      <c r="X149" s="5"/>
      <c r="Y149" s="5"/>
      <c r="Z149" s="7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1:35" ht="1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104"/>
      <c r="V150" s="5"/>
      <c r="W150" s="5"/>
      <c r="X150" s="5"/>
      <c r="Y150" s="5"/>
      <c r="Z150" s="7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1:35" ht="1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104"/>
      <c r="V151" s="5"/>
      <c r="W151" s="5"/>
      <c r="X151" s="5"/>
      <c r="Y151" s="5"/>
      <c r="Z151" s="7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1:35" ht="1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104"/>
      <c r="V152" s="5"/>
      <c r="W152" s="5"/>
      <c r="X152" s="5"/>
      <c r="Y152" s="5"/>
      <c r="Z152" s="7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1:35" ht="1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104"/>
      <c r="V153" s="5"/>
      <c r="W153" s="5"/>
      <c r="X153" s="5"/>
      <c r="Y153" s="5"/>
      <c r="Z153" s="7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1:35" ht="1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104"/>
      <c r="V154" s="5"/>
      <c r="W154" s="5"/>
      <c r="X154" s="5"/>
      <c r="Y154" s="5"/>
      <c r="Z154" s="7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1:35" ht="1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104"/>
      <c r="V155" s="5"/>
      <c r="W155" s="5"/>
      <c r="X155" s="5"/>
      <c r="Y155" s="5"/>
      <c r="Z155" s="7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1:35" ht="1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104"/>
      <c r="V156" s="5"/>
      <c r="W156" s="5"/>
      <c r="X156" s="5"/>
      <c r="Y156" s="5"/>
      <c r="Z156" s="7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1:35" ht="1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104"/>
      <c r="V157" s="5"/>
      <c r="W157" s="5"/>
      <c r="X157" s="5"/>
      <c r="Y157" s="5"/>
      <c r="Z157" s="7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1:35" ht="1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104"/>
      <c r="V158" s="5"/>
      <c r="W158" s="5"/>
      <c r="X158" s="5"/>
      <c r="Y158" s="5"/>
      <c r="Z158" s="7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1:35" ht="1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104"/>
      <c r="V159" s="5"/>
      <c r="W159" s="5"/>
      <c r="X159" s="5"/>
      <c r="Y159" s="5"/>
      <c r="Z159" s="7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1:35" ht="1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104"/>
      <c r="V160" s="5"/>
      <c r="W160" s="5"/>
      <c r="X160" s="5"/>
      <c r="Y160" s="5"/>
      <c r="Z160" s="7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1:35" ht="1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104"/>
      <c r="V161" s="5"/>
      <c r="W161" s="5"/>
      <c r="X161" s="5"/>
      <c r="Y161" s="5"/>
      <c r="Z161" s="7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1:35" ht="1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104"/>
      <c r="V162" s="5"/>
      <c r="W162" s="5"/>
      <c r="X162" s="5"/>
      <c r="Y162" s="5"/>
      <c r="Z162" s="7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1:35" ht="1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104"/>
      <c r="V163" s="5"/>
      <c r="W163" s="5"/>
      <c r="X163" s="5"/>
      <c r="Y163" s="5"/>
      <c r="Z163" s="7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1:35" ht="1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104"/>
      <c r="V164" s="5"/>
      <c r="W164" s="5"/>
      <c r="X164" s="5"/>
      <c r="Y164" s="5"/>
      <c r="Z164" s="7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1:35" ht="1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104"/>
      <c r="V165" s="5"/>
      <c r="W165" s="5"/>
      <c r="X165" s="5"/>
      <c r="Y165" s="5"/>
      <c r="Z165" s="7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1:35" ht="1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104"/>
      <c r="V166" s="5"/>
      <c r="W166" s="5"/>
      <c r="X166" s="5"/>
      <c r="Y166" s="5"/>
      <c r="Z166" s="7"/>
      <c r="AA166" s="5"/>
      <c r="AB166" s="5"/>
      <c r="AC166" s="5"/>
      <c r="AD166" s="5"/>
      <c r="AE166" s="5"/>
      <c r="AF166" s="5"/>
      <c r="AG166" s="5"/>
      <c r="AH166" s="5"/>
      <c r="AI166" s="5"/>
    </row>
    <row r="167" spans="1:35" ht="1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104"/>
      <c r="V167" s="5"/>
      <c r="W167" s="5"/>
      <c r="X167" s="5"/>
      <c r="Y167" s="5"/>
      <c r="Z167" s="7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ht="1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104"/>
      <c r="V168" s="5"/>
      <c r="W168" s="5"/>
      <c r="X168" s="5"/>
      <c r="Y168" s="5"/>
      <c r="Z168" s="7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 ht="1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104"/>
      <c r="V169" s="5"/>
      <c r="W169" s="5"/>
      <c r="X169" s="5"/>
      <c r="Y169" s="5"/>
      <c r="Z169" s="7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1:35" ht="1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104"/>
      <c r="V170" s="5"/>
      <c r="W170" s="5"/>
      <c r="X170" s="5"/>
      <c r="Y170" s="5"/>
      <c r="Z170" s="7"/>
      <c r="AA170" s="5"/>
      <c r="AB170" s="5"/>
      <c r="AC170" s="5"/>
      <c r="AD170" s="5"/>
      <c r="AE170" s="5"/>
      <c r="AF170" s="5"/>
      <c r="AG170" s="5"/>
      <c r="AH170" s="5"/>
      <c r="AI170" s="5"/>
    </row>
    <row r="171" spans="1:35" ht="1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104"/>
      <c r="V171" s="5"/>
      <c r="W171" s="5"/>
      <c r="X171" s="5"/>
      <c r="Y171" s="5"/>
      <c r="Z171" s="7"/>
      <c r="AA171" s="5"/>
      <c r="AB171" s="5"/>
      <c r="AC171" s="5"/>
      <c r="AD171" s="5"/>
      <c r="AE171" s="5"/>
      <c r="AF171" s="5"/>
      <c r="AG171" s="5"/>
      <c r="AH171" s="5"/>
      <c r="AI171" s="5"/>
    </row>
    <row r="172" spans="1:35" ht="1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104"/>
      <c r="V172" s="5"/>
      <c r="W172" s="5"/>
      <c r="X172" s="5"/>
      <c r="Y172" s="5"/>
      <c r="Z172" s="7"/>
      <c r="AA172" s="5"/>
      <c r="AB172" s="5"/>
      <c r="AC172" s="5"/>
      <c r="AD172" s="5"/>
      <c r="AE172" s="5"/>
      <c r="AF172" s="5"/>
      <c r="AG172" s="5"/>
      <c r="AH172" s="5"/>
      <c r="AI172" s="5"/>
    </row>
    <row r="173" spans="1:35" ht="1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104"/>
      <c r="V173" s="5"/>
      <c r="W173" s="5"/>
      <c r="X173" s="5"/>
      <c r="Y173" s="5"/>
      <c r="Z173" s="7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1:35" ht="1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104"/>
      <c r="V174" s="5"/>
      <c r="W174" s="5"/>
      <c r="X174" s="5"/>
      <c r="Y174" s="5"/>
      <c r="Z174" s="7"/>
      <c r="AA174" s="5"/>
      <c r="AB174" s="5"/>
      <c r="AC174" s="5"/>
      <c r="AD174" s="5"/>
      <c r="AE174" s="5"/>
      <c r="AF174" s="5"/>
      <c r="AG174" s="5"/>
      <c r="AH174" s="5"/>
      <c r="AI174" s="5"/>
    </row>
    <row r="175" spans="1:35" ht="1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104"/>
      <c r="V175" s="5"/>
      <c r="W175" s="5"/>
      <c r="X175" s="5"/>
      <c r="Y175" s="5"/>
      <c r="Z175" s="7"/>
      <c r="AA175" s="5"/>
      <c r="AB175" s="5"/>
      <c r="AC175" s="5"/>
      <c r="AD175" s="5"/>
      <c r="AE175" s="5"/>
      <c r="AF175" s="5"/>
      <c r="AG175" s="5"/>
      <c r="AH175" s="5"/>
      <c r="AI175" s="5"/>
    </row>
    <row r="176" spans="1:35" ht="1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104"/>
      <c r="V176" s="5"/>
      <c r="W176" s="5"/>
      <c r="X176" s="5"/>
      <c r="Y176" s="5"/>
      <c r="Z176" s="7"/>
      <c r="AA176" s="5"/>
      <c r="AB176" s="5"/>
      <c r="AC176" s="5"/>
      <c r="AD176" s="5"/>
      <c r="AE176" s="5"/>
      <c r="AF176" s="5"/>
      <c r="AG176" s="5"/>
      <c r="AH176" s="5"/>
      <c r="AI176" s="5"/>
    </row>
    <row r="177" spans="1:35" ht="1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104"/>
      <c r="V177" s="5"/>
      <c r="W177" s="5"/>
      <c r="X177" s="5"/>
      <c r="Y177" s="5"/>
      <c r="Z177" s="7"/>
      <c r="AA177" s="5"/>
      <c r="AB177" s="5"/>
      <c r="AC177" s="5"/>
      <c r="AD177" s="5"/>
      <c r="AE177" s="5"/>
      <c r="AF177" s="5"/>
      <c r="AG177" s="5"/>
      <c r="AH177" s="5"/>
      <c r="AI177" s="5"/>
    </row>
    <row r="178" spans="1:35" ht="1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104"/>
      <c r="V178" s="5"/>
      <c r="W178" s="5"/>
      <c r="X178" s="5"/>
      <c r="Y178" s="5"/>
      <c r="Z178" s="7"/>
      <c r="AA178" s="5"/>
      <c r="AB178" s="5"/>
      <c r="AC178" s="5"/>
      <c r="AD178" s="5"/>
      <c r="AE178" s="5"/>
      <c r="AF178" s="5"/>
      <c r="AG178" s="5"/>
      <c r="AH178" s="5"/>
      <c r="AI178" s="5"/>
    </row>
    <row r="179" spans="1:35" ht="1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104"/>
      <c r="V179" s="5"/>
      <c r="W179" s="5"/>
      <c r="X179" s="5"/>
      <c r="Y179" s="5"/>
      <c r="Z179" s="7"/>
      <c r="AA179" s="5"/>
      <c r="AB179" s="5"/>
      <c r="AC179" s="5"/>
      <c r="AD179" s="5"/>
      <c r="AE179" s="5"/>
      <c r="AF179" s="5"/>
      <c r="AG179" s="5"/>
      <c r="AH179" s="5"/>
      <c r="AI179" s="5"/>
    </row>
    <row r="180" spans="1:35" ht="1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104"/>
      <c r="V180" s="5"/>
      <c r="W180" s="5"/>
      <c r="X180" s="5"/>
      <c r="Y180" s="5"/>
      <c r="Z180" s="7"/>
      <c r="AA180" s="5"/>
      <c r="AB180" s="5"/>
      <c r="AC180" s="5"/>
      <c r="AD180" s="5"/>
      <c r="AE180" s="5"/>
      <c r="AF180" s="5"/>
      <c r="AG180" s="5"/>
      <c r="AH180" s="5"/>
      <c r="AI180" s="5"/>
    </row>
    <row r="181" spans="1:35" ht="1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104"/>
      <c r="V181" s="5"/>
      <c r="W181" s="5"/>
      <c r="X181" s="5"/>
      <c r="Y181" s="5"/>
      <c r="Z181" s="7"/>
      <c r="AA181" s="5"/>
      <c r="AB181" s="5"/>
      <c r="AC181" s="5"/>
      <c r="AD181" s="5"/>
      <c r="AE181" s="5"/>
      <c r="AF181" s="5"/>
      <c r="AG181" s="5"/>
      <c r="AH181" s="5"/>
      <c r="AI181" s="5"/>
    </row>
    <row r="182" spans="1:35" ht="1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104"/>
      <c r="V182" s="5"/>
      <c r="W182" s="5"/>
      <c r="X182" s="5"/>
      <c r="Y182" s="5"/>
      <c r="Z182" s="7"/>
      <c r="AA182" s="5"/>
      <c r="AB182" s="5"/>
      <c r="AC182" s="5"/>
      <c r="AD182" s="5"/>
      <c r="AE182" s="5"/>
      <c r="AF182" s="5"/>
      <c r="AG182" s="5"/>
      <c r="AH182" s="5"/>
      <c r="AI182" s="5"/>
    </row>
    <row r="183" spans="1:35" ht="1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104"/>
      <c r="V183" s="5"/>
      <c r="W183" s="5"/>
      <c r="X183" s="5"/>
      <c r="Y183" s="5"/>
      <c r="Z183" s="7"/>
      <c r="AA183" s="5"/>
      <c r="AB183" s="5"/>
      <c r="AC183" s="5"/>
      <c r="AD183" s="5"/>
      <c r="AE183" s="5"/>
      <c r="AF183" s="5"/>
      <c r="AG183" s="5"/>
      <c r="AH183" s="5"/>
      <c r="AI183" s="5"/>
    </row>
    <row r="184" spans="1:35" ht="1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104"/>
      <c r="V184" s="5"/>
      <c r="W184" s="5"/>
      <c r="X184" s="5"/>
      <c r="Y184" s="5"/>
      <c r="Z184" s="7"/>
      <c r="AA184" s="5"/>
      <c r="AB184" s="5"/>
      <c r="AC184" s="5"/>
      <c r="AD184" s="5"/>
      <c r="AE184" s="5"/>
      <c r="AF184" s="5"/>
      <c r="AG184" s="5"/>
      <c r="AH184" s="5"/>
      <c r="AI184" s="5"/>
    </row>
    <row r="185" spans="1:35" ht="1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104"/>
      <c r="V185" s="5"/>
      <c r="W185" s="5"/>
      <c r="X185" s="5"/>
      <c r="Y185" s="5"/>
      <c r="Z185" s="7"/>
      <c r="AA185" s="5"/>
      <c r="AB185" s="5"/>
      <c r="AC185" s="5"/>
      <c r="AD185" s="5"/>
      <c r="AE185" s="5"/>
      <c r="AF185" s="5"/>
      <c r="AG185" s="5"/>
      <c r="AH185" s="5"/>
      <c r="AI185" s="5"/>
    </row>
    <row r="186" spans="1:35" ht="1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104"/>
      <c r="V186" s="5"/>
      <c r="W186" s="5"/>
      <c r="X186" s="5"/>
      <c r="Y186" s="5"/>
      <c r="Z186" s="7"/>
      <c r="AA186" s="5"/>
      <c r="AB186" s="5"/>
      <c r="AC186" s="5"/>
      <c r="AD186" s="5"/>
      <c r="AE186" s="5"/>
      <c r="AF186" s="5"/>
      <c r="AG186" s="5"/>
      <c r="AH186" s="5"/>
      <c r="AI186" s="5"/>
    </row>
    <row r="187" spans="1:35" ht="1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104"/>
      <c r="V187" s="5"/>
      <c r="W187" s="5"/>
      <c r="X187" s="5"/>
      <c r="Y187" s="5"/>
      <c r="Z187" s="7"/>
      <c r="AA187" s="5"/>
      <c r="AB187" s="5"/>
      <c r="AC187" s="5"/>
      <c r="AD187" s="5"/>
      <c r="AE187" s="5"/>
      <c r="AF187" s="5"/>
      <c r="AG187" s="5"/>
      <c r="AH187" s="5"/>
      <c r="AI187" s="5"/>
    </row>
    <row r="188" spans="1:35" ht="1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104"/>
      <c r="V188" s="5"/>
      <c r="W188" s="5"/>
      <c r="X188" s="5"/>
      <c r="Y188" s="5"/>
      <c r="Z188" s="7"/>
      <c r="AA188" s="5"/>
      <c r="AB188" s="5"/>
      <c r="AC188" s="5"/>
      <c r="AD188" s="5"/>
      <c r="AE188" s="5"/>
      <c r="AF188" s="5"/>
      <c r="AG188" s="5"/>
      <c r="AH188" s="5"/>
      <c r="AI188" s="5"/>
    </row>
    <row r="189" spans="1:35" ht="1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104"/>
      <c r="V189" s="5"/>
      <c r="W189" s="5"/>
      <c r="X189" s="5"/>
      <c r="Y189" s="5"/>
      <c r="Z189" s="7"/>
      <c r="AA189" s="5"/>
      <c r="AB189" s="5"/>
      <c r="AC189" s="5"/>
      <c r="AD189" s="5"/>
      <c r="AE189" s="5"/>
      <c r="AF189" s="5"/>
      <c r="AG189" s="5"/>
      <c r="AH189" s="5"/>
      <c r="AI189" s="5"/>
    </row>
    <row r="190" spans="1:35" ht="1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104"/>
      <c r="V190" s="5"/>
      <c r="W190" s="5"/>
      <c r="X190" s="5"/>
      <c r="Y190" s="5"/>
      <c r="Z190" s="7"/>
      <c r="AA190" s="5"/>
      <c r="AB190" s="5"/>
      <c r="AC190" s="5"/>
      <c r="AD190" s="5"/>
      <c r="AE190" s="5"/>
      <c r="AF190" s="5"/>
      <c r="AG190" s="5"/>
      <c r="AH190" s="5"/>
      <c r="AI190" s="5"/>
    </row>
    <row r="191" spans="1:35" ht="1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104"/>
      <c r="V191" s="5"/>
      <c r="W191" s="5"/>
      <c r="X191" s="5"/>
      <c r="Y191" s="5"/>
      <c r="Z191" s="7"/>
      <c r="AA191" s="5"/>
      <c r="AB191" s="5"/>
      <c r="AC191" s="5"/>
      <c r="AD191" s="5"/>
      <c r="AE191" s="5"/>
      <c r="AF191" s="5"/>
      <c r="AG191" s="5"/>
      <c r="AH191" s="5"/>
      <c r="AI191" s="5"/>
    </row>
    <row r="192" spans="1:35" ht="1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104"/>
      <c r="V192" s="5"/>
      <c r="W192" s="5"/>
      <c r="X192" s="5"/>
      <c r="Y192" s="5"/>
      <c r="Z192" s="7"/>
      <c r="AA192" s="5"/>
      <c r="AB192" s="5"/>
      <c r="AC192" s="5"/>
      <c r="AD192" s="5"/>
      <c r="AE192" s="5"/>
      <c r="AF192" s="5"/>
      <c r="AG192" s="5"/>
      <c r="AH192" s="5"/>
      <c r="AI192" s="5"/>
    </row>
    <row r="193" spans="1:35" ht="1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104"/>
      <c r="V193" s="5"/>
      <c r="W193" s="5"/>
      <c r="X193" s="5"/>
      <c r="Y193" s="5"/>
      <c r="Z193" s="7"/>
      <c r="AA193" s="5"/>
      <c r="AB193" s="5"/>
      <c r="AC193" s="5"/>
      <c r="AD193" s="5"/>
      <c r="AE193" s="5"/>
      <c r="AF193" s="5"/>
      <c r="AG193" s="5"/>
      <c r="AH193" s="5"/>
      <c r="AI193" s="5"/>
    </row>
    <row r="194" spans="1:35" ht="1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104"/>
      <c r="V194" s="5"/>
      <c r="W194" s="5"/>
      <c r="X194" s="5"/>
      <c r="Y194" s="5"/>
      <c r="Z194" s="7"/>
      <c r="AA194" s="5"/>
      <c r="AB194" s="5"/>
      <c r="AC194" s="5"/>
      <c r="AD194" s="5"/>
      <c r="AE194" s="5"/>
      <c r="AF194" s="5"/>
      <c r="AG194" s="5"/>
      <c r="AH194" s="5"/>
      <c r="AI194" s="5"/>
    </row>
    <row r="195" spans="1:35" ht="1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104"/>
      <c r="V195" s="5"/>
      <c r="W195" s="5"/>
      <c r="X195" s="5"/>
      <c r="Y195" s="5"/>
      <c r="Z195" s="7"/>
      <c r="AA195" s="5"/>
      <c r="AB195" s="5"/>
      <c r="AC195" s="5"/>
      <c r="AD195" s="5"/>
      <c r="AE195" s="5"/>
      <c r="AF195" s="5"/>
      <c r="AG195" s="5"/>
      <c r="AH195" s="5"/>
      <c r="AI195" s="5"/>
    </row>
    <row r="196" spans="1:35" ht="1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104"/>
      <c r="V196" s="5"/>
      <c r="W196" s="5"/>
      <c r="X196" s="5"/>
      <c r="Y196" s="5"/>
      <c r="Z196" s="7"/>
      <c r="AA196" s="5"/>
      <c r="AB196" s="5"/>
      <c r="AC196" s="5"/>
      <c r="AD196" s="5"/>
      <c r="AE196" s="5"/>
      <c r="AF196" s="5"/>
      <c r="AG196" s="5"/>
      <c r="AH196" s="5"/>
      <c r="AI196" s="5"/>
    </row>
    <row r="197" spans="1:35" ht="1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104"/>
      <c r="V197" s="5"/>
      <c r="W197" s="5"/>
      <c r="X197" s="5"/>
      <c r="Y197" s="5"/>
      <c r="Z197" s="7"/>
      <c r="AA197" s="5"/>
      <c r="AB197" s="5"/>
      <c r="AC197" s="5"/>
      <c r="AD197" s="5"/>
      <c r="AE197" s="5"/>
      <c r="AF197" s="5"/>
      <c r="AG197" s="5"/>
      <c r="AH197" s="5"/>
      <c r="AI197" s="5"/>
    </row>
    <row r="198" spans="1:35" ht="1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104"/>
      <c r="V198" s="5"/>
      <c r="W198" s="5"/>
      <c r="X198" s="5"/>
      <c r="Y198" s="5"/>
      <c r="Z198" s="7"/>
      <c r="AA198" s="5"/>
      <c r="AB198" s="5"/>
      <c r="AC198" s="5"/>
      <c r="AD198" s="5"/>
      <c r="AE198" s="5"/>
      <c r="AF198" s="5"/>
      <c r="AG198" s="5"/>
      <c r="AH198" s="5"/>
      <c r="AI198" s="5"/>
    </row>
    <row r="199" spans="1:35" ht="1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104"/>
      <c r="V199" s="5"/>
      <c r="W199" s="5"/>
      <c r="X199" s="5"/>
      <c r="Y199" s="5"/>
      <c r="Z199" s="7"/>
      <c r="AA199" s="5"/>
      <c r="AB199" s="5"/>
      <c r="AC199" s="5"/>
      <c r="AD199" s="5"/>
      <c r="AE199" s="5"/>
      <c r="AF199" s="5"/>
      <c r="AG199" s="5"/>
      <c r="AH199" s="5"/>
      <c r="AI199" s="5"/>
    </row>
    <row r="200" spans="1:35" ht="1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104"/>
      <c r="V200" s="5"/>
      <c r="W200" s="5"/>
      <c r="X200" s="5"/>
      <c r="Y200" s="5"/>
      <c r="Z200" s="7"/>
      <c r="AA200" s="5"/>
      <c r="AB200" s="5"/>
      <c r="AC200" s="5"/>
      <c r="AD200" s="5"/>
      <c r="AE200" s="5"/>
      <c r="AF200" s="5"/>
      <c r="AG200" s="5"/>
      <c r="AH200" s="5"/>
      <c r="AI200" s="5"/>
    </row>
    <row r="201" spans="1:35" ht="1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104"/>
      <c r="V201" s="5"/>
      <c r="W201" s="5"/>
      <c r="X201" s="5"/>
      <c r="Y201" s="5"/>
      <c r="Z201" s="7"/>
      <c r="AA201" s="5"/>
      <c r="AB201" s="5"/>
      <c r="AC201" s="5"/>
      <c r="AD201" s="5"/>
      <c r="AE201" s="5"/>
      <c r="AF201" s="5"/>
      <c r="AG201" s="5"/>
      <c r="AH201" s="5"/>
      <c r="AI201" s="5"/>
    </row>
    <row r="202" spans="1:35" ht="1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104"/>
      <c r="V202" s="5"/>
      <c r="W202" s="5"/>
      <c r="X202" s="5"/>
      <c r="Y202" s="5"/>
      <c r="Z202" s="7"/>
      <c r="AA202" s="5"/>
      <c r="AB202" s="5"/>
      <c r="AC202" s="5"/>
      <c r="AD202" s="5"/>
      <c r="AE202" s="5"/>
      <c r="AF202" s="5"/>
      <c r="AG202" s="5"/>
      <c r="AH202" s="5"/>
      <c r="AI202" s="5"/>
    </row>
    <row r="203" spans="1:35" ht="1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104"/>
      <c r="V203" s="5"/>
      <c r="W203" s="5"/>
      <c r="X203" s="5"/>
      <c r="Y203" s="5"/>
      <c r="Z203" s="7"/>
      <c r="AA203" s="5"/>
      <c r="AB203" s="5"/>
      <c r="AC203" s="5"/>
      <c r="AD203" s="5"/>
      <c r="AE203" s="5"/>
      <c r="AF203" s="5"/>
      <c r="AG203" s="5"/>
      <c r="AH203" s="5"/>
      <c r="AI203" s="5"/>
    </row>
    <row r="204" spans="1:35" ht="1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104"/>
      <c r="V204" s="5"/>
      <c r="W204" s="5"/>
      <c r="X204" s="5"/>
      <c r="Y204" s="5"/>
      <c r="Z204" s="7"/>
      <c r="AA204" s="5"/>
      <c r="AB204" s="5"/>
      <c r="AC204" s="5"/>
      <c r="AD204" s="5"/>
      <c r="AE204" s="5"/>
      <c r="AF204" s="5"/>
      <c r="AG204" s="5"/>
      <c r="AH204" s="5"/>
      <c r="AI204" s="5"/>
    </row>
    <row r="205" spans="1:35" ht="1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104"/>
      <c r="V205" s="5"/>
      <c r="W205" s="5"/>
      <c r="X205" s="5"/>
      <c r="Y205" s="5"/>
      <c r="Z205" s="7"/>
      <c r="AA205" s="5"/>
      <c r="AB205" s="5"/>
      <c r="AC205" s="5"/>
      <c r="AD205" s="5"/>
      <c r="AE205" s="5"/>
      <c r="AF205" s="5"/>
      <c r="AG205" s="5"/>
      <c r="AH205" s="5"/>
      <c r="AI205" s="5"/>
    </row>
    <row r="206" spans="1:35" ht="1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104"/>
      <c r="V206" s="5"/>
      <c r="W206" s="5"/>
      <c r="X206" s="5"/>
      <c r="Y206" s="5"/>
      <c r="Z206" s="7"/>
      <c r="AA206" s="5"/>
      <c r="AB206" s="5"/>
      <c r="AC206" s="5"/>
      <c r="AD206" s="5"/>
      <c r="AE206" s="5"/>
      <c r="AF206" s="5"/>
      <c r="AG206" s="5"/>
      <c r="AH206" s="5"/>
      <c r="AI206" s="5"/>
    </row>
    <row r="207" spans="1:35" ht="1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104"/>
      <c r="V207" s="5"/>
      <c r="W207" s="5"/>
      <c r="X207" s="5"/>
      <c r="Y207" s="5"/>
      <c r="Z207" s="7"/>
      <c r="AA207" s="5"/>
      <c r="AB207" s="5"/>
      <c r="AC207" s="5"/>
      <c r="AD207" s="5"/>
      <c r="AE207" s="5"/>
      <c r="AF207" s="5"/>
      <c r="AG207" s="5"/>
      <c r="AH207" s="5"/>
      <c r="AI207" s="5"/>
    </row>
    <row r="208" spans="1:35" ht="1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104"/>
      <c r="V208" s="5"/>
      <c r="W208" s="5"/>
      <c r="X208" s="5"/>
      <c r="Y208" s="5"/>
      <c r="Z208" s="7"/>
      <c r="AA208" s="5"/>
      <c r="AB208" s="5"/>
      <c r="AC208" s="5"/>
      <c r="AD208" s="5"/>
      <c r="AE208" s="5"/>
      <c r="AF208" s="5"/>
      <c r="AG208" s="5"/>
      <c r="AH208" s="5"/>
      <c r="AI208" s="5"/>
    </row>
    <row r="209" spans="1:35" ht="1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104"/>
      <c r="V209" s="5"/>
      <c r="W209" s="5"/>
      <c r="X209" s="5"/>
      <c r="Y209" s="5"/>
      <c r="Z209" s="7"/>
      <c r="AA209" s="5"/>
      <c r="AB209" s="5"/>
      <c r="AC209" s="5"/>
      <c r="AD209" s="5"/>
      <c r="AE209" s="5"/>
      <c r="AF209" s="5"/>
      <c r="AG209" s="5"/>
      <c r="AH209" s="5"/>
      <c r="AI209" s="5"/>
    </row>
    <row r="210" spans="1:35" ht="1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104"/>
      <c r="V210" s="5"/>
      <c r="W210" s="5"/>
      <c r="X210" s="5"/>
      <c r="Y210" s="5"/>
      <c r="Z210" s="7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 ht="1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104"/>
      <c r="V211" s="5"/>
      <c r="W211" s="5"/>
      <c r="X211" s="5"/>
      <c r="Y211" s="5"/>
      <c r="Z211" s="7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 ht="1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104"/>
      <c r="V212" s="5"/>
      <c r="W212" s="5"/>
      <c r="X212" s="5"/>
      <c r="Y212" s="5"/>
      <c r="Z212" s="7"/>
      <c r="AA212" s="5"/>
      <c r="AB212" s="5"/>
      <c r="AC212" s="5"/>
      <c r="AD212" s="5"/>
      <c r="AE212" s="5"/>
      <c r="AF212" s="5"/>
      <c r="AG212" s="5"/>
      <c r="AH212" s="5"/>
      <c r="AI212" s="5"/>
    </row>
    <row r="213" spans="1:35" ht="1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104"/>
      <c r="V213" s="5"/>
      <c r="W213" s="5"/>
      <c r="X213" s="5"/>
      <c r="Y213" s="5"/>
      <c r="Z213" s="7"/>
      <c r="AA213" s="5"/>
      <c r="AB213" s="5"/>
      <c r="AC213" s="5"/>
      <c r="AD213" s="5"/>
      <c r="AE213" s="5"/>
      <c r="AF213" s="5"/>
      <c r="AG213" s="5"/>
      <c r="AH213" s="5"/>
      <c r="AI213" s="5"/>
    </row>
    <row r="214" spans="1:35" ht="1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104"/>
      <c r="V214" s="5"/>
      <c r="W214" s="5"/>
      <c r="X214" s="5"/>
      <c r="Y214" s="5"/>
      <c r="Z214" s="7"/>
      <c r="AA214" s="5"/>
      <c r="AB214" s="5"/>
      <c r="AC214" s="5"/>
      <c r="AD214" s="5"/>
      <c r="AE214" s="5"/>
      <c r="AF214" s="5"/>
      <c r="AG214" s="5"/>
      <c r="AH214" s="5"/>
      <c r="AI214" s="5"/>
    </row>
    <row r="215" spans="1:35" ht="1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104"/>
      <c r="V215" s="5"/>
      <c r="W215" s="5"/>
      <c r="X215" s="5"/>
      <c r="Y215" s="5"/>
      <c r="Z215" s="7"/>
      <c r="AA215" s="5"/>
      <c r="AB215" s="5"/>
      <c r="AC215" s="5"/>
      <c r="AD215" s="5"/>
      <c r="AE215" s="5"/>
      <c r="AF215" s="5"/>
      <c r="AG215" s="5"/>
      <c r="AH215" s="5"/>
      <c r="AI215" s="5"/>
    </row>
    <row r="216" spans="1:35" ht="1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104"/>
      <c r="V216" s="5"/>
      <c r="W216" s="5"/>
      <c r="X216" s="5"/>
      <c r="Y216" s="5"/>
      <c r="Z216" s="7"/>
      <c r="AA216" s="5"/>
      <c r="AB216" s="5"/>
      <c r="AC216" s="5"/>
      <c r="AD216" s="5"/>
      <c r="AE216" s="5"/>
      <c r="AF216" s="5"/>
      <c r="AG216" s="5"/>
      <c r="AH216" s="5"/>
      <c r="AI216" s="5"/>
    </row>
    <row r="217" spans="1:35" ht="1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104"/>
      <c r="V217" s="5"/>
      <c r="W217" s="5"/>
      <c r="X217" s="5"/>
      <c r="Y217" s="5"/>
      <c r="Z217" s="7"/>
      <c r="AA217" s="5"/>
      <c r="AB217" s="5"/>
      <c r="AC217" s="5"/>
      <c r="AD217" s="5"/>
      <c r="AE217" s="5"/>
      <c r="AF217" s="5"/>
      <c r="AG217" s="5"/>
      <c r="AH217" s="5"/>
      <c r="AI217" s="5"/>
    </row>
    <row r="218" spans="1:35" ht="1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104"/>
      <c r="V218" s="5"/>
      <c r="W218" s="5"/>
      <c r="X218" s="5"/>
      <c r="Y218" s="5"/>
      <c r="Z218" s="7"/>
      <c r="AA218" s="5"/>
      <c r="AB218" s="5"/>
      <c r="AC218" s="5"/>
      <c r="AD218" s="5"/>
      <c r="AE218" s="5"/>
      <c r="AF218" s="5"/>
      <c r="AG218" s="5"/>
      <c r="AH218" s="5"/>
      <c r="AI218" s="5"/>
    </row>
    <row r="219" spans="1:35" ht="1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104"/>
      <c r="V219" s="5"/>
      <c r="W219" s="5"/>
      <c r="X219" s="5"/>
      <c r="Y219" s="5"/>
      <c r="Z219" s="7"/>
      <c r="AA219" s="5"/>
      <c r="AB219" s="5"/>
      <c r="AC219" s="5"/>
      <c r="AD219" s="5"/>
      <c r="AE219" s="5"/>
      <c r="AF219" s="5"/>
      <c r="AG219" s="5"/>
      <c r="AH219" s="5"/>
      <c r="AI219" s="5"/>
    </row>
    <row r="220" spans="1:35" ht="1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104"/>
      <c r="V220" s="5"/>
      <c r="W220" s="5"/>
      <c r="X220" s="5"/>
      <c r="Y220" s="5"/>
      <c r="Z220" s="7"/>
      <c r="AA220" s="5"/>
      <c r="AB220" s="5"/>
      <c r="AC220" s="5"/>
      <c r="AD220" s="5"/>
      <c r="AE220" s="5"/>
      <c r="AF220" s="5"/>
      <c r="AG220" s="5"/>
      <c r="AH220" s="5"/>
      <c r="AI220" s="5"/>
    </row>
    <row r="221" spans="1:35" ht="1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104"/>
      <c r="V221" s="5"/>
      <c r="W221" s="5"/>
      <c r="X221" s="5"/>
      <c r="Y221" s="5"/>
      <c r="Z221" s="7"/>
      <c r="AA221" s="5"/>
      <c r="AB221" s="5"/>
      <c r="AC221" s="5"/>
      <c r="AD221" s="5"/>
      <c r="AE221" s="5"/>
      <c r="AF221" s="5"/>
      <c r="AG221" s="5"/>
      <c r="AH221" s="5"/>
      <c r="AI221" s="5"/>
    </row>
    <row r="222" spans="1:35" ht="1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104"/>
      <c r="V222" s="5"/>
      <c r="W222" s="5"/>
      <c r="X222" s="5"/>
      <c r="Y222" s="5"/>
      <c r="Z222" s="7"/>
      <c r="AA222" s="5"/>
      <c r="AB222" s="5"/>
      <c r="AC222" s="5"/>
      <c r="AD222" s="5"/>
      <c r="AE222" s="5"/>
      <c r="AF222" s="5"/>
      <c r="AG222" s="5"/>
      <c r="AH222" s="5"/>
      <c r="AI222" s="5"/>
    </row>
    <row r="223" spans="1:35" ht="1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104"/>
      <c r="V223" s="5"/>
      <c r="W223" s="5"/>
      <c r="X223" s="5"/>
      <c r="Y223" s="5"/>
      <c r="Z223" s="7"/>
      <c r="AA223" s="5"/>
      <c r="AB223" s="5"/>
      <c r="AC223" s="5"/>
      <c r="AD223" s="5"/>
      <c r="AE223" s="5"/>
      <c r="AF223" s="5"/>
      <c r="AG223" s="5"/>
      <c r="AH223" s="5"/>
      <c r="AI223" s="5"/>
    </row>
    <row r="224" spans="1:35" ht="1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104"/>
      <c r="V224" s="5"/>
      <c r="W224" s="5"/>
      <c r="X224" s="5"/>
      <c r="Y224" s="5"/>
      <c r="Z224" s="7"/>
      <c r="AA224" s="5"/>
      <c r="AB224" s="5"/>
      <c r="AC224" s="5"/>
      <c r="AD224" s="5"/>
      <c r="AE224" s="5"/>
      <c r="AF224" s="5"/>
      <c r="AG224" s="5"/>
      <c r="AH224" s="5"/>
      <c r="AI224" s="5"/>
    </row>
    <row r="225" spans="1:35" ht="1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104"/>
      <c r="V225" s="5"/>
      <c r="W225" s="5"/>
      <c r="X225" s="5"/>
      <c r="Y225" s="5"/>
      <c r="Z225" s="7"/>
      <c r="AA225" s="5"/>
      <c r="AB225" s="5"/>
      <c r="AC225" s="5"/>
      <c r="AD225" s="5"/>
      <c r="AE225" s="5"/>
      <c r="AF225" s="5"/>
      <c r="AG225" s="5"/>
      <c r="AH225" s="5"/>
      <c r="AI225" s="5"/>
    </row>
    <row r="226" spans="1:35" ht="1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104"/>
      <c r="V226" s="5"/>
      <c r="W226" s="5"/>
      <c r="X226" s="5"/>
      <c r="Y226" s="5"/>
      <c r="Z226" s="7"/>
      <c r="AA226" s="5"/>
      <c r="AB226" s="5"/>
      <c r="AC226" s="5"/>
      <c r="AD226" s="5"/>
      <c r="AE226" s="5"/>
      <c r="AF226" s="5"/>
      <c r="AG226" s="5"/>
      <c r="AH226" s="5"/>
      <c r="AI226" s="5"/>
    </row>
    <row r="227" spans="1:35" ht="1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104"/>
      <c r="V227" s="5"/>
      <c r="W227" s="5"/>
      <c r="X227" s="5"/>
      <c r="Y227" s="5"/>
      <c r="Z227" s="7"/>
      <c r="AA227" s="5"/>
      <c r="AB227" s="5"/>
      <c r="AC227" s="5"/>
      <c r="AD227" s="5"/>
      <c r="AE227" s="5"/>
      <c r="AF227" s="5"/>
      <c r="AG227" s="5"/>
      <c r="AH227" s="5"/>
      <c r="AI227" s="5"/>
    </row>
    <row r="228" spans="1:35" ht="1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104"/>
      <c r="V228" s="5"/>
      <c r="W228" s="5"/>
      <c r="X228" s="5"/>
      <c r="Y228" s="5"/>
      <c r="Z228" s="7"/>
      <c r="AA228" s="5"/>
      <c r="AB228" s="5"/>
      <c r="AC228" s="5"/>
      <c r="AD228" s="5"/>
      <c r="AE228" s="5"/>
      <c r="AF228" s="5"/>
      <c r="AG228" s="5"/>
      <c r="AH228" s="5"/>
      <c r="AI228" s="5"/>
    </row>
    <row r="229" spans="1:35" ht="1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104"/>
      <c r="V229" s="5"/>
      <c r="W229" s="5"/>
      <c r="X229" s="5"/>
      <c r="Y229" s="5"/>
      <c r="Z229" s="7"/>
      <c r="AA229" s="5"/>
      <c r="AB229" s="5"/>
      <c r="AC229" s="5"/>
      <c r="AD229" s="5"/>
      <c r="AE229" s="5"/>
      <c r="AF229" s="5"/>
      <c r="AG229" s="5"/>
      <c r="AH229" s="5"/>
      <c r="AI229" s="5"/>
    </row>
    <row r="230" spans="1:35" ht="1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104"/>
      <c r="V230" s="5"/>
      <c r="W230" s="5"/>
      <c r="X230" s="5"/>
      <c r="Y230" s="5"/>
      <c r="Z230" s="7"/>
      <c r="AA230" s="5"/>
      <c r="AB230" s="5"/>
      <c r="AC230" s="5"/>
      <c r="AD230" s="5"/>
      <c r="AE230" s="5"/>
      <c r="AF230" s="5"/>
      <c r="AG230" s="5"/>
      <c r="AH230" s="5"/>
      <c r="AI230" s="5"/>
    </row>
    <row r="231" spans="1:35" ht="1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104"/>
      <c r="V231" s="5"/>
      <c r="W231" s="5"/>
      <c r="X231" s="5"/>
      <c r="Y231" s="5"/>
      <c r="Z231" s="7"/>
      <c r="AA231" s="5"/>
      <c r="AB231" s="5"/>
      <c r="AC231" s="5"/>
      <c r="AD231" s="5"/>
      <c r="AE231" s="5"/>
      <c r="AF231" s="5"/>
      <c r="AG231" s="5"/>
      <c r="AH231" s="5"/>
      <c r="AI231" s="5"/>
    </row>
    <row r="232" spans="1:35" ht="1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104"/>
      <c r="V232" s="5"/>
      <c r="W232" s="5"/>
      <c r="X232" s="5"/>
      <c r="Y232" s="5"/>
      <c r="Z232" s="7"/>
      <c r="AA232" s="5"/>
      <c r="AB232" s="5"/>
      <c r="AC232" s="5"/>
      <c r="AD232" s="5"/>
      <c r="AE232" s="5"/>
      <c r="AF232" s="5"/>
      <c r="AG232" s="5"/>
      <c r="AH232" s="5"/>
      <c r="AI232" s="5"/>
    </row>
    <row r="233" spans="1:35" ht="1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104"/>
      <c r="V233" s="5"/>
      <c r="W233" s="5"/>
      <c r="X233" s="5"/>
      <c r="Y233" s="5"/>
      <c r="Z233" s="7"/>
      <c r="AA233" s="5"/>
      <c r="AB233" s="5"/>
      <c r="AC233" s="5"/>
      <c r="AD233" s="5"/>
      <c r="AE233" s="5"/>
      <c r="AF233" s="5"/>
      <c r="AG233" s="5"/>
      <c r="AH233" s="5"/>
      <c r="AI233" s="5"/>
    </row>
    <row r="234" spans="1:35" ht="1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104"/>
      <c r="V234" s="5"/>
      <c r="W234" s="5"/>
      <c r="X234" s="5"/>
      <c r="Y234" s="5"/>
      <c r="Z234" s="7"/>
      <c r="AA234" s="5"/>
      <c r="AB234" s="5"/>
      <c r="AC234" s="5"/>
      <c r="AD234" s="5"/>
      <c r="AE234" s="5"/>
      <c r="AF234" s="5"/>
      <c r="AG234" s="5"/>
      <c r="AH234" s="5"/>
      <c r="AI234" s="5"/>
    </row>
    <row r="235" spans="1:35" ht="1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104"/>
      <c r="V235" s="5"/>
      <c r="W235" s="5"/>
      <c r="X235" s="5"/>
      <c r="Y235" s="5"/>
      <c r="Z235" s="7"/>
      <c r="AA235" s="5"/>
      <c r="AB235" s="5"/>
      <c r="AC235" s="5"/>
      <c r="AD235" s="5"/>
      <c r="AE235" s="5"/>
      <c r="AF235" s="5"/>
      <c r="AG235" s="5"/>
      <c r="AH235" s="5"/>
      <c r="AI235" s="5"/>
    </row>
    <row r="236" spans="1:35" ht="1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104"/>
      <c r="V236" s="5"/>
      <c r="W236" s="5"/>
      <c r="X236" s="5"/>
      <c r="Y236" s="5"/>
      <c r="Z236" s="7"/>
      <c r="AA236" s="5"/>
      <c r="AB236" s="5"/>
      <c r="AC236" s="5"/>
      <c r="AD236" s="5"/>
      <c r="AE236" s="5"/>
      <c r="AF236" s="5"/>
      <c r="AG236" s="5"/>
      <c r="AH236" s="5"/>
      <c r="AI236" s="5"/>
    </row>
    <row r="237" spans="1:35" ht="1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104"/>
      <c r="V237" s="5"/>
      <c r="W237" s="5"/>
      <c r="X237" s="5"/>
      <c r="Y237" s="5"/>
      <c r="Z237" s="7"/>
      <c r="AA237" s="5"/>
      <c r="AB237" s="5"/>
      <c r="AC237" s="5"/>
      <c r="AD237" s="5"/>
      <c r="AE237" s="5"/>
      <c r="AF237" s="5"/>
      <c r="AG237" s="5"/>
      <c r="AH237" s="5"/>
      <c r="AI237" s="5"/>
    </row>
    <row r="238" spans="1:35" ht="1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104"/>
      <c r="V238" s="5"/>
      <c r="W238" s="5"/>
      <c r="X238" s="5"/>
      <c r="Y238" s="5"/>
      <c r="Z238" s="7"/>
      <c r="AA238" s="5"/>
      <c r="AB238" s="5"/>
      <c r="AC238" s="5"/>
      <c r="AD238" s="5"/>
      <c r="AE238" s="5"/>
      <c r="AF238" s="5"/>
      <c r="AG238" s="5"/>
      <c r="AH238" s="5"/>
      <c r="AI238" s="5"/>
    </row>
    <row r="239" spans="1:35" ht="1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104"/>
      <c r="V239" s="5"/>
      <c r="W239" s="5"/>
      <c r="X239" s="5"/>
      <c r="Y239" s="5"/>
      <c r="Z239" s="7"/>
      <c r="AA239" s="5"/>
      <c r="AB239" s="5"/>
      <c r="AC239" s="5"/>
      <c r="AD239" s="5"/>
      <c r="AE239" s="5"/>
      <c r="AF239" s="5"/>
      <c r="AG239" s="5"/>
      <c r="AH239" s="5"/>
      <c r="AI239" s="5"/>
    </row>
    <row r="240" spans="1:35" ht="1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104"/>
      <c r="V240" s="5"/>
      <c r="W240" s="5"/>
      <c r="X240" s="5"/>
      <c r="Y240" s="5"/>
      <c r="Z240" s="7"/>
      <c r="AA240" s="5"/>
      <c r="AB240" s="5"/>
      <c r="AC240" s="5"/>
      <c r="AD240" s="5"/>
      <c r="AE240" s="5"/>
      <c r="AF240" s="5"/>
      <c r="AG240" s="5"/>
      <c r="AH240" s="5"/>
      <c r="AI240" s="5"/>
    </row>
    <row r="241" spans="1:35" ht="1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104"/>
      <c r="V241" s="5"/>
      <c r="W241" s="5"/>
      <c r="X241" s="5"/>
      <c r="Y241" s="5"/>
      <c r="Z241" s="7"/>
      <c r="AA241" s="5"/>
      <c r="AB241" s="5"/>
      <c r="AC241" s="5"/>
      <c r="AD241" s="5"/>
      <c r="AE241" s="5"/>
      <c r="AF241" s="5"/>
      <c r="AG241" s="5"/>
      <c r="AH241" s="5"/>
      <c r="AI241" s="5"/>
    </row>
    <row r="242" spans="1:35" ht="1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104"/>
      <c r="V242" s="5"/>
      <c r="W242" s="5"/>
      <c r="X242" s="5"/>
      <c r="Y242" s="5"/>
      <c r="Z242" s="7"/>
      <c r="AA242" s="5"/>
      <c r="AB242" s="5"/>
      <c r="AC242" s="5"/>
      <c r="AD242" s="5"/>
      <c r="AE242" s="5"/>
      <c r="AF242" s="5"/>
      <c r="AG242" s="5"/>
      <c r="AH242" s="5"/>
      <c r="AI242" s="5"/>
    </row>
    <row r="243" spans="1:35" ht="1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104"/>
      <c r="V243" s="5"/>
      <c r="W243" s="5"/>
      <c r="X243" s="5"/>
      <c r="Y243" s="5"/>
      <c r="Z243" s="7"/>
      <c r="AA243" s="5"/>
      <c r="AB243" s="5"/>
      <c r="AC243" s="5"/>
      <c r="AD243" s="5"/>
      <c r="AE243" s="5"/>
      <c r="AF243" s="5"/>
      <c r="AG243" s="5"/>
      <c r="AH243" s="5"/>
      <c r="AI243" s="5"/>
    </row>
    <row r="244" spans="1:35" ht="1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104"/>
      <c r="V244" s="5"/>
      <c r="W244" s="5"/>
      <c r="X244" s="5"/>
      <c r="Y244" s="5"/>
      <c r="Z244" s="7"/>
      <c r="AA244" s="5"/>
      <c r="AB244" s="5"/>
      <c r="AC244" s="5"/>
      <c r="AD244" s="5"/>
      <c r="AE244" s="5"/>
      <c r="AF244" s="5"/>
      <c r="AG244" s="5"/>
      <c r="AH244" s="5"/>
      <c r="AI244" s="5"/>
    </row>
    <row r="245" spans="1:35" ht="1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104"/>
      <c r="V245" s="5"/>
      <c r="W245" s="5"/>
      <c r="X245" s="5"/>
      <c r="Y245" s="5"/>
      <c r="Z245" s="7"/>
      <c r="AA245" s="5"/>
      <c r="AB245" s="5"/>
      <c r="AC245" s="5"/>
      <c r="AD245" s="5"/>
      <c r="AE245" s="5"/>
      <c r="AF245" s="5"/>
      <c r="AG245" s="5"/>
      <c r="AH245" s="5"/>
      <c r="AI245" s="5"/>
    </row>
    <row r="246" spans="1:35" ht="1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104"/>
      <c r="V246" s="5"/>
      <c r="W246" s="5"/>
      <c r="X246" s="5"/>
      <c r="Y246" s="5"/>
      <c r="Z246" s="7"/>
      <c r="AA246" s="5"/>
      <c r="AB246" s="5"/>
      <c r="AC246" s="5"/>
      <c r="AD246" s="5"/>
      <c r="AE246" s="5"/>
      <c r="AF246" s="5"/>
      <c r="AG246" s="5"/>
      <c r="AH246" s="5"/>
      <c r="AI246" s="5"/>
    </row>
    <row r="247" spans="1:35" ht="1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104"/>
      <c r="V247" s="5"/>
      <c r="W247" s="5"/>
      <c r="X247" s="5"/>
      <c r="Y247" s="5"/>
      <c r="Z247" s="7"/>
      <c r="AA247" s="5"/>
      <c r="AB247" s="5"/>
      <c r="AC247" s="5"/>
      <c r="AD247" s="5"/>
      <c r="AE247" s="5"/>
      <c r="AF247" s="5"/>
      <c r="AG247" s="5"/>
      <c r="AH247" s="5"/>
      <c r="AI247" s="5"/>
    </row>
    <row r="248" spans="1:35" ht="1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104"/>
      <c r="V248" s="5"/>
      <c r="W248" s="5"/>
      <c r="X248" s="5"/>
      <c r="Y248" s="5"/>
      <c r="Z248" s="7"/>
      <c r="AA248" s="5"/>
      <c r="AB248" s="5"/>
      <c r="AC248" s="5"/>
      <c r="AD248" s="5"/>
      <c r="AE248" s="5"/>
      <c r="AF248" s="5"/>
      <c r="AG248" s="5"/>
      <c r="AH248" s="5"/>
      <c r="AI248" s="5"/>
    </row>
    <row r="249" spans="1:35" ht="1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104"/>
      <c r="V249" s="5"/>
      <c r="W249" s="5"/>
      <c r="X249" s="5"/>
      <c r="Y249" s="5"/>
      <c r="Z249" s="7"/>
      <c r="AA249" s="5"/>
      <c r="AB249" s="5"/>
      <c r="AC249" s="5"/>
      <c r="AD249" s="5"/>
      <c r="AE249" s="5"/>
      <c r="AF249" s="5"/>
      <c r="AG249" s="5"/>
      <c r="AH249" s="5"/>
      <c r="AI249" s="5"/>
    </row>
    <row r="250" spans="1:35" ht="1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104"/>
      <c r="V250" s="5"/>
      <c r="W250" s="5"/>
      <c r="X250" s="5"/>
      <c r="Y250" s="5"/>
      <c r="Z250" s="7"/>
      <c r="AA250" s="5"/>
      <c r="AB250" s="5"/>
      <c r="AC250" s="5"/>
      <c r="AD250" s="5"/>
      <c r="AE250" s="5"/>
      <c r="AF250" s="5"/>
      <c r="AG250" s="5"/>
      <c r="AH250" s="5"/>
      <c r="AI250" s="5"/>
    </row>
    <row r="251" spans="1:35" ht="1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104"/>
      <c r="V251" s="5"/>
      <c r="W251" s="5"/>
      <c r="X251" s="5"/>
      <c r="Y251" s="5"/>
      <c r="Z251" s="7"/>
      <c r="AA251" s="5"/>
      <c r="AB251" s="5"/>
      <c r="AC251" s="5"/>
      <c r="AD251" s="5"/>
      <c r="AE251" s="5"/>
      <c r="AF251" s="5"/>
      <c r="AG251" s="5"/>
      <c r="AH251" s="5"/>
      <c r="AI251" s="5"/>
    </row>
    <row r="252" spans="1:35" ht="1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104"/>
      <c r="V252" s="5"/>
      <c r="W252" s="5"/>
      <c r="X252" s="5"/>
      <c r="Y252" s="5"/>
      <c r="Z252" s="7"/>
      <c r="AA252" s="5"/>
      <c r="AB252" s="5"/>
      <c r="AC252" s="5"/>
      <c r="AD252" s="5"/>
      <c r="AE252" s="5"/>
      <c r="AF252" s="5"/>
      <c r="AG252" s="5"/>
      <c r="AH252" s="5"/>
      <c r="AI252" s="5"/>
    </row>
    <row r="253" spans="1:35" ht="1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104"/>
      <c r="V253" s="5"/>
      <c r="W253" s="5"/>
      <c r="X253" s="5"/>
      <c r="Y253" s="5"/>
      <c r="Z253" s="7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 ht="1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104"/>
      <c r="V254" s="5"/>
      <c r="W254" s="5"/>
      <c r="X254" s="5"/>
      <c r="Y254" s="5"/>
      <c r="Z254" s="7"/>
      <c r="AA254" s="5"/>
      <c r="AB254" s="5"/>
      <c r="AC254" s="5"/>
      <c r="AD254" s="5"/>
      <c r="AE254" s="5"/>
      <c r="AF254" s="5"/>
      <c r="AG254" s="5"/>
      <c r="AH254" s="5"/>
      <c r="AI254" s="5"/>
    </row>
    <row r="255" spans="1:35" ht="1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104"/>
      <c r="V255" s="5"/>
      <c r="W255" s="5"/>
      <c r="X255" s="5"/>
      <c r="Y255" s="5"/>
      <c r="Z255" s="7"/>
      <c r="AA255" s="5"/>
      <c r="AB255" s="5"/>
      <c r="AC255" s="5"/>
      <c r="AD255" s="5"/>
      <c r="AE255" s="5"/>
      <c r="AF255" s="5"/>
      <c r="AG255" s="5"/>
      <c r="AH255" s="5"/>
      <c r="AI255" s="5"/>
    </row>
    <row r="256" spans="1:35" ht="15.75" customHeight="1">
      <c r="A256" s="5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5"/>
      <c r="T256" s="5"/>
      <c r="U256" s="104"/>
      <c r="V256" s="5"/>
      <c r="W256" s="5"/>
      <c r="X256" s="5"/>
      <c r="Y256" s="5"/>
      <c r="Z256" s="7"/>
      <c r="AA256" s="5"/>
      <c r="AB256" s="5"/>
      <c r="AC256" s="5"/>
      <c r="AD256" s="5"/>
      <c r="AE256" s="5"/>
      <c r="AF256" s="5"/>
      <c r="AG256" s="5"/>
      <c r="AH256" s="5"/>
      <c r="AI256" s="5"/>
    </row>
    <row r="257" spans="1:35" ht="15.75" customHeight="1">
      <c r="A257" s="5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5"/>
      <c r="T257" s="5"/>
      <c r="U257" s="104"/>
      <c r="V257" s="5"/>
      <c r="W257" s="5"/>
      <c r="X257" s="5"/>
      <c r="Y257" s="5"/>
      <c r="Z257" s="7"/>
      <c r="AA257" s="5"/>
      <c r="AB257" s="5"/>
      <c r="AC257" s="5"/>
      <c r="AD257" s="5"/>
      <c r="AE257" s="5"/>
      <c r="AF257" s="5"/>
      <c r="AG257" s="5"/>
      <c r="AH257" s="5"/>
      <c r="AI257" s="5"/>
    </row>
    <row r="258" spans="1:35" ht="15.75" customHeight="1">
      <c r="A258" s="5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5"/>
      <c r="T258" s="5"/>
      <c r="U258" s="104"/>
      <c r="V258" s="5"/>
      <c r="W258" s="5"/>
      <c r="X258" s="5"/>
      <c r="Y258" s="5"/>
      <c r="Z258" s="7"/>
      <c r="AA258" s="5"/>
      <c r="AB258" s="5"/>
      <c r="AC258" s="5"/>
      <c r="AD258" s="5"/>
      <c r="AE258" s="5"/>
      <c r="AF258" s="5"/>
      <c r="AG258" s="5"/>
      <c r="AH258" s="5"/>
      <c r="AI258" s="5"/>
    </row>
    <row r="259" spans="1:35" ht="15.75" customHeight="1">
      <c r="A259" s="5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5"/>
      <c r="T259" s="5"/>
      <c r="U259" s="104"/>
      <c r="V259" s="5"/>
      <c r="W259" s="5"/>
      <c r="X259" s="5"/>
      <c r="Y259" s="5"/>
      <c r="Z259" s="7"/>
      <c r="AA259" s="5"/>
      <c r="AB259" s="5"/>
      <c r="AC259" s="5"/>
      <c r="AD259" s="5"/>
      <c r="AE259" s="5"/>
      <c r="AF259" s="5"/>
      <c r="AG259" s="5"/>
      <c r="AH259" s="5"/>
      <c r="AI259" s="5"/>
    </row>
    <row r="260" spans="1:35" ht="15.75" customHeight="1">
      <c r="A260" s="5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5"/>
      <c r="T260" s="5"/>
      <c r="U260" s="104"/>
      <c r="V260" s="5"/>
      <c r="W260" s="5"/>
      <c r="X260" s="5"/>
      <c r="Y260" s="5"/>
      <c r="Z260" s="7"/>
      <c r="AA260" s="5"/>
      <c r="AB260" s="5"/>
      <c r="AC260" s="5"/>
      <c r="AD260" s="5"/>
      <c r="AE260" s="5"/>
      <c r="AF260" s="5"/>
      <c r="AG260" s="5"/>
      <c r="AH260" s="5"/>
      <c r="AI260" s="5"/>
    </row>
    <row r="261" spans="1:35" ht="15.75" customHeight="1">
      <c r="A261" s="5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5"/>
      <c r="T261" s="5"/>
      <c r="U261" s="104"/>
      <c r="V261" s="5"/>
      <c r="W261" s="5"/>
      <c r="X261" s="5"/>
      <c r="Y261" s="5"/>
      <c r="Z261" s="7"/>
      <c r="AA261" s="5"/>
      <c r="AB261" s="5"/>
      <c r="AC261" s="5"/>
      <c r="AD261" s="5"/>
      <c r="AE261" s="5"/>
      <c r="AF261" s="5"/>
      <c r="AG261" s="5"/>
      <c r="AH261" s="5"/>
      <c r="AI261" s="5"/>
    </row>
    <row r="262" spans="1:35" ht="15.75" customHeight="1">
      <c r="A262" s="5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5"/>
      <c r="T262" s="5"/>
      <c r="U262" s="104"/>
      <c r="V262" s="5"/>
      <c r="W262" s="5"/>
      <c r="X262" s="5"/>
      <c r="Y262" s="5"/>
      <c r="Z262" s="7"/>
      <c r="AA262" s="5"/>
      <c r="AB262" s="5"/>
      <c r="AC262" s="5"/>
      <c r="AD262" s="5"/>
      <c r="AE262" s="5"/>
      <c r="AF262" s="5"/>
      <c r="AG262" s="5"/>
      <c r="AH262" s="5"/>
      <c r="AI262" s="5"/>
    </row>
    <row r="263" spans="1:35" ht="15.75" customHeight="1">
      <c r="A263" s="5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5"/>
      <c r="T263" s="5"/>
      <c r="U263" s="104"/>
      <c r="V263" s="5"/>
      <c r="W263" s="5"/>
      <c r="X263" s="5"/>
      <c r="Y263" s="5"/>
      <c r="Z263" s="7"/>
      <c r="AA263" s="5"/>
      <c r="AB263" s="5"/>
      <c r="AC263" s="5"/>
      <c r="AD263" s="5"/>
      <c r="AE263" s="5"/>
      <c r="AF263" s="5"/>
      <c r="AG263" s="5"/>
      <c r="AH263" s="5"/>
      <c r="AI263" s="5"/>
    </row>
    <row r="264" spans="1:35" ht="15.75" customHeight="1">
      <c r="A264" s="5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5"/>
      <c r="T264" s="5"/>
      <c r="U264" s="104"/>
      <c r="V264" s="5"/>
      <c r="W264" s="5"/>
      <c r="X264" s="5"/>
      <c r="Y264" s="5"/>
      <c r="Z264" s="7"/>
      <c r="AA264" s="5"/>
      <c r="AB264" s="5"/>
      <c r="AC264" s="5"/>
      <c r="AD264" s="5"/>
      <c r="AE264" s="5"/>
      <c r="AF264" s="5"/>
      <c r="AG264" s="5"/>
      <c r="AH264" s="5"/>
      <c r="AI264" s="5"/>
    </row>
    <row r="265" spans="1:35" ht="15.75" customHeight="1">
      <c r="A265" s="5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5"/>
      <c r="T265" s="5"/>
      <c r="U265" s="104"/>
      <c r="V265" s="5"/>
      <c r="W265" s="5"/>
      <c r="X265" s="5"/>
      <c r="Y265" s="5"/>
      <c r="Z265" s="7"/>
      <c r="AA265" s="5"/>
      <c r="AB265" s="5"/>
      <c r="AC265" s="5"/>
      <c r="AD265" s="5"/>
      <c r="AE265" s="5"/>
      <c r="AF265" s="5"/>
      <c r="AG265" s="5"/>
      <c r="AH265" s="5"/>
      <c r="AI265" s="5"/>
    </row>
    <row r="266" spans="1:35" ht="15.75" customHeight="1">
      <c r="A266" s="5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5"/>
      <c r="T266" s="5"/>
      <c r="U266" s="104"/>
      <c r="V266" s="5"/>
      <c r="W266" s="5"/>
      <c r="X266" s="5"/>
      <c r="Y266" s="5"/>
      <c r="Z266" s="7"/>
      <c r="AA266" s="5"/>
      <c r="AB266" s="5"/>
      <c r="AC266" s="5"/>
      <c r="AD266" s="5"/>
      <c r="AE266" s="5"/>
      <c r="AF266" s="5"/>
      <c r="AG266" s="5"/>
      <c r="AH266" s="5"/>
      <c r="AI266" s="5"/>
    </row>
    <row r="267" spans="1:35" ht="15.75" customHeight="1">
      <c r="A267" s="5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5"/>
      <c r="T267" s="5"/>
      <c r="U267" s="104"/>
      <c r="V267" s="5"/>
      <c r="W267" s="5"/>
      <c r="X267" s="5"/>
      <c r="Y267" s="5"/>
      <c r="Z267" s="7"/>
      <c r="AA267" s="5"/>
      <c r="AB267" s="5"/>
      <c r="AC267" s="5"/>
      <c r="AD267" s="5"/>
      <c r="AE267" s="5"/>
      <c r="AF267" s="5"/>
      <c r="AG267" s="5"/>
      <c r="AH267" s="5"/>
      <c r="AI267" s="5"/>
    </row>
    <row r="268" spans="1:35" ht="15.75" customHeight="1">
      <c r="A268" s="5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5"/>
      <c r="T268" s="5"/>
      <c r="U268" s="104"/>
      <c r="V268" s="5"/>
      <c r="W268" s="5"/>
      <c r="X268" s="5"/>
      <c r="Y268" s="5"/>
      <c r="Z268" s="7"/>
      <c r="AA268" s="5"/>
      <c r="AB268" s="5"/>
      <c r="AC268" s="5"/>
      <c r="AD268" s="5"/>
      <c r="AE268" s="5"/>
      <c r="AF268" s="5"/>
      <c r="AG268" s="5"/>
      <c r="AH268" s="5"/>
      <c r="AI268" s="5"/>
    </row>
    <row r="269" spans="1:35" ht="15.75" customHeight="1">
      <c r="A269" s="5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5"/>
      <c r="T269" s="5"/>
      <c r="U269" s="104"/>
      <c r="V269" s="5"/>
      <c r="W269" s="5"/>
      <c r="X269" s="5"/>
      <c r="Y269" s="5"/>
      <c r="Z269" s="7"/>
      <c r="AA269" s="5"/>
      <c r="AB269" s="5"/>
      <c r="AC269" s="5"/>
      <c r="AD269" s="5"/>
      <c r="AE269" s="5"/>
      <c r="AF269" s="5"/>
      <c r="AG269" s="5"/>
      <c r="AH269" s="5"/>
      <c r="AI269" s="5"/>
    </row>
    <row r="270" spans="1:35" ht="15.75" customHeight="1">
      <c r="A270" s="5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5"/>
      <c r="T270" s="5"/>
      <c r="U270" s="104"/>
      <c r="V270" s="5"/>
      <c r="W270" s="5"/>
      <c r="X270" s="5"/>
      <c r="Y270" s="5"/>
      <c r="Z270" s="7"/>
      <c r="AA270" s="5"/>
      <c r="AB270" s="5"/>
      <c r="AC270" s="5"/>
      <c r="AD270" s="5"/>
      <c r="AE270" s="5"/>
      <c r="AF270" s="5"/>
      <c r="AG270" s="5"/>
      <c r="AH270" s="5"/>
      <c r="AI270" s="5"/>
    </row>
    <row r="271" spans="1:35" ht="15.75" customHeight="1">
      <c r="A271" s="5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5"/>
      <c r="T271" s="5"/>
      <c r="U271" s="104"/>
      <c r="V271" s="5"/>
      <c r="W271" s="5"/>
      <c r="X271" s="5"/>
      <c r="Y271" s="5"/>
      <c r="Z271" s="7"/>
      <c r="AA271" s="5"/>
      <c r="AB271" s="5"/>
      <c r="AC271" s="5"/>
      <c r="AD271" s="5"/>
      <c r="AE271" s="5"/>
      <c r="AF271" s="5"/>
      <c r="AG271" s="5"/>
      <c r="AH271" s="5"/>
      <c r="AI271" s="5"/>
    </row>
    <row r="272" spans="1:35" ht="15.75" customHeight="1">
      <c r="A272" s="5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5"/>
      <c r="T272" s="5"/>
      <c r="U272" s="104"/>
      <c r="V272" s="5"/>
      <c r="W272" s="5"/>
      <c r="X272" s="5"/>
      <c r="Y272" s="5"/>
      <c r="Z272" s="7"/>
      <c r="AA272" s="5"/>
      <c r="AB272" s="5"/>
      <c r="AC272" s="5"/>
      <c r="AD272" s="5"/>
      <c r="AE272" s="5"/>
      <c r="AF272" s="5"/>
      <c r="AG272" s="5"/>
      <c r="AH272" s="5"/>
      <c r="AI272" s="5"/>
    </row>
    <row r="273" spans="1:35" ht="15.75" customHeight="1">
      <c r="A273" s="5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5"/>
      <c r="T273" s="5"/>
      <c r="U273" s="104"/>
      <c r="V273" s="5"/>
      <c r="W273" s="5"/>
      <c r="X273" s="5"/>
      <c r="Y273" s="5"/>
      <c r="Z273" s="7"/>
      <c r="AA273" s="5"/>
      <c r="AB273" s="5"/>
      <c r="AC273" s="5"/>
      <c r="AD273" s="5"/>
      <c r="AE273" s="5"/>
      <c r="AF273" s="5"/>
      <c r="AG273" s="5"/>
      <c r="AH273" s="5"/>
      <c r="AI273" s="5"/>
    </row>
    <row r="274" spans="1:35" ht="15.75" customHeight="1">
      <c r="A274" s="5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5"/>
      <c r="T274" s="5"/>
      <c r="U274" s="104"/>
      <c r="V274" s="5"/>
      <c r="W274" s="5"/>
      <c r="X274" s="5"/>
      <c r="Y274" s="5"/>
      <c r="Z274" s="7"/>
      <c r="AA274" s="5"/>
      <c r="AB274" s="5"/>
      <c r="AC274" s="5"/>
      <c r="AD274" s="5"/>
      <c r="AE274" s="5"/>
      <c r="AF274" s="5"/>
      <c r="AG274" s="5"/>
      <c r="AH274" s="5"/>
      <c r="AI274" s="5"/>
    </row>
    <row r="275" spans="1:35" ht="15.75" customHeight="1">
      <c r="A275" s="5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5"/>
      <c r="T275" s="5"/>
      <c r="U275" s="104"/>
      <c r="V275" s="5"/>
      <c r="W275" s="5"/>
      <c r="X275" s="5"/>
      <c r="Y275" s="5"/>
      <c r="Z275" s="7"/>
      <c r="AA275" s="5"/>
      <c r="AB275" s="5"/>
      <c r="AC275" s="5"/>
      <c r="AD275" s="5"/>
      <c r="AE275" s="5"/>
      <c r="AF275" s="5"/>
      <c r="AG275" s="5"/>
      <c r="AH275" s="5"/>
      <c r="AI275" s="5"/>
    </row>
    <row r="276" spans="1:35" ht="15.75" customHeight="1">
      <c r="A276" s="5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5"/>
      <c r="T276" s="5"/>
      <c r="U276" s="104"/>
      <c r="V276" s="5"/>
      <c r="W276" s="5"/>
      <c r="X276" s="5"/>
      <c r="Y276" s="5"/>
      <c r="Z276" s="7"/>
      <c r="AA276" s="5"/>
      <c r="AB276" s="5"/>
      <c r="AC276" s="5"/>
      <c r="AD276" s="5"/>
      <c r="AE276" s="5"/>
      <c r="AF276" s="5"/>
      <c r="AG276" s="5"/>
      <c r="AH276" s="5"/>
      <c r="AI276" s="5"/>
    </row>
    <row r="277" spans="1:35" ht="15.75" customHeight="1">
      <c r="A277" s="5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5"/>
      <c r="T277" s="5"/>
      <c r="U277" s="104"/>
      <c r="V277" s="5"/>
      <c r="W277" s="5"/>
      <c r="X277" s="5"/>
      <c r="Y277" s="5"/>
      <c r="Z277" s="7"/>
      <c r="AA277" s="5"/>
      <c r="AB277" s="5"/>
      <c r="AC277" s="5"/>
      <c r="AD277" s="5"/>
      <c r="AE277" s="5"/>
      <c r="AF277" s="5"/>
      <c r="AG277" s="5"/>
      <c r="AH277" s="5"/>
      <c r="AI277" s="5"/>
    </row>
    <row r="278" spans="1:35" ht="15.75" customHeight="1">
      <c r="A278" s="5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5"/>
      <c r="T278" s="5"/>
      <c r="U278" s="104"/>
      <c r="V278" s="5"/>
      <c r="W278" s="5"/>
      <c r="X278" s="5"/>
      <c r="Y278" s="5"/>
      <c r="Z278" s="7"/>
      <c r="AA278" s="5"/>
      <c r="AB278" s="5"/>
      <c r="AC278" s="5"/>
      <c r="AD278" s="5"/>
      <c r="AE278" s="5"/>
      <c r="AF278" s="5"/>
      <c r="AG278" s="5"/>
      <c r="AH278" s="5"/>
      <c r="AI278" s="5"/>
    </row>
    <row r="279" spans="1:35" ht="15.75" customHeight="1">
      <c r="A279" s="5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5"/>
      <c r="T279" s="5"/>
      <c r="U279" s="104"/>
      <c r="V279" s="5"/>
      <c r="W279" s="5"/>
      <c r="X279" s="5"/>
      <c r="Y279" s="5"/>
      <c r="Z279" s="7"/>
      <c r="AA279" s="5"/>
      <c r="AB279" s="5"/>
      <c r="AC279" s="5"/>
      <c r="AD279" s="5"/>
      <c r="AE279" s="5"/>
      <c r="AF279" s="5"/>
      <c r="AG279" s="5"/>
      <c r="AH279" s="5"/>
      <c r="AI279" s="5"/>
    </row>
    <row r="280" spans="1:35" ht="15.75" customHeight="1">
      <c r="A280" s="5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5"/>
      <c r="T280" s="5"/>
      <c r="U280" s="104"/>
      <c r="V280" s="5"/>
      <c r="W280" s="5"/>
      <c r="X280" s="5"/>
      <c r="Y280" s="5"/>
      <c r="Z280" s="7"/>
      <c r="AA280" s="5"/>
      <c r="AB280" s="5"/>
      <c r="AC280" s="5"/>
      <c r="AD280" s="5"/>
      <c r="AE280" s="5"/>
      <c r="AF280" s="5"/>
      <c r="AG280" s="5"/>
      <c r="AH280" s="5"/>
      <c r="AI280" s="5"/>
    </row>
    <row r="281" spans="1:35" ht="15.75" customHeight="1">
      <c r="A281" s="5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5"/>
      <c r="T281" s="5"/>
      <c r="U281" s="104"/>
      <c r="V281" s="5"/>
      <c r="W281" s="5"/>
      <c r="X281" s="5"/>
      <c r="Y281" s="5"/>
      <c r="Z281" s="7"/>
      <c r="AA281" s="5"/>
      <c r="AB281" s="5"/>
      <c r="AC281" s="5"/>
      <c r="AD281" s="5"/>
      <c r="AE281" s="5"/>
      <c r="AF281" s="5"/>
      <c r="AG281" s="5"/>
      <c r="AH281" s="5"/>
      <c r="AI281" s="5"/>
    </row>
    <row r="282" spans="1:35" ht="15.75" customHeight="1">
      <c r="A282" s="5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5"/>
      <c r="T282" s="5"/>
      <c r="U282" s="104"/>
      <c r="V282" s="5"/>
      <c r="W282" s="5"/>
      <c r="X282" s="5"/>
      <c r="Y282" s="5"/>
      <c r="Z282" s="7"/>
      <c r="AA282" s="5"/>
      <c r="AB282" s="5"/>
      <c r="AC282" s="5"/>
      <c r="AD282" s="5"/>
      <c r="AE282" s="5"/>
      <c r="AF282" s="5"/>
      <c r="AG282" s="5"/>
      <c r="AH282" s="5"/>
      <c r="AI282" s="5"/>
    </row>
    <row r="283" spans="1:35" ht="15.75" customHeight="1">
      <c r="A283" s="5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5"/>
      <c r="T283" s="5"/>
      <c r="U283" s="104"/>
      <c r="V283" s="5"/>
      <c r="W283" s="5"/>
      <c r="X283" s="5"/>
      <c r="Y283" s="5"/>
      <c r="Z283" s="7"/>
      <c r="AA283" s="5"/>
      <c r="AB283" s="5"/>
      <c r="AC283" s="5"/>
      <c r="AD283" s="5"/>
      <c r="AE283" s="5"/>
      <c r="AF283" s="5"/>
      <c r="AG283" s="5"/>
      <c r="AH283" s="5"/>
      <c r="AI283" s="5"/>
    </row>
    <row r="284" spans="1:35" ht="15.75" customHeight="1">
      <c r="A284" s="5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5"/>
      <c r="T284" s="5"/>
      <c r="U284" s="104"/>
      <c r="V284" s="5"/>
      <c r="W284" s="5"/>
      <c r="X284" s="5"/>
      <c r="Y284" s="5"/>
      <c r="Z284" s="7"/>
      <c r="AA284" s="5"/>
      <c r="AB284" s="5"/>
      <c r="AC284" s="5"/>
      <c r="AD284" s="5"/>
      <c r="AE284" s="5"/>
      <c r="AF284" s="5"/>
      <c r="AG284" s="5"/>
      <c r="AH284" s="5"/>
      <c r="AI284" s="5"/>
    </row>
    <row r="285" spans="1:35" ht="15.75" customHeight="1">
      <c r="A285" s="5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5"/>
      <c r="T285" s="5"/>
      <c r="U285" s="104"/>
      <c r="V285" s="5"/>
      <c r="W285" s="5"/>
      <c r="X285" s="5"/>
      <c r="Y285" s="5"/>
      <c r="Z285" s="7"/>
      <c r="AA285" s="5"/>
      <c r="AB285" s="5"/>
      <c r="AC285" s="5"/>
      <c r="AD285" s="5"/>
      <c r="AE285" s="5"/>
      <c r="AF285" s="5"/>
      <c r="AG285" s="5"/>
      <c r="AH285" s="5"/>
      <c r="AI285" s="5"/>
    </row>
    <row r="286" spans="1:35" ht="15.75" customHeight="1">
      <c r="A286" s="5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5"/>
      <c r="T286" s="5"/>
      <c r="U286" s="104"/>
      <c r="V286" s="5"/>
      <c r="W286" s="5"/>
      <c r="X286" s="5"/>
      <c r="Y286" s="5"/>
      <c r="Z286" s="7"/>
      <c r="AA286" s="5"/>
      <c r="AB286" s="5"/>
      <c r="AC286" s="5"/>
      <c r="AD286" s="5"/>
      <c r="AE286" s="5"/>
      <c r="AF286" s="5"/>
      <c r="AG286" s="5"/>
      <c r="AH286" s="5"/>
      <c r="AI286" s="5"/>
    </row>
    <row r="287" spans="1:35" ht="15.75" customHeight="1">
      <c r="A287" s="5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5"/>
      <c r="T287" s="5"/>
      <c r="U287" s="104"/>
      <c r="V287" s="5"/>
      <c r="W287" s="5"/>
      <c r="X287" s="5"/>
      <c r="Y287" s="5"/>
      <c r="Z287" s="7"/>
      <c r="AA287" s="5"/>
      <c r="AB287" s="5"/>
      <c r="AC287" s="5"/>
      <c r="AD287" s="5"/>
      <c r="AE287" s="5"/>
      <c r="AF287" s="5"/>
      <c r="AG287" s="5"/>
      <c r="AH287" s="5"/>
      <c r="AI287" s="5"/>
    </row>
    <row r="288" spans="1:35" ht="15.75" customHeight="1">
      <c r="A288" s="5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5"/>
      <c r="T288" s="5"/>
      <c r="U288" s="104"/>
      <c r="V288" s="5"/>
      <c r="W288" s="5"/>
      <c r="X288" s="5"/>
      <c r="Y288" s="5"/>
      <c r="Z288" s="7"/>
      <c r="AA288" s="5"/>
      <c r="AB288" s="5"/>
      <c r="AC288" s="5"/>
      <c r="AD288" s="5"/>
      <c r="AE288" s="5"/>
      <c r="AF288" s="5"/>
      <c r="AG288" s="5"/>
      <c r="AH288" s="5"/>
      <c r="AI288" s="5"/>
    </row>
    <row r="289" spans="1:35" ht="15.75" customHeight="1">
      <c r="A289" s="5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5"/>
      <c r="T289" s="5"/>
      <c r="U289" s="104"/>
      <c r="V289" s="5"/>
      <c r="W289" s="5"/>
      <c r="X289" s="5"/>
      <c r="Y289" s="5"/>
      <c r="Z289" s="7"/>
      <c r="AA289" s="5"/>
      <c r="AB289" s="5"/>
      <c r="AC289" s="5"/>
      <c r="AD289" s="5"/>
      <c r="AE289" s="5"/>
      <c r="AF289" s="5"/>
      <c r="AG289" s="5"/>
      <c r="AH289" s="5"/>
      <c r="AI289" s="5"/>
    </row>
    <row r="290" spans="1:35" ht="15.75" customHeight="1">
      <c r="A290" s="5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5"/>
      <c r="T290" s="5"/>
      <c r="U290" s="104"/>
      <c r="V290" s="5"/>
      <c r="W290" s="5"/>
      <c r="X290" s="5"/>
      <c r="Y290" s="5"/>
      <c r="Z290" s="7"/>
      <c r="AA290" s="5"/>
      <c r="AB290" s="5"/>
      <c r="AC290" s="5"/>
      <c r="AD290" s="5"/>
      <c r="AE290" s="5"/>
      <c r="AF290" s="5"/>
      <c r="AG290" s="5"/>
      <c r="AH290" s="5"/>
      <c r="AI290" s="5"/>
    </row>
    <row r="291" spans="1:35" ht="15.75" customHeight="1">
      <c r="A291" s="5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5"/>
      <c r="T291" s="5"/>
      <c r="U291" s="104"/>
      <c r="V291" s="5"/>
      <c r="W291" s="5"/>
      <c r="X291" s="5"/>
      <c r="Y291" s="5"/>
      <c r="Z291" s="7"/>
      <c r="AA291" s="5"/>
      <c r="AB291" s="5"/>
      <c r="AC291" s="5"/>
      <c r="AD291" s="5"/>
      <c r="AE291" s="5"/>
      <c r="AF291" s="5"/>
      <c r="AG291" s="5"/>
      <c r="AH291" s="5"/>
      <c r="AI291" s="5"/>
    </row>
    <row r="292" spans="1:35" ht="15.75" customHeight="1">
      <c r="A292" s="5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5"/>
      <c r="T292" s="5"/>
      <c r="U292" s="104"/>
      <c r="V292" s="5"/>
      <c r="W292" s="5"/>
      <c r="X292" s="5"/>
      <c r="Y292" s="5"/>
      <c r="Z292" s="7"/>
      <c r="AA292" s="5"/>
      <c r="AB292" s="5"/>
      <c r="AC292" s="5"/>
      <c r="AD292" s="5"/>
      <c r="AE292" s="5"/>
      <c r="AF292" s="5"/>
      <c r="AG292" s="5"/>
      <c r="AH292" s="5"/>
      <c r="AI292" s="5"/>
    </row>
    <row r="293" spans="1:35" ht="15.75" customHeight="1">
      <c r="A293" s="5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5"/>
      <c r="T293" s="5"/>
      <c r="U293" s="104"/>
      <c r="V293" s="5"/>
      <c r="W293" s="5"/>
      <c r="X293" s="5"/>
      <c r="Y293" s="5"/>
      <c r="Z293" s="7"/>
      <c r="AA293" s="5"/>
      <c r="AB293" s="5"/>
      <c r="AC293" s="5"/>
      <c r="AD293" s="5"/>
      <c r="AE293" s="5"/>
      <c r="AF293" s="5"/>
      <c r="AG293" s="5"/>
      <c r="AH293" s="5"/>
      <c r="AI293" s="5"/>
    </row>
    <row r="294" spans="1:35" ht="15.75" customHeight="1">
      <c r="A294" s="5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5"/>
      <c r="T294" s="5"/>
      <c r="U294" s="104"/>
      <c r="V294" s="5"/>
      <c r="W294" s="5"/>
      <c r="X294" s="5"/>
      <c r="Y294" s="5"/>
      <c r="Z294" s="7"/>
      <c r="AA294" s="5"/>
      <c r="AB294" s="5"/>
      <c r="AC294" s="5"/>
      <c r="AD294" s="5"/>
      <c r="AE294" s="5"/>
      <c r="AF294" s="5"/>
      <c r="AG294" s="5"/>
      <c r="AH294" s="5"/>
      <c r="AI294" s="5"/>
    </row>
    <row r="295" spans="1:35" ht="15.75" customHeight="1">
      <c r="A295" s="5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5"/>
      <c r="T295" s="5"/>
      <c r="U295" s="104"/>
      <c r="V295" s="5"/>
      <c r="W295" s="5"/>
      <c r="X295" s="5"/>
      <c r="Y295" s="5"/>
      <c r="Z295" s="7"/>
      <c r="AA295" s="5"/>
      <c r="AB295" s="5"/>
      <c r="AC295" s="5"/>
      <c r="AD295" s="5"/>
      <c r="AE295" s="5"/>
      <c r="AF295" s="5"/>
      <c r="AG295" s="5"/>
      <c r="AH295" s="5"/>
      <c r="AI295" s="5"/>
    </row>
    <row r="296" spans="1:35" ht="15.75" customHeight="1">
      <c r="A296" s="5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5"/>
      <c r="T296" s="5"/>
      <c r="U296" s="104"/>
      <c r="V296" s="5"/>
      <c r="W296" s="5"/>
      <c r="X296" s="5"/>
      <c r="Y296" s="5"/>
      <c r="Z296" s="7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 ht="15.75" customHeight="1">
      <c r="A297" s="5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5"/>
      <c r="T297" s="5"/>
      <c r="U297" s="104"/>
      <c r="V297" s="5"/>
      <c r="W297" s="5"/>
      <c r="X297" s="5"/>
      <c r="Y297" s="5"/>
      <c r="Z297" s="7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 ht="15.75" customHeight="1">
      <c r="A298" s="5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5"/>
      <c r="T298" s="5"/>
      <c r="U298" s="104"/>
      <c r="V298" s="5"/>
      <c r="W298" s="5"/>
      <c r="X298" s="5"/>
      <c r="Y298" s="5"/>
      <c r="Z298" s="7"/>
      <c r="AA298" s="5"/>
      <c r="AB298" s="5"/>
      <c r="AC298" s="5"/>
      <c r="AD298" s="5"/>
      <c r="AE298" s="5"/>
      <c r="AF298" s="5"/>
      <c r="AG298" s="5"/>
      <c r="AH298" s="5"/>
      <c r="AI298" s="5"/>
    </row>
    <row r="299" spans="1:35" ht="15.75" customHeight="1">
      <c r="A299" s="5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5"/>
      <c r="T299" s="5"/>
      <c r="U299" s="104"/>
      <c r="V299" s="5"/>
      <c r="W299" s="5"/>
      <c r="X299" s="5"/>
      <c r="Y299" s="5"/>
      <c r="Z299" s="7"/>
      <c r="AA299" s="5"/>
      <c r="AB299" s="5"/>
      <c r="AC299" s="5"/>
      <c r="AD299" s="5"/>
      <c r="AE299" s="5"/>
      <c r="AF299" s="5"/>
      <c r="AG299" s="5"/>
      <c r="AH299" s="5"/>
      <c r="AI299" s="5"/>
    </row>
    <row r="300" spans="1:35" ht="15.75" customHeight="1">
      <c r="A300" s="5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5"/>
      <c r="T300" s="5"/>
      <c r="U300" s="104"/>
      <c r="V300" s="5"/>
      <c r="W300" s="5"/>
      <c r="X300" s="5"/>
      <c r="Y300" s="5"/>
      <c r="Z300" s="7"/>
      <c r="AA300" s="5"/>
      <c r="AB300" s="5"/>
      <c r="AC300" s="5"/>
      <c r="AD300" s="5"/>
      <c r="AE300" s="5"/>
      <c r="AF300" s="5"/>
      <c r="AG300" s="5"/>
      <c r="AH300" s="5"/>
      <c r="AI300" s="5"/>
    </row>
    <row r="301" spans="1:35" ht="15.75" customHeight="1">
      <c r="A301" s="5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5"/>
      <c r="T301" s="5"/>
      <c r="U301" s="104"/>
      <c r="V301" s="5"/>
      <c r="W301" s="5"/>
      <c r="X301" s="5"/>
      <c r="Y301" s="5"/>
      <c r="Z301" s="7"/>
      <c r="AA301" s="5"/>
      <c r="AB301" s="5"/>
      <c r="AC301" s="5"/>
      <c r="AD301" s="5"/>
      <c r="AE301" s="5"/>
      <c r="AF301" s="5"/>
      <c r="AG301" s="5"/>
      <c r="AH301" s="5"/>
      <c r="AI301" s="5"/>
    </row>
    <row r="302" spans="1:35" ht="15.75" customHeight="1">
      <c r="A302" s="5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5"/>
      <c r="T302" s="5"/>
      <c r="U302" s="104"/>
      <c r="V302" s="5"/>
      <c r="W302" s="5"/>
      <c r="X302" s="5"/>
      <c r="Y302" s="5"/>
      <c r="Z302" s="7"/>
      <c r="AA302" s="5"/>
      <c r="AB302" s="5"/>
      <c r="AC302" s="5"/>
      <c r="AD302" s="5"/>
      <c r="AE302" s="5"/>
      <c r="AF302" s="5"/>
      <c r="AG302" s="5"/>
      <c r="AH302" s="5"/>
      <c r="AI302" s="5"/>
    </row>
    <row r="303" spans="1:35" ht="15.75" customHeight="1">
      <c r="A303" s="5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5"/>
      <c r="T303" s="5"/>
      <c r="U303" s="104"/>
      <c r="V303" s="5"/>
      <c r="W303" s="5"/>
      <c r="X303" s="5"/>
      <c r="Y303" s="5"/>
      <c r="Z303" s="7"/>
      <c r="AA303" s="5"/>
      <c r="AB303" s="5"/>
      <c r="AC303" s="5"/>
      <c r="AD303" s="5"/>
      <c r="AE303" s="5"/>
      <c r="AF303" s="5"/>
      <c r="AG303" s="5"/>
      <c r="AH303" s="5"/>
      <c r="AI303" s="5"/>
    </row>
    <row r="304" spans="1:35" ht="15.75" customHeight="1">
      <c r="A304" s="5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5"/>
      <c r="T304" s="5"/>
      <c r="U304" s="104"/>
      <c r="V304" s="5"/>
      <c r="W304" s="5"/>
      <c r="X304" s="5"/>
      <c r="Y304" s="5"/>
      <c r="Z304" s="7"/>
      <c r="AA304" s="5"/>
      <c r="AB304" s="5"/>
      <c r="AC304" s="5"/>
      <c r="AD304" s="5"/>
      <c r="AE304" s="5"/>
      <c r="AF304" s="5"/>
      <c r="AG304" s="5"/>
      <c r="AH304" s="5"/>
      <c r="AI304" s="5"/>
    </row>
    <row r="305" spans="1:35" ht="15.75" customHeight="1">
      <c r="A305" s="5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5"/>
      <c r="T305" s="5"/>
      <c r="U305" s="104"/>
      <c r="V305" s="5"/>
      <c r="W305" s="5"/>
      <c r="X305" s="5"/>
      <c r="Y305" s="5"/>
      <c r="Z305" s="7"/>
      <c r="AA305" s="5"/>
      <c r="AB305" s="5"/>
      <c r="AC305" s="5"/>
      <c r="AD305" s="5"/>
      <c r="AE305" s="5"/>
      <c r="AF305" s="5"/>
      <c r="AG305" s="5"/>
      <c r="AH305" s="5"/>
      <c r="AI305" s="5"/>
    </row>
    <row r="306" spans="1:35" ht="15.75" customHeight="1">
      <c r="A306" s="5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5"/>
      <c r="T306" s="5"/>
      <c r="U306" s="104"/>
      <c r="V306" s="5"/>
      <c r="W306" s="5"/>
      <c r="X306" s="5"/>
      <c r="Y306" s="5"/>
      <c r="Z306" s="7"/>
      <c r="AA306" s="5"/>
      <c r="AB306" s="5"/>
      <c r="AC306" s="5"/>
      <c r="AD306" s="5"/>
      <c r="AE306" s="5"/>
      <c r="AF306" s="5"/>
      <c r="AG306" s="5"/>
      <c r="AH306" s="5"/>
      <c r="AI306" s="5"/>
    </row>
    <row r="307" spans="1:35" ht="15.75" customHeight="1">
      <c r="A307" s="5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5"/>
      <c r="T307" s="5"/>
      <c r="U307" s="104"/>
      <c r="V307" s="5"/>
      <c r="W307" s="5"/>
      <c r="X307" s="5"/>
      <c r="Y307" s="5"/>
      <c r="Z307" s="7"/>
      <c r="AA307" s="5"/>
      <c r="AB307" s="5"/>
      <c r="AC307" s="5"/>
      <c r="AD307" s="5"/>
      <c r="AE307" s="5"/>
      <c r="AF307" s="5"/>
      <c r="AG307" s="5"/>
      <c r="AH307" s="5"/>
      <c r="AI307" s="5"/>
    </row>
    <row r="308" spans="1:35" ht="15.75" customHeight="1">
      <c r="A308" s="5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5"/>
      <c r="T308" s="5"/>
      <c r="U308" s="104"/>
      <c r="V308" s="5"/>
      <c r="W308" s="5"/>
      <c r="X308" s="5"/>
      <c r="Y308" s="5"/>
      <c r="Z308" s="7"/>
      <c r="AA308" s="5"/>
      <c r="AB308" s="5"/>
      <c r="AC308" s="5"/>
      <c r="AD308" s="5"/>
      <c r="AE308" s="5"/>
      <c r="AF308" s="5"/>
      <c r="AG308" s="5"/>
      <c r="AH308" s="5"/>
      <c r="AI308" s="5"/>
    </row>
    <row r="309" spans="1:35" ht="15.75" customHeight="1">
      <c r="A309" s="5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5"/>
      <c r="T309" s="5"/>
      <c r="U309" s="104"/>
      <c r="V309" s="5"/>
      <c r="W309" s="5"/>
      <c r="X309" s="5"/>
      <c r="Y309" s="5"/>
      <c r="Z309" s="7"/>
      <c r="AA309" s="5"/>
      <c r="AB309" s="5"/>
      <c r="AC309" s="5"/>
      <c r="AD309" s="5"/>
      <c r="AE309" s="5"/>
      <c r="AF309" s="5"/>
      <c r="AG309" s="5"/>
      <c r="AH309" s="5"/>
      <c r="AI309" s="5"/>
    </row>
    <row r="310" spans="1:35" ht="15.75" customHeight="1">
      <c r="A310" s="5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5"/>
      <c r="T310" s="5"/>
      <c r="U310" s="104"/>
      <c r="V310" s="5"/>
      <c r="W310" s="5"/>
      <c r="X310" s="5"/>
      <c r="Y310" s="5"/>
      <c r="Z310" s="7"/>
      <c r="AA310" s="5"/>
      <c r="AB310" s="5"/>
      <c r="AC310" s="5"/>
      <c r="AD310" s="5"/>
      <c r="AE310" s="5"/>
      <c r="AF310" s="5"/>
      <c r="AG310" s="5"/>
      <c r="AH310" s="5"/>
      <c r="AI310" s="5"/>
    </row>
    <row r="311" spans="1:35" ht="15.75" customHeight="1">
      <c r="A311" s="5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5"/>
      <c r="T311" s="5"/>
      <c r="U311" s="104"/>
      <c r="V311" s="5"/>
      <c r="W311" s="5"/>
      <c r="X311" s="5"/>
      <c r="Y311" s="5"/>
      <c r="Z311" s="7"/>
      <c r="AA311" s="5"/>
      <c r="AB311" s="5"/>
      <c r="AC311" s="5"/>
      <c r="AD311" s="5"/>
      <c r="AE311" s="5"/>
      <c r="AF311" s="5"/>
      <c r="AG311" s="5"/>
      <c r="AH311" s="5"/>
      <c r="AI311" s="5"/>
    </row>
    <row r="312" spans="1:35" ht="15.75" customHeight="1">
      <c r="A312" s="5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5"/>
      <c r="T312" s="5"/>
      <c r="U312" s="104"/>
      <c r="V312" s="5"/>
      <c r="W312" s="5"/>
      <c r="X312" s="5"/>
      <c r="Y312" s="5"/>
      <c r="Z312" s="7"/>
      <c r="AA312" s="5"/>
      <c r="AB312" s="5"/>
      <c r="AC312" s="5"/>
      <c r="AD312" s="5"/>
      <c r="AE312" s="5"/>
      <c r="AF312" s="5"/>
      <c r="AG312" s="5"/>
      <c r="AH312" s="5"/>
      <c r="AI312" s="5"/>
    </row>
    <row r="313" spans="1:35" ht="15.75" customHeight="1">
      <c r="A313" s="5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5"/>
      <c r="T313" s="5"/>
      <c r="U313" s="104"/>
      <c r="V313" s="5"/>
      <c r="W313" s="5"/>
      <c r="X313" s="5"/>
      <c r="Y313" s="5"/>
      <c r="Z313" s="7"/>
      <c r="AA313" s="5"/>
      <c r="AB313" s="5"/>
      <c r="AC313" s="5"/>
      <c r="AD313" s="5"/>
      <c r="AE313" s="5"/>
      <c r="AF313" s="5"/>
      <c r="AG313" s="5"/>
      <c r="AH313" s="5"/>
      <c r="AI313" s="5"/>
    </row>
    <row r="314" spans="1:35" ht="15.75" customHeight="1">
      <c r="A314" s="5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5"/>
      <c r="T314" s="5"/>
      <c r="U314" s="104"/>
      <c r="V314" s="5"/>
      <c r="W314" s="5"/>
      <c r="X314" s="5"/>
      <c r="Y314" s="5"/>
      <c r="Z314" s="7"/>
      <c r="AA314" s="5"/>
      <c r="AB314" s="5"/>
      <c r="AC314" s="5"/>
      <c r="AD314" s="5"/>
      <c r="AE314" s="5"/>
      <c r="AF314" s="5"/>
      <c r="AG314" s="5"/>
      <c r="AH314" s="5"/>
      <c r="AI314" s="5"/>
    </row>
    <row r="315" spans="1:35" ht="15.75" customHeight="1">
      <c r="A315" s="5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5"/>
      <c r="T315" s="5"/>
      <c r="U315" s="104"/>
      <c r="V315" s="5"/>
      <c r="W315" s="5"/>
      <c r="X315" s="5"/>
      <c r="Y315" s="5"/>
      <c r="Z315" s="7"/>
      <c r="AA315" s="5"/>
      <c r="AB315" s="5"/>
      <c r="AC315" s="5"/>
      <c r="AD315" s="5"/>
      <c r="AE315" s="5"/>
      <c r="AF315" s="5"/>
      <c r="AG315" s="5"/>
      <c r="AH315" s="5"/>
      <c r="AI315" s="5"/>
    </row>
    <row r="316" spans="1:35" ht="15.75" customHeight="1">
      <c r="A316" s="5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5"/>
      <c r="T316" s="5"/>
      <c r="U316" s="104"/>
      <c r="V316" s="5"/>
      <c r="W316" s="5"/>
      <c r="X316" s="5"/>
      <c r="Y316" s="5"/>
      <c r="Z316" s="7"/>
      <c r="AA316" s="5"/>
      <c r="AB316" s="5"/>
      <c r="AC316" s="5"/>
      <c r="AD316" s="5"/>
      <c r="AE316" s="5"/>
      <c r="AF316" s="5"/>
      <c r="AG316" s="5"/>
      <c r="AH316" s="5"/>
      <c r="AI316" s="5"/>
    </row>
    <row r="317" spans="1:35" ht="15.75" customHeight="1">
      <c r="A317" s="5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5"/>
      <c r="T317" s="5"/>
      <c r="U317" s="104"/>
      <c r="V317" s="5"/>
      <c r="W317" s="5"/>
      <c r="X317" s="5"/>
      <c r="Y317" s="5"/>
      <c r="Z317" s="7"/>
      <c r="AA317" s="5"/>
      <c r="AB317" s="5"/>
      <c r="AC317" s="5"/>
      <c r="AD317" s="5"/>
      <c r="AE317" s="5"/>
      <c r="AF317" s="5"/>
      <c r="AG317" s="5"/>
      <c r="AH317" s="5"/>
      <c r="AI317" s="5"/>
    </row>
    <row r="318" spans="1:35" ht="15.75" customHeight="1">
      <c r="A318" s="5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5"/>
      <c r="T318" s="5"/>
      <c r="U318" s="104"/>
      <c r="V318" s="5"/>
      <c r="W318" s="5"/>
      <c r="X318" s="5"/>
      <c r="Y318" s="5"/>
      <c r="Z318" s="7"/>
      <c r="AA318" s="5"/>
      <c r="AB318" s="5"/>
      <c r="AC318" s="5"/>
      <c r="AD318" s="5"/>
      <c r="AE318" s="5"/>
      <c r="AF318" s="5"/>
      <c r="AG318" s="5"/>
      <c r="AH318" s="5"/>
      <c r="AI318" s="5"/>
    </row>
    <row r="319" spans="1:35" ht="15.75" customHeight="1">
      <c r="A319" s="5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5"/>
      <c r="T319" s="5"/>
      <c r="U319" s="104"/>
      <c r="V319" s="5"/>
      <c r="W319" s="5"/>
      <c r="X319" s="5"/>
      <c r="Y319" s="5"/>
      <c r="Z319" s="7"/>
      <c r="AA319" s="5"/>
      <c r="AB319" s="5"/>
      <c r="AC319" s="5"/>
      <c r="AD319" s="5"/>
      <c r="AE319" s="5"/>
      <c r="AF319" s="5"/>
      <c r="AG319" s="5"/>
      <c r="AH319" s="5"/>
      <c r="AI319" s="5"/>
    </row>
    <row r="320" spans="1:35" ht="15.75" customHeight="1">
      <c r="A320" s="5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5"/>
      <c r="T320" s="5"/>
      <c r="U320" s="104"/>
      <c r="V320" s="5"/>
      <c r="W320" s="5"/>
      <c r="X320" s="5"/>
      <c r="Y320" s="5"/>
      <c r="Z320" s="7"/>
      <c r="AA320" s="5"/>
      <c r="AB320" s="5"/>
      <c r="AC320" s="5"/>
      <c r="AD320" s="5"/>
      <c r="AE320" s="5"/>
      <c r="AF320" s="5"/>
      <c r="AG320" s="5"/>
      <c r="AH320" s="5"/>
      <c r="AI320" s="5"/>
    </row>
    <row r="321" spans="1:35" ht="15.75" customHeight="1">
      <c r="A321" s="5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5"/>
      <c r="T321" s="5"/>
      <c r="U321" s="104"/>
      <c r="V321" s="5"/>
      <c r="W321" s="5"/>
      <c r="X321" s="5"/>
      <c r="Y321" s="5"/>
      <c r="Z321" s="7"/>
      <c r="AA321" s="5"/>
      <c r="AB321" s="5"/>
      <c r="AC321" s="5"/>
      <c r="AD321" s="5"/>
      <c r="AE321" s="5"/>
      <c r="AF321" s="5"/>
      <c r="AG321" s="5"/>
      <c r="AH321" s="5"/>
      <c r="AI321" s="5"/>
    </row>
    <row r="322" spans="1:35" ht="15.75" customHeight="1">
      <c r="A322" s="5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5"/>
      <c r="T322" s="5"/>
      <c r="U322" s="104"/>
      <c r="V322" s="5"/>
      <c r="W322" s="5"/>
      <c r="X322" s="5"/>
      <c r="Y322" s="5"/>
      <c r="Z322" s="7"/>
      <c r="AA322" s="5"/>
      <c r="AB322" s="5"/>
      <c r="AC322" s="5"/>
      <c r="AD322" s="5"/>
      <c r="AE322" s="5"/>
      <c r="AF322" s="5"/>
      <c r="AG322" s="5"/>
      <c r="AH322" s="5"/>
      <c r="AI322" s="5"/>
    </row>
    <row r="323" spans="1:35" ht="15.75" customHeight="1">
      <c r="A323" s="5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5"/>
      <c r="T323" s="5"/>
      <c r="U323" s="104"/>
      <c r="V323" s="5"/>
      <c r="W323" s="5"/>
      <c r="X323" s="5"/>
      <c r="Y323" s="5"/>
      <c r="Z323" s="7"/>
      <c r="AA323" s="5"/>
      <c r="AB323" s="5"/>
      <c r="AC323" s="5"/>
      <c r="AD323" s="5"/>
      <c r="AE323" s="5"/>
      <c r="AF323" s="5"/>
      <c r="AG323" s="5"/>
      <c r="AH323" s="5"/>
      <c r="AI323" s="5"/>
    </row>
    <row r="324" spans="1:35" ht="15.75" customHeight="1">
      <c r="A324" s="5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5"/>
      <c r="T324" s="5"/>
      <c r="U324" s="104"/>
      <c r="V324" s="5"/>
      <c r="W324" s="5"/>
      <c r="X324" s="5"/>
      <c r="Y324" s="5"/>
      <c r="Z324" s="7"/>
      <c r="AA324" s="5"/>
      <c r="AB324" s="5"/>
      <c r="AC324" s="5"/>
      <c r="AD324" s="5"/>
      <c r="AE324" s="5"/>
      <c r="AF324" s="5"/>
      <c r="AG324" s="5"/>
      <c r="AH324" s="5"/>
      <c r="AI324" s="5"/>
    </row>
    <row r="325" spans="1:35" ht="15.75" customHeight="1">
      <c r="A325" s="5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5"/>
      <c r="T325" s="5"/>
      <c r="U325" s="104"/>
      <c r="V325" s="5"/>
      <c r="W325" s="5"/>
      <c r="X325" s="5"/>
      <c r="Y325" s="5"/>
      <c r="Z325" s="7"/>
      <c r="AA325" s="5"/>
      <c r="AB325" s="5"/>
      <c r="AC325" s="5"/>
      <c r="AD325" s="5"/>
      <c r="AE325" s="5"/>
      <c r="AF325" s="5"/>
      <c r="AG325" s="5"/>
      <c r="AH325" s="5"/>
      <c r="AI325" s="5"/>
    </row>
    <row r="326" spans="1:35" ht="15.75" customHeight="1">
      <c r="A326" s="5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5"/>
      <c r="T326" s="5"/>
      <c r="U326" s="104"/>
      <c r="V326" s="5"/>
      <c r="W326" s="5"/>
      <c r="X326" s="5"/>
      <c r="Y326" s="5"/>
      <c r="Z326" s="7"/>
      <c r="AA326" s="5"/>
      <c r="AB326" s="5"/>
      <c r="AC326" s="5"/>
      <c r="AD326" s="5"/>
      <c r="AE326" s="5"/>
      <c r="AF326" s="5"/>
      <c r="AG326" s="5"/>
      <c r="AH326" s="5"/>
      <c r="AI326" s="5"/>
    </row>
    <row r="327" spans="1:35" ht="15.75" customHeight="1">
      <c r="A327" s="5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5"/>
      <c r="T327" s="5"/>
      <c r="U327" s="104"/>
      <c r="V327" s="5"/>
      <c r="W327" s="5"/>
      <c r="X327" s="5"/>
      <c r="Y327" s="5"/>
      <c r="Z327" s="7"/>
      <c r="AA327" s="5"/>
      <c r="AB327" s="5"/>
      <c r="AC327" s="5"/>
      <c r="AD327" s="5"/>
      <c r="AE327" s="5"/>
      <c r="AF327" s="5"/>
      <c r="AG327" s="5"/>
      <c r="AH327" s="5"/>
      <c r="AI327" s="5"/>
    </row>
    <row r="328" spans="1:35" ht="15.75" customHeight="1">
      <c r="A328" s="5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5"/>
      <c r="T328" s="5"/>
      <c r="U328" s="104"/>
      <c r="V328" s="5"/>
      <c r="W328" s="5"/>
      <c r="X328" s="5"/>
      <c r="Y328" s="5"/>
      <c r="Z328" s="7"/>
      <c r="AA328" s="5"/>
      <c r="AB328" s="5"/>
      <c r="AC328" s="5"/>
      <c r="AD328" s="5"/>
      <c r="AE328" s="5"/>
      <c r="AF328" s="5"/>
      <c r="AG328" s="5"/>
      <c r="AH328" s="5"/>
      <c r="AI328" s="5"/>
    </row>
    <row r="329" spans="1:35" ht="15.75" customHeight="1">
      <c r="A329" s="5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5"/>
      <c r="T329" s="5"/>
      <c r="U329" s="104"/>
      <c r="V329" s="5"/>
      <c r="W329" s="5"/>
      <c r="X329" s="5"/>
      <c r="Y329" s="5"/>
      <c r="Z329" s="7"/>
      <c r="AA329" s="5"/>
      <c r="AB329" s="5"/>
      <c r="AC329" s="5"/>
      <c r="AD329" s="5"/>
      <c r="AE329" s="5"/>
      <c r="AF329" s="5"/>
      <c r="AG329" s="5"/>
      <c r="AH329" s="5"/>
      <c r="AI329" s="5"/>
    </row>
    <row r="330" spans="1:35" ht="15.75" customHeight="1">
      <c r="A330" s="5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5"/>
      <c r="T330" s="5"/>
      <c r="U330" s="104"/>
      <c r="V330" s="5"/>
      <c r="W330" s="5"/>
      <c r="X330" s="5"/>
      <c r="Y330" s="5"/>
      <c r="Z330" s="7"/>
      <c r="AA330" s="5"/>
      <c r="AB330" s="5"/>
      <c r="AC330" s="5"/>
      <c r="AD330" s="5"/>
      <c r="AE330" s="5"/>
      <c r="AF330" s="5"/>
      <c r="AG330" s="5"/>
      <c r="AH330" s="5"/>
      <c r="AI330" s="5"/>
    </row>
    <row r="331" spans="1:35" ht="15.75" customHeight="1">
      <c r="A331" s="5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5"/>
      <c r="T331" s="5"/>
      <c r="U331" s="104"/>
      <c r="V331" s="5"/>
      <c r="W331" s="5"/>
      <c r="X331" s="5"/>
      <c r="Y331" s="5"/>
      <c r="Z331" s="7"/>
      <c r="AA331" s="5"/>
      <c r="AB331" s="5"/>
      <c r="AC331" s="5"/>
      <c r="AD331" s="5"/>
      <c r="AE331" s="5"/>
      <c r="AF331" s="5"/>
      <c r="AG331" s="5"/>
      <c r="AH331" s="5"/>
      <c r="AI331" s="5"/>
    </row>
    <row r="332" spans="1:35" ht="15.75" customHeight="1">
      <c r="A332" s="5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5"/>
      <c r="T332" s="5"/>
      <c r="U332" s="104"/>
      <c r="V332" s="5"/>
      <c r="W332" s="5"/>
      <c r="X332" s="5"/>
      <c r="Y332" s="5"/>
      <c r="Z332" s="7"/>
      <c r="AA332" s="5"/>
      <c r="AB332" s="5"/>
      <c r="AC332" s="5"/>
      <c r="AD332" s="5"/>
      <c r="AE332" s="5"/>
      <c r="AF332" s="5"/>
      <c r="AG332" s="5"/>
      <c r="AH332" s="5"/>
      <c r="AI332" s="5"/>
    </row>
    <row r="333" spans="1:35" ht="15.75" customHeight="1">
      <c r="A333" s="5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5"/>
      <c r="T333" s="5"/>
      <c r="U333" s="104"/>
      <c r="V333" s="5"/>
      <c r="W333" s="5"/>
      <c r="X333" s="5"/>
      <c r="Y333" s="5"/>
      <c r="Z333" s="7"/>
      <c r="AA333" s="5"/>
      <c r="AB333" s="5"/>
      <c r="AC333" s="5"/>
      <c r="AD333" s="5"/>
      <c r="AE333" s="5"/>
      <c r="AF333" s="5"/>
      <c r="AG333" s="5"/>
      <c r="AH333" s="5"/>
      <c r="AI333" s="5"/>
    </row>
    <row r="334" spans="1:35" ht="15.75" customHeight="1">
      <c r="A334" s="5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5"/>
      <c r="T334" s="5"/>
      <c r="U334" s="104"/>
      <c r="V334" s="5"/>
      <c r="W334" s="5"/>
      <c r="X334" s="5"/>
      <c r="Y334" s="5"/>
      <c r="Z334" s="7"/>
      <c r="AA334" s="5"/>
      <c r="AB334" s="5"/>
      <c r="AC334" s="5"/>
      <c r="AD334" s="5"/>
      <c r="AE334" s="5"/>
      <c r="AF334" s="5"/>
      <c r="AG334" s="5"/>
      <c r="AH334" s="5"/>
      <c r="AI334" s="5"/>
    </row>
    <row r="335" spans="1:35" ht="15.75" customHeight="1">
      <c r="A335" s="5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5"/>
      <c r="T335" s="5"/>
      <c r="U335" s="104"/>
      <c r="V335" s="5"/>
      <c r="W335" s="5"/>
      <c r="X335" s="5"/>
      <c r="Y335" s="5"/>
      <c r="Z335" s="7"/>
      <c r="AA335" s="5"/>
      <c r="AB335" s="5"/>
      <c r="AC335" s="5"/>
      <c r="AD335" s="5"/>
      <c r="AE335" s="5"/>
      <c r="AF335" s="5"/>
      <c r="AG335" s="5"/>
      <c r="AH335" s="5"/>
      <c r="AI335" s="5"/>
    </row>
    <row r="336" spans="1:35" ht="15.75" customHeight="1">
      <c r="A336" s="5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5"/>
      <c r="T336" s="5"/>
      <c r="U336" s="104"/>
      <c r="V336" s="5"/>
      <c r="W336" s="5"/>
      <c r="X336" s="5"/>
      <c r="Y336" s="5"/>
      <c r="Z336" s="7"/>
      <c r="AA336" s="5"/>
      <c r="AB336" s="5"/>
      <c r="AC336" s="5"/>
      <c r="AD336" s="5"/>
      <c r="AE336" s="5"/>
      <c r="AF336" s="5"/>
      <c r="AG336" s="5"/>
      <c r="AH336" s="5"/>
      <c r="AI336" s="5"/>
    </row>
    <row r="337" spans="1:35" ht="15.75" customHeight="1">
      <c r="A337" s="5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5"/>
      <c r="T337" s="5"/>
      <c r="U337" s="104"/>
      <c r="V337" s="5"/>
      <c r="W337" s="5"/>
      <c r="X337" s="5"/>
      <c r="Y337" s="5"/>
      <c r="Z337" s="7"/>
      <c r="AA337" s="5"/>
      <c r="AB337" s="5"/>
      <c r="AC337" s="5"/>
      <c r="AD337" s="5"/>
      <c r="AE337" s="5"/>
      <c r="AF337" s="5"/>
      <c r="AG337" s="5"/>
      <c r="AH337" s="5"/>
      <c r="AI337" s="5"/>
    </row>
    <row r="338" spans="1:35" ht="15.75" customHeight="1">
      <c r="A338" s="5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5"/>
      <c r="T338" s="5"/>
      <c r="U338" s="104"/>
      <c r="V338" s="5"/>
      <c r="W338" s="5"/>
      <c r="X338" s="5"/>
      <c r="Y338" s="5"/>
      <c r="Z338" s="7"/>
      <c r="AA338" s="5"/>
      <c r="AB338" s="5"/>
      <c r="AC338" s="5"/>
      <c r="AD338" s="5"/>
      <c r="AE338" s="5"/>
      <c r="AF338" s="5"/>
      <c r="AG338" s="5"/>
      <c r="AH338" s="5"/>
      <c r="AI338" s="5"/>
    </row>
    <row r="339" spans="1:35" ht="15.75" customHeight="1">
      <c r="A339" s="5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5"/>
      <c r="T339" s="5"/>
      <c r="U339" s="104"/>
      <c r="V339" s="5"/>
      <c r="W339" s="5"/>
      <c r="X339" s="5"/>
      <c r="Y339" s="5"/>
      <c r="Z339" s="7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ht="15.75" customHeight="1">
      <c r="A340" s="5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5"/>
      <c r="T340" s="5"/>
      <c r="U340" s="104"/>
      <c r="V340" s="5"/>
      <c r="W340" s="5"/>
      <c r="X340" s="5"/>
      <c r="Y340" s="5"/>
      <c r="Z340" s="7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 ht="15.75" customHeight="1">
      <c r="A341" s="5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5"/>
      <c r="T341" s="5"/>
      <c r="U341" s="104"/>
      <c r="V341" s="5"/>
      <c r="W341" s="5"/>
      <c r="X341" s="5"/>
      <c r="Y341" s="5"/>
      <c r="Z341" s="7"/>
      <c r="AA341" s="5"/>
      <c r="AB341" s="5"/>
      <c r="AC341" s="5"/>
      <c r="AD341" s="5"/>
      <c r="AE341" s="5"/>
      <c r="AF341" s="5"/>
      <c r="AG341" s="5"/>
      <c r="AH341" s="5"/>
      <c r="AI341" s="5"/>
    </row>
    <row r="342" spans="1:35" ht="15.75" customHeight="1">
      <c r="A342" s="5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5"/>
      <c r="T342" s="5"/>
      <c r="U342" s="104"/>
      <c r="V342" s="5"/>
      <c r="W342" s="5"/>
      <c r="X342" s="5"/>
      <c r="Y342" s="5"/>
      <c r="Z342" s="7"/>
      <c r="AA342" s="5"/>
      <c r="AB342" s="5"/>
      <c r="AC342" s="5"/>
      <c r="AD342" s="5"/>
      <c r="AE342" s="5"/>
      <c r="AF342" s="5"/>
      <c r="AG342" s="5"/>
      <c r="AH342" s="5"/>
      <c r="AI342" s="5"/>
    </row>
    <row r="343" spans="1:35" ht="15.75" customHeight="1">
      <c r="A343" s="5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5"/>
      <c r="T343" s="5"/>
      <c r="U343" s="104"/>
      <c r="V343" s="5"/>
      <c r="W343" s="5"/>
      <c r="X343" s="5"/>
      <c r="Y343" s="5"/>
      <c r="Z343" s="7"/>
      <c r="AA343" s="5"/>
      <c r="AB343" s="5"/>
      <c r="AC343" s="5"/>
      <c r="AD343" s="5"/>
      <c r="AE343" s="5"/>
      <c r="AF343" s="5"/>
      <c r="AG343" s="5"/>
      <c r="AH343" s="5"/>
      <c r="AI343" s="5"/>
    </row>
    <row r="344" spans="1:35" ht="15.75" customHeight="1">
      <c r="A344" s="5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5"/>
      <c r="T344" s="5"/>
      <c r="U344" s="104"/>
      <c r="V344" s="5"/>
      <c r="W344" s="5"/>
      <c r="X344" s="5"/>
      <c r="Y344" s="5"/>
      <c r="Z344" s="7"/>
      <c r="AA344" s="5"/>
      <c r="AB344" s="5"/>
      <c r="AC344" s="5"/>
      <c r="AD344" s="5"/>
      <c r="AE344" s="5"/>
      <c r="AF344" s="5"/>
      <c r="AG344" s="5"/>
      <c r="AH344" s="5"/>
      <c r="AI344" s="5"/>
    </row>
    <row r="345" spans="1:35" ht="15.75" customHeight="1">
      <c r="A345" s="5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5"/>
      <c r="T345" s="5"/>
      <c r="U345" s="104"/>
      <c r="V345" s="5"/>
      <c r="W345" s="5"/>
      <c r="X345" s="5"/>
      <c r="Y345" s="5"/>
      <c r="Z345" s="7"/>
      <c r="AA345" s="5"/>
      <c r="AB345" s="5"/>
      <c r="AC345" s="5"/>
      <c r="AD345" s="5"/>
      <c r="AE345" s="5"/>
      <c r="AF345" s="5"/>
      <c r="AG345" s="5"/>
      <c r="AH345" s="5"/>
      <c r="AI345" s="5"/>
    </row>
    <row r="346" spans="1:35" ht="15.75" customHeight="1">
      <c r="A346" s="5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5"/>
      <c r="T346" s="5"/>
      <c r="U346" s="104"/>
      <c r="V346" s="5"/>
      <c r="W346" s="5"/>
      <c r="X346" s="5"/>
      <c r="Y346" s="5"/>
      <c r="Z346" s="7"/>
      <c r="AA346" s="5"/>
      <c r="AB346" s="5"/>
      <c r="AC346" s="5"/>
      <c r="AD346" s="5"/>
      <c r="AE346" s="5"/>
      <c r="AF346" s="5"/>
      <c r="AG346" s="5"/>
      <c r="AH346" s="5"/>
      <c r="AI346" s="5"/>
    </row>
    <row r="347" spans="1:35" ht="15.75" customHeight="1">
      <c r="A347" s="5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5"/>
      <c r="T347" s="5"/>
      <c r="U347" s="104"/>
      <c r="V347" s="5"/>
      <c r="W347" s="5"/>
      <c r="X347" s="5"/>
      <c r="Y347" s="5"/>
      <c r="Z347" s="7"/>
      <c r="AA347" s="5"/>
      <c r="AB347" s="5"/>
      <c r="AC347" s="5"/>
      <c r="AD347" s="5"/>
      <c r="AE347" s="5"/>
      <c r="AF347" s="5"/>
      <c r="AG347" s="5"/>
      <c r="AH347" s="5"/>
      <c r="AI347" s="5"/>
    </row>
    <row r="348" spans="1:35" ht="15.75" customHeight="1">
      <c r="A348" s="5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5"/>
      <c r="T348" s="5"/>
      <c r="U348" s="104"/>
      <c r="V348" s="5"/>
      <c r="W348" s="5"/>
      <c r="X348" s="5"/>
      <c r="Y348" s="5"/>
      <c r="Z348" s="7"/>
      <c r="AA348" s="5"/>
      <c r="AB348" s="5"/>
      <c r="AC348" s="5"/>
      <c r="AD348" s="5"/>
      <c r="AE348" s="5"/>
      <c r="AF348" s="5"/>
      <c r="AG348" s="5"/>
      <c r="AH348" s="5"/>
      <c r="AI348" s="5"/>
    </row>
    <row r="349" spans="1:35" ht="15.75" customHeight="1">
      <c r="A349" s="5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5"/>
      <c r="T349" s="5"/>
      <c r="U349" s="104"/>
      <c r="V349" s="5"/>
      <c r="W349" s="5"/>
      <c r="X349" s="5"/>
      <c r="Y349" s="5"/>
      <c r="Z349" s="7"/>
      <c r="AA349" s="5"/>
      <c r="AB349" s="5"/>
      <c r="AC349" s="5"/>
      <c r="AD349" s="5"/>
      <c r="AE349" s="5"/>
      <c r="AF349" s="5"/>
      <c r="AG349" s="5"/>
      <c r="AH349" s="5"/>
      <c r="AI349" s="5"/>
    </row>
    <row r="350" spans="1:35" ht="15.75" customHeight="1">
      <c r="A350" s="5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5"/>
      <c r="T350" s="5"/>
      <c r="U350" s="104"/>
      <c r="V350" s="5"/>
      <c r="W350" s="5"/>
      <c r="X350" s="5"/>
      <c r="Y350" s="5"/>
      <c r="Z350" s="7"/>
      <c r="AA350" s="5"/>
      <c r="AB350" s="5"/>
      <c r="AC350" s="5"/>
      <c r="AD350" s="5"/>
      <c r="AE350" s="5"/>
      <c r="AF350" s="5"/>
      <c r="AG350" s="5"/>
      <c r="AH350" s="5"/>
      <c r="AI350" s="5"/>
    </row>
    <row r="351" spans="1:35" ht="15.75" customHeight="1">
      <c r="A351" s="5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5"/>
      <c r="T351" s="5"/>
      <c r="U351" s="104"/>
      <c r="V351" s="5"/>
      <c r="W351" s="5"/>
      <c r="X351" s="5"/>
      <c r="Y351" s="5"/>
      <c r="Z351" s="7"/>
      <c r="AA351" s="5"/>
      <c r="AB351" s="5"/>
      <c r="AC351" s="5"/>
      <c r="AD351" s="5"/>
      <c r="AE351" s="5"/>
      <c r="AF351" s="5"/>
      <c r="AG351" s="5"/>
      <c r="AH351" s="5"/>
      <c r="AI351" s="5"/>
    </row>
    <row r="352" spans="1:35" ht="15.75" customHeight="1">
      <c r="A352" s="5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5"/>
      <c r="T352" s="5"/>
      <c r="U352" s="104"/>
      <c r="V352" s="5"/>
      <c r="W352" s="5"/>
      <c r="X352" s="5"/>
      <c r="Y352" s="5"/>
      <c r="Z352" s="7"/>
      <c r="AA352" s="5"/>
      <c r="AB352" s="5"/>
      <c r="AC352" s="5"/>
      <c r="AD352" s="5"/>
      <c r="AE352" s="5"/>
      <c r="AF352" s="5"/>
      <c r="AG352" s="5"/>
      <c r="AH352" s="5"/>
      <c r="AI352" s="5"/>
    </row>
    <row r="353" spans="1:35" ht="15.75" customHeight="1">
      <c r="A353" s="5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5"/>
      <c r="T353" s="5"/>
      <c r="U353" s="104"/>
      <c r="V353" s="5"/>
      <c r="W353" s="5"/>
      <c r="X353" s="5"/>
      <c r="Y353" s="5"/>
      <c r="Z353" s="7"/>
      <c r="AA353" s="5"/>
      <c r="AB353" s="5"/>
      <c r="AC353" s="5"/>
      <c r="AD353" s="5"/>
      <c r="AE353" s="5"/>
      <c r="AF353" s="5"/>
      <c r="AG353" s="5"/>
      <c r="AH353" s="5"/>
      <c r="AI353" s="5"/>
    </row>
    <row r="354" spans="1:35" ht="15.75" customHeight="1">
      <c r="A354" s="5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5"/>
      <c r="T354" s="5"/>
      <c r="U354" s="104"/>
      <c r="V354" s="5"/>
      <c r="W354" s="5"/>
      <c r="X354" s="5"/>
      <c r="Y354" s="5"/>
      <c r="Z354" s="7"/>
      <c r="AA354" s="5"/>
      <c r="AB354" s="5"/>
      <c r="AC354" s="5"/>
      <c r="AD354" s="5"/>
      <c r="AE354" s="5"/>
      <c r="AF354" s="5"/>
      <c r="AG354" s="5"/>
      <c r="AH354" s="5"/>
      <c r="AI354" s="5"/>
    </row>
    <row r="355" spans="1:35" ht="15.75" customHeight="1">
      <c r="A355" s="5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5"/>
      <c r="T355" s="5"/>
      <c r="U355" s="104"/>
      <c r="V355" s="5"/>
      <c r="W355" s="5"/>
      <c r="X355" s="5"/>
      <c r="Y355" s="5"/>
      <c r="Z355" s="7"/>
      <c r="AA355" s="5"/>
      <c r="AB355" s="5"/>
      <c r="AC355" s="5"/>
      <c r="AD355" s="5"/>
      <c r="AE355" s="5"/>
      <c r="AF355" s="5"/>
      <c r="AG355" s="5"/>
      <c r="AH355" s="5"/>
      <c r="AI355" s="5"/>
    </row>
    <row r="356" spans="1:35" ht="15.75" customHeight="1">
      <c r="A356" s="5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5"/>
      <c r="T356" s="5"/>
      <c r="U356" s="104"/>
      <c r="V356" s="5"/>
      <c r="W356" s="5"/>
      <c r="X356" s="5"/>
      <c r="Y356" s="5"/>
      <c r="Z356" s="7"/>
      <c r="AA356" s="5"/>
      <c r="AB356" s="5"/>
      <c r="AC356" s="5"/>
      <c r="AD356" s="5"/>
      <c r="AE356" s="5"/>
      <c r="AF356" s="5"/>
      <c r="AG356" s="5"/>
      <c r="AH356" s="5"/>
      <c r="AI356" s="5"/>
    </row>
    <row r="357" spans="1:35" ht="15.75" customHeight="1">
      <c r="A357" s="5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5"/>
      <c r="T357" s="5"/>
      <c r="U357" s="104"/>
      <c r="V357" s="5"/>
      <c r="W357" s="5"/>
      <c r="X357" s="5"/>
      <c r="Y357" s="5"/>
      <c r="Z357" s="7"/>
      <c r="AA357" s="5"/>
      <c r="AB357" s="5"/>
      <c r="AC357" s="5"/>
      <c r="AD357" s="5"/>
      <c r="AE357" s="5"/>
      <c r="AF357" s="5"/>
      <c r="AG357" s="5"/>
      <c r="AH357" s="5"/>
      <c r="AI357" s="5"/>
    </row>
    <row r="358" spans="1:35" ht="15.75" customHeight="1">
      <c r="A358" s="5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5"/>
      <c r="T358" s="5"/>
      <c r="U358" s="104"/>
      <c r="V358" s="5"/>
      <c r="W358" s="5"/>
      <c r="X358" s="5"/>
      <c r="Y358" s="5"/>
      <c r="Z358" s="7"/>
      <c r="AA358" s="5"/>
      <c r="AB358" s="5"/>
      <c r="AC358" s="5"/>
      <c r="AD358" s="5"/>
      <c r="AE358" s="5"/>
      <c r="AF358" s="5"/>
      <c r="AG358" s="5"/>
      <c r="AH358" s="5"/>
      <c r="AI358" s="5"/>
    </row>
    <row r="359" spans="1:35" ht="15.75" customHeight="1">
      <c r="A359" s="5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5"/>
      <c r="T359" s="5"/>
      <c r="U359" s="104"/>
      <c r="V359" s="5"/>
      <c r="W359" s="5"/>
      <c r="X359" s="5"/>
      <c r="Y359" s="5"/>
      <c r="Z359" s="7"/>
      <c r="AA359" s="5"/>
      <c r="AB359" s="5"/>
      <c r="AC359" s="5"/>
      <c r="AD359" s="5"/>
      <c r="AE359" s="5"/>
      <c r="AF359" s="5"/>
      <c r="AG359" s="5"/>
      <c r="AH359" s="5"/>
      <c r="AI359" s="5"/>
    </row>
    <row r="360" spans="1:35" ht="15.75" customHeight="1">
      <c r="A360" s="5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5"/>
      <c r="T360" s="5"/>
      <c r="U360" s="104"/>
      <c r="V360" s="5"/>
      <c r="W360" s="5"/>
      <c r="X360" s="5"/>
      <c r="Y360" s="5"/>
      <c r="Z360" s="7"/>
      <c r="AA360" s="5"/>
      <c r="AB360" s="5"/>
      <c r="AC360" s="5"/>
      <c r="AD360" s="5"/>
      <c r="AE360" s="5"/>
      <c r="AF360" s="5"/>
      <c r="AG360" s="5"/>
      <c r="AH360" s="5"/>
      <c r="AI360" s="5"/>
    </row>
    <row r="361" spans="1:35" ht="15.75" customHeight="1">
      <c r="A361" s="5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5"/>
      <c r="T361" s="5"/>
      <c r="U361" s="104"/>
      <c r="V361" s="5"/>
      <c r="W361" s="5"/>
      <c r="X361" s="5"/>
      <c r="Y361" s="5"/>
      <c r="Z361" s="7"/>
      <c r="AA361" s="5"/>
      <c r="AB361" s="5"/>
      <c r="AC361" s="5"/>
      <c r="AD361" s="5"/>
      <c r="AE361" s="5"/>
      <c r="AF361" s="5"/>
      <c r="AG361" s="5"/>
      <c r="AH361" s="5"/>
      <c r="AI361" s="5"/>
    </row>
    <row r="362" spans="1:35" ht="15.75" customHeight="1">
      <c r="A362" s="5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5"/>
      <c r="T362" s="5"/>
      <c r="U362" s="104"/>
      <c r="V362" s="5"/>
      <c r="W362" s="5"/>
      <c r="X362" s="5"/>
      <c r="Y362" s="5"/>
      <c r="Z362" s="7"/>
      <c r="AA362" s="5"/>
      <c r="AB362" s="5"/>
      <c r="AC362" s="5"/>
      <c r="AD362" s="5"/>
      <c r="AE362" s="5"/>
      <c r="AF362" s="5"/>
      <c r="AG362" s="5"/>
      <c r="AH362" s="5"/>
      <c r="AI362" s="5"/>
    </row>
    <row r="363" spans="1:35" ht="15.75" customHeight="1">
      <c r="A363" s="5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5"/>
      <c r="T363" s="5"/>
      <c r="U363" s="104"/>
      <c r="V363" s="5"/>
      <c r="W363" s="5"/>
      <c r="X363" s="5"/>
      <c r="Y363" s="5"/>
      <c r="Z363" s="7"/>
      <c r="AA363" s="5"/>
      <c r="AB363" s="5"/>
      <c r="AC363" s="5"/>
      <c r="AD363" s="5"/>
      <c r="AE363" s="5"/>
      <c r="AF363" s="5"/>
      <c r="AG363" s="5"/>
      <c r="AH363" s="5"/>
      <c r="AI363" s="5"/>
    </row>
    <row r="364" spans="1:35" ht="15.75" customHeight="1">
      <c r="A364" s="5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5"/>
      <c r="T364" s="5"/>
      <c r="U364" s="104"/>
      <c r="V364" s="5"/>
      <c r="W364" s="5"/>
      <c r="X364" s="5"/>
      <c r="Y364" s="5"/>
      <c r="Z364" s="7"/>
      <c r="AA364" s="5"/>
      <c r="AB364" s="5"/>
      <c r="AC364" s="5"/>
      <c r="AD364" s="5"/>
      <c r="AE364" s="5"/>
      <c r="AF364" s="5"/>
      <c r="AG364" s="5"/>
      <c r="AH364" s="5"/>
      <c r="AI364" s="5"/>
    </row>
    <row r="365" spans="1:35" ht="15.75" customHeight="1">
      <c r="A365" s="5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5"/>
      <c r="T365" s="5"/>
      <c r="U365" s="104"/>
      <c r="V365" s="5"/>
      <c r="W365" s="5"/>
      <c r="X365" s="5"/>
      <c r="Y365" s="5"/>
      <c r="Z365" s="7"/>
      <c r="AA365" s="5"/>
      <c r="AB365" s="5"/>
      <c r="AC365" s="5"/>
      <c r="AD365" s="5"/>
      <c r="AE365" s="5"/>
      <c r="AF365" s="5"/>
      <c r="AG365" s="5"/>
      <c r="AH365" s="5"/>
      <c r="AI365" s="5"/>
    </row>
    <row r="366" spans="1:35" ht="15.75" customHeight="1">
      <c r="A366" s="5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5"/>
      <c r="T366" s="5"/>
      <c r="U366" s="104"/>
      <c r="V366" s="5"/>
      <c r="W366" s="5"/>
      <c r="X366" s="5"/>
      <c r="Y366" s="5"/>
      <c r="Z366" s="7"/>
      <c r="AA366" s="5"/>
      <c r="AB366" s="5"/>
      <c r="AC366" s="5"/>
      <c r="AD366" s="5"/>
      <c r="AE366" s="5"/>
      <c r="AF366" s="5"/>
      <c r="AG366" s="5"/>
      <c r="AH366" s="5"/>
      <c r="AI366" s="5"/>
    </row>
    <row r="367" spans="1:35" ht="15.75" customHeight="1">
      <c r="A367" s="5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5"/>
      <c r="T367" s="5"/>
      <c r="U367" s="104"/>
      <c r="V367" s="5"/>
      <c r="W367" s="5"/>
      <c r="X367" s="5"/>
      <c r="Y367" s="5"/>
      <c r="Z367" s="7"/>
      <c r="AA367" s="5"/>
      <c r="AB367" s="5"/>
      <c r="AC367" s="5"/>
      <c r="AD367" s="5"/>
      <c r="AE367" s="5"/>
      <c r="AF367" s="5"/>
      <c r="AG367" s="5"/>
      <c r="AH367" s="5"/>
      <c r="AI367" s="5"/>
    </row>
    <row r="368" spans="1:35" ht="15.75" customHeight="1">
      <c r="A368" s="5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5"/>
      <c r="T368" s="5"/>
      <c r="U368" s="104"/>
      <c r="V368" s="5"/>
      <c r="W368" s="5"/>
      <c r="X368" s="5"/>
      <c r="Y368" s="5"/>
      <c r="Z368" s="7"/>
      <c r="AA368" s="5"/>
      <c r="AB368" s="5"/>
      <c r="AC368" s="5"/>
      <c r="AD368" s="5"/>
      <c r="AE368" s="5"/>
      <c r="AF368" s="5"/>
      <c r="AG368" s="5"/>
      <c r="AH368" s="5"/>
      <c r="AI368" s="5"/>
    </row>
    <row r="369" spans="1:35" ht="15.75" customHeight="1">
      <c r="A369" s="5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5"/>
      <c r="T369" s="5"/>
      <c r="U369" s="104"/>
      <c r="V369" s="5"/>
      <c r="W369" s="5"/>
      <c r="X369" s="5"/>
      <c r="Y369" s="5"/>
      <c r="Z369" s="7"/>
      <c r="AA369" s="5"/>
      <c r="AB369" s="5"/>
      <c r="AC369" s="5"/>
      <c r="AD369" s="5"/>
      <c r="AE369" s="5"/>
      <c r="AF369" s="5"/>
      <c r="AG369" s="5"/>
      <c r="AH369" s="5"/>
      <c r="AI369" s="5"/>
    </row>
    <row r="370" spans="1:35" ht="15.75" customHeight="1">
      <c r="A370" s="5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5"/>
      <c r="T370" s="5"/>
      <c r="U370" s="104"/>
      <c r="V370" s="5"/>
      <c r="W370" s="5"/>
      <c r="X370" s="5"/>
      <c r="Y370" s="5"/>
      <c r="Z370" s="7"/>
      <c r="AA370" s="5"/>
      <c r="AB370" s="5"/>
      <c r="AC370" s="5"/>
      <c r="AD370" s="5"/>
      <c r="AE370" s="5"/>
      <c r="AF370" s="5"/>
      <c r="AG370" s="5"/>
      <c r="AH370" s="5"/>
      <c r="AI370" s="5"/>
    </row>
    <row r="371" spans="1:35" ht="15.75" customHeight="1">
      <c r="A371" s="5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5"/>
      <c r="T371" s="5"/>
      <c r="U371" s="104"/>
      <c r="V371" s="5"/>
      <c r="W371" s="5"/>
      <c r="X371" s="5"/>
      <c r="Y371" s="5"/>
      <c r="Z371" s="7"/>
      <c r="AA371" s="5"/>
      <c r="AB371" s="5"/>
      <c r="AC371" s="5"/>
      <c r="AD371" s="5"/>
      <c r="AE371" s="5"/>
      <c r="AF371" s="5"/>
      <c r="AG371" s="5"/>
      <c r="AH371" s="5"/>
      <c r="AI371" s="5"/>
    </row>
    <row r="372" spans="1:35" ht="15.75" customHeight="1">
      <c r="A372" s="5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5"/>
      <c r="T372" s="5"/>
      <c r="U372" s="104"/>
      <c r="V372" s="5"/>
      <c r="W372" s="5"/>
      <c r="X372" s="5"/>
      <c r="Y372" s="5"/>
      <c r="Z372" s="7"/>
      <c r="AA372" s="5"/>
      <c r="AB372" s="5"/>
      <c r="AC372" s="5"/>
      <c r="AD372" s="5"/>
      <c r="AE372" s="5"/>
      <c r="AF372" s="5"/>
      <c r="AG372" s="5"/>
      <c r="AH372" s="5"/>
      <c r="AI372" s="5"/>
    </row>
    <row r="373" spans="1:35" ht="15.75" customHeight="1">
      <c r="A373" s="5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5"/>
      <c r="T373" s="5"/>
      <c r="U373" s="104"/>
      <c r="V373" s="5"/>
      <c r="W373" s="5"/>
      <c r="X373" s="5"/>
      <c r="Y373" s="5"/>
      <c r="Z373" s="7"/>
      <c r="AA373" s="5"/>
      <c r="AB373" s="5"/>
      <c r="AC373" s="5"/>
      <c r="AD373" s="5"/>
      <c r="AE373" s="5"/>
      <c r="AF373" s="5"/>
      <c r="AG373" s="5"/>
      <c r="AH373" s="5"/>
      <c r="AI373" s="5"/>
    </row>
    <row r="374" spans="1:35" ht="15.75" customHeight="1">
      <c r="A374" s="5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5"/>
      <c r="T374" s="5"/>
      <c r="U374" s="104"/>
      <c r="V374" s="5"/>
      <c r="W374" s="5"/>
      <c r="X374" s="5"/>
      <c r="Y374" s="5"/>
      <c r="Z374" s="7"/>
      <c r="AA374" s="5"/>
      <c r="AB374" s="5"/>
      <c r="AC374" s="5"/>
      <c r="AD374" s="5"/>
      <c r="AE374" s="5"/>
      <c r="AF374" s="5"/>
      <c r="AG374" s="5"/>
      <c r="AH374" s="5"/>
      <c r="AI374" s="5"/>
    </row>
    <row r="375" spans="1:35" ht="15.75" customHeight="1">
      <c r="A375" s="5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5"/>
      <c r="T375" s="5"/>
      <c r="U375" s="104"/>
      <c r="V375" s="5"/>
      <c r="W375" s="5"/>
      <c r="X375" s="5"/>
      <c r="Y375" s="5"/>
      <c r="Z375" s="7"/>
      <c r="AA375" s="5"/>
      <c r="AB375" s="5"/>
      <c r="AC375" s="5"/>
      <c r="AD375" s="5"/>
      <c r="AE375" s="5"/>
      <c r="AF375" s="5"/>
      <c r="AG375" s="5"/>
      <c r="AH375" s="5"/>
      <c r="AI375" s="5"/>
    </row>
    <row r="376" spans="1:35" ht="15.75" customHeight="1">
      <c r="A376" s="5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5"/>
      <c r="T376" s="5"/>
      <c r="U376" s="104"/>
      <c r="V376" s="5"/>
      <c r="W376" s="5"/>
      <c r="X376" s="5"/>
      <c r="Y376" s="5"/>
      <c r="Z376" s="7"/>
      <c r="AA376" s="5"/>
      <c r="AB376" s="5"/>
      <c r="AC376" s="5"/>
      <c r="AD376" s="5"/>
      <c r="AE376" s="5"/>
      <c r="AF376" s="5"/>
      <c r="AG376" s="5"/>
      <c r="AH376" s="5"/>
      <c r="AI376" s="5"/>
    </row>
    <row r="377" spans="1:35" ht="15.75" customHeight="1">
      <c r="A377" s="5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5"/>
      <c r="T377" s="5"/>
      <c r="U377" s="104"/>
      <c r="V377" s="5"/>
      <c r="W377" s="5"/>
      <c r="X377" s="5"/>
      <c r="Y377" s="5"/>
      <c r="Z377" s="7"/>
      <c r="AA377" s="5"/>
      <c r="AB377" s="5"/>
      <c r="AC377" s="5"/>
      <c r="AD377" s="5"/>
      <c r="AE377" s="5"/>
      <c r="AF377" s="5"/>
      <c r="AG377" s="5"/>
      <c r="AH377" s="5"/>
      <c r="AI377" s="5"/>
    </row>
    <row r="378" spans="1:35" ht="15.75" customHeight="1">
      <c r="A378" s="5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5"/>
      <c r="T378" s="5"/>
      <c r="U378" s="104"/>
      <c r="V378" s="5"/>
      <c r="W378" s="5"/>
      <c r="X378" s="5"/>
      <c r="Y378" s="5"/>
      <c r="Z378" s="7"/>
      <c r="AA378" s="5"/>
      <c r="AB378" s="5"/>
      <c r="AC378" s="5"/>
      <c r="AD378" s="5"/>
      <c r="AE378" s="5"/>
      <c r="AF378" s="5"/>
      <c r="AG378" s="5"/>
      <c r="AH378" s="5"/>
      <c r="AI378" s="5"/>
    </row>
    <row r="379" spans="1:35" ht="15.75" customHeight="1">
      <c r="A379" s="5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5"/>
      <c r="T379" s="5"/>
      <c r="U379" s="104"/>
      <c r="V379" s="5"/>
      <c r="W379" s="5"/>
      <c r="X379" s="5"/>
      <c r="Y379" s="5"/>
      <c r="Z379" s="7"/>
      <c r="AA379" s="5"/>
      <c r="AB379" s="5"/>
      <c r="AC379" s="5"/>
      <c r="AD379" s="5"/>
      <c r="AE379" s="5"/>
      <c r="AF379" s="5"/>
      <c r="AG379" s="5"/>
      <c r="AH379" s="5"/>
      <c r="AI379" s="5"/>
    </row>
    <row r="380" spans="1:35" ht="15.75" customHeight="1">
      <c r="A380" s="5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5"/>
      <c r="T380" s="5"/>
      <c r="U380" s="104"/>
      <c r="V380" s="5"/>
      <c r="W380" s="5"/>
      <c r="X380" s="5"/>
      <c r="Y380" s="5"/>
      <c r="Z380" s="7"/>
      <c r="AA380" s="5"/>
      <c r="AB380" s="5"/>
      <c r="AC380" s="5"/>
      <c r="AD380" s="5"/>
      <c r="AE380" s="5"/>
      <c r="AF380" s="5"/>
      <c r="AG380" s="5"/>
      <c r="AH380" s="5"/>
      <c r="AI380" s="5"/>
    </row>
    <row r="381" spans="1:35" ht="15.75" customHeight="1">
      <c r="A381" s="5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5"/>
      <c r="T381" s="5"/>
      <c r="U381" s="104"/>
      <c r="V381" s="5"/>
      <c r="W381" s="5"/>
      <c r="X381" s="5"/>
      <c r="Y381" s="5"/>
      <c r="Z381" s="7"/>
      <c r="AA381" s="5"/>
      <c r="AB381" s="5"/>
      <c r="AC381" s="5"/>
      <c r="AD381" s="5"/>
      <c r="AE381" s="5"/>
      <c r="AF381" s="5"/>
      <c r="AG381" s="5"/>
      <c r="AH381" s="5"/>
      <c r="AI381" s="5"/>
    </row>
    <row r="382" spans="1:35" ht="15.75" customHeight="1">
      <c r="A382" s="5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5"/>
      <c r="T382" s="5"/>
      <c r="U382" s="104"/>
      <c r="V382" s="5"/>
      <c r="W382" s="5"/>
      <c r="X382" s="5"/>
      <c r="Y382" s="5"/>
      <c r="Z382" s="7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ht="15.75" customHeight="1">
      <c r="A383" s="5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5"/>
      <c r="T383" s="5"/>
      <c r="U383" s="104"/>
      <c r="V383" s="5"/>
      <c r="W383" s="5"/>
      <c r="X383" s="5"/>
      <c r="Y383" s="5"/>
      <c r="Z383" s="7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 ht="15.75" customHeight="1">
      <c r="A384" s="5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5"/>
      <c r="T384" s="5"/>
      <c r="U384" s="104"/>
      <c r="V384" s="5"/>
      <c r="W384" s="5"/>
      <c r="X384" s="5"/>
      <c r="Y384" s="5"/>
      <c r="Z384" s="7"/>
      <c r="AA384" s="5"/>
      <c r="AB384" s="5"/>
      <c r="AC384" s="5"/>
      <c r="AD384" s="5"/>
      <c r="AE384" s="5"/>
      <c r="AF384" s="5"/>
      <c r="AG384" s="5"/>
      <c r="AH384" s="5"/>
      <c r="AI384" s="5"/>
    </row>
    <row r="385" spans="1:35" ht="15.75" customHeight="1">
      <c r="A385" s="5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5"/>
      <c r="T385" s="5"/>
      <c r="U385" s="104"/>
      <c r="V385" s="5"/>
      <c r="W385" s="5"/>
      <c r="X385" s="5"/>
      <c r="Y385" s="5"/>
      <c r="Z385" s="7"/>
      <c r="AA385" s="5"/>
      <c r="AB385" s="5"/>
      <c r="AC385" s="5"/>
      <c r="AD385" s="5"/>
      <c r="AE385" s="5"/>
      <c r="AF385" s="5"/>
      <c r="AG385" s="5"/>
      <c r="AH385" s="5"/>
      <c r="AI385" s="5"/>
    </row>
    <row r="386" spans="1:35" ht="15.75" customHeight="1">
      <c r="A386" s="5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5"/>
      <c r="T386" s="5"/>
      <c r="U386" s="104"/>
      <c r="V386" s="5"/>
      <c r="W386" s="5"/>
      <c r="X386" s="5"/>
      <c r="Y386" s="5"/>
      <c r="Z386" s="7"/>
      <c r="AA386" s="5"/>
      <c r="AB386" s="5"/>
      <c r="AC386" s="5"/>
      <c r="AD386" s="5"/>
      <c r="AE386" s="5"/>
      <c r="AF386" s="5"/>
      <c r="AG386" s="5"/>
      <c r="AH386" s="5"/>
      <c r="AI386" s="5"/>
    </row>
    <row r="387" spans="1:35" ht="15.75" customHeight="1">
      <c r="A387" s="5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5"/>
      <c r="T387" s="5"/>
      <c r="U387" s="104"/>
      <c r="V387" s="5"/>
      <c r="W387" s="5"/>
      <c r="X387" s="5"/>
      <c r="Y387" s="5"/>
      <c r="Z387" s="7"/>
      <c r="AA387" s="5"/>
      <c r="AB387" s="5"/>
      <c r="AC387" s="5"/>
      <c r="AD387" s="5"/>
      <c r="AE387" s="5"/>
      <c r="AF387" s="5"/>
      <c r="AG387" s="5"/>
      <c r="AH387" s="5"/>
      <c r="AI387" s="5"/>
    </row>
    <row r="388" spans="1:35" ht="15.75" customHeight="1">
      <c r="A388" s="5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5"/>
      <c r="T388" s="5"/>
      <c r="U388" s="104"/>
      <c r="V388" s="5"/>
      <c r="W388" s="5"/>
      <c r="X388" s="5"/>
      <c r="Y388" s="5"/>
      <c r="Z388" s="7"/>
      <c r="AA388" s="5"/>
      <c r="AB388" s="5"/>
      <c r="AC388" s="5"/>
      <c r="AD388" s="5"/>
      <c r="AE388" s="5"/>
      <c r="AF388" s="5"/>
      <c r="AG388" s="5"/>
      <c r="AH388" s="5"/>
      <c r="AI388" s="5"/>
    </row>
    <row r="389" spans="1:35" ht="15.75" customHeight="1">
      <c r="A389" s="5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5"/>
      <c r="T389" s="5"/>
      <c r="U389" s="104"/>
      <c r="V389" s="5"/>
      <c r="W389" s="5"/>
      <c r="X389" s="5"/>
      <c r="Y389" s="5"/>
      <c r="Z389" s="7"/>
      <c r="AA389" s="5"/>
      <c r="AB389" s="5"/>
      <c r="AC389" s="5"/>
      <c r="AD389" s="5"/>
      <c r="AE389" s="5"/>
      <c r="AF389" s="5"/>
      <c r="AG389" s="5"/>
      <c r="AH389" s="5"/>
      <c r="AI389" s="5"/>
    </row>
    <row r="390" spans="1:35" ht="15.75" customHeight="1">
      <c r="A390" s="5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5"/>
      <c r="T390" s="5"/>
      <c r="U390" s="104"/>
      <c r="V390" s="5"/>
      <c r="W390" s="5"/>
      <c r="X390" s="5"/>
      <c r="Y390" s="5"/>
      <c r="Z390" s="7"/>
      <c r="AA390" s="5"/>
      <c r="AB390" s="5"/>
      <c r="AC390" s="5"/>
      <c r="AD390" s="5"/>
      <c r="AE390" s="5"/>
      <c r="AF390" s="5"/>
      <c r="AG390" s="5"/>
      <c r="AH390" s="5"/>
      <c r="AI390" s="5"/>
    </row>
    <row r="391" spans="1:35" ht="15.75" customHeight="1">
      <c r="A391" s="5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5"/>
      <c r="T391" s="5"/>
      <c r="U391" s="104"/>
      <c r="V391" s="5"/>
      <c r="W391" s="5"/>
      <c r="X391" s="5"/>
      <c r="Y391" s="5"/>
      <c r="Z391" s="7"/>
      <c r="AA391" s="5"/>
      <c r="AB391" s="5"/>
      <c r="AC391" s="5"/>
      <c r="AD391" s="5"/>
      <c r="AE391" s="5"/>
      <c r="AF391" s="5"/>
      <c r="AG391" s="5"/>
      <c r="AH391" s="5"/>
      <c r="AI391" s="5"/>
    </row>
    <row r="392" spans="1:35" ht="15.75" customHeight="1">
      <c r="A392" s="5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5"/>
      <c r="T392" s="5"/>
      <c r="U392" s="104"/>
      <c r="V392" s="5"/>
      <c r="W392" s="5"/>
      <c r="X392" s="5"/>
      <c r="Y392" s="5"/>
      <c r="Z392" s="7"/>
      <c r="AA392" s="5"/>
      <c r="AB392" s="5"/>
      <c r="AC392" s="5"/>
      <c r="AD392" s="5"/>
      <c r="AE392" s="5"/>
      <c r="AF392" s="5"/>
      <c r="AG392" s="5"/>
      <c r="AH392" s="5"/>
      <c r="AI392" s="5"/>
    </row>
    <row r="393" spans="1:35" ht="15.75" customHeight="1">
      <c r="A393" s="5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5"/>
      <c r="T393" s="5"/>
      <c r="U393" s="104"/>
      <c r="V393" s="5"/>
      <c r="W393" s="5"/>
      <c r="X393" s="5"/>
      <c r="Y393" s="5"/>
      <c r="Z393" s="7"/>
      <c r="AA393" s="5"/>
      <c r="AB393" s="5"/>
      <c r="AC393" s="5"/>
      <c r="AD393" s="5"/>
      <c r="AE393" s="5"/>
      <c r="AF393" s="5"/>
      <c r="AG393" s="5"/>
      <c r="AH393" s="5"/>
      <c r="AI393" s="5"/>
    </row>
    <row r="394" spans="1:35" ht="15.75" customHeight="1">
      <c r="A394" s="5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5"/>
      <c r="T394" s="5"/>
      <c r="U394" s="104"/>
      <c r="V394" s="5"/>
      <c r="W394" s="5"/>
      <c r="X394" s="5"/>
      <c r="Y394" s="5"/>
      <c r="Z394" s="7"/>
      <c r="AA394" s="5"/>
      <c r="AB394" s="5"/>
      <c r="AC394" s="5"/>
      <c r="AD394" s="5"/>
      <c r="AE394" s="5"/>
      <c r="AF394" s="5"/>
      <c r="AG394" s="5"/>
      <c r="AH394" s="5"/>
      <c r="AI394" s="5"/>
    </row>
    <row r="395" spans="1:35" ht="15.75" customHeight="1">
      <c r="A395" s="5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5"/>
      <c r="T395" s="5"/>
      <c r="U395" s="104"/>
      <c r="V395" s="5"/>
      <c r="W395" s="5"/>
      <c r="X395" s="5"/>
      <c r="Y395" s="5"/>
      <c r="Z395" s="7"/>
      <c r="AA395" s="5"/>
      <c r="AB395" s="5"/>
      <c r="AC395" s="5"/>
      <c r="AD395" s="5"/>
      <c r="AE395" s="5"/>
      <c r="AF395" s="5"/>
      <c r="AG395" s="5"/>
      <c r="AH395" s="5"/>
      <c r="AI395" s="5"/>
    </row>
    <row r="396" spans="1:35" ht="15.75" customHeight="1">
      <c r="A396" s="5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5"/>
      <c r="T396" s="5"/>
      <c r="U396" s="104"/>
      <c r="V396" s="5"/>
      <c r="W396" s="5"/>
      <c r="X396" s="5"/>
      <c r="Y396" s="5"/>
      <c r="Z396" s="7"/>
      <c r="AA396" s="5"/>
      <c r="AB396" s="5"/>
      <c r="AC396" s="5"/>
      <c r="AD396" s="5"/>
      <c r="AE396" s="5"/>
      <c r="AF396" s="5"/>
      <c r="AG396" s="5"/>
      <c r="AH396" s="5"/>
      <c r="AI396" s="5"/>
    </row>
    <row r="397" spans="1:35" ht="15.75" customHeight="1">
      <c r="A397" s="5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5"/>
      <c r="T397" s="5"/>
      <c r="U397" s="104"/>
      <c r="V397" s="5"/>
      <c r="W397" s="5"/>
      <c r="X397" s="5"/>
      <c r="Y397" s="5"/>
      <c r="Z397" s="7"/>
      <c r="AA397" s="5"/>
      <c r="AB397" s="5"/>
      <c r="AC397" s="5"/>
      <c r="AD397" s="5"/>
      <c r="AE397" s="5"/>
      <c r="AF397" s="5"/>
      <c r="AG397" s="5"/>
      <c r="AH397" s="5"/>
      <c r="AI397" s="5"/>
    </row>
    <row r="398" spans="1:35" ht="15.75" customHeight="1">
      <c r="A398" s="5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5"/>
      <c r="T398" s="5"/>
      <c r="U398" s="104"/>
      <c r="V398" s="5"/>
      <c r="W398" s="5"/>
      <c r="X398" s="5"/>
      <c r="Y398" s="5"/>
      <c r="Z398" s="7"/>
      <c r="AA398" s="5"/>
      <c r="AB398" s="5"/>
      <c r="AC398" s="5"/>
      <c r="AD398" s="5"/>
      <c r="AE398" s="5"/>
      <c r="AF398" s="5"/>
      <c r="AG398" s="5"/>
      <c r="AH398" s="5"/>
      <c r="AI398" s="5"/>
    </row>
    <row r="399" spans="1:35" ht="15.75" customHeight="1">
      <c r="A399" s="5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5"/>
      <c r="T399" s="5"/>
      <c r="U399" s="104"/>
      <c r="V399" s="5"/>
      <c r="W399" s="5"/>
      <c r="X399" s="5"/>
      <c r="Y399" s="5"/>
      <c r="Z399" s="7"/>
      <c r="AA399" s="5"/>
      <c r="AB399" s="5"/>
      <c r="AC399" s="5"/>
      <c r="AD399" s="5"/>
      <c r="AE399" s="5"/>
      <c r="AF399" s="5"/>
      <c r="AG399" s="5"/>
      <c r="AH399" s="5"/>
      <c r="AI399" s="5"/>
    </row>
    <row r="400" spans="1:35" ht="15.75" customHeight="1">
      <c r="A400" s="5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5"/>
      <c r="T400" s="5"/>
      <c r="U400" s="104"/>
      <c r="V400" s="5"/>
      <c r="W400" s="5"/>
      <c r="X400" s="5"/>
      <c r="Y400" s="5"/>
      <c r="Z400" s="7"/>
      <c r="AA400" s="5"/>
      <c r="AB400" s="5"/>
      <c r="AC400" s="5"/>
      <c r="AD400" s="5"/>
      <c r="AE400" s="5"/>
      <c r="AF400" s="5"/>
      <c r="AG400" s="5"/>
      <c r="AH400" s="5"/>
      <c r="AI400" s="5"/>
    </row>
    <row r="401" spans="1:35" ht="15.75" customHeight="1">
      <c r="A401" s="5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5"/>
      <c r="T401" s="5"/>
      <c r="U401" s="104"/>
      <c r="V401" s="5"/>
      <c r="W401" s="5"/>
      <c r="X401" s="5"/>
      <c r="Y401" s="5"/>
      <c r="Z401" s="7"/>
      <c r="AA401" s="5"/>
      <c r="AB401" s="5"/>
      <c r="AC401" s="5"/>
      <c r="AD401" s="5"/>
      <c r="AE401" s="5"/>
      <c r="AF401" s="5"/>
      <c r="AG401" s="5"/>
      <c r="AH401" s="5"/>
      <c r="AI401" s="5"/>
    </row>
    <row r="402" spans="1:35" ht="15.75" customHeight="1">
      <c r="A402" s="5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5"/>
      <c r="T402" s="5"/>
      <c r="U402" s="104"/>
      <c r="V402" s="5"/>
      <c r="W402" s="5"/>
      <c r="X402" s="5"/>
      <c r="Y402" s="5"/>
      <c r="Z402" s="7"/>
      <c r="AA402" s="5"/>
      <c r="AB402" s="5"/>
      <c r="AC402" s="5"/>
      <c r="AD402" s="5"/>
      <c r="AE402" s="5"/>
      <c r="AF402" s="5"/>
      <c r="AG402" s="5"/>
      <c r="AH402" s="5"/>
      <c r="AI402" s="5"/>
    </row>
    <row r="403" spans="1:35" ht="15.75" customHeight="1">
      <c r="A403" s="5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5"/>
      <c r="T403" s="5"/>
      <c r="U403" s="104"/>
      <c r="V403" s="5"/>
      <c r="W403" s="5"/>
      <c r="X403" s="5"/>
      <c r="Y403" s="5"/>
      <c r="Z403" s="7"/>
      <c r="AA403" s="5"/>
      <c r="AB403" s="5"/>
      <c r="AC403" s="5"/>
      <c r="AD403" s="5"/>
      <c r="AE403" s="5"/>
      <c r="AF403" s="5"/>
      <c r="AG403" s="5"/>
      <c r="AH403" s="5"/>
      <c r="AI403" s="5"/>
    </row>
    <row r="404" spans="1:35" ht="15.75" customHeight="1">
      <c r="A404" s="5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5"/>
      <c r="T404" s="5"/>
      <c r="U404" s="104"/>
      <c r="V404" s="5"/>
      <c r="W404" s="5"/>
      <c r="X404" s="5"/>
      <c r="Y404" s="5"/>
      <c r="Z404" s="7"/>
      <c r="AA404" s="5"/>
      <c r="AB404" s="5"/>
      <c r="AC404" s="5"/>
      <c r="AD404" s="5"/>
      <c r="AE404" s="5"/>
      <c r="AF404" s="5"/>
      <c r="AG404" s="5"/>
      <c r="AH404" s="5"/>
      <c r="AI404" s="5"/>
    </row>
    <row r="405" spans="1:35" ht="15.75" customHeight="1">
      <c r="A405" s="5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5"/>
      <c r="T405" s="5"/>
      <c r="U405" s="104"/>
      <c r="V405" s="5"/>
      <c r="W405" s="5"/>
      <c r="X405" s="5"/>
      <c r="Y405" s="5"/>
      <c r="Z405" s="7"/>
      <c r="AA405" s="5"/>
      <c r="AB405" s="5"/>
      <c r="AC405" s="5"/>
      <c r="AD405" s="5"/>
      <c r="AE405" s="5"/>
      <c r="AF405" s="5"/>
      <c r="AG405" s="5"/>
      <c r="AH405" s="5"/>
      <c r="AI405" s="5"/>
    </row>
    <row r="406" spans="1:35" ht="15.75" customHeight="1">
      <c r="A406" s="5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5"/>
      <c r="T406" s="5"/>
      <c r="U406" s="104"/>
      <c r="V406" s="5"/>
      <c r="W406" s="5"/>
      <c r="X406" s="5"/>
      <c r="Y406" s="5"/>
      <c r="Z406" s="7"/>
      <c r="AA406" s="5"/>
      <c r="AB406" s="5"/>
      <c r="AC406" s="5"/>
      <c r="AD406" s="5"/>
      <c r="AE406" s="5"/>
      <c r="AF406" s="5"/>
      <c r="AG406" s="5"/>
      <c r="AH406" s="5"/>
      <c r="AI406" s="5"/>
    </row>
    <row r="407" spans="1:35" ht="15.75" customHeight="1">
      <c r="A407" s="5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5"/>
      <c r="T407" s="5"/>
      <c r="U407" s="104"/>
      <c r="V407" s="5"/>
      <c r="W407" s="5"/>
      <c r="X407" s="5"/>
      <c r="Y407" s="5"/>
      <c r="Z407" s="7"/>
      <c r="AA407" s="5"/>
      <c r="AB407" s="5"/>
      <c r="AC407" s="5"/>
      <c r="AD407" s="5"/>
      <c r="AE407" s="5"/>
      <c r="AF407" s="5"/>
      <c r="AG407" s="5"/>
      <c r="AH407" s="5"/>
      <c r="AI407" s="5"/>
    </row>
    <row r="408" spans="1:35" ht="15.75" customHeight="1">
      <c r="A408" s="5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5"/>
      <c r="T408" s="5"/>
      <c r="U408" s="104"/>
      <c r="V408" s="5"/>
      <c r="W408" s="5"/>
      <c r="X408" s="5"/>
      <c r="Y408" s="5"/>
      <c r="Z408" s="7"/>
      <c r="AA408" s="5"/>
      <c r="AB408" s="5"/>
      <c r="AC408" s="5"/>
      <c r="AD408" s="5"/>
      <c r="AE408" s="5"/>
      <c r="AF408" s="5"/>
      <c r="AG408" s="5"/>
      <c r="AH408" s="5"/>
      <c r="AI408" s="5"/>
    </row>
    <row r="409" spans="1:35" ht="15.75" customHeight="1">
      <c r="A409" s="5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5"/>
      <c r="T409" s="5"/>
      <c r="U409" s="104"/>
      <c r="V409" s="5"/>
      <c r="W409" s="5"/>
      <c r="X409" s="5"/>
      <c r="Y409" s="5"/>
      <c r="Z409" s="7"/>
      <c r="AA409" s="5"/>
      <c r="AB409" s="5"/>
      <c r="AC409" s="5"/>
      <c r="AD409" s="5"/>
      <c r="AE409" s="5"/>
      <c r="AF409" s="5"/>
      <c r="AG409" s="5"/>
      <c r="AH409" s="5"/>
      <c r="AI409" s="5"/>
    </row>
    <row r="410" spans="1:35" ht="15.75" customHeight="1">
      <c r="A410" s="5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5"/>
      <c r="T410" s="5"/>
      <c r="U410" s="104"/>
      <c r="V410" s="5"/>
      <c r="W410" s="5"/>
      <c r="X410" s="5"/>
      <c r="Y410" s="5"/>
      <c r="Z410" s="7"/>
      <c r="AA410" s="5"/>
      <c r="AB410" s="5"/>
      <c r="AC410" s="5"/>
      <c r="AD410" s="5"/>
      <c r="AE410" s="5"/>
      <c r="AF410" s="5"/>
      <c r="AG410" s="5"/>
      <c r="AH410" s="5"/>
      <c r="AI410" s="5"/>
    </row>
    <row r="411" spans="1:35" ht="15.75" customHeight="1">
      <c r="A411" s="5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5"/>
      <c r="T411" s="5"/>
      <c r="U411" s="104"/>
      <c r="V411" s="5"/>
      <c r="W411" s="5"/>
      <c r="X411" s="5"/>
      <c r="Y411" s="5"/>
      <c r="Z411" s="7"/>
      <c r="AA411" s="5"/>
      <c r="AB411" s="5"/>
      <c r="AC411" s="5"/>
      <c r="AD411" s="5"/>
      <c r="AE411" s="5"/>
      <c r="AF411" s="5"/>
      <c r="AG411" s="5"/>
      <c r="AH411" s="5"/>
      <c r="AI411" s="5"/>
    </row>
    <row r="412" spans="1:35" ht="15.75" customHeight="1">
      <c r="A412" s="5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5"/>
      <c r="T412" s="5"/>
      <c r="U412" s="104"/>
      <c r="V412" s="5"/>
      <c r="W412" s="5"/>
      <c r="X412" s="5"/>
      <c r="Y412" s="5"/>
      <c r="Z412" s="7"/>
      <c r="AA412" s="5"/>
      <c r="AB412" s="5"/>
      <c r="AC412" s="5"/>
      <c r="AD412" s="5"/>
      <c r="AE412" s="5"/>
      <c r="AF412" s="5"/>
      <c r="AG412" s="5"/>
      <c r="AH412" s="5"/>
      <c r="AI412" s="5"/>
    </row>
    <row r="413" spans="1:35" ht="15.75" customHeight="1">
      <c r="A413" s="5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5"/>
      <c r="T413" s="5"/>
      <c r="U413" s="104"/>
      <c r="V413" s="5"/>
      <c r="W413" s="5"/>
      <c r="X413" s="5"/>
      <c r="Y413" s="5"/>
      <c r="Z413" s="7"/>
      <c r="AA413" s="5"/>
      <c r="AB413" s="5"/>
      <c r="AC413" s="5"/>
      <c r="AD413" s="5"/>
      <c r="AE413" s="5"/>
      <c r="AF413" s="5"/>
      <c r="AG413" s="5"/>
      <c r="AH413" s="5"/>
      <c r="AI413" s="5"/>
    </row>
    <row r="414" spans="1:35" ht="15.75" customHeight="1">
      <c r="A414" s="5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5"/>
      <c r="T414" s="5"/>
      <c r="U414" s="104"/>
      <c r="V414" s="5"/>
      <c r="W414" s="5"/>
      <c r="X414" s="5"/>
      <c r="Y414" s="5"/>
      <c r="Z414" s="7"/>
      <c r="AA414" s="5"/>
      <c r="AB414" s="5"/>
      <c r="AC414" s="5"/>
      <c r="AD414" s="5"/>
      <c r="AE414" s="5"/>
      <c r="AF414" s="5"/>
      <c r="AG414" s="5"/>
      <c r="AH414" s="5"/>
      <c r="AI414" s="5"/>
    </row>
    <row r="415" spans="1:35" ht="15.75" customHeight="1">
      <c r="A415" s="5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5"/>
      <c r="T415" s="5"/>
      <c r="U415" s="104"/>
      <c r="V415" s="5"/>
      <c r="W415" s="5"/>
      <c r="X415" s="5"/>
      <c r="Y415" s="5"/>
      <c r="Z415" s="7"/>
      <c r="AA415" s="5"/>
      <c r="AB415" s="5"/>
      <c r="AC415" s="5"/>
      <c r="AD415" s="5"/>
      <c r="AE415" s="5"/>
      <c r="AF415" s="5"/>
      <c r="AG415" s="5"/>
      <c r="AH415" s="5"/>
      <c r="AI415" s="5"/>
    </row>
    <row r="416" spans="1:35" ht="15.75" customHeight="1">
      <c r="A416" s="5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5"/>
      <c r="T416" s="5"/>
      <c r="U416" s="104"/>
      <c r="V416" s="5"/>
      <c r="W416" s="5"/>
      <c r="X416" s="5"/>
      <c r="Y416" s="5"/>
      <c r="Z416" s="7"/>
      <c r="AA416" s="5"/>
      <c r="AB416" s="5"/>
      <c r="AC416" s="5"/>
      <c r="AD416" s="5"/>
      <c r="AE416" s="5"/>
      <c r="AF416" s="5"/>
      <c r="AG416" s="5"/>
      <c r="AH416" s="5"/>
      <c r="AI416" s="5"/>
    </row>
    <row r="417" spans="1:35" ht="15.75" customHeight="1">
      <c r="A417" s="5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5"/>
      <c r="T417" s="5"/>
      <c r="U417" s="104"/>
      <c r="V417" s="5"/>
      <c r="W417" s="5"/>
      <c r="X417" s="5"/>
      <c r="Y417" s="5"/>
      <c r="Z417" s="7"/>
      <c r="AA417" s="5"/>
      <c r="AB417" s="5"/>
      <c r="AC417" s="5"/>
      <c r="AD417" s="5"/>
      <c r="AE417" s="5"/>
      <c r="AF417" s="5"/>
      <c r="AG417" s="5"/>
      <c r="AH417" s="5"/>
      <c r="AI417" s="5"/>
    </row>
    <row r="418" spans="1:35" ht="15.75" customHeight="1">
      <c r="A418" s="5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5"/>
      <c r="T418" s="5"/>
      <c r="U418" s="104"/>
      <c r="V418" s="5"/>
      <c r="W418" s="5"/>
      <c r="X418" s="5"/>
      <c r="Y418" s="5"/>
      <c r="Z418" s="7"/>
      <c r="AA418" s="5"/>
      <c r="AB418" s="5"/>
      <c r="AC418" s="5"/>
      <c r="AD418" s="5"/>
      <c r="AE418" s="5"/>
      <c r="AF418" s="5"/>
      <c r="AG418" s="5"/>
      <c r="AH418" s="5"/>
      <c r="AI418" s="5"/>
    </row>
    <row r="419" spans="1:35" ht="15.75" customHeight="1">
      <c r="A419" s="5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5"/>
      <c r="T419" s="5"/>
      <c r="U419" s="104"/>
      <c r="V419" s="5"/>
      <c r="W419" s="5"/>
      <c r="X419" s="5"/>
      <c r="Y419" s="5"/>
      <c r="Z419" s="7"/>
      <c r="AA419" s="5"/>
      <c r="AB419" s="5"/>
      <c r="AC419" s="5"/>
      <c r="AD419" s="5"/>
      <c r="AE419" s="5"/>
      <c r="AF419" s="5"/>
      <c r="AG419" s="5"/>
      <c r="AH419" s="5"/>
      <c r="AI419" s="5"/>
    </row>
    <row r="420" spans="1:35" ht="15.75" customHeight="1">
      <c r="A420" s="5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5"/>
      <c r="T420" s="5"/>
      <c r="U420" s="104"/>
      <c r="V420" s="5"/>
      <c r="W420" s="5"/>
      <c r="X420" s="5"/>
      <c r="Y420" s="5"/>
      <c r="Z420" s="7"/>
      <c r="AA420" s="5"/>
      <c r="AB420" s="5"/>
      <c r="AC420" s="5"/>
      <c r="AD420" s="5"/>
      <c r="AE420" s="5"/>
      <c r="AF420" s="5"/>
      <c r="AG420" s="5"/>
      <c r="AH420" s="5"/>
      <c r="AI420" s="5"/>
    </row>
    <row r="421" spans="1:35" ht="15.75" customHeight="1">
      <c r="A421" s="5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5"/>
      <c r="T421" s="5"/>
      <c r="U421" s="104"/>
      <c r="V421" s="5"/>
      <c r="W421" s="5"/>
      <c r="X421" s="5"/>
      <c r="Y421" s="5"/>
      <c r="Z421" s="7"/>
      <c r="AA421" s="5"/>
      <c r="AB421" s="5"/>
      <c r="AC421" s="5"/>
      <c r="AD421" s="5"/>
      <c r="AE421" s="5"/>
      <c r="AF421" s="5"/>
      <c r="AG421" s="5"/>
      <c r="AH421" s="5"/>
      <c r="AI421" s="5"/>
    </row>
    <row r="422" spans="1:35" ht="15.75" customHeight="1">
      <c r="A422" s="5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5"/>
      <c r="T422" s="5"/>
      <c r="U422" s="104"/>
      <c r="V422" s="5"/>
      <c r="W422" s="5"/>
      <c r="X422" s="5"/>
      <c r="Y422" s="5"/>
      <c r="Z422" s="7"/>
      <c r="AA422" s="5"/>
      <c r="AB422" s="5"/>
      <c r="AC422" s="5"/>
      <c r="AD422" s="5"/>
      <c r="AE422" s="5"/>
      <c r="AF422" s="5"/>
      <c r="AG422" s="5"/>
      <c r="AH422" s="5"/>
      <c r="AI422" s="5"/>
    </row>
    <row r="423" spans="1:35" ht="15.75" customHeight="1">
      <c r="A423" s="5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5"/>
      <c r="T423" s="5"/>
      <c r="U423" s="104"/>
      <c r="V423" s="5"/>
      <c r="W423" s="5"/>
      <c r="X423" s="5"/>
      <c r="Y423" s="5"/>
      <c r="Z423" s="7"/>
      <c r="AA423" s="5"/>
      <c r="AB423" s="5"/>
      <c r="AC423" s="5"/>
      <c r="AD423" s="5"/>
      <c r="AE423" s="5"/>
      <c r="AF423" s="5"/>
      <c r="AG423" s="5"/>
      <c r="AH423" s="5"/>
      <c r="AI423" s="5"/>
    </row>
    <row r="424" spans="1:35" ht="15.75" customHeight="1">
      <c r="A424" s="5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5"/>
      <c r="T424" s="5"/>
      <c r="U424" s="104"/>
      <c r="V424" s="5"/>
      <c r="W424" s="5"/>
      <c r="X424" s="5"/>
      <c r="Y424" s="5"/>
      <c r="Z424" s="7"/>
      <c r="AA424" s="5"/>
      <c r="AB424" s="5"/>
      <c r="AC424" s="5"/>
      <c r="AD424" s="5"/>
      <c r="AE424" s="5"/>
      <c r="AF424" s="5"/>
      <c r="AG424" s="5"/>
      <c r="AH424" s="5"/>
      <c r="AI424" s="5"/>
    </row>
    <row r="425" spans="1:35" ht="15.75" customHeight="1">
      <c r="A425" s="5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5"/>
      <c r="T425" s="5"/>
      <c r="U425" s="104"/>
      <c r="V425" s="5"/>
      <c r="W425" s="5"/>
      <c r="X425" s="5"/>
      <c r="Y425" s="5"/>
      <c r="Z425" s="7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ht="15.75" customHeight="1">
      <c r="A426" s="5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5"/>
      <c r="T426" s="5"/>
      <c r="U426" s="104"/>
      <c r="V426" s="5"/>
      <c r="W426" s="5"/>
      <c r="X426" s="5"/>
      <c r="Y426" s="5"/>
      <c r="Z426" s="7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 ht="15.75" customHeight="1">
      <c r="A427" s="5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5"/>
      <c r="T427" s="5"/>
      <c r="U427" s="104"/>
      <c r="V427" s="5"/>
      <c r="W427" s="5"/>
      <c r="X427" s="5"/>
      <c r="Y427" s="5"/>
      <c r="Z427" s="7"/>
      <c r="AA427" s="5"/>
      <c r="AB427" s="5"/>
      <c r="AC427" s="5"/>
      <c r="AD427" s="5"/>
      <c r="AE427" s="5"/>
      <c r="AF427" s="5"/>
      <c r="AG427" s="5"/>
      <c r="AH427" s="5"/>
      <c r="AI427" s="5"/>
    </row>
    <row r="428" spans="1:35" ht="15.75" customHeight="1">
      <c r="A428" s="5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5"/>
      <c r="T428" s="5"/>
      <c r="U428" s="104"/>
      <c r="V428" s="5"/>
      <c r="W428" s="5"/>
      <c r="X428" s="5"/>
      <c r="Y428" s="5"/>
      <c r="Z428" s="7"/>
      <c r="AA428" s="5"/>
      <c r="AB428" s="5"/>
      <c r="AC428" s="5"/>
      <c r="AD428" s="5"/>
      <c r="AE428" s="5"/>
      <c r="AF428" s="5"/>
      <c r="AG428" s="5"/>
      <c r="AH428" s="5"/>
      <c r="AI428" s="5"/>
    </row>
    <row r="429" spans="1:35" ht="15.75" customHeight="1">
      <c r="A429" s="5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5"/>
      <c r="T429" s="5"/>
      <c r="U429" s="104"/>
      <c r="V429" s="5"/>
      <c r="W429" s="5"/>
      <c r="X429" s="5"/>
      <c r="Y429" s="5"/>
      <c r="Z429" s="7"/>
      <c r="AA429" s="5"/>
      <c r="AB429" s="5"/>
      <c r="AC429" s="5"/>
      <c r="AD429" s="5"/>
      <c r="AE429" s="5"/>
      <c r="AF429" s="5"/>
      <c r="AG429" s="5"/>
      <c r="AH429" s="5"/>
      <c r="AI429" s="5"/>
    </row>
    <row r="430" spans="1:35" ht="15.75" customHeight="1">
      <c r="A430" s="5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5"/>
      <c r="T430" s="5"/>
      <c r="U430" s="104"/>
      <c r="V430" s="5"/>
      <c r="W430" s="5"/>
      <c r="X430" s="5"/>
      <c r="Y430" s="5"/>
      <c r="Z430" s="7"/>
      <c r="AA430" s="5"/>
      <c r="AB430" s="5"/>
      <c r="AC430" s="5"/>
      <c r="AD430" s="5"/>
      <c r="AE430" s="5"/>
      <c r="AF430" s="5"/>
      <c r="AG430" s="5"/>
      <c r="AH430" s="5"/>
      <c r="AI430" s="5"/>
    </row>
    <row r="431" spans="1:35" ht="15.75" customHeight="1">
      <c r="A431" s="5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5"/>
      <c r="T431" s="5"/>
      <c r="U431" s="104"/>
      <c r="V431" s="5"/>
      <c r="W431" s="5"/>
      <c r="X431" s="5"/>
      <c r="Y431" s="5"/>
      <c r="Z431" s="7"/>
      <c r="AA431" s="5"/>
      <c r="AB431" s="5"/>
      <c r="AC431" s="5"/>
      <c r="AD431" s="5"/>
      <c r="AE431" s="5"/>
      <c r="AF431" s="5"/>
      <c r="AG431" s="5"/>
      <c r="AH431" s="5"/>
      <c r="AI431" s="5"/>
    </row>
    <row r="432" spans="1:35" ht="15.75" customHeight="1">
      <c r="A432" s="5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5"/>
      <c r="T432" s="5"/>
      <c r="U432" s="104"/>
      <c r="V432" s="5"/>
      <c r="W432" s="5"/>
      <c r="X432" s="5"/>
      <c r="Y432" s="5"/>
      <c r="Z432" s="7"/>
      <c r="AA432" s="5"/>
      <c r="AB432" s="5"/>
      <c r="AC432" s="5"/>
      <c r="AD432" s="5"/>
      <c r="AE432" s="5"/>
      <c r="AF432" s="5"/>
      <c r="AG432" s="5"/>
      <c r="AH432" s="5"/>
      <c r="AI432" s="5"/>
    </row>
    <row r="433" spans="1:35" ht="15.75" customHeight="1">
      <c r="A433" s="5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5"/>
      <c r="T433" s="5"/>
      <c r="U433" s="104"/>
      <c r="V433" s="5"/>
      <c r="W433" s="5"/>
      <c r="X433" s="5"/>
      <c r="Y433" s="5"/>
      <c r="Z433" s="7"/>
      <c r="AA433" s="5"/>
      <c r="AB433" s="5"/>
      <c r="AC433" s="5"/>
      <c r="AD433" s="5"/>
      <c r="AE433" s="5"/>
      <c r="AF433" s="5"/>
      <c r="AG433" s="5"/>
      <c r="AH433" s="5"/>
      <c r="AI433" s="5"/>
    </row>
    <row r="434" spans="1:35" ht="15.75" customHeight="1">
      <c r="A434" s="5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5"/>
      <c r="T434" s="5"/>
      <c r="U434" s="104"/>
      <c r="V434" s="5"/>
      <c r="W434" s="5"/>
      <c r="X434" s="5"/>
      <c r="Y434" s="5"/>
      <c r="Z434" s="7"/>
      <c r="AA434" s="5"/>
      <c r="AB434" s="5"/>
      <c r="AC434" s="5"/>
      <c r="AD434" s="5"/>
      <c r="AE434" s="5"/>
      <c r="AF434" s="5"/>
      <c r="AG434" s="5"/>
      <c r="AH434" s="5"/>
      <c r="AI434" s="5"/>
    </row>
    <row r="435" spans="1:35" ht="15.75" customHeight="1">
      <c r="A435" s="5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5"/>
      <c r="T435" s="5"/>
      <c r="U435" s="104"/>
      <c r="V435" s="5"/>
      <c r="W435" s="5"/>
      <c r="X435" s="5"/>
      <c r="Y435" s="5"/>
      <c r="Z435" s="7"/>
      <c r="AA435" s="5"/>
      <c r="AB435" s="5"/>
      <c r="AC435" s="5"/>
      <c r="AD435" s="5"/>
      <c r="AE435" s="5"/>
      <c r="AF435" s="5"/>
      <c r="AG435" s="5"/>
      <c r="AH435" s="5"/>
      <c r="AI435" s="5"/>
    </row>
    <row r="436" spans="1:35" ht="15.75" customHeight="1">
      <c r="A436" s="5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5"/>
      <c r="T436" s="5"/>
      <c r="U436" s="104"/>
      <c r="V436" s="5"/>
      <c r="W436" s="5"/>
      <c r="X436" s="5"/>
      <c r="Y436" s="5"/>
      <c r="Z436" s="7"/>
      <c r="AA436" s="5"/>
      <c r="AB436" s="5"/>
      <c r="AC436" s="5"/>
      <c r="AD436" s="5"/>
      <c r="AE436" s="5"/>
      <c r="AF436" s="5"/>
      <c r="AG436" s="5"/>
      <c r="AH436" s="5"/>
      <c r="AI436" s="5"/>
    </row>
    <row r="437" spans="1:35" ht="15.75" customHeight="1">
      <c r="A437" s="5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5"/>
      <c r="T437" s="5"/>
      <c r="U437" s="104"/>
      <c r="V437" s="5"/>
      <c r="W437" s="5"/>
      <c r="X437" s="5"/>
      <c r="Y437" s="5"/>
      <c r="Z437" s="7"/>
      <c r="AA437" s="5"/>
      <c r="AB437" s="5"/>
      <c r="AC437" s="5"/>
      <c r="AD437" s="5"/>
      <c r="AE437" s="5"/>
      <c r="AF437" s="5"/>
      <c r="AG437" s="5"/>
      <c r="AH437" s="5"/>
      <c r="AI437" s="5"/>
    </row>
    <row r="438" spans="1:35" ht="15.75" customHeight="1">
      <c r="A438" s="5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5"/>
      <c r="T438" s="5"/>
      <c r="U438" s="104"/>
      <c r="V438" s="5"/>
      <c r="W438" s="5"/>
      <c r="X438" s="5"/>
      <c r="Y438" s="5"/>
      <c r="Z438" s="7"/>
      <c r="AA438" s="5"/>
      <c r="AB438" s="5"/>
      <c r="AC438" s="5"/>
      <c r="AD438" s="5"/>
      <c r="AE438" s="5"/>
      <c r="AF438" s="5"/>
      <c r="AG438" s="5"/>
      <c r="AH438" s="5"/>
      <c r="AI438" s="5"/>
    </row>
    <row r="439" spans="1:35" ht="15.75" customHeight="1">
      <c r="A439" s="5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5"/>
      <c r="T439" s="5"/>
      <c r="U439" s="104"/>
      <c r="V439" s="5"/>
      <c r="W439" s="5"/>
      <c r="X439" s="5"/>
      <c r="Y439" s="5"/>
      <c r="Z439" s="7"/>
      <c r="AA439" s="5"/>
      <c r="AB439" s="5"/>
      <c r="AC439" s="5"/>
      <c r="AD439" s="5"/>
      <c r="AE439" s="5"/>
      <c r="AF439" s="5"/>
      <c r="AG439" s="5"/>
      <c r="AH439" s="5"/>
      <c r="AI439" s="5"/>
    </row>
    <row r="440" spans="1:35" ht="15.75" customHeight="1">
      <c r="A440" s="5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5"/>
      <c r="T440" s="5"/>
      <c r="U440" s="104"/>
      <c r="V440" s="5"/>
      <c r="W440" s="5"/>
      <c r="X440" s="5"/>
      <c r="Y440" s="5"/>
      <c r="Z440" s="7"/>
      <c r="AA440" s="5"/>
      <c r="AB440" s="5"/>
      <c r="AC440" s="5"/>
      <c r="AD440" s="5"/>
      <c r="AE440" s="5"/>
      <c r="AF440" s="5"/>
      <c r="AG440" s="5"/>
      <c r="AH440" s="5"/>
      <c r="AI440" s="5"/>
    </row>
    <row r="441" spans="1:35" ht="15.75" customHeight="1">
      <c r="A441" s="5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5"/>
      <c r="T441" s="5"/>
      <c r="U441" s="104"/>
      <c r="V441" s="5"/>
      <c r="W441" s="5"/>
      <c r="X441" s="5"/>
      <c r="Y441" s="5"/>
      <c r="Z441" s="7"/>
      <c r="AA441" s="5"/>
      <c r="AB441" s="5"/>
      <c r="AC441" s="5"/>
      <c r="AD441" s="5"/>
      <c r="AE441" s="5"/>
      <c r="AF441" s="5"/>
      <c r="AG441" s="5"/>
      <c r="AH441" s="5"/>
      <c r="AI441" s="5"/>
    </row>
    <row r="442" spans="1:35" ht="15.75" customHeight="1">
      <c r="A442" s="5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5"/>
      <c r="T442" s="5"/>
      <c r="U442" s="104"/>
      <c r="V442" s="5"/>
      <c r="W442" s="5"/>
      <c r="X442" s="5"/>
      <c r="Y442" s="5"/>
      <c r="Z442" s="7"/>
      <c r="AA442" s="5"/>
      <c r="AB442" s="5"/>
      <c r="AC442" s="5"/>
      <c r="AD442" s="5"/>
      <c r="AE442" s="5"/>
      <c r="AF442" s="5"/>
      <c r="AG442" s="5"/>
      <c r="AH442" s="5"/>
      <c r="AI442" s="5"/>
    </row>
    <row r="443" spans="1:35" ht="15.75" customHeight="1">
      <c r="A443" s="5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5"/>
      <c r="T443" s="5"/>
      <c r="U443" s="104"/>
      <c r="V443" s="5"/>
      <c r="W443" s="5"/>
      <c r="X443" s="5"/>
      <c r="Y443" s="5"/>
      <c r="Z443" s="7"/>
      <c r="AA443" s="5"/>
      <c r="AB443" s="5"/>
      <c r="AC443" s="5"/>
      <c r="AD443" s="5"/>
      <c r="AE443" s="5"/>
      <c r="AF443" s="5"/>
      <c r="AG443" s="5"/>
      <c r="AH443" s="5"/>
      <c r="AI443" s="5"/>
    </row>
    <row r="444" spans="1:35" ht="15.75" customHeight="1">
      <c r="A444" s="5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5"/>
      <c r="T444" s="5"/>
      <c r="U444" s="104"/>
      <c r="V444" s="5"/>
      <c r="W444" s="5"/>
      <c r="X444" s="5"/>
      <c r="Y444" s="5"/>
      <c r="Z444" s="7"/>
      <c r="AA444" s="5"/>
      <c r="AB444" s="5"/>
      <c r="AC444" s="5"/>
      <c r="AD444" s="5"/>
      <c r="AE444" s="5"/>
      <c r="AF444" s="5"/>
      <c r="AG444" s="5"/>
      <c r="AH444" s="5"/>
      <c r="AI444" s="5"/>
    </row>
    <row r="445" spans="1:35" ht="15.75" customHeight="1">
      <c r="A445" s="5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5"/>
      <c r="T445" s="5"/>
      <c r="U445" s="104"/>
      <c r="V445" s="5"/>
      <c r="W445" s="5"/>
      <c r="X445" s="5"/>
      <c r="Y445" s="5"/>
      <c r="Z445" s="7"/>
      <c r="AA445" s="5"/>
      <c r="AB445" s="5"/>
      <c r="AC445" s="5"/>
      <c r="AD445" s="5"/>
      <c r="AE445" s="5"/>
      <c r="AF445" s="5"/>
      <c r="AG445" s="5"/>
      <c r="AH445" s="5"/>
      <c r="AI445" s="5"/>
    </row>
    <row r="446" spans="1:35" ht="15.75" customHeight="1">
      <c r="A446" s="5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5"/>
      <c r="T446" s="5"/>
      <c r="U446" s="104"/>
      <c r="V446" s="5"/>
      <c r="W446" s="5"/>
      <c r="X446" s="5"/>
      <c r="Y446" s="5"/>
      <c r="Z446" s="7"/>
      <c r="AA446" s="5"/>
      <c r="AB446" s="5"/>
      <c r="AC446" s="5"/>
      <c r="AD446" s="5"/>
      <c r="AE446" s="5"/>
      <c r="AF446" s="5"/>
      <c r="AG446" s="5"/>
      <c r="AH446" s="5"/>
      <c r="AI446" s="5"/>
    </row>
    <row r="447" spans="1:35" ht="15.75" customHeight="1">
      <c r="A447" s="5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5"/>
      <c r="T447" s="5"/>
      <c r="U447" s="104"/>
      <c r="V447" s="5"/>
      <c r="W447" s="5"/>
      <c r="X447" s="5"/>
      <c r="Y447" s="5"/>
      <c r="Z447" s="7"/>
      <c r="AA447" s="5"/>
      <c r="AB447" s="5"/>
      <c r="AC447" s="5"/>
      <c r="AD447" s="5"/>
      <c r="AE447" s="5"/>
      <c r="AF447" s="5"/>
      <c r="AG447" s="5"/>
      <c r="AH447" s="5"/>
      <c r="AI447" s="5"/>
    </row>
    <row r="448" spans="1:35" ht="15.75" customHeight="1">
      <c r="A448" s="5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5"/>
      <c r="T448" s="5"/>
      <c r="U448" s="104"/>
      <c r="V448" s="5"/>
      <c r="W448" s="5"/>
      <c r="X448" s="5"/>
      <c r="Y448" s="5"/>
      <c r="Z448" s="7"/>
      <c r="AA448" s="5"/>
      <c r="AB448" s="5"/>
      <c r="AC448" s="5"/>
      <c r="AD448" s="5"/>
      <c r="AE448" s="5"/>
      <c r="AF448" s="5"/>
      <c r="AG448" s="5"/>
      <c r="AH448" s="5"/>
      <c r="AI448" s="5"/>
    </row>
    <row r="449" spans="1:35" ht="15.75" customHeight="1">
      <c r="A449" s="5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5"/>
      <c r="T449" s="5"/>
      <c r="U449" s="104"/>
      <c r="V449" s="5"/>
      <c r="W449" s="5"/>
      <c r="X449" s="5"/>
      <c r="Y449" s="5"/>
      <c r="Z449" s="7"/>
      <c r="AA449" s="5"/>
      <c r="AB449" s="5"/>
      <c r="AC449" s="5"/>
      <c r="AD449" s="5"/>
      <c r="AE449" s="5"/>
      <c r="AF449" s="5"/>
      <c r="AG449" s="5"/>
      <c r="AH449" s="5"/>
      <c r="AI449" s="5"/>
    </row>
    <row r="450" spans="1:35" ht="15.75" customHeight="1">
      <c r="A450" s="5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5"/>
      <c r="T450" s="5"/>
      <c r="U450" s="104"/>
      <c r="V450" s="5"/>
      <c r="W450" s="5"/>
      <c r="X450" s="5"/>
      <c r="Y450" s="5"/>
      <c r="Z450" s="7"/>
      <c r="AA450" s="5"/>
      <c r="AB450" s="5"/>
      <c r="AC450" s="5"/>
      <c r="AD450" s="5"/>
      <c r="AE450" s="5"/>
      <c r="AF450" s="5"/>
      <c r="AG450" s="5"/>
      <c r="AH450" s="5"/>
      <c r="AI450" s="5"/>
    </row>
    <row r="451" spans="1:35" ht="15.75" customHeight="1">
      <c r="A451" s="5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5"/>
      <c r="T451" s="5"/>
      <c r="U451" s="104"/>
      <c r="V451" s="5"/>
      <c r="W451" s="5"/>
      <c r="X451" s="5"/>
      <c r="Y451" s="5"/>
      <c r="Z451" s="7"/>
      <c r="AA451" s="5"/>
      <c r="AB451" s="5"/>
      <c r="AC451" s="5"/>
      <c r="AD451" s="5"/>
      <c r="AE451" s="5"/>
      <c r="AF451" s="5"/>
      <c r="AG451" s="5"/>
      <c r="AH451" s="5"/>
      <c r="AI451" s="5"/>
    </row>
    <row r="452" spans="1:35" ht="15.75" customHeight="1">
      <c r="A452" s="5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5"/>
      <c r="T452" s="5"/>
      <c r="U452" s="104"/>
      <c r="V452" s="5"/>
      <c r="W452" s="5"/>
      <c r="X452" s="5"/>
      <c r="Y452" s="5"/>
      <c r="Z452" s="7"/>
      <c r="AA452" s="5"/>
      <c r="AB452" s="5"/>
      <c r="AC452" s="5"/>
      <c r="AD452" s="5"/>
      <c r="AE452" s="5"/>
      <c r="AF452" s="5"/>
      <c r="AG452" s="5"/>
      <c r="AH452" s="5"/>
      <c r="AI452" s="5"/>
    </row>
    <row r="453" spans="1:35" ht="15.75" customHeight="1">
      <c r="A453" s="5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5"/>
      <c r="T453" s="5"/>
      <c r="U453" s="104"/>
      <c r="V453" s="5"/>
      <c r="W453" s="5"/>
      <c r="X453" s="5"/>
      <c r="Y453" s="5"/>
      <c r="Z453" s="7"/>
      <c r="AA453" s="5"/>
      <c r="AB453" s="5"/>
      <c r="AC453" s="5"/>
      <c r="AD453" s="5"/>
      <c r="AE453" s="5"/>
      <c r="AF453" s="5"/>
      <c r="AG453" s="5"/>
      <c r="AH453" s="5"/>
      <c r="AI453" s="5"/>
    </row>
    <row r="454" spans="1:35" ht="15.75" customHeight="1">
      <c r="A454" s="5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5"/>
      <c r="T454" s="5"/>
      <c r="U454" s="104"/>
      <c r="V454" s="5"/>
      <c r="W454" s="5"/>
      <c r="X454" s="5"/>
      <c r="Y454" s="5"/>
      <c r="Z454" s="7"/>
      <c r="AA454" s="5"/>
      <c r="AB454" s="5"/>
      <c r="AC454" s="5"/>
      <c r="AD454" s="5"/>
      <c r="AE454" s="5"/>
      <c r="AF454" s="5"/>
      <c r="AG454" s="5"/>
      <c r="AH454" s="5"/>
      <c r="AI454" s="5"/>
    </row>
    <row r="455" spans="1:35" ht="15.75" customHeight="1">
      <c r="A455" s="5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5"/>
      <c r="T455" s="5"/>
      <c r="U455" s="104"/>
      <c r="V455" s="5"/>
      <c r="W455" s="5"/>
      <c r="X455" s="5"/>
      <c r="Y455" s="5"/>
      <c r="Z455" s="7"/>
      <c r="AA455" s="5"/>
      <c r="AB455" s="5"/>
      <c r="AC455" s="5"/>
      <c r="AD455" s="5"/>
      <c r="AE455" s="5"/>
      <c r="AF455" s="5"/>
      <c r="AG455" s="5"/>
      <c r="AH455" s="5"/>
      <c r="AI455" s="5"/>
    </row>
    <row r="456" spans="1:35" ht="15.75" customHeight="1">
      <c r="A456" s="5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5"/>
      <c r="T456" s="5"/>
      <c r="U456" s="104"/>
      <c r="V456" s="5"/>
      <c r="W456" s="5"/>
      <c r="X456" s="5"/>
      <c r="Y456" s="5"/>
      <c r="Z456" s="7"/>
      <c r="AA456" s="5"/>
      <c r="AB456" s="5"/>
      <c r="AC456" s="5"/>
      <c r="AD456" s="5"/>
      <c r="AE456" s="5"/>
      <c r="AF456" s="5"/>
      <c r="AG456" s="5"/>
      <c r="AH456" s="5"/>
      <c r="AI456" s="5"/>
    </row>
    <row r="457" spans="1:35" ht="15.75" customHeight="1">
      <c r="A457" s="5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5"/>
      <c r="T457" s="5"/>
      <c r="U457" s="104"/>
      <c r="V457" s="5"/>
      <c r="W457" s="5"/>
      <c r="X457" s="5"/>
      <c r="Y457" s="5"/>
      <c r="Z457" s="7"/>
      <c r="AA457" s="5"/>
      <c r="AB457" s="5"/>
      <c r="AC457" s="5"/>
      <c r="AD457" s="5"/>
      <c r="AE457" s="5"/>
      <c r="AF457" s="5"/>
      <c r="AG457" s="5"/>
      <c r="AH457" s="5"/>
      <c r="AI457" s="5"/>
    </row>
    <row r="458" spans="1:35" ht="15.75" customHeight="1">
      <c r="A458" s="5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5"/>
      <c r="T458" s="5"/>
      <c r="U458" s="104"/>
      <c r="V458" s="5"/>
      <c r="W458" s="5"/>
      <c r="X458" s="5"/>
      <c r="Y458" s="5"/>
      <c r="Z458" s="7"/>
      <c r="AA458" s="5"/>
      <c r="AB458" s="5"/>
      <c r="AC458" s="5"/>
      <c r="AD458" s="5"/>
      <c r="AE458" s="5"/>
      <c r="AF458" s="5"/>
      <c r="AG458" s="5"/>
      <c r="AH458" s="5"/>
      <c r="AI458" s="5"/>
    </row>
    <row r="459" spans="1:35" ht="15.75" customHeight="1">
      <c r="A459" s="5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5"/>
      <c r="T459" s="5"/>
      <c r="U459" s="104"/>
      <c r="V459" s="5"/>
      <c r="W459" s="5"/>
      <c r="X459" s="5"/>
      <c r="Y459" s="5"/>
      <c r="Z459" s="7"/>
      <c r="AA459" s="5"/>
      <c r="AB459" s="5"/>
      <c r="AC459" s="5"/>
      <c r="AD459" s="5"/>
      <c r="AE459" s="5"/>
      <c r="AF459" s="5"/>
      <c r="AG459" s="5"/>
      <c r="AH459" s="5"/>
      <c r="AI459" s="5"/>
    </row>
    <row r="460" spans="1:35" ht="15.75" customHeight="1">
      <c r="A460" s="5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5"/>
      <c r="T460" s="5"/>
      <c r="U460" s="104"/>
      <c r="V460" s="5"/>
      <c r="W460" s="5"/>
      <c r="X460" s="5"/>
      <c r="Y460" s="5"/>
      <c r="Z460" s="7"/>
      <c r="AA460" s="5"/>
      <c r="AB460" s="5"/>
      <c r="AC460" s="5"/>
      <c r="AD460" s="5"/>
      <c r="AE460" s="5"/>
      <c r="AF460" s="5"/>
      <c r="AG460" s="5"/>
      <c r="AH460" s="5"/>
      <c r="AI460" s="5"/>
    </row>
    <row r="461" spans="1:35" ht="15.75" customHeight="1">
      <c r="A461" s="5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5"/>
      <c r="T461" s="5"/>
      <c r="U461" s="104"/>
      <c r="V461" s="5"/>
      <c r="W461" s="5"/>
      <c r="X461" s="5"/>
      <c r="Y461" s="5"/>
      <c r="Z461" s="7"/>
      <c r="AA461" s="5"/>
      <c r="AB461" s="5"/>
      <c r="AC461" s="5"/>
      <c r="AD461" s="5"/>
      <c r="AE461" s="5"/>
      <c r="AF461" s="5"/>
      <c r="AG461" s="5"/>
      <c r="AH461" s="5"/>
      <c r="AI461" s="5"/>
    </row>
    <row r="462" spans="1:35" ht="15.75" customHeight="1">
      <c r="A462" s="5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5"/>
      <c r="T462" s="5"/>
      <c r="U462" s="104"/>
      <c r="V462" s="5"/>
      <c r="W462" s="5"/>
      <c r="X462" s="5"/>
      <c r="Y462" s="5"/>
      <c r="Z462" s="7"/>
      <c r="AA462" s="5"/>
      <c r="AB462" s="5"/>
      <c r="AC462" s="5"/>
      <c r="AD462" s="5"/>
      <c r="AE462" s="5"/>
      <c r="AF462" s="5"/>
      <c r="AG462" s="5"/>
      <c r="AH462" s="5"/>
      <c r="AI462" s="5"/>
    </row>
    <row r="463" spans="1:35" ht="15.75" customHeight="1">
      <c r="A463" s="5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5"/>
      <c r="T463" s="5"/>
      <c r="U463" s="104"/>
      <c r="V463" s="5"/>
      <c r="W463" s="5"/>
      <c r="X463" s="5"/>
      <c r="Y463" s="5"/>
      <c r="Z463" s="7"/>
      <c r="AA463" s="5"/>
      <c r="AB463" s="5"/>
      <c r="AC463" s="5"/>
      <c r="AD463" s="5"/>
      <c r="AE463" s="5"/>
      <c r="AF463" s="5"/>
      <c r="AG463" s="5"/>
      <c r="AH463" s="5"/>
      <c r="AI463" s="5"/>
    </row>
    <row r="464" spans="1:35" ht="15.75" customHeight="1">
      <c r="A464" s="5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5"/>
      <c r="T464" s="5"/>
      <c r="U464" s="104"/>
      <c r="V464" s="5"/>
      <c r="W464" s="5"/>
      <c r="X464" s="5"/>
      <c r="Y464" s="5"/>
      <c r="Z464" s="7"/>
      <c r="AA464" s="5"/>
      <c r="AB464" s="5"/>
      <c r="AC464" s="5"/>
      <c r="AD464" s="5"/>
      <c r="AE464" s="5"/>
      <c r="AF464" s="5"/>
      <c r="AG464" s="5"/>
      <c r="AH464" s="5"/>
      <c r="AI464" s="5"/>
    </row>
    <row r="465" spans="1:35" ht="15.75" customHeight="1">
      <c r="A465" s="5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5"/>
      <c r="T465" s="5"/>
      <c r="U465" s="104"/>
      <c r="V465" s="5"/>
      <c r="W465" s="5"/>
      <c r="X465" s="5"/>
      <c r="Y465" s="5"/>
      <c r="Z465" s="7"/>
      <c r="AA465" s="5"/>
      <c r="AB465" s="5"/>
      <c r="AC465" s="5"/>
      <c r="AD465" s="5"/>
      <c r="AE465" s="5"/>
      <c r="AF465" s="5"/>
      <c r="AG465" s="5"/>
      <c r="AH465" s="5"/>
      <c r="AI465" s="5"/>
    </row>
    <row r="466" spans="1:35" ht="15.75" customHeight="1">
      <c r="A466" s="5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5"/>
      <c r="T466" s="5"/>
      <c r="U466" s="104"/>
      <c r="V466" s="5"/>
      <c r="W466" s="5"/>
      <c r="X466" s="5"/>
      <c r="Y466" s="5"/>
      <c r="Z466" s="7"/>
      <c r="AA466" s="5"/>
      <c r="AB466" s="5"/>
      <c r="AC466" s="5"/>
      <c r="AD466" s="5"/>
      <c r="AE466" s="5"/>
      <c r="AF466" s="5"/>
      <c r="AG466" s="5"/>
      <c r="AH466" s="5"/>
      <c r="AI466" s="5"/>
    </row>
    <row r="467" spans="1:35" ht="15.75" customHeight="1">
      <c r="A467" s="5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5"/>
      <c r="T467" s="5"/>
      <c r="U467" s="104"/>
      <c r="V467" s="5"/>
      <c r="W467" s="5"/>
      <c r="X467" s="5"/>
      <c r="Y467" s="5"/>
      <c r="Z467" s="7"/>
      <c r="AA467" s="5"/>
      <c r="AB467" s="5"/>
      <c r="AC467" s="5"/>
      <c r="AD467" s="5"/>
      <c r="AE467" s="5"/>
      <c r="AF467" s="5"/>
      <c r="AG467" s="5"/>
      <c r="AH467" s="5"/>
      <c r="AI467" s="5"/>
    </row>
    <row r="468" spans="1:35" ht="15.75" customHeight="1">
      <c r="A468" s="5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5"/>
      <c r="T468" s="5"/>
      <c r="U468" s="104"/>
      <c r="V468" s="5"/>
      <c r="W468" s="5"/>
      <c r="X468" s="5"/>
      <c r="Y468" s="5"/>
      <c r="Z468" s="7"/>
      <c r="AA468" s="5"/>
      <c r="AB468" s="5"/>
      <c r="AC468" s="5"/>
      <c r="AD468" s="5"/>
      <c r="AE468" s="5"/>
      <c r="AF468" s="5"/>
      <c r="AG468" s="5"/>
      <c r="AH468" s="5"/>
      <c r="AI468" s="5"/>
    </row>
    <row r="469" spans="1:35" ht="15.75" customHeight="1">
      <c r="A469" s="5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5"/>
      <c r="T469" s="5"/>
      <c r="U469" s="104"/>
      <c r="V469" s="5"/>
      <c r="W469" s="5"/>
      <c r="X469" s="5"/>
      <c r="Y469" s="5"/>
      <c r="Z469" s="7"/>
      <c r="AA469" s="5"/>
      <c r="AB469" s="5"/>
      <c r="AC469" s="5"/>
      <c r="AD469" s="5"/>
      <c r="AE469" s="5"/>
      <c r="AF469" s="5"/>
      <c r="AG469" s="5"/>
      <c r="AH469" s="5"/>
      <c r="AI469" s="5"/>
    </row>
    <row r="470" spans="1:35" ht="15.75" customHeight="1">
      <c r="A470" s="5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5"/>
      <c r="T470" s="5"/>
      <c r="U470" s="104"/>
      <c r="V470" s="5"/>
      <c r="W470" s="5"/>
      <c r="X470" s="5"/>
      <c r="Y470" s="5"/>
      <c r="Z470" s="7"/>
      <c r="AA470" s="5"/>
      <c r="AB470" s="5"/>
      <c r="AC470" s="5"/>
      <c r="AD470" s="5"/>
      <c r="AE470" s="5"/>
      <c r="AF470" s="5"/>
      <c r="AG470" s="5"/>
      <c r="AH470" s="5"/>
      <c r="AI470" s="5"/>
    </row>
    <row r="471" spans="1:35" ht="15.75" customHeight="1">
      <c r="A471" s="5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5"/>
      <c r="T471" s="5"/>
      <c r="U471" s="104"/>
      <c r="V471" s="5"/>
      <c r="W471" s="5"/>
      <c r="X471" s="5"/>
      <c r="Y471" s="5"/>
      <c r="Z471" s="7"/>
      <c r="AA471" s="5"/>
      <c r="AB471" s="5"/>
      <c r="AC471" s="5"/>
      <c r="AD471" s="5"/>
      <c r="AE471" s="5"/>
      <c r="AF471" s="5"/>
      <c r="AG471" s="5"/>
      <c r="AH471" s="5"/>
      <c r="AI471" s="5"/>
    </row>
    <row r="472" spans="1:35" ht="15.75" customHeight="1">
      <c r="A472" s="5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5"/>
      <c r="T472" s="5"/>
      <c r="U472" s="104"/>
      <c r="V472" s="5"/>
      <c r="W472" s="5"/>
      <c r="X472" s="5"/>
      <c r="Y472" s="5"/>
      <c r="Z472" s="7"/>
      <c r="AA472" s="5"/>
      <c r="AB472" s="5"/>
      <c r="AC472" s="5"/>
      <c r="AD472" s="5"/>
      <c r="AE472" s="5"/>
      <c r="AF472" s="5"/>
      <c r="AG472" s="5"/>
      <c r="AH472" s="5"/>
      <c r="AI472" s="5"/>
    </row>
    <row r="473" spans="1:35" ht="15.75" customHeight="1">
      <c r="A473" s="5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5"/>
      <c r="T473" s="5"/>
      <c r="U473" s="104"/>
      <c r="V473" s="5"/>
      <c r="W473" s="5"/>
      <c r="X473" s="5"/>
      <c r="Y473" s="5"/>
      <c r="Z473" s="7"/>
      <c r="AA473" s="5"/>
      <c r="AB473" s="5"/>
      <c r="AC473" s="5"/>
      <c r="AD473" s="5"/>
      <c r="AE473" s="5"/>
      <c r="AF473" s="5"/>
      <c r="AG473" s="5"/>
      <c r="AH473" s="5"/>
      <c r="AI473" s="5"/>
    </row>
    <row r="474" spans="1:35" ht="15.75" customHeight="1">
      <c r="A474" s="5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5"/>
      <c r="T474" s="5"/>
      <c r="U474" s="104"/>
      <c r="V474" s="5"/>
      <c r="W474" s="5"/>
      <c r="X474" s="5"/>
      <c r="Y474" s="5"/>
      <c r="Z474" s="7"/>
      <c r="AA474" s="5"/>
      <c r="AB474" s="5"/>
      <c r="AC474" s="5"/>
      <c r="AD474" s="5"/>
      <c r="AE474" s="5"/>
      <c r="AF474" s="5"/>
      <c r="AG474" s="5"/>
      <c r="AH474" s="5"/>
      <c r="AI474" s="5"/>
    </row>
    <row r="475" spans="1:35" ht="15.75" customHeight="1">
      <c r="A475" s="5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5"/>
      <c r="T475" s="5"/>
      <c r="U475" s="104"/>
      <c r="V475" s="5"/>
      <c r="W475" s="5"/>
      <c r="X475" s="5"/>
      <c r="Y475" s="5"/>
      <c r="Z475" s="7"/>
      <c r="AA475" s="5"/>
      <c r="AB475" s="5"/>
      <c r="AC475" s="5"/>
      <c r="AD475" s="5"/>
      <c r="AE475" s="5"/>
      <c r="AF475" s="5"/>
      <c r="AG475" s="5"/>
      <c r="AH475" s="5"/>
      <c r="AI475" s="5"/>
    </row>
    <row r="476" spans="1:35" ht="15.75" customHeight="1">
      <c r="A476" s="5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5"/>
      <c r="T476" s="5"/>
      <c r="U476" s="104"/>
      <c r="V476" s="5"/>
      <c r="W476" s="5"/>
      <c r="X476" s="5"/>
      <c r="Y476" s="5"/>
      <c r="Z476" s="7"/>
      <c r="AA476" s="5"/>
      <c r="AB476" s="5"/>
      <c r="AC476" s="5"/>
      <c r="AD476" s="5"/>
      <c r="AE476" s="5"/>
      <c r="AF476" s="5"/>
      <c r="AG476" s="5"/>
      <c r="AH476" s="5"/>
      <c r="AI476" s="5"/>
    </row>
    <row r="477" spans="1:35" ht="15.75" customHeight="1">
      <c r="A477" s="5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5"/>
      <c r="T477" s="5"/>
      <c r="U477" s="104"/>
      <c r="V477" s="5"/>
      <c r="W477" s="5"/>
      <c r="X477" s="5"/>
      <c r="Y477" s="5"/>
      <c r="Z477" s="7"/>
      <c r="AA477" s="5"/>
      <c r="AB477" s="5"/>
      <c r="AC477" s="5"/>
      <c r="AD477" s="5"/>
      <c r="AE477" s="5"/>
      <c r="AF477" s="5"/>
      <c r="AG477" s="5"/>
      <c r="AH477" s="5"/>
      <c r="AI477" s="5"/>
    </row>
    <row r="478" spans="1:35" ht="15.75" customHeight="1">
      <c r="A478" s="5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5"/>
      <c r="T478" s="5"/>
      <c r="U478" s="104"/>
      <c r="V478" s="5"/>
      <c r="W478" s="5"/>
      <c r="X478" s="5"/>
      <c r="Y478" s="5"/>
      <c r="Z478" s="7"/>
      <c r="AA478" s="5"/>
      <c r="AB478" s="5"/>
      <c r="AC478" s="5"/>
      <c r="AD478" s="5"/>
      <c r="AE478" s="5"/>
      <c r="AF478" s="5"/>
      <c r="AG478" s="5"/>
      <c r="AH478" s="5"/>
      <c r="AI478" s="5"/>
    </row>
    <row r="479" spans="1:35" ht="15.75" customHeight="1">
      <c r="A479" s="5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5"/>
      <c r="T479" s="5"/>
      <c r="U479" s="104"/>
      <c r="V479" s="5"/>
      <c r="W479" s="5"/>
      <c r="X479" s="5"/>
      <c r="Y479" s="5"/>
      <c r="Z479" s="7"/>
      <c r="AA479" s="5"/>
      <c r="AB479" s="5"/>
      <c r="AC479" s="5"/>
      <c r="AD479" s="5"/>
      <c r="AE479" s="5"/>
      <c r="AF479" s="5"/>
      <c r="AG479" s="5"/>
      <c r="AH479" s="5"/>
      <c r="AI479" s="5"/>
    </row>
    <row r="480" spans="1:35" ht="15.75" customHeight="1">
      <c r="A480" s="5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5"/>
      <c r="T480" s="5"/>
      <c r="U480" s="104"/>
      <c r="V480" s="5"/>
      <c r="W480" s="5"/>
      <c r="X480" s="5"/>
      <c r="Y480" s="5"/>
      <c r="Z480" s="7"/>
      <c r="AA480" s="5"/>
      <c r="AB480" s="5"/>
      <c r="AC480" s="5"/>
      <c r="AD480" s="5"/>
      <c r="AE480" s="5"/>
      <c r="AF480" s="5"/>
      <c r="AG480" s="5"/>
      <c r="AH480" s="5"/>
      <c r="AI480" s="5"/>
    </row>
    <row r="481" spans="1:35" ht="15.75" customHeight="1">
      <c r="A481" s="5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5"/>
      <c r="T481" s="5"/>
      <c r="U481" s="104"/>
      <c r="V481" s="5"/>
      <c r="W481" s="5"/>
      <c r="X481" s="5"/>
      <c r="Y481" s="5"/>
      <c r="Z481" s="7"/>
      <c r="AA481" s="5"/>
      <c r="AB481" s="5"/>
      <c r="AC481" s="5"/>
      <c r="AD481" s="5"/>
      <c r="AE481" s="5"/>
      <c r="AF481" s="5"/>
      <c r="AG481" s="5"/>
      <c r="AH481" s="5"/>
      <c r="AI481" s="5"/>
    </row>
    <row r="482" spans="1:35" ht="15.75" customHeight="1">
      <c r="A482" s="5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5"/>
      <c r="T482" s="5"/>
      <c r="U482" s="104"/>
      <c r="V482" s="5"/>
      <c r="W482" s="5"/>
      <c r="X482" s="5"/>
      <c r="Y482" s="5"/>
      <c r="Z482" s="7"/>
      <c r="AA482" s="5"/>
      <c r="AB482" s="5"/>
      <c r="AC482" s="5"/>
      <c r="AD482" s="5"/>
      <c r="AE482" s="5"/>
      <c r="AF482" s="5"/>
      <c r="AG482" s="5"/>
      <c r="AH482" s="5"/>
      <c r="AI482" s="5"/>
    </row>
    <row r="483" spans="1:35" ht="15.75" customHeight="1">
      <c r="A483" s="5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5"/>
      <c r="T483" s="5"/>
      <c r="U483" s="104"/>
      <c r="V483" s="5"/>
      <c r="W483" s="5"/>
      <c r="X483" s="5"/>
      <c r="Y483" s="5"/>
      <c r="Z483" s="7"/>
      <c r="AA483" s="5"/>
      <c r="AB483" s="5"/>
      <c r="AC483" s="5"/>
      <c r="AD483" s="5"/>
      <c r="AE483" s="5"/>
      <c r="AF483" s="5"/>
      <c r="AG483" s="5"/>
      <c r="AH483" s="5"/>
      <c r="AI483" s="5"/>
    </row>
    <row r="484" spans="1:35" ht="15.75" customHeight="1">
      <c r="A484" s="5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5"/>
      <c r="T484" s="5"/>
      <c r="U484" s="104"/>
      <c r="V484" s="5"/>
      <c r="W484" s="5"/>
      <c r="X484" s="5"/>
      <c r="Y484" s="5"/>
      <c r="Z484" s="7"/>
      <c r="AA484" s="5"/>
      <c r="AB484" s="5"/>
      <c r="AC484" s="5"/>
      <c r="AD484" s="5"/>
      <c r="AE484" s="5"/>
      <c r="AF484" s="5"/>
      <c r="AG484" s="5"/>
      <c r="AH484" s="5"/>
      <c r="AI484" s="5"/>
    </row>
    <row r="485" spans="1:35" ht="15.75" customHeight="1">
      <c r="A485" s="5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5"/>
      <c r="T485" s="5"/>
      <c r="U485" s="104"/>
      <c r="V485" s="5"/>
      <c r="W485" s="5"/>
      <c r="X485" s="5"/>
      <c r="Y485" s="5"/>
      <c r="Z485" s="7"/>
      <c r="AA485" s="5"/>
      <c r="AB485" s="5"/>
      <c r="AC485" s="5"/>
      <c r="AD485" s="5"/>
      <c r="AE485" s="5"/>
      <c r="AF485" s="5"/>
      <c r="AG485" s="5"/>
      <c r="AH485" s="5"/>
      <c r="AI485" s="5"/>
    </row>
    <row r="486" spans="1:35" ht="15.75" customHeight="1">
      <c r="A486" s="5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5"/>
      <c r="T486" s="5"/>
      <c r="U486" s="104"/>
      <c r="V486" s="5"/>
      <c r="W486" s="5"/>
      <c r="X486" s="5"/>
      <c r="Y486" s="5"/>
      <c r="Z486" s="7"/>
      <c r="AA486" s="5"/>
      <c r="AB486" s="5"/>
      <c r="AC486" s="5"/>
      <c r="AD486" s="5"/>
      <c r="AE486" s="5"/>
      <c r="AF486" s="5"/>
      <c r="AG486" s="5"/>
      <c r="AH486" s="5"/>
      <c r="AI486" s="5"/>
    </row>
    <row r="487" spans="1:35" ht="15.75" customHeight="1">
      <c r="A487" s="5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5"/>
      <c r="T487" s="5"/>
      <c r="U487" s="104"/>
      <c r="V487" s="5"/>
      <c r="W487" s="5"/>
      <c r="X487" s="5"/>
      <c r="Y487" s="5"/>
      <c r="Z487" s="7"/>
      <c r="AA487" s="5"/>
      <c r="AB487" s="5"/>
      <c r="AC487" s="5"/>
      <c r="AD487" s="5"/>
      <c r="AE487" s="5"/>
      <c r="AF487" s="5"/>
      <c r="AG487" s="5"/>
      <c r="AH487" s="5"/>
      <c r="AI487" s="5"/>
    </row>
    <row r="488" spans="1:35" ht="15.75" customHeight="1">
      <c r="A488" s="5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5"/>
      <c r="T488" s="5"/>
      <c r="U488" s="104"/>
      <c r="V488" s="5"/>
      <c r="W488" s="5"/>
      <c r="X488" s="5"/>
      <c r="Y488" s="5"/>
      <c r="Z488" s="7"/>
      <c r="AA488" s="5"/>
      <c r="AB488" s="5"/>
      <c r="AC488" s="5"/>
      <c r="AD488" s="5"/>
      <c r="AE488" s="5"/>
      <c r="AF488" s="5"/>
      <c r="AG488" s="5"/>
      <c r="AH488" s="5"/>
      <c r="AI488" s="5"/>
    </row>
    <row r="489" spans="1:35" ht="15.75" customHeight="1">
      <c r="A489" s="5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5"/>
      <c r="T489" s="5"/>
      <c r="U489" s="104"/>
      <c r="V489" s="5"/>
      <c r="W489" s="5"/>
      <c r="X489" s="5"/>
      <c r="Y489" s="5"/>
      <c r="Z489" s="7"/>
      <c r="AA489" s="5"/>
      <c r="AB489" s="5"/>
      <c r="AC489" s="5"/>
      <c r="AD489" s="5"/>
      <c r="AE489" s="5"/>
      <c r="AF489" s="5"/>
      <c r="AG489" s="5"/>
      <c r="AH489" s="5"/>
      <c r="AI489" s="5"/>
    </row>
    <row r="490" spans="1:35" ht="15.75" customHeight="1">
      <c r="A490" s="5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5"/>
      <c r="T490" s="5"/>
      <c r="U490" s="104"/>
      <c r="V490" s="5"/>
      <c r="W490" s="5"/>
      <c r="X490" s="5"/>
      <c r="Y490" s="5"/>
      <c r="Z490" s="7"/>
      <c r="AA490" s="5"/>
      <c r="AB490" s="5"/>
      <c r="AC490" s="5"/>
      <c r="AD490" s="5"/>
      <c r="AE490" s="5"/>
      <c r="AF490" s="5"/>
      <c r="AG490" s="5"/>
      <c r="AH490" s="5"/>
      <c r="AI490" s="5"/>
    </row>
    <row r="491" spans="1:35" ht="15.75" customHeight="1">
      <c r="A491" s="5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5"/>
      <c r="T491" s="5"/>
      <c r="U491" s="104"/>
      <c r="V491" s="5"/>
      <c r="W491" s="5"/>
      <c r="X491" s="5"/>
      <c r="Y491" s="5"/>
      <c r="Z491" s="7"/>
      <c r="AA491" s="5"/>
      <c r="AB491" s="5"/>
      <c r="AC491" s="5"/>
      <c r="AD491" s="5"/>
      <c r="AE491" s="5"/>
      <c r="AF491" s="5"/>
      <c r="AG491" s="5"/>
      <c r="AH491" s="5"/>
      <c r="AI491" s="5"/>
    </row>
    <row r="492" spans="1:35" ht="15.75" customHeight="1">
      <c r="A492" s="5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5"/>
      <c r="T492" s="5"/>
      <c r="U492" s="104"/>
      <c r="V492" s="5"/>
      <c r="W492" s="5"/>
      <c r="X492" s="5"/>
      <c r="Y492" s="5"/>
      <c r="Z492" s="7"/>
      <c r="AA492" s="5"/>
      <c r="AB492" s="5"/>
      <c r="AC492" s="5"/>
      <c r="AD492" s="5"/>
      <c r="AE492" s="5"/>
      <c r="AF492" s="5"/>
      <c r="AG492" s="5"/>
      <c r="AH492" s="5"/>
      <c r="AI492" s="5"/>
    </row>
    <row r="493" spans="1:35" ht="15.75" customHeight="1">
      <c r="A493" s="5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5"/>
      <c r="T493" s="5"/>
      <c r="U493" s="104"/>
      <c r="V493" s="5"/>
      <c r="W493" s="5"/>
      <c r="X493" s="5"/>
      <c r="Y493" s="5"/>
      <c r="Z493" s="7"/>
      <c r="AA493" s="5"/>
      <c r="AB493" s="5"/>
      <c r="AC493" s="5"/>
      <c r="AD493" s="5"/>
      <c r="AE493" s="5"/>
      <c r="AF493" s="5"/>
      <c r="AG493" s="5"/>
      <c r="AH493" s="5"/>
      <c r="AI493" s="5"/>
    </row>
    <row r="494" spans="1:35" ht="15.75" customHeight="1">
      <c r="A494" s="5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5"/>
      <c r="T494" s="5"/>
      <c r="U494" s="104"/>
      <c r="V494" s="5"/>
      <c r="W494" s="5"/>
      <c r="X494" s="5"/>
      <c r="Y494" s="5"/>
      <c r="Z494" s="7"/>
      <c r="AA494" s="5"/>
      <c r="AB494" s="5"/>
      <c r="AC494" s="5"/>
      <c r="AD494" s="5"/>
      <c r="AE494" s="5"/>
      <c r="AF494" s="5"/>
      <c r="AG494" s="5"/>
      <c r="AH494" s="5"/>
      <c r="AI494" s="5"/>
    </row>
    <row r="495" spans="1:35" ht="15.75" customHeight="1">
      <c r="A495" s="5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5"/>
      <c r="T495" s="5"/>
      <c r="U495" s="104"/>
      <c r="V495" s="5"/>
      <c r="W495" s="5"/>
      <c r="X495" s="5"/>
      <c r="Y495" s="5"/>
      <c r="Z495" s="7"/>
      <c r="AA495" s="5"/>
      <c r="AB495" s="5"/>
      <c r="AC495" s="5"/>
      <c r="AD495" s="5"/>
      <c r="AE495" s="5"/>
      <c r="AF495" s="5"/>
      <c r="AG495" s="5"/>
      <c r="AH495" s="5"/>
      <c r="AI495" s="5"/>
    </row>
    <row r="496" spans="1:35" ht="15.75" customHeight="1">
      <c r="A496" s="5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5"/>
      <c r="T496" s="5"/>
      <c r="U496" s="104"/>
      <c r="V496" s="5"/>
      <c r="W496" s="5"/>
      <c r="X496" s="5"/>
      <c r="Y496" s="5"/>
      <c r="Z496" s="7"/>
      <c r="AA496" s="5"/>
      <c r="AB496" s="5"/>
      <c r="AC496" s="5"/>
      <c r="AD496" s="5"/>
      <c r="AE496" s="5"/>
      <c r="AF496" s="5"/>
      <c r="AG496" s="5"/>
      <c r="AH496" s="5"/>
      <c r="AI496" s="5"/>
    </row>
    <row r="497" spans="1:35" ht="15.75" customHeight="1">
      <c r="A497" s="5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5"/>
      <c r="T497" s="5"/>
      <c r="U497" s="104"/>
      <c r="V497" s="5"/>
      <c r="W497" s="5"/>
      <c r="X497" s="5"/>
      <c r="Y497" s="5"/>
      <c r="Z497" s="7"/>
      <c r="AA497" s="5"/>
      <c r="AB497" s="5"/>
      <c r="AC497" s="5"/>
      <c r="AD497" s="5"/>
      <c r="AE497" s="5"/>
      <c r="AF497" s="5"/>
      <c r="AG497" s="5"/>
      <c r="AH497" s="5"/>
      <c r="AI497" s="5"/>
    </row>
    <row r="498" spans="1:35" ht="15.75" customHeight="1">
      <c r="A498" s="5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5"/>
      <c r="T498" s="5"/>
      <c r="U498" s="104"/>
      <c r="V498" s="5"/>
      <c r="W498" s="5"/>
      <c r="X498" s="5"/>
      <c r="Y498" s="5"/>
      <c r="Z498" s="7"/>
      <c r="AA498" s="5"/>
      <c r="AB498" s="5"/>
      <c r="AC498" s="5"/>
      <c r="AD498" s="5"/>
      <c r="AE498" s="5"/>
      <c r="AF498" s="5"/>
      <c r="AG498" s="5"/>
      <c r="AH498" s="5"/>
      <c r="AI498" s="5"/>
    </row>
    <row r="499" spans="1:35" ht="15.75" customHeight="1">
      <c r="A499" s="5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5"/>
      <c r="T499" s="5"/>
      <c r="U499" s="104"/>
      <c r="V499" s="5"/>
      <c r="W499" s="5"/>
      <c r="X499" s="5"/>
      <c r="Y499" s="5"/>
      <c r="Z499" s="7"/>
      <c r="AA499" s="5"/>
      <c r="AB499" s="5"/>
      <c r="AC499" s="5"/>
      <c r="AD499" s="5"/>
      <c r="AE499" s="5"/>
      <c r="AF499" s="5"/>
      <c r="AG499" s="5"/>
      <c r="AH499" s="5"/>
      <c r="AI499" s="5"/>
    </row>
    <row r="500" spans="1:35" ht="15.75" customHeight="1">
      <c r="A500" s="5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5"/>
      <c r="T500" s="5"/>
      <c r="U500" s="104"/>
      <c r="V500" s="5"/>
      <c r="W500" s="5"/>
      <c r="X500" s="5"/>
      <c r="Y500" s="5"/>
      <c r="Z500" s="7"/>
      <c r="AA500" s="5"/>
      <c r="AB500" s="5"/>
      <c r="AC500" s="5"/>
      <c r="AD500" s="5"/>
      <c r="AE500" s="5"/>
      <c r="AF500" s="5"/>
      <c r="AG500" s="5"/>
      <c r="AH500" s="5"/>
      <c r="AI500" s="5"/>
    </row>
    <row r="501" spans="1:35" ht="15.75" customHeight="1">
      <c r="A501" s="5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5"/>
      <c r="T501" s="5"/>
      <c r="U501" s="104"/>
      <c r="V501" s="5"/>
      <c r="W501" s="5"/>
      <c r="X501" s="5"/>
      <c r="Y501" s="5"/>
      <c r="Z501" s="7"/>
      <c r="AA501" s="5"/>
      <c r="AB501" s="5"/>
      <c r="AC501" s="5"/>
      <c r="AD501" s="5"/>
      <c r="AE501" s="5"/>
      <c r="AF501" s="5"/>
      <c r="AG501" s="5"/>
      <c r="AH501" s="5"/>
      <c r="AI501" s="5"/>
    </row>
    <row r="502" spans="1:35" ht="15.75" customHeight="1">
      <c r="A502" s="5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5"/>
      <c r="T502" s="5"/>
      <c r="U502" s="104"/>
      <c r="V502" s="5"/>
      <c r="W502" s="5"/>
      <c r="X502" s="5"/>
      <c r="Y502" s="5"/>
      <c r="Z502" s="7"/>
      <c r="AA502" s="5"/>
      <c r="AB502" s="5"/>
      <c r="AC502" s="5"/>
      <c r="AD502" s="5"/>
      <c r="AE502" s="5"/>
      <c r="AF502" s="5"/>
      <c r="AG502" s="5"/>
      <c r="AH502" s="5"/>
      <c r="AI502" s="5"/>
    </row>
    <row r="503" spans="1:35" ht="15.75" customHeight="1">
      <c r="A503" s="5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5"/>
      <c r="T503" s="5"/>
      <c r="U503" s="104"/>
      <c r="V503" s="5"/>
      <c r="W503" s="5"/>
      <c r="X503" s="5"/>
      <c r="Y503" s="5"/>
      <c r="Z503" s="7"/>
      <c r="AA503" s="5"/>
      <c r="AB503" s="5"/>
      <c r="AC503" s="5"/>
      <c r="AD503" s="5"/>
      <c r="AE503" s="5"/>
      <c r="AF503" s="5"/>
      <c r="AG503" s="5"/>
      <c r="AH503" s="5"/>
      <c r="AI503" s="5"/>
    </row>
    <row r="504" spans="1:35" ht="15.75" customHeight="1">
      <c r="A504" s="5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5"/>
      <c r="T504" s="5"/>
      <c r="U504" s="104"/>
      <c r="V504" s="5"/>
      <c r="W504" s="5"/>
      <c r="X504" s="5"/>
      <c r="Y504" s="5"/>
      <c r="Z504" s="7"/>
      <c r="AA504" s="5"/>
      <c r="AB504" s="5"/>
      <c r="AC504" s="5"/>
      <c r="AD504" s="5"/>
      <c r="AE504" s="5"/>
      <c r="AF504" s="5"/>
      <c r="AG504" s="5"/>
      <c r="AH504" s="5"/>
      <c r="AI504" s="5"/>
    </row>
    <row r="505" spans="1:35" ht="15.75" customHeight="1">
      <c r="A505" s="5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5"/>
      <c r="T505" s="5"/>
      <c r="U505" s="104"/>
      <c r="V505" s="5"/>
      <c r="W505" s="5"/>
      <c r="X505" s="5"/>
      <c r="Y505" s="5"/>
      <c r="Z505" s="7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ht="15.75" customHeight="1">
      <c r="A506" s="5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5"/>
      <c r="T506" s="5"/>
      <c r="U506" s="104"/>
      <c r="V506" s="5"/>
      <c r="W506" s="5"/>
      <c r="X506" s="5"/>
      <c r="Y506" s="5"/>
      <c r="Z506" s="7"/>
      <c r="AA506" s="5"/>
      <c r="AB506" s="5"/>
      <c r="AC506" s="5"/>
      <c r="AD506" s="5"/>
      <c r="AE506" s="5"/>
      <c r="AF506" s="5"/>
      <c r="AG506" s="5"/>
      <c r="AH506" s="5"/>
      <c r="AI506" s="5"/>
    </row>
    <row r="507" spans="1:35" ht="15.75" customHeight="1">
      <c r="A507" s="5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5"/>
      <c r="T507" s="5"/>
      <c r="U507" s="104"/>
      <c r="V507" s="5"/>
      <c r="W507" s="5"/>
      <c r="X507" s="5"/>
      <c r="Y507" s="5"/>
      <c r="Z507" s="7"/>
      <c r="AA507" s="5"/>
      <c r="AB507" s="5"/>
      <c r="AC507" s="5"/>
      <c r="AD507" s="5"/>
      <c r="AE507" s="5"/>
      <c r="AF507" s="5"/>
      <c r="AG507" s="5"/>
      <c r="AH507" s="5"/>
      <c r="AI507" s="5"/>
    </row>
    <row r="508" spans="1:35" ht="15.75" customHeight="1">
      <c r="A508" s="5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5"/>
      <c r="T508" s="5"/>
      <c r="U508" s="104"/>
      <c r="V508" s="5"/>
      <c r="W508" s="5"/>
      <c r="X508" s="5"/>
      <c r="Y508" s="5"/>
      <c r="Z508" s="7"/>
      <c r="AA508" s="5"/>
      <c r="AB508" s="5"/>
      <c r="AC508" s="5"/>
      <c r="AD508" s="5"/>
      <c r="AE508" s="5"/>
      <c r="AF508" s="5"/>
      <c r="AG508" s="5"/>
      <c r="AH508" s="5"/>
      <c r="AI508" s="5"/>
    </row>
    <row r="509" spans="1:35" ht="15.75" customHeight="1">
      <c r="A509" s="5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5"/>
      <c r="T509" s="5"/>
      <c r="U509" s="104"/>
      <c r="V509" s="5"/>
      <c r="W509" s="5"/>
      <c r="X509" s="5"/>
      <c r="Y509" s="5"/>
      <c r="Z509" s="7"/>
      <c r="AA509" s="5"/>
      <c r="AB509" s="5"/>
      <c r="AC509" s="5"/>
      <c r="AD509" s="5"/>
      <c r="AE509" s="5"/>
      <c r="AF509" s="5"/>
      <c r="AG509" s="5"/>
      <c r="AH509" s="5"/>
      <c r="AI509" s="5"/>
    </row>
    <row r="510" spans="1:35" ht="15.75" customHeight="1">
      <c r="A510" s="5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5"/>
      <c r="T510" s="5"/>
      <c r="U510" s="104"/>
      <c r="V510" s="5"/>
      <c r="W510" s="5"/>
      <c r="X510" s="5"/>
      <c r="Y510" s="5"/>
      <c r="Z510" s="7"/>
      <c r="AA510" s="5"/>
      <c r="AB510" s="5"/>
      <c r="AC510" s="5"/>
      <c r="AD510" s="5"/>
      <c r="AE510" s="5"/>
      <c r="AF510" s="5"/>
      <c r="AG510" s="5"/>
      <c r="AH510" s="5"/>
      <c r="AI510" s="5"/>
    </row>
    <row r="511" spans="1:35" ht="15.75" customHeight="1">
      <c r="A511" s="5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5"/>
      <c r="T511" s="5"/>
      <c r="U511" s="104"/>
      <c r="V511" s="5"/>
      <c r="W511" s="5"/>
      <c r="X511" s="5"/>
      <c r="Y511" s="5"/>
      <c r="Z511" s="7"/>
      <c r="AA511" s="5"/>
      <c r="AB511" s="5"/>
      <c r="AC511" s="5"/>
      <c r="AD511" s="5"/>
      <c r="AE511" s="5"/>
      <c r="AF511" s="5"/>
      <c r="AG511" s="5"/>
      <c r="AH511" s="5"/>
      <c r="AI511" s="5"/>
    </row>
    <row r="512" spans="1:35" ht="15.75" customHeight="1">
      <c r="A512" s="5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5"/>
      <c r="T512" s="5"/>
      <c r="U512" s="104"/>
      <c r="V512" s="5"/>
      <c r="W512" s="5"/>
      <c r="X512" s="5"/>
      <c r="Y512" s="5"/>
      <c r="Z512" s="7"/>
      <c r="AA512" s="5"/>
      <c r="AB512" s="5"/>
      <c r="AC512" s="5"/>
      <c r="AD512" s="5"/>
      <c r="AE512" s="5"/>
      <c r="AF512" s="5"/>
      <c r="AG512" s="5"/>
      <c r="AH512" s="5"/>
      <c r="AI512" s="5"/>
    </row>
    <row r="513" spans="1:35" ht="15.75" customHeight="1">
      <c r="A513" s="5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5"/>
      <c r="T513" s="5"/>
      <c r="U513" s="104"/>
      <c r="V513" s="5"/>
      <c r="W513" s="5"/>
      <c r="X513" s="5"/>
      <c r="Y513" s="5"/>
      <c r="Z513" s="7"/>
      <c r="AA513" s="5"/>
      <c r="AB513" s="5"/>
      <c r="AC513" s="5"/>
      <c r="AD513" s="5"/>
      <c r="AE513" s="5"/>
      <c r="AF513" s="5"/>
      <c r="AG513" s="5"/>
      <c r="AH513" s="5"/>
      <c r="AI513" s="5"/>
    </row>
    <row r="514" spans="1:35" ht="15.75" customHeight="1">
      <c r="A514" s="5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5"/>
      <c r="T514" s="5"/>
      <c r="U514" s="104"/>
      <c r="V514" s="5"/>
      <c r="W514" s="5"/>
      <c r="X514" s="5"/>
      <c r="Y514" s="5"/>
      <c r="Z514" s="7"/>
      <c r="AA514" s="5"/>
      <c r="AB514" s="5"/>
      <c r="AC514" s="5"/>
      <c r="AD514" s="5"/>
      <c r="AE514" s="5"/>
      <c r="AF514" s="5"/>
      <c r="AG514" s="5"/>
      <c r="AH514" s="5"/>
      <c r="AI514" s="5"/>
    </row>
    <row r="515" spans="1:35" ht="15.75" customHeight="1">
      <c r="A515" s="5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5"/>
      <c r="T515" s="5"/>
      <c r="U515" s="104"/>
      <c r="V515" s="5"/>
      <c r="W515" s="5"/>
      <c r="X515" s="5"/>
      <c r="Y515" s="5"/>
      <c r="Z515" s="7"/>
      <c r="AA515" s="5"/>
      <c r="AB515" s="5"/>
      <c r="AC515" s="5"/>
      <c r="AD515" s="5"/>
      <c r="AE515" s="5"/>
      <c r="AF515" s="5"/>
      <c r="AG515" s="5"/>
      <c r="AH515" s="5"/>
      <c r="AI515" s="5"/>
    </row>
    <row r="516" spans="1:35" ht="15.75" customHeight="1">
      <c r="A516" s="5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5"/>
      <c r="T516" s="5"/>
      <c r="U516" s="104"/>
      <c r="V516" s="5"/>
      <c r="W516" s="5"/>
      <c r="X516" s="5"/>
      <c r="Y516" s="5"/>
      <c r="Z516" s="7"/>
      <c r="AA516" s="5"/>
      <c r="AB516" s="5"/>
      <c r="AC516" s="5"/>
      <c r="AD516" s="5"/>
      <c r="AE516" s="5"/>
      <c r="AF516" s="5"/>
      <c r="AG516" s="5"/>
      <c r="AH516" s="5"/>
      <c r="AI516" s="5"/>
    </row>
    <row r="517" spans="1:35" ht="15.75" customHeight="1">
      <c r="A517" s="5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5"/>
      <c r="T517" s="5"/>
      <c r="U517" s="104"/>
      <c r="V517" s="5"/>
      <c r="W517" s="5"/>
      <c r="X517" s="5"/>
      <c r="Y517" s="5"/>
      <c r="Z517" s="7"/>
      <c r="AA517" s="5"/>
      <c r="AB517" s="5"/>
      <c r="AC517" s="5"/>
      <c r="AD517" s="5"/>
      <c r="AE517" s="5"/>
      <c r="AF517" s="5"/>
      <c r="AG517" s="5"/>
      <c r="AH517" s="5"/>
      <c r="AI517" s="5"/>
    </row>
    <row r="518" spans="1:35" ht="15.75" customHeight="1">
      <c r="A518" s="5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5"/>
      <c r="T518" s="5"/>
      <c r="U518" s="104"/>
      <c r="V518" s="5"/>
      <c r="W518" s="5"/>
      <c r="X518" s="5"/>
      <c r="Y518" s="5"/>
      <c r="Z518" s="7"/>
      <c r="AA518" s="5"/>
      <c r="AB518" s="5"/>
      <c r="AC518" s="5"/>
      <c r="AD518" s="5"/>
      <c r="AE518" s="5"/>
      <c r="AF518" s="5"/>
      <c r="AG518" s="5"/>
      <c r="AH518" s="5"/>
      <c r="AI518" s="5"/>
    </row>
    <row r="519" spans="1:35" ht="15.75" customHeight="1">
      <c r="A519" s="5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5"/>
      <c r="T519" s="5"/>
      <c r="U519" s="104"/>
      <c r="V519" s="5"/>
      <c r="W519" s="5"/>
      <c r="X519" s="5"/>
      <c r="Y519" s="5"/>
      <c r="Z519" s="7"/>
      <c r="AA519" s="5"/>
      <c r="AB519" s="5"/>
      <c r="AC519" s="5"/>
      <c r="AD519" s="5"/>
      <c r="AE519" s="5"/>
      <c r="AF519" s="5"/>
      <c r="AG519" s="5"/>
      <c r="AH519" s="5"/>
      <c r="AI519" s="5"/>
    </row>
    <row r="520" spans="1:35" ht="15.75" customHeight="1">
      <c r="A520" s="5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5"/>
      <c r="T520" s="5"/>
      <c r="U520" s="104"/>
      <c r="V520" s="5"/>
      <c r="W520" s="5"/>
      <c r="X520" s="5"/>
      <c r="Y520" s="5"/>
      <c r="Z520" s="7"/>
      <c r="AA520" s="5"/>
      <c r="AB520" s="5"/>
      <c r="AC520" s="5"/>
      <c r="AD520" s="5"/>
      <c r="AE520" s="5"/>
      <c r="AF520" s="5"/>
      <c r="AG520" s="5"/>
      <c r="AH520" s="5"/>
      <c r="AI520" s="5"/>
    </row>
    <row r="521" spans="1:35" ht="15.75" customHeight="1">
      <c r="A521" s="5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5"/>
      <c r="T521" s="5"/>
      <c r="U521" s="104"/>
      <c r="V521" s="5"/>
      <c r="W521" s="5"/>
      <c r="X521" s="5"/>
      <c r="Y521" s="5"/>
      <c r="Z521" s="7"/>
      <c r="AA521" s="5"/>
      <c r="AB521" s="5"/>
      <c r="AC521" s="5"/>
      <c r="AD521" s="5"/>
      <c r="AE521" s="5"/>
      <c r="AF521" s="5"/>
      <c r="AG521" s="5"/>
      <c r="AH521" s="5"/>
      <c r="AI521" s="5"/>
    </row>
    <row r="522" spans="1:35" ht="15.75" customHeight="1">
      <c r="A522" s="5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5"/>
      <c r="T522" s="5"/>
      <c r="U522" s="104"/>
      <c r="V522" s="5"/>
      <c r="W522" s="5"/>
      <c r="X522" s="5"/>
      <c r="Y522" s="5"/>
      <c r="Z522" s="7"/>
      <c r="AA522" s="5"/>
      <c r="AB522" s="5"/>
      <c r="AC522" s="5"/>
      <c r="AD522" s="5"/>
      <c r="AE522" s="5"/>
      <c r="AF522" s="5"/>
      <c r="AG522" s="5"/>
      <c r="AH522" s="5"/>
      <c r="AI522" s="5"/>
    </row>
    <row r="523" spans="1:35" ht="15.75" customHeight="1">
      <c r="A523" s="5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5"/>
      <c r="T523" s="5"/>
      <c r="U523" s="104"/>
      <c r="V523" s="5"/>
      <c r="W523" s="5"/>
      <c r="X523" s="5"/>
      <c r="Y523" s="5"/>
      <c r="Z523" s="7"/>
      <c r="AA523" s="5"/>
      <c r="AB523" s="5"/>
      <c r="AC523" s="5"/>
      <c r="AD523" s="5"/>
      <c r="AE523" s="5"/>
      <c r="AF523" s="5"/>
      <c r="AG523" s="5"/>
      <c r="AH523" s="5"/>
      <c r="AI523" s="5"/>
    </row>
    <row r="524" spans="1:35" ht="15.75" customHeight="1">
      <c r="A524" s="5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5"/>
      <c r="T524" s="5"/>
      <c r="U524" s="104"/>
      <c r="V524" s="5"/>
      <c r="W524" s="5"/>
      <c r="X524" s="5"/>
      <c r="Y524" s="5"/>
      <c r="Z524" s="7"/>
      <c r="AA524" s="5"/>
      <c r="AB524" s="5"/>
      <c r="AC524" s="5"/>
      <c r="AD524" s="5"/>
      <c r="AE524" s="5"/>
      <c r="AF524" s="5"/>
      <c r="AG524" s="5"/>
      <c r="AH524" s="5"/>
      <c r="AI524" s="5"/>
    </row>
    <row r="525" spans="1:35" ht="15.75" customHeight="1">
      <c r="A525" s="5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5"/>
      <c r="T525" s="5"/>
      <c r="U525" s="104"/>
      <c r="V525" s="5"/>
      <c r="W525" s="5"/>
      <c r="X525" s="5"/>
      <c r="Y525" s="5"/>
      <c r="Z525" s="7"/>
      <c r="AA525" s="5"/>
      <c r="AB525" s="5"/>
      <c r="AC525" s="5"/>
      <c r="AD525" s="5"/>
      <c r="AE525" s="5"/>
      <c r="AF525" s="5"/>
      <c r="AG525" s="5"/>
      <c r="AH525" s="5"/>
      <c r="AI525" s="5"/>
    </row>
    <row r="526" spans="1:35" ht="15.75" customHeight="1">
      <c r="A526" s="5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5"/>
      <c r="T526" s="5"/>
      <c r="U526" s="104"/>
      <c r="V526" s="5"/>
      <c r="W526" s="5"/>
      <c r="X526" s="5"/>
      <c r="Y526" s="5"/>
      <c r="Z526" s="7"/>
      <c r="AA526" s="5"/>
      <c r="AB526" s="5"/>
      <c r="AC526" s="5"/>
      <c r="AD526" s="5"/>
      <c r="AE526" s="5"/>
      <c r="AF526" s="5"/>
      <c r="AG526" s="5"/>
      <c r="AH526" s="5"/>
      <c r="AI526" s="5"/>
    </row>
    <row r="527" spans="1:35" ht="15.75" customHeight="1">
      <c r="A527" s="5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5"/>
      <c r="T527" s="5"/>
      <c r="U527" s="104"/>
      <c r="V527" s="5"/>
      <c r="W527" s="5"/>
      <c r="X527" s="5"/>
      <c r="Y527" s="5"/>
      <c r="Z527" s="7"/>
      <c r="AA527" s="5"/>
      <c r="AB527" s="5"/>
      <c r="AC527" s="5"/>
      <c r="AD527" s="5"/>
      <c r="AE527" s="5"/>
      <c r="AF527" s="5"/>
      <c r="AG527" s="5"/>
      <c r="AH527" s="5"/>
      <c r="AI527" s="5"/>
    </row>
    <row r="528" spans="1:35" ht="15.75" customHeight="1">
      <c r="A528" s="5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5"/>
      <c r="T528" s="5"/>
      <c r="U528" s="104"/>
      <c r="V528" s="5"/>
      <c r="W528" s="5"/>
      <c r="X528" s="5"/>
      <c r="Y528" s="5"/>
      <c r="Z528" s="7"/>
      <c r="AA528" s="5"/>
      <c r="AB528" s="5"/>
      <c r="AC528" s="5"/>
      <c r="AD528" s="5"/>
      <c r="AE528" s="5"/>
      <c r="AF528" s="5"/>
      <c r="AG528" s="5"/>
      <c r="AH528" s="5"/>
      <c r="AI528" s="5"/>
    </row>
    <row r="529" spans="1:35" ht="15.75" customHeight="1">
      <c r="A529" s="5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5"/>
      <c r="T529" s="5"/>
      <c r="U529" s="104"/>
      <c r="V529" s="5"/>
      <c r="W529" s="5"/>
      <c r="X529" s="5"/>
      <c r="Y529" s="5"/>
      <c r="Z529" s="7"/>
      <c r="AA529" s="5"/>
      <c r="AB529" s="5"/>
      <c r="AC529" s="5"/>
      <c r="AD529" s="5"/>
      <c r="AE529" s="5"/>
      <c r="AF529" s="5"/>
      <c r="AG529" s="5"/>
      <c r="AH529" s="5"/>
      <c r="AI529" s="5"/>
    </row>
    <row r="530" spans="1:35" ht="15.75" customHeight="1">
      <c r="A530" s="5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5"/>
      <c r="T530" s="5"/>
      <c r="U530" s="104"/>
      <c r="V530" s="5"/>
      <c r="W530" s="5"/>
      <c r="X530" s="5"/>
      <c r="Y530" s="5"/>
      <c r="Z530" s="7"/>
      <c r="AA530" s="5"/>
      <c r="AB530" s="5"/>
      <c r="AC530" s="5"/>
      <c r="AD530" s="5"/>
      <c r="AE530" s="5"/>
      <c r="AF530" s="5"/>
      <c r="AG530" s="5"/>
      <c r="AH530" s="5"/>
      <c r="AI530" s="5"/>
    </row>
    <row r="531" spans="1:35" ht="15.75" customHeight="1">
      <c r="A531" s="5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5"/>
      <c r="T531" s="5"/>
      <c r="U531" s="104"/>
      <c r="V531" s="5"/>
      <c r="W531" s="5"/>
      <c r="X531" s="5"/>
      <c r="Y531" s="5"/>
      <c r="Z531" s="7"/>
      <c r="AA531" s="5"/>
      <c r="AB531" s="5"/>
      <c r="AC531" s="5"/>
      <c r="AD531" s="5"/>
      <c r="AE531" s="5"/>
      <c r="AF531" s="5"/>
      <c r="AG531" s="5"/>
      <c r="AH531" s="5"/>
      <c r="AI531" s="5"/>
    </row>
    <row r="532" spans="1:35" ht="15.75" customHeight="1">
      <c r="A532" s="5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5"/>
      <c r="T532" s="5"/>
      <c r="U532" s="104"/>
      <c r="V532" s="5"/>
      <c r="W532" s="5"/>
      <c r="X532" s="5"/>
      <c r="Y532" s="5"/>
      <c r="Z532" s="7"/>
      <c r="AA532" s="5"/>
      <c r="AB532" s="5"/>
      <c r="AC532" s="5"/>
      <c r="AD532" s="5"/>
      <c r="AE532" s="5"/>
      <c r="AF532" s="5"/>
      <c r="AG532" s="5"/>
      <c r="AH532" s="5"/>
      <c r="AI532" s="5"/>
    </row>
    <row r="533" spans="1:35" ht="15.75" customHeight="1">
      <c r="A533" s="5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5"/>
      <c r="T533" s="5"/>
      <c r="U533" s="104"/>
      <c r="V533" s="5"/>
      <c r="W533" s="5"/>
      <c r="X533" s="5"/>
      <c r="Y533" s="5"/>
      <c r="Z533" s="7"/>
      <c r="AA533" s="5"/>
      <c r="AB533" s="5"/>
      <c r="AC533" s="5"/>
      <c r="AD533" s="5"/>
      <c r="AE533" s="5"/>
      <c r="AF533" s="5"/>
      <c r="AG533" s="5"/>
      <c r="AH533" s="5"/>
      <c r="AI533" s="5"/>
    </row>
    <row r="534" spans="1:35" ht="15.75" customHeight="1">
      <c r="A534" s="5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5"/>
      <c r="T534" s="5"/>
      <c r="U534" s="104"/>
      <c r="V534" s="5"/>
      <c r="W534" s="5"/>
      <c r="X534" s="5"/>
      <c r="Y534" s="5"/>
      <c r="Z534" s="7"/>
      <c r="AA534" s="5"/>
      <c r="AB534" s="5"/>
      <c r="AC534" s="5"/>
      <c r="AD534" s="5"/>
      <c r="AE534" s="5"/>
      <c r="AF534" s="5"/>
      <c r="AG534" s="5"/>
      <c r="AH534" s="5"/>
      <c r="AI534" s="5"/>
    </row>
    <row r="535" spans="1:35" ht="15.75" customHeight="1">
      <c r="A535" s="5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5"/>
      <c r="T535" s="5"/>
      <c r="U535" s="104"/>
      <c r="V535" s="5"/>
      <c r="W535" s="5"/>
      <c r="X535" s="5"/>
      <c r="Y535" s="5"/>
      <c r="Z535" s="7"/>
      <c r="AA535" s="5"/>
      <c r="AB535" s="5"/>
      <c r="AC535" s="5"/>
      <c r="AD535" s="5"/>
      <c r="AE535" s="5"/>
      <c r="AF535" s="5"/>
      <c r="AG535" s="5"/>
      <c r="AH535" s="5"/>
      <c r="AI535" s="5"/>
    </row>
    <row r="536" spans="1:35" ht="15.75" customHeight="1">
      <c r="A536" s="5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5"/>
      <c r="T536" s="5"/>
      <c r="U536" s="104"/>
      <c r="V536" s="5"/>
      <c r="W536" s="5"/>
      <c r="X536" s="5"/>
      <c r="Y536" s="5"/>
      <c r="Z536" s="7"/>
      <c r="AA536" s="5"/>
      <c r="AB536" s="5"/>
      <c r="AC536" s="5"/>
      <c r="AD536" s="5"/>
      <c r="AE536" s="5"/>
      <c r="AF536" s="5"/>
      <c r="AG536" s="5"/>
      <c r="AH536" s="5"/>
      <c r="AI536" s="5"/>
    </row>
    <row r="537" spans="1:35" ht="15.75" customHeight="1">
      <c r="A537" s="5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5"/>
      <c r="T537" s="5"/>
      <c r="U537" s="104"/>
      <c r="V537" s="5"/>
      <c r="W537" s="5"/>
      <c r="X537" s="5"/>
      <c r="Y537" s="5"/>
      <c r="Z537" s="7"/>
      <c r="AA537" s="5"/>
      <c r="AB537" s="5"/>
      <c r="AC537" s="5"/>
      <c r="AD537" s="5"/>
      <c r="AE537" s="5"/>
      <c r="AF537" s="5"/>
      <c r="AG537" s="5"/>
      <c r="AH537" s="5"/>
      <c r="AI537" s="5"/>
    </row>
    <row r="538" spans="1:35" ht="15.75" customHeight="1">
      <c r="A538" s="5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5"/>
      <c r="T538" s="5"/>
      <c r="U538" s="104"/>
      <c r="V538" s="5"/>
      <c r="W538" s="5"/>
      <c r="X538" s="5"/>
      <c r="Y538" s="5"/>
      <c r="Z538" s="7"/>
      <c r="AA538" s="5"/>
      <c r="AB538" s="5"/>
      <c r="AC538" s="5"/>
      <c r="AD538" s="5"/>
      <c r="AE538" s="5"/>
      <c r="AF538" s="5"/>
      <c r="AG538" s="5"/>
      <c r="AH538" s="5"/>
      <c r="AI538" s="5"/>
    </row>
    <row r="539" spans="1:35" ht="15.75" customHeight="1">
      <c r="A539" s="5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5"/>
      <c r="T539" s="5"/>
      <c r="U539" s="104"/>
      <c r="V539" s="5"/>
      <c r="W539" s="5"/>
      <c r="X539" s="5"/>
      <c r="Y539" s="5"/>
      <c r="Z539" s="7"/>
      <c r="AA539" s="5"/>
      <c r="AB539" s="5"/>
      <c r="AC539" s="5"/>
      <c r="AD539" s="5"/>
      <c r="AE539" s="5"/>
      <c r="AF539" s="5"/>
      <c r="AG539" s="5"/>
      <c r="AH539" s="5"/>
      <c r="AI539" s="5"/>
    </row>
    <row r="540" spans="1:35" ht="15.75" customHeight="1">
      <c r="A540" s="5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5"/>
      <c r="T540" s="5"/>
      <c r="U540" s="104"/>
      <c r="V540" s="5"/>
      <c r="W540" s="5"/>
      <c r="X540" s="5"/>
      <c r="Y540" s="5"/>
      <c r="Z540" s="7"/>
      <c r="AA540" s="5"/>
      <c r="AB540" s="5"/>
      <c r="AC540" s="5"/>
      <c r="AD540" s="5"/>
      <c r="AE540" s="5"/>
      <c r="AF540" s="5"/>
      <c r="AG540" s="5"/>
      <c r="AH540" s="5"/>
      <c r="AI540" s="5"/>
    </row>
    <row r="541" spans="1:35" ht="15.75" customHeight="1">
      <c r="A541" s="5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5"/>
      <c r="T541" s="5"/>
      <c r="U541" s="104"/>
      <c r="V541" s="5"/>
      <c r="W541" s="5"/>
      <c r="X541" s="5"/>
      <c r="Y541" s="5"/>
      <c r="Z541" s="7"/>
      <c r="AA541" s="5"/>
      <c r="AB541" s="5"/>
      <c r="AC541" s="5"/>
      <c r="AD541" s="5"/>
      <c r="AE541" s="5"/>
      <c r="AF541" s="5"/>
      <c r="AG541" s="5"/>
      <c r="AH541" s="5"/>
      <c r="AI541" s="5"/>
    </row>
    <row r="542" spans="1:35" ht="15.75" customHeight="1">
      <c r="A542" s="5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5"/>
      <c r="T542" s="5"/>
      <c r="U542" s="104"/>
      <c r="V542" s="5"/>
      <c r="W542" s="5"/>
      <c r="X542" s="5"/>
      <c r="Y542" s="5"/>
      <c r="Z542" s="7"/>
      <c r="AA542" s="5"/>
      <c r="AB542" s="5"/>
      <c r="AC542" s="5"/>
      <c r="AD542" s="5"/>
      <c r="AE542" s="5"/>
      <c r="AF542" s="5"/>
      <c r="AG542" s="5"/>
      <c r="AH542" s="5"/>
      <c r="AI542" s="5"/>
    </row>
    <row r="543" spans="1:35" ht="15.75" customHeight="1">
      <c r="A543" s="5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5"/>
      <c r="T543" s="5"/>
      <c r="U543" s="104"/>
      <c r="V543" s="5"/>
      <c r="W543" s="5"/>
      <c r="X543" s="5"/>
      <c r="Y543" s="5"/>
      <c r="Z543" s="7"/>
      <c r="AA543" s="5"/>
      <c r="AB543" s="5"/>
      <c r="AC543" s="5"/>
      <c r="AD543" s="5"/>
      <c r="AE543" s="5"/>
      <c r="AF543" s="5"/>
      <c r="AG543" s="5"/>
      <c r="AH543" s="5"/>
      <c r="AI543" s="5"/>
    </row>
    <row r="544" spans="1:35" ht="15.75" customHeight="1">
      <c r="A544" s="5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5"/>
      <c r="T544" s="5"/>
      <c r="U544" s="104"/>
      <c r="V544" s="5"/>
      <c r="W544" s="5"/>
      <c r="X544" s="5"/>
      <c r="Y544" s="5"/>
      <c r="Z544" s="7"/>
      <c r="AA544" s="5"/>
      <c r="AB544" s="5"/>
      <c r="AC544" s="5"/>
      <c r="AD544" s="5"/>
      <c r="AE544" s="5"/>
      <c r="AF544" s="5"/>
      <c r="AG544" s="5"/>
      <c r="AH544" s="5"/>
      <c r="AI544" s="5"/>
    </row>
    <row r="545" spans="1:35" ht="15.75" customHeight="1">
      <c r="A545" s="5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5"/>
      <c r="T545" s="5"/>
      <c r="U545" s="104"/>
      <c r="V545" s="5"/>
      <c r="W545" s="5"/>
      <c r="X545" s="5"/>
      <c r="Y545" s="5"/>
      <c r="Z545" s="7"/>
      <c r="AA545" s="5"/>
      <c r="AB545" s="5"/>
      <c r="AC545" s="5"/>
      <c r="AD545" s="5"/>
      <c r="AE545" s="5"/>
      <c r="AF545" s="5"/>
      <c r="AG545" s="5"/>
      <c r="AH545" s="5"/>
      <c r="AI545" s="5"/>
    </row>
    <row r="546" spans="1:35" ht="15.75" customHeight="1">
      <c r="A546" s="5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5"/>
      <c r="T546" s="5"/>
      <c r="U546" s="104"/>
      <c r="V546" s="5"/>
      <c r="W546" s="5"/>
      <c r="X546" s="5"/>
      <c r="Y546" s="5"/>
      <c r="Z546" s="7"/>
      <c r="AA546" s="5"/>
      <c r="AB546" s="5"/>
      <c r="AC546" s="5"/>
      <c r="AD546" s="5"/>
      <c r="AE546" s="5"/>
      <c r="AF546" s="5"/>
      <c r="AG546" s="5"/>
      <c r="AH546" s="5"/>
      <c r="AI546" s="5"/>
    </row>
    <row r="547" spans="1:35" ht="15.75" customHeight="1">
      <c r="A547" s="5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5"/>
      <c r="T547" s="5"/>
      <c r="U547" s="104"/>
      <c r="V547" s="5"/>
      <c r="W547" s="5"/>
      <c r="X547" s="5"/>
      <c r="Y547" s="5"/>
      <c r="Z547" s="7"/>
      <c r="AA547" s="5"/>
      <c r="AB547" s="5"/>
      <c r="AC547" s="5"/>
      <c r="AD547" s="5"/>
      <c r="AE547" s="5"/>
      <c r="AF547" s="5"/>
      <c r="AG547" s="5"/>
      <c r="AH547" s="5"/>
      <c r="AI547" s="5"/>
    </row>
    <row r="548" spans="1:35" ht="15.75" customHeight="1">
      <c r="A548" s="5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5"/>
      <c r="T548" s="5"/>
      <c r="U548" s="104"/>
      <c r="V548" s="5"/>
      <c r="W548" s="5"/>
      <c r="X548" s="5"/>
      <c r="Y548" s="5"/>
      <c r="Z548" s="7"/>
      <c r="AA548" s="5"/>
      <c r="AB548" s="5"/>
      <c r="AC548" s="5"/>
      <c r="AD548" s="5"/>
      <c r="AE548" s="5"/>
      <c r="AF548" s="5"/>
      <c r="AG548" s="5"/>
      <c r="AH548" s="5"/>
      <c r="AI548" s="5"/>
    </row>
    <row r="549" spans="1:35" ht="15.75" customHeight="1">
      <c r="A549" s="5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5"/>
      <c r="T549" s="5"/>
      <c r="U549" s="104"/>
      <c r="V549" s="5"/>
      <c r="W549" s="5"/>
      <c r="X549" s="5"/>
      <c r="Y549" s="5"/>
      <c r="Z549" s="7"/>
      <c r="AA549" s="5"/>
      <c r="AB549" s="5"/>
      <c r="AC549" s="5"/>
      <c r="AD549" s="5"/>
      <c r="AE549" s="5"/>
      <c r="AF549" s="5"/>
      <c r="AG549" s="5"/>
      <c r="AH549" s="5"/>
      <c r="AI549" s="5"/>
    </row>
    <row r="550" spans="1:35" ht="15.75" customHeight="1">
      <c r="A550" s="5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5"/>
      <c r="T550" s="5"/>
      <c r="U550" s="104"/>
      <c r="V550" s="5"/>
      <c r="W550" s="5"/>
      <c r="X550" s="5"/>
      <c r="Y550" s="5"/>
      <c r="Z550" s="7"/>
      <c r="AA550" s="5"/>
      <c r="AB550" s="5"/>
      <c r="AC550" s="5"/>
      <c r="AD550" s="5"/>
      <c r="AE550" s="5"/>
      <c r="AF550" s="5"/>
      <c r="AG550" s="5"/>
      <c r="AH550" s="5"/>
      <c r="AI550" s="5"/>
    </row>
    <row r="551" spans="1:35" ht="15.75" customHeight="1">
      <c r="A551" s="5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5"/>
      <c r="T551" s="5"/>
      <c r="U551" s="104"/>
      <c r="V551" s="5"/>
      <c r="W551" s="5"/>
      <c r="X551" s="5"/>
      <c r="Y551" s="5"/>
      <c r="Z551" s="7"/>
      <c r="AA551" s="5"/>
      <c r="AB551" s="5"/>
      <c r="AC551" s="5"/>
      <c r="AD551" s="5"/>
      <c r="AE551" s="5"/>
      <c r="AF551" s="5"/>
      <c r="AG551" s="5"/>
      <c r="AH551" s="5"/>
      <c r="AI551" s="5"/>
    </row>
    <row r="552" spans="1:35" ht="15.75" customHeight="1">
      <c r="A552" s="5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5"/>
      <c r="T552" s="5"/>
      <c r="U552" s="104"/>
      <c r="V552" s="5"/>
      <c r="W552" s="5"/>
      <c r="X552" s="5"/>
      <c r="Y552" s="5"/>
      <c r="Z552" s="7"/>
      <c r="AA552" s="5"/>
      <c r="AB552" s="5"/>
      <c r="AC552" s="5"/>
      <c r="AD552" s="5"/>
      <c r="AE552" s="5"/>
      <c r="AF552" s="5"/>
      <c r="AG552" s="5"/>
      <c r="AH552" s="5"/>
      <c r="AI552" s="5"/>
    </row>
    <row r="553" spans="1:35" ht="15.75" customHeight="1">
      <c r="A553" s="5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5"/>
      <c r="T553" s="5"/>
      <c r="U553" s="104"/>
      <c r="V553" s="5"/>
      <c r="W553" s="5"/>
      <c r="X553" s="5"/>
      <c r="Y553" s="5"/>
      <c r="Z553" s="7"/>
      <c r="AA553" s="5"/>
      <c r="AB553" s="5"/>
      <c r="AC553" s="5"/>
      <c r="AD553" s="5"/>
      <c r="AE553" s="5"/>
      <c r="AF553" s="5"/>
      <c r="AG553" s="5"/>
      <c r="AH553" s="5"/>
      <c r="AI553" s="5"/>
    </row>
    <row r="554" spans="1:35" ht="15.75" customHeight="1">
      <c r="A554" s="5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5"/>
      <c r="T554" s="5"/>
      <c r="U554" s="104"/>
      <c r="V554" s="5"/>
      <c r="W554" s="5"/>
      <c r="X554" s="5"/>
      <c r="Y554" s="5"/>
      <c r="Z554" s="7"/>
      <c r="AA554" s="5"/>
      <c r="AB554" s="5"/>
      <c r="AC554" s="5"/>
      <c r="AD554" s="5"/>
      <c r="AE554" s="5"/>
      <c r="AF554" s="5"/>
      <c r="AG554" s="5"/>
      <c r="AH554" s="5"/>
      <c r="AI554" s="5"/>
    </row>
    <row r="555" spans="1:35" ht="15.75" customHeight="1">
      <c r="A555" s="5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5"/>
      <c r="T555" s="5"/>
      <c r="U555" s="104"/>
      <c r="V555" s="5"/>
      <c r="W555" s="5"/>
      <c r="X555" s="5"/>
      <c r="Y555" s="5"/>
      <c r="Z555" s="7"/>
      <c r="AA555" s="5"/>
      <c r="AB555" s="5"/>
      <c r="AC555" s="5"/>
      <c r="AD555" s="5"/>
      <c r="AE555" s="5"/>
      <c r="AF555" s="5"/>
      <c r="AG555" s="5"/>
      <c r="AH555" s="5"/>
      <c r="AI555" s="5"/>
    </row>
    <row r="556" spans="1:35" ht="15.75" customHeight="1">
      <c r="A556" s="5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5"/>
      <c r="T556" s="5"/>
      <c r="U556" s="104"/>
      <c r="V556" s="5"/>
      <c r="W556" s="5"/>
      <c r="X556" s="5"/>
      <c r="Y556" s="5"/>
      <c r="Z556" s="7"/>
      <c r="AA556" s="5"/>
      <c r="AB556" s="5"/>
      <c r="AC556" s="5"/>
      <c r="AD556" s="5"/>
      <c r="AE556" s="5"/>
      <c r="AF556" s="5"/>
      <c r="AG556" s="5"/>
      <c r="AH556" s="5"/>
      <c r="AI556" s="5"/>
    </row>
    <row r="557" spans="1:35" ht="15.75" customHeight="1">
      <c r="A557" s="5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5"/>
      <c r="T557" s="5"/>
      <c r="U557" s="104"/>
      <c r="V557" s="5"/>
      <c r="W557" s="5"/>
      <c r="X557" s="5"/>
      <c r="Y557" s="5"/>
      <c r="Z557" s="7"/>
      <c r="AA557" s="5"/>
      <c r="AB557" s="5"/>
      <c r="AC557" s="5"/>
      <c r="AD557" s="5"/>
      <c r="AE557" s="5"/>
      <c r="AF557" s="5"/>
      <c r="AG557" s="5"/>
      <c r="AH557" s="5"/>
      <c r="AI557" s="5"/>
    </row>
    <row r="558" spans="1:35" ht="15.75" customHeight="1">
      <c r="A558" s="5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5"/>
      <c r="T558" s="5"/>
      <c r="U558" s="104"/>
      <c r="V558" s="5"/>
      <c r="W558" s="5"/>
      <c r="X558" s="5"/>
      <c r="Y558" s="5"/>
      <c r="Z558" s="7"/>
      <c r="AA558" s="5"/>
      <c r="AB558" s="5"/>
      <c r="AC558" s="5"/>
      <c r="AD558" s="5"/>
      <c r="AE558" s="5"/>
      <c r="AF558" s="5"/>
      <c r="AG558" s="5"/>
      <c r="AH558" s="5"/>
      <c r="AI558" s="5"/>
    </row>
    <row r="559" spans="1:35" ht="15.75" customHeight="1">
      <c r="A559" s="5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5"/>
      <c r="T559" s="5"/>
      <c r="U559" s="104"/>
      <c r="V559" s="5"/>
      <c r="W559" s="5"/>
      <c r="X559" s="5"/>
      <c r="Y559" s="5"/>
      <c r="Z559" s="7"/>
      <c r="AA559" s="5"/>
      <c r="AB559" s="5"/>
      <c r="AC559" s="5"/>
      <c r="AD559" s="5"/>
      <c r="AE559" s="5"/>
      <c r="AF559" s="5"/>
      <c r="AG559" s="5"/>
      <c r="AH559" s="5"/>
      <c r="AI559" s="5"/>
    </row>
    <row r="560" spans="1:35" ht="15.75" customHeight="1">
      <c r="A560" s="5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5"/>
      <c r="T560" s="5"/>
      <c r="U560" s="104"/>
      <c r="V560" s="5"/>
      <c r="W560" s="5"/>
      <c r="X560" s="5"/>
      <c r="Y560" s="5"/>
      <c r="Z560" s="7"/>
      <c r="AA560" s="5"/>
      <c r="AB560" s="5"/>
      <c r="AC560" s="5"/>
      <c r="AD560" s="5"/>
      <c r="AE560" s="5"/>
      <c r="AF560" s="5"/>
      <c r="AG560" s="5"/>
      <c r="AH560" s="5"/>
      <c r="AI560" s="5"/>
    </row>
    <row r="561" spans="1:35" ht="15.75" customHeight="1">
      <c r="A561" s="5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5"/>
      <c r="T561" s="5"/>
      <c r="U561" s="104"/>
      <c r="V561" s="5"/>
      <c r="W561" s="5"/>
      <c r="X561" s="5"/>
      <c r="Y561" s="5"/>
      <c r="Z561" s="7"/>
      <c r="AA561" s="5"/>
      <c r="AB561" s="5"/>
      <c r="AC561" s="5"/>
      <c r="AD561" s="5"/>
      <c r="AE561" s="5"/>
      <c r="AF561" s="5"/>
      <c r="AG561" s="5"/>
      <c r="AH561" s="5"/>
      <c r="AI561" s="5"/>
    </row>
    <row r="562" spans="1:35" ht="15.75" customHeight="1">
      <c r="A562" s="5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5"/>
      <c r="T562" s="5"/>
      <c r="U562" s="104"/>
      <c r="V562" s="5"/>
      <c r="W562" s="5"/>
      <c r="X562" s="5"/>
      <c r="Y562" s="5"/>
      <c r="Z562" s="7"/>
      <c r="AA562" s="5"/>
      <c r="AB562" s="5"/>
      <c r="AC562" s="5"/>
      <c r="AD562" s="5"/>
      <c r="AE562" s="5"/>
      <c r="AF562" s="5"/>
      <c r="AG562" s="5"/>
      <c r="AH562" s="5"/>
      <c r="AI562" s="5"/>
    </row>
    <row r="563" spans="1:35" ht="15.75" customHeight="1">
      <c r="A563" s="5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5"/>
      <c r="T563" s="5"/>
      <c r="U563" s="104"/>
      <c r="V563" s="5"/>
      <c r="W563" s="5"/>
      <c r="X563" s="5"/>
      <c r="Y563" s="5"/>
      <c r="Z563" s="7"/>
      <c r="AA563" s="5"/>
      <c r="AB563" s="5"/>
      <c r="AC563" s="5"/>
      <c r="AD563" s="5"/>
      <c r="AE563" s="5"/>
      <c r="AF563" s="5"/>
      <c r="AG563" s="5"/>
      <c r="AH563" s="5"/>
      <c r="AI563" s="5"/>
    </row>
    <row r="564" spans="1:35" ht="15.75" customHeight="1">
      <c r="A564" s="5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5"/>
      <c r="T564" s="5"/>
      <c r="U564" s="104"/>
      <c r="V564" s="5"/>
      <c r="W564" s="5"/>
      <c r="X564" s="5"/>
      <c r="Y564" s="5"/>
      <c r="Z564" s="7"/>
      <c r="AA564" s="5"/>
      <c r="AB564" s="5"/>
      <c r="AC564" s="5"/>
      <c r="AD564" s="5"/>
      <c r="AE564" s="5"/>
      <c r="AF564" s="5"/>
      <c r="AG564" s="5"/>
      <c r="AH564" s="5"/>
      <c r="AI564" s="5"/>
    </row>
    <row r="565" spans="1:35" ht="15.75" customHeight="1">
      <c r="A565" s="5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5"/>
      <c r="T565" s="5"/>
      <c r="U565" s="104"/>
      <c r="V565" s="5"/>
      <c r="W565" s="5"/>
      <c r="X565" s="5"/>
      <c r="Y565" s="5"/>
      <c r="Z565" s="7"/>
      <c r="AA565" s="5"/>
      <c r="AB565" s="5"/>
      <c r="AC565" s="5"/>
      <c r="AD565" s="5"/>
      <c r="AE565" s="5"/>
      <c r="AF565" s="5"/>
      <c r="AG565" s="5"/>
      <c r="AH565" s="5"/>
      <c r="AI565" s="5"/>
    </row>
    <row r="566" spans="1:35" ht="15.75" customHeight="1">
      <c r="A566" s="5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5"/>
      <c r="T566" s="5"/>
      <c r="U566" s="104"/>
      <c r="V566" s="5"/>
      <c r="W566" s="5"/>
      <c r="X566" s="5"/>
      <c r="Y566" s="5"/>
      <c r="Z566" s="7"/>
      <c r="AA566" s="5"/>
      <c r="AB566" s="5"/>
      <c r="AC566" s="5"/>
      <c r="AD566" s="5"/>
      <c r="AE566" s="5"/>
      <c r="AF566" s="5"/>
      <c r="AG566" s="5"/>
      <c r="AH566" s="5"/>
      <c r="AI566" s="5"/>
    </row>
    <row r="567" spans="1:35" ht="15.75" customHeight="1">
      <c r="A567" s="5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5"/>
      <c r="T567" s="5"/>
      <c r="U567" s="104"/>
      <c r="V567" s="5"/>
      <c r="W567" s="5"/>
      <c r="X567" s="5"/>
      <c r="Y567" s="5"/>
      <c r="Z567" s="7"/>
      <c r="AA567" s="5"/>
      <c r="AB567" s="5"/>
      <c r="AC567" s="5"/>
      <c r="AD567" s="5"/>
      <c r="AE567" s="5"/>
      <c r="AF567" s="5"/>
      <c r="AG567" s="5"/>
      <c r="AH567" s="5"/>
      <c r="AI567" s="5"/>
    </row>
    <row r="568" spans="1:35" ht="15.75" customHeight="1">
      <c r="A568" s="5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5"/>
      <c r="T568" s="5"/>
      <c r="U568" s="104"/>
      <c r="V568" s="5"/>
      <c r="W568" s="5"/>
      <c r="X568" s="5"/>
      <c r="Y568" s="5"/>
      <c r="Z568" s="7"/>
      <c r="AA568" s="5"/>
      <c r="AB568" s="5"/>
      <c r="AC568" s="5"/>
      <c r="AD568" s="5"/>
      <c r="AE568" s="5"/>
      <c r="AF568" s="5"/>
      <c r="AG568" s="5"/>
      <c r="AH568" s="5"/>
      <c r="AI568" s="5"/>
    </row>
    <row r="569" spans="1:35" ht="15.75" customHeight="1">
      <c r="A569" s="5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5"/>
      <c r="T569" s="5"/>
      <c r="U569" s="104"/>
      <c r="V569" s="5"/>
      <c r="W569" s="5"/>
      <c r="X569" s="5"/>
      <c r="Y569" s="5"/>
      <c r="Z569" s="7"/>
      <c r="AA569" s="5"/>
      <c r="AB569" s="5"/>
      <c r="AC569" s="5"/>
      <c r="AD569" s="5"/>
      <c r="AE569" s="5"/>
      <c r="AF569" s="5"/>
      <c r="AG569" s="5"/>
      <c r="AH569" s="5"/>
      <c r="AI569" s="5"/>
    </row>
    <row r="570" spans="1:35" ht="15.75" customHeight="1">
      <c r="A570" s="5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5"/>
      <c r="T570" s="5"/>
      <c r="U570" s="104"/>
      <c r="V570" s="5"/>
      <c r="W570" s="5"/>
      <c r="X570" s="5"/>
      <c r="Y570" s="5"/>
      <c r="Z570" s="7"/>
      <c r="AA570" s="5"/>
      <c r="AB570" s="5"/>
      <c r="AC570" s="5"/>
      <c r="AD570" s="5"/>
      <c r="AE570" s="5"/>
      <c r="AF570" s="5"/>
      <c r="AG570" s="5"/>
      <c r="AH570" s="5"/>
      <c r="AI570" s="5"/>
    </row>
    <row r="571" spans="1:35" ht="15.75" customHeight="1">
      <c r="A571" s="5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5"/>
      <c r="T571" s="5"/>
      <c r="U571" s="104"/>
      <c r="V571" s="5"/>
      <c r="W571" s="5"/>
      <c r="X571" s="5"/>
      <c r="Y571" s="5"/>
      <c r="Z571" s="7"/>
      <c r="AA571" s="5"/>
      <c r="AB571" s="5"/>
      <c r="AC571" s="5"/>
      <c r="AD571" s="5"/>
      <c r="AE571" s="5"/>
      <c r="AF571" s="5"/>
      <c r="AG571" s="5"/>
      <c r="AH571" s="5"/>
      <c r="AI571" s="5"/>
    </row>
    <row r="572" spans="1:35" ht="15.75" customHeight="1">
      <c r="A572" s="5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5"/>
      <c r="T572" s="5"/>
      <c r="U572" s="104"/>
      <c r="V572" s="5"/>
      <c r="W572" s="5"/>
      <c r="X572" s="5"/>
      <c r="Y572" s="5"/>
      <c r="Z572" s="7"/>
      <c r="AA572" s="5"/>
      <c r="AB572" s="5"/>
      <c r="AC572" s="5"/>
      <c r="AD572" s="5"/>
      <c r="AE572" s="5"/>
      <c r="AF572" s="5"/>
      <c r="AG572" s="5"/>
      <c r="AH572" s="5"/>
      <c r="AI572" s="5"/>
    </row>
    <row r="573" spans="1:35" ht="15.75" customHeight="1">
      <c r="A573" s="5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5"/>
      <c r="T573" s="5"/>
      <c r="U573" s="104"/>
      <c r="V573" s="5"/>
      <c r="W573" s="5"/>
      <c r="X573" s="5"/>
      <c r="Y573" s="5"/>
      <c r="Z573" s="7"/>
      <c r="AA573" s="5"/>
      <c r="AB573" s="5"/>
      <c r="AC573" s="5"/>
      <c r="AD573" s="5"/>
      <c r="AE573" s="5"/>
      <c r="AF573" s="5"/>
      <c r="AG573" s="5"/>
      <c r="AH573" s="5"/>
      <c r="AI573" s="5"/>
    </row>
    <row r="574" spans="1:35" ht="15.75" customHeight="1">
      <c r="A574" s="5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5"/>
      <c r="T574" s="5"/>
      <c r="U574" s="104"/>
      <c r="V574" s="5"/>
      <c r="W574" s="5"/>
      <c r="X574" s="5"/>
      <c r="Y574" s="5"/>
      <c r="Z574" s="7"/>
      <c r="AA574" s="5"/>
      <c r="AB574" s="5"/>
      <c r="AC574" s="5"/>
      <c r="AD574" s="5"/>
      <c r="AE574" s="5"/>
      <c r="AF574" s="5"/>
      <c r="AG574" s="5"/>
      <c r="AH574" s="5"/>
      <c r="AI574" s="5"/>
    </row>
    <row r="575" spans="1:35" ht="15.75" customHeight="1">
      <c r="A575" s="5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5"/>
      <c r="T575" s="5"/>
      <c r="U575" s="104"/>
      <c r="V575" s="5"/>
      <c r="W575" s="5"/>
      <c r="X575" s="5"/>
      <c r="Y575" s="5"/>
      <c r="Z575" s="7"/>
      <c r="AA575" s="5"/>
      <c r="AB575" s="5"/>
      <c r="AC575" s="5"/>
      <c r="AD575" s="5"/>
      <c r="AE575" s="5"/>
      <c r="AF575" s="5"/>
      <c r="AG575" s="5"/>
      <c r="AH575" s="5"/>
      <c r="AI575" s="5"/>
    </row>
    <row r="576" spans="1:35" ht="15.75" customHeight="1">
      <c r="A576" s="5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5"/>
      <c r="T576" s="5"/>
      <c r="U576" s="104"/>
      <c r="V576" s="5"/>
      <c r="W576" s="5"/>
      <c r="X576" s="5"/>
      <c r="Y576" s="5"/>
      <c r="Z576" s="7"/>
      <c r="AA576" s="5"/>
      <c r="AB576" s="5"/>
      <c r="AC576" s="5"/>
      <c r="AD576" s="5"/>
      <c r="AE576" s="5"/>
      <c r="AF576" s="5"/>
      <c r="AG576" s="5"/>
      <c r="AH576" s="5"/>
      <c r="AI576" s="5"/>
    </row>
    <row r="577" spans="1:35" ht="15.75" customHeight="1">
      <c r="A577" s="5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5"/>
      <c r="T577" s="5"/>
      <c r="U577" s="104"/>
      <c r="V577" s="5"/>
      <c r="W577" s="5"/>
      <c r="X577" s="5"/>
      <c r="Y577" s="5"/>
      <c r="Z577" s="7"/>
      <c r="AA577" s="5"/>
      <c r="AB577" s="5"/>
      <c r="AC577" s="5"/>
      <c r="AD577" s="5"/>
      <c r="AE577" s="5"/>
      <c r="AF577" s="5"/>
      <c r="AG577" s="5"/>
      <c r="AH577" s="5"/>
      <c r="AI577" s="5"/>
    </row>
    <row r="578" spans="1:35" ht="15.75" customHeight="1">
      <c r="A578" s="5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5"/>
      <c r="T578" s="5"/>
      <c r="U578" s="104"/>
      <c r="V578" s="5"/>
      <c r="W578" s="5"/>
      <c r="X578" s="5"/>
      <c r="Y578" s="5"/>
      <c r="Z578" s="7"/>
      <c r="AA578" s="5"/>
      <c r="AB578" s="5"/>
      <c r="AC578" s="5"/>
      <c r="AD578" s="5"/>
      <c r="AE578" s="5"/>
      <c r="AF578" s="5"/>
      <c r="AG578" s="5"/>
      <c r="AH578" s="5"/>
      <c r="AI578" s="5"/>
    </row>
    <row r="579" spans="1:35" ht="15.75" customHeight="1">
      <c r="A579" s="5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5"/>
      <c r="T579" s="5"/>
      <c r="U579" s="104"/>
      <c r="V579" s="5"/>
      <c r="W579" s="5"/>
      <c r="X579" s="5"/>
      <c r="Y579" s="5"/>
      <c r="Z579" s="7"/>
      <c r="AA579" s="5"/>
      <c r="AB579" s="5"/>
      <c r="AC579" s="5"/>
      <c r="AD579" s="5"/>
      <c r="AE579" s="5"/>
      <c r="AF579" s="5"/>
      <c r="AG579" s="5"/>
      <c r="AH579" s="5"/>
      <c r="AI579" s="5"/>
    </row>
    <row r="580" spans="1:35" ht="15.75" customHeight="1">
      <c r="A580" s="5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5"/>
      <c r="T580" s="5"/>
      <c r="U580" s="104"/>
      <c r="V580" s="5"/>
      <c r="W580" s="5"/>
      <c r="X580" s="5"/>
      <c r="Y580" s="5"/>
      <c r="Z580" s="7"/>
      <c r="AA580" s="5"/>
      <c r="AB580" s="5"/>
      <c r="AC580" s="5"/>
      <c r="AD580" s="5"/>
      <c r="AE580" s="5"/>
      <c r="AF580" s="5"/>
      <c r="AG580" s="5"/>
      <c r="AH580" s="5"/>
      <c r="AI580" s="5"/>
    </row>
    <row r="581" spans="1:35" ht="15.75" customHeight="1">
      <c r="A581" s="5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5"/>
      <c r="T581" s="5"/>
      <c r="U581" s="104"/>
      <c r="V581" s="5"/>
      <c r="W581" s="5"/>
      <c r="X581" s="5"/>
      <c r="Y581" s="5"/>
      <c r="Z581" s="7"/>
      <c r="AA581" s="5"/>
      <c r="AB581" s="5"/>
      <c r="AC581" s="5"/>
      <c r="AD581" s="5"/>
      <c r="AE581" s="5"/>
      <c r="AF581" s="5"/>
      <c r="AG581" s="5"/>
      <c r="AH581" s="5"/>
      <c r="AI581" s="5"/>
    </row>
    <row r="582" spans="1:35" ht="15.75" customHeight="1">
      <c r="A582" s="5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5"/>
      <c r="T582" s="5"/>
      <c r="U582" s="104"/>
      <c r="V582" s="5"/>
      <c r="W582" s="5"/>
      <c r="X582" s="5"/>
      <c r="Y582" s="5"/>
      <c r="Z582" s="7"/>
      <c r="AA582" s="5"/>
      <c r="AB582" s="5"/>
      <c r="AC582" s="5"/>
      <c r="AD582" s="5"/>
      <c r="AE582" s="5"/>
      <c r="AF582" s="5"/>
      <c r="AG582" s="5"/>
      <c r="AH582" s="5"/>
      <c r="AI582" s="5"/>
    </row>
    <row r="583" spans="1:35" ht="15.75" customHeight="1">
      <c r="A583" s="5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5"/>
      <c r="T583" s="5"/>
      <c r="U583" s="104"/>
      <c r="V583" s="5"/>
      <c r="W583" s="5"/>
      <c r="X583" s="5"/>
      <c r="Y583" s="5"/>
      <c r="Z583" s="7"/>
      <c r="AA583" s="5"/>
      <c r="AB583" s="5"/>
      <c r="AC583" s="5"/>
      <c r="AD583" s="5"/>
      <c r="AE583" s="5"/>
      <c r="AF583" s="5"/>
      <c r="AG583" s="5"/>
      <c r="AH583" s="5"/>
      <c r="AI583" s="5"/>
    </row>
    <row r="584" spans="1:35" ht="15.75" customHeight="1">
      <c r="A584" s="5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5"/>
      <c r="T584" s="5"/>
      <c r="U584" s="104"/>
      <c r="V584" s="5"/>
      <c r="W584" s="5"/>
      <c r="X584" s="5"/>
      <c r="Y584" s="5"/>
      <c r="Z584" s="7"/>
      <c r="AA584" s="5"/>
      <c r="AB584" s="5"/>
      <c r="AC584" s="5"/>
      <c r="AD584" s="5"/>
      <c r="AE584" s="5"/>
      <c r="AF584" s="5"/>
      <c r="AG584" s="5"/>
      <c r="AH584" s="5"/>
      <c r="AI584" s="5"/>
    </row>
    <row r="585" spans="1:35" ht="15.75" customHeight="1">
      <c r="A585" s="5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5"/>
      <c r="T585" s="5"/>
      <c r="U585" s="104"/>
      <c r="V585" s="5"/>
      <c r="W585" s="5"/>
      <c r="X585" s="5"/>
      <c r="Y585" s="5"/>
      <c r="Z585" s="7"/>
      <c r="AA585" s="5"/>
      <c r="AB585" s="5"/>
      <c r="AC585" s="5"/>
      <c r="AD585" s="5"/>
      <c r="AE585" s="5"/>
      <c r="AF585" s="5"/>
      <c r="AG585" s="5"/>
      <c r="AH585" s="5"/>
      <c r="AI585" s="5"/>
    </row>
    <row r="586" spans="1:35" ht="15.75" customHeight="1">
      <c r="A586" s="5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5"/>
      <c r="T586" s="5"/>
      <c r="U586" s="104"/>
      <c r="V586" s="5"/>
      <c r="W586" s="5"/>
      <c r="X586" s="5"/>
      <c r="Y586" s="5"/>
      <c r="Z586" s="7"/>
      <c r="AA586" s="5"/>
      <c r="AB586" s="5"/>
      <c r="AC586" s="5"/>
      <c r="AD586" s="5"/>
      <c r="AE586" s="5"/>
      <c r="AF586" s="5"/>
      <c r="AG586" s="5"/>
      <c r="AH586" s="5"/>
      <c r="AI586" s="5"/>
    </row>
    <row r="587" spans="1:35" ht="15.75" customHeight="1">
      <c r="A587" s="5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5"/>
      <c r="T587" s="5"/>
      <c r="U587" s="104"/>
      <c r="V587" s="5"/>
      <c r="W587" s="5"/>
      <c r="X587" s="5"/>
      <c r="Y587" s="5"/>
      <c r="Z587" s="7"/>
      <c r="AA587" s="5"/>
      <c r="AB587" s="5"/>
      <c r="AC587" s="5"/>
      <c r="AD587" s="5"/>
      <c r="AE587" s="5"/>
      <c r="AF587" s="5"/>
      <c r="AG587" s="5"/>
      <c r="AH587" s="5"/>
      <c r="AI587" s="5"/>
    </row>
    <row r="588" spans="1:35" ht="15.75" customHeight="1">
      <c r="A588" s="5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5"/>
      <c r="T588" s="5"/>
      <c r="U588" s="104"/>
      <c r="V588" s="5"/>
      <c r="W588" s="5"/>
      <c r="X588" s="5"/>
      <c r="Y588" s="5"/>
      <c r="Z588" s="7"/>
      <c r="AA588" s="5"/>
      <c r="AB588" s="5"/>
      <c r="AC588" s="5"/>
      <c r="AD588" s="5"/>
      <c r="AE588" s="5"/>
      <c r="AF588" s="5"/>
      <c r="AG588" s="5"/>
      <c r="AH588" s="5"/>
      <c r="AI588" s="5"/>
    </row>
    <row r="589" spans="1:35" ht="15.75" customHeight="1">
      <c r="A589" s="5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5"/>
      <c r="T589" s="5"/>
      <c r="U589" s="104"/>
      <c r="V589" s="5"/>
      <c r="W589" s="5"/>
      <c r="X589" s="5"/>
      <c r="Y589" s="5"/>
      <c r="Z589" s="7"/>
      <c r="AA589" s="5"/>
      <c r="AB589" s="5"/>
      <c r="AC589" s="5"/>
      <c r="AD589" s="5"/>
      <c r="AE589" s="5"/>
      <c r="AF589" s="5"/>
      <c r="AG589" s="5"/>
      <c r="AH589" s="5"/>
      <c r="AI589" s="5"/>
    </row>
    <row r="590" spans="1:35" ht="15.75" customHeight="1">
      <c r="A590" s="5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5"/>
      <c r="T590" s="5"/>
      <c r="U590" s="104"/>
      <c r="V590" s="5"/>
      <c r="W590" s="5"/>
      <c r="X590" s="5"/>
      <c r="Y590" s="5"/>
      <c r="Z590" s="7"/>
      <c r="AA590" s="5"/>
      <c r="AB590" s="5"/>
      <c r="AC590" s="5"/>
      <c r="AD590" s="5"/>
      <c r="AE590" s="5"/>
      <c r="AF590" s="5"/>
      <c r="AG590" s="5"/>
      <c r="AH590" s="5"/>
      <c r="AI590" s="5"/>
    </row>
    <row r="591" spans="1:35" ht="15.75" customHeight="1">
      <c r="A591" s="5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5"/>
      <c r="T591" s="5"/>
      <c r="U591" s="104"/>
      <c r="V591" s="5"/>
      <c r="W591" s="5"/>
      <c r="X591" s="5"/>
      <c r="Y591" s="5"/>
      <c r="Z591" s="7"/>
      <c r="AA591" s="5"/>
      <c r="AB591" s="5"/>
      <c r="AC591" s="5"/>
      <c r="AD591" s="5"/>
      <c r="AE591" s="5"/>
      <c r="AF591" s="5"/>
      <c r="AG591" s="5"/>
      <c r="AH591" s="5"/>
      <c r="AI591" s="5"/>
    </row>
    <row r="592" spans="1:35" ht="15.75" customHeight="1">
      <c r="A592" s="5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5"/>
      <c r="T592" s="5"/>
      <c r="U592" s="104"/>
      <c r="V592" s="5"/>
      <c r="W592" s="5"/>
      <c r="X592" s="5"/>
      <c r="Y592" s="5"/>
      <c r="Z592" s="7"/>
      <c r="AA592" s="5"/>
      <c r="AB592" s="5"/>
      <c r="AC592" s="5"/>
      <c r="AD592" s="5"/>
      <c r="AE592" s="5"/>
      <c r="AF592" s="5"/>
      <c r="AG592" s="5"/>
      <c r="AH592" s="5"/>
      <c r="AI592" s="5"/>
    </row>
    <row r="593" spans="1:35" ht="15.75" customHeight="1">
      <c r="A593" s="5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5"/>
      <c r="T593" s="5"/>
      <c r="U593" s="104"/>
      <c r="V593" s="5"/>
      <c r="W593" s="5"/>
      <c r="X593" s="5"/>
      <c r="Y593" s="5"/>
      <c r="Z593" s="7"/>
      <c r="AA593" s="5"/>
      <c r="AB593" s="5"/>
      <c r="AC593" s="5"/>
      <c r="AD593" s="5"/>
      <c r="AE593" s="5"/>
      <c r="AF593" s="5"/>
      <c r="AG593" s="5"/>
      <c r="AH593" s="5"/>
      <c r="AI593" s="5"/>
    </row>
    <row r="594" spans="1:35" ht="15.75" customHeight="1">
      <c r="A594" s="5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5"/>
      <c r="T594" s="5"/>
      <c r="U594" s="104"/>
      <c r="V594" s="5"/>
      <c r="W594" s="5"/>
      <c r="X594" s="5"/>
      <c r="Y594" s="5"/>
      <c r="Z594" s="7"/>
      <c r="AA594" s="5"/>
      <c r="AB594" s="5"/>
      <c r="AC594" s="5"/>
      <c r="AD594" s="5"/>
      <c r="AE594" s="5"/>
      <c r="AF594" s="5"/>
      <c r="AG594" s="5"/>
      <c r="AH594" s="5"/>
      <c r="AI594" s="5"/>
    </row>
    <row r="595" spans="1:35" ht="15.75" customHeight="1">
      <c r="A595" s="5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5"/>
      <c r="T595" s="5"/>
      <c r="U595" s="104"/>
      <c r="V595" s="5"/>
      <c r="W595" s="5"/>
      <c r="X595" s="5"/>
      <c r="Y595" s="5"/>
      <c r="Z595" s="7"/>
      <c r="AA595" s="5"/>
      <c r="AB595" s="5"/>
      <c r="AC595" s="5"/>
      <c r="AD595" s="5"/>
      <c r="AE595" s="5"/>
      <c r="AF595" s="5"/>
      <c r="AG595" s="5"/>
      <c r="AH595" s="5"/>
      <c r="AI595" s="5"/>
    </row>
    <row r="596" spans="1:35" ht="15.75" customHeight="1">
      <c r="A596" s="5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5"/>
      <c r="T596" s="5"/>
      <c r="U596" s="104"/>
      <c r="V596" s="5"/>
      <c r="W596" s="5"/>
      <c r="X596" s="5"/>
      <c r="Y596" s="5"/>
      <c r="Z596" s="7"/>
      <c r="AA596" s="5"/>
      <c r="AB596" s="5"/>
      <c r="AC596" s="5"/>
      <c r="AD596" s="5"/>
      <c r="AE596" s="5"/>
      <c r="AF596" s="5"/>
      <c r="AG596" s="5"/>
      <c r="AH596" s="5"/>
      <c r="AI596" s="5"/>
    </row>
    <row r="597" spans="1:35" ht="15.75" customHeight="1">
      <c r="A597" s="5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5"/>
      <c r="T597" s="5"/>
      <c r="U597" s="104"/>
      <c r="V597" s="5"/>
      <c r="W597" s="5"/>
      <c r="X597" s="5"/>
      <c r="Y597" s="5"/>
      <c r="Z597" s="7"/>
      <c r="AA597" s="5"/>
      <c r="AB597" s="5"/>
      <c r="AC597" s="5"/>
      <c r="AD597" s="5"/>
      <c r="AE597" s="5"/>
      <c r="AF597" s="5"/>
      <c r="AG597" s="5"/>
      <c r="AH597" s="5"/>
      <c r="AI597" s="5"/>
    </row>
    <row r="598" spans="1:35" ht="15.75" customHeight="1">
      <c r="A598" s="5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5"/>
      <c r="T598" s="5"/>
      <c r="U598" s="104"/>
      <c r="V598" s="5"/>
      <c r="W598" s="5"/>
      <c r="X598" s="5"/>
      <c r="Y598" s="5"/>
      <c r="Z598" s="7"/>
      <c r="AA598" s="5"/>
      <c r="AB598" s="5"/>
      <c r="AC598" s="5"/>
      <c r="AD598" s="5"/>
      <c r="AE598" s="5"/>
      <c r="AF598" s="5"/>
      <c r="AG598" s="5"/>
      <c r="AH598" s="5"/>
      <c r="AI598" s="5"/>
    </row>
    <row r="599" spans="1:35" ht="15.75" customHeight="1">
      <c r="A599" s="5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5"/>
      <c r="T599" s="5"/>
      <c r="U599" s="104"/>
      <c r="V599" s="5"/>
      <c r="W599" s="5"/>
      <c r="X599" s="5"/>
      <c r="Y599" s="5"/>
      <c r="Z599" s="7"/>
      <c r="AA599" s="5"/>
      <c r="AB599" s="5"/>
      <c r="AC599" s="5"/>
      <c r="AD599" s="5"/>
      <c r="AE599" s="5"/>
      <c r="AF599" s="5"/>
      <c r="AG599" s="5"/>
      <c r="AH599" s="5"/>
      <c r="AI599" s="5"/>
    </row>
    <row r="600" spans="1:35" ht="15.75" customHeight="1">
      <c r="A600" s="5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5"/>
      <c r="T600" s="5"/>
      <c r="U600" s="104"/>
      <c r="V600" s="5"/>
      <c r="W600" s="5"/>
      <c r="X600" s="5"/>
      <c r="Y600" s="5"/>
      <c r="Z600" s="7"/>
      <c r="AA600" s="5"/>
      <c r="AB600" s="5"/>
      <c r="AC600" s="5"/>
      <c r="AD600" s="5"/>
      <c r="AE600" s="5"/>
      <c r="AF600" s="5"/>
      <c r="AG600" s="5"/>
      <c r="AH600" s="5"/>
      <c r="AI600" s="5"/>
    </row>
    <row r="601" spans="1:35" ht="15.75" customHeight="1">
      <c r="A601" s="5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5"/>
      <c r="T601" s="5"/>
      <c r="U601" s="104"/>
      <c r="V601" s="5"/>
      <c r="W601" s="5"/>
      <c r="X601" s="5"/>
      <c r="Y601" s="5"/>
      <c r="Z601" s="7"/>
      <c r="AA601" s="5"/>
      <c r="AB601" s="5"/>
      <c r="AC601" s="5"/>
      <c r="AD601" s="5"/>
      <c r="AE601" s="5"/>
      <c r="AF601" s="5"/>
      <c r="AG601" s="5"/>
      <c r="AH601" s="5"/>
      <c r="AI601" s="5"/>
    </row>
    <row r="602" spans="1:35" ht="15.75" customHeight="1">
      <c r="A602" s="5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5"/>
      <c r="T602" s="5"/>
      <c r="U602" s="104"/>
      <c r="V602" s="5"/>
      <c r="W602" s="5"/>
      <c r="X602" s="5"/>
      <c r="Y602" s="5"/>
      <c r="Z602" s="7"/>
      <c r="AA602" s="5"/>
      <c r="AB602" s="5"/>
      <c r="AC602" s="5"/>
      <c r="AD602" s="5"/>
      <c r="AE602" s="5"/>
      <c r="AF602" s="5"/>
      <c r="AG602" s="5"/>
      <c r="AH602" s="5"/>
      <c r="AI602" s="5"/>
    </row>
    <row r="603" spans="1:35" ht="15.75" customHeight="1">
      <c r="A603" s="5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5"/>
      <c r="T603" s="5"/>
      <c r="U603" s="104"/>
      <c r="V603" s="5"/>
      <c r="W603" s="5"/>
      <c r="X603" s="5"/>
      <c r="Y603" s="5"/>
      <c r="Z603" s="7"/>
      <c r="AA603" s="5"/>
      <c r="AB603" s="5"/>
      <c r="AC603" s="5"/>
      <c r="AD603" s="5"/>
      <c r="AE603" s="5"/>
      <c r="AF603" s="5"/>
      <c r="AG603" s="5"/>
      <c r="AH603" s="5"/>
      <c r="AI603" s="5"/>
    </row>
    <row r="604" spans="1:35" ht="15.75" customHeight="1">
      <c r="A604" s="5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5"/>
      <c r="T604" s="5"/>
      <c r="U604" s="104"/>
      <c r="V604" s="5"/>
      <c r="W604" s="5"/>
      <c r="X604" s="5"/>
      <c r="Y604" s="5"/>
      <c r="Z604" s="7"/>
      <c r="AA604" s="5"/>
      <c r="AB604" s="5"/>
      <c r="AC604" s="5"/>
      <c r="AD604" s="5"/>
      <c r="AE604" s="5"/>
      <c r="AF604" s="5"/>
      <c r="AG604" s="5"/>
      <c r="AH604" s="5"/>
      <c r="AI604" s="5"/>
    </row>
    <row r="605" spans="1:35" ht="15.75" customHeight="1">
      <c r="A605" s="5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5"/>
      <c r="T605" s="5"/>
      <c r="U605" s="104"/>
      <c r="V605" s="5"/>
      <c r="W605" s="5"/>
      <c r="X605" s="5"/>
      <c r="Y605" s="5"/>
      <c r="Z605" s="7"/>
      <c r="AA605" s="5"/>
      <c r="AB605" s="5"/>
      <c r="AC605" s="5"/>
      <c r="AD605" s="5"/>
      <c r="AE605" s="5"/>
      <c r="AF605" s="5"/>
      <c r="AG605" s="5"/>
      <c r="AH605" s="5"/>
      <c r="AI605" s="5"/>
    </row>
    <row r="606" spans="1:35" ht="15.75" customHeight="1">
      <c r="A606" s="5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5"/>
      <c r="T606" s="5"/>
      <c r="U606" s="104"/>
      <c r="V606" s="5"/>
      <c r="W606" s="5"/>
      <c r="X606" s="5"/>
      <c r="Y606" s="5"/>
      <c r="Z606" s="7"/>
      <c r="AA606" s="5"/>
      <c r="AB606" s="5"/>
      <c r="AC606" s="5"/>
      <c r="AD606" s="5"/>
      <c r="AE606" s="5"/>
      <c r="AF606" s="5"/>
      <c r="AG606" s="5"/>
      <c r="AH606" s="5"/>
      <c r="AI606" s="5"/>
    </row>
    <row r="607" spans="1:35" ht="15.75" customHeight="1">
      <c r="A607" s="5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5"/>
      <c r="T607" s="5"/>
      <c r="U607" s="104"/>
      <c r="V607" s="5"/>
      <c r="W607" s="5"/>
      <c r="X607" s="5"/>
      <c r="Y607" s="5"/>
      <c r="Z607" s="7"/>
      <c r="AA607" s="5"/>
      <c r="AB607" s="5"/>
      <c r="AC607" s="5"/>
      <c r="AD607" s="5"/>
      <c r="AE607" s="5"/>
      <c r="AF607" s="5"/>
      <c r="AG607" s="5"/>
      <c r="AH607" s="5"/>
      <c r="AI607" s="5"/>
    </row>
    <row r="608" spans="1:35" ht="15.75" customHeight="1">
      <c r="A608" s="5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5"/>
      <c r="T608" s="5"/>
      <c r="U608" s="104"/>
      <c r="V608" s="5"/>
      <c r="W608" s="5"/>
      <c r="X608" s="5"/>
      <c r="Y608" s="5"/>
      <c r="Z608" s="7"/>
      <c r="AA608" s="5"/>
      <c r="AB608" s="5"/>
      <c r="AC608" s="5"/>
      <c r="AD608" s="5"/>
      <c r="AE608" s="5"/>
      <c r="AF608" s="5"/>
      <c r="AG608" s="5"/>
      <c r="AH608" s="5"/>
      <c r="AI608" s="5"/>
    </row>
    <row r="609" spans="1:35" ht="15.75" customHeight="1">
      <c r="A609" s="5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5"/>
      <c r="T609" s="5"/>
      <c r="U609" s="104"/>
      <c r="V609" s="5"/>
      <c r="W609" s="5"/>
      <c r="X609" s="5"/>
      <c r="Y609" s="5"/>
      <c r="Z609" s="7"/>
      <c r="AA609" s="5"/>
      <c r="AB609" s="5"/>
      <c r="AC609" s="5"/>
      <c r="AD609" s="5"/>
      <c r="AE609" s="5"/>
      <c r="AF609" s="5"/>
      <c r="AG609" s="5"/>
      <c r="AH609" s="5"/>
      <c r="AI609" s="5"/>
    </row>
    <row r="610" spans="1:35" ht="15.75" customHeight="1">
      <c r="A610" s="5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5"/>
      <c r="T610" s="5"/>
      <c r="U610" s="104"/>
      <c r="V610" s="5"/>
      <c r="W610" s="5"/>
      <c r="X610" s="5"/>
      <c r="Y610" s="5"/>
      <c r="Z610" s="7"/>
      <c r="AA610" s="5"/>
      <c r="AB610" s="5"/>
      <c r="AC610" s="5"/>
      <c r="AD610" s="5"/>
      <c r="AE610" s="5"/>
      <c r="AF610" s="5"/>
      <c r="AG610" s="5"/>
      <c r="AH610" s="5"/>
      <c r="AI610" s="5"/>
    </row>
    <row r="611" spans="1:35" ht="15.75" customHeight="1">
      <c r="A611" s="5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5"/>
      <c r="T611" s="5"/>
      <c r="U611" s="104"/>
      <c r="V611" s="5"/>
      <c r="W611" s="5"/>
      <c r="X611" s="5"/>
      <c r="Y611" s="5"/>
      <c r="Z611" s="7"/>
      <c r="AA611" s="5"/>
      <c r="AB611" s="5"/>
      <c r="AC611" s="5"/>
      <c r="AD611" s="5"/>
      <c r="AE611" s="5"/>
      <c r="AF611" s="5"/>
      <c r="AG611" s="5"/>
      <c r="AH611" s="5"/>
      <c r="AI611" s="5"/>
    </row>
    <row r="612" spans="1:35" ht="15.75" customHeight="1">
      <c r="A612" s="5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5"/>
      <c r="T612" s="5"/>
      <c r="U612" s="104"/>
      <c r="V612" s="5"/>
      <c r="W612" s="5"/>
      <c r="X612" s="5"/>
      <c r="Y612" s="5"/>
      <c r="Z612" s="7"/>
      <c r="AA612" s="5"/>
      <c r="AB612" s="5"/>
      <c r="AC612" s="5"/>
      <c r="AD612" s="5"/>
      <c r="AE612" s="5"/>
      <c r="AF612" s="5"/>
      <c r="AG612" s="5"/>
      <c r="AH612" s="5"/>
      <c r="AI612" s="5"/>
    </row>
    <row r="613" spans="1:35" ht="15.75" customHeight="1">
      <c r="A613" s="5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5"/>
      <c r="T613" s="5"/>
      <c r="U613" s="104"/>
      <c r="V613" s="5"/>
      <c r="W613" s="5"/>
      <c r="X613" s="5"/>
      <c r="Y613" s="5"/>
      <c r="Z613" s="7"/>
      <c r="AA613" s="5"/>
      <c r="AB613" s="5"/>
      <c r="AC613" s="5"/>
      <c r="AD613" s="5"/>
      <c r="AE613" s="5"/>
      <c r="AF613" s="5"/>
      <c r="AG613" s="5"/>
      <c r="AH613" s="5"/>
      <c r="AI613" s="5"/>
    </row>
    <row r="614" spans="1:35" ht="15.75" customHeight="1">
      <c r="A614" s="5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5"/>
      <c r="T614" s="5"/>
      <c r="U614" s="104"/>
      <c r="V614" s="5"/>
      <c r="W614" s="5"/>
      <c r="X614" s="5"/>
      <c r="Y614" s="5"/>
      <c r="Z614" s="7"/>
      <c r="AA614" s="5"/>
      <c r="AB614" s="5"/>
      <c r="AC614" s="5"/>
      <c r="AD614" s="5"/>
      <c r="AE614" s="5"/>
      <c r="AF614" s="5"/>
      <c r="AG614" s="5"/>
      <c r="AH614" s="5"/>
      <c r="AI614" s="5"/>
    </row>
    <row r="615" spans="1:35" ht="15.75" customHeight="1">
      <c r="A615" s="5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5"/>
      <c r="T615" s="5"/>
      <c r="U615" s="104"/>
      <c r="V615" s="5"/>
      <c r="W615" s="5"/>
      <c r="X615" s="5"/>
      <c r="Y615" s="5"/>
      <c r="Z615" s="7"/>
      <c r="AA615" s="5"/>
      <c r="AB615" s="5"/>
      <c r="AC615" s="5"/>
      <c r="AD615" s="5"/>
      <c r="AE615" s="5"/>
      <c r="AF615" s="5"/>
      <c r="AG615" s="5"/>
      <c r="AH615" s="5"/>
      <c r="AI615" s="5"/>
    </row>
    <row r="616" spans="1:35" ht="15.75" customHeight="1">
      <c r="A616" s="5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5"/>
      <c r="T616" s="5"/>
      <c r="U616" s="104"/>
      <c r="V616" s="5"/>
      <c r="W616" s="5"/>
      <c r="X616" s="5"/>
      <c r="Y616" s="5"/>
      <c r="Z616" s="7"/>
      <c r="AA616" s="5"/>
      <c r="AB616" s="5"/>
      <c r="AC616" s="5"/>
      <c r="AD616" s="5"/>
      <c r="AE616" s="5"/>
      <c r="AF616" s="5"/>
      <c r="AG616" s="5"/>
      <c r="AH616" s="5"/>
      <c r="AI616" s="5"/>
    </row>
    <row r="617" spans="1:35" ht="15.75" customHeight="1">
      <c r="A617" s="5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5"/>
      <c r="T617" s="5"/>
      <c r="U617" s="104"/>
      <c r="V617" s="5"/>
      <c r="W617" s="5"/>
      <c r="X617" s="5"/>
      <c r="Y617" s="5"/>
      <c r="Z617" s="7"/>
      <c r="AA617" s="5"/>
      <c r="AB617" s="5"/>
      <c r="AC617" s="5"/>
      <c r="AD617" s="5"/>
      <c r="AE617" s="5"/>
      <c r="AF617" s="5"/>
      <c r="AG617" s="5"/>
      <c r="AH617" s="5"/>
      <c r="AI617" s="5"/>
    </row>
    <row r="618" spans="1:35" ht="15.75" customHeight="1">
      <c r="A618" s="5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5"/>
      <c r="T618" s="5"/>
      <c r="U618" s="104"/>
      <c r="V618" s="5"/>
      <c r="W618" s="5"/>
      <c r="X618" s="5"/>
      <c r="Y618" s="5"/>
      <c r="Z618" s="7"/>
      <c r="AA618" s="5"/>
      <c r="AB618" s="5"/>
      <c r="AC618" s="5"/>
      <c r="AD618" s="5"/>
      <c r="AE618" s="5"/>
      <c r="AF618" s="5"/>
      <c r="AG618" s="5"/>
      <c r="AH618" s="5"/>
      <c r="AI618" s="5"/>
    </row>
    <row r="619" spans="1:35" ht="15.75" customHeight="1">
      <c r="A619" s="5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5"/>
      <c r="T619" s="5"/>
      <c r="U619" s="104"/>
      <c r="V619" s="5"/>
      <c r="W619" s="5"/>
      <c r="X619" s="5"/>
      <c r="Y619" s="5"/>
      <c r="Z619" s="7"/>
      <c r="AA619" s="5"/>
      <c r="AB619" s="5"/>
      <c r="AC619" s="5"/>
      <c r="AD619" s="5"/>
      <c r="AE619" s="5"/>
      <c r="AF619" s="5"/>
      <c r="AG619" s="5"/>
      <c r="AH619" s="5"/>
      <c r="AI619" s="5"/>
    </row>
    <row r="620" spans="1:35" ht="15.75" customHeight="1">
      <c r="A620" s="5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5"/>
      <c r="T620" s="5"/>
      <c r="U620" s="104"/>
      <c r="V620" s="5"/>
      <c r="W620" s="5"/>
      <c r="X620" s="5"/>
      <c r="Y620" s="5"/>
      <c r="Z620" s="7"/>
      <c r="AA620" s="5"/>
      <c r="AB620" s="5"/>
      <c r="AC620" s="5"/>
      <c r="AD620" s="5"/>
      <c r="AE620" s="5"/>
      <c r="AF620" s="5"/>
      <c r="AG620" s="5"/>
      <c r="AH620" s="5"/>
      <c r="AI620" s="5"/>
    </row>
    <row r="621" spans="1:35" ht="15.75" customHeight="1">
      <c r="A621" s="5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5"/>
      <c r="T621" s="5"/>
      <c r="U621" s="104"/>
      <c r="V621" s="5"/>
      <c r="W621" s="5"/>
      <c r="X621" s="5"/>
      <c r="Y621" s="5"/>
      <c r="Z621" s="7"/>
      <c r="AA621" s="5"/>
      <c r="AB621" s="5"/>
      <c r="AC621" s="5"/>
      <c r="AD621" s="5"/>
      <c r="AE621" s="5"/>
      <c r="AF621" s="5"/>
      <c r="AG621" s="5"/>
      <c r="AH621" s="5"/>
      <c r="AI621" s="5"/>
    </row>
    <row r="622" spans="1:35" ht="15.75" customHeight="1">
      <c r="A622" s="5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5"/>
      <c r="T622" s="5"/>
      <c r="U622" s="104"/>
      <c r="V622" s="5"/>
      <c r="W622" s="5"/>
      <c r="X622" s="5"/>
      <c r="Y622" s="5"/>
      <c r="Z622" s="7"/>
      <c r="AA622" s="5"/>
      <c r="AB622" s="5"/>
      <c r="AC622" s="5"/>
      <c r="AD622" s="5"/>
      <c r="AE622" s="5"/>
      <c r="AF622" s="5"/>
      <c r="AG622" s="5"/>
      <c r="AH622" s="5"/>
      <c r="AI622" s="5"/>
    </row>
    <row r="623" spans="1:35" ht="15.75" customHeight="1">
      <c r="A623" s="5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5"/>
      <c r="T623" s="5"/>
      <c r="U623" s="104"/>
      <c r="V623" s="5"/>
      <c r="W623" s="5"/>
      <c r="X623" s="5"/>
      <c r="Y623" s="5"/>
      <c r="Z623" s="7"/>
      <c r="AA623" s="5"/>
      <c r="AB623" s="5"/>
      <c r="AC623" s="5"/>
      <c r="AD623" s="5"/>
      <c r="AE623" s="5"/>
      <c r="AF623" s="5"/>
      <c r="AG623" s="5"/>
      <c r="AH623" s="5"/>
      <c r="AI623" s="5"/>
    </row>
    <row r="624" spans="1:35" ht="15.75" customHeight="1">
      <c r="A624" s="5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5"/>
      <c r="T624" s="5"/>
      <c r="U624" s="104"/>
      <c r="V624" s="5"/>
      <c r="W624" s="5"/>
      <c r="X624" s="5"/>
      <c r="Y624" s="5"/>
      <c r="Z624" s="7"/>
      <c r="AA624" s="5"/>
      <c r="AB624" s="5"/>
      <c r="AC624" s="5"/>
      <c r="AD624" s="5"/>
      <c r="AE624" s="5"/>
      <c r="AF624" s="5"/>
      <c r="AG624" s="5"/>
      <c r="AH624" s="5"/>
      <c r="AI624" s="5"/>
    </row>
    <row r="625" spans="1:35" ht="15.75" customHeight="1">
      <c r="A625" s="5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5"/>
      <c r="T625" s="5"/>
      <c r="U625" s="104"/>
      <c r="V625" s="5"/>
      <c r="W625" s="5"/>
      <c r="X625" s="5"/>
      <c r="Y625" s="5"/>
      <c r="Z625" s="7"/>
      <c r="AA625" s="5"/>
      <c r="AB625" s="5"/>
      <c r="AC625" s="5"/>
      <c r="AD625" s="5"/>
      <c r="AE625" s="5"/>
      <c r="AF625" s="5"/>
      <c r="AG625" s="5"/>
      <c r="AH625" s="5"/>
      <c r="AI625" s="5"/>
    </row>
    <row r="626" spans="1:35" ht="15.75" customHeight="1">
      <c r="A626" s="5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5"/>
      <c r="T626" s="5"/>
      <c r="U626" s="104"/>
      <c r="V626" s="5"/>
      <c r="W626" s="5"/>
      <c r="X626" s="5"/>
      <c r="Y626" s="5"/>
      <c r="Z626" s="7"/>
      <c r="AA626" s="5"/>
      <c r="AB626" s="5"/>
      <c r="AC626" s="5"/>
      <c r="AD626" s="5"/>
      <c r="AE626" s="5"/>
      <c r="AF626" s="5"/>
      <c r="AG626" s="5"/>
      <c r="AH626" s="5"/>
      <c r="AI626" s="5"/>
    </row>
    <row r="627" spans="1:35" ht="15.75" customHeight="1">
      <c r="A627" s="5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5"/>
      <c r="T627" s="5"/>
      <c r="U627" s="104"/>
      <c r="V627" s="5"/>
      <c r="W627" s="5"/>
      <c r="X627" s="5"/>
      <c r="Y627" s="5"/>
      <c r="Z627" s="7"/>
      <c r="AA627" s="5"/>
      <c r="AB627" s="5"/>
      <c r="AC627" s="5"/>
      <c r="AD627" s="5"/>
      <c r="AE627" s="5"/>
      <c r="AF627" s="5"/>
      <c r="AG627" s="5"/>
      <c r="AH627" s="5"/>
      <c r="AI627" s="5"/>
    </row>
    <row r="628" spans="1:35" ht="15.75" customHeight="1">
      <c r="A628" s="5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5"/>
      <c r="T628" s="5"/>
      <c r="U628" s="104"/>
      <c r="V628" s="5"/>
      <c r="W628" s="5"/>
      <c r="X628" s="5"/>
      <c r="Y628" s="5"/>
      <c r="Z628" s="7"/>
      <c r="AA628" s="5"/>
      <c r="AB628" s="5"/>
      <c r="AC628" s="5"/>
      <c r="AD628" s="5"/>
      <c r="AE628" s="5"/>
      <c r="AF628" s="5"/>
      <c r="AG628" s="5"/>
      <c r="AH628" s="5"/>
      <c r="AI628" s="5"/>
    </row>
    <row r="629" spans="1:35" ht="15.75" customHeight="1">
      <c r="A629" s="5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5"/>
      <c r="T629" s="5"/>
      <c r="U629" s="104"/>
      <c r="V629" s="5"/>
      <c r="W629" s="5"/>
      <c r="X629" s="5"/>
      <c r="Y629" s="5"/>
      <c r="Z629" s="7"/>
      <c r="AA629" s="5"/>
      <c r="AB629" s="5"/>
      <c r="AC629" s="5"/>
      <c r="AD629" s="5"/>
      <c r="AE629" s="5"/>
      <c r="AF629" s="5"/>
      <c r="AG629" s="5"/>
      <c r="AH629" s="5"/>
      <c r="AI629" s="5"/>
    </row>
    <row r="630" spans="1:35" ht="15.75" customHeight="1">
      <c r="A630" s="5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5"/>
      <c r="T630" s="5"/>
      <c r="U630" s="104"/>
      <c r="V630" s="5"/>
      <c r="W630" s="5"/>
      <c r="X630" s="5"/>
      <c r="Y630" s="5"/>
      <c r="Z630" s="7"/>
      <c r="AA630" s="5"/>
      <c r="AB630" s="5"/>
      <c r="AC630" s="5"/>
      <c r="AD630" s="5"/>
      <c r="AE630" s="5"/>
      <c r="AF630" s="5"/>
      <c r="AG630" s="5"/>
      <c r="AH630" s="5"/>
      <c r="AI630" s="5"/>
    </row>
    <row r="631" spans="1:35" ht="15.75" customHeight="1">
      <c r="A631" s="5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5"/>
      <c r="T631" s="5"/>
      <c r="U631" s="104"/>
      <c r="V631" s="5"/>
      <c r="W631" s="5"/>
      <c r="X631" s="5"/>
      <c r="Y631" s="5"/>
      <c r="Z631" s="7"/>
      <c r="AA631" s="5"/>
      <c r="AB631" s="5"/>
      <c r="AC631" s="5"/>
      <c r="AD631" s="5"/>
      <c r="AE631" s="5"/>
      <c r="AF631" s="5"/>
      <c r="AG631" s="5"/>
      <c r="AH631" s="5"/>
      <c r="AI631" s="5"/>
    </row>
    <row r="632" spans="1:35" ht="15.75" customHeight="1">
      <c r="A632" s="5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5"/>
      <c r="T632" s="5"/>
      <c r="U632" s="104"/>
      <c r="V632" s="5"/>
      <c r="W632" s="5"/>
      <c r="X632" s="5"/>
      <c r="Y632" s="5"/>
      <c r="Z632" s="7"/>
      <c r="AA632" s="5"/>
      <c r="AB632" s="5"/>
      <c r="AC632" s="5"/>
      <c r="AD632" s="5"/>
      <c r="AE632" s="5"/>
      <c r="AF632" s="5"/>
      <c r="AG632" s="5"/>
      <c r="AH632" s="5"/>
      <c r="AI632" s="5"/>
    </row>
    <row r="633" spans="1:35" ht="15.75" customHeight="1">
      <c r="A633" s="5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5"/>
      <c r="T633" s="5"/>
      <c r="U633" s="104"/>
      <c r="V633" s="5"/>
      <c r="W633" s="5"/>
      <c r="X633" s="5"/>
      <c r="Y633" s="5"/>
      <c r="Z633" s="7"/>
      <c r="AA633" s="5"/>
      <c r="AB633" s="5"/>
      <c r="AC633" s="5"/>
      <c r="AD633" s="5"/>
      <c r="AE633" s="5"/>
      <c r="AF633" s="5"/>
      <c r="AG633" s="5"/>
      <c r="AH633" s="5"/>
      <c r="AI633" s="5"/>
    </row>
    <row r="634" spans="1:35" ht="15.75" customHeight="1">
      <c r="A634" s="5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5"/>
      <c r="T634" s="5"/>
      <c r="U634" s="104"/>
      <c r="V634" s="5"/>
      <c r="W634" s="5"/>
      <c r="X634" s="5"/>
      <c r="Y634" s="5"/>
      <c r="Z634" s="7"/>
      <c r="AA634" s="5"/>
      <c r="AB634" s="5"/>
      <c r="AC634" s="5"/>
      <c r="AD634" s="5"/>
      <c r="AE634" s="5"/>
      <c r="AF634" s="5"/>
      <c r="AG634" s="5"/>
      <c r="AH634" s="5"/>
      <c r="AI634" s="5"/>
    </row>
    <row r="635" spans="1:35" ht="15.75" customHeight="1">
      <c r="A635" s="5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5"/>
      <c r="T635" s="5"/>
      <c r="U635" s="104"/>
      <c r="V635" s="5"/>
      <c r="W635" s="5"/>
      <c r="X635" s="5"/>
      <c r="Y635" s="5"/>
      <c r="Z635" s="7"/>
      <c r="AA635" s="5"/>
      <c r="AB635" s="5"/>
      <c r="AC635" s="5"/>
      <c r="AD635" s="5"/>
      <c r="AE635" s="5"/>
      <c r="AF635" s="5"/>
      <c r="AG635" s="5"/>
      <c r="AH635" s="5"/>
      <c r="AI635" s="5"/>
    </row>
    <row r="636" spans="1:35" ht="15.75" customHeight="1">
      <c r="A636" s="5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5"/>
      <c r="T636" s="5"/>
      <c r="U636" s="104"/>
      <c r="V636" s="5"/>
      <c r="W636" s="5"/>
      <c r="X636" s="5"/>
      <c r="Y636" s="5"/>
      <c r="Z636" s="7"/>
      <c r="AA636" s="5"/>
      <c r="AB636" s="5"/>
      <c r="AC636" s="5"/>
      <c r="AD636" s="5"/>
      <c r="AE636" s="5"/>
      <c r="AF636" s="5"/>
      <c r="AG636" s="5"/>
      <c r="AH636" s="5"/>
      <c r="AI636" s="5"/>
    </row>
    <row r="637" spans="1:35" ht="15.75" customHeight="1">
      <c r="A637" s="5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5"/>
      <c r="T637" s="5"/>
      <c r="U637" s="104"/>
      <c r="V637" s="5"/>
      <c r="W637" s="5"/>
      <c r="X637" s="5"/>
      <c r="Y637" s="5"/>
      <c r="Z637" s="7"/>
      <c r="AA637" s="5"/>
      <c r="AB637" s="5"/>
      <c r="AC637" s="5"/>
      <c r="AD637" s="5"/>
      <c r="AE637" s="5"/>
      <c r="AF637" s="5"/>
      <c r="AG637" s="5"/>
      <c r="AH637" s="5"/>
      <c r="AI637" s="5"/>
    </row>
    <row r="638" spans="1:35" ht="15.75" customHeight="1">
      <c r="A638" s="5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5"/>
      <c r="T638" s="5"/>
      <c r="U638" s="104"/>
      <c r="V638" s="5"/>
      <c r="W638" s="5"/>
      <c r="X638" s="5"/>
      <c r="Y638" s="5"/>
      <c r="Z638" s="7"/>
      <c r="AA638" s="5"/>
      <c r="AB638" s="5"/>
      <c r="AC638" s="5"/>
      <c r="AD638" s="5"/>
      <c r="AE638" s="5"/>
      <c r="AF638" s="5"/>
      <c r="AG638" s="5"/>
      <c r="AH638" s="5"/>
      <c r="AI638" s="5"/>
    </row>
    <row r="639" spans="1:35" ht="15.75" customHeight="1">
      <c r="A639" s="5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5"/>
      <c r="T639" s="5"/>
      <c r="U639" s="104"/>
      <c r="V639" s="5"/>
      <c r="W639" s="5"/>
      <c r="X639" s="5"/>
      <c r="Y639" s="5"/>
      <c r="Z639" s="7"/>
      <c r="AA639" s="5"/>
      <c r="AB639" s="5"/>
      <c r="AC639" s="5"/>
      <c r="AD639" s="5"/>
      <c r="AE639" s="5"/>
      <c r="AF639" s="5"/>
      <c r="AG639" s="5"/>
      <c r="AH639" s="5"/>
      <c r="AI639" s="5"/>
    </row>
    <row r="640" spans="1:35" ht="15.75" customHeight="1">
      <c r="A640" s="5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5"/>
      <c r="T640" s="5"/>
      <c r="U640" s="104"/>
      <c r="V640" s="5"/>
      <c r="W640" s="5"/>
      <c r="X640" s="5"/>
      <c r="Y640" s="5"/>
      <c r="Z640" s="7"/>
      <c r="AA640" s="5"/>
      <c r="AB640" s="5"/>
      <c r="AC640" s="5"/>
      <c r="AD640" s="5"/>
      <c r="AE640" s="5"/>
      <c r="AF640" s="5"/>
      <c r="AG640" s="5"/>
      <c r="AH640" s="5"/>
      <c r="AI640" s="5"/>
    </row>
    <row r="641" spans="1:35" ht="15.75" customHeight="1">
      <c r="A641" s="5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5"/>
      <c r="T641" s="5"/>
      <c r="U641" s="104"/>
      <c r="V641" s="5"/>
      <c r="W641" s="5"/>
      <c r="X641" s="5"/>
      <c r="Y641" s="5"/>
      <c r="Z641" s="7"/>
      <c r="AA641" s="5"/>
      <c r="AB641" s="5"/>
      <c r="AC641" s="5"/>
      <c r="AD641" s="5"/>
      <c r="AE641" s="5"/>
      <c r="AF641" s="5"/>
      <c r="AG641" s="5"/>
      <c r="AH641" s="5"/>
      <c r="AI641" s="5"/>
    </row>
    <row r="642" spans="1:35" ht="15.75" customHeight="1">
      <c r="A642" s="5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5"/>
      <c r="T642" s="5"/>
      <c r="U642" s="104"/>
      <c r="V642" s="5"/>
      <c r="W642" s="5"/>
      <c r="X642" s="5"/>
      <c r="Y642" s="5"/>
      <c r="Z642" s="7"/>
      <c r="AA642" s="5"/>
      <c r="AB642" s="5"/>
      <c r="AC642" s="5"/>
      <c r="AD642" s="5"/>
      <c r="AE642" s="5"/>
      <c r="AF642" s="5"/>
      <c r="AG642" s="5"/>
      <c r="AH642" s="5"/>
      <c r="AI642" s="5"/>
    </row>
    <row r="643" spans="1:35" ht="15.75" customHeight="1">
      <c r="A643" s="5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5"/>
      <c r="T643" s="5"/>
      <c r="U643" s="104"/>
      <c r="V643" s="5"/>
      <c r="W643" s="5"/>
      <c r="X643" s="5"/>
      <c r="Y643" s="5"/>
      <c r="Z643" s="7"/>
      <c r="AA643" s="5"/>
      <c r="AB643" s="5"/>
      <c r="AC643" s="5"/>
      <c r="AD643" s="5"/>
      <c r="AE643" s="5"/>
      <c r="AF643" s="5"/>
      <c r="AG643" s="5"/>
      <c r="AH643" s="5"/>
      <c r="AI643" s="5"/>
    </row>
    <row r="644" spans="1:35" ht="15.75" customHeight="1">
      <c r="A644" s="5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5"/>
      <c r="T644" s="5"/>
      <c r="U644" s="104"/>
      <c r="V644" s="5"/>
      <c r="W644" s="5"/>
      <c r="X644" s="5"/>
      <c r="Y644" s="5"/>
      <c r="Z644" s="7"/>
      <c r="AA644" s="5"/>
      <c r="AB644" s="5"/>
      <c r="AC644" s="5"/>
      <c r="AD644" s="5"/>
      <c r="AE644" s="5"/>
      <c r="AF644" s="5"/>
      <c r="AG644" s="5"/>
      <c r="AH644" s="5"/>
      <c r="AI644" s="5"/>
    </row>
    <row r="645" spans="1:35" ht="15.75" customHeight="1">
      <c r="A645" s="5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5"/>
      <c r="T645" s="5"/>
      <c r="U645" s="104"/>
      <c r="V645" s="5"/>
      <c r="W645" s="5"/>
      <c r="X645" s="5"/>
      <c r="Y645" s="5"/>
      <c r="Z645" s="7"/>
      <c r="AA645" s="5"/>
      <c r="AB645" s="5"/>
      <c r="AC645" s="5"/>
      <c r="AD645" s="5"/>
      <c r="AE645" s="5"/>
      <c r="AF645" s="5"/>
      <c r="AG645" s="5"/>
      <c r="AH645" s="5"/>
      <c r="AI645" s="5"/>
    </row>
    <row r="646" spans="1:35" ht="15.75" customHeight="1">
      <c r="A646" s="5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5"/>
      <c r="T646" s="5"/>
      <c r="U646" s="104"/>
      <c r="V646" s="5"/>
      <c r="W646" s="5"/>
      <c r="X646" s="5"/>
      <c r="Y646" s="5"/>
      <c r="Z646" s="7"/>
      <c r="AA646" s="5"/>
      <c r="AB646" s="5"/>
      <c r="AC646" s="5"/>
      <c r="AD646" s="5"/>
      <c r="AE646" s="5"/>
      <c r="AF646" s="5"/>
      <c r="AG646" s="5"/>
      <c r="AH646" s="5"/>
      <c r="AI646" s="5"/>
    </row>
    <row r="647" spans="1:35" ht="15.75" customHeight="1">
      <c r="A647" s="5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5"/>
      <c r="T647" s="5"/>
      <c r="U647" s="104"/>
      <c r="V647" s="5"/>
      <c r="W647" s="5"/>
      <c r="X647" s="5"/>
      <c r="Y647" s="5"/>
      <c r="Z647" s="7"/>
      <c r="AA647" s="5"/>
      <c r="AB647" s="5"/>
      <c r="AC647" s="5"/>
      <c r="AD647" s="5"/>
      <c r="AE647" s="5"/>
      <c r="AF647" s="5"/>
      <c r="AG647" s="5"/>
      <c r="AH647" s="5"/>
      <c r="AI647" s="5"/>
    </row>
    <row r="648" spans="1:35" ht="15.75" customHeight="1">
      <c r="A648" s="5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5"/>
      <c r="T648" s="5"/>
      <c r="U648" s="104"/>
      <c r="V648" s="5"/>
      <c r="W648" s="5"/>
      <c r="X648" s="5"/>
      <c r="Y648" s="5"/>
      <c r="Z648" s="7"/>
      <c r="AA648" s="5"/>
      <c r="AB648" s="5"/>
      <c r="AC648" s="5"/>
      <c r="AD648" s="5"/>
      <c r="AE648" s="5"/>
      <c r="AF648" s="5"/>
      <c r="AG648" s="5"/>
      <c r="AH648" s="5"/>
      <c r="AI648" s="5"/>
    </row>
    <row r="649" spans="1:35" ht="15.75" customHeight="1">
      <c r="A649" s="5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5"/>
      <c r="T649" s="5"/>
      <c r="U649" s="104"/>
      <c r="V649" s="5"/>
      <c r="W649" s="5"/>
      <c r="X649" s="5"/>
      <c r="Y649" s="5"/>
      <c r="Z649" s="7"/>
      <c r="AA649" s="5"/>
      <c r="AB649" s="5"/>
      <c r="AC649" s="5"/>
      <c r="AD649" s="5"/>
      <c r="AE649" s="5"/>
      <c r="AF649" s="5"/>
      <c r="AG649" s="5"/>
      <c r="AH649" s="5"/>
      <c r="AI649" s="5"/>
    </row>
    <row r="650" spans="1:35" ht="15.75" customHeight="1">
      <c r="A650" s="5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5"/>
      <c r="T650" s="5"/>
      <c r="U650" s="104"/>
      <c r="V650" s="5"/>
      <c r="W650" s="5"/>
      <c r="X650" s="5"/>
      <c r="Y650" s="5"/>
      <c r="Z650" s="7"/>
      <c r="AA650" s="5"/>
      <c r="AB650" s="5"/>
      <c r="AC650" s="5"/>
      <c r="AD650" s="5"/>
      <c r="AE650" s="5"/>
      <c r="AF650" s="5"/>
      <c r="AG650" s="5"/>
      <c r="AH650" s="5"/>
      <c r="AI650" s="5"/>
    </row>
    <row r="651" spans="1:35" ht="15.75" customHeight="1">
      <c r="A651" s="5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5"/>
      <c r="T651" s="5"/>
      <c r="U651" s="104"/>
      <c r="V651" s="5"/>
      <c r="W651" s="5"/>
      <c r="X651" s="5"/>
      <c r="Y651" s="5"/>
      <c r="Z651" s="7"/>
      <c r="AA651" s="5"/>
      <c r="AB651" s="5"/>
      <c r="AC651" s="5"/>
      <c r="AD651" s="5"/>
      <c r="AE651" s="5"/>
      <c r="AF651" s="5"/>
      <c r="AG651" s="5"/>
      <c r="AH651" s="5"/>
      <c r="AI651" s="5"/>
    </row>
    <row r="652" spans="1:35" ht="15.75" customHeight="1">
      <c r="A652" s="5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5"/>
      <c r="T652" s="5"/>
      <c r="U652" s="104"/>
      <c r="V652" s="5"/>
      <c r="W652" s="5"/>
      <c r="X652" s="5"/>
      <c r="Y652" s="5"/>
      <c r="Z652" s="7"/>
      <c r="AA652" s="5"/>
      <c r="AB652" s="5"/>
      <c r="AC652" s="5"/>
      <c r="AD652" s="5"/>
      <c r="AE652" s="5"/>
      <c r="AF652" s="5"/>
      <c r="AG652" s="5"/>
      <c r="AH652" s="5"/>
      <c r="AI652" s="5"/>
    </row>
    <row r="653" spans="1:35" ht="15.75" customHeight="1">
      <c r="A653" s="5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5"/>
      <c r="T653" s="5"/>
      <c r="U653" s="104"/>
      <c r="V653" s="5"/>
      <c r="W653" s="5"/>
      <c r="X653" s="5"/>
      <c r="Y653" s="5"/>
      <c r="Z653" s="7"/>
      <c r="AA653" s="5"/>
      <c r="AB653" s="5"/>
      <c r="AC653" s="5"/>
      <c r="AD653" s="5"/>
      <c r="AE653" s="5"/>
      <c r="AF653" s="5"/>
      <c r="AG653" s="5"/>
      <c r="AH653" s="5"/>
      <c r="AI653" s="5"/>
    </row>
    <row r="654" spans="1:35" ht="15.75" customHeight="1">
      <c r="A654" s="5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5"/>
      <c r="T654" s="5"/>
      <c r="U654" s="104"/>
      <c r="V654" s="5"/>
      <c r="W654" s="5"/>
      <c r="X654" s="5"/>
      <c r="Y654" s="5"/>
      <c r="Z654" s="7"/>
      <c r="AA654" s="5"/>
      <c r="AB654" s="5"/>
      <c r="AC654" s="5"/>
      <c r="AD654" s="5"/>
      <c r="AE654" s="5"/>
      <c r="AF654" s="5"/>
      <c r="AG654" s="5"/>
      <c r="AH654" s="5"/>
      <c r="AI654" s="5"/>
    </row>
    <row r="655" spans="1:35" ht="15.75" customHeight="1">
      <c r="A655" s="5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5"/>
      <c r="T655" s="5"/>
      <c r="U655" s="104"/>
      <c r="V655" s="5"/>
      <c r="W655" s="5"/>
      <c r="X655" s="5"/>
      <c r="Y655" s="5"/>
      <c r="Z655" s="7"/>
      <c r="AA655" s="5"/>
      <c r="AB655" s="5"/>
      <c r="AC655" s="5"/>
      <c r="AD655" s="5"/>
      <c r="AE655" s="5"/>
      <c r="AF655" s="5"/>
      <c r="AG655" s="5"/>
      <c r="AH655" s="5"/>
      <c r="AI655" s="5"/>
    </row>
    <row r="656" spans="1:35" ht="15.75" customHeight="1">
      <c r="A656" s="5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5"/>
      <c r="T656" s="5"/>
      <c r="U656" s="104"/>
      <c r="V656" s="5"/>
      <c r="W656" s="5"/>
      <c r="X656" s="5"/>
      <c r="Y656" s="5"/>
      <c r="Z656" s="7"/>
      <c r="AA656" s="5"/>
      <c r="AB656" s="5"/>
      <c r="AC656" s="5"/>
      <c r="AD656" s="5"/>
      <c r="AE656" s="5"/>
      <c r="AF656" s="5"/>
      <c r="AG656" s="5"/>
      <c r="AH656" s="5"/>
      <c r="AI656" s="5"/>
    </row>
    <row r="657" spans="1:35" ht="15.75" customHeight="1">
      <c r="A657" s="5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5"/>
      <c r="T657" s="5"/>
      <c r="U657" s="104"/>
      <c r="V657" s="5"/>
      <c r="W657" s="5"/>
      <c r="X657" s="5"/>
      <c r="Y657" s="5"/>
      <c r="Z657" s="7"/>
      <c r="AA657" s="5"/>
      <c r="AB657" s="5"/>
      <c r="AC657" s="5"/>
      <c r="AD657" s="5"/>
      <c r="AE657" s="5"/>
      <c r="AF657" s="5"/>
      <c r="AG657" s="5"/>
      <c r="AH657" s="5"/>
      <c r="AI657" s="5"/>
    </row>
    <row r="658" spans="1:35" ht="15.75" customHeight="1">
      <c r="A658" s="5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5"/>
      <c r="T658" s="5"/>
      <c r="U658" s="104"/>
      <c r="V658" s="5"/>
      <c r="W658" s="5"/>
      <c r="X658" s="5"/>
      <c r="Y658" s="5"/>
      <c r="Z658" s="7"/>
      <c r="AA658" s="5"/>
      <c r="AB658" s="5"/>
      <c r="AC658" s="5"/>
      <c r="AD658" s="5"/>
      <c r="AE658" s="5"/>
      <c r="AF658" s="5"/>
      <c r="AG658" s="5"/>
      <c r="AH658" s="5"/>
      <c r="AI658" s="5"/>
    </row>
    <row r="659" spans="1:35" ht="15.75" customHeight="1">
      <c r="A659" s="5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5"/>
      <c r="T659" s="5"/>
      <c r="U659" s="104"/>
      <c r="V659" s="5"/>
      <c r="W659" s="5"/>
      <c r="X659" s="5"/>
      <c r="Y659" s="5"/>
      <c r="Z659" s="7"/>
      <c r="AA659" s="5"/>
      <c r="AB659" s="5"/>
      <c r="AC659" s="5"/>
      <c r="AD659" s="5"/>
      <c r="AE659" s="5"/>
      <c r="AF659" s="5"/>
      <c r="AG659" s="5"/>
      <c r="AH659" s="5"/>
      <c r="AI659" s="5"/>
    </row>
    <row r="660" spans="1:35" ht="15.75" customHeight="1">
      <c r="A660" s="5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5"/>
      <c r="T660" s="5"/>
      <c r="U660" s="104"/>
      <c r="V660" s="5"/>
      <c r="W660" s="5"/>
      <c r="X660" s="5"/>
      <c r="Y660" s="5"/>
      <c r="Z660" s="7"/>
      <c r="AA660" s="5"/>
      <c r="AB660" s="5"/>
      <c r="AC660" s="5"/>
      <c r="AD660" s="5"/>
      <c r="AE660" s="5"/>
      <c r="AF660" s="5"/>
      <c r="AG660" s="5"/>
      <c r="AH660" s="5"/>
      <c r="AI660" s="5"/>
    </row>
    <row r="661" spans="1:35" ht="15.75" customHeight="1">
      <c r="A661" s="5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5"/>
      <c r="T661" s="5"/>
      <c r="U661" s="104"/>
      <c r="V661" s="5"/>
      <c r="W661" s="5"/>
      <c r="X661" s="5"/>
      <c r="Y661" s="5"/>
      <c r="Z661" s="7"/>
      <c r="AA661" s="5"/>
      <c r="AB661" s="5"/>
      <c r="AC661" s="5"/>
      <c r="AD661" s="5"/>
      <c r="AE661" s="5"/>
      <c r="AF661" s="5"/>
      <c r="AG661" s="5"/>
      <c r="AH661" s="5"/>
      <c r="AI661" s="5"/>
    </row>
    <row r="662" spans="1:35" ht="15.75" customHeight="1">
      <c r="A662" s="5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5"/>
      <c r="T662" s="5"/>
      <c r="U662" s="104"/>
      <c r="V662" s="5"/>
      <c r="W662" s="5"/>
      <c r="X662" s="5"/>
      <c r="Y662" s="5"/>
      <c r="Z662" s="7"/>
      <c r="AA662" s="5"/>
      <c r="AB662" s="5"/>
      <c r="AC662" s="5"/>
      <c r="AD662" s="5"/>
      <c r="AE662" s="5"/>
      <c r="AF662" s="5"/>
      <c r="AG662" s="5"/>
      <c r="AH662" s="5"/>
      <c r="AI662" s="5"/>
    </row>
    <row r="663" spans="1:35" ht="15.75" customHeight="1">
      <c r="A663" s="5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5"/>
      <c r="T663" s="5"/>
      <c r="U663" s="104"/>
      <c r="V663" s="5"/>
      <c r="W663" s="5"/>
      <c r="X663" s="5"/>
      <c r="Y663" s="5"/>
      <c r="Z663" s="7"/>
      <c r="AA663" s="5"/>
      <c r="AB663" s="5"/>
      <c r="AC663" s="5"/>
      <c r="AD663" s="5"/>
      <c r="AE663" s="5"/>
      <c r="AF663" s="5"/>
      <c r="AG663" s="5"/>
      <c r="AH663" s="5"/>
      <c r="AI663" s="5"/>
    </row>
    <row r="664" spans="1:35" ht="15.75" customHeight="1">
      <c r="A664" s="5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5"/>
      <c r="T664" s="5"/>
      <c r="U664" s="104"/>
      <c r="V664" s="5"/>
      <c r="W664" s="5"/>
      <c r="X664" s="5"/>
      <c r="Y664" s="5"/>
      <c r="Z664" s="7"/>
      <c r="AA664" s="5"/>
      <c r="AB664" s="5"/>
      <c r="AC664" s="5"/>
      <c r="AD664" s="5"/>
      <c r="AE664" s="5"/>
      <c r="AF664" s="5"/>
      <c r="AG664" s="5"/>
      <c r="AH664" s="5"/>
      <c r="AI664" s="5"/>
    </row>
    <row r="665" spans="1:35" ht="15.75" customHeight="1">
      <c r="A665" s="5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5"/>
      <c r="T665" s="5"/>
      <c r="U665" s="104"/>
      <c r="V665" s="5"/>
      <c r="W665" s="5"/>
      <c r="X665" s="5"/>
      <c r="Y665" s="5"/>
      <c r="Z665" s="7"/>
      <c r="AA665" s="5"/>
      <c r="AB665" s="5"/>
      <c r="AC665" s="5"/>
      <c r="AD665" s="5"/>
      <c r="AE665" s="5"/>
      <c r="AF665" s="5"/>
      <c r="AG665" s="5"/>
      <c r="AH665" s="5"/>
      <c r="AI665" s="5"/>
    </row>
    <row r="666" spans="1:35" ht="15.75" customHeight="1">
      <c r="A666" s="5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5"/>
      <c r="T666" s="5"/>
      <c r="U666" s="104"/>
      <c r="V666" s="5"/>
      <c r="W666" s="5"/>
      <c r="X666" s="5"/>
      <c r="Y666" s="5"/>
      <c r="Z666" s="7"/>
      <c r="AA666" s="5"/>
      <c r="AB666" s="5"/>
      <c r="AC666" s="5"/>
      <c r="AD666" s="5"/>
      <c r="AE666" s="5"/>
      <c r="AF666" s="5"/>
      <c r="AG666" s="5"/>
      <c r="AH666" s="5"/>
      <c r="AI666" s="5"/>
    </row>
    <row r="667" spans="1:35" ht="15.75" customHeight="1">
      <c r="A667" s="5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5"/>
      <c r="T667" s="5"/>
      <c r="U667" s="104"/>
      <c r="V667" s="5"/>
      <c r="W667" s="5"/>
      <c r="X667" s="5"/>
      <c r="Y667" s="5"/>
      <c r="Z667" s="7"/>
      <c r="AA667" s="5"/>
      <c r="AB667" s="5"/>
      <c r="AC667" s="5"/>
      <c r="AD667" s="5"/>
      <c r="AE667" s="5"/>
      <c r="AF667" s="5"/>
      <c r="AG667" s="5"/>
      <c r="AH667" s="5"/>
      <c r="AI667" s="5"/>
    </row>
    <row r="668" spans="1:35" ht="15.75" customHeight="1">
      <c r="A668" s="5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5"/>
      <c r="T668" s="5"/>
      <c r="U668" s="104"/>
      <c r="V668" s="5"/>
      <c r="W668" s="5"/>
      <c r="X668" s="5"/>
      <c r="Y668" s="5"/>
      <c r="Z668" s="7"/>
      <c r="AA668" s="5"/>
      <c r="AB668" s="5"/>
      <c r="AC668" s="5"/>
      <c r="AD668" s="5"/>
      <c r="AE668" s="5"/>
      <c r="AF668" s="5"/>
      <c r="AG668" s="5"/>
      <c r="AH668" s="5"/>
      <c r="AI668" s="5"/>
    </row>
    <row r="669" spans="1:35" ht="15.75" customHeight="1">
      <c r="A669" s="5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5"/>
      <c r="T669" s="5"/>
      <c r="U669" s="104"/>
      <c r="V669" s="5"/>
      <c r="W669" s="5"/>
      <c r="X669" s="5"/>
      <c r="Y669" s="5"/>
      <c r="Z669" s="7"/>
      <c r="AA669" s="5"/>
      <c r="AB669" s="5"/>
      <c r="AC669" s="5"/>
      <c r="AD669" s="5"/>
      <c r="AE669" s="5"/>
      <c r="AF669" s="5"/>
      <c r="AG669" s="5"/>
      <c r="AH669" s="5"/>
      <c r="AI669" s="5"/>
    </row>
    <row r="670" spans="1:35" ht="15.75" customHeight="1">
      <c r="A670" s="5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5"/>
      <c r="T670" s="5"/>
      <c r="U670" s="104"/>
      <c r="V670" s="5"/>
      <c r="W670" s="5"/>
      <c r="X670" s="5"/>
      <c r="Y670" s="5"/>
      <c r="Z670" s="7"/>
      <c r="AA670" s="5"/>
      <c r="AB670" s="5"/>
      <c r="AC670" s="5"/>
      <c r="AD670" s="5"/>
      <c r="AE670" s="5"/>
      <c r="AF670" s="5"/>
      <c r="AG670" s="5"/>
      <c r="AH670" s="5"/>
      <c r="AI670" s="5"/>
    </row>
    <row r="671" spans="1:35" ht="15.75" customHeight="1">
      <c r="A671" s="5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5"/>
      <c r="T671" s="5"/>
      <c r="U671" s="104"/>
      <c r="V671" s="5"/>
      <c r="W671" s="5"/>
      <c r="X671" s="5"/>
      <c r="Y671" s="5"/>
      <c r="Z671" s="7"/>
      <c r="AA671" s="5"/>
      <c r="AB671" s="5"/>
      <c r="AC671" s="5"/>
      <c r="AD671" s="5"/>
      <c r="AE671" s="5"/>
      <c r="AF671" s="5"/>
      <c r="AG671" s="5"/>
      <c r="AH671" s="5"/>
      <c r="AI671" s="5"/>
    </row>
    <row r="672" spans="1:35" ht="15.75" customHeight="1">
      <c r="A672" s="5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5"/>
      <c r="T672" s="5"/>
      <c r="U672" s="104"/>
      <c r="V672" s="5"/>
      <c r="W672" s="5"/>
      <c r="X672" s="5"/>
      <c r="Y672" s="5"/>
      <c r="Z672" s="7"/>
      <c r="AA672" s="5"/>
      <c r="AB672" s="5"/>
      <c r="AC672" s="5"/>
      <c r="AD672" s="5"/>
      <c r="AE672" s="5"/>
      <c r="AF672" s="5"/>
      <c r="AG672" s="5"/>
      <c r="AH672" s="5"/>
      <c r="AI672" s="5"/>
    </row>
    <row r="673" spans="1:35" ht="15.75" customHeight="1">
      <c r="A673" s="5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5"/>
      <c r="T673" s="5"/>
      <c r="U673" s="104"/>
      <c r="V673" s="5"/>
      <c r="W673" s="5"/>
      <c r="X673" s="5"/>
      <c r="Y673" s="5"/>
      <c r="Z673" s="7"/>
      <c r="AA673" s="5"/>
      <c r="AB673" s="5"/>
      <c r="AC673" s="5"/>
      <c r="AD673" s="5"/>
      <c r="AE673" s="5"/>
      <c r="AF673" s="5"/>
      <c r="AG673" s="5"/>
      <c r="AH673" s="5"/>
      <c r="AI673" s="5"/>
    </row>
    <row r="674" spans="1:35" ht="15.75" customHeight="1">
      <c r="A674" s="5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5"/>
      <c r="T674" s="5"/>
      <c r="U674" s="104"/>
      <c r="V674" s="5"/>
      <c r="W674" s="5"/>
      <c r="X674" s="5"/>
      <c r="Y674" s="5"/>
      <c r="Z674" s="7"/>
      <c r="AA674" s="5"/>
      <c r="AB674" s="5"/>
      <c r="AC674" s="5"/>
      <c r="AD674" s="5"/>
      <c r="AE674" s="5"/>
      <c r="AF674" s="5"/>
      <c r="AG674" s="5"/>
      <c r="AH674" s="5"/>
      <c r="AI674" s="5"/>
    </row>
    <row r="675" spans="1:35" ht="15.75" customHeight="1">
      <c r="A675" s="5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5"/>
      <c r="T675" s="5"/>
      <c r="U675" s="104"/>
      <c r="V675" s="5"/>
      <c r="W675" s="5"/>
      <c r="X675" s="5"/>
      <c r="Y675" s="5"/>
      <c r="Z675" s="7"/>
      <c r="AA675" s="5"/>
      <c r="AB675" s="5"/>
      <c r="AC675" s="5"/>
      <c r="AD675" s="5"/>
      <c r="AE675" s="5"/>
      <c r="AF675" s="5"/>
      <c r="AG675" s="5"/>
      <c r="AH675" s="5"/>
      <c r="AI675" s="5"/>
    </row>
    <row r="676" spans="1:35" ht="15.75" customHeight="1">
      <c r="A676" s="5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5"/>
      <c r="T676" s="5"/>
      <c r="U676" s="104"/>
      <c r="V676" s="5"/>
      <c r="W676" s="5"/>
      <c r="X676" s="5"/>
      <c r="Y676" s="5"/>
      <c r="Z676" s="7"/>
      <c r="AA676" s="5"/>
      <c r="AB676" s="5"/>
      <c r="AC676" s="5"/>
      <c r="AD676" s="5"/>
      <c r="AE676" s="5"/>
      <c r="AF676" s="5"/>
      <c r="AG676" s="5"/>
      <c r="AH676" s="5"/>
      <c r="AI676" s="5"/>
    </row>
    <row r="677" spans="1:35" ht="15.75" customHeight="1">
      <c r="A677" s="5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5"/>
      <c r="T677" s="5"/>
      <c r="U677" s="104"/>
      <c r="V677" s="5"/>
      <c r="W677" s="5"/>
      <c r="X677" s="5"/>
      <c r="Y677" s="5"/>
      <c r="Z677" s="7"/>
      <c r="AA677" s="5"/>
      <c r="AB677" s="5"/>
      <c r="AC677" s="5"/>
      <c r="AD677" s="5"/>
      <c r="AE677" s="5"/>
      <c r="AF677" s="5"/>
      <c r="AG677" s="5"/>
      <c r="AH677" s="5"/>
      <c r="AI677" s="5"/>
    </row>
    <row r="678" spans="1:35" ht="15.75" customHeight="1">
      <c r="A678" s="5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5"/>
      <c r="T678" s="5"/>
      <c r="U678" s="104"/>
      <c r="V678" s="5"/>
      <c r="W678" s="5"/>
      <c r="X678" s="5"/>
      <c r="Y678" s="5"/>
      <c r="Z678" s="7"/>
      <c r="AA678" s="5"/>
      <c r="AB678" s="5"/>
      <c r="AC678" s="5"/>
      <c r="AD678" s="5"/>
      <c r="AE678" s="5"/>
      <c r="AF678" s="5"/>
      <c r="AG678" s="5"/>
      <c r="AH678" s="5"/>
      <c r="AI678" s="5"/>
    </row>
    <row r="679" spans="1:35" ht="15.75" customHeight="1">
      <c r="A679" s="5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5"/>
      <c r="T679" s="5"/>
      <c r="U679" s="104"/>
      <c r="V679" s="5"/>
      <c r="W679" s="5"/>
      <c r="X679" s="5"/>
      <c r="Y679" s="5"/>
      <c r="Z679" s="7"/>
      <c r="AA679" s="5"/>
      <c r="AB679" s="5"/>
      <c r="AC679" s="5"/>
      <c r="AD679" s="5"/>
      <c r="AE679" s="5"/>
      <c r="AF679" s="5"/>
      <c r="AG679" s="5"/>
      <c r="AH679" s="5"/>
      <c r="AI679" s="5"/>
    </row>
    <row r="680" spans="1:35" ht="15.75" customHeight="1">
      <c r="A680" s="5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5"/>
      <c r="T680" s="5"/>
      <c r="U680" s="104"/>
      <c r="V680" s="5"/>
      <c r="W680" s="5"/>
      <c r="X680" s="5"/>
      <c r="Y680" s="5"/>
      <c r="Z680" s="7"/>
      <c r="AA680" s="5"/>
      <c r="AB680" s="5"/>
      <c r="AC680" s="5"/>
      <c r="AD680" s="5"/>
      <c r="AE680" s="5"/>
      <c r="AF680" s="5"/>
      <c r="AG680" s="5"/>
      <c r="AH680" s="5"/>
      <c r="AI680" s="5"/>
    </row>
    <row r="681" spans="1:35" ht="15.75" customHeight="1">
      <c r="A681" s="5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5"/>
      <c r="T681" s="5"/>
      <c r="U681" s="104"/>
      <c r="V681" s="5"/>
      <c r="W681" s="5"/>
      <c r="X681" s="5"/>
      <c r="Y681" s="5"/>
      <c r="Z681" s="7"/>
      <c r="AA681" s="5"/>
      <c r="AB681" s="5"/>
      <c r="AC681" s="5"/>
      <c r="AD681" s="5"/>
      <c r="AE681" s="5"/>
      <c r="AF681" s="5"/>
      <c r="AG681" s="5"/>
      <c r="AH681" s="5"/>
      <c r="AI681" s="5"/>
    </row>
    <row r="682" spans="1:35" ht="15.75" customHeight="1">
      <c r="A682" s="5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5"/>
      <c r="T682" s="5"/>
      <c r="U682" s="104"/>
      <c r="V682" s="5"/>
      <c r="W682" s="5"/>
      <c r="X682" s="5"/>
      <c r="Y682" s="5"/>
      <c r="Z682" s="7"/>
      <c r="AA682" s="5"/>
      <c r="AB682" s="5"/>
      <c r="AC682" s="5"/>
      <c r="AD682" s="5"/>
      <c r="AE682" s="5"/>
      <c r="AF682" s="5"/>
      <c r="AG682" s="5"/>
      <c r="AH682" s="5"/>
      <c r="AI682" s="5"/>
    </row>
    <row r="683" spans="1:35" ht="15.75" customHeight="1">
      <c r="A683" s="5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5"/>
      <c r="T683" s="5"/>
      <c r="U683" s="104"/>
      <c r="V683" s="5"/>
      <c r="W683" s="5"/>
      <c r="X683" s="5"/>
      <c r="Y683" s="5"/>
      <c r="Z683" s="7"/>
      <c r="AA683" s="5"/>
      <c r="AB683" s="5"/>
      <c r="AC683" s="5"/>
      <c r="AD683" s="5"/>
      <c r="AE683" s="5"/>
      <c r="AF683" s="5"/>
      <c r="AG683" s="5"/>
      <c r="AH683" s="5"/>
      <c r="AI683" s="5"/>
    </row>
    <row r="684" spans="1:35" ht="15.75" customHeight="1">
      <c r="A684" s="5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5"/>
      <c r="T684" s="5"/>
      <c r="U684" s="104"/>
      <c r="V684" s="5"/>
      <c r="W684" s="5"/>
      <c r="X684" s="5"/>
      <c r="Y684" s="5"/>
      <c r="Z684" s="7"/>
      <c r="AA684" s="5"/>
      <c r="AB684" s="5"/>
      <c r="AC684" s="5"/>
      <c r="AD684" s="5"/>
      <c r="AE684" s="5"/>
      <c r="AF684" s="5"/>
      <c r="AG684" s="5"/>
      <c r="AH684" s="5"/>
      <c r="AI684" s="5"/>
    </row>
    <row r="685" spans="1:35" ht="15.75" customHeight="1">
      <c r="A685" s="5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5"/>
      <c r="T685" s="5"/>
      <c r="U685" s="104"/>
      <c r="V685" s="5"/>
      <c r="W685" s="5"/>
      <c r="X685" s="5"/>
      <c r="Y685" s="5"/>
      <c r="Z685" s="7"/>
      <c r="AA685" s="5"/>
      <c r="AB685" s="5"/>
      <c r="AC685" s="5"/>
      <c r="AD685" s="5"/>
      <c r="AE685" s="5"/>
      <c r="AF685" s="5"/>
      <c r="AG685" s="5"/>
      <c r="AH685" s="5"/>
      <c r="AI685" s="5"/>
    </row>
    <row r="686" spans="1:35" ht="15.75" customHeight="1">
      <c r="A686" s="5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5"/>
      <c r="T686" s="5"/>
      <c r="U686" s="104"/>
      <c r="V686" s="5"/>
      <c r="W686" s="5"/>
      <c r="X686" s="5"/>
      <c r="Y686" s="5"/>
      <c r="Z686" s="7"/>
      <c r="AA686" s="5"/>
      <c r="AB686" s="5"/>
      <c r="AC686" s="5"/>
      <c r="AD686" s="5"/>
      <c r="AE686" s="5"/>
      <c r="AF686" s="5"/>
      <c r="AG686" s="5"/>
      <c r="AH686" s="5"/>
      <c r="AI686" s="5"/>
    </row>
    <row r="687" spans="1:35" ht="15.75" customHeight="1">
      <c r="A687" s="5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5"/>
      <c r="T687" s="5"/>
      <c r="U687" s="104"/>
      <c r="V687" s="5"/>
      <c r="W687" s="5"/>
      <c r="X687" s="5"/>
      <c r="Y687" s="5"/>
      <c r="Z687" s="7"/>
      <c r="AA687" s="5"/>
      <c r="AB687" s="5"/>
      <c r="AC687" s="5"/>
      <c r="AD687" s="5"/>
      <c r="AE687" s="5"/>
      <c r="AF687" s="5"/>
      <c r="AG687" s="5"/>
      <c r="AH687" s="5"/>
      <c r="AI687" s="5"/>
    </row>
    <row r="688" spans="1:35" ht="15.75" customHeight="1">
      <c r="A688" s="5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5"/>
      <c r="T688" s="5"/>
      <c r="U688" s="104"/>
      <c r="V688" s="5"/>
      <c r="W688" s="5"/>
      <c r="X688" s="5"/>
      <c r="Y688" s="5"/>
      <c r="Z688" s="7"/>
      <c r="AA688" s="5"/>
      <c r="AB688" s="5"/>
      <c r="AC688" s="5"/>
      <c r="AD688" s="5"/>
      <c r="AE688" s="5"/>
      <c r="AF688" s="5"/>
      <c r="AG688" s="5"/>
      <c r="AH688" s="5"/>
      <c r="AI688" s="5"/>
    </row>
    <row r="689" spans="1:35" ht="15.75" customHeight="1">
      <c r="A689" s="5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5"/>
      <c r="T689" s="5"/>
      <c r="U689" s="104"/>
      <c r="V689" s="5"/>
      <c r="W689" s="5"/>
      <c r="X689" s="5"/>
      <c r="Y689" s="5"/>
      <c r="Z689" s="7"/>
      <c r="AA689" s="5"/>
      <c r="AB689" s="5"/>
      <c r="AC689" s="5"/>
      <c r="AD689" s="5"/>
      <c r="AE689" s="5"/>
      <c r="AF689" s="5"/>
      <c r="AG689" s="5"/>
      <c r="AH689" s="5"/>
      <c r="AI689" s="5"/>
    </row>
    <row r="690" spans="1:35" ht="15.75" customHeight="1">
      <c r="A690" s="5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5"/>
      <c r="T690" s="5"/>
      <c r="U690" s="104"/>
      <c r="V690" s="5"/>
      <c r="W690" s="5"/>
      <c r="X690" s="5"/>
      <c r="Y690" s="5"/>
      <c r="Z690" s="7"/>
      <c r="AA690" s="5"/>
      <c r="AB690" s="5"/>
      <c r="AC690" s="5"/>
      <c r="AD690" s="5"/>
      <c r="AE690" s="5"/>
      <c r="AF690" s="5"/>
      <c r="AG690" s="5"/>
      <c r="AH690" s="5"/>
      <c r="AI690" s="5"/>
    </row>
    <row r="691" spans="1:35" ht="15.75" customHeight="1">
      <c r="A691" s="5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5"/>
      <c r="T691" s="5"/>
      <c r="U691" s="104"/>
      <c r="V691" s="5"/>
      <c r="W691" s="5"/>
      <c r="X691" s="5"/>
      <c r="Y691" s="5"/>
      <c r="Z691" s="7"/>
      <c r="AA691" s="5"/>
      <c r="AB691" s="5"/>
      <c r="AC691" s="5"/>
      <c r="AD691" s="5"/>
      <c r="AE691" s="5"/>
      <c r="AF691" s="5"/>
      <c r="AG691" s="5"/>
      <c r="AH691" s="5"/>
      <c r="AI691" s="5"/>
    </row>
    <row r="692" spans="1:35" ht="15.75" customHeight="1">
      <c r="A692" s="5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5"/>
      <c r="T692" s="5"/>
      <c r="U692" s="104"/>
      <c r="V692" s="5"/>
      <c r="W692" s="5"/>
      <c r="X692" s="5"/>
      <c r="Y692" s="5"/>
      <c r="Z692" s="7"/>
      <c r="AA692" s="5"/>
      <c r="AB692" s="5"/>
      <c r="AC692" s="5"/>
      <c r="AD692" s="5"/>
      <c r="AE692" s="5"/>
      <c r="AF692" s="5"/>
      <c r="AG692" s="5"/>
      <c r="AH692" s="5"/>
      <c r="AI692" s="5"/>
    </row>
    <row r="693" spans="1:35" ht="15.75" customHeight="1">
      <c r="A693" s="5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5"/>
      <c r="T693" s="5"/>
      <c r="U693" s="104"/>
      <c r="V693" s="5"/>
      <c r="W693" s="5"/>
      <c r="X693" s="5"/>
      <c r="Y693" s="5"/>
      <c r="Z693" s="7"/>
      <c r="AA693" s="5"/>
      <c r="AB693" s="5"/>
      <c r="AC693" s="5"/>
      <c r="AD693" s="5"/>
      <c r="AE693" s="5"/>
      <c r="AF693" s="5"/>
      <c r="AG693" s="5"/>
      <c r="AH693" s="5"/>
      <c r="AI693" s="5"/>
    </row>
    <row r="694" spans="1:35" ht="15.75" customHeight="1">
      <c r="A694" s="5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5"/>
      <c r="T694" s="5"/>
      <c r="U694" s="104"/>
      <c r="V694" s="5"/>
      <c r="W694" s="5"/>
      <c r="X694" s="5"/>
      <c r="Y694" s="5"/>
      <c r="Z694" s="7"/>
      <c r="AA694" s="5"/>
      <c r="AB694" s="5"/>
      <c r="AC694" s="5"/>
      <c r="AD694" s="5"/>
      <c r="AE694" s="5"/>
      <c r="AF694" s="5"/>
      <c r="AG694" s="5"/>
      <c r="AH694" s="5"/>
      <c r="AI694" s="5"/>
    </row>
    <row r="695" spans="1:35" ht="15.75" customHeight="1">
      <c r="A695" s="5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5"/>
      <c r="T695" s="5"/>
      <c r="U695" s="104"/>
      <c r="V695" s="5"/>
      <c r="W695" s="5"/>
      <c r="X695" s="5"/>
      <c r="Y695" s="5"/>
      <c r="Z695" s="7"/>
      <c r="AA695" s="5"/>
      <c r="AB695" s="5"/>
      <c r="AC695" s="5"/>
      <c r="AD695" s="5"/>
      <c r="AE695" s="5"/>
      <c r="AF695" s="5"/>
      <c r="AG695" s="5"/>
      <c r="AH695" s="5"/>
      <c r="AI695" s="5"/>
    </row>
    <row r="696" spans="1:35" ht="15.75" customHeight="1">
      <c r="A696" s="5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5"/>
      <c r="T696" s="5"/>
      <c r="U696" s="104"/>
      <c r="V696" s="5"/>
      <c r="W696" s="5"/>
      <c r="X696" s="5"/>
      <c r="Y696" s="5"/>
      <c r="Z696" s="7"/>
      <c r="AA696" s="5"/>
      <c r="AB696" s="5"/>
      <c r="AC696" s="5"/>
      <c r="AD696" s="5"/>
      <c r="AE696" s="5"/>
      <c r="AF696" s="5"/>
      <c r="AG696" s="5"/>
      <c r="AH696" s="5"/>
      <c r="AI696" s="5"/>
    </row>
    <row r="697" spans="1:35" ht="15.75" customHeight="1">
      <c r="A697" s="5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5"/>
      <c r="T697" s="5"/>
      <c r="U697" s="104"/>
      <c r="V697" s="5"/>
      <c r="W697" s="5"/>
      <c r="X697" s="5"/>
      <c r="Y697" s="5"/>
      <c r="Z697" s="7"/>
      <c r="AA697" s="5"/>
      <c r="AB697" s="5"/>
      <c r="AC697" s="5"/>
      <c r="AD697" s="5"/>
      <c r="AE697" s="5"/>
      <c r="AF697" s="5"/>
      <c r="AG697" s="5"/>
      <c r="AH697" s="5"/>
      <c r="AI697" s="5"/>
    </row>
    <row r="698" spans="1:35" ht="15.75" customHeight="1">
      <c r="A698" s="5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5"/>
      <c r="T698" s="5"/>
      <c r="U698" s="104"/>
      <c r="V698" s="5"/>
      <c r="W698" s="5"/>
      <c r="X698" s="5"/>
      <c r="Y698" s="5"/>
      <c r="Z698" s="7"/>
      <c r="AA698" s="5"/>
      <c r="AB698" s="5"/>
      <c r="AC698" s="5"/>
      <c r="AD698" s="5"/>
      <c r="AE698" s="5"/>
      <c r="AF698" s="5"/>
      <c r="AG698" s="5"/>
      <c r="AH698" s="5"/>
      <c r="AI698" s="5"/>
    </row>
    <row r="699" spans="1:35" ht="15.75" customHeight="1">
      <c r="A699" s="5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5"/>
      <c r="T699" s="5"/>
      <c r="U699" s="104"/>
      <c r="V699" s="5"/>
      <c r="W699" s="5"/>
      <c r="X699" s="5"/>
      <c r="Y699" s="5"/>
      <c r="Z699" s="7"/>
      <c r="AA699" s="5"/>
      <c r="AB699" s="5"/>
      <c r="AC699" s="5"/>
      <c r="AD699" s="5"/>
      <c r="AE699" s="5"/>
      <c r="AF699" s="5"/>
      <c r="AG699" s="5"/>
      <c r="AH699" s="5"/>
      <c r="AI699" s="5"/>
    </row>
    <row r="700" spans="1:35" ht="15.75" customHeight="1">
      <c r="A700" s="5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5"/>
      <c r="T700" s="5"/>
      <c r="U700" s="104"/>
      <c r="V700" s="5"/>
      <c r="W700" s="5"/>
      <c r="X700" s="5"/>
      <c r="Y700" s="5"/>
      <c r="Z700" s="7"/>
      <c r="AA700" s="5"/>
      <c r="AB700" s="5"/>
      <c r="AC700" s="5"/>
      <c r="AD700" s="5"/>
      <c r="AE700" s="5"/>
      <c r="AF700" s="5"/>
      <c r="AG700" s="5"/>
      <c r="AH700" s="5"/>
      <c r="AI700" s="5"/>
    </row>
    <row r="701" spans="1:35" ht="15.75" customHeight="1">
      <c r="A701" s="5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5"/>
      <c r="T701" s="5"/>
      <c r="U701" s="104"/>
      <c r="V701" s="5"/>
      <c r="W701" s="5"/>
      <c r="X701" s="5"/>
      <c r="Y701" s="5"/>
      <c r="Z701" s="7"/>
      <c r="AA701" s="5"/>
      <c r="AB701" s="5"/>
      <c r="AC701" s="5"/>
      <c r="AD701" s="5"/>
      <c r="AE701" s="5"/>
      <c r="AF701" s="5"/>
      <c r="AG701" s="5"/>
      <c r="AH701" s="5"/>
      <c r="AI701" s="5"/>
    </row>
    <row r="702" spans="1:35" ht="15.75" customHeight="1">
      <c r="A702" s="5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5"/>
      <c r="T702" s="5"/>
      <c r="U702" s="104"/>
      <c r="V702" s="5"/>
      <c r="W702" s="5"/>
      <c r="X702" s="5"/>
      <c r="Y702" s="5"/>
      <c r="Z702" s="7"/>
      <c r="AA702" s="5"/>
      <c r="AB702" s="5"/>
      <c r="AC702" s="5"/>
      <c r="AD702" s="5"/>
      <c r="AE702" s="5"/>
      <c r="AF702" s="5"/>
      <c r="AG702" s="5"/>
      <c r="AH702" s="5"/>
      <c r="AI702" s="5"/>
    </row>
    <row r="703" spans="1:35" ht="15.75" customHeight="1">
      <c r="A703" s="5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5"/>
      <c r="T703" s="5"/>
      <c r="U703" s="104"/>
      <c r="V703" s="5"/>
      <c r="W703" s="5"/>
      <c r="X703" s="5"/>
      <c r="Y703" s="5"/>
      <c r="Z703" s="7"/>
      <c r="AA703" s="5"/>
      <c r="AB703" s="5"/>
      <c r="AC703" s="5"/>
      <c r="AD703" s="5"/>
      <c r="AE703" s="5"/>
      <c r="AF703" s="5"/>
      <c r="AG703" s="5"/>
      <c r="AH703" s="5"/>
      <c r="AI703" s="5"/>
    </row>
    <row r="704" spans="1:35" ht="15.75" customHeight="1">
      <c r="A704" s="5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5"/>
      <c r="T704" s="5"/>
      <c r="U704" s="104"/>
      <c r="V704" s="5"/>
      <c r="W704" s="5"/>
      <c r="X704" s="5"/>
      <c r="Y704" s="5"/>
      <c r="Z704" s="7"/>
      <c r="AA704" s="5"/>
      <c r="AB704" s="5"/>
      <c r="AC704" s="5"/>
      <c r="AD704" s="5"/>
      <c r="AE704" s="5"/>
      <c r="AF704" s="5"/>
      <c r="AG704" s="5"/>
      <c r="AH704" s="5"/>
      <c r="AI704" s="5"/>
    </row>
    <row r="705" spans="1:35" ht="15.75" customHeight="1">
      <c r="A705" s="5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5"/>
      <c r="T705" s="5"/>
      <c r="U705" s="104"/>
      <c r="V705" s="5"/>
      <c r="W705" s="5"/>
      <c r="X705" s="5"/>
      <c r="Y705" s="5"/>
      <c r="Z705" s="7"/>
      <c r="AA705" s="5"/>
      <c r="AB705" s="5"/>
      <c r="AC705" s="5"/>
      <c r="AD705" s="5"/>
      <c r="AE705" s="5"/>
      <c r="AF705" s="5"/>
      <c r="AG705" s="5"/>
      <c r="AH705" s="5"/>
      <c r="AI705" s="5"/>
    </row>
    <row r="706" spans="1:35" ht="15.75" customHeight="1">
      <c r="A706" s="5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5"/>
      <c r="T706" s="5"/>
      <c r="U706" s="104"/>
      <c r="V706" s="5"/>
      <c r="W706" s="5"/>
      <c r="X706" s="5"/>
      <c r="Y706" s="5"/>
      <c r="Z706" s="7"/>
      <c r="AA706" s="5"/>
      <c r="AB706" s="5"/>
      <c r="AC706" s="5"/>
      <c r="AD706" s="5"/>
      <c r="AE706" s="5"/>
      <c r="AF706" s="5"/>
      <c r="AG706" s="5"/>
      <c r="AH706" s="5"/>
      <c r="AI706" s="5"/>
    </row>
    <row r="707" spans="1:35" ht="15.75" customHeight="1">
      <c r="A707" s="5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5"/>
      <c r="T707" s="5"/>
      <c r="U707" s="104"/>
      <c r="V707" s="5"/>
      <c r="W707" s="5"/>
      <c r="X707" s="5"/>
      <c r="Y707" s="5"/>
      <c r="Z707" s="7"/>
      <c r="AA707" s="5"/>
      <c r="AB707" s="5"/>
      <c r="AC707" s="5"/>
      <c r="AD707" s="5"/>
      <c r="AE707" s="5"/>
      <c r="AF707" s="5"/>
      <c r="AG707" s="5"/>
      <c r="AH707" s="5"/>
      <c r="AI707" s="5"/>
    </row>
    <row r="708" spans="1:35" ht="15.75" customHeight="1">
      <c r="A708" s="5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5"/>
      <c r="T708" s="5"/>
      <c r="U708" s="104"/>
      <c r="V708" s="5"/>
      <c r="W708" s="5"/>
      <c r="X708" s="5"/>
      <c r="Y708" s="5"/>
      <c r="Z708" s="7"/>
      <c r="AA708" s="5"/>
      <c r="AB708" s="5"/>
      <c r="AC708" s="5"/>
      <c r="AD708" s="5"/>
      <c r="AE708" s="5"/>
      <c r="AF708" s="5"/>
      <c r="AG708" s="5"/>
      <c r="AH708" s="5"/>
      <c r="AI708" s="5"/>
    </row>
    <row r="709" spans="1:35" ht="15.75" customHeight="1">
      <c r="A709" s="5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5"/>
      <c r="T709" s="5"/>
      <c r="U709" s="104"/>
      <c r="V709" s="5"/>
      <c r="W709" s="5"/>
      <c r="X709" s="5"/>
      <c r="Y709" s="5"/>
      <c r="Z709" s="7"/>
      <c r="AA709" s="5"/>
      <c r="AB709" s="5"/>
      <c r="AC709" s="5"/>
      <c r="AD709" s="5"/>
      <c r="AE709" s="5"/>
      <c r="AF709" s="5"/>
      <c r="AG709" s="5"/>
      <c r="AH709" s="5"/>
      <c r="AI709" s="5"/>
    </row>
    <row r="710" spans="1:35" ht="15.75" customHeight="1">
      <c r="A710" s="5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5"/>
      <c r="T710" s="5"/>
      <c r="U710" s="104"/>
      <c r="V710" s="5"/>
      <c r="W710" s="5"/>
      <c r="X710" s="5"/>
      <c r="Y710" s="5"/>
      <c r="Z710" s="7"/>
      <c r="AA710" s="5"/>
      <c r="AB710" s="5"/>
      <c r="AC710" s="5"/>
      <c r="AD710" s="5"/>
      <c r="AE710" s="5"/>
      <c r="AF710" s="5"/>
      <c r="AG710" s="5"/>
      <c r="AH710" s="5"/>
      <c r="AI710" s="5"/>
    </row>
    <row r="711" spans="1:35" ht="15.75" customHeight="1">
      <c r="A711" s="5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5"/>
      <c r="T711" s="5"/>
      <c r="U711" s="104"/>
      <c r="V711" s="5"/>
      <c r="W711" s="5"/>
      <c r="X711" s="5"/>
      <c r="Y711" s="5"/>
      <c r="Z711" s="7"/>
      <c r="AA711" s="5"/>
      <c r="AB711" s="5"/>
      <c r="AC711" s="5"/>
      <c r="AD711" s="5"/>
      <c r="AE711" s="5"/>
      <c r="AF711" s="5"/>
      <c r="AG711" s="5"/>
      <c r="AH711" s="5"/>
      <c r="AI711" s="5"/>
    </row>
    <row r="712" spans="1:35" ht="15.75" customHeight="1">
      <c r="A712" s="5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5"/>
      <c r="T712" s="5"/>
      <c r="U712" s="104"/>
      <c r="V712" s="5"/>
      <c r="W712" s="5"/>
      <c r="X712" s="5"/>
      <c r="Y712" s="5"/>
      <c r="Z712" s="7"/>
      <c r="AA712" s="5"/>
      <c r="AB712" s="5"/>
      <c r="AC712" s="5"/>
      <c r="AD712" s="5"/>
      <c r="AE712" s="5"/>
      <c r="AF712" s="5"/>
      <c r="AG712" s="5"/>
      <c r="AH712" s="5"/>
      <c r="AI712" s="5"/>
    </row>
    <row r="713" spans="1:35" ht="15.75" customHeight="1">
      <c r="A713" s="5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5"/>
      <c r="T713" s="5"/>
      <c r="U713" s="104"/>
      <c r="V713" s="5"/>
      <c r="W713" s="5"/>
      <c r="X713" s="5"/>
      <c r="Y713" s="5"/>
      <c r="Z713" s="7"/>
      <c r="AA713" s="5"/>
      <c r="AB713" s="5"/>
      <c r="AC713" s="5"/>
      <c r="AD713" s="5"/>
      <c r="AE713" s="5"/>
      <c r="AF713" s="5"/>
      <c r="AG713" s="5"/>
      <c r="AH713" s="5"/>
      <c r="AI713" s="5"/>
    </row>
    <row r="714" spans="1:35" ht="15.75" customHeight="1">
      <c r="A714" s="5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5"/>
      <c r="T714" s="5"/>
      <c r="U714" s="104"/>
      <c r="V714" s="5"/>
      <c r="W714" s="5"/>
      <c r="X714" s="5"/>
      <c r="Y714" s="5"/>
      <c r="Z714" s="7"/>
      <c r="AA714" s="5"/>
      <c r="AB714" s="5"/>
      <c r="AC714" s="5"/>
      <c r="AD714" s="5"/>
      <c r="AE714" s="5"/>
      <c r="AF714" s="5"/>
      <c r="AG714" s="5"/>
      <c r="AH714" s="5"/>
      <c r="AI714" s="5"/>
    </row>
    <row r="715" spans="1:35" ht="15.75" customHeight="1">
      <c r="A715" s="5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5"/>
      <c r="T715" s="5"/>
      <c r="U715" s="104"/>
      <c r="V715" s="5"/>
      <c r="W715" s="5"/>
      <c r="X715" s="5"/>
      <c r="Y715" s="5"/>
      <c r="Z715" s="7"/>
      <c r="AA715" s="5"/>
      <c r="AB715" s="5"/>
      <c r="AC715" s="5"/>
      <c r="AD715" s="5"/>
      <c r="AE715" s="5"/>
      <c r="AF715" s="5"/>
      <c r="AG715" s="5"/>
      <c r="AH715" s="5"/>
      <c r="AI715" s="5"/>
    </row>
    <row r="716" spans="1:35" ht="15.75" customHeight="1">
      <c r="A716" s="5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5"/>
      <c r="T716" s="5"/>
      <c r="U716" s="104"/>
      <c r="V716" s="5"/>
      <c r="W716" s="5"/>
      <c r="X716" s="5"/>
      <c r="Y716" s="5"/>
      <c r="Z716" s="7"/>
      <c r="AA716" s="5"/>
      <c r="AB716" s="5"/>
      <c r="AC716" s="5"/>
      <c r="AD716" s="5"/>
      <c r="AE716" s="5"/>
      <c r="AF716" s="5"/>
      <c r="AG716" s="5"/>
      <c r="AH716" s="5"/>
      <c r="AI716" s="5"/>
    </row>
    <row r="717" spans="1:35" ht="15.75" customHeight="1">
      <c r="A717" s="5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5"/>
      <c r="T717" s="5"/>
      <c r="U717" s="104"/>
      <c r="V717" s="5"/>
      <c r="W717" s="5"/>
      <c r="X717" s="5"/>
      <c r="Y717" s="5"/>
      <c r="Z717" s="7"/>
      <c r="AA717" s="5"/>
      <c r="AB717" s="5"/>
      <c r="AC717" s="5"/>
      <c r="AD717" s="5"/>
      <c r="AE717" s="5"/>
      <c r="AF717" s="5"/>
      <c r="AG717" s="5"/>
      <c r="AH717" s="5"/>
      <c r="AI717" s="5"/>
    </row>
    <row r="718" spans="1:35" ht="15.75" customHeight="1">
      <c r="A718" s="5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5"/>
      <c r="T718" s="5"/>
      <c r="U718" s="104"/>
      <c r="V718" s="5"/>
      <c r="W718" s="5"/>
      <c r="X718" s="5"/>
      <c r="Y718" s="5"/>
      <c r="Z718" s="7"/>
      <c r="AA718" s="5"/>
      <c r="AB718" s="5"/>
      <c r="AC718" s="5"/>
      <c r="AD718" s="5"/>
      <c r="AE718" s="5"/>
      <c r="AF718" s="5"/>
      <c r="AG718" s="5"/>
      <c r="AH718" s="5"/>
      <c r="AI718" s="5"/>
    </row>
    <row r="719" spans="1:35" ht="15.75" customHeight="1">
      <c r="A719" s="5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5"/>
      <c r="T719" s="5"/>
      <c r="U719" s="104"/>
      <c r="V719" s="5"/>
      <c r="W719" s="5"/>
      <c r="X719" s="5"/>
      <c r="Y719" s="5"/>
      <c r="Z719" s="7"/>
      <c r="AA719" s="5"/>
      <c r="AB719" s="5"/>
      <c r="AC719" s="5"/>
      <c r="AD719" s="5"/>
      <c r="AE719" s="5"/>
      <c r="AF719" s="5"/>
      <c r="AG719" s="5"/>
      <c r="AH719" s="5"/>
      <c r="AI719" s="5"/>
    </row>
    <row r="720" spans="1:35" ht="15.75" customHeight="1">
      <c r="A720" s="5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5"/>
      <c r="T720" s="5"/>
      <c r="U720" s="104"/>
      <c r="V720" s="5"/>
      <c r="W720" s="5"/>
      <c r="X720" s="5"/>
      <c r="Y720" s="5"/>
      <c r="Z720" s="7"/>
      <c r="AA720" s="5"/>
      <c r="AB720" s="5"/>
      <c r="AC720" s="5"/>
      <c r="AD720" s="5"/>
      <c r="AE720" s="5"/>
      <c r="AF720" s="5"/>
      <c r="AG720" s="5"/>
      <c r="AH720" s="5"/>
      <c r="AI720" s="5"/>
    </row>
    <row r="721" spans="1:35" ht="15.75" customHeight="1">
      <c r="A721" s="5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5"/>
      <c r="T721" s="5"/>
      <c r="U721" s="104"/>
      <c r="V721" s="5"/>
      <c r="W721" s="5"/>
      <c r="X721" s="5"/>
      <c r="Y721" s="5"/>
      <c r="Z721" s="7"/>
      <c r="AA721" s="5"/>
      <c r="AB721" s="5"/>
      <c r="AC721" s="5"/>
      <c r="AD721" s="5"/>
      <c r="AE721" s="5"/>
      <c r="AF721" s="5"/>
      <c r="AG721" s="5"/>
      <c r="AH721" s="5"/>
      <c r="AI721" s="5"/>
    </row>
    <row r="722" spans="1:35" ht="15.75" customHeight="1">
      <c r="A722" s="5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5"/>
      <c r="T722" s="5"/>
      <c r="U722" s="104"/>
      <c r="V722" s="5"/>
      <c r="W722" s="5"/>
      <c r="X722" s="5"/>
      <c r="Y722" s="5"/>
      <c r="Z722" s="7"/>
      <c r="AA722" s="5"/>
      <c r="AB722" s="5"/>
      <c r="AC722" s="5"/>
      <c r="AD722" s="5"/>
      <c r="AE722" s="5"/>
      <c r="AF722" s="5"/>
      <c r="AG722" s="5"/>
      <c r="AH722" s="5"/>
      <c r="AI722" s="5"/>
    </row>
    <row r="723" spans="1:35" ht="15.75" customHeight="1">
      <c r="A723" s="5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5"/>
      <c r="T723" s="5"/>
      <c r="U723" s="104"/>
      <c r="V723" s="5"/>
      <c r="W723" s="5"/>
      <c r="X723" s="5"/>
      <c r="Y723" s="5"/>
      <c r="Z723" s="7"/>
      <c r="AA723" s="5"/>
      <c r="AB723" s="5"/>
      <c r="AC723" s="5"/>
      <c r="AD723" s="5"/>
      <c r="AE723" s="5"/>
      <c r="AF723" s="5"/>
      <c r="AG723" s="5"/>
      <c r="AH723" s="5"/>
      <c r="AI723" s="5"/>
    </row>
    <row r="724" spans="1:35" ht="15.75" customHeight="1">
      <c r="A724" s="5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5"/>
      <c r="T724" s="5"/>
      <c r="U724" s="104"/>
      <c r="V724" s="5"/>
      <c r="W724" s="5"/>
      <c r="X724" s="5"/>
      <c r="Y724" s="5"/>
      <c r="Z724" s="7"/>
      <c r="AA724" s="5"/>
      <c r="AB724" s="5"/>
      <c r="AC724" s="5"/>
      <c r="AD724" s="5"/>
      <c r="AE724" s="5"/>
      <c r="AF724" s="5"/>
      <c r="AG724" s="5"/>
      <c r="AH724" s="5"/>
      <c r="AI724" s="5"/>
    </row>
    <row r="725" spans="1:35" ht="15.75" customHeight="1">
      <c r="A725" s="5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5"/>
      <c r="T725" s="5"/>
      <c r="U725" s="104"/>
      <c r="V725" s="5"/>
      <c r="W725" s="5"/>
      <c r="X725" s="5"/>
      <c r="Y725" s="5"/>
      <c r="Z725" s="7"/>
      <c r="AA725" s="5"/>
      <c r="AB725" s="5"/>
      <c r="AC725" s="5"/>
      <c r="AD725" s="5"/>
      <c r="AE725" s="5"/>
      <c r="AF725" s="5"/>
      <c r="AG725" s="5"/>
      <c r="AH725" s="5"/>
      <c r="AI725" s="5"/>
    </row>
    <row r="726" spans="1:35" ht="15.75" customHeight="1">
      <c r="A726" s="5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5"/>
      <c r="T726" s="5"/>
      <c r="U726" s="104"/>
      <c r="V726" s="5"/>
      <c r="W726" s="5"/>
      <c r="X726" s="5"/>
      <c r="Y726" s="5"/>
      <c r="Z726" s="7"/>
      <c r="AA726" s="5"/>
      <c r="AB726" s="5"/>
      <c r="AC726" s="5"/>
      <c r="AD726" s="5"/>
      <c r="AE726" s="5"/>
      <c r="AF726" s="5"/>
      <c r="AG726" s="5"/>
      <c r="AH726" s="5"/>
      <c r="AI726" s="5"/>
    </row>
    <row r="727" spans="1:35" ht="15.75" customHeight="1">
      <c r="A727" s="5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5"/>
      <c r="T727" s="5"/>
      <c r="U727" s="104"/>
      <c r="V727" s="5"/>
      <c r="W727" s="5"/>
      <c r="X727" s="5"/>
      <c r="Y727" s="5"/>
      <c r="Z727" s="7"/>
      <c r="AA727" s="5"/>
      <c r="AB727" s="5"/>
      <c r="AC727" s="5"/>
      <c r="AD727" s="5"/>
      <c r="AE727" s="5"/>
      <c r="AF727" s="5"/>
      <c r="AG727" s="5"/>
      <c r="AH727" s="5"/>
      <c r="AI727" s="5"/>
    </row>
    <row r="728" spans="1:35" ht="15.75" customHeight="1">
      <c r="A728" s="5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5"/>
      <c r="T728" s="5"/>
      <c r="U728" s="104"/>
      <c r="V728" s="5"/>
      <c r="W728" s="5"/>
      <c r="X728" s="5"/>
      <c r="Y728" s="5"/>
      <c r="Z728" s="7"/>
      <c r="AA728" s="5"/>
      <c r="AB728" s="5"/>
      <c r="AC728" s="5"/>
      <c r="AD728" s="5"/>
      <c r="AE728" s="5"/>
      <c r="AF728" s="5"/>
      <c r="AG728" s="5"/>
      <c r="AH728" s="5"/>
      <c r="AI728" s="5"/>
    </row>
    <row r="729" spans="1:35" ht="15.75" customHeight="1">
      <c r="A729" s="5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5"/>
      <c r="T729" s="5"/>
      <c r="U729" s="104"/>
      <c r="V729" s="5"/>
      <c r="W729" s="5"/>
      <c r="X729" s="5"/>
      <c r="Y729" s="5"/>
      <c r="Z729" s="7"/>
      <c r="AA729" s="5"/>
      <c r="AB729" s="5"/>
      <c r="AC729" s="5"/>
      <c r="AD729" s="5"/>
      <c r="AE729" s="5"/>
      <c r="AF729" s="5"/>
      <c r="AG729" s="5"/>
      <c r="AH729" s="5"/>
      <c r="AI729" s="5"/>
    </row>
    <row r="730" spans="1:35" ht="15.75" customHeight="1">
      <c r="A730" s="5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5"/>
      <c r="T730" s="5"/>
      <c r="U730" s="104"/>
      <c r="V730" s="5"/>
      <c r="W730" s="5"/>
      <c r="X730" s="5"/>
      <c r="Y730" s="5"/>
      <c r="Z730" s="7"/>
      <c r="AA730" s="5"/>
      <c r="AB730" s="5"/>
      <c r="AC730" s="5"/>
      <c r="AD730" s="5"/>
      <c r="AE730" s="5"/>
      <c r="AF730" s="5"/>
      <c r="AG730" s="5"/>
      <c r="AH730" s="5"/>
      <c r="AI730" s="5"/>
    </row>
    <row r="731" spans="1:35" ht="15.75" customHeight="1">
      <c r="A731" s="5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5"/>
      <c r="T731" s="5"/>
      <c r="U731" s="104"/>
      <c r="V731" s="5"/>
      <c r="W731" s="5"/>
      <c r="X731" s="5"/>
      <c r="Y731" s="5"/>
      <c r="Z731" s="7"/>
      <c r="AA731" s="5"/>
      <c r="AB731" s="5"/>
      <c r="AC731" s="5"/>
      <c r="AD731" s="5"/>
      <c r="AE731" s="5"/>
      <c r="AF731" s="5"/>
      <c r="AG731" s="5"/>
      <c r="AH731" s="5"/>
      <c r="AI731" s="5"/>
    </row>
    <row r="732" spans="1:35" ht="15.75" customHeight="1">
      <c r="A732" s="5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5"/>
      <c r="T732" s="5"/>
      <c r="U732" s="104"/>
      <c r="V732" s="5"/>
      <c r="W732" s="5"/>
      <c r="X732" s="5"/>
      <c r="Y732" s="5"/>
      <c r="Z732" s="7"/>
      <c r="AA732" s="5"/>
      <c r="AB732" s="5"/>
      <c r="AC732" s="5"/>
      <c r="AD732" s="5"/>
      <c r="AE732" s="5"/>
      <c r="AF732" s="5"/>
      <c r="AG732" s="5"/>
      <c r="AH732" s="5"/>
      <c r="AI732" s="5"/>
    </row>
    <row r="733" spans="1:35" ht="15.75" customHeight="1">
      <c r="A733" s="5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5"/>
      <c r="T733" s="5"/>
      <c r="U733" s="104"/>
      <c r="V733" s="5"/>
      <c r="W733" s="5"/>
      <c r="X733" s="5"/>
      <c r="Y733" s="5"/>
      <c r="Z733" s="7"/>
      <c r="AA733" s="5"/>
      <c r="AB733" s="5"/>
      <c r="AC733" s="5"/>
      <c r="AD733" s="5"/>
      <c r="AE733" s="5"/>
      <c r="AF733" s="5"/>
      <c r="AG733" s="5"/>
      <c r="AH733" s="5"/>
      <c r="AI733" s="5"/>
    </row>
    <row r="734" spans="1:35" ht="15.75" customHeight="1">
      <c r="A734" s="5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5"/>
      <c r="T734" s="5"/>
      <c r="U734" s="104"/>
      <c r="V734" s="5"/>
      <c r="W734" s="5"/>
      <c r="X734" s="5"/>
      <c r="Y734" s="5"/>
      <c r="Z734" s="7"/>
      <c r="AA734" s="5"/>
      <c r="AB734" s="5"/>
      <c r="AC734" s="5"/>
      <c r="AD734" s="5"/>
      <c r="AE734" s="5"/>
      <c r="AF734" s="5"/>
      <c r="AG734" s="5"/>
      <c r="AH734" s="5"/>
      <c r="AI734" s="5"/>
    </row>
    <row r="735" spans="1:35" ht="15.75" customHeight="1">
      <c r="A735" s="5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5"/>
      <c r="T735" s="5"/>
      <c r="U735" s="104"/>
      <c r="V735" s="5"/>
      <c r="W735" s="5"/>
      <c r="X735" s="5"/>
      <c r="Y735" s="5"/>
      <c r="Z735" s="7"/>
      <c r="AA735" s="5"/>
      <c r="AB735" s="5"/>
      <c r="AC735" s="5"/>
      <c r="AD735" s="5"/>
      <c r="AE735" s="5"/>
      <c r="AF735" s="5"/>
      <c r="AG735" s="5"/>
      <c r="AH735" s="5"/>
      <c r="AI735" s="5"/>
    </row>
    <row r="736" spans="1:35" ht="15.75" customHeight="1">
      <c r="A736" s="5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5"/>
      <c r="T736" s="5"/>
      <c r="U736" s="104"/>
      <c r="V736" s="5"/>
      <c r="W736" s="5"/>
      <c r="X736" s="5"/>
      <c r="Y736" s="5"/>
      <c r="Z736" s="7"/>
      <c r="AA736" s="5"/>
      <c r="AB736" s="5"/>
      <c r="AC736" s="5"/>
      <c r="AD736" s="5"/>
      <c r="AE736" s="5"/>
      <c r="AF736" s="5"/>
      <c r="AG736" s="5"/>
      <c r="AH736" s="5"/>
      <c r="AI736" s="5"/>
    </row>
    <row r="737" spans="1:35" ht="15.75" customHeight="1">
      <c r="A737" s="5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5"/>
      <c r="T737" s="5"/>
      <c r="U737" s="104"/>
      <c r="V737" s="5"/>
      <c r="W737" s="5"/>
      <c r="X737" s="5"/>
      <c r="Y737" s="5"/>
      <c r="Z737" s="7"/>
      <c r="AA737" s="5"/>
      <c r="AB737" s="5"/>
      <c r="AC737" s="5"/>
      <c r="AD737" s="5"/>
      <c r="AE737" s="5"/>
      <c r="AF737" s="5"/>
      <c r="AG737" s="5"/>
      <c r="AH737" s="5"/>
      <c r="AI737" s="5"/>
    </row>
    <row r="738" spans="1:35" ht="15.75" customHeight="1">
      <c r="A738" s="5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5"/>
      <c r="T738" s="5"/>
      <c r="U738" s="104"/>
      <c r="V738" s="5"/>
      <c r="W738" s="5"/>
      <c r="X738" s="5"/>
      <c r="Y738" s="5"/>
      <c r="Z738" s="7"/>
      <c r="AA738" s="5"/>
      <c r="AB738" s="5"/>
      <c r="AC738" s="5"/>
      <c r="AD738" s="5"/>
      <c r="AE738" s="5"/>
      <c r="AF738" s="5"/>
      <c r="AG738" s="5"/>
      <c r="AH738" s="5"/>
      <c r="AI738" s="5"/>
    </row>
    <row r="739" spans="1:35" ht="15.75" customHeight="1">
      <c r="A739" s="5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5"/>
      <c r="T739" s="5"/>
      <c r="U739" s="104"/>
      <c r="V739" s="5"/>
      <c r="W739" s="5"/>
      <c r="X739" s="5"/>
      <c r="Y739" s="5"/>
      <c r="Z739" s="7"/>
      <c r="AA739" s="5"/>
      <c r="AB739" s="5"/>
      <c r="AC739" s="5"/>
      <c r="AD739" s="5"/>
      <c r="AE739" s="5"/>
      <c r="AF739" s="5"/>
      <c r="AG739" s="5"/>
      <c r="AH739" s="5"/>
      <c r="AI739" s="5"/>
    </row>
    <row r="740" spans="1:35" ht="15.75" customHeight="1">
      <c r="A740" s="5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5"/>
      <c r="T740" s="5"/>
      <c r="U740" s="104"/>
      <c r="V740" s="5"/>
      <c r="W740" s="5"/>
      <c r="X740" s="5"/>
      <c r="Y740" s="5"/>
      <c r="Z740" s="7"/>
      <c r="AA740" s="5"/>
      <c r="AB740" s="5"/>
      <c r="AC740" s="5"/>
      <c r="AD740" s="5"/>
      <c r="AE740" s="5"/>
      <c r="AF740" s="5"/>
      <c r="AG740" s="5"/>
      <c r="AH740" s="5"/>
      <c r="AI740" s="5"/>
    </row>
    <row r="741" spans="1:35" ht="15.75" customHeight="1">
      <c r="A741" s="5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5"/>
      <c r="T741" s="5"/>
      <c r="U741" s="104"/>
      <c r="V741" s="5"/>
      <c r="W741" s="5"/>
      <c r="X741" s="5"/>
      <c r="Y741" s="5"/>
      <c r="Z741" s="7"/>
      <c r="AA741" s="5"/>
      <c r="AB741" s="5"/>
      <c r="AC741" s="5"/>
      <c r="AD741" s="5"/>
      <c r="AE741" s="5"/>
      <c r="AF741" s="5"/>
      <c r="AG741" s="5"/>
      <c r="AH741" s="5"/>
      <c r="AI741" s="5"/>
    </row>
    <row r="742" spans="1:35" ht="15.75" customHeight="1">
      <c r="A742" s="5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5"/>
      <c r="T742" s="5"/>
      <c r="U742" s="104"/>
      <c r="V742" s="5"/>
      <c r="W742" s="5"/>
      <c r="X742" s="5"/>
      <c r="Y742" s="5"/>
      <c r="Z742" s="7"/>
      <c r="AA742" s="5"/>
      <c r="AB742" s="5"/>
      <c r="AC742" s="5"/>
      <c r="AD742" s="5"/>
      <c r="AE742" s="5"/>
      <c r="AF742" s="5"/>
      <c r="AG742" s="5"/>
      <c r="AH742" s="5"/>
      <c r="AI742" s="5"/>
    </row>
    <row r="743" spans="1:35" ht="15.75" customHeight="1">
      <c r="A743" s="5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5"/>
      <c r="T743" s="5"/>
      <c r="U743" s="104"/>
      <c r="V743" s="5"/>
      <c r="W743" s="5"/>
      <c r="X743" s="5"/>
      <c r="Y743" s="5"/>
      <c r="Z743" s="7"/>
      <c r="AA743" s="5"/>
      <c r="AB743" s="5"/>
      <c r="AC743" s="5"/>
      <c r="AD743" s="5"/>
      <c r="AE743" s="5"/>
      <c r="AF743" s="5"/>
      <c r="AG743" s="5"/>
      <c r="AH743" s="5"/>
      <c r="AI743" s="5"/>
    </row>
    <row r="744" spans="1:35" ht="15.75" customHeight="1">
      <c r="A744" s="5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5"/>
      <c r="T744" s="5"/>
      <c r="U744" s="104"/>
      <c r="V744" s="5"/>
      <c r="W744" s="5"/>
      <c r="X744" s="5"/>
      <c r="Y744" s="5"/>
      <c r="Z744" s="7"/>
      <c r="AA744" s="5"/>
      <c r="AB744" s="5"/>
      <c r="AC744" s="5"/>
      <c r="AD744" s="5"/>
      <c r="AE744" s="5"/>
      <c r="AF744" s="5"/>
      <c r="AG744" s="5"/>
      <c r="AH744" s="5"/>
      <c r="AI744" s="5"/>
    </row>
    <row r="745" spans="1:35" ht="15.75" customHeight="1">
      <c r="A745" s="5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5"/>
      <c r="T745" s="5"/>
      <c r="U745" s="104"/>
      <c r="V745" s="5"/>
      <c r="W745" s="5"/>
      <c r="X745" s="5"/>
      <c r="Y745" s="5"/>
      <c r="Z745" s="7"/>
      <c r="AA745" s="5"/>
      <c r="AB745" s="5"/>
      <c r="AC745" s="5"/>
      <c r="AD745" s="5"/>
      <c r="AE745" s="5"/>
      <c r="AF745" s="5"/>
      <c r="AG745" s="5"/>
      <c r="AH745" s="5"/>
      <c r="AI745" s="5"/>
    </row>
    <row r="746" spans="1:35" ht="15.75" customHeight="1">
      <c r="A746" s="5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5"/>
      <c r="T746" s="5"/>
      <c r="U746" s="104"/>
      <c r="V746" s="5"/>
      <c r="W746" s="5"/>
      <c r="X746" s="5"/>
      <c r="Y746" s="5"/>
      <c r="Z746" s="7"/>
      <c r="AA746" s="5"/>
      <c r="AB746" s="5"/>
      <c r="AC746" s="5"/>
      <c r="AD746" s="5"/>
      <c r="AE746" s="5"/>
      <c r="AF746" s="5"/>
      <c r="AG746" s="5"/>
      <c r="AH746" s="5"/>
      <c r="AI746" s="5"/>
    </row>
    <row r="747" spans="1:35" ht="15.75" customHeight="1">
      <c r="A747" s="5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5"/>
      <c r="T747" s="5"/>
      <c r="U747" s="104"/>
      <c r="V747" s="5"/>
      <c r="W747" s="5"/>
      <c r="X747" s="5"/>
      <c r="Y747" s="5"/>
      <c r="Z747" s="7"/>
      <c r="AA747" s="5"/>
      <c r="AB747" s="5"/>
      <c r="AC747" s="5"/>
      <c r="AD747" s="5"/>
      <c r="AE747" s="5"/>
      <c r="AF747" s="5"/>
      <c r="AG747" s="5"/>
      <c r="AH747" s="5"/>
      <c r="AI747" s="5"/>
    </row>
    <row r="748" spans="1:35" ht="15.75" customHeight="1">
      <c r="A748" s="5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5"/>
      <c r="T748" s="5"/>
      <c r="U748" s="104"/>
      <c r="V748" s="5"/>
      <c r="W748" s="5"/>
      <c r="X748" s="5"/>
      <c r="Y748" s="5"/>
      <c r="Z748" s="7"/>
      <c r="AA748" s="5"/>
      <c r="AB748" s="5"/>
      <c r="AC748" s="5"/>
      <c r="AD748" s="5"/>
      <c r="AE748" s="5"/>
      <c r="AF748" s="5"/>
      <c r="AG748" s="5"/>
      <c r="AH748" s="5"/>
      <c r="AI748" s="5"/>
    </row>
    <row r="749" spans="1:35" ht="15.75" customHeight="1">
      <c r="A749" s="5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5"/>
      <c r="T749" s="5"/>
      <c r="U749" s="104"/>
      <c r="V749" s="5"/>
      <c r="W749" s="5"/>
      <c r="X749" s="5"/>
      <c r="Y749" s="5"/>
      <c r="Z749" s="7"/>
      <c r="AA749" s="5"/>
      <c r="AB749" s="5"/>
      <c r="AC749" s="5"/>
      <c r="AD749" s="5"/>
      <c r="AE749" s="5"/>
      <c r="AF749" s="5"/>
      <c r="AG749" s="5"/>
      <c r="AH749" s="5"/>
      <c r="AI749" s="5"/>
    </row>
    <row r="750" spans="1:35" ht="15.75" customHeight="1">
      <c r="A750" s="5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5"/>
      <c r="T750" s="5"/>
      <c r="U750" s="104"/>
      <c r="V750" s="5"/>
      <c r="W750" s="5"/>
      <c r="X750" s="5"/>
      <c r="Y750" s="5"/>
      <c r="Z750" s="7"/>
      <c r="AA750" s="5"/>
      <c r="AB750" s="5"/>
      <c r="AC750" s="5"/>
      <c r="AD750" s="5"/>
      <c r="AE750" s="5"/>
      <c r="AF750" s="5"/>
      <c r="AG750" s="5"/>
      <c r="AH750" s="5"/>
      <c r="AI750" s="5"/>
    </row>
    <row r="751" spans="1:35" ht="15.75" customHeight="1">
      <c r="A751" s="5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5"/>
      <c r="T751" s="5"/>
      <c r="U751" s="104"/>
      <c r="V751" s="5"/>
      <c r="W751" s="5"/>
      <c r="X751" s="5"/>
      <c r="Y751" s="5"/>
      <c r="Z751" s="7"/>
      <c r="AA751" s="5"/>
      <c r="AB751" s="5"/>
      <c r="AC751" s="5"/>
      <c r="AD751" s="5"/>
      <c r="AE751" s="5"/>
      <c r="AF751" s="5"/>
      <c r="AG751" s="5"/>
      <c r="AH751" s="5"/>
      <c r="AI751" s="5"/>
    </row>
    <row r="752" spans="1:35" ht="15.75" customHeight="1">
      <c r="A752" s="5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5"/>
      <c r="T752" s="5"/>
      <c r="U752" s="104"/>
      <c r="V752" s="5"/>
      <c r="W752" s="5"/>
      <c r="X752" s="5"/>
      <c r="Y752" s="5"/>
      <c r="Z752" s="7"/>
      <c r="AA752" s="5"/>
      <c r="AB752" s="5"/>
      <c r="AC752" s="5"/>
      <c r="AD752" s="5"/>
      <c r="AE752" s="5"/>
      <c r="AF752" s="5"/>
      <c r="AG752" s="5"/>
      <c r="AH752" s="5"/>
      <c r="AI752" s="5"/>
    </row>
    <row r="753" spans="1:35" ht="15.75" customHeight="1">
      <c r="A753" s="5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5"/>
      <c r="T753" s="5"/>
      <c r="U753" s="104"/>
      <c r="V753" s="5"/>
      <c r="W753" s="5"/>
      <c r="X753" s="5"/>
      <c r="Y753" s="5"/>
      <c r="Z753" s="7"/>
      <c r="AA753" s="5"/>
      <c r="AB753" s="5"/>
      <c r="AC753" s="5"/>
      <c r="AD753" s="5"/>
      <c r="AE753" s="5"/>
      <c r="AF753" s="5"/>
      <c r="AG753" s="5"/>
      <c r="AH753" s="5"/>
      <c r="AI753" s="5"/>
    </row>
    <row r="754" spans="1:35" ht="15.75" customHeight="1">
      <c r="A754" s="5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5"/>
      <c r="T754" s="5"/>
      <c r="U754" s="104"/>
      <c r="V754" s="5"/>
      <c r="W754" s="5"/>
      <c r="X754" s="5"/>
      <c r="Y754" s="5"/>
      <c r="Z754" s="7"/>
      <c r="AA754" s="5"/>
      <c r="AB754" s="5"/>
      <c r="AC754" s="5"/>
      <c r="AD754" s="5"/>
      <c r="AE754" s="5"/>
      <c r="AF754" s="5"/>
      <c r="AG754" s="5"/>
      <c r="AH754" s="5"/>
      <c r="AI754" s="5"/>
    </row>
    <row r="755" spans="1:35" ht="15.75" customHeight="1">
      <c r="A755" s="5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5"/>
      <c r="T755" s="5"/>
      <c r="U755" s="104"/>
      <c r="V755" s="5"/>
      <c r="W755" s="5"/>
      <c r="X755" s="5"/>
      <c r="Y755" s="5"/>
      <c r="Z755" s="7"/>
      <c r="AA755" s="5"/>
      <c r="AB755" s="5"/>
      <c r="AC755" s="5"/>
      <c r="AD755" s="5"/>
      <c r="AE755" s="5"/>
      <c r="AF755" s="5"/>
      <c r="AG755" s="5"/>
      <c r="AH755" s="5"/>
      <c r="AI755" s="5"/>
    </row>
    <row r="756" spans="1:35" ht="15.75" customHeight="1">
      <c r="A756" s="5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5"/>
      <c r="T756" s="5"/>
      <c r="U756" s="104"/>
      <c r="V756" s="5"/>
      <c r="W756" s="5"/>
      <c r="X756" s="5"/>
      <c r="Y756" s="5"/>
      <c r="Z756" s="7"/>
      <c r="AA756" s="5"/>
      <c r="AB756" s="5"/>
      <c r="AC756" s="5"/>
      <c r="AD756" s="5"/>
      <c r="AE756" s="5"/>
      <c r="AF756" s="5"/>
      <c r="AG756" s="5"/>
      <c r="AH756" s="5"/>
      <c r="AI756" s="5"/>
    </row>
    <row r="757" spans="1:35" ht="15.75" customHeight="1">
      <c r="A757" s="5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5"/>
      <c r="T757" s="5"/>
      <c r="U757" s="104"/>
      <c r="V757" s="5"/>
      <c r="W757" s="5"/>
      <c r="X757" s="5"/>
      <c r="Y757" s="5"/>
      <c r="Z757" s="7"/>
      <c r="AA757" s="5"/>
      <c r="AB757" s="5"/>
      <c r="AC757" s="5"/>
      <c r="AD757" s="5"/>
      <c r="AE757" s="5"/>
      <c r="AF757" s="5"/>
      <c r="AG757" s="5"/>
      <c r="AH757" s="5"/>
      <c r="AI757" s="5"/>
    </row>
    <row r="758" spans="1:35" ht="15.75" customHeight="1">
      <c r="A758" s="5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5"/>
      <c r="T758" s="5"/>
      <c r="U758" s="104"/>
      <c r="V758" s="5"/>
      <c r="W758" s="5"/>
      <c r="X758" s="5"/>
      <c r="Y758" s="5"/>
      <c r="Z758" s="7"/>
      <c r="AA758" s="5"/>
      <c r="AB758" s="5"/>
      <c r="AC758" s="5"/>
      <c r="AD758" s="5"/>
      <c r="AE758" s="5"/>
      <c r="AF758" s="5"/>
      <c r="AG758" s="5"/>
      <c r="AH758" s="5"/>
      <c r="AI758" s="5"/>
    </row>
    <row r="759" spans="1:35" ht="15.75" customHeight="1">
      <c r="A759" s="5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5"/>
      <c r="T759" s="5"/>
      <c r="U759" s="104"/>
      <c r="V759" s="5"/>
      <c r="W759" s="5"/>
      <c r="X759" s="5"/>
      <c r="Y759" s="5"/>
      <c r="Z759" s="7"/>
      <c r="AA759" s="5"/>
      <c r="AB759" s="5"/>
      <c r="AC759" s="5"/>
      <c r="AD759" s="5"/>
      <c r="AE759" s="5"/>
      <c r="AF759" s="5"/>
      <c r="AG759" s="5"/>
      <c r="AH759" s="5"/>
      <c r="AI759" s="5"/>
    </row>
    <row r="760" spans="1:35" ht="15.75" customHeight="1">
      <c r="A760" s="5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5"/>
      <c r="T760" s="5"/>
      <c r="U760" s="104"/>
      <c r="V760" s="5"/>
      <c r="W760" s="5"/>
      <c r="X760" s="5"/>
      <c r="Y760" s="5"/>
      <c r="Z760" s="7"/>
      <c r="AA760" s="5"/>
      <c r="AB760" s="5"/>
      <c r="AC760" s="5"/>
      <c r="AD760" s="5"/>
      <c r="AE760" s="5"/>
      <c r="AF760" s="5"/>
      <c r="AG760" s="5"/>
      <c r="AH760" s="5"/>
      <c r="AI760" s="5"/>
    </row>
    <row r="761" spans="1:35" ht="15.75" customHeight="1">
      <c r="A761" s="5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5"/>
      <c r="T761" s="5"/>
      <c r="U761" s="104"/>
      <c r="V761" s="5"/>
      <c r="W761" s="5"/>
      <c r="X761" s="5"/>
      <c r="Y761" s="5"/>
      <c r="Z761" s="7"/>
      <c r="AA761" s="5"/>
      <c r="AB761" s="5"/>
      <c r="AC761" s="5"/>
      <c r="AD761" s="5"/>
      <c r="AE761" s="5"/>
      <c r="AF761" s="5"/>
      <c r="AG761" s="5"/>
      <c r="AH761" s="5"/>
      <c r="AI761" s="5"/>
    </row>
    <row r="762" spans="1:35" ht="15.75" customHeight="1">
      <c r="A762" s="5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5"/>
      <c r="T762" s="5"/>
      <c r="U762" s="104"/>
      <c r="V762" s="5"/>
      <c r="W762" s="5"/>
      <c r="X762" s="5"/>
      <c r="Y762" s="5"/>
      <c r="Z762" s="7"/>
      <c r="AA762" s="5"/>
      <c r="AB762" s="5"/>
      <c r="AC762" s="5"/>
      <c r="AD762" s="5"/>
      <c r="AE762" s="5"/>
      <c r="AF762" s="5"/>
      <c r="AG762" s="5"/>
      <c r="AH762" s="5"/>
      <c r="AI762" s="5"/>
    </row>
    <row r="763" spans="1:35" ht="15.75" customHeight="1">
      <c r="A763" s="5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5"/>
      <c r="T763" s="5"/>
      <c r="U763" s="104"/>
      <c r="V763" s="5"/>
      <c r="W763" s="5"/>
      <c r="X763" s="5"/>
      <c r="Y763" s="5"/>
      <c r="Z763" s="7"/>
      <c r="AA763" s="5"/>
      <c r="AB763" s="5"/>
      <c r="AC763" s="5"/>
      <c r="AD763" s="5"/>
      <c r="AE763" s="5"/>
      <c r="AF763" s="5"/>
      <c r="AG763" s="5"/>
      <c r="AH763" s="5"/>
      <c r="AI763" s="5"/>
    </row>
    <row r="764" spans="1:35" ht="15.75" customHeight="1">
      <c r="A764" s="5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5"/>
      <c r="T764" s="5"/>
      <c r="U764" s="104"/>
      <c r="V764" s="5"/>
      <c r="W764" s="5"/>
      <c r="X764" s="5"/>
      <c r="Y764" s="5"/>
      <c r="Z764" s="7"/>
      <c r="AA764" s="5"/>
      <c r="AB764" s="5"/>
      <c r="AC764" s="5"/>
      <c r="AD764" s="5"/>
      <c r="AE764" s="5"/>
      <c r="AF764" s="5"/>
      <c r="AG764" s="5"/>
      <c r="AH764" s="5"/>
      <c r="AI764" s="5"/>
    </row>
    <row r="765" spans="1:35" ht="15.75" customHeight="1">
      <c r="A765" s="5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5"/>
      <c r="T765" s="5"/>
      <c r="U765" s="104"/>
      <c r="V765" s="5"/>
      <c r="W765" s="5"/>
      <c r="X765" s="5"/>
      <c r="Y765" s="5"/>
      <c r="Z765" s="7"/>
      <c r="AA765" s="5"/>
      <c r="AB765" s="5"/>
      <c r="AC765" s="5"/>
      <c r="AD765" s="5"/>
      <c r="AE765" s="5"/>
      <c r="AF765" s="5"/>
      <c r="AG765" s="5"/>
      <c r="AH765" s="5"/>
      <c r="AI765" s="5"/>
    </row>
    <row r="766" spans="1:35" ht="15.75" customHeight="1">
      <c r="A766" s="5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5"/>
      <c r="T766" s="5"/>
      <c r="U766" s="104"/>
      <c r="V766" s="5"/>
      <c r="W766" s="5"/>
      <c r="X766" s="5"/>
      <c r="Y766" s="5"/>
      <c r="Z766" s="7"/>
      <c r="AA766" s="5"/>
      <c r="AB766" s="5"/>
      <c r="AC766" s="5"/>
      <c r="AD766" s="5"/>
      <c r="AE766" s="5"/>
      <c r="AF766" s="5"/>
      <c r="AG766" s="5"/>
      <c r="AH766" s="5"/>
      <c r="AI766" s="5"/>
    </row>
    <row r="767" spans="1:35" ht="15.75" customHeight="1">
      <c r="A767" s="5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5"/>
      <c r="T767" s="5"/>
      <c r="U767" s="104"/>
      <c r="V767" s="5"/>
      <c r="W767" s="5"/>
      <c r="X767" s="5"/>
      <c r="Y767" s="5"/>
      <c r="Z767" s="7"/>
      <c r="AA767" s="5"/>
      <c r="AB767" s="5"/>
      <c r="AC767" s="5"/>
      <c r="AD767" s="5"/>
      <c r="AE767" s="5"/>
      <c r="AF767" s="5"/>
      <c r="AG767" s="5"/>
      <c r="AH767" s="5"/>
      <c r="AI767" s="5"/>
    </row>
    <row r="768" spans="1:35" ht="15.75" customHeight="1">
      <c r="A768" s="5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5"/>
      <c r="T768" s="5"/>
      <c r="U768" s="104"/>
      <c r="V768" s="5"/>
      <c r="W768" s="5"/>
      <c r="X768" s="5"/>
      <c r="Y768" s="5"/>
      <c r="Z768" s="7"/>
      <c r="AA768" s="5"/>
      <c r="AB768" s="5"/>
      <c r="AC768" s="5"/>
      <c r="AD768" s="5"/>
      <c r="AE768" s="5"/>
      <c r="AF768" s="5"/>
      <c r="AG768" s="5"/>
      <c r="AH768" s="5"/>
      <c r="AI768" s="5"/>
    </row>
    <row r="769" spans="1:35" ht="15.75" customHeight="1">
      <c r="A769" s="5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5"/>
      <c r="T769" s="5"/>
      <c r="U769" s="104"/>
      <c r="V769" s="5"/>
      <c r="W769" s="5"/>
      <c r="X769" s="5"/>
      <c r="Y769" s="5"/>
      <c r="Z769" s="7"/>
      <c r="AA769" s="5"/>
      <c r="AB769" s="5"/>
      <c r="AC769" s="5"/>
      <c r="AD769" s="5"/>
      <c r="AE769" s="5"/>
      <c r="AF769" s="5"/>
      <c r="AG769" s="5"/>
      <c r="AH769" s="5"/>
      <c r="AI769" s="5"/>
    </row>
    <row r="770" spans="1:35" ht="15.75" customHeight="1">
      <c r="A770" s="5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5"/>
      <c r="T770" s="5"/>
      <c r="U770" s="104"/>
      <c r="V770" s="5"/>
      <c r="W770" s="5"/>
      <c r="X770" s="5"/>
      <c r="Y770" s="5"/>
      <c r="Z770" s="7"/>
      <c r="AA770" s="5"/>
      <c r="AB770" s="5"/>
      <c r="AC770" s="5"/>
      <c r="AD770" s="5"/>
      <c r="AE770" s="5"/>
      <c r="AF770" s="5"/>
      <c r="AG770" s="5"/>
      <c r="AH770" s="5"/>
      <c r="AI770" s="5"/>
    </row>
    <row r="771" spans="1:35" ht="15.75" customHeight="1">
      <c r="A771" s="5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5"/>
      <c r="T771" s="5"/>
      <c r="U771" s="104"/>
      <c r="V771" s="5"/>
      <c r="W771" s="5"/>
      <c r="X771" s="5"/>
      <c r="Y771" s="5"/>
      <c r="Z771" s="7"/>
      <c r="AA771" s="5"/>
      <c r="AB771" s="5"/>
      <c r="AC771" s="5"/>
      <c r="AD771" s="5"/>
      <c r="AE771" s="5"/>
      <c r="AF771" s="5"/>
      <c r="AG771" s="5"/>
      <c r="AH771" s="5"/>
      <c r="AI771" s="5"/>
    </row>
    <row r="772" spans="1:35" ht="15.75" customHeight="1">
      <c r="A772" s="5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5"/>
      <c r="T772" s="5"/>
      <c r="U772" s="104"/>
      <c r="V772" s="5"/>
      <c r="W772" s="5"/>
      <c r="X772" s="5"/>
      <c r="Y772" s="5"/>
      <c r="Z772" s="7"/>
      <c r="AA772" s="5"/>
      <c r="AB772" s="5"/>
      <c r="AC772" s="5"/>
      <c r="AD772" s="5"/>
      <c r="AE772" s="5"/>
      <c r="AF772" s="5"/>
      <c r="AG772" s="5"/>
      <c r="AH772" s="5"/>
      <c r="AI772" s="5"/>
    </row>
    <row r="773" spans="1:35" ht="15.75" customHeight="1">
      <c r="A773" s="5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5"/>
      <c r="T773" s="5"/>
      <c r="U773" s="104"/>
      <c r="V773" s="5"/>
      <c r="W773" s="5"/>
      <c r="X773" s="5"/>
      <c r="Y773" s="5"/>
      <c r="Z773" s="7"/>
      <c r="AA773" s="5"/>
      <c r="AB773" s="5"/>
      <c r="AC773" s="5"/>
      <c r="AD773" s="5"/>
      <c r="AE773" s="5"/>
      <c r="AF773" s="5"/>
      <c r="AG773" s="5"/>
      <c r="AH773" s="5"/>
      <c r="AI773" s="5"/>
    </row>
    <row r="774" spans="1:35" ht="15.75" customHeight="1">
      <c r="A774" s="5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5"/>
      <c r="T774" s="5"/>
      <c r="U774" s="104"/>
      <c r="V774" s="5"/>
      <c r="W774" s="5"/>
      <c r="X774" s="5"/>
      <c r="Y774" s="5"/>
      <c r="Z774" s="7"/>
      <c r="AA774" s="5"/>
      <c r="AB774" s="5"/>
      <c r="AC774" s="5"/>
      <c r="AD774" s="5"/>
      <c r="AE774" s="5"/>
      <c r="AF774" s="5"/>
      <c r="AG774" s="5"/>
      <c r="AH774" s="5"/>
      <c r="AI774" s="5"/>
    </row>
    <row r="775" spans="1:35" ht="15.75" customHeight="1">
      <c r="A775" s="5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5"/>
      <c r="T775" s="5"/>
      <c r="U775" s="104"/>
      <c r="V775" s="5"/>
      <c r="W775" s="5"/>
      <c r="X775" s="5"/>
      <c r="Y775" s="5"/>
      <c r="Z775" s="7"/>
      <c r="AA775" s="5"/>
      <c r="AB775" s="5"/>
      <c r="AC775" s="5"/>
      <c r="AD775" s="5"/>
      <c r="AE775" s="5"/>
      <c r="AF775" s="5"/>
      <c r="AG775" s="5"/>
      <c r="AH775" s="5"/>
      <c r="AI775" s="5"/>
    </row>
    <row r="776" spans="1:35" ht="15.75" customHeight="1">
      <c r="A776" s="5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5"/>
      <c r="T776" s="5"/>
      <c r="U776" s="104"/>
      <c r="V776" s="5"/>
      <c r="W776" s="5"/>
      <c r="X776" s="5"/>
      <c r="Y776" s="5"/>
      <c r="Z776" s="7"/>
      <c r="AA776" s="5"/>
      <c r="AB776" s="5"/>
      <c r="AC776" s="5"/>
      <c r="AD776" s="5"/>
      <c r="AE776" s="5"/>
      <c r="AF776" s="5"/>
      <c r="AG776" s="5"/>
      <c r="AH776" s="5"/>
      <c r="AI776" s="5"/>
    </row>
    <row r="777" spans="1:35" ht="15.75" customHeight="1">
      <c r="A777" s="5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5"/>
      <c r="T777" s="5"/>
      <c r="U777" s="104"/>
      <c r="V777" s="5"/>
      <c r="W777" s="5"/>
      <c r="X777" s="5"/>
      <c r="Y777" s="5"/>
      <c r="Z777" s="7"/>
      <c r="AA777" s="5"/>
      <c r="AB777" s="5"/>
      <c r="AC777" s="5"/>
      <c r="AD777" s="5"/>
      <c r="AE777" s="5"/>
      <c r="AF777" s="5"/>
      <c r="AG777" s="5"/>
      <c r="AH777" s="5"/>
      <c r="AI777" s="5"/>
    </row>
    <row r="778" spans="1:35" ht="15.75" customHeight="1">
      <c r="A778" s="5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5"/>
      <c r="T778" s="5"/>
      <c r="U778" s="104"/>
      <c r="V778" s="5"/>
      <c r="W778" s="5"/>
      <c r="X778" s="5"/>
      <c r="Y778" s="5"/>
      <c r="Z778" s="7"/>
      <c r="AA778" s="5"/>
      <c r="AB778" s="5"/>
      <c r="AC778" s="5"/>
      <c r="AD778" s="5"/>
      <c r="AE778" s="5"/>
      <c r="AF778" s="5"/>
      <c r="AG778" s="5"/>
      <c r="AH778" s="5"/>
      <c r="AI778" s="5"/>
    </row>
    <row r="779" spans="1:35" ht="15.75" customHeight="1">
      <c r="A779" s="5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5"/>
      <c r="T779" s="5"/>
      <c r="U779" s="104"/>
      <c r="V779" s="5"/>
      <c r="W779" s="5"/>
      <c r="X779" s="5"/>
      <c r="Y779" s="5"/>
      <c r="Z779" s="7"/>
      <c r="AA779" s="5"/>
      <c r="AB779" s="5"/>
      <c r="AC779" s="5"/>
      <c r="AD779" s="5"/>
      <c r="AE779" s="5"/>
      <c r="AF779" s="5"/>
      <c r="AG779" s="5"/>
      <c r="AH779" s="5"/>
      <c r="AI779" s="5"/>
    </row>
    <row r="780" spans="1:35" ht="15.75" customHeight="1">
      <c r="A780" s="5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5"/>
      <c r="T780" s="5"/>
      <c r="U780" s="104"/>
      <c r="V780" s="5"/>
      <c r="W780" s="5"/>
      <c r="X780" s="5"/>
      <c r="Y780" s="5"/>
      <c r="Z780" s="7"/>
      <c r="AA780" s="5"/>
      <c r="AB780" s="5"/>
      <c r="AC780" s="5"/>
      <c r="AD780" s="5"/>
      <c r="AE780" s="5"/>
      <c r="AF780" s="5"/>
      <c r="AG780" s="5"/>
      <c r="AH780" s="5"/>
      <c r="AI780" s="5"/>
    </row>
    <row r="781" spans="1:35" ht="15.75" customHeight="1">
      <c r="A781" s="5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5"/>
      <c r="T781" s="5"/>
      <c r="U781" s="104"/>
      <c r="V781" s="5"/>
      <c r="W781" s="5"/>
      <c r="X781" s="5"/>
      <c r="Y781" s="5"/>
      <c r="Z781" s="7"/>
      <c r="AA781" s="5"/>
      <c r="AB781" s="5"/>
      <c r="AC781" s="5"/>
      <c r="AD781" s="5"/>
      <c r="AE781" s="5"/>
      <c r="AF781" s="5"/>
      <c r="AG781" s="5"/>
      <c r="AH781" s="5"/>
      <c r="AI781" s="5"/>
    </row>
    <row r="782" spans="1:35" ht="15.75" customHeight="1">
      <c r="A782" s="5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5"/>
      <c r="T782" s="5"/>
      <c r="U782" s="104"/>
      <c r="V782" s="5"/>
      <c r="W782" s="5"/>
      <c r="X782" s="5"/>
      <c r="Y782" s="5"/>
      <c r="Z782" s="7"/>
      <c r="AA782" s="5"/>
      <c r="AB782" s="5"/>
      <c r="AC782" s="5"/>
      <c r="AD782" s="5"/>
      <c r="AE782" s="5"/>
      <c r="AF782" s="5"/>
      <c r="AG782" s="5"/>
      <c r="AH782" s="5"/>
      <c r="AI782" s="5"/>
    </row>
    <row r="783" spans="1:35" ht="15.75" customHeight="1">
      <c r="A783" s="5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5"/>
      <c r="T783" s="5"/>
      <c r="U783" s="104"/>
      <c r="V783" s="5"/>
      <c r="W783" s="5"/>
      <c r="X783" s="5"/>
      <c r="Y783" s="5"/>
      <c r="Z783" s="7"/>
      <c r="AA783" s="5"/>
      <c r="AB783" s="5"/>
      <c r="AC783" s="5"/>
      <c r="AD783" s="5"/>
      <c r="AE783" s="5"/>
      <c r="AF783" s="5"/>
      <c r="AG783" s="5"/>
      <c r="AH783" s="5"/>
      <c r="AI783" s="5"/>
    </row>
    <row r="784" spans="1:35" ht="15.75" customHeight="1">
      <c r="A784" s="5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5"/>
      <c r="T784" s="5"/>
      <c r="U784" s="104"/>
      <c r="V784" s="5"/>
      <c r="W784" s="5"/>
      <c r="X784" s="5"/>
      <c r="Y784" s="5"/>
      <c r="Z784" s="7"/>
      <c r="AA784" s="5"/>
      <c r="AB784" s="5"/>
      <c r="AC784" s="5"/>
      <c r="AD784" s="5"/>
      <c r="AE784" s="5"/>
      <c r="AF784" s="5"/>
      <c r="AG784" s="5"/>
      <c r="AH784" s="5"/>
      <c r="AI784" s="5"/>
    </row>
    <row r="785" spans="1:35" ht="15.75" customHeight="1">
      <c r="A785" s="5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5"/>
      <c r="T785" s="5"/>
      <c r="U785" s="104"/>
      <c r="V785" s="5"/>
      <c r="W785" s="5"/>
      <c r="X785" s="5"/>
      <c r="Y785" s="5"/>
      <c r="Z785" s="7"/>
      <c r="AA785" s="5"/>
      <c r="AB785" s="5"/>
      <c r="AC785" s="5"/>
      <c r="AD785" s="5"/>
      <c r="AE785" s="5"/>
      <c r="AF785" s="5"/>
      <c r="AG785" s="5"/>
      <c r="AH785" s="5"/>
      <c r="AI785" s="5"/>
    </row>
    <row r="786" spans="1:35" ht="15.75" customHeight="1">
      <c r="A786" s="5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5"/>
      <c r="T786" s="5"/>
      <c r="U786" s="104"/>
      <c r="V786" s="5"/>
      <c r="W786" s="5"/>
      <c r="X786" s="5"/>
      <c r="Y786" s="5"/>
      <c r="Z786" s="7"/>
      <c r="AA786" s="5"/>
      <c r="AB786" s="5"/>
      <c r="AC786" s="5"/>
      <c r="AD786" s="5"/>
      <c r="AE786" s="5"/>
      <c r="AF786" s="5"/>
      <c r="AG786" s="5"/>
      <c r="AH786" s="5"/>
      <c r="AI786" s="5"/>
    </row>
    <row r="787" spans="1:35" ht="15.75" customHeight="1">
      <c r="A787" s="5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5"/>
      <c r="T787" s="5"/>
      <c r="U787" s="104"/>
      <c r="V787" s="5"/>
      <c r="W787" s="5"/>
      <c r="X787" s="5"/>
      <c r="Y787" s="5"/>
      <c r="Z787" s="7"/>
      <c r="AA787" s="5"/>
      <c r="AB787" s="5"/>
      <c r="AC787" s="5"/>
      <c r="AD787" s="5"/>
      <c r="AE787" s="5"/>
      <c r="AF787" s="5"/>
      <c r="AG787" s="5"/>
      <c r="AH787" s="5"/>
      <c r="AI787" s="5"/>
    </row>
    <row r="788" spans="1:35" ht="15.75" customHeight="1">
      <c r="A788" s="5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5"/>
      <c r="T788" s="5"/>
      <c r="U788" s="104"/>
      <c r="V788" s="5"/>
      <c r="W788" s="5"/>
      <c r="X788" s="5"/>
      <c r="Y788" s="5"/>
      <c r="Z788" s="7"/>
      <c r="AA788" s="5"/>
      <c r="AB788" s="5"/>
      <c r="AC788" s="5"/>
      <c r="AD788" s="5"/>
      <c r="AE788" s="5"/>
      <c r="AF788" s="5"/>
      <c r="AG788" s="5"/>
      <c r="AH788" s="5"/>
      <c r="AI788" s="5"/>
    </row>
    <row r="789" spans="1:35" ht="15.75" customHeight="1">
      <c r="A789" s="5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5"/>
      <c r="T789" s="5"/>
      <c r="U789" s="104"/>
      <c r="V789" s="5"/>
      <c r="W789" s="5"/>
      <c r="X789" s="5"/>
      <c r="Y789" s="5"/>
      <c r="Z789" s="7"/>
      <c r="AA789" s="5"/>
      <c r="AB789" s="5"/>
      <c r="AC789" s="5"/>
      <c r="AD789" s="5"/>
      <c r="AE789" s="5"/>
      <c r="AF789" s="5"/>
      <c r="AG789" s="5"/>
      <c r="AH789" s="5"/>
      <c r="AI789" s="5"/>
    </row>
    <row r="790" spans="1:35" ht="15.75" customHeight="1">
      <c r="A790" s="5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5"/>
      <c r="T790" s="5"/>
      <c r="U790" s="104"/>
      <c r="V790" s="5"/>
      <c r="W790" s="5"/>
      <c r="X790" s="5"/>
      <c r="Y790" s="5"/>
      <c r="Z790" s="7"/>
      <c r="AA790" s="5"/>
      <c r="AB790" s="5"/>
      <c r="AC790" s="5"/>
      <c r="AD790" s="5"/>
      <c r="AE790" s="5"/>
      <c r="AF790" s="5"/>
      <c r="AG790" s="5"/>
      <c r="AH790" s="5"/>
      <c r="AI790" s="5"/>
    </row>
    <row r="791" spans="1:35" ht="15.75" customHeight="1">
      <c r="A791" s="5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5"/>
      <c r="T791" s="5"/>
      <c r="U791" s="104"/>
      <c r="V791" s="5"/>
      <c r="W791" s="5"/>
      <c r="X791" s="5"/>
      <c r="Y791" s="5"/>
      <c r="Z791" s="7"/>
      <c r="AA791" s="5"/>
      <c r="AB791" s="5"/>
      <c r="AC791" s="5"/>
      <c r="AD791" s="5"/>
      <c r="AE791" s="5"/>
      <c r="AF791" s="5"/>
      <c r="AG791" s="5"/>
      <c r="AH791" s="5"/>
      <c r="AI791" s="5"/>
    </row>
    <row r="792" spans="1:35" ht="15.75" customHeight="1">
      <c r="A792" s="5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5"/>
      <c r="T792" s="5"/>
      <c r="U792" s="104"/>
      <c r="V792" s="5"/>
      <c r="W792" s="5"/>
      <c r="X792" s="5"/>
      <c r="Y792" s="5"/>
      <c r="Z792" s="7"/>
      <c r="AA792" s="5"/>
      <c r="AB792" s="5"/>
      <c r="AC792" s="5"/>
      <c r="AD792" s="5"/>
      <c r="AE792" s="5"/>
      <c r="AF792" s="5"/>
      <c r="AG792" s="5"/>
      <c r="AH792" s="5"/>
      <c r="AI792" s="5"/>
    </row>
    <row r="793" spans="1:35" ht="15.75" customHeight="1">
      <c r="A793" s="5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5"/>
      <c r="T793" s="5"/>
      <c r="U793" s="104"/>
      <c r="V793" s="5"/>
      <c r="W793" s="5"/>
      <c r="X793" s="5"/>
      <c r="Y793" s="5"/>
      <c r="Z793" s="7"/>
      <c r="AA793" s="5"/>
      <c r="AB793" s="5"/>
      <c r="AC793" s="5"/>
      <c r="AD793" s="5"/>
      <c r="AE793" s="5"/>
      <c r="AF793" s="5"/>
      <c r="AG793" s="5"/>
      <c r="AH793" s="5"/>
      <c r="AI793" s="5"/>
    </row>
    <row r="794" spans="1:35" ht="15.75" customHeight="1">
      <c r="A794" s="5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5"/>
      <c r="T794" s="5"/>
      <c r="U794" s="104"/>
      <c r="V794" s="5"/>
      <c r="W794" s="5"/>
      <c r="X794" s="5"/>
      <c r="Y794" s="5"/>
      <c r="Z794" s="7"/>
      <c r="AA794" s="5"/>
      <c r="AB794" s="5"/>
      <c r="AC794" s="5"/>
      <c r="AD794" s="5"/>
      <c r="AE794" s="5"/>
      <c r="AF794" s="5"/>
      <c r="AG794" s="5"/>
      <c r="AH794" s="5"/>
      <c r="AI794" s="5"/>
    </row>
    <row r="795" spans="1:35" ht="15.75" customHeight="1">
      <c r="A795" s="5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5"/>
      <c r="T795" s="5"/>
      <c r="U795" s="104"/>
      <c r="V795" s="5"/>
      <c r="W795" s="5"/>
      <c r="X795" s="5"/>
      <c r="Y795" s="5"/>
      <c r="Z795" s="7"/>
      <c r="AA795" s="5"/>
      <c r="AB795" s="5"/>
      <c r="AC795" s="5"/>
      <c r="AD795" s="5"/>
      <c r="AE795" s="5"/>
      <c r="AF795" s="5"/>
      <c r="AG795" s="5"/>
      <c r="AH795" s="5"/>
      <c r="AI795" s="5"/>
    </row>
    <row r="796" spans="1:35" ht="15.75" customHeight="1">
      <c r="A796" s="5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5"/>
      <c r="T796" s="5"/>
      <c r="U796" s="104"/>
      <c r="V796" s="5"/>
      <c r="W796" s="5"/>
      <c r="X796" s="5"/>
      <c r="Y796" s="5"/>
      <c r="Z796" s="7"/>
      <c r="AA796" s="5"/>
      <c r="AB796" s="5"/>
      <c r="AC796" s="5"/>
      <c r="AD796" s="5"/>
      <c r="AE796" s="5"/>
      <c r="AF796" s="5"/>
      <c r="AG796" s="5"/>
      <c r="AH796" s="5"/>
      <c r="AI796" s="5"/>
    </row>
    <row r="797" spans="1:35" ht="15.75" customHeight="1">
      <c r="A797" s="5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5"/>
      <c r="T797" s="5"/>
      <c r="U797" s="104"/>
      <c r="V797" s="5"/>
      <c r="W797" s="5"/>
      <c r="X797" s="5"/>
      <c r="Y797" s="5"/>
      <c r="Z797" s="7"/>
      <c r="AA797" s="5"/>
      <c r="AB797" s="5"/>
      <c r="AC797" s="5"/>
      <c r="AD797" s="5"/>
      <c r="AE797" s="5"/>
      <c r="AF797" s="5"/>
      <c r="AG797" s="5"/>
      <c r="AH797" s="5"/>
      <c r="AI797" s="5"/>
    </row>
    <row r="798" spans="1:35" ht="15.75" customHeight="1">
      <c r="A798" s="5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5"/>
      <c r="T798" s="5"/>
      <c r="U798" s="104"/>
      <c r="V798" s="5"/>
      <c r="W798" s="5"/>
      <c r="X798" s="5"/>
      <c r="Y798" s="5"/>
      <c r="Z798" s="7"/>
      <c r="AA798" s="5"/>
      <c r="AB798" s="5"/>
      <c r="AC798" s="5"/>
      <c r="AD798" s="5"/>
      <c r="AE798" s="5"/>
      <c r="AF798" s="5"/>
      <c r="AG798" s="5"/>
      <c r="AH798" s="5"/>
      <c r="AI798" s="5"/>
    </row>
    <row r="799" spans="1:35" ht="15.75" customHeight="1">
      <c r="A799" s="5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5"/>
      <c r="T799" s="5"/>
      <c r="U799" s="104"/>
      <c r="V799" s="5"/>
      <c r="W799" s="5"/>
      <c r="X799" s="5"/>
      <c r="Y799" s="5"/>
      <c r="Z799" s="7"/>
      <c r="AA799" s="5"/>
      <c r="AB799" s="5"/>
      <c r="AC799" s="5"/>
      <c r="AD799" s="5"/>
      <c r="AE799" s="5"/>
      <c r="AF799" s="5"/>
      <c r="AG799" s="5"/>
      <c r="AH799" s="5"/>
      <c r="AI799" s="5"/>
    </row>
    <row r="800" spans="1:35" ht="15.75" customHeight="1">
      <c r="A800" s="5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5"/>
      <c r="T800" s="5"/>
      <c r="U800" s="104"/>
      <c r="V800" s="5"/>
      <c r="W800" s="5"/>
      <c r="X800" s="5"/>
      <c r="Y800" s="5"/>
      <c r="Z800" s="7"/>
      <c r="AA800" s="5"/>
      <c r="AB800" s="5"/>
      <c r="AC800" s="5"/>
      <c r="AD800" s="5"/>
      <c r="AE800" s="5"/>
      <c r="AF800" s="5"/>
      <c r="AG800" s="5"/>
      <c r="AH800" s="5"/>
      <c r="AI800" s="5"/>
    </row>
    <row r="801" spans="1:35" ht="15.75" customHeight="1">
      <c r="A801" s="5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5"/>
      <c r="T801" s="5"/>
      <c r="U801" s="104"/>
      <c r="V801" s="5"/>
      <c r="W801" s="5"/>
      <c r="X801" s="5"/>
      <c r="Y801" s="5"/>
      <c r="Z801" s="7"/>
      <c r="AA801" s="5"/>
      <c r="AB801" s="5"/>
      <c r="AC801" s="5"/>
      <c r="AD801" s="5"/>
      <c r="AE801" s="5"/>
      <c r="AF801" s="5"/>
      <c r="AG801" s="5"/>
      <c r="AH801" s="5"/>
      <c r="AI801" s="5"/>
    </row>
    <row r="802" spans="1:35" ht="15.75" customHeight="1">
      <c r="A802" s="5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5"/>
      <c r="T802" s="5"/>
      <c r="U802" s="104"/>
      <c r="V802" s="5"/>
      <c r="W802" s="5"/>
      <c r="X802" s="5"/>
      <c r="Y802" s="5"/>
      <c r="Z802" s="7"/>
      <c r="AA802" s="5"/>
      <c r="AB802" s="5"/>
      <c r="AC802" s="5"/>
      <c r="AD802" s="5"/>
      <c r="AE802" s="5"/>
      <c r="AF802" s="5"/>
      <c r="AG802" s="5"/>
      <c r="AH802" s="5"/>
      <c r="AI802" s="5"/>
    </row>
    <row r="803" spans="1:35" ht="15.75" customHeight="1">
      <c r="A803" s="5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5"/>
      <c r="T803" s="5"/>
      <c r="U803" s="104"/>
      <c r="V803" s="5"/>
      <c r="W803" s="5"/>
      <c r="X803" s="5"/>
      <c r="Y803" s="5"/>
      <c r="Z803" s="7"/>
      <c r="AA803" s="5"/>
      <c r="AB803" s="5"/>
      <c r="AC803" s="5"/>
      <c r="AD803" s="5"/>
      <c r="AE803" s="5"/>
      <c r="AF803" s="5"/>
      <c r="AG803" s="5"/>
      <c r="AH803" s="5"/>
      <c r="AI803" s="5"/>
    </row>
    <row r="804" spans="1:35" ht="15.75" customHeight="1">
      <c r="A804" s="5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5"/>
      <c r="T804" s="5"/>
      <c r="U804" s="104"/>
      <c r="V804" s="5"/>
      <c r="W804" s="5"/>
      <c r="X804" s="5"/>
      <c r="Y804" s="5"/>
      <c r="Z804" s="7"/>
      <c r="AA804" s="5"/>
      <c r="AB804" s="5"/>
      <c r="AC804" s="5"/>
      <c r="AD804" s="5"/>
      <c r="AE804" s="5"/>
      <c r="AF804" s="5"/>
      <c r="AG804" s="5"/>
      <c r="AH804" s="5"/>
      <c r="AI804" s="5"/>
    </row>
    <row r="805" spans="1:35" ht="15.75" customHeight="1">
      <c r="A805" s="5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5"/>
      <c r="T805" s="5"/>
      <c r="U805" s="104"/>
      <c r="V805" s="5"/>
      <c r="W805" s="5"/>
      <c r="X805" s="5"/>
      <c r="Y805" s="5"/>
      <c r="Z805" s="7"/>
      <c r="AA805" s="5"/>
      <c r="AB805" s="5"/>
      <c r="AC805" s="5"/>
      <c r="AD805" s="5"/>
      <c r="AE805" s="5"/>
      <c r="AF805" s="5"/>
      <c r="AG805" s="5"/>
      <c r="AH805" s="5"/>
      <c r="AI805" s="5"/>
    </row>
    <row r="806" spans="1:35" ht="15.75" customHeight="1">
      <c r="A806" s="5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5"/>
      <c r="T806" s="5"/>
      <c r="U806" s="104"/>
      <c r="V806" s="5"/>
      <c r="W806" s="5"/>
      <c r="X806" s="5"/>
      <c r="Y806" s="5"/>
      <c r="Z806" s="7"/>
      <c r="AA806" s="5"/>
      <c r="AB806" s="5"/>
      <c r="AC806" s="5"/>
      <c r="AD806" s="5"/>
      <c r="AE806" s="5"/>
      <c r="AF806" s="5"/>
      <c r="AG806" s="5"/>
      <c r="AH806" s="5"/>
      <c r="AI806" s="5"/>
    </row>
    <row r="807" spans="1:35" ht="15.75" customHeight="1">
      <c r="A807" s="5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5"/>
      <c r="T807" s="5"/>
      <c r="U807" s="104"/>
      <c r="V807" s="5"/>
      <c r="W807" s="5"/>
      <c r="X807" s="5"/>
      <c r="Y807" s="5"/>
      <c r="Z807" s="7"/>
      <c r="AA807" s="5"/>
      <c r="AB807" s="5"/>
      <c r="AC807" s="5"/>
      <c r="AD807" s="5"/>
      <c r="AE807" s="5"/>
      <c r="AF807" s="5"/>
      <c r="AG807" s="5"/>
      <c r="AH807" s="5"/>
      <c r="AI807" s="5"/>
    </row>
    <row r="808" spans="1:35" ht="15.75" customHeight="1">
      <c r="A808" s="5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5"/>
      <c r="T808" s="5"/>
      <c r="U808" s="104"/>
      <c r="V808" s="5"/>
      <c r="W808" s="5"/>
      <c r="X808" s="5"/>
      <c r="Y808" s="5"/>
      <c r="Z808" s="7"/>
      <c r="AA808" s="5"/>
      <c r="AB808" s="5"/>
      <c r="AC808" s="5"/>
      <c r="AD808" s="5"/>
      <c r="AE808" s="5"/>
      <c r="AF808" s="5"/>
      <c r="AG808" s="5"/>
      <c r="AH808" s="5"/>
      <c r="AI808" s="5"/>
    </row>
    <row r="809" spans="1:35" ht="15.75" customHeight="1">
      <c r="A809" s="5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5"/>
      <c r="T809" s="5"/>
      <c r="U809" s="104"/>
      <c r="V809" s="5"/>
      <c r="W809" s="5"/>
      <c r="X809" s="5"/>
      <c r="Y809" s="5"/>
      <c r="Z809" s="7"/>
      <c r="AA809" s="5"/>
      <c r="AB809" s="5"/>
      <c r="AC809" s="5"/>
      <c r="AD809" s="5"/>
      <c r="AE809" s="5"/>
      <c r="AF809" s="5"/>
      <c r="AG809" s="5"/>
      <c r="AH809" s="5"/>
      <c r="AI809" s="5"/>
    </row>
    <row r="810" spans="1:35" ht="15.75" customHeight="1">
      <c r="A810" s="5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5"/>
      <c r="T810" s="5"/>
      <c r="U810" s="104"/>
      <c r="V810" s="5"/>
      <c r="W810" s="5"/>
      <c r="X810" s="5"/>
      <c r="Y810" s="5"/>
      <c r="Z810" s="7"/>
      <c r="AA810" s="5"/>
      <c r="AB810" s="5"/>
      <c r="AC810" s="5"/>
      <c r="AD810" s="5"/>
      <c r="AE810" s="5"/>
      <c r="AF810" s="5"/>
      <c r="AG810" s="5"/>
      <c r="AH810" s="5"/>
      <c r="AI810" s="5"/>
    </row>
    <row r="811" spans="1:35" ht="15.75" customHeight="1">
      <c r="A811" s="5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5"/>
      <c r="T811" s="5"/>
      <c r="U811" s="104"/>
      <c r="V811" s="5"/>
      <c r="W811" s="5"/>
      <c r="X811" s="5"/>
      <c r="Y811" s="5"/>
      <c r="Z811" s="7"/>
      <c r="AA811" s="5"/>
      <c r="AB811" s="5"/>
      <c r="AC811" s="5"/>
      <c r="AD811" s="5"/>
      <c r="AE811" s="5"/>
      <c r="AF811" s="5"/>
      <c r="AG811" s="5"/>
      <c r="AH811" s="5"/>
      <c r="AI811" s="5"/>
    </row>
    <row r="812" spans="1:35" ht="15.75" customHeight="1">
      <c r="A812" s="5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5"/>
      <c r="T812" s="5"/>
      <c r="U812" s="104"/>
      <c r="V812" s="5"/>
      <c r="W812" s="5"/>
      <c r="X812" s="5"/>
      <c r="Y812" s="5"/>
      <c r="Z812" s="7"/>
      <c r="AA812" s="5"/>
      <c r="AB812" s="5"/>
      <c r="AC812" s="5"/>
      <c r="AD812" s="5"/>
      <c r="AE812" s="5"/>
      <c r="AF812" s="5"/>
      <c r="AG812" s="5"/>
      <c r="AH812" s="5"/>
      <c r="AI812" s="5"/>
    </row>
    <row r="813" spans="1:35" ht="15.75" customHeight="1">
      <c r="A813" s="5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5"/>
      <c r="T813" s="5"/>
      <c r="U813" s="104"/>
      <c r="V813" s="5"/>
      <c r="W813" s="5"/>
      <c r="X813" s="5"/>
      <c r="Y813" s="5"/>
      <c r="Z813" s="7"/>
      <c r="AA813" s="5"/>
      <c r="AB813" s="5"/>
      <c r="AC813" s="5"/>
      <c r="AD813" s="5"/>
      <c r="AE813" s="5"/>
      <c r="AF813" s="5"/>
      <c r="AG813" s="5"/>
      <c r="AH813" s="5"/>
      <c r="AI813" s="5"/>
    </row>
    <row r="814" spans="1:35" ht="15.75" customHeight="1">
      <c r="A814" s="5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5"/>
      <c r="T814" s="5"/>
      <c r="U814" s="104"/>
      <c r="V814" s="5"/>
      <c r="W814" s="5"/>
      <c r="X814" s="5"/>
      <c r="Y814" s="5"/>
      <c r="Z814" s="7"/>
      <c r="AA814" s="5"/>
      <c r="AB814" s="5"/>
      <c r="AC814" s="5"/>
      <c r="AD814" s="5"/>
      <c r="AE814" s="5"/>
      <c r="AF814" s="5"/>
      <c r="AG814" s="5"/>
      <c r="AH814" s="5"/>
      <c r="AI814" s="5"/>
    </row>
    <row r="815" spans="1:35" ht="15.75" customHeight="1">
      <c r="A815" s="5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5"/>
      <c r="T815" s="5"/>
      <c r="U815" s="104"/>
      <c r="V815" s="5"/>
      <c r="W815" s="5"/>
      <c r="X815" s="5"/>
      <c r="Y815" s="5"/>
      <c r="Z815" s="7"/>
      <c r="AA815" s="5"/>
      <c r="AB815" s="5"/>
      <c r="AC815" s="5"/>
      <c r="AD815" s="5"/>
      <c r="AE815" s="5"/>
      <c r="AF815" s="5"/>
      <c r="AG815" s="5"/>
      <c r="AH815" s="5"/>
      <c r="AI815" s="5"/>
    </row>
    <row r="816" spans="1:35" ht="15.75" customHeight="1">
      <c r="A816" s="5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5"/>
      <c r="T816" s="5"/>
      <c r="U816" s="104"/>
      <c r="V816" s="5"/>
      <c r="W816" s="5"/>
      <c r="X816" s="5"/>
      <c r="Y816" s="5"/>
      <c r="Z816" s="7"/>
      <c r="AA816" s="5"/>
      <c r="AB816" s="5"/>
      <c r="AC816" s="5"/>
      <c r="AD816" s="5"/>
      <c r="AE816" s="5"/>
      <c r="AF816" s="5"/>
      <c r="AG816" s="5"/>
      <c r="AH816" s="5"/>
      <c r="AI816" s="5"/>
    </row>
    <row r="817" spans="1:35" ht="15.75" customHeight="1">
      <c r="A817" s="5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5"/>
      <c r="T817" s="5"/>
      <c r="U817" s="104"/>
      <c r="V817" s="5"/>
      <c r="W817" s="5"/>
      <c r="X817" s="5"/>
      <c r="Y817" s="5"/>
      <c r="Z817" s="7"/>
      <c r="AA817" s="5"/>
      <c r="AB817" s="5"/>
      <c r="AC817" s="5"/>
      <c r="AD817" s="5"/>
      <c r="AE817" s="5"/>
      <c r="AF817" s="5"/>
      <c r="AG817" s="5"/>
      <c r="AH817" s="5"/>
      <c r="AI817" s="5"/>
    </row>
    <row r="818" spans="1:35" ht="15.75" customHeight="1">
      <c r="A818" s="5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5"/>
      <c r="T818" s="5"/>
      <c r="U818" s="104"/>
      <c r="V818" s="5"/>
      <c r="W818" s="5"/>
      <c r="X818" s="5"/>
      <c r="Y818" s="5"/>
      <c r="Z818" s="7"/>
      <c r="AA818" s="5"/>
      <c r="AB818" s="5"/>
      <c r="AC818" s="5"/>
      <c r="AD818" s="5"/>
      <c r="AE818" s="5"/>
      <c r="AF818" s="5"/>
      <c r="AG818" s="5"/>
      <c r="AH818" s="5"/>
      <c r="AI818" s="5"/>
    </row>
    <row r="819" spans="1:35" ht="15.75" customHeight="1">
      <c r="A819" s="5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5"/>
      <c r="T819" s="5"/>
      <c r="U819" s="104"/>
      <c r="V819" s="5"/>
      <c r="W819" s="5"/>
      <c r="X819" s="5"/>
      <c r="Y819" s="5"/>
      <c r="Z819" s="7"/>
      <c r="AA819" s="5"/>
      <c r="AB819" s="5"/>
      <c r="AC819" s="5"/>
      <c r="AD819" s="5"/>
      <c r="AE819" s="5"/>
      <c r="AF819" s="5"/>
      <c r="AG819" s="5"/>
      <c r="AH819" s="5"/>
      <c r="AI819" s="5"/>
    </row>
    <row r="820" spans="1:35" ht="15.75" customHeight="1">
      <c r="A820" s="5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5"/>
      <c r="T820" s="5"/>
      <c r="U820" s="104"/>
      <c r="V820" s="5"/>
      <c r="W820" s="5"/>
      <c r="X820" s="5"/>
      <c r="Y820" s="5"/>
      <c r="Z820" s="7"/>
      <c r="AA820" s="5"/>
      <c r="AB820" s="5"/>
      <c r="AC820" s="5"/>
      <c r="AD820" s="5"/>
      <c r="AE820" s="5"/>
      <c r="AF820" s="5"/>
      <c r="AG820" s="5"/>
      <c r="AH820" s="5"/>
      <c r="AI820" s="5"/>
    </row>
    <row r="821" spans="1:35" ht="15.75" customHeight="1">
      <c r="A821" s="5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5"/>
      <c r="T821" s="5"/>
      <c r="U821" s="104"/>
      <c r="V821" s="5"/>
      <c r="W821" s="5"/>
      <c r="X821" s="5"/>
      <c r="Y821" s="5"/>
      <c r="Z821" s="7"/>
      <c r="AA821" s="5"/>
      <c r="AB821" s="5"/>
      <c r="AC821" s="5"/>
      <c r="AD821" s="5"/>
      <c r="AE821" s="5"/>
      <c r="AF821" s="5"/>
      <c r="AG821" s="5"/>
      <c r="AH821" s="5"/>
      <c r="AI821" s="5"/>
    </row>
    <row r="822" spans="1:35" ht="15.75" customHeight="1">
      <c r="A822" s="5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5"/>
      <c r="T822" s="5"/>
      <c r="U822" s="104"/>
      <c r="V822" s="5"/>
      <c r="W822" s="5"/>
      <c r="X822" s="5"/>
      <c r="Y822" s="5"/>
      <c r="Z822" s="7"/>
      <c r="AA822" s="5"/>
      <c r="AB822" s="5"/>
      <c r="AC822" s="5"/>
      <c r="AD822" s="5"/>
      <c r="AE822" s="5"/>
      <c r="AF822" s="5"/>
      <c r="AG822" s="5"/>
      <c r="AH822" s="5"/>
      <c r="AI822" s="5"/>
    </row>
    <row r="823" spans="1:35" ht="15.75" customHeight="1">
      <c r="A823" s="5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5"/>
      <c r="T823" s="5"/>
      <c r="U823" s="104"/>
      <c r="V823" s="5"/>
      <c r="W823" s="5"/>
      <c r="X823" s="5"/>
      <c r="Y823" s="5"/>
      <c r="Z823" s="7"/>
      <c r="AA823" s="5"/>
      <c r="AB823" s="5"/>
      <c r="AC823" s="5"/>
      <c r="AD823" s="5"/>
      <c r="AE823" s="5"/>
      <c r="AF823" s="5"/>
      <c r="AG823" s="5"/>
      <c r="AH823" s="5"/>
      <c r="AI823" s="5"/>
    </row>
    <row r="824" spans="1:35" ht="15.75" customHeight="1">
      <c r="A824" s="5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5"/>
      <c r="T824" s="5"/>
      <c r="U824" s="104"/>
      <c r="V824" s="5"/>
      <c r="W824" s="5"/>
      <c r="X824" s="5"/>
      <c r="Y824" s="5"/>
      <c r="Z824" s="7"/>
      <c r="AA824" s="5"/>
      <c r="AB824" s="5"/>
      <c r="AC824" s="5"/>
      <c r="AD824" s="5"/>
      <c r="AE824" s="5"/>
      <c r="AF824" s="5"/>
      <c r="AG824" s="5"/>
      <c r="AH824" s="5"/>
      <c r="AI824" s="5"/>
    </row>
    <row r="825" spans="1:35" ht="15.75" customHeight="1">
      <c r="A825" s="5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5"/>
      <c r="T825" s="5"/>
      <c r="U825" s="104"/>
      <c r="V825" s="5"/>
      <c r="W825" s="5"/>
      <c r="X825" s="5"/>
      <c r="Y825" s="5"/>
      <c r="Z825" s="7"/>
      <c r="AA825" s="5"/>
      <c r="AB825" s="5"/>
      <c r="AC825" s="5"/>
      <c r="AD825" s="5"/>
      <c r="AE825" s="5"/>
      <c r="AF825" s="5"/>
      <c r="AG825" s="5"/>
      <c r="AH825" s="5"/>
      <c r="AI825" s="5"/>
    </row>
    <row r="826" spans="1:35" ht="15.75" customHeight="1">
      <c r="A826" s="5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5"/>
      <c r="T826" s="5"/>
      <c r="U826" s="104"/>
      <c r="V826" s="5"/>
      <c r="W826" s="5"/>
      <c r="X826" s="5"/>
      <c r="Y826" s="5"/>
      <c r="Z826" s="7"/>
      <c r="AA826" s="5"/>
      <c r="AB826" s="5"/>
      <c r="AC826" s="5"/>
      <c r="AD826" s="5"/>
      <c r="AE826" s="5"/>
      <c r="AF826" s="5"/>
      <c r="AG826" s="5"/>
      <c r="AH826" s="5"/>
      <c r="AI826" s="5"/>
    </row>
    <row r="827" spans="1:35" ht="15.75" customHeight="1">
      <c r="A827" s="5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5"/>
      <c r="T827" s="5"/>
      <c r="U827" s="104"/>
      <c r="V827" s="5"/>
      <c r="W827" s="5"/>
      <c r="X827" s="5"/>
      <c r="Y827" s="5"/>
      <c r="Z827" s="7"/>
      <c r="AA827" s="5"/>
      <c r="AB827" s="5"/>
      <c r="AC827" s="5"/>
      <c r="AD827" s="5"/>
      <c r="AE827" s="5"/>
      <c r="AF827" s="5"/>
      <c r="AG827" s="5"/>
      <c r="AH827" s="5"/>
      <c r="AI827" s="5"/>
    </row>
    <row r="828" spans="1:35" ht="15.75" customHeight="1">
      <c r="A828" s="5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5"/>
      <c r="T828" s="5"/>
      <c r="U828" s="104"/>
      <c r="V828" s="5"/>
      <c r="W828" s="5"/>
      <c r="X828" s="5"/>
      <c r="Y828" s="5"/>
      <c r="Z828" s="7"/>
      <c r="AA828" s="5"/>
      <c r="AB828" s="5"/>
      <c r="AC828" s="5"/>
      <c r="AD828" s="5"/>
      <c r="AE828" s="5"/>
      <c r="AF828" s="5"/>
      <c r="AG828" s="5"/>
      <c r="AH828" s="5"/>
      <c r="AI828" s="5"/>
    </row>
    <row r="829" spans="1:35" ht="15.75" customHeight="1">
      <c r="A829" s="5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5"/>
      <c r="T829" s="5"/>
      <c r="U829" s="104"/>
      <c r="V829" s="5"/>
      <c r="W829" s="5"/>
      <c r="X829" s="5"/>
      <c r="Y829" s="5"/>
      <c r="Z829" s="7"/>
      <c r="AA829" s="5"/>
      <c r="AB829" s="5"/>
      <c r="AC829" s="5"/>
      <c r="AD829" s="5"/>
      <c r="AE829" s="5"/>
      <c r="AF829" s="5"/>
      <c r="AG829" s="5"/>
      <c r="AH829" s="5"/>
      <c r="AI829" s="5"/>
    </row>
    <row r="830" spans="1:35" ht="15.75" customHeight="1">
      <c r="A830" s="5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5"/>
      <c r="T830" s="5"/>
      <c r="U830" s="104"/>
      <c r="V830" s="5"/>
      <c r="W830" s="5"/>
      <c r="X830" s="5"/>
      <c r="Y830" s="5"/>
      <c r="Z830" s="7"/>
      <c r="AA830" s="5"/>
      <c r="AB830" s="5"/>
      <c r="AC830" s="5"/>
      <c r="AD830" s="5"/>
      <c r="AE830" s="5"/>
      <c r="AF830" s="5"/>
      <c r="AG830" s="5"/>
      <c r="AH830" s="5"/>
      <c r="AI830" s="5"/>
    </row>
    <row r="831" spans="1:35" ht="15.75" customHeight="1">
      <c r="A831" s="5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5"/>
      <c r="T831" s="5"/>
      <c r="U831" s="104"/>
      <c r="V831" s="5"/>
      <c r="W831" s="5"/>
      <c r="X831" s="5"/>
      <c r="Y831" s="5"/>
      <c r="Z831" s="7"/>
      <c r="AA831" s="5"/>
      <c r="AB831" s="5"/>
      <c r="AC831" s="5"/>
      <c r="AD831" s="5"/>
      <c r="AE831" s="5"/>
      <c r="AF831" s="5"/>
      <c r="AG831" s="5"/>
      <c r="AH831" s="5"/>
      <c r="AI831" s="5"/>
    </row>
    <row r="832" spans="1:35" ht="15.75" customHeight="1">
      <c r="A832" s="5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5"/>
      <c r="T832" s="5"/>
      <c r="U832" s="104"/>
      <c r="V832" s="5"/>
      <c r="W832" s="5"/>
      <c r="X832" s="5"/>
      <c r="Y832" s="5"/>
      <c r="Z832" s="7"/>
      <c r="AA832" s="5"/>
      <c r="AB832" s="5"/>
      <c r="AC832" s="5"/>
      <c r="AD832" s="5"/>
      <c r="AE832" s="5"/>
      <c r="AF832" s="5"/>
      <c r="AG832" s="5"/>
      <c r="AH832" s="5"/>
      <c r="AI832" s="5"/>
    </row>
    <row r="833" spans="1:35" ht="15.75" customHeight="1">
      <c r="A833" s="5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5"/>
      <c r="T833" s="5"/>
      <c r="U833" s="104"/>
      <c r="V833" s="5"/>
      <c r="W833" s="5"/>
      <c r="X833" s="5"/>
      <c r="Y833" s="5"/>
      <c r="Z833" s="7"/>
      <c r="AA833" s="5"/>
      <c r="AB833" s="5"/>
      <c r="AC833" s="5"/>
      <c r="AD833" s="5"/>
      <c r="AE833" s="5"/>
      <c r="AF833" s="5"/>
      <c r="AG833" s="5"/>
      <c r="AH833" s="5"/>
      <c r="AI833" s="5"/>
    </row>
    <row r="834" spans="1:35" ht="15.75" customHeight="1">
      <c r="A834" s="5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5"/>
      <c r="T834" s="5"/>
      <c r="U834" s="104"/>
      <c r="V834" s="5"/>
      <c r="W834" s="5"/>
      <c r="X834" s="5"/>
      <c r="Y834" s="5"/>
      <c r="Z834" s="7"/>
      <c r="AA834" s="5"/>
      <c r="AB834" s="5"/>
      <c r="AC834" s="5"/>
      <c r="AD834" s="5"/>
      <c r="AE834" s="5"/>
      <c r="AF834" s="5"/>
      <c r="AG834" s="5"/>
      <c r="AH834" s="5"/>
      <c r="AI834" s="5"/>
    </row>
    <row r="835" spans="1:35" ht="15.75" customHeight="1">
      <c r="A835" s="5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5"/>
      <c r="T835" s="5"/>
      <c r="U835" s="104"/>
      <c r="V835" s="5"/>
      <c r="W835" s="5"/>
      <c r="X835" s="5"/>
      <c r="Y835" s="5"/>
      <c r="Z835" s="7"/>
      <c r="AA835" s="5"/>
      <c r="AB835" s="5"/>
      <c r="AC835" s="5"/>
      <c r="AD835" s="5"/>
      <c r="AE835" s="5"/>
      <c r="AF835" s="5"/>
      <c r="AG835" s="5"/>
      <c r="AH835" s="5"/>
      <c r="AI835" s="5"/>
    </row>
    <row r="836" spans="1:35" ht="15.75" customHeight="1">
      <c r="A836" s="5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5"/>
      <c r="T836" s="5"/>
      <c r="U836" s="104"/>
      <c r="V836" s="5"/>
      <c r="W836" s="5"/>
      <c r="X836" s="5"/>
      <c r="Y836" s="5"/>
      <c r="Z836" s="7"/>
      <c r="AA836" s="5"/>
      <c r="AB836" s="5"/>
      <c r="AC836" s="5"/>
      <c r="AD836" s="5"/>
      <c r="AE836" s="5"/>
      <c r="AF836" s="5"/>
      <c r="AG836" s="5"/>
      <c r="AH836" s="5"/>
      <c r="AI836" s="5"/>
    </row>
    <row r="837" spans="1:35" ht="15.75" customHeight="1">
      <c r="A837" s="5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5"/>
      <c r="T837" s="5"/>
      <c r="U837" s="104"/>
      <c r="V837" s="5"/>
      <c r="W837" s="5"/>
      <c r="X837" s="5"/>
      <c r="Y837" s="5"/>
      <c r="Z837" s="7"/>
      <c r="AA837" s="5"/>
      <c r="AB837" s="5"/>
      <c r="AC837" s="5"/>
      <c r="AD837" s="5"/>
      <c r="AE837" s="5"/>
      <c r="AF837" s="5"/>
      <c r="AG837" s="5"/>
      <c r="AH837" s="5"/>
      <c r="AI837" s="5"/>
    </row>
    <row r="838" spans="1:35" ht="15.75" customHeight="1">
      <c r="A838" s="5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5"/>
      <c r="T838" s="5"/>
      <c r="U838" s="104"/>
      <c r="V838" s="5"/>
      <c r="W838" s="5"/>
      <c r="X838" s="5"/>
      <c r="Y838" s="5"/>
      <c r="Z838" s="7"/>
      <c r="AA838" s="5"/>
      <c r="AB838" s="5"/>
      <c r="AC838" s="5"/>
      <c r="AD838" s="5"/>
      <c r="AE838" s="5"/>
      <c r="AF838" s="5"/>
      <c r="AG838" s="5"/>
      <c r="AH838" s="5"/>
      <c r="AI838" s="5"/>
    </row>
    <row r="839" spans="1:35" ht="15.75" customHeight="1">
      <c r="A839" s="5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5"/>
      <c r="T839" s="5"/>
      <c r="U839" s="104"/>
      <c r="V839" s="5"/>
      <c r="W839" s="5"/>
      <c r="X839" s="5"/>
      <c r="Y839" s="5"/>
      <c r="Z839" s="7"/>
      <c r="AA839" s="5"/>
      <c r="AB839" s="5"/>
      <c r="AC839" s="5"/>
      <c r="AD839" s="5"/>
      <c r="AE839" s="5"/>
      <c r="AF839" s="5"/>
      <c r="AG839" s="5"/>
      <c r="AH839" s="5"/>
      <c r="AI839" s="5"/>
    </row>
    <row r="840" spans="1:35" ht="15.75" customHeight="1">
      <c r="A840" s="5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5"/>
      <c r="T840" s="5"/>
      <c r="U840" s="104"/>
      <c r="V840" s="5"/>
      <c r="W840" s="5"/>
      <c r="X840" s="5"/>
      <c r="Y840" s="5"/>
      <c r="Z840" s="7"/>
      <c r="AA840" s="5"/>
      <c r="AB840" s="5"/>
      <c r="AC840" s="5"/>
      <c r="AD840" s="5"/>
      <c r="AE840" s="5"/>
      <c r="AF840" s="5"/>
      <c r="AG840" s="5"/>
      <c r="AH840" s="5"/>
      <c r="AI840" s="5"/>
    </row>
    <row r="841" spans="1:35" ht="15.75" customHeight="1">
      <c r="A841" s="5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5"/>
      <c r="T841" s="5"/>
      <c r="U841" s="104"/>
      <c r="V841" s="5"/>
      <c r="W841" s="5"/>
      <c r="X841" s="5"/>
      <c r="Y841" s="5"/>
      <c r="Z841" s="7"/>
      <c r="AA841" s="5"/>
      <c r="AB841" s="5"/>
      <c r="AC841" s="5"/>
      <c r="AD841" s="5"/>
      <c r="AE841" s="5"/>
      <c r="AF841" s="5"/>
      <c r="AG841" s="5"/>
      <c r="AH841" s="5"/>
      <c r="AI841" s="5"/>
    </row>
    <row r="842" spans="1:35" ht="15.75" customHeight="1">
      <c r="A842" s="5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5"/>
      <c r="T842" s="5"/>
      <c r="U842" s="104"/>
      <c r="V842" s="5"/>
      <c r="W842" s="5"/>
      <c r="X842" s="5"/>
      <c r="Y842" s="5"/>
      <c r="Z842" s="7"/>
      <c r="AA842" s="5"/>
      <c r="AB842" s="5"/>
      <c r="AC842" s="5"/>
      <c r="AD842" s="5"/>
      <c r="AE842" s="5"/>
      <c r="AF842" s="5"/>
      <c r="AG842" s="5"/>
      <c r="AH842" s="5"/>
      <c r="AI842" s="5"/>
    </row>
    <row r="843" spans="1:35" ht="15.75" customHeight="1">
      <c r="A843" s="5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5"/>
      <c r="T843" s="5"/>
      <c r="U843" s="104"/>
      <c r="V843" s="5"/>
      <c r="W843" s="5"/>
      <c r="X843" s="5"/>
      <c r="Y843" s="5"/>
      <c r="Z843" s="7"/>
      <c r="AA843" s="5"/>
      <c r="AB843" s="5"/>
      <c r="AC843" s="5"/>
      <c r="AD843" s="5"/>
      <c r="AE843" s="5"/>
      <c r="AF843" s="5"/>
      <c r="AG843" s="5"/>
      <c r="AH843" s="5"/>
      <c r="AI843" s="5"/>
    </row>
    <row r="844" spans="1:35" ht="15.75" customHeight="1">
      <c r="A844" s="5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5"/>
      <c r="T844" s="5"/>
      <c r="U844" s="104"/>
      <c r="V844" s="5"/>
      <c r="W844" s="5"/>
      <c r="X844" s="5"/>
      <c r="Y844" s="5"/>
      <c r="Z844" s="7"/>
      <c r="AA844" s="5"/>
      <c r="AB844" s="5"/>
      <c r="AC844" s="5"/>
      <c r="AD844" s="5"/>
      <c r="AE844" s="5"/>
      <c r="AF844" s="5"/>
      <c r="AG844" s="5"/>
      <c r="AH844" s="5"/>
      <c r="AI844" s="5"/>
    </row>
    <row r="845" spans="1:35" ht="15.75" customHeight="1">
      <c r="A845" s="5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5"/>
      <c r="T845" s="5"/>
      <c r="U845" s="104"/>
      <c r="V845" s="5"/>
      <c r="W845" s="5"/>
      <c r="X845" s="5"/>
      <c r="Y845" s="5"/>
      <c r="Z845" s="7"/>
      <c r="AA845" s="5"/>
      <c r="AB845" s="5"/>
      <c r="AC845" s="5"/>
      <c r="AD845" s="5"/>
      <c r="AE845" s="5"/>
      <c r="AF845" s="5"/>
      <c r="AG845" s="5"/>
      <c r="AH845" s="5"/>
      <c r="AI845" s="5"/>
    </row>
    <row r="846" spans="1:35" ht="15.75" customHeight="1">
      <c r="A846" s="5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5"/>
      <c r="T846" s="5"/>
      <c r="U846" s="104"/>
      <c r="V846" s="5"/>
      <c r="W846" s="5"/>
      <c r="X846" s="5"/>
      <c r="Y846" s="5"/>
      <c r="Z846" s="7"/>
      <c r="AA846" s="5"/>
      <c r="AB846" s="5"/>
      <c r="AC846" s="5"/>
      <c r="AD846" s="5"/>
      <c r="AE846" s="5"/>
      <c r="AF846" s="5"/>
      <c r="AG846" s="5"/>
      <c r="AH846" s="5"/>
      <c r="AI846" s="5"/>
    </row>
    <row r="847" spans="1:35" ht="15.75" customHeight="1">
      <c r="A847" s="5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5"/>
      <c r="T847" s="5"/>
      <c r="U847" s="104"/>
      <c r="V847" s="5"/>
      <c r="W847" s="5"/>
      <c r="X847" s="5"/>
      <c r="Y847" s="5"/>
      <c r="Z847" s="7"/>
      <c r="AA847" s="5"/>
      <c r="AB847" s="5"/>
      <c r="AC847" s="5"/>
      <c r="AD847" s="5"/>
      <c r="AE847" s="5"/>
      <c r="AF847" s="5"/>
      <c r="AG847" s="5"/>
      <c r="AH847" s="5"/>
      <c r="AI847" s="5"/>
    </row>
    <row r="848" spans="1:35" ht="15.75" customHeight="1">
      <c r="A848" s="5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5"/>
      <c r="T848" s="5"/>
      <c r="U848" s="104"/>
      <c r="V848" s="5"/>
      <c r="W848" s="5"/>
      <c r="X848" s="5"/>
      <c r="Y848" s="5"/>
      <c r="Z848" s="7"/>
      <c r="AA848" s="5"/>
      <c r="AB848" s="5"/>
      <c r="AC848" s="5"/>
      <c r="AD848" s="5"/>
      <c r="AE848" s="5"/>
      <c r="AF848" s="5"/>
      <c r="AG848" s="5"/>
      <c r="AH848" s="5"/>
      <c r="AI848" s="5"/>
    </row>
    <row r="849" spans="1:35" ht="15.75" customHeight="1">
      <c r="A849" s="5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5"/>
      <c r="T849" s="5"/>
      <c r="U849" s="104"/>
      <c r="V849" s="5"/>
      <c r="W849" s="5"/>
      <c r="X849" s="5"/>
      <c r="Y849" s="5"/>
      <c r="Z849" s="7"/>
      <c r="AA849" s="5"/>
      <c r="AB849" s="5"/>
      <c r="AC849" s="5"/>
      <c r="AD849" s="5"/>
      <c r="AE849" s="5"/>
      <c r="AF849" s="5"/>
      <c r="AG849" s="5"/>
      <c r="AH849" s="5"/>
      <c r="AI849" s="5"/>
    </row>
    <row r="850" spans="1:35" ht="15.75" customHeight="1">
      <c r="A850" s="5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5"/>
      <c r="T850" s="5"/>
      <c r="U850" s="104"/>
      <c r="V850" s="5"/>
      <c r="W850" s="5"/>
      <c r="X850" s="5"/>
      <c r="Y850" s="5"/>
      <c r="Z850" s="7"/>
      <c r="AA850" s="5"/>
      <c r="AB850" s="5"/>
      <c r="AC850" s="5"/>
      <c r="AD850" s="5"/>
      <c r="AE850" s="5"/>
      <c r="AF850" s="5"/>
      <c r="AG850" s="5"/>
      <c r="AH850" s="5"/>
      <c r="AI850" s="5"/>
    </row>
    <row r="851" spans="1:35" ht="15.75" customHeight="1">
      <c r="A851" s="5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5"/>
      <c r="T851" s="5"/>
      <c r="U851" s="104"/>
      <c r="V851" s="5"/>
      <c r="W851" s="5"/>
      <c r="X851" s="5"/>
      <c r="Y851" s="5"/>
      <c r="Z851" s="7"/>
      <c r="AA851" s="5"/>
      <c r="AB851" s="5"/>
      <c r="AC851" s="5"/>
      <c r="AD851" s="5"/>
      <c r="AE851" s="5"/>
      <c r="AF851" s="5"/>
      <c r="AG851" s="5"/>
      <c r="AH851" s="5"/>
      <c r="AI851" s="5"/>
    </row>
    <row r="852" spans="1:35" ht="15.75" customHeight="1">
      <c r="A852" s="5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5"/>
      <c r="T852" s="5"/>
      <c r="U852" s="104"/>
      <c r="V852" s="5"/>
      <c r="W852" s="5"/>
      <c r="X852" s="5"/>
      <c r="Y852" s="5"/>
      <c r="Z852" s="7"/>
      <c r="AA852" s="5"/>
      <c r="AB852" s="5"/>
      <c r="AC852" s="5"/>
      <c r="AD852" s="5"/>
      <c r="AE852" s="5"/>
      <c r="AF852" s="5"/>
      <c r="AG852" s="5"/>
      <c r="AH852" s="5"/>
      <c r="AI852" s="5"/>
    </row>
    <row r="853" spans="1:35" ht="15.75" customHeight="1">
      <c r="A853" s="5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5"/>
      <c r="T853" s="5"/>
      <c r="U853" s="104"/>
      <c r="V853" s="5"/>
      <c r="W853" s="5"/>
      <c r="X853" s="5"/>
      <c r="Y853" s="5"/>
      <c r="Z853" s="7"/>
      <c r="AA853" s="5"/>
      <c r="AB853" s="5"/>
      <c r="AC853" s="5"/>
      <c r="AD853" s="5"/>
      <c r="AE853" s="5"/>
      <c r="AF853" s="5"/>
      <c r="AG853" s="5"/>
      <c r="AH853" s="5"/>
      <c r="AI853" s="5"/>
    </row>
    <row r="854" spans="1:35" ht="15.75" customHeight="1">
      <c r="A854" s="5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5"/>
      <c r="T854" s="5"/>
      <c r="U854" s="104"/>
      <c r="V854" s="5"/>
      <c r="W854" s="5"/>
      <c r="X854" s="5"/>
      <c r="Y854" s="5"/>
      <c r="Z854" s="7"/>
      <c r="AA854" s="5"/>
      <c r="AB854" s="5"/>
      <c r="AC854" s="5"/>
      <c r="AD854" s="5"/>
      <c r="AE854" s="5"/>
      <c r="AF854" s="5"/>
      <c r="AG854" s="5"/>
      <c r="AH854" s="5"/>
      <c r="AI854" s="5"/>
    </row>
    <row r="855" spans="1:35" ht="15.75" customHeight="1">
      <c r="A855" s="5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5"/>
      <c r="T855" s="5"/>
      <c r="U855" s="104"/>
      <c r="V855" s="5"/>
      <c r="W855" s="5"/>
      <c r="X855" s="5"/>
      <c r="Y855" s="5"/>
      <c r="Z855" s="7"/>
      <c r="AA855" s="5"/>
      <c r="AB855" s="5"/>
      <c r="AC855" s="5"/>
      <c r="AD855" s="5"/>
      <c r="AE855" s="5"/>
      <c r="AF855" s="5"/>
      <c r="AG855" s="5"/>
      <c r="AH855" s="5"/>
      <c r="AI855" s="5"/>
    </row>
    <row r="856" spans="1:35" ht="15.75" customHeight="1">
      <c r="A856" s="5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5"/>
      <c r="T856" s="5"/>
      <c r="U856" s="104"/>
      <c r="V856" s="5"/>
      <c r="W856" s="5"/>
      <c r="X856" s="5"/>
      <c r="Y856" s="5"/>
      <c r="Z856" s="7"/>
      <c r="AA856" s="5"/>
      <c r="AB856" s="5"/>
      <c r="AC856" s="5"/>
      <c r="AD856" s="5"/>
      <c r="AE856" s="5"/>
      <c r="AF856" s="5"/>
      <c r="AG856" s="5"/>
      <c r="AH856" s="5"/>
      <c r="AI856" s="5"/>
    </row>
    <row r="857" spans="1:35" ht="15.75" customHeight="1">
      <c r="A857" s="5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5"/>
      <c r="T857" s="5"/>
      <c r="U857" s="104"/>
      <c r="V857" s="5"/>
      <c r="W857" s="5"/>
      <c r="X857" s="5"/>
      <c r="Y857" s="5"/>
      <c r="Z857" s="7"/>
      <c r="AA857" s="5"/>
      <c r="AB857" s="5"/>
      <c r="AC857" s="5"/>
      <c r="AD857" s="5"/>
      <c r="AE857" s="5"/>
      <c r="AF857" s="5"/>
      <c r="AG857" s="5"/>
      <c r="AH857" s="5"/>
      <c r="AI857" s="5"/>
    </row>
    <row r="858" spans="1:35" ht="15.75" customHeight="1">
      <c r="A858" s="5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5"/>
      <c r="T858" s="5"/>
      <c r="U858" s="104"/>
      <c r="V858" s="5"/>
      <c r="W858" s="5"/>
      <c r="X858" s="5"/>
      <c r="Y858" s="5"/>
      <c r="Z858" s="7"/>
      <c r="AA858" s="5"/>
      <c r="AB858" s="5"/>
      <c r="AC858" s="5"/>
      <c r="AD858" s="5"/>
      <c r="AE858" s="5"/>
      <c r="AF858" s="5"/>
      <c r="AG858" s="5"/>
      <c r="AH858" s="5"/>
      <c r="AI858" s="5"/>
    </row>
    <row r="859" spans="1:35" ht="15.75" customHeight="1">
      <c r="A859" s="5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5"/>
      <c r="T859" s="5"/>
      <c r="U859" s="104"/>
      <c r="V859" s="5"/>
      <c r="W859" s="5"/>
      <c r="X859" s="5"/>
      <c r="Y859" s="5"/>
      <c r="Z859" s="7"/>
      <c r="AA859" s="5"/>
      <c r="AB859" s="5"/>
      <c r="AC859" s="5"/>
      <c r="AD859" s="5"/>
      <c r="AE859" s="5"/>
      <c r="AF859" s="5"/>
      <c r="AG859" s="5"/>
      <c r="AH859" s="5"/>
      <c r="AI859" s="5"/>
    </row>
    <row r="860" spans="1:35" ht="15.75" customHeight="1">
      <c r="A860" s="5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5"/>
      <c r="T860" s="5"/>
      <c r="U860" s="104"/>
      <c r="V860" s="5"/>
      <c r="W860" s="5"/>
      <c r="X860" s="5"/>
      <c r="Y860" s="5"/>
      <c r="Z860" s="7"/>
      <c r="AA860" s="5"/>
      <c r="AB860" s="5"/>
      <c r="AC860" s="5"/>
      <c r="AD860" s="5"/>
      <c r="AE860" s="5"/>
      <c r="AF860" s="5"/>
      <c r="AG860" s="5"/>
      <c r="AH860" s="5"/>
      <c r="AI860" s="5"/>
    </row>
    <row r="861" spans="1:35" ht="15.75" customHeight="1">
      <c r="A861" s="5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5"/>
      <c r="T861" s="5"/>
      <c r="U861" s="104"/>
      <c r="V861" s="5"/>
      <c r="W861" s="5"/>
      <c r="X861" s="5"/>
      <c r="Y861" s="5"/>
      <c r="Z861" s="7"/>
      <c r="AA861" s="5"/>
      <c r="AB861" s="5"/>
      <c r="AC861" s="5"/>
      <c r="AD861" s="5"/>
      <c r="AE861" s="5"/>
      <c r="AF861" s="5"/>
      <c r="AG861" s="5"/>
      <c r="AH861" s="5"/>
      <c r="AI861" s="5"/>
    </row>
    <row r="862" spans="1:35" ht="15.75" customHeight="1">
      <c r="A862" s="5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5"/>
      <c r="T862" s="5"/>
      <c r="U862" s="104"/>
      <c r="V862" s="5"/>
      <c r="W862" s="5"/>
      <c r="X862" s="5"/>
      <c r="Y862" s="5"/>
      <c r="Z862" s="7"/>
      <c r="AA862" s="5"/>
      <c r="AB862" s="5"/>
      <c r="AC862" s="5"/>
      <c r="AD862" s="5"/>
      <c r="AE862" s="5"/>
      <c r="AF862" s="5"/>
      <c r="AG862" s="5"/>
      <c r="AH862" s="5"/>
      <c r="AI862" s="5"/>
    </row>
    <row r="863" spans="1:35" ht="15.75" customHeight="1">
      <c r="A863" s="5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5"/>
      <c r="T863" s="5"/>
      <c r="U863" s="104"/>
      <c r="V863" s="5"/>
      <c r="W863" s="5"/>
      <c r="X863" s="5"/>
      <c r="Y863" s="5"/>
      <c r="Z863" s="7"/>
      <c r="AA863" s="5"/>
      <c r="AB863" s="5"/>
      <c r="AC863" s="5"/>
      <c r="AD863" s="5"/>
      <c r="AE863" s="5"/>
      <c r="AF863" s="5"/>
      <c r="AG863" s="5"/>
      <c r="AH863" s="5"/>
      <c r="AI863" s="5"/>
    </row>
    <row r="864" spans="1:35" ht="15.75" customHeight="1">
      <c r="A864" s="5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5"/>
      <c r="T864" s="5"/>
      <c r="U864" s="104"/>
      <c r="V864" s="5"/>
      <c r="W864" s="5"/>
      <c r="X864" s="5"/>
      <c r="Y864" s="5"/>
      <c r="Z864" s="7"/>
      <c r="AA864" s="5"/>
      <c r="AB864" s="5"/>
      <c r="AC864" s="5"/>
      <c r="AD864" s="5"/>
      <c r="AE864" s="5"/>
      <c r="AF864" s="5"/>
      <c r="AG864" s="5"/>
      <c r="AH864" s="5"/>
      <c r="AI864" s="5"/>
    </row>
    <row r="865" spans="1:35" ht="15.75" customHeight="1">
      <c r="A865" s="5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5"/>
      <c r="T865" s="5"/>
      <c r="U865" s="104"/>
      <c r="V865" s="5"/>
      <c r="W865" s="5"/>
      <c r="X865" s="5"/>
      <c r="Y865" s="5"/>
      <c r="Z865" s="7"/>
      <c r="AA865" s="5"/>
      <c r="AB865" s="5"/>
      <c r="AC865" s="5"/>
      <c r="AD865" s="5"/>
      <c r="AE865" s="5"/>
      <c r="AF865" s="5"/>
      <c r="AG865" s="5"/>
      <c r="AH865" s="5"/>
      <c r="AI865" s="5"/>
    </row>
    <row r="866" spans="1:35" ht="15.75" customHeight="1">
      <c r="A866" s="5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5"/>
      <c r="T866" s="5"/>
      <c r="U866" s="104"/>
      <c r="V866" s="5"/>
      <c r="W866" s="5"/>
      <c r="X866" s="5"/>
      <c r="Y866" s="5"/>
      <c r="Z866" s="7"/>
      <c r="AA866" s="5"/>
      <c r="AB866" s="5"/>
      <c r="AC866" s="5"/>
      <c r="AD866" s="5"/>
      <c r="AE866" s="5"/>
      <c r="AF866" s="5"/>
      <c r="AG866" s="5"/>
      <c r="AH866" s="5"/>
      <c r="AI866" s="5"/>
    </row>
    <row r="867" spans="1:35" ht="15.75" customHeight="1">
      <c r="A867" s="5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5"/>
      <c r="T867" s="5"/>
      <c r="U867" s="104"/>
      <c r="V867" s="5"/>
      <c r="W867" s="5"/>
      <c r="X867" s="5"/>
      <c r="Y867" s="5"/>
      <c r="Z867" s="7"/>
      <c r="AA867" s="5"/>
      <c r="AB867" s="5"/>
      <c r="AC867" s="5"/>
      <c r="AD867" s="5"/>
      <c r="AE867" s="5"/>
      <c r="AF867" s="5"/>
      <c r="AG867" s="5"/>
      <c r="AH867" s="5"/>
      <c r="AI867" s="5"/>
    </row>
    <row r="868" spans="1:35" ht="15.75" customHeight="1">
      <c r="A868" s="5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5"/>
      <c r="T868" s="5"/>
      <c r="U868" s="104"/>
      <c r="V868" s="5"/>
      <c r="W868" s="5"/>
      <c r="X868" s="5"/>
      <c r="Y868" s="5"/>
      <c r="Z868" s="7"/>
      <c r="AA868" s="5"/>
      <c r="AB868" s="5"/>
      <c r="AC868" s="5"/>
      <c r="AD868" s="5"/>
      <c r="AE868" s="5"/>
      <c r="AF868" s="5"/>
      <c r="AG868" s="5"/>
      <c r="AH868" s="5"/>
      <c r="AI868" s="5"/>
    </row>
    <row r="869" spans="1:35" ht="15.75" customHeight="1">
      <c r="A869" s="5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5"/>
      <c r="T869" s="5"/>
      <c r="U869" s="104"/>
      <c r="V869" s="5"/>
      <c r="W869" s="5"/>
      <c r="X869" s="5"/>
      <c r="Y869" s="5"/>
      <c r="Z869" s="7"/>
      <c r="AA869" s="5"/>
      <c r="AB869" s="5"/>
      <c r="AC869" s="5"/>
      <c r="AD869" s="5"/>
      <c r="AE869" s="5"/>
      <c r="AF869" s="5"/>
      <c r="AG869" s="5"/>
      <c r="AH869" s="5"/>
      <c r="AI869" s="5"/>
    </row>
    <row r="870" spans="1:35" ht="15.75" customHeight="1">
      <c r="A870" s="5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5"/>
      <c r="T870" s="5"/>
      <c r="U870" s="104"/>
      <c r="V870" s="5"/>
      <c r="W870" s="5"/>
      <c r="X870" s="5"/>
      <c r="Y870" s="5"/>
      <c r="Z870" s="7"/>
      <c r="AA870" s="5"/>
      <c r="AB870" s="5"/>
      <c r="AC870" s="5"/>
      <c r="AD870" s="5"/>
      <c r="AE870" s="5"/>
      <c r="AF870" s="5"/>
      <c r="AG870" s="5"/>
      <c r="AH870" s="5"/>
      <c r="AI870" s="5"/>
    </row>
    <row r="871" spans="1:35" ht="15.75" customHeight="1">
      <c r="A871" s="5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5"/>
      <c r="T871" s="5"/>
      <c r="U871" s="104"/>
      <c r="V871" s="5"/>
      <c r="W871" s="5"/>
      <c r="X871" s="5"/>
      <c r="Y871" s="5"/>
      <c r="Z871" s="7"/>
      <c r="AA871" s="5"/>
      <c r="AB871" s="5"/>
      <c r="AC871" s="5"/>
      <c r="AD871" s="5"/>
      <c r="AE871" s="5"/>
      <c r="AF871" s="5"/>
      <c r="AG871" s="5"/>
      <c r="AH871" s="5"/>
      <c r="AI871" s="5"/>
    </row>
    <row r="872" spans="1:35" ht="15.75" customHeight="1">
      <c r="A872" s="5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5"/>
      <c r="T872" s="5"/>
      <c r="U872" s="104"/>
      <c r="V872" s="5"/>
      <c r="W872" s="5"/>
      <c r="X872" s="5"/>
      <c r="Y872" s="5"/>
      <c r="Z872" s="7"/>
      <c r="AA872" s="5"/>
      <c r="AB872" s="5"/>
      <c r="AC872" s="5"/>
      <c r="AD872" s="5"/>
      <c r="AE872" s="5"/>
      <c r="AF872" s="5"/>
      <c r="AG872" s="5"/>
      <c r="AH872" s="5"/>
      <c r="AI872" s="5"/>
    </row>
    <row r="873" spans="1:35" ht="15.75" customHeight="1">
      <c r="A873" s="5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5"/>
      <c r="T873" s="5"/>
      <c r="U873" s="104"/>
      <c r="V873" s="5"/>
      <c r="W873" s="5"/>
      <c r="X873" s="5"/>
      <c r="Y873" s="5"/>
      <c r="Z873" s="7"/>
      <c r="AA873" s="5"/>
      <c r="AB873" s="5"/>
      <c r="AC873" s="5"/>
      <c r="AD873" s="5"/>
      <c r="AE873" s="5"/>
      <c r="AF873" s="5"/>
      <c r="AG873" s="5"/>
      <c r="AH873" s="5"/>
      <c r="AI873" s="5"/>
    </row>
    <row r="874" spans="1:35" ht="15.75" customHeight="1">
      <c r="A874" s="5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5"/>
      <c r="T874" s="5"/>
      <c r="U874" s="104"/>
      <c r="V874" s="5"/>
      <c r="W874" s="5"/>
      <c r="X874" s="5"/>
      <c r="Y874" s="5"/>
      <c r="Z874" s="7"/>
      <c r="AA874" s="5"/>
      <c r="AB874" s="5"/>
      <c r="AC874" s="5"/>
      <c r="AD874" s="5"/>
      <c r="AE874" s="5"/>
      <c r="AF874" s="5"/>
      <c r="AG874" s="5"/>
      <c r="AH874" s="5"/>
      <c r="AI874" s="5"/>
    </row>
    <row r="875" spans="1:35" ht="15.75" customHeight="1">
      <c r="A875" s="5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5"/>
      <c r="T875" s="5"/>
      <c r="U875" s="104"/>
      <c r="V875" s="5"/>
      <c r="W875" s="5"/>
      <c r="X875" s="5"/>
      <c r="Y875" s="5"/>
      <c r="Z875" s="7"/>
      <c r="AA875" s="5"/>
      <c r="AB875" s="5"/>
      <c r="AC875" s="5"/>
      <c r="AD875" s="5"/>
      <c r="AE875" s="5"/>
      <c r="AF875" s="5"/>
      <c r="AG875" s="5"/>
      <c r="AH875" s="5"/>
      <c r="AI875" s="5"/>
    </row>
    <row r="876" spans="1:35" ht="15.75" customHeight="1">
      <c r="A876" s="5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5"/>
      <c r="T876" s="5"/>
      <c r="U876" s="104"/>
      <c r="V876" s="5"/>
      <c r="W876" s="5"/>
      <c r="X876" s="5"/>
      <c r="Y876" s="5"/>
      <c r="Z876" s="7"/>
      <c r="AA876" s="5"/>
      <c r="AB876" s="5"/>
      <c r="AC876" s="5"/>
      <c r="AD876" s="5"/>
      <c r="AE876" s="5"/>
      <c r="AF876" s="5"/>
      <c r="AG876" s="5"/>
      <c r="AH876" s="5"/>
      <c r="AI876" s="5"/>
    </row>
    <row r="877" spans="1:35" ht="15.75" customHeight="1">
      <c r="A877" s="5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5"/>
      <c r="T877" s="5"/>
      <c r="U877" s="104"/>
      <c r="V877" s="5"/>
      <c r="W877" s="5"/>
      <c r="X877" s="5"/>
      <c r="Y877" s="5"/>
      <c r="Z877" s="7"/>
      <c r="AA877" s="5"/>
      <c r="AB877" s="5"/>
      <c r="AC877" s="5"/>
      <c r="AD877" s="5"/>
      <c r="AE877" s="5"/>
      <c r="AF877" s="5"/>
      <c r="AG877" s="5"/>
      <c r="AH877" s="5"/>
      <c r="AI877" s="5"/>
    </row>
    <row r="878" spans="1:35" ht="15.75" customHeight="1">
      <c r="A878" s="5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5"/>
      <c r="T878" s="5"/>
      <c r="U878" s="104"/>
      <c r="V878" s="5"/>
      <c r="W878" s="5"/>
      <c r="X878" s="5"/>
      <c r="Y878" s="5"/>
      <c r="Z878" s="7"/>
      <c r="AA878" s="5"/>
      <c r="AB878" s="5"/>
      <c r="AC878" s="5"/>
      <c r="AD878" s="5"/>
      <c r="AE878" s="5"/>
      <c r="AF878" s="5"/>
      <c r="AG878" s="5"/>
      <c r="AH878" s="5"/>
      <c r="AI878" s="5"/>
    </row>
    <row r="879" spans="1:35" ht="15.75" customHeight="1">
      <c r="A879" s="5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5"/>
      <c r="T879" s="5"/>
      <c r="U879" s="104"/>
      <c r="V879" s="5"/>
      <c r="W879" s="5"/>
      <c r="X879" s="5"/>
      <c r="Y879" s="5"/>
      <c r="Z879" s="7"/>
      <c r="AA879" s="5"/>
      <c r="AB879" s="5"/>
      <c r="AC879" s="5"/>
      <c r="AD879" s="5"/>
      <c r="AE879" s="5"/>
      <c r="AF879" s="5"/>
      <c r="AG879" s="5"/>
      <c r="AH879" s="5"/>
      <c r="AI879" s="5"/>
    </row>
    <row r="880" spans="1:35" ht="15.75" customHeight="1">
      <c r="A880" s="5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5"/>
      <c r="T880" s="5"/>
      <c r="U880" s="104"/>
      <c r="V880" s="5"/>
      <c r="W880" s="5"/>
      <c r="X880" s="5"/>
      <c r="Y880" s="5"/>
      <c r="Z880" s="7"/>
      <c r="AA880" s="5"/>
      <c r="AB880" s="5"/>
      <c r="AC880" s="5"/>
      <c r="AD880" s="5"/>
      <c r="AE880" s="5"/>
      <c r="AF880" s="5"/>
      <c r="AG880" s="5"/>
      <c r="AH880" s="5"/>
      <c r="AI880" s="5"/>
    </row>
    <row r="881" spans="1:35" ht="15.75" customHeight="1">
      <c r="A881" s="5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5"/>
      <c r="T881" s="5"/>
      <c r="U881" s="104"/>
      <c r="V881" s="5"/>
      <c r="W881" s="5"/>
      <c r="X881" s="5"/>
      <c r="Y881" s="5"/>
      <c r="Z881" s="7"/>
      <c r="AA881" s="5"/>
      <c r="AB881" s="5"/>
      <c r="AC881" s="5"/>
      <c r="AD881" s="5"/>
      <c r="AE881" s="5"/>
      <c r="AF881" s="5"/>
      <c r="AG881" s="5"/>
      <c r="AH881" s="5"/>
      <c r="AI881" s="5"/>
    </row>
    <row r="882" spans="1:35" ht="15.75" customHeight="1">
      <c r="A882" s="5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5"/>
      <c r="T882" s="5"/>
      <c r="U882" s="104"/>
      <c r="V882" s="5"/>
      <c r="W882" s="5"/>
      <c r="X882" s="5"/>
      <c r="Y882" s="5"/>
      <c r="Z882" s="7"/>
      <c r="AA882" s="5"/>
      <c r="AB882" s="5"/>
      <c r="AC882" s="5"/>
      <c r="AD882" s="5"/>
      <c r="AE882" s="5"/>
      <c r="AF882" s="5"/>
      <c r="AG882" s="5"/>
      <c r="AH882" s="5"/>
      <c r="AI882" s="5"/>
    </row>
    <row r="883" spans="1:35" ht="15.75" customHeight="1">
      <c r="A883" s="5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5"/>
      <c r="T883" s="5"/>
      <c r="U883" s="104"/>
      <c r="V883" s="5"/>
      <c r="W883" s="5"/>
      <c r="X883" s="5"/>
      <c r="Y883" s="5"/>
      <c r="Z883" s="7"/>
      <c r="AA883" s="5"/>
      <c r="AB883" s="5"/>
      <c r="AC883" s="5"/>
      <c r="AD883" s="5"/>
      <c r="AE883" s="5"/>
      <c r="AF883" s="5"/>
      <c r="AG883" s="5"/>
      <c r="AH883" s="5"/>
      <c r="AI883" s="5"/>
    </row>
    <row r="884" spans="1:35" ht="15.75" customHeight="1">
      <c r="A884" s="5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5"/>
      <c r="T884" s="5"/>
      <c r="U884" s="104"/>
      <c r="V884" s="5"/>
      <c r="W884" s="5"/>
      <c r="X884" s="5"/>
      <c r="Y884" s="5"/>
      <c r="Z884" s="7"/>
      <c r="AA884" s="5"/>
      <c r="AB884" s="5"/>
      <c r="AC884" s="5"/>
      <c r="AD884" s="5"/>
      <c r="AE884" s="5"/>
      <c r="AF884" s="5"/>
      <c r="AG884" s="5"/>
      <c r="AH884" s="5"/>
      <c r="AI884" s="5"/>
    </row>
    <row r="885" spans="1:35" ht="15.75" customHeight="1">
      <c r="A885" s="5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5"/>
      <c r="T885" s="5"/>
      <c r="U885" s="104"/>
      <c r="V885" s="5"/>
      <c r="W885" s="5"/>
      <c r="X885" s="5"/>
      <c r="Y885" s="5"/>
      <c r="Z885" s="7"/>
      <c r="AA885" s="5"/>
      <c r="AB885" s="5"/>
      <c r="AC885" s="5"/>
      <c r="AD885" s="5"/>
      <c r="AE885" s="5"/>
      <c r="AF885" s="5"/>
      <c r="AG885" s="5"/>
      <c r="AH885" s="5"/>
      <c r="AI885" s="5"/>
    </row>
    <row r="886" spans="1:35" ht="15.75" customHeight="1">
      <c r="A886" s="5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5"/>
      <c r="T886" s="5"/>
      <c r="U886" s="104"/>
      <c r="V886" s="5"/>
      <c r="W886" s="5"/>
      <c r="X886" s="5"/>
      <c r="Y886" s="5"/>
      <c r="Z886" s="7"/>
      <c r="AA886" s="5"/>
      <c r="AB886" s="5"/>
      <c r="AC886" s="5"/>
      <c r="AD886" s="5"/>
      <c r="AE886" s="5"/>
      <c r="AF886" s="5"/>
      <c r="AG886" s="5"/>
      <c r="AH886" s="5"/>
      <c r="AI886" s="5"/>
    </row>
    <row r="887" spans="1:35" ht="15.75" customHeight="1">
      <c r="A887" s="5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5"/>
      <c r="T887" s="5"/>
      <c r="U887" s="104"/>
      <c r="V887" s="5"/>
      <c r="W887" s="5"/>
      <c r="X887" s="5"/>
      <c r="Y887" s="5"/>
      <c r="Z887" s="7"/>
      <c r="AA887" s="5"/>
      <c r="AB887" s="5"/>
      <c r="AC887" s="5"/>
      <c r="AD887" s="5"/>
      <c r="AE887" s="5"/>
      <c r="AF887" s="5"/>
      <c r="AG887" s="5"/>
      <c r="AH887" s="5"/>
      <c r="AI887" s="5"/>
    </row>
    <row r="888" spans="1:35" ht="15.75" customHeight="1">
      <c r="A888" s="5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5"/>
      <c r="T888" s="5"/>
      <c r="U888" s="104"/>
      <c r="V888" s="5"/>
      <c r="W888" s="5"/>
      <c r="X888" s="5"/>
      <c r="Y888" s="5"/>
      <c r="Z888" s="7"/>
      <c r="AA888" s="5"/>
      <c r="AB888" s="5"/>
      <c r="AC888" s="5"/>
      <c r="AD888" s="5"/>
      <c r="AE888" s="5"/>
      <c r="AF888" s="5"/>
      <c r="AG888" s="5"/>
      <c r="AH888" s="5"/>
      <c r="AI888" s="5"/>
    </row>
    <row r="889" spans="1:35" ht="15.75" customHeight="1">
      <c r="A889" s="5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5"/>
      <c r="T889" s="5"/>
      <c r="U889" s="104"/>
      <c r="V889" s="5"/>
      <c r="W889" s="5"/>
      <c r="X889" s="5"/>
      <c r="Y889" s="5"/>
      <c r="Z889" s="7"/>
      <c r="AA889" s="5"/>
      <c r="AB889" s="5"/>
      <c r="AC889" s="5"/>
      <c r="AD889" s="5"/>
      <c r="AE889" s="5"/>
      <c r="AF889" s="5"/>
      <c r="AG889" s="5"/>
      <c r="AH889" s="5"/>
      <c r="AI889" s="5"/>
    </row>
    <row r="890" spans="1:35" ht="15.75" customHeight="1">
      <c r="A890" s="5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5"/>
      <c r="T890" s="5"/>
      <c r="U890" s="104"/>
      <c r="V890" s="5"/>
      <c r="W890" s="5"/>
      <c r="X890" s="5"/>
      <c r="Y890" s="5"/>
      <c r="Z890" s="7"/>
      <c r="AA890" s="5"/>
      <c r="AB890" s="5"/>
      <c r="AC890" s="5"/>
      <c r="AD890" s="5"/>
      <c r="AE890" s="5"/>
      <c r="AF890" s="5"/>
      <c r="AG890" s="5"/>
      <c r="AH890" s="5"/>
      <c r="AI890" s="5"/>
    </row>
    <row r="891" spans="1:35" ht="15.75" customHeight="1">
      <c r="A891" s="5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5"/>
      <c r="T891" s="5"/>
      <c r="U891" s="104"/>
      <c r="V891" s="5"/>
      <c r="W891" s="5"/>
      <c r="X891" s="5"/>
      <c r="Y891" s="5"/>
      <c r="Z891" s="7"/>
      <c r="AA891" s="5"/>
      <c r="AB891" s="5"/>
      <c r="AC891" s="5"/>
      <c r="AD891" s="5"/>
      <c r="AE891" s="5"/>
      <c r="AF891" s="5"/>
      <c r="AG891" s="5"/>
      <c r="AH891" s="5"/>
      <c r="AI891" s="5"/>
    </row>
    <row r="892" spans="1:35" ht="15.75" customHeight="1">
      <c r="A892" s="5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5"/>
      <c r="T892" s="5"/>
      <c r="U892" s="104"/>
      <c r="V892" s="5"/>
      <c r="W892" s="5"/>
      <c r="X892" s="5"/>
      <c r="Y892" s="5"/>
      <c r="Z892" s="7"/>
      <c r="AA892" s="5"/>
      <c r="AB892" s="5"/>
      <c r="AC892" s="5"/>
      <c r="AD892" s="5"/>
      <c r="AE892" s="5"/>
      <c r="AF892" s="5"/>
      <c r="AG892" s="5"/>
      <c r="AH892" s="5"/>
      <c r="AI892" s="5"/>
    </row>
    <row r="893" spans="1:35" ht="15.75" customHeight="1">
      <c r="A893" s="5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5"/>
      <c r="T893" s="5"/>
      <c r="U893" s="104"/>
      <c r="V893" s="5"/>
      <c r="W893" s="5"/>
      <c r="X893" s="5"/>
      <c r="Y893" s="5"/>
      <c r="Z893" s="7"/>
      <c r="AA893" s="5"/>
      <c r="AB893" s="5"/>
      <c r="AC893" s="5"/>
      <c r="AD893" s="5"/>
      <c r="AE893" s="5"/>
      <c r="AF893" s="5"/>
      <c r="AG893" s="5"/>
      <c r="AH893" s="5"/>
      <c r="AI893" s="5"/>
    </row>
    <row r="894" spans="1:35" ht="15.75" customHeight="1">
      <c r="A894" s="5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5"/>
      <c r="T894" s="5"/>
      <c r="U894" s="104"/>
      <c r="V894" s="5"/>
      <c r="W894" s="5"/>
      <c r="X894" s="5"/>
      <c r="Y894" s="5"/>
      <c r="Z894" s="7"/>
      <c r="AA894" s="5"/>
      <c r="AB894" s="5"/>
      <c r="AC894" s="5"/>
      <c r="AD894" s="5"/>
      <c r="AE894" s="5"/>
      <c r="AF894" s="5"/>
      <c r="AG894" s="5"/>
      <c r="AH894" s="5"/>
      <c r="AI894" s="5"/>
    </row>
    <row r="895" spans="1:35" ht="15.75" customHeight="1">
      <c r="A895" s="5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5"/>
      <c r="T895" s="5"/>
      <c r="U895" s="104"/>
      <c r="V895" s="5"/>
      <c r="W895" s="5"/>
      <c r="X895" s="5"/>
      <c r="Y895" s="5"/>
      <c r="Z895" s="7"/>
      <c r="AA895" s="5"/>
      <c r="AB895" s="5"/>
      <c r="AC895" s="5"/>
      <c r="AD895" s="5"/>
      <c r="AE895" s="5"/>
      <c r="AF895" s="5"/>
      <c r="AG895" s="5"/>
      <c r="AH895" s="5"/>
      <c r="AI895" s="5"/>
    </row>
    <row r="896" spans="1:35" ht="15.75" customHeight="1">
      <c r="A896" s="5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5"/>
      <c r="T896" s="5"/>
      <c r="U896" s="104"/>
      <c r="V896" s="5"/>
      <c r="W896" s="5"/>
      <c r="X896" s="5"/>
      <c r="Y896" s="5"/>
      <c r="Z896" s="7"/>
      <c r="AA896" s="5"/>
      <c r="AB896" s="5"/>
      <c r="AC896" s="5"/>
      <c r="AD896" s="5"/>
      <c r="AE896" s="5"/>
      <c r="AF896" s="5"/>
      <c r="AG896" s="5"/>
      <c r="AH896" s="5"/>
      <c r="AI896" s="5"/>
    </row>
    <row r="897" spans="1:35" ht="15.75" customHeight="1">
      <c r="A897" s="5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5"/>
      <c r="T897" s="5"/>
      <c r="U897" s="104"/>
      <c r="V897" s="5"/>
      <c r="W897" s="5"/>
      <c r="X897" s="5"/>
      <c r="Y897" s="5"/>
      <c r="Z897" s="7"/>
      <c r="AA897" s="5"/>
      <c r="AB897" s="5"/>
      <c r="AC897" s="5"/>
      <c r="AD897" s="5"/>
      <c r="AE897" s="5"/>
      <c r="AF897" s="5"/>
      <c r="AG897" s="5"/>
      <c r="AH897" s="5"/>
      <c r="AI897" s="5"/>
    </row>
    <row r="898" spans="1:35" ht="15.75" customHeight="1">
      <c r="A898" s="5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5"/>
      <c r="T898" s="5"/>
      <c r="U898" s="104"/>
      <c r="V898" s="5"/>
      <c r="W898" s="5"/>
      <c r="X898" s="5"/>
      <c r="Y898" s="5"/>
      <c r="Z898" s="7"/>
      <c r="AA898" s="5"/>
      <c r="AB898" s="5"/>
      <c r="AC898" s="5"/>
      <c r="AD898" s="5"/>
      <c r="AE898" s="5"/>
      <c r="AF898" s="5"/>
      <c r="AG898" s="5"/>
      <c r="AH898" s="5"/>
      <c r="AI898" s="5"/>
    </row>
    <row r="899" spans="1:35" ht="15.75" customHeight="1">
      <c r="A899" s="5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5"/>
      <c r="T899" s="5"/>
      <c r="U899" s="104"/>
      <c r="V899" s="5"/>
      <c r="W899" s="5"/>
      <c r="X899" s="5"/>
      <c r="Y899" s="5"/>
      <c r="Z899" s="7"/>
      <c r="AA899" s="5"/>
      <c r="AB899" s="5"/>
      <c r="AC899" s="5"/>
      <c r="AD899" s="5"/>
      <c r="AE899" s="5"/>
      <c r="AF899" s="5"/>
      <c r="AG899" s="5"/>
      <c r="AH899" s="5"/>
      <c r="AI899" s="5"/>
    </row>
    <row r="900" spans="1:35" ht="15.75" customHeight="1">
      <c r="A900" s="5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5"/>
      <c r="T900" s="5"/>
      <c r="U900" s="104"/>
      <c r="V900" s="5"/>
      <c r="W900" s="5"/>
      <c r="X900" s="5"/>
      <c r="Y900" s="5"/>
      <c r="Z900" s="7"/>
      <c r="AA900" s="5"/>
      <c r="AB900" s="5"/>
      <c r="AC900" s="5"/>
      <c r="AD900" s="5"/>
      <c r="AE900" s="5"/>
      <c r="AF900" s="5"/>
      <c r="AG900" s="5"/>
      <c r="AH900" s="5"/>
      <c r="AI900" s="5"/>
    </row>
    <row r="901" spans="1:35" ht="15.75" customHeight="1">
      <c r="A901" s="5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5"/>
      <c r="T901" s="5"/>
      <c r="U901" s="104"/>
      <c r="V901" s="5"/>
      <c r="W901" s="5"/>
      <c r="X901" s="5"/>
      <c r="Y901" s="5"/>
      <c r="Z901" s="7"/>
      <c r="AA901" s="5"/>
      <c r="AB901" s="5"/>
      <c r="AC901" s="5"/>
      <c r="AD901" s="5"/>
      <c r="AE901" s="5"/>
      <c r="AF901" s="5"/>
      <c r="AG901" s="5"/>
      <c r="AH901" s="5"/>
      <c r="AI901" s="5"/>
    </row>
    <row r="902" spans="1:35" ht="15.75" customHeight="1">
      <c r="A902" s="5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5"/>
      <c r="T902" s="5"/>
      <c r="U902" s="104"/>
      <c r="V902" s="5"/>
      <c r="W902" s="5"/>
      <c r="X902" s="5"/>
      <c r="Y902" s="5"/>
      <c r="Z902" s="7"/>
      <c r="AA902" s="5"/>
      <c r="AB902" s="5"/>
      <c r="AC902" s="5"/>
      <c r="AD902" s="5"/>
      <c r="AE902" s="5"/>
      <c r="AF902" s="5"/>
      <c r="AG902" s="5"/>
      <c r="AH902" s="5"/>
      <c r="AI902" s="5"/>
    </row>
    <row r="903" spans="1:35" ht="15.75" customHeight="1">
      <c r="A903" s="5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5"/>
      <c r="T903" s="5"/>
      <c r="U903" s="104"/>
      <c r="V903" s="5"/>
      <c r="W903" s="5"/>
      <c r="X903" s="5"/>
      <c r="Y903" s="5"/>
      <c r="Z903" s="7"/>
      <c r="AA903" s="5"/>
      <c r="AB903" s="5"/>
      <c r="AC903" s="5"/>
      <c r="AD903" s="5"/>
      <c r="AE903" s="5"/>
      <c r="AF903" s="5"/>
      <c r="AG903" s="5"/>
      <c r="AH903" s="5"/>
      <c r="AI903" s="5"/>
    </row>
    <row r="904" spans="1:35" ht="15.75" customHeight="1">
      <c r="A904" s="5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5"/>
      <c r="T904" s="5"/>
      <c r="U904" s="104"/>
      <c r="V904" s="5"/>
      <c r="W904" s="5"/>
      <c r="X904" s="5"/>
      <c r="Y904" s="5"/>
      <c r="Z904" s="7"/>
      <c r="AA904" s="5"/>
      <c r="AB904" s="5"/>
      <c r="AC904" s="5"/>
      <c r="AD904" s="5"/>
      <c r="AE904" s="5"/>
      <c r="AF904" s="5"/>
      <c r="AG904" s="5"/>
      <c r="AH904" s="5"/>
      <c r="AI904" s="5"/>
    </row>
    <row r="905" spans="1:35" ht="15.75" customHeight="1">
      <c r="A905" s="5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5"/>
      <c r="T905" s="5"/>
      <c r="U905" s="104"/>
      <c r="V905" s="5"/>
      <c r="W905" s="5"/>
      <c r="X905" s="5"/>
      <c r="Y905" s="5"/>
      <c r="Z905" s="7"/>
      <c r="AA905" s="5"/>
      <c r="AB905" s="5"/>
      <c r="AC905" s="5"/>
      <c r="AD905" s="5"/>
      <c r="AE905" s="5"/>
      <c r="AF905" s="5"/>
      <c r="AG905" s="5"/>
      <c r="AH905" s="5"/>
      <c r="AI905" s="5"/>
    </row>
    <row r="906" spans="1:35" ht="15.75" customHeight="1">
      <c r="A906" s="5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5"/>
      <c r="T906" s="5"/>
      <c r="U906" s="104"/>
      <c r="V906" s="5"/>
      <c r="W906" s="5"/>
      <c r="X906" s="5"/>
      <c r="Y906" s="5"/>
      <c r="Z906" s="7"/>
      <c r="AA906" s="5"/>
      <c r="AB906" s="5"/>
      <c r="AC906" s="5"/>
      <c r="AD906" s="5"/>
      <c r="AE906" s="5"/>
      <c r="AF906" s="5"/>
      <c r="AG906" s="5"/>
      <c r="AH906" s="5"/>
      <c r="AI906" s="5"/>
    </row>
    <row r="907" spans="1:35" ht="15.75" customHeight="1">
      <c r="A907" s="5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5"/>
      <c r="T907" s="5"/>
      <c r="U907" s="104"/>
      <c r="V907" s="5"/>
      <c r="W907" s="5"/>
      <c r="X907" s="5"/>
      <c r="Y907" s="5"/>
      <c r="Z907" s="7"/>
      <c r="AA907" s="5"/>
      <c r="AB907" s="5"/>
      <c r="AC907" s="5"/>
      <c r="AD907" s="5"/>
      <c r="AE907" s="5"/>
      <c r="AF907" s="5"/>
      <c r="AG907" s="5"/>
      <c r="AH907" s="5"/>
      <c r="AI907" s="5"/>
    </row>
    <row r="908" spans="1:35" ht="15.75" customHeight="1">
      <c r="A908" s="5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5"/>
      <c r="T908" s="5"/>
      <c r="U908" s="104"/>
      <c r="V908" s="5"/>
      <c r="W908" s="5"/>
      <c r="X908" s="5"/>
      <c r="Y908" s="5"/>
      <c r="Z908" s="7"/>
      <c r="AA908" s="5"/>
      <c r="AB908" s="5"/>
      <c r="AC908" s="5"/>
      <c r="AD908" s="5"/>
      <c r="AE908" s="5"/>
      <c r="AF908" s="5"/>
      <c r="AG908" s="5"/>
      <c r="AH908" s="5"/>
      <c r="AI908" s="5"/>
    </row>
    <row r="909" spans="1:35" ht="15.75" customHeight="1">
      <c r="A909" s="5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5"/>
      <c r="T909" s="5"/>
      <c r="U909" s="104"/>
      <c r="V909" s="5"/>
      <c r="W909" s="5"/>
      <c r="X909" s="5"/>
      <c r="Y909" s="5"/>
      <c r="Z909" s="7"/>
      <c r="AA909" s="5"/>
      <c r="AB909" s="5"/>
      <c r="AC909" s="5"/>
      <c r="AD909" s="5"/>
      <c r="AE909" s="5"/>
      <c r="AF909" s="5"/>
      <c r="AG909" s="5"/>
      <c r="AH909" s="5"/>
      <c r="AI909" s="5"/>
    </row>
    <row r="910" spans="1:35" ht="15.75" customHeight="1">
      <c r="A910" s="5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5"/>
      <c r="T910" s="5"/>
      <c r="U910" s="104"/>
      <c r="V910" s="5"/>
      <c r="W910" s="5"/>
      <c r="X910" s="5"/>
      <c r="Y910" s="5"/>
      <c r="Z910" s="7"/>
      <c r="AA910" s="5"/>
      <c r="AB910" s="5"/>
      <c r="AC910" s="5"/>
      <c r="AD910" s="5"/>
      <c r="AE910" s="5"/>
      <c r="AF910" s="5"/>
      <c r="AG910" s="5"/>
      <c r="AH910" s="5"/>
      <c r="AI910" s="5"/>
    </row>
    <row r="911" spans="1:35" ht="15.75" customHeight="1">
      <c r="A911" s="5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5"/>
      <c r="T911" s="5"/>
      <c r="U911" s="104"/>
      <c r="V911" s="5"/>
      <c r="W911" s="5"/>
      <c r="X911" s="5"/>
      <c r="Y911" s="5"/>
      <c r="Z911" s="7"/>
      <c r="AA911" s="5"/>
      <c r="AB911" s="5"/>
      <c r="AC911" s="5"/>
      <c r="AD911" s="5"/>
      <c r="AE911" s="5"/>
      <c r="AF911" s="5"/>
      <c r="AG911" s="5"/>
      <c r="AH911" s="5"/>
      <c r="AI911" s="5"/>
    </row>
    <row r="912" spans="1:35" ht="15.75" customHeight="1">
      <c r="A912" s="5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5"/>
      <c r="T912" s="5"/>
      <c r="U912" s="104"/>
      <c r="V912" s="5"/>
      <c r="W912" s="5"/>
      <c r="X912" s="5"/>
      <c r="Y912" s="5"/>
      <c r="Z912" s="7"/>
      <c r="AA912" s="5"/>
      <c r="AB912" s="5"/>
      <c r="AC912" s="5"/>
      <c r="AD912" s="5"/>
      <c r="AE912" s="5"/>
      <c r="AF912" s="5"/>
      <c r="AG912" s="5"/>
      <c r="AH912" s="5"/>
      <c r="AI912" s="5"/>
    </row>
    <row r="913" spans="1:35" ht="15.75" customHeight="1">
      <c r="A913" s="5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5"/>
      <c r="T913" s="5"/>
      <c r="U913" s="104"/>
      <c r="V913" s="5"/>
      <c r="W913" s="5"/>
      <c r="X913" s="5"/>
      <c r="Y913" s="5"/>
      <c r="Z913" s="7"/>
      <c r="AA913" s="5"/>
      <c r="AB913" s="5"/>
      <c r="AC913" s="5"/>
      <c r="AD913" s="5"/>
      <c r="AE913" s="5"/>
      <c r="AF913" s="5"/>
      <c r="AG913" s="5"/>
      <c r="AH913" s="5"/>
      <c r="AI913" s="5"/>
    </row>
    <row r="914" spans="1:35" ht="15.75" customHeight="1">
      <c r="A914" s="5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5"/>
      <c r="T914" s="5"/>
      <c r="U914" s="104"/>
      <c r="V914" s="5"/>
      <c r="W914" s="5"/>
      <c r="X914" s="5"/>
      <c r="Y914" s="5"/>
      <c r="Z914" s="7"/>
      <c r="AA914" s="5"/>
      <c r="AB914" s="5"/>
      <c r="AC914" s="5"/>
      <c r="AD914" s="5"/>
      <c r="AE914" s="5"/>
      <c r="AF914" s="5"/>
      <c r="AG914" s="5"/>
      <c r="AH914" s="5"/>
      <c r="AI914" s="5"/>
    </row>
    <row r="915" spans="1:35" ht="15.75" customHeight="1">
      <c r="A915" s="5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5"/>
      <c r="T915" s="5"/>
      <c r="U915" s="104"/>
      <c r="V915" s="5"/>
      <c r="W915" s="5"/>
      <c r="X915" s="5"/>
      <c r="Y915" s="5"/>
      <c r="Z915" s="7"/>
      <c r="AA915" s="5"/>
      <c r="AB915" s="5"/>
      <c r="AC915" s="5"/>
      <c r="AD915" s="5"/>
      <c r="AE915" s="5"/>
      <c r="AF915" s="5"/>
      <c r="AG915" s="5"/>
      <c r="AH915" s="5"/>
      <c r="AI915" s="5"/>
    </row>
    <row r="916" spans="1:35" ht="15.75" customHeight="1">
      <c r="A916" s="5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5"/>
      <c r="T916" s="5"/>
      <c r="U916" s="104"/>
      <c r="V916" s="5"/>
      <c r="W916" s="5"/>
      <c r="X916" s="5"/>
      <c r="Y916" s="5"/>
      <c r="Z916" s="7"/>
      <c r="AA916" s="5"/>
      <c r="AB916" s="5"/>
      <c r="AC916" s="5"/>
      <c r="AD916" s="5"/>
      <c r="AE916" s="5"/>
      <c r="AF916" s="5"/>
      <c r="AG916" s="5"/>
      <c r="AH916" s="5"/>
      <c r="AI916" s="5"/>
    </row>
    <row r="917" spans="1:35" ht="15.75" customHeight="1">
      <c r="A917" s="5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5"/>
      <c r="T917" s="5"/>
      <c r="U917" s="104"/>
      <c r="V917" s="5"/>
      <c r="W917" s="5"/>
      <c r="X917" s="5"/>
      <c r="Y917" s="5"/>
      <c r="Z917" s="7"/>
      <c r="AA917" s="5"/>
      <c r="AB917" s="5"/>
      <c r="AC917" s="5"/>
      <c r="AD917" s="5"/>
      <c r="AE917" s="5"/>
      <c r="AF917" s="5"/>
      <c r="AG917" s="5"/>
      <c r="AH917" s="5"/>
      <c r="AI917" s="5"/>
    </row>
    <row r="918" spans="1:35" ht="15.75" customHeight="1">
      <c r="A918" s="5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5"/>
      <c r="T918" s="5"/>
      <c r="U918" s="104"/>
      <c r="V918" s="5"/>
      <c r="W918" s="5"/>
      <c r="X918" s="5"/>
      <c r="Y918" s="5"/>
      <c r="Z918" s="7"/>
      <c r="AA918" s="5"/>
      <c r="AB918" s="5"/>
      <c r="AC918" s="5"/>
      <c r="AD918" s="5"/>
      <c r="AE918" s="5"/>
      <c r="AF918" s="5"/>
      <c r="AG918" s="5"/>
      <c r="AH918" s="5"/>
      <c r="AI918" s="5"/>
    </row>
    <row r="919" spans="1:35" ht="15.75" customHeight="1">
      <c r="A919" s="5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5"/>
      <c r="T919" s="5"/>
      <c r="U919" s="104"/>
      <c r="V919" s="5"/>
      <c r="W919" s="5"/>
      <c r="X919" s="5"/>
      <c r="Y919" s="5"/>
      <c r="Z919" s="7"/>
      <c r="AA919" s="5"/>
      <c r="AB919" s="5"/>
      <c r="AC919" s="5"/>
      <c r="AD919" s="5"/>
      <c r="AE919" s="5"/>
      <c r="AF919" s="5"/>
      <c r="AG919" s="5"/>
      <c r="AH919" s="5"/>
      <c r="AI919" s="5"/>
    </row>
    <row r="920" spans="1:35" ht="15.75" customHeight="1">
      <c r="A920" s="5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5"/>
      <c r="T920" s="5"/>
      <c r="U920" s="104"/>
      <c r="V920" s="5"/>
      <c r="W920" s="5"/>
      <c r="X920" s="5"/>
      <c r="Y920" s="5"/>
      <c r="Z920" s="7"/>
      <c r="AA920" s="5"/>
      <c r="AB920" s="5"/>
      <c r="AC920" s="5"/>
      <c r="AD920" s="5"/>
      <c r="AE920" s="5"/>
      <c r="AF920" s="5"/>
      <c r="AG920" s="5"/>
      <c r="AH920" s="5"/>
      <c r="AI920" s="5"/>
    </row>
    <row r="921" spans="1:35" ht="15.75" customHeight="1">
      <c r="A921" s="5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5"/>
      <c r="T921" s="5"/>
      <c r="U921" s="104"/>
      <c r="V921" s="5"/>
      <c r="W921" s="5"/>
      <c r="X921" s="5"/>
      <c r="Y921" s="5"/>
      <c r="Z921" s="7"/>
      <c r="AA921" s="5"/>
      <c r="AB921" s="5"/>
      <c r="AC921" s="5"/>
      <c r="AD921" s="5"/>
      <c r="AE921" s="5"/>
      <c r="AF921" s="5"/>
      <c r="AG921" s="5"/>
      <c r="AH921" s="5"/>
      <c r="AI921" s="5"/>
    </row>
    <row r="922" spans="1:35" ht="15.75" customHeight="1">
      <c r="A922" s="5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5"/>
      <c r="T922" s="5"/>
      <c r="U922" s="104"/>
      <c r="V922" s="5"/>
      <c r="W922" s="5"/>
      <c r="X922" s="5"/>
      <c r="Y922" s="5"/>
      <c r="Z922" s="7"/>
      <c r="AA922" s="5"/>
      <c r="AB922" s="5"/>
      <c r="AC922" s="5"/>
      <c r="AD922" s="5"/>
      <c r="AE922" s="5"/>
      <c r="AF922" s="5"/>
      <c r="AG922" s="5"/>
      <c r="AH922" s="5"/>
      <c r="AI922" s="5"/>
    </row>
    <row r="923" spans="1:35" ht="15.75" customHeight="1">
      <c r="A923" s="5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5"/>
      <c r="T923" s="5"/>
      <c r="U923" s="104"/>
      <c r="V923" s="5"/>
      <c r="W923" s="5"/>
      <c r="X923" s="5"/>
      <c r="Y923" s="5"/>
      <c r="Z923" s="7"/>
      <c r="AA923" s="5"/>
      <c r="AB923" s="5"/>
      <c r="AC923" s="5"/>
      <c r="AD923" s="5"/>
      <c r="AE923" s="5"/>
      <c r="AF923" s="5"/>
      <c r="AG923" s="5"/>
      <c r="AH923" s="5"/>
      <c r="AI923" s="5"/>
    </row>
    <row r="924" spans="1:35" ht="15.75" customHeight="1">
      <c r="A924" s="5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5"/>
      <c r="T924" s="5"/>
      <c r="U924" s="104"/>
      <c r="V924" s="5"/>
      <c r="W924" s="5"/>
      <c r="X924" s="5"/>
      <c r="Y924" s="5"/>
      <c r="Z924" s="7"/>
      <c r="AA924" s="5"/>
      <c r="AB924" s="5"/>
      <c r="AC924" s="5"/>
      <c r="AD924" s="5"/>
      <c r="AE924" s="5"/>
      <c r="AF924" s="5"/>
      <c r="AG924" s="5"/>
      <c r="AH924" s="5"/>
      <c r="AI924" s="5"/>
    </row>
    <row r="925" spans="1:35" ht="15.75" customHeight="1">
      <c r="A925" s="5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5"/>
      <c r="T925" s="5"/>
      <c r="U925" s="104"/>
      <c r="V925" s="5"/>
      <c r="W925" s="5"/>
      <c r="X925" s="5"/>
      <c r="Y925" s="5"/>
      <c r="Z925" s="7"/>
      <c r="AA925" s="5"/>
      <c r="AB925" s="5"/>
      <c r="AC925" s="5"/>
      <c r="AD925" s="5"/>
      <c r="AE925" s="5"/>
      <c r="AF925" s="5"/>
      <c r="AG925" s="5"/>
      <c r="AH925" s="5"/>
      <c r="AI925" s="5"/>
    </row>
    <row r="926" spans="1:35" ht="15.75" customHeight="1">
      <c r="A926" s="5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5"/>
      <c r="T926" s="5"/>
      <c r="U926" s="104"/>
      <c r="V926" s="5"/>
      <c r="W926" s="5"/>
      <c r="X926" s="5"/>
      <c r="Y926" s="5"/>
      <c r="Z926" s="7"/>
      <c r="AA926" s="5"/>
      <c r="AB926" s="5"/>
      <c r="AC926" s="5"/>
      <c r="AD926" s="5"/>
      <c r="AE926" s="5"/>
      <c r="AF926" s="5"/>
      <c r="AG926" s="5"/>
      <c r="AH926" s="5"/>
      <c r="AI926" s="5"/>
    </row>
    <row r="927" spans="1:35" ht="15.75" customHeight="1">
      <c r="A927" s="5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5"/>
      <c r="T927" s="5"/>
      <c r="U927" s="104"/>
      <c r="V927" s="5"/>
      <c r="W927" s="5"/>
      <c r="X927" s="5"/>
      <c r="Y927" s="5"/>
      <c r="Z927" s="7"/>
      <c r="AA927" s="5"/>
      <c r="AB927" s="5"/>
      <c r="AC927" s="5"/>
      <c r="AD927" s="5"/>
      <c r="AE927" s="5"/>
      <c r="AF927" s="5"/>
      <c r="AG927" s="5"/>
      <c r="AH927" s="5"/>
      <c r="AI927" s="5"/>
    </row>
    <row r="928" spans="1:35" ht="15.75" customHeight="1">
      <c r="A928" s="5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5"/>
      <c r="T928" s="5"/>
      <c r="U928" s="104"/>
      <c r="V928" s="5"/>
      <c r="W928" s="5"/>
      <c r="X928" s="5"/>
      <c r="Y928" s="5"/>
      <c r="Z928" s="7"/>
      <c r="AA928" s="5"/>
      <c r="AB928" s="5"/>
      <c r="AC928" s="5"/>
      <c r="AD928" s="5"/>
      <c r="AE928" s="5"/>
      <c r="AF928" s="5"/>
      <c r="AG928" s="5"/>
      <c r="AH928" s="5"/>
      <c r="AI928" s="5"/>
    </row>
    <row r="929" spans="1:35" ht="15.75" customHeight="1">
      <c r="A929" s="5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5"/>
      <c r="T929" s="5"/>
      <c r="U929" s="104"/>
      <c r="V929" s="5"/>
      <c r="W929" s="5"/>
      <c r="X929" s="5"/>
      <c r="Y929" s="5"/>
      <c r="Z929" s="7"/>
      <c r="AA929" s="5"/>
      <c r="AB929" s="5"/>
      <c r="AC929" s="5"/>
      <c r="AD929" s="5"/>
      <c r="AE929" s="5"/>
      <c r="AF929" s="5"/>
      <c r="AG929" s="5"/>
      <c r="AH929" s="5"/>
      <c r="AI929" s="5"/>
    </row>
    <row r="930" spans="1:35" ht="15.75" customHeight="1">
      <c r="A930" s="5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5"/>
      <c r="T930" s="5"/>
      <c r="U930" s="104"/>
      <c r="V930" s="5"/>
      <c r="W930" s="5"/>
      <c r="X930" s="5"/>
      <c r="Y930" s="5"/>
      <c r="Z930" s="7"/>
      <c r="AA930" s="5"/>
      <c r="AB930" s="5"/>
      <c r="AC930" s="5"/>
      <c r="AD930" s="5"/>
      <c r="AE930" s="5"/>
      <c r="AF930" s="5"/>
      <c r="AG930" s="5"/>
      <c r="AH930" s="5"/>
      <c r="AI930" s="5"/>
    </row>
    <row r="931" spans="1:35" ht="15.75" customHeight="1">
      <c r="A931" s="5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5"/>
      <c r="T931" s="5"/>
      <c r="U931" s="104"/>
      <c r="V931" s="5"/>
      <c r="W931" s="5"/>
      <c r="X931" s="5"/>
      <c r="Y931" s="5"/>
      <c r="Z931" s="7"/>
      <c r="AA931" s="5"/>
      <c r="AB931" s="5"/>
      <c r="AC931" s="5"/>
      <c r="AD931" s="5"/>
      <c r="AE931" s="5"/>
      <c r="AF931" s="5"/>
      <c r="AG931" s="5"/>
      <c r="AH931" s="5"/>
      <c r="AI931" s="5"/>
    </row>
    <row r="932" spans="1:35" ht="15.75" customHeight="1">
      <c r="A932" s="5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5"/>
      <c r="T932" s="5"/>
      <c r="U932" s="104"/>
      <c r="V932" s="5"/>
      <c r="W932" s="5"/>
      <c r="X932" s="5"/>
      <c r="Y932" s="5"/>
      <c r="Z932" s="7"/>
      <c r="AA932" s="5"/>
      <c r="AB932" s="5"/>
      <c r="AC932" s="5"/>
      <c r="AD932" s="5"/>
      <c r="AE932" s="5"/>
      <c r="AF932" s="5"/>
      <c r="AG932" s="5"/>
      <c r="AH932" s="5"/>
      <c r="AI932" s="5"/>
    </row>
    <row r="933" spans="1:35" ht="15.75" customHeight="1">
      <c r="A933" s="5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5"/>
      <c r="T933" s="5"/>
      <c r="U933" s="104"/>
      <c r="V933" s="5"/>
      <c r="W933" s="5"/>
      <c r="X933" s="5"/>
      <c r="Y933" s="5"/>
      <c r="Z933" s="7"/>
      <c r="AA933" s="5"/>
      <c r="AB933" s="5"/>
      <c r="AC933" s="5"/>
      <c r="AD933" s="5"/>
      <c r="AE933" s="5"/>
      <c r="AF933" s="5"/>
      <c r="AG933" s="5"/>
      <c r="AH933" s="5"/>
      <c r="AI933" s="5"/>
    </row>
    <row r="934" spans="1:35" ht="15.75" customHeight="1">
      <c r="A934" s="5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5"/>
      <c r="T934" s="5"/>
      <c r="U934" s="104"/>
      <c r="V934" s="5"/>
      <c r="W934" s="5"/>
      <c r="X934" s="5"/>
      <c r="Y934" s="5"/>
      <c r="Z934" s="7"/>
      <c r="AA934" s="5"/>
      <c r="AB934" s="5"/>
      <c r="AC934" s="5"/>
      <c r="AD934" s="5"/>
      <c r="AE934" s="5"/>
      <c r="AF934" s="5"/>
      <c r="AG934" s="5"/>
      <c r="AH934" s="5"/>
      <c r="AI934" s="5"/>
    </row>
    <row r="935" spans="1:35" ht="15.75" customHeight="1">
      <c r="A935" s="5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5"/>
      <c r="T935" s="5"/>
      <c r="U935" s="104"/>
      <c r="V935" s="5"/>
      <c r="W935" s="5"/>
      <c r="X935" s="5"/>
      <c r="Y935" s="5"/>
      <c r="Z935" s="7"/>
      <c r="AA935" s="5"/>
      <c r="AB935" s="5"/>
      <c r="AC935" s="5"/>
      <c r="AD935" s="5"/>
      <c r="AE935" s="5"/>
      <c r="AF935" s="5"/>
      <c r="AG935" s="5"/>
      <c r="AH935" s="5"/>
      <c r="AI935" s="5"/>
    </row>
    <row r="936" spans="1:35" ht="15.75" customHeight="1">
      <c r="A936" s="5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5"/>
      <c r="T936" s="5"/>
      <c r="U936" s="104"/>
      <c r="V936" s="5"/>
      <c r="W936" s="5"/>
      <c r="X936" s="5"/>
      <c r="Y936" s="5"/>
      <c r="Z936" s="7"/>
      <c r="AA936" s="5"/>
      <c r="AB936" s="5"/>
      <c r="AC936" s="5"/>
      <c r="AD936" s="5"/>
      <c r="AE936" s="5"/>
      <c r="AF936" s="5"/>
      <c r="AG936" s="5"/>
      <c r="AH936" s="5"/>
      <c r="AI936" s="5"/>
    </row>
    <row r="937" spans="1:35" ht="15.75" customHeight="1">
      <c r="A937" s="5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5"/>
      <c r="T937" s="5"/>
      <c r="U937" s="104"/>
      <c r="V937" s="5"/>
      <c r="W937" s="5"/>
      <c r="X937" s="5"/>
      <c r="Y937" s="5"/>
      <c r="Z937" s="7"/>
      <c r="AA937" s="5"/>
      <c r="AB937" s="5"/>
      <c r="AC937" s="5"/>
      <c r="AD937" s="5"/>
      <c r="AE937" s="5"/>
      <c r="AF937" s="5"/>
      <c r="AG937" s="5"/>
      <c r="AH937" s="5"/>
      <c r="AI937" s="5"/>
    </row>
    <row r="938" spans="1:35" ht="15.75" customHeight="1">
      <c r="A938" s="5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5"/>
      <c r="T938" s="5"/>
      <c r="U938" s="104"/>
      <c r="V938" s="5"/>
      <c r="W938" s="5"/>
      <c r="X938" s="5"/>
      <c r="Y938" s="5"/>
      <c r="Z938" s="7"/>
      <c r="AA938" s="5"/>
      <c r="AB938" s="5"/>
      <c r="AC938" s="5"/>
      <c r="AD938" s="5"/>
      <c r="AE938" s="5"/>
      <c r="AF938" s="5"/>
      <c r="AG938" s="5"/>
      <c r="AH938" s="5"/>
      <c r="AI938" s="5"/>
    </row>
    <row r="939" spans="1:35" ht="15.75" customHeight="1">
      <c r="A939" s="5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5"/>
      <c r="T939" s="5"/>
      <c r="U939" s="104"/>
      <c r="V939" s="5"/>
      <c r="W939" s="5"/>
      <c r="X939" s="5"/>
      <c r="Y939" s="5"/>
      <c r="Z939" s="7"/>
      <c r="AA939" s="5"/>
      <c r="AB939" s="5"/>
      <c r="AC939" s="5"/>
      <c r="AD939" s="5"/>
      <c r="AE939" s="5"/>
      <c r="AF939" s="5"/>
      <c r="AG939" s="5"/>
      <c r="AH939" s="5"/>
      <c r="AI939" s="5"/>
    </row>
    <row r="940" spans="1:35" ht="15.75" customHeight="1">
      <c r="A940" s="5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5"/>
      <c r="T940" s="5"/>
      <c r="U940" s="104"/>
      <c r="V940" s="5"/>
      <c r="W940" s="5"/>
      <c r="X940" s="5"/>
      <c r="Y940" s="5"/>
      <c r="Z940" s="7"/>
      <c r="AA940" s="5"/>
      <c r="AB940" s="5"/>
      <c r="AC940" s="5"/>
      <c r="AD940" s="5"/>
      <c r="AE940" s="5"/>
      <c r="AF940" s="5"/>
      <c r="AG940" s="5"/>
      <c r="AH940" s="5"/>
      <c r="AI940" s="5"/>
    </row>
    <row r="941" spans="1:35" ht="15.75" customHeight="1">
      <c r="A941" s="5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5"/>
      <c r="T941" s="5"/>
      <c r="U941" s="104"/>
      <c r="V941" s="5"/>
      <c r="W941" s="5"/>
      <c r="X941" s="5"/>
      <c r="Y941" s="5"/>
      <c r="Z941" s="7"/>
      <c r="AA941" s="5"/>
      <c r="AB941" s="5"/>
      <c r="AC941" s="5"/>
      <c r="AD941" s="5"/>
      <c r="AE941" s="5"/>
      <c r="AF941" s="5"/>
      <c r="AG941" s="5"/>
      <c r="AH941" s="5"/>
      <c r="AI941" s="5"/>
    </row>
    <row r="942" spans="1:35" ht="15.75" customHeight="1">
      <c r="A942" s="5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5"/>
      <c r="T942" s="5"/>
      <c r="U942" s="104"/>
      <c r="V942" s="5"/>
      <c r="W942" s="5"/>
      <c r="X942" s="5"/>
      <c r="Y942" s="5"/>
      <c r="Z942" s="7"/>
      <c r="AA942" s="5"/>
      <c r="AB942" s="5"/>
      <c r="AC942" s="5"/>
      <c r="AD942" s="5"/>
      <c r="AE942" s="5"/>
      <c r="AF942" s="5"/>
      <c r="AG942" s="5"/>
      <c r="AH942" s="5"/>
      <c r="AI942" s="5"/>
    </row>
    <row r="943" spans="1:35" ht="15.75" customHeight="1">
      <c r="A943" s="5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5"/>
      <c r="T943" s="5"/>
      <c r="U943" s="104"/>
      <c r="V943" s="5"/>
      <c r="W943" s="5"/>
      <c r="X943" s="5"/>
      <c r="Y943" s="5"/>
      <c r="Z943" s="7"/>
      <c r="AA943" s="5"/>
      <c r="AB943" s="5"/>
      <c r="AC943" s="5"/>
      <c r="AD943" s="5"/>
      <c r="AE943" s="5"/>
      <c r="AF943" s="5"/>
      <c r="AG943" s="5"/>
      <c r="AH943" s="5"/>
      <c r="AI943" s="5"/>
    </row>
    <row r="944" spans="1:35" ht="15.75" customHeight="1">
      <c r="A944" s="5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5"/>
      <c r="T944" s="5"/>
      <c r="U944" s="104"/>
      <c r="V944" s="5"/>
      <c r="W944" s="5"/>
      <c r="X944" s="5"/>
      <c r="Y944" s="5"/>
      <c r="Z944" s="7"/>
      <c r="AA944" s="5"/>
      <c r="AB944" s="5"/>
      <c r="AC944" s="5"/>
      <c r="AD944" s="5"/>
      <c r="AE944" s="5"/>
      <c r="AF944" s="5"/>
      <c r="AG944" s="5"/>
      <c r="AH944" s="5"/>
      <c r="AI944" s="5"/>
    </row>
    <row r="945" spans="1:35" ht="15.75" customHeight="1">
      <c r="A945" s="5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5"/>
      <c r="T945" s="5"/>
      <c r="U945" s="104"/>
      <c r="V945" s="5"/>
      <c r="W945" s="5"/>
      <c r="X945" s="5"/>
      <c r="Y945" s="5"/>
      <c r="Z945" s="7"/>
      <c r="AA945" s="5"/>
      <c r="AB945" s="5"/>
      <c r="AC945" s="5"/>
      <c r="AD945" s="5"/>
      <c r="AE945" s="5"/>
      <c r="AF945" s="5"/>
      <c r="AG945" s="5"/>
      <c r="AH945" s="5"/>
      <c r="AI945" s="5"/>
    </row>
    <row r="946" spans="1:35" ht="15.75" customHeight="1">
      <c r="A946" s="5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5"/>
      <c r="T946" s="5"/>
      <c r="U946" s="104"/>
      <c r="V946" s="5"/>
      <c r="W946" s="5"/>
      <c r="X946" s="5"/>
      <c r="Y946" s="5"/>
      <c r="Z946" s="7"/>
      <c r="AA946" s="5"/>
      <c r="AB946" s="5"/>
      <c r="AC946" s="5"/>
      <c r="AD946" s="5"/>
      <c r="AE946" s="5"/>
      <c r="AF946" s="5"/>
      <c r="AG946" s="5"/>
      <c r="AH946" s="5"/>
      <c r="AI946" s="5"/>
    </row>
    <row r="947" spans="1:35" ht="15.75" customHeight="1">
      <c r="A947" s="5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5"/>
      <c r="T947" s="5"/>
      <c r="U947" s="104"/>
      <c r="V947" s="5"/>
      <c r="W947" s="5"/>
      <c r="X947" s="5"/>
      <c r="Y947" s="5"/>
      <c r="Z947" s="7"/>
      <c r="AA947" s="5"/>
      <c r="AB947" s="5"/>
      <c r="AC947" s="5"/>
      <c r="AD947" s="5"/>
      <c r="AE947" s="5"/>
      <c r="AF947" s="5"/>
      <c r="AG947" s="5"/>
      <c r="AH947" s="5"/>
      <c r="AI947" s="5"/>
    </row>
    <row r="948" spans="1:35" ht="15.75" customHeight="1">
      <c r="A948" s="5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5"/>
      <c r="T948" s="5"/>
      <c r="U948" s="104"/>
      <c r="V948" s="5"/>
      <c r="W948" s="5"/>
      <c r="X948" s="5"/>
      <c r="Y948" s="5"/>
      <c r="Z948" s="7"/>
      <c r="AA948" s="5"/>
      <c r="AB948" s="5"/>
      <c r="AC948" s="5"/>
      <c r="AD948" s="5"/>
      <c r="AE948" s="5"/>
      <c r="AF948" s="5"/>
      <c r="AG948" s="5"/>
      <c r="AH948" s="5"/>
      <c r="AI948" s="5"/>
    </row>
    <row r="949" spans="1:35" ht="15.75" customHeight="1">
      <c r="A949" s="5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5"/>
      <c r="T949" s="5"/>
      <c r="U949" s="104"/>
      <c r="V949" s="5"/>
      <c r="W949" s="5"/>
      <c r="X949" s="5"/>
      <c r="Y949" s="5"/>
      <c r="Z949" s="7"/>
      <c r="AA949" s="5"/>
      <c r="AB949" s="5"/>
      <c r="AC949" s="5"/>
      <c r="AD949" s="5"/>
      <c r="AE949" s="5"/>
      <c r="AF949" s="5"/>
      <c r="AG949" s="5"/>
      <c r="AH949" s="5"/>
      <c r="AI949" s="5"/>
    </row>
    <row r="950" spans="1:35" ht="15.75" customHeight="1">
      <c r="A950" s="5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5"/>
      <c r="T950" s="5"/>
      <c r="U950" s="104"/>
      <c r="V950" s="5"/>
      <c r="W950" s="5"/>
      <c r="X950" s="5"/>
      <c r="Y950" s="5"/>
      <c r="Z950" s="7"/>
      <c r="AA950" s="5"/>
      <c r="AB950" s="5"/>
      <c r="AC950" s="5"/>
      <c r="AD950" s="5"/>
      <c r="AE950" s="5"/>
      <c r="AF950" s="5"/>
      <c r="AG950" s="5"/>
      <c r="AH950" s="5"/>
      <c r="AI950" s="5"/>
    </row>
    <row r="951" spans="1:35" ht="15.75" customHeight="1">
      <c r="A951" s="5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5"/>
      <c r="T951" s="5"/>
      <c r="U951" s="104"/>
      <c r="V951" s="5"/>
      <c r="W951" s="5"/>
      <c r="X951" s="5"/>
      <c r="Y951" s="5"/>
      <c r="Z951" s="7"/>
      <c r="AA951" s="5"/>
      <c r="AB951" s="5"/>
      <c r="AC951" s="5"/>
      <c r="AD951" s="5"/>
      <c r="AE951" s="5"/>
      <c r="AF951" s="5"/>
      <c r="AG951" s="5"/>
      <c r="AH951" s="5"/>
      <c r="AI951" s="5"/>
    </row>
    <row r="952" spans="1:35" ht="15.75" customHeight="1">
      <c r="A952" s="5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5"/>
      <c r="T952" s="5"/>
      <c r="U952" s="104"/>
      <c r="V952" s="5"/>
      <c r="W952" s="5"/>
      <c r="X952" s="5"/>
      <c r="Y952" s="5"/>
      <c r="Z952" s="7"/>
      <c r="AA952" s="5"/>
      <c r="AB952" s="5"/>
      <c r="AC952" s="5"/>
      <c r="AD952" s="5"/>
      <c r="AE952" s="5"/>
      <c r="AF952" s="5"/>
      <c r="AG952" s="5"/>
      <c r="AH952" s="5"/>
      <c r="AI952" s="5"/>
    </row>
    <row r="953" spans="1:35" ht="15.75" customHeight="1">
      <c r="A953" s="5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5"/>
      <c r="T953" s="5"/>
      <c r="U953" s="104"/>
      <c r="V953" s="5"/>
      <c r="W953" s="5"/>
      <c r="X953" s="5"/>
      <c r="Y953" s="5"/>
      <c r="Z953" s="7"/>
      <c r="AA953" s="5"/>
      <c r="AB953" s="5"/>
      <c r="AC953" s="5"/>
      <c r="AD953" s="5"/>
      <c r="AE953" s="5"/>
      <c r="AF953" s="5"/>
      <c r="AG953" s="5"/>
      <c r="AH953" s="5"/>
      <c r="AI953" s="5"/>
    </row>
    <row r="954" spans="1:35" ht="15.75" customHeight="1">
      <c r="A954" s="5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5"/>
      <c r="T954" s="5"/>
      <c r="U954" s="104"/>
      <c r="V954" s="5"/>
      <c r="W954" s="5"/>
      <c r="X954" s="5"/>
      <c r="Y954" s="5"/>
      <c r="Z954" s="7"/>
      <c r="AA954" s="5"/>
      <c r="AB954" s="5"/>
      <c r="AC954" s="5"/>
      <c r="AD954" s="5"/>
      <c r="AE954" s="5"/>
      <c r="AF954" s="5"/>
      <c r="AG954" s="5"/>
      <c r="AH954" s="5"/>
      <c r="AI954" s="5"/>
    </row>
    <row r="955" spans="1:35" ht="15.75" customHeight="1">
      <c r="A955" s="5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5"/>
      <c r="T955" s="5"/>
      <c r="U955" s="104"/>
      <c r="V955" s="5"/>
      <c r="W955" s="5"/>
      <c r="X955" s="5"/>
      <c r="Y955" s="5"/>
      <c r="Z955" s="7"/>
      <c r="AA955" s="5"/>
      <c r="AB955" s="5"/>
      <c r="AC955" s="5"/>
      <c r="AD955" s="5"/>
      <c r="AE955" s="5"/>
      <c r="AF955" s="5"/>
      <c r="AG955" s="5"/>
      <c r="AH955" s="5"/>
      <c r="AI955" s="5"/>
    </row>
    <row r="956" spans="1:35" ht="15.75" customHeight="1">
      <c r="A956" s="5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5"/>
      <c r="T956" s="5"/>
      <c r="U956" s="104"/>
      <c r="V956" s="5"/>
      <c r="W956" s="5"/>
      <c r="X956" s="5"/>
      <c r="Y956" s="5"/>
      <c r="Z956" s="7"/>
      <c r="AA956" s="5"/>
      <c r="AB956" s="5"/>
      <c r="AC956" s="5"/>
      <c r="AD956" s="5"/>
      <c r="AE956" s="5"/>
      <c r="AF956" s="5"/>
      <c r="AG956" s="5"/>
      <c r="AH956" s="5"/>
      <c r="AI956" s="5"/>
    </row>
    <row r="957" spans="1:35" ht="15.75" customHeight="1">
      <c r="A957" s="5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5"/>
      <c r="T957" s="5"/>
      <c r="U957" s="104"/>
      <c r="V957" s="5"/>
      <c r="W957" s="5"/>
      <c r="X957" s="5"/>
      <c r="Y957" s="5"/>
      <c r="Z957" s="7"/>
      <c r="AA957" s="5"/>
      <c r="AB957" s="5"/>
      <c r="AC957" s="5"/>
      <c r="AD957" s="5"/>
      <c r="AE957" s="5"/>
      <c r="AF957" s="5"/>
      <c r="AG957" s="5"/>
      <c r="AH957" s="5"/>
      <c r="AI957" s="5"/>
    </row>
    <row r="958" spans="1:35" ht="15.75" customHeight="1">
      <c r="A958" s="5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5"/>
      <c r="T958" s="5"/>
      <c r="U958" s="104"/>
      <c r="V958" s="5"/>
      <c r="W958" s="5"/>
      <c r="X958" s="5"/>
      <c r="Y958" s="5"/>
      <c r="Z958" s="7"/>
      <c r="AA958" s="5"/>
      <c r="AB958" s="5"/>
      <c r="AC958" s="5"/>
      <c r="AD958" s="5"/>
      <c r="AE958" s="5"/>
      <c r="AF958" s="5"/>
      <c r="AG958" s="5"/>
      <c r="AH958" s="5"/>
      <c r="AI958" s="5"/>
    </row>
    <row r="959" spans="1:35" ht="15.75" customHeight="1">
      <c r="A959" s="5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5"/>
      <c r="T959" s="5"/>
      <c r="U959" s="104"/>
      <c r="V959" s="5"/>
      <c r="W959" s="5"/>
      <c r="X959" s="5"/>
      <c r="Y959" s="5"/>
      <c r="Z959" s="7"/>
      <c r="AA959" s="5"/>
      <c r="AB959" s="5"/>
      <c r="AC959" s="5"/>
      <c r="AD959" s="5"/>
      <c r="AE959" s="5"/>
      <c r="AF959" s="5"/>
      <c r="AG959" s="5"/>
      <c r="AH959" s="5"/>
      <c r="AI959" s="5"/>
    </row>
    <row r="960" spans="1:35" ht="15.75" customHeight="1">
      <c r="A960" s="5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5"/>
      <c r="T960" s="5"/>
      <c r="U960" s="104"/>
      <c r="V960" s="5"/>
      <c r="W960" s="5"/>
      <c r="X960" s="5"/>
      <c r="Y960" s="5"/>
      <c r="Z960" s="7"/>
      <c r="AA960" s="5"/>
      <c r="AB960" s="5"/>
      <c r="AC960" s="5"/>
      <c r="AD960" s="5"/>
      <c r="AE960" s="5"/>
      <c r="AF960" s="5"/>
      <c r="AG960" s="5"/>
      <c r="AH960" s="5"/>
      <c r="AI960" s="5"/>
    </row>
    <row r="961" spans="1:35" ht="15.75" customHeight="1">
      <c r="A961" s="5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5"/>
      <c r="T961" s="5"/>
      <c r="U961" s="104"/>
      <c r="V961" s="5"/>
      <c r="W961" s="5"/>
      <c r="X961" s="5"/>
      <c r="Y961" s="5"/>
      <c r="Z961" s="7"/>
      <c r="AA961" s="5"/>
      <c r="AB961" s="5"/>
      <c r="AC961" s="5"/>
      <c r="AD961" s="5"/>
      <c r="AE961" s="5"/>
      <c r="AF961" s="5"/>
      <c r="AG961" s="5"/>
      <c r="AH961" s="5"/>
      <c r="AI961" s="5"/>
    </row>
    <row r="962" spans="1:35" ht="15.75" customHeight="1">
      <c r="A962" s="5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5"/>
      <c r="T962" s="5"/>
      <c r="U962" s="104"/>
      <c r="V962" s="5"/>
      <c r="W962" s="5"/>
      <c r="X962" s="5"/>
      <c r="Y962" s="5"/>
      <c r="Z962" s="7"/>
      <c r="AA962" s="5"/>
      <c r="AB962" s="5"/>
      <c r="AC962" s="5"/>
      <c r="AD962" s="5"/>
      <c r="AE962" s="5"/>
      <c r="AF962" s="5"/>
      <c r="AG962" s="5"/>
      <c r="AH962" s="5"/>
      <c r="AI962" s="5"/>
    </row>
    <row r="963" spans="1:35" ht="15.75" customHeight="1">
      <c r="A963" s="5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5"/>
      <c r="T963" s="5"/>
      <c r="U963" s="104"/>
      <c r="V963" s="5"/>
      <c r="W963" s="5"/>
      <c r="X963" s="5"/>
      <c r="Y963" s="5"/>
      <c r="Z963" s="7"/>
      <c r="AA963" s="5"/>
      <c r="AB963" s="5"/>
      <c r="AC963" s="5"/>
      <c r="AD963" s="5"/>
      <c r="AE963" s="5"/>
      <c r="AF963" s="5"/>
      <c r="AG963" s="5"/>
      <c r="AH963" s="5"/>
      <c r="AI963" s="5"/>
    </row>
    <row r="964" spans="1:35" ht="15.75" customHeight="1">
      <c r="A964" s="5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5"/>
      <c r="T964" s="5"/>
      <c r="U964" s="104"/>
      <c r="V964" s="5"/>
      <c r="W964" s="5"/>
      <c r="X964" s="5"/>
      <c r="Y964" s="5"/>
      <c r="Z964" s="7"/>
      <c r="AA964" s="5"/>
      <c r="AB964" s="5"/>
      <c r="AC964" s="5"/>
      <c r="AD964" s="5"/>
      <c r="AE964" s="5"/>
      <c r="AF964" s="5"/>
      <c r="AG964" s="5"/>
      <c r="AH964" s="5"/>
      <c r="AI964" s="5"/>
    </row>
    <row r="965" spans="1:35" ht="15.75" customHeight="1">
      <c r="A965" s="5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5"/>
      <c r="T965" s="5"/>
      <c r="U965" s="104"/>
      <c r="V965" s="5"/>
      <c r="W965" s="5"/>
      <c r="X965" s="5"/>
      <c r="Y965" s="5"/>
      <c r="Z965" s="7"/>
      <c r="AA965" s="5"/>
      <c r="AB965" s="5"/>
      <c r="AC965" s="5"/>
      <c r="AD965" s="5"/>
      <c r="AE965" s="5"/>
      <c r="AF965" s="5"/>
      <c r="AG965" s="5"/>
      <c r="AH965" s="5"/>
      <c r="AI965" s="5"/>
    </row>
    <row r="966" spans="1:35" ht="15.75" customHeight="1">
      <c r="A966" s="5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5"/>
      <c r="T966" s="5"/>
      <c r="U966" s="104"/>
      <c r="V966" s="5"/>
      <c r="W966" s="5"/>
      <c r="X966" s="5"/>
      <c r="Y966" s="5"/>
      <c r="Z966" s="7"/>
      <c r="AA966" s="5"/>
      <c r="AB966" s="5"/>
      <c r="AC966" s="5"/>
      <c r="AD966" s="5"/>
      <c r="AE966" s="5"/>
      <c r="AF966" s="5"/>
      <c r="AG966" s="5"/>
      <c r="AH966" s="5"/>
      <c r="AI966" s="5"/>
    </row>
    <row r="967" spans="1:35" ht="15.75" customHeight="1">
      <c r="A967" s="5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5"/>
      <c r="T967" s="5"/>
      <c r="U967" s="104"/>
      <c r="V967" s="5"/>
      <c r="W967" s="5"/>
      <c r="X967" s="5"/>
      <c r="Y967" s="5"/>
      <c r="Z967" s="7"/>
      <c r="AA967" s="5"/>
      <c r="AB967" s="5"/>
      <c r="AC967" s="5"/>
      <c r="AD967" s="5"/>
      <c r="AE967" s="5"/>
      <c r="AF967" s="5"/>
      <c r="AG967" s="5"/>
      <c r="AH967" s="5"/>
      <c r="AI967" s="5"/>
    </row>
    <row r="968" spans="1:35" ht="15.75" customHeight="1">
      <c r="A968" s="5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5"/>
      <c r="T968" s="5"/>
      <c r="U968" s="104"/>
      <c r="V968" s="5"/>
      <c r="W968" s="5"/>
      <c r="X968" s="5"/>
      <c r="Y968" s="5"/>
      <c r="Z968" s="7"/>
      <c r="AA968" s="5"/>
      <c r="AB968" s="5"/>
      <c r="AC968" s="5"/>
      <c r="AD968" s="5"/>
      <c r="AE968" s="5"/>
      <c r="AF968" s="5"/>
      <c r="AG968" s="5"/>
      <c r="AH968" s="5"/>
      <c r="AI968" s="5"/>
    </row>
    <row r="969" spans="1:35" ht="15.75" customHeight="1">
      <c r="A969" s="5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5"/>
      <c r="T969" s="5"/>
      <c r="U969" s="104"/>
      <c r="V969" s="5"/>
      <c r="W969" s="5"/>
      <c r="X969" s="5"/>
      <c r="Y969" s="5"/>
      <c r="Z969" s="7"/>
      <c r="AA969" s="5"/>
      <c r="AB969" s="5"/>
      <c r="AC969" s="5"/>
      <c r="AD969" s="5"/>
      <c r="AE969" s="5"/>
      <c r="AF969" s="5"/>
      <c r="AG969" s="5"/>
      <c r="AH969" s="5"/>
      <c r="AI969" s="5"/>
    </row>
    <row r="970" spans="1:35" ht="15.75" customHeight="1">
      <c r="A970" s="5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5"/>
      <c r="T970" s="5"/>
      <c r="U970" s="104"/>
      <c r="V970" s="5"/>
      <c r="W970" s="5"/>
      <c r="X970" s="5"/>
      <c r="Y970" s="5"/>
      <c r="Z970" s="7"/>
      <c r="AA970" s="5"/>
      <c r="AB970" s="5"/>
      <c r="AC970" s="5"/>
      <c r="AD970" s="5"/>
      <c r="AE970" s="5"/>
      <c r="AF970" s="5"/>
      <c r="AG970" s="5"/>
      <c r="AH970" s="5"/>
      <c r="AI970" s="5"/>
    </row>
    <row r="971" spans="1:35" ht="15.75" customHeight="1">
      <c r="A971" s="5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5"/>
      <c r="T971" s="5"/>
      <c r="U971" s="104"/>
      <c r="V971" s="5"/>
      <c r="W971" s="5"/>
      <c r="X971" s="5"/>
      <c r="Y971" s="5"/>
      <c r="Z971" s="7"/>
      <c r="AA971" s="5"/>
      <c r="AB971" s="5"/>
      <c r="AC971" s="5"/>
      <c r="AD971" s="5"/>
      <c r="AE971" s="5"/>
      <c r="AF971" s="5"/>
      <c r="AG971" s="5"/>
      <c r="AH971" s="5"/>
      <c r="AI971" s="5"/>
    </row>
    <row r="972" spans="1:35" ht="15.75" customHeight="1">
      <c r="A972" s="5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5"/>
      <c r="T972" s="5"/>
      <c r="U972" s="104"/>
      <c r="V972" s="5"/>
      <c r="W972" s="5"/>
      <c r="X972" s="5"/>
      <c r="Y972" s="5"/>
      <c r="Z972" s="7"/>
      <c r="AA972" s="5"/>
      <c r="AB972" s="5"/>
      <c r="AC972" s="5"/>
      <c r="AD972" s="5"/>
      <c r="AE972" s="5"/>
      <c r="AF972" s="5"/>
      <c r="AG972" s="5"/>
      <c r="AH972" s="5"/>
      <c r="AI972" s="5"/>
    </row>
    <row r="973" spans="1:35" ht="15.75" customHeight="1">
      <c r="A973" s="5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5"/>
      <c r="T973" s="5"/>
      <c r="U973" s="104"/>
      <c r="V973" s="5"/>
      <c r="W973" s="5"/>
      <c r="X973" s="5"/>
      <c r="Y973" s="5"/>
      <c r="Z973" s="7"/>
      <c r="AA973" s="5"/>
      <c r="AB973" s="5"/>
      <c r="AC973" s="5"/>
      <c r="AD973" s="5"/>
      <c r="AE973" s="5"/>
      <c r="AF973" s="5"/>
      <c r="AG973" s="5"/>
      <c r="AH973" s="5"/>
      <c r="AI973" s="5"/>
    </row>
    <row r="974" spans="1:35" ht="15.75" customHeight="1">
      <c r="A974" s="5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5"/>
      <c r="T974" s="5"/>
      <c r="U974" s="104"/>
      <c r="V974" s="5"/>
      <c r="W974" s="5"/>
      <c r="X974" s="5"/>
      <c r="Y974" s="5"/>
      <c r="Z974" s="7"/>
      <c r="AA974" s="5"/>
      <c r="AB974" s="5"/>
      <c r="AC974" s="5"/>
      <c r="AD974" s="5"/>
      <c r="AE974" s="5"/>
      <c r="AF974" s="5"/>
      <c r="AG974" s="5"/>
      <c r="AH974" s="5"/>
      <c r="AI974" s="5"/>
    </row>
    <row r="975" spans="1:35" ht="15.75" customHeight="1">
      <c r="A975" s="5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5"/>
      <c r="T975" s="5"/>
      <c r="U975" s="104"/>
      <c r="V975" s="5"/>
      <c r="W975" s="5"/>
      <c r="X975" s="5"/>
      <c r="Y975" s="5"/>
      <c r="Z975" s="7"/>
      <c r="AA975" s="5"/>
      <c r="AB975" s="5"/>
      <c r="AC975" s="5"/>
      <c r="AD975" s="5"/>
      <c r="AE975" s="5"/>
      <c r="AF975" s="5"/>
      <c r="AG975" s="5"/>
      <c r="AH975" s="5"/>
      <c r="AI975" s="5"/>
    </row>
    <row r="976" spans="1:35" ht="15.75" customHeight="1">
      <c r="A976" s="5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5"/>
      <c r="T976" s="5"/>
      <c r="U976" s="104"/>
      <c r="V976" s="5"/>
      <c r="W976" s="5"/>
      <c r="X976" s="5"/>
      <c r="Y976" s="5"/>
      <c r="Z976" s="7"/>
      <c r="AA976" s="5"/>
      <c r="AB976" s="5"/>
      <c r="AC976" s="5"/>
      <c r="AD976" s="5"/>
      <c r="AE976" s="5"/>
      <c r="AF976" s="5"/>
      <c r="AG976" s="5"/>
      <c r="AH976" s="5"/>
      <c r="AI976" s="5"/>
    </row>
    <row r="977" spans="1:35" ht="15.75" customHeight="1">
      <c r="A977" s="5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5"/>
      <c r="T977" s="5"/>
      <c r="U977" s="104"/>
      <c r="V977" s="5"/>
      <c r="W977" s="5"/>
      <c r="X977" s="5"/>
      <c r="Y977" s="5"/>
      <c r="Z977" s="7"/>
      <c r="AA977" s="5"/>
      <c r="AB977" s="5"/>
      <c r="AC977" s="5"/>
      <c r="AD977" s="5"/>
      <c r="AE977" s="5"/>
      <c r="AF977" s="5"/>
      <c r="AG977" s="5"/>
      <c r="AH977" s="5"/>
      <c r="AI977" s="5"/>
    </row>
    <row r="978" spans="1:35" ht="15.75" customHeight="1">
      <c r="A978" s="5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5"/>
      <c r="T978" s="5"/>
      <c r="U978" s="104"/>
      <c r="V978" s="5"/>
      <c r="W978" s="5"/>
      <c r="X978" s="5"/>
      <c r="Y978" s="5"/>
      <c r="Z978" s="7"/>
      <c r="AA978" s="5"/>
      <c r="AB978" s="5"/>
      <c r="AC978" s="5"/>
      <c r="AD978" s="5"/>
      <c r="AE978" s="5"/>
      <c r="AF978" s="5"/>
      <c r="AG978" s="5"/>
      <c r="AH978" s="5"/>
      <c r="AI978" s="5"/>
    </row>
    <row r="979" spans="1:35" ht="15.75" customHeight="1">
      <c r="A979" s="5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5"/>
      <c r="T979" s="5"/>
      <c r="U979" s="104"/>
      <c r="V979" s="5"/>
      <c r="W979" s="5"/>
      <c r="X979" s="5"/>
      <c r="Y979" s="5"/>
      <c r="Z979" s="7"/>
      <c r="AA979" s="5"/>
      <c r="AB979" s="5"/>
      <c r="AC979" s="5"/>
      <c r="AD979" s="5"/>
      <c r="AE979" s="5"/>
      <c r="AF979" s="5"/>
      <c r="AG979" s="5"/>
      <c r="AH979" s="5"/>
      <c r="AI979" s="5"/>
    </row>
    <row r="980" spans="1:35" ht="15.75" customHeight="1">
      <c r="A980" s="5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5"/>
      <c r="T980" s="5"/>
      <c r="U980" s="104"/>
      <c r="V980" s="5"/>
      <c r="W980" s="5"/>
      <c r="X980" s="5"/>
      <c r="Y980" s="5"/>
      <c r="Z980" s="7"/>
      <c r="AA980" s="5"/>
      <c r="AB980" s="5"/>
      <c r="AC980" s="5"/>
      <c r="AD980" s="5"/>
      <c r="AE980" s="5"/>
      <c r="AF980" s="5"/>
      <c r="AG980" s="5"/>
      <c r="AH980" s="5"/>
      <c r="AI980" s="5"/>
    </row>
    <row r="981" spans="1:35" ht="15.75" customHeight="1">
      <c r="A981" s="5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5"/>
      <c r="T981" s="5"/>
      <c r="U981" s="104"/>
      <c r="V981" s="5"/>
      <c r="W981" s="5"/>
      <c r="X981" s="5"/>
      <c r="Y981" s="5"/>
      <c r="Z981" s="7"/>
      <c r="AA981" s="5"/>
      <c r="AB981" s="5"/>
      <c r="AC981" s="5"/>
      <c r="AD981" s="5"/>
      <c r="AE981" s="5"/>
      <c r="AF981" s="5"/>
      <c r="AG981" s="5"/>
      <c r="AH981" s="5"/>
      <c r="AI981" s="5"/>
    </row>
    <row r="982" spans="1:35" ht="15.75" customHeight="1">
      <c r="A982" s="5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5"/>
      <c r="T982" s="5"/>
      <c r="U982" s="104"/>
      <c r="V982" s="5"/>
      <c r="W982" s="5"/>
      <c r="X982" s="5"/>
      <c r="Y982" s="5"/>
      <c r="Z982" s="7"/>
      <c r="AA982" s="5"/>
      <c r="AB982" s="5"/>
      <c r="AC982" s="5"/>
      <c r="AD982" s="5"/>
      <c r="AE982" s="5"/>
      <c r="AF982" s="5"/>
      <c r="AG982" s="5"/>
      <c r="AH982" s="5"/>
      <c r="AI982" s="5"/>
    </row>
    <row r="983" spans="1:35" ht="15.75" customHeight="1">
      <c r="A983" s="5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5"/>
      <c r="T983" s="5"/>
      <c r="U983" s="104"/>
      <c r="V983" s="5"/>
      <c r="W983" s="5"/>
      <c r="X983" s="5"/>
      <c r="Y983" s="5"/>
      <c r="Z983" s="7"/>
      <c r="AA983" s="5"/>
      <c r="AB983" s="5"/>
      <c r="AC983" s="5"/>
      <c r="AD983" s="5"/>
      <c r="AE983" s="5"/>
      <c r="AF983" s="5"/>
      <c r="AG983" s="5"/>
      <c r="AH983" s="5"/>
      <c r="AI983" s="5"/>
    </row>
    <row r="984" spans="1:35" ht="15.75" customHeight="1">
      <c r="A984" s="5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5"/>
      <c r="T984" s="5"/>
      <c r="U984" s="104"/>
      <c r="V984" s="5"/>
      <c r="W984" s="5"/>
      <c r="X984" s="5"/>
      <c r="Y984" s="5"/>
      <c r="Z984" s="7"/>
      <c r="AA984" s="5"/>
      <c r="AB984" s="5"/>
      <c r="AC984" s="5"/>
      <c r="AD984" s="5"/>
      <c r="AE984" s="5"/>
      <c r="AF984" s="5"/>
      <c r="AG984" s="5"/>
      <c r="AH984" s="5"/>
      <c r="AI984" s="5"/>
    </row>
    <row r="985" spans="1:35" ht="15.75" customHeight="1">
      <c r="A985" s="5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5"/>
      <c r="T985" s="5"/>
      <c r="U985" s="104"/>
      <c r="V985" s="5"/>
      <c r="W985" s="5"/>
      <c r="X985" s="5"/>
      <c r="Y985" s="5"/>
      <c r="Z985" s="7"/>
      <c r="AA985" s="5"/>
      <c r="AB985" s="5"/>
      <c r="AC985" s="5"/>
      <c r="AD985" s="5"/>
      <c r="AE985" s="5"/>
      <c r="AF985" s="5"/>
      <c r="AG985" s="5"/>
      <c r="AH985" s="5"/>
      <c r="AI985" s="5"/>
    </row>
    <row r="986" spans="1:35" ht="15.75" customHeight="1">
      <c r="A986" s="5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5"/>
      <c r="T986" s="5"/>
      <c r="U986" s="104"/>
      <c r="V986" s="5"/>
      <c r="W986" s="5"/>
      <c r="X986" s="5"/>
      <c r="Y986" s="5"/>
      <c r="Z986" s="7"/>
      <c r="AA986" s="5"/>
      <c r="AB986" s="5"/>
      <c r="AC986" s="5"/>
      <c r="AD986" s="5"/>
      <c r="AE986" s="5"/>
      <c r="AF986" s="5"/>
      <c r="AG986" s="5"/>
      <c r="AH986" s="5"/>
      <c r="AI986" s="5"/>
    </row>
    <row r="987" spans="1:35" ht="15.75" customHeight="1">
      <c r="A987" s="5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5"/>
      <c r="T987" s="5"/>
      <c r="U987" s="104"/>
      <c r="V987" s="5"/>
      <c r="W987" s="5"/>
      <c r="X987" s="5"/>
      <c r="Y987" s="5"/>
      <c r="Z987" s="7"/>
      <c r="AA987" s="5"/>
      <c r="AB987" s="5"/>
      <c r="AC987" s="5"/>
      <c r="AD987" s="5"/>
      <c r="AE987" s="5"/>
      <c r="AF987" s="5"/>
      <c r="AG987" s="5"/>
      <c r="AH987" s="5"/>
      <c r="AI987" s="5"/>
    </row>
    <row r="988" spans="1:35" ht="15.75" customHeight="1">
      <c r="A988" s="5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5"/>
      <c r="T988" s="5"/>
      <c r="U988" s="104"/>
      <c r="V988" s="5"/>
      <c r="W988" s="5"/>
      <c r="X988" s="5"/>
      <c r="Y988" s="5"/>
      <c r="Z988" s="7"/>
      <c r="AA988" s="5"/>
      <c r="AB988" s="5"/>
      <c r="AC988" s="5"/>
      <c r="AD988" s="5"/>
      <c r="AE988" s="5"/>
      <c r="AF988" s="5"/>
      <c r="AG988" s="5"/>
      <c r="AH988" s="5"/>
      <c r="AI988" s="5"/>
    </row>
    <row r="989" spans="1:35" ht="15.75" customHeight="1">
      <c r="A989" s="5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5"/>
      <c r="T989" s="5"/>
      <c r="U989" s="104"/>
      <c r="V989" s="5"/>
      <c r="W989" s="5"/>
      <c r="X989" s="5"/>
      <c r="Y989" s="5"/>
      <c r="Z989" s="7"/>
      <c r="AA989" s="5"/>
      <c r="AB989" s="5"/>
      <c r="AC989" s="5"/>
      <c r="AD989" s="5"/>
      <c r="AE989" s="5"/>
      <c r="AF989" s="5"/>
      <c r="AG989" s="5"/>
      <c r="AH989" s="5"/>
      <c r="AI989" s="5"/>
    </row>
    <row r="990" spans="1:35" ht="15.75" customHeight="1">
      <c r="A990" s="5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5"/>
      <c r="T990" s="5"/>
      <c r="U990" s="104"/>
      <c r="V990" s="5"/>
      <c r="W990" s="5"/>
      <c r="X990" s="5"/>
      <c r="Y990" s="5"/>
      <c r="Z990" s="7"/>
      <c r="AA990" s="5"/>
      <c r="AB990" s="5"/>
      <c r="AC990" s="5"/>
      <c r="AD990" s="5"/>
      <c r="AE990" s="5"/>
      <c r="AF990" s="5"/>
      <c r="AG990" s="5"/>
      <c r="AH990" s="5"/>
      <c r="AI990" s="5"/>
    </row>
    <row r="991" spans="1:35" ht="15.75" customHeight="1">
      <c r="A991" s="5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5"/>
      <c r="T991" s="5"/>
      <c r="U991" s="104"/>
      <c r="V991" s="5"/>
      <c r="W991" s="5"/>
      <c r="X991" s="5"/>
      <c r="Y991" s="5"/>
      <c r="Z991" s="7"/>
      <c r="AA991" s="5"/>
      <c r="AB991" s="5"/>
      <c r="AC991" s="5"/>
      <c r="AD991" s="5"/>
      <c r="AE991" s="5"/>
      <c r="AF991" s="5"/>
      <c r="AG991" s="5"/>
      <c r="AH991" s="5"/>
      <c r="AI991" s="5"/>
    </row>
    <row r="992" spans="1:35" ht="15.75" customHeight="1">
      <c r="A992" s="5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5"/>
      <c r="T992" s="5"/>
      <c r="U992" s="104"/>
      <c r="V992" s="5"/>
      <c r="W992" s="5"/>
      <c r="X992" s="5"/>
      <c r="Y992" s="5"/>
      <c r="Z992" s="7"/>
      <c r="AA992" s="5"/>
      <c r="AB992" s="5"/>
      <c r="AC992" s="5"/>
      <c r="AD992" s="5"/>
      <c r="AE992" s="5"/>
      <c r="AF992" s="5"/>
      <c r="AG992" s="5"/>
      <c r="AH992" s="5"/>
      <c r="AI992" s="5"/>
    </row>
    <row r="993" spans="1:35" ht="15.75" customHeight="1">
      <c r="A993" s="5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5"/>
      <c r="T993" s="5"/>
      <c r="U993" s="104"/>
      <c r="V993" s="5"/>
      <c r="W993" s="5"/>
      <c r="X993" s="5"/>
      <c r="Y993" s="5"/>
      <c r="Z993" s="7"/>
      <c r="AA993" s="5"/>
      <c r="AB993" s="5"/>
      <c r="AC993" s="5"/>
      <c r="AD993" s="5"/>
      <c r="AE993" s="5"/>
      <c r="AF993" s="5"/>
      <c r="AG993" s="5"/>
      <c r="AH993" s="5"/>
      <c r="AI993" s="5"/>
    </row>
    <row r="994" spans="1:35" ht="15.75" customHeight="1">
      <c r="A994" s="5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5"/>
      <c r="T994" s="5"/>
      <c r="U994" s="104"/>
      <c r="V994" s="5"/>
      <c r="W994" s="5"/>
      <c r="X994" s="5"/>
      <c r="Y994" s="5"/>
      <c r="Z994" s="7"/>
      <c r="AA994" s="5"/>
      <c r="AB994" s="5"/>
      <c r="AC994" s="5"/>
      <c r="AD994" s="5"/>
      <c r="AE994" s="5"/>
      <c r="AF994" s="5"/>
      <c r="AG994" s="5"/>
      <c r="AH994" s="5"/>
      <c r="AI994" s="5"/>
    </row>
    <row r="995" spans="1:35" ht="15.75" customHeight="1">
      <c r="A995" s="5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5"/>
      <c r="T995" s="5"/>
      <c r="U995" s="104"/>
      <c r="V995" s="5"/>
      <c r="W995" s="5"/>
      <c r="X995" s="5"/>
      <c r="Y995" s="5"/>
      <c r="Z995" s="7"/>
      <c r="AA995" s="5"/>
      <c r="AB995" s="5"/>
      <c r="AC995" s="5"/>
      <c r="AD995" s="5"/>
      <c r="AE995" s="5"/>
      <c r="AF995" s="5"/>
      <c r="AG995" s="5"/>
      <c r="AH995" s="5"/>
      <c r="AI995" s="5"/>
    </row>
    <row r="996" spans="1:35" ht="15.75" customHeight="1">
      <c r="A996" s="5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5"/>
      <c r="T996" s="5"/>
      <c r="U996" s="104"/>
      <c r="V996" s="5"/>
      <c r="W996" s="5"/>
      <c r="X996" s="5"/>
      <c r="Y996" s="5"/>
      <c r="Z996" s="7"/>
      <c r="AA996" s="5"/>
      <c r="AB996" s="5"/>
      <c r="AC996" s="5"/>
      <c r="AD996" s="5"/>
      <c r="AE996" s="5"/>
      <c r="AF996" s="5"/>
      <c r="AG996" s="5"/>
      <c r="AH996" s="5"/>
      <c r="AI996" s="5"/>
    </row>
    <row r="997" spans="1:35" ht="15.75" customHeight="1">
      <c r="A997" s="5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5"/>
      <c r="T997" s="5"/>
      <c r="U997" s="104"/>
      <c r="V997" s="5"/>
      <c r="W997" s="5"/>
      <c r="X997" s="5"/>
      <c r="Y997" s="5"/>
      <c r="Z997" s="7"/>
      <c r="AA997" s="5"/>
      <c r="AB997" s="5"/>
      <c r="AC997" s="5"/>
      <c r="AD997" s="5"/>
      <c r="AE997" s="5"/>
      <c r="AF997" s="5"/>
      <c r="AG997" s="5"/>
      <c r="AH997" s="5"/>
      <c r="AI997" s="5"/>
    </row>
    <row r="998" spans="1:35" ht="15.75" customHeight="1">
      <c r="A998" s="5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5"/>
      <c r="T998" s="5"/>
      <c r="U998" s="104"/>
      <c r="V998" s="5"/>
      <c r="W998" s="5"/>
      <c r="X998" s="5"/>
      <c r="Y998" s="5"/>
      <c r="Z998" s="7"/>
      <c r="AA998" s="5"/>
      <c r="AB998" s="5"/>
      <c r="AC998" s="5"/>
      <c r="AD998" s="5"/>
      <c r="AE998" s="5"/>
      <c r="AF998" s="5"/>
      <c r="AG998" s="5"/>
      <c r="AH998" s="5"/>
      <c r="AI998" s="5"/>
    </row>
    <row r="999" spans="1:35" ht="15.75" customHeight="1">
      <c r="A999" s="5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5"/>
      <c r="T999" s="5"/>
      <c r="U999" s="104"/>
      <c r="V999" s="5"/>
      <c r="W999" s="5"/>
      <c r="X999" s="5"/>
      <c r="Y999" s="5"/>
      <c r="Z999" s="7"/>
      <c r="AA999" s="5"/>
      <c r="AB999" s="5"/>
      <c r="AC999" s="5"/>
      <c r="AD999" s="5"/>
      <c r="AE999" s="5"/>
      <c r="AF999" s="5"/>
      <c r="AG999" s="5"/>
      <c r="AH999" s="5"/>
      <c r="AI999" s="5"/>
    </row>
    <row r="1000" spans="1:35" ht="15.75" customHeight="1">
      <c r="A1000" s="5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5"/>
      <c r="T1000" s="5"/>
      <c r="U1000" s="104"/>
      <c r="V1000" s="5"/>
      <c r="W1000" s="5"/>
      <c r="X1000" s="5"/>
      <c r="Y1000" s="5"/>
      <c r="Z1000" s="7"/>
      <c r="AA1000" s="5"/>
      <c r="AB1000" s="5"/>
      <c r="AC1000" s="5"/>
      <c r="AD1000" s="5"/>
      <c r="AE1000" s="5"/>
      <c r="AF1000" s="5"/>
      <c r="AG1000" s="5"/>
      <c r="AH1000" s="5"/>
      <c r="AI1000" s="5"/>
    </row>
  </sheetData>
  <mergeCells count="95">
    <mergeCell ref="F14:G14"/>
    <mergeCell ref="B17:B19"/>
    <mergeCell ref="C17:C19"/>
    <mergeCell ref="G17:I17"/>
    <mergeCell ref="J17:K17"/>
    <mergeCell ref="G18:H18"/>
    <mergeCell ref="J18:K18"/>
    <mergeCell ref="AI18:AI19"/>
    <mergeCell ref="W18:W19"/>
    <mergeCell ref="X18:X19"/>
    <mergeCell ref="Y18:Y19"/>
    <mergeCell ref="Z18:Z19"/>
    <mergeCell ref="AA18:AA19"/>
    <mergeCell ref="AC18:AC19"/>
    <mergeCell ref="AD18:AD19"/>
    <mergeCell ref="V18:V19"/>
    <mergeCell ref="AE18:AE19"/>
    <mergeCell ref="AF18:AF19"/>
    <mergeCell ref="AG18:AG19"/>
    <mergeCell ref="AH18:AH19"/>
    <mergeCell ref="M18:N18"/>
    <mergeCell ref="P18:P19"/>
    <mergeCell ref="Q18:Q19"/>
    <mergeCell ref="R18:R19"/>
    <mergeCell ref="U18:U19"/>
    <mergeCell ref="L14:M14"/>
    <mergeCell ref="N14:O14"/>
    <mergeCell ref="L15:M15"/>
    <mergeCell ref="N15:O15"/>
    <mergeCell ref="M17:O17"/>
    <mergeCell ref="L11:M11"/>
    <mergeCell ref="N11:O11"/>
    <mergeCell ref="N12:O12"/>
    <mergeCell ref="L12:M12"/>
    <mergeCell ref="L13:M13"/>
    <mergeCell ref="N13:O13"/>
    <mergeCell ref="Q50:R50"/>
    <mergeCell ref="H51:I51"/>
    <mergeCell ref="H52:I52"/>
    <mergeCell ref="O52:P52"/>
    <mergeCell ref="D2:H2"/>
    <mergeCell ref="K2:L2"/>
    <mergeCell ref="O2:R2"/>
    <mergeCell ref="D3:E3"/>
    <mergeCell ref="K3:L3"/>
    <mergeCell ref="O3:R3"/>
    <mergeCell ref="B5:E5"/>
    <mergeCell ref="N5:Q5"/>
    <mergeCell ref="F5:I5"/>
    <mergeCell ref="J5:M5"/>
    <mergeCell ref="H6:I6"/>
    <mergeCell ref="J10:Q10"/>
    <mergeCell ref="K52:L52"/>
    <mergeCell ref="C50:D50"/>
    <mergeCell ref="E50:F50"/>
    <mergeCell ref="H50:J50"/>
    <mergeCell ref="K50:M50"/>
    <mergeCell ref="B46:C47"/>
    <mergeCell ref="D46:E47"/>
    <mergeCell ref="N50:P50"/>
    <mergeCell ref="O51:P51"/>
    <mergeCell ref="K51:L51"/>
    <mergeCell ref="P46:R47"/>
    <mergeCell ref="G48:H48"/>
    <mergeCell ref="P48:Q48"/>
    <mergeCell ref="D40:E40"/>
    <mergeCell ref="D41:E41"/>
    <mergeCell ref="D42:E42"/>
    <mergeCell ref="D43:E43"/>
    <mergeCell ref="D44:E44"/>
    <mergeCell ref="D39:E39"/>
    <mergeCell ref="F46:H47"/>
    <mergeCell ref="I46:J46"/>
    <mergeCell ref="K46:L46"/>
    <mergeCell ref="N46:O47"/>
    <mergeCell ref="D34:E34"/>
    <mergeCell ref="D35:E35"/>
    <mergeCell ref="D36:E36"/>
    <mergeCell ref="D37:E37"/>
    <mergeCell ref="D38:E38"/>
    <mergeCell ref="D29:E29"/>
    <mergeCell ref="D30:E30"/>
    <mergeCell ref="D31:E31"/>
    <mergeCell ref="D32:E32"/>
    <mergeCell ref="D33:E33"/>
    <mergeCell ref="D24:E24"/>
    <mergeCell ref="D25:E25"/>
    <mergeCell ref="D26:E26"/>
    <mergeCell ref="D27:E27"/>
    <mergeCell ref="D28:E28"/>
    <mergeCell ref="D17:E19"/>
    <mergeCell ref="D20:E20"/>
    <mergeCell ref="D21:E21"/>
    <mergeCell ref="D22:E22"/>
    <mergeCell ref="D23:E23"/>
  </mergeCells>
  <conditionalFormatting sqref="Q20:Q43">
    <cfRule type="expression" dxfId="29" priority="1" stopIfTrue="1">
      <formula>OR(AND(ISNUMBER(Q20),Q20&lt;9),AND(ISNUMBER(Q20),Q20&gt;11))</formula>
    </cfRule>
  </conditionalFormatting>
  <conditionalFormatting sqref="R20:R43">
    <cfRule type="expression" dxfId="28" priority="2" stopIfTrue="1">
      <formula>OR(AND(ISNUMBER(R20),R20&lt;2.25),AND(ISNUMBER(R20),R20&gt;2.75))</formula>
    </cfRule>
  </conditionalFormatting>
  <conditionalFormatting sqref="AC20:AC43">
    <cfRule type="expression" dxfId="27" priority="3">
      <formula>AND(ISNUMBER(F20),AC20&lt;F20)</formula>
    </cfRule>
  </conditionalFormatting>
  <conditionalFormatting sqref="AC20:AC43">
    <cfRule type="expression" dxfId="26" priority="4" stopIfTrue="1">
      <formula>AND(ISNUMBER(F20),AC20&gt;F20)</formula>
    </cfRule>
  </conditionalFormatting>
  <conditionalFormatting sqref="AD20:AD43">
    <cfRule type="expression" dxfId="25" priority="5">
      <formula>AND(ISNUMBER(F20),AD20&gt;F20)</formula>
    </cfRule>
  </conditionalFormatting>
  <conditionalFormatting sqref="AD20:AD43">
    <cfRule type="expression" dxfId="24" priority="6" stopIfTrue="1">
      <formula>AND(ISNUMBER(F20),AD20&lt;F20)</formula>
    </cfRule>
  </conditionalFormatting>
  <printOptions horizontalCentered="1" verticalCentered="1"/>
  <pageMargins left="0.25" right="0.25" top="0.5" bottom="0.5" header="0" footer="0"/>
  <pageSetup orientation="portrait"/>
  <headerFooter>
    <oddHeader>&amp;CSpreadsheet for U.S. EPA Method 201A - Determination of Filterable PM10 and PM2.5 Emissions TEST DATA SHEET</oddHeader>
    <oddFooter>&amp;CCopyright 2017 by Environmental Supply Company, Inc.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1000"/>
  <sheetViews>
    <sheetView workbookViewId="0"/>
  </sheetViews>
  <sheetFormatPr baseColWidth="10" defaultColWidth="14.5" defaultRowHeight="15" customHeight="1"/>
  <cols>
    <col min="1" max="1" width="1" customWidth="1"/>
    <col min="2" max="2" width="6.33203125" customWidth="1"/>
    <col min="3" max="3" width="6.6640625" customWidth="1"/>
    <col min="4" max="8" width="6.33203125" customWidth="1"/>
    <col min="9" max="9" width="6.5" customWidth="1"/>
    <col min="10" max="11" width="6.33203125" customWidth="1"/>
    <col min="12" max="12" width="7.5" customWidth="1"/>
    <col min="13" max="13" width="6.33203125" customWidth="1"/>
    <col min="14" max="15" width="7.5" customWidth="1"/>
    <col min="16" max="16" width="7.83203125" customWidth="1"/>
    <col min="17" max="17" width="7.5" customWidth="1"/>
    <col min="18" max="18" width="6.33203125" customWidth="1"/>
    <col min="19" max="20" width="1" customWidth="1"/>
    <col min="21" max="21" width="9.83203125" customWidth="1"/>
    <col min="22" max="27" width="8.6640625" customWidth="1"/>
    <col min="28" max="28" width="1" customWidth="1"/>
    <col min="29" max="35" width="7.6640625" customWidth="1"/>
  </cols>
  <sheetData>
    <row r="1" spans="1:35" ht="5.2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5"/>
      <c r="U1" s="104"/>
      <c r="V1" s="5"/>
      <c r="W1" s="5"/>
      <c r="X1" s="5"/>
      <c r="Y1" s="5"/>
      <c r="Z1" s="7"/>
      <c r="AA1" s="5"/>
      <c r="AB1" s="5"/>
      <c r="AC1" s="5"/>
      <c r="AD1" s="5"/>
      <c r="AE1" s="5"/>
      <c r="AF1" s="5"/>
      <c r="AG1" s="5"/>
      <c r="AH1" s="5"/>
      <c r="AI1" s="5"/>
    </row>
    <row r="2" spans="1:35" ht="15" customHeight="1">
      <c r="A2" s="8"/>
      <c r="B2" s="9"/>
      <c r="C2" s="10" t="s">
        <v>26</v>
      </c>
      <c r="D2" s="379" t="str">
        <f>IF(ISTEXT('Pre-Test'!D2:H2),'Pre-Test'!D2:H2,"")</f>
        <v/>
      </c>
      <c r="E2" s="295"/>
      <c r="F2" s="295"/>
      <c r="G2" s="295"/>
      <c r="H2" s="296"/>
      <c r="I2" s="9"/>
      <c r="J2" s="10" t="s">
        <v>27</v>
      </c>
      <c r="K2" s="380"/>
      <c r="L2" s="296"/>
      <c r="M2" s="9"/>
      <c r="N2" s="10" t="s">
        <v>28</v>
      </c>
      <c r="O2" s="298"/>
      <c r="P2" s="295"/>
      <c r="Q2" s="295"/>
      <c r="R2" s="296"/>
      <c r="S2" s="12"/>
      <c r="T2" s="5"/>
      <c r="U2" s="104"/>
      <c r="V2" s="5"/>
      <c r="W2" s="5"/>
      <c r="X2" s="5"/>
      <c r="Y2" s="5"/>
      <c r="Z2" s="7"/>
      <c r="AA2" s="5"/>
      <c r="AB2" s="5"/>
      <c r="AC2" s="5"/>
      <c r="AD2" s="5"/>
      <c r="AE2" s="5"/>
      <c r="AF2" s="5"/>
      <c r="AG2" s="5"/>
      <c r="AH2" s="5"/>
      <c r="AI2" s="5"/>
    </row>
    <row r="3" spans="1:35" ht="15" customHeight="1">
      <c r="A3" s="8"/>
      <c r="B3" s="9"/>
      <c r="C3" s="10" t="s">
        <v>29</v>
      </c>
      <c r="D3" s="299"/>
      <c r="E3" s="280"/>
      <c r="F3" s="9"/>
      <c r="G3" s="9"/>
      <c r="H3" s="9"/>
      <c r="I3" s="9"/>
      <c r="J3" s="10" t="s">
        <v>30</v>
      </c>
      <c r="K3" s="381"/>
      <c r="L3" s="280"/>
      <c r="M3" s="9"/>
      <c r="N3" s="10" t="s">
        <v>31</v>
      </c>
      <c r="O3" s="379" t="str">
        <f>IF(ISTEXT('Pre-Test'!P3),'Pre-Test'!P3,"")</f>
        <v/>
      </c>
      <c r="P3" s="295"/>
      <c r="Q3" s="295"/>
      <c r="R3" s="296"/>
      <c r="S3" s="12"/>
      <c r="T3" s="5"/>
      <c r="U3" s="104"/>
      <c r="V3" s="5"/>
      <c r="W3" s="5"/>
      <c r="X3" s="5"/>
      <c r="Y3" s="5"/>
      <c r="Z3" s="7"/>
      <c r="AA3" s="5"/>
      <c r="AB3" s="5"/>
      <c r="AC3" s="5"/>
      <c r="AD3" s="5"/>
      <c r="AE3" s="5"/>
      <c r="AF3" s="5"/>
      <c r="AG3" s="5"/>
      <c r="AH3" s="5"/>
      <c r="AI3" s="5"/>
    </row>
    <row r="4" spans="1:35" ht="6" customHeight="1">
      <c r="A4" s="8"/>
      <c r="B4" s="5"/>
      <c r="C4" s="10"/>
      <c r="D4" s="18"/>
      <c r="E4" s="5"/>
      <c r="F4" s="5"/>
      <c r="G4" s="5"/>
      <c r="H4" s="5"/>
      <c r="I4" s="5"/>
      <c r="J4" s="19"/>
      <c r="K4" s="5"/>
      <c r="L4" s="5"/>
      <c r="M4" s="5"/>
      <c r="N4" s="5"/>
      <c r="O4" s="5"/>
      <c r="P4" s="5"/>
      <c r="Q4" s="20"/>
      <c r="R4" s="20"/>
      <c r="S4" s="12"/>
      <c r="T4" s="5"/>
      <c r="U4" s="104"/>
      <c r="V4" s="5"/>
      <c r="W4" s="5"/>
      <c r="X4" s="5"/>
      <c r="Y4" s="5"/>
      <c r="Z4" s="7"/>
      <c r="AA4" s="5"/>
      <c r="AB4" s="5"/>
      <c r="AC4" s="5"/>
      <c r="AD4" s="5"/>
      <c r="AE4" s="5"/>
      <c r="AF4" s="5"/>
      <c r="AG4" s="5"/>
      <c r="AH4" s="5"/>
      <c r="AI4" s="5"/>
    </row>
    <row r="5" spans="1:35" ht="15" customHeight="1">
      <c r="A5" s="8"/>
      <c r="B5" s="382" t="s">
        <v>32</v>
      </c>
      <c r="C5" s="383"/>
      <c r="D5" s="383"/>
      <c r="E5" s="384"/>
      <c r="F5" s="386" t="s">
        <v>34</v>
      </c>
      <c r="G5" s="309"/>
      <c r="H5" s="309"/>
      <c r="I5" s="310"/>
      <c r="J5" s="387" t="s">
        <v>113</v>
      </c>
      <c r="K5" s="383"/>
      <c r="L5" s="383"/>
      <c r="M5" s="384"/>
      <c r="N5" s="385" t="s">
        <v>251</v>
      </c>
      <c r="O5" s="383"/>
      <c r="P5" s="383"/>
      <c r="Q5" s="278"/>
      <c r="R5" s="5"/>
      <c r="S5" s="12"/>
      <c r="T5" s="5"/>
      <c r="U5" s="7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ht="15" customHeight="1">
      <c r="A6" s="8"/>
      <c r="B6" s="2"/>
      <c r="C6" s="23" t="s">
        <v>35</v>
      </c>
      <c r="D6" s="54" t="str">
        <f>IF(ISNUMBER(Bwse),Bwse,"-")</f>
        <v>-</v>
      </c>
      <c r="E6" s="25" t="s">
        <v>36</v>
      </c>
      <c r="F6" s="2"/>
      <c r="G6" s="23" t="s">
        <v>41</v>
      </c>
      <c r="H6" s="313" t="str">
        <f>IF(ISTEXT(MB),MB,"-")</f>
        <v>-</v>
      </c>
      <c r="I6" s="314"/>
      <c r="J6" s="129" t="s">
        <v>115</v>
      </c>
      <c r="K6" s="54" t="str">
        <f>IF(ISNUMBER(Tse),Tse,"-")</f>
        <v>-</v>
      </c>
      <c r="L6" s="130" t="s">
        <v>116</v>
      </c>
      <c r="M6" s="131" t="str">
        <f>IF(ISNUMBER(Tme),Tme,"-")</f>
        <v>-</v>
      </c>
      <c r="N6" s="21" t="s">
        <v>117</v>
      </c>
      <c r="O6" s="132" t="str">
        <f>IF(ISNUMBER(Ts_2),Ts_2-460-50,IF(ISNUMBER(Tse),Tse-460-50,"-"))</f>
        <v>-</v>
      </c>
      <c r="P6" s="23" t="s">
        <v>118</v>
      </c>
      <c r="Q6" s="132" t="str">
        <f>IF(ISNUMBER(Ts_2),Ts_2-460+50,IF(ISNUMBER(Tse),Tse-460+50,"-"))</f>
        <v>-</v>
      </c>
      <c r="R6" s="5"/>
      <c r="S6" s="12"/>
      <c r="T6" s="5"/>
      <c r="U6" s="7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 ht="15" customHeight="1">
      <c r="A7" s="8"/>
      <c r="B7" s="8"/>
      <c r="C7" s="10" t="s">
        <v>42</v>
      </c>
      <c r="D7" s="30"/>
      <c r="E7" s="31" t="s">
        <v>43</v>
      </c>
      <c r="F7" s="8"/>
      <c r="G7" s="10" t="s">
        <v>46</v>
      </c>
      <c r="H7" s="133" t="str">
        <f>IF(ISNUMBER(Y),Y,"-")</f>
        <v>-</v>
      </c>
      <c r="I7" s="34"/>
      <c r="J7" s="8"/>
      <c r="K7" s="134" t="s">
        <v>119</v>
      </c>
      <c r="L7" s="135" t="str">
        <f>IF(ISNUMBER(Qse),Qse,"-")</f>
        <v>-</v>
      </c>
      <c r="M7" s="12" t="s">
        <v>120</v>
      </c>
      <c r="N7" s="16" t="s">
        <v>119</v>
      </c>
      <c r="O7" s="136" t="str">
        <f>IF(ISNUMBER(Qse),0.002837*vise*((Tsl_3+460)/Mwe/Ps_3)^0.2949,"-")</f>
        <v>-</v>
      </c>
      <c r="P7" s="16" t="s">
        <v>119</v>
      </c>
      <c r="Q7" s="136" t="str">
        <f>IF(ISNUMBER(Qse),0.002837*vise*((Tsh_3+460)/Mwe/Ps_3)^0.2949,"-")</f>
        <v>-</v>
      </c>
      <c r="R7" s="5"/>
      <c r="S7" s="12"/>
      <c r="T7" s="5"/>
      <c r="U7" s="7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 ht="15" customHeight="1">
      <c r="A8" s="8"/>
      <c r="B8" s="8"/>
      <c r="C8" s="10" t="s">
        <v>47</v>
      </c>
      <c r="D8" s="30"/>
      <c r="E8" s="31" t="s">
        <v>252</v>
      </c>
      <c r="F8" s="8"/>
      <c r="G8" s="38" t="s">
        <v>253</v>
      </c>
      <c r="H8" s="137" t="str">
        <f>IF(ISNUMBER(dHa),dHa,"-")</f>
        <v>-</v>
      </c>
      <c r="I8" s="31" t="s">
        <v>254</v>
      </c>
      <c r="J8" s="8"/>
      <c r="K8" s="138" t="s">
        <v>255</v>
      </c>
      <c r="L8" s="139" t="str">
        <f>IF(ISNUMBER(vise),vise,"-")</f>
        <v>-</v>
      </c>
      <c r="M8" s="40" t="s">
        <v>40</v>
      </c>
      <c r="N8" s="140" t="s">
        <v>256</v>
      </c>
      <c r="O8" s="141" t="str">
        <f>IF(ISNUMBER(Tsl_3),-150.3162+13.4622*SQRT(Tsl_3+460)+3861530/(Tsl_3+460)^2+0.591123*(1-Bwse/100)*OO/100-91.9723*Bwse/100+0.0000151761*Bwse/100*(Tsl_3+460)^2,"-")</f>
        <v>-</v>
      </c>
      <c r="P8" s="142" t="s">
        <v>257</v>
      </c>
      <c r="Q8" s="141" t="str">
        <f>IF(ISNUMBER(Tsh_3),-150.3162+13.4622*SQRT(Tsh_3+460)+3861530/(Tsh_3+460)^2+0.591123*(1-Bwse/100)*OO/100-91.9723*Bwse/100+0.0000151761*Bwse/100*(Tsh_3+460)^2,"-")</f>
        <v>-</v>
      </c>
      <c r="R8" s="5"/>
      <c r="S8" s="12"/>
      <c r="T8" s="5"/>
      <c r="U8" s="7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 ht="15" customHeight="1">
      <c r="A9" s="8"/>
      <c r="B9" s="8"/>
      <c r="C9" s="10" t="s">
        <v>54</v>
      </c>
      <c r="D9" s="36" t="str">
        <f>IF(AND(ISNUMBER(Pg_3),ISNUMBER(Pbar_3)),Pbar_3+Pg_3/13.6,"-")</f>
        <v>-</v>
      </c>
      <c r="E9" s="31" t="s">
        <v>43</v>
      </c>
      <c r="F9" s="46" t="s">
        <v>66</v>
      </c>
      <c r="G9" s="133" t="str">
        <f>IF(ISNUMBER(Cpp),Cpp,"-")</f>
        <v>-</v>
      </c>
      <c r="H9" s="47" t="s">
        <v>67</v>
      </c>
      <c r="I9" s="143" t="str">
        <f>IF(OR(ISNUMBER('Pre-Test'!R11),ISTEXT('Pre-Test'!R11)),'Pre-Test'!R11,"-")</f>
        <v>-</v>
      </c>
      <c r="J9" s="144"/>
      <c r="K9" s="57" t="s">
        <v>258</v>
      </c>
      <c r="L9" s="145" t="str">
        <f>IF(ISNUMBER(dHe),dHe,"-")</f>
        <v>-</v>
      </c>
      <c r="M9" s="146" t="s">
        <v>259</v>
      </c>
      <c r="N9" s="147" t="s">
        <v>260</v>
      </c>
      <c r="O9" s="148" t="str">
        <f>IF(ISNUMBER(dHe),(Qse*(1-Bwse/100)*Ps_3/(Tsl_3+460))^2*(Tme+460)*Md*(1.083)*dHa/Pbar_3,"-")</f>
        <v>-</v>
      </c>
      <c r="P9" s="149" t="s">
        <v>261</v>
      </c>
      <c r="Q9" s="148" t="str">
        <f>IF(ISNUMBER(dHe),(Qse*(1-Bwse/100)*Ps_3/(Tsh_3+460))^2*(Tme+460)*Md*(1.083)*dHa/Pbar_3,"-")</f>
        <v>-</v>
      </c>
      <c r="R9" s="5"/>
      <c r="S9" s="12"/>
      <c r="T9" s="5"/>
      <c r="U9" s="7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 ht="15" customHeight="1">
      <c r="A10" s="8"/>
      <c r="B10" s="8"/>
      <c r="C10" s="10" t="s">
        <v>262</v>
      </c>
      <c r="D10" s="36" t="str">
        <f>IF(ISNUMBER(COO),COO,"-")</f>
        <v>-</v>
      </c>
      <c r="E10" s="150" t="s">
        <v>38</v>
      </c>
      <c r="F10" s="46" t="s">
        <v>71</v>
      </c>
      <c r="G10" s="151" t="str">
        <f>IF(ISNUMBER(Cp),Cp,"-")</f>
        <v>-</v>
      </c>
      <c r="H10" s="47" t="s">
        <v>67</v>
      </c>
      <c r="I10" s="143" t="str">
        <f>IF(OR(ISNUMBER('Pre-Test'!R11),ISTEXT('Pre-Test'!R11)),'Pre-Test'!R11,"-")</f>
        <v>-</v>
      </c>
      <c r="J10" s="388" t="s">
        <v>132</v>
      </c>
      <c r="K10" s="309"/>
      <c r="L10" s="309"/>
      <c r="M10" s="309"/>
      <c r="N10" s="309"/>
      <c r="O10" s="309"/>
      <c r="P10" s="309"/>
      <c r="Q10" s="357"/>
      <c r="R10" s="5"/>
      <c r="S10" s="12"/>
      <c r="T10" s="5"/>
      <c r="U10" s="104"/>
      <c r="V10" s="5"/>
      <c r="W10" s="5"/>
      <c r="X10" s="5"/>
      <c r="Y10" s="5"/>
      <c r="Z10" s="7"/>
      <c r="AA10" s="5"/>
      <c r="AB10" s="5"/>
      <c r="AC10" s="5"/>
      <c r="AD10" s="5"/>
      <c r="AE10" s="5"/>
      <c r="AF10" s="5"/>
      <c r="AG10" s="5"/>
      <c r="AH10" s="5"/>
      <c r="AI10" s="5"/>
    </row>
    <row r="11" spans="1:35" ht="15" customHeight="1">
      <c r="A11" s="8"/>
      <c r="B11" s="8"/>
      <c r="C11" s="10" t="s">
        <v>263</v>
      </c>
      <c r="D11" s="152" t="str">
        <f>IF(ISNUMBER(OO),OO,"-")</f>
        <v>-</v>
      </c>
      <c r="E11" s="150" t="s">
        <v>38</v>
      </c>
      <c r="F11" s="8"/>
      <c r="G11" s="10" t="s">
        <v>75</v>
      </c>
      <c r="H11" s="153" t="str">
        <f>IF(ISNUMBER(Dn),Dn,"-")</f>
        <v>-</v>
      </c>
      <c r="I11" s="56" t="s">
        <v>76</v>
      </c>
      <c r="J11" s="2"/>
      <c r="K11" s="23" t="s">
        <v>134</v>
      </c>
      <c r="L11" s="389"/>
      <c r="M11" s="390"/>
      <c r="N11" s="391"/>
      <c r="O11" s="390"/>
      <c r="P11" s="3" t="s">
        <v>135</v>
      </c>
      <c r="Q11" s="4"/>
      <c r="R11" s="5"/>
      <c r="S11" s="12"/>
      <c r="T11" s="5"/>
      <c r="U11" s="104"/>
      <c r="V11" s="5"/>
      <c r="W11" s="5"/>
      <c r="X11" s="5"/>
      <c r="Y11" s="5"/>
      <c r="Z11" s="7"/>
      <c r="AA11" s="5"/>
      <c r="AB11" s="5"/>
      <c r="AC11" s="5"/>
      <c r="AD11" s="5"/>
      <c r="AE11" s="5"/>
      <c r="AF11" s="5"/>
      <c r="AG11" s="5"/>
      <c r="AH11" s="5"/>
      <c r="AI11" s="5"/>
    </row>
    <row r="12" spans="1:35" ht="15" customHeight="1">
      <c r="A12" s="8"/>
      <c r="B12" s="8"/>
      <c r="C12" s="10" t="s">
        <v>264</v>
      </c>
      <c r="D12" s="36" t="str">
        <f>IF(ISNUMBER(NN),NN,"-")</f>
        <v>-</v>
      </c>
      <c r="E12" s="150" t="s">
        <v>38</v>
      </c>
      <c r="F12" s="154"/>
      <c r="G12" s="23" t="s">
        <v>61</v>
      </c>
      <c r="H12" s="155" t="str">
        <f>IF(ISNUMBER(A),A,"-")</f>
        <v>-</v>
      </c>
      <c r="I12" s="27" t="s">
        <v>265</v>
      </c>
      <c r="J12" s="8"/>
      <c r="K12" s="10" t="s">
        <v>138</v>
      </c>
      <c r="L12" s="393"/>
      <c r="M12" s="347"/>
      <c r="N12" s="392"/>
      <c r="O12" s="347"/>
      <c r="P12" s="5" t="s">
        <v>135</v>
      </c>
      <c r="Q12" s="12"/>
      <c r="R12" s="5"/>
      <c r="S12" s="12"/>
      <c r="T12" s="5"/>
      <c r="U12" s="104"/>
      <c r="V12" s="5"/>
      <c r="W12" s="5"/>
      <c r="X12" s="5"/>
      <c r="Y12" s="5"/>
      <c r="Z12" s="7"/>
      <c r="AA12" s="5"/>
      <c r="AB12" s="5"/>
      <c r="AC12" s="5"/>
      <c r="AD12" s="5"/>
      <c r="AE12" s="5"/>
      <c r="AF12" s="5"/>
      <c r="AG12" s="5"/>
      <c r="AH12" s="5"/>
      <c r="AI12" s="5"/>
    </row>
    <row r="13" spans="1:35" ht="15" customHeight="1">
      <c r="A13" s="8"/>
      <c r="B13" s="8"/>
      <c r="C13" s="10" t="s">
        <v>266</v>
      </c>
      <c r="D13" s="152" t="str">
        <f>IF(ISNUMBER(Md),Md,"-")</f>
        <v>-</v>
      </c>
      <c r="E13" s="31" t="s">
        <v>56</v>
      </c>
      <c r="F13" s="8"/>
      <c r="G13" s="10" t="s">
        <v>140</v>
      </c>
      <c r="H13" s="156"/>
      <c r="I13" s="12" t="s">
        <v>141</v>
      </c>
      <c r="J13" s="157"/>
      <c r="K13" s="9" t="s">
        <v>142</v>
      </c>
      <c r="L13" s="393"/>
      <c r="M13" s="347"/>
      <c r="N13" s="392"/>
      <c r="O13" s="347"/>
      <c r="P13" s="128" t="s">
        <v>143</v>
      </c>
      <c r="Q13" s="12"/>
      <c r="R13" s="5"/>
      <c r="S13" s="12"/>
      <c r="T13" s="5"/>
      <c r="U13" s="104"/>
      <c r="V13" s="5"/>
      <c r="W13" s="5"/>
      <c r="X13" s="5"/>
      <c r="Y13" s="5"/>
      <c r="Z13" s="7"/>
      <c r="AA13" s="5"/>
      <c r="AB13" s="5"/>
      <c r="AC13" s="5"/>
      <c r="AD13" s="5"/>
      <c r="AE13" s="5"/>
      <c r="AF13" s="5"/>
      <c r="AG13" s="5"/>
      <c r="AH13" s="5"/>
      <c r="AI13" s="5"/>
    </row>
    <row r="14" spans="1:35" ht="15" customHeight="1">
      <c r="A14" s="8"/>
      <c r="B14" s="60"/>
      <c r="C14" s="57" t="s">
        <v>267</v>
      </c>
      <c r="D14" s="158" t="str">
        <f>IF(ISNUMBER(Mwe),Mwe,"-")</f>
        <v>-</v>
      </c>
      <c r="E14" s="59" t="s">
        <v>56</v>
      </c>
      <c r="F14" s="323" t="s">
        <v>145</v>
      </c>
      <c r="G14" s="325"/>
      <c r="H14" s="159"/>
      <c r="I14" s="52" t="s">
        <v>146</v>
      </c>
      <c r="J14" s="8"/>
      <c r="K14" s="10" t="s">
        <v>147</v>
      </c>
      <c r="L14" s="394" t="str">
        <f>IF(ISNUMBER(L13),(L12-L11)/L13,"-")</f>
        <v>-</v>
      </c>
      <c r="M14" s="347"/>
      <c r="N14" s="394" t="str">
        <f>IF(ISNUMBER(N13),(N12-N11)/N13,"-")</f>
        <v>-</v>
      </c>
      <c r="O14" s="280"/>
      <c r="P14" s="5" t="s">
        <v>120</v>
      </c>
      <c r="Q14" s="12"/>
      <c r="R14" s="5"/>
      <c r="S14" s="12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ht="15" customHeight="1">
      <c r="A15" s="8"/>
      <c r="B15" s="160"/>
      <c r="C15" s="161" t="s">
        <v>268</v>
      </c>
      <c r="D15" s="162">
        <f>IF(ISNUMBER(Tstd),Tstd,"-")</f>
        <v>528</v>
      </c>
      <c r="E15" s="163" t="s">
        <v>149</v>
      </c>
      <c r="F15" s="164"/>
      <c r="G15" s="164" t="s">
        <v>269</v>
      </c>
      <c r="H15" s="165">
        <f>IF(ISNUMBER(Pstd),Pstd,"-")</f>
        <v>29.92</v>
      </c>
      <c r="I15" s="166" t="s">
        <v>43</v>
      </c>
      <c r="J15" s="60"/>
      <c r="K15" s="57" t="s">
        <v>151</v>
      </c>
      <c r="L15" s="395"/>
      <c r="M15" s="349"/>
      <c r="N15" s="396"/>
      <c r="O15" s="349"/>
      <c r="P15" s="51" t="s">
        <v>152</v>
      </c>
      <c r="Q15" s="52"/>
      <c r="R15" s="5"/>
      <c r="S15" s="12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ht="5.25" customHeight="1">
      <c r="A16" s="8"/>
      <c r="B16" s="5"/>
      <c r="C16" s="5"/>
      <c r="D16" s="5"/>
      <c r="E16" s="5"/>
      <c r="F16" s="5"/>
      <c r="G16" s="5"/>
      <c r="H16" s="5"/>
      <c r="I16" s="5"/>
      <c r="J16" s="5"/>
      <c r="K16" s="10"/>
      <c r="L16" s="17"/>
      <c r="M16" s="14"/>
      <c r="N16" s="17"/>
      <c r="O16" s="14"/>
      <c r="P16" s="5"/>
      <c r="Q16" s="5"/>
      <c r="R16" s="5"/>
      <c r="S16" s="12"/>
      <c r="T16" s="5"/>
      <c r="U16" s="104"/>
      <c r="V16" s="5"/>
      <c r="W16" s="5"/>
      <c r="X16" s="5"/>
      <c r="Y16" s="5"/>
      <c r="Z16" s="7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15" customHeight="1">
      <c r="A17" s="8"/>
      <c r="B17" s="406" t="s">
        <v>86</v>
      </c>
      <c r="C17" s="409" t="s">
        <v>153</v>
      </c>
      <c r="D17" s="361" t="s">
        <v>270</v>
      </c>
      <c r="E17" s="288"/>
      <c r="F17" s="167" t="s">
        <v>155</v>
      </c>
      <c r="G17" s="410" t="s">
        <v>156</v>
      </c>
      <c r="H17" s="411"/>
      <c r="I17" s="314"/>
      <c r="J17" s="368" t="s">
        <v>157</v>
      </c>
      <c r="K17" s="357"/>
      <c r="L17" s="168" t="s">
        <v>158</v>
      </c>
      <c r="M17" s="319" t="s">
        <v>159</v>
      </c>
      <c r="N17" s="309"/>
      <c r="O17" s="357"/>
      <c r="P17" s="14"/>
      <c r="Q17" s="21"/>
      <c r="R17" s="128"/>
      <c r="S17" s="12"/>
      <c r="T17" s="5"/>
      <c r="U17" s="104"/>
      <c r="V17" s="5"/>
      <c r="W17" s="5"/>
      <c r="X17" s="5"/>
      <c r="Y17" s="5"/>
      <c r="Z17" s="7"/>
      <c r="AA17" s="5"/>
      <c r="AB17" s="5"/>
      <c r="AC17" s="5"/>
      <c r="AD17" s="5"/>
      <c r="AE17" s="5"/>
      <c r="AF17" s="5"/>
      <c r="AG17" s="5"/>
      <c r="AH17" s="5"/>
      <c r="AI17" s="5"/>
    </row>
    <row r="18" spans="1:35" ht="15" customHeight="1">
      <c r="A18" s="8"/>
      <c r="B18" s="407"/>
      <c r="C18" s="336"/>
      <c r="D18" s="362"/>
      <c r="E18" s="290"/>
      <c r="F18" s="169" t="s">
        <v>271</v>
      </c>
      <c r="G18" s="397" t="s">
        <v>161</v>
      </c>
      <c r="H18" s="296"/>
      <c r="I18" s="170"/>
      <c r="J18" s="412" t="s">
        <v>272</v>
      </c>
      <c r="K18" s="413"/>
      <c r="L18" s="171" t="s">
        <v>163</v>
      </c>
      <c r="M18" s="397" t="s">
        <v>104</v>
      </c>
      <c r="N18" s="296"/>
      <c r="O18" s="172" t="s">
        <v>164</v>
      </c>
      <c r="P18" s="398" t="s">
        <v>165</v>
      </c>
      <c r="Q18" s="400" t="s">
        <v>273</v>
      </c>
      <c r="R18" s="400" t="s">
        <v>274</v>
      </c>
      <c r="S18" s="12"/>
      <c r="T18" s="5"/>
      <c r="U18" s="402" t="s">
        <v>275</v>
      </c>
      <c r="V18" s="403" t="s">
        <v>276</v>
      </c>
      <c r="W18" s="400" t="s">
        <v>277</v>
      </c>
      <c r="X18" s="398" t="s">
        <v>278</v>
      </c>
      <c r="Y18" s="404" t="s">
        <v>279</v>
      </c>
      <c r="Z18" s="405" t="s">
        <v>280</v>
      </c>
      <c r="AA18" s="404" t="s">
        <v>281</v>
      </c>
      <c r="AB18" s="5"/>
      <c r="AC18" s="402" t="s">
        <v>282</v>
      </c>
      <c r="AD18" s="402" t="s">
        <v>283</v>
      </c>
      <c r="AE18" s="400" t="s">
        <v>284</v>
      </c>
      <c r="AF18" s="400" t="s">
        <v>285</v>
      </c>
      <c r="AG18" s="400" t="s">
        <v>286</v>
      </c>
      <c r="AH18" s="403" t="s">
        <v>287</v>
      </c>
      <c r="AI18" s="403" t="s">
        <v>288</v>
      </c>
    </row>
    <row r="19" spans="1:35" ht="15" customHeight="1">
      <c r="A19" s="8"/>
      <c r="B19" s="408"/>
      <c r="C19" s="401"/>
      <c r="D19" s="363"/>
      <c r="E19" s="306"/>
      <c r="F19" s="69" t="s">
        <v>289</v>
      </c>
      <c r="G19" s="173" t="s">
        <v>183</v>
      </c>
      <c r="H19" s="174" t="s">
        <v>184</v>
      </c>
      <c r="I19" s="170" t="s">
        <v>185</v>
      </c>
      <c r="J19" s="175" t="s">
        <v>186</v>
      </c>
      <c r="K19" s="172" t="s">
        <v>187</v>
      </c>
      <c r="L19" s="176" t="s">
        <v>188</v>
      </c>
      <c r="M19" s="173" t="s">
        <v>189</v>
      </c>
      <c r="N19" s="177" t="s">
        <v>190</v>
      </c>
      <c r="O19" s="170" t="s">
        <v>191</v>
      </c>
      <c r="P19" s="399"/>
      <c r="Q19" s="401"/>
      <c r="R19" s="401"/>
      <c r="S19" s="12"/>
      <c r="T19" s="5"/>
      <c r="U19" s="337"/>
      <c r="V19" s="401"/>
      <c r="W19" s="401"/>
      <c r="X19" s="399"/>
      <c r="Y19" s="337"/>
      <c r="Z19" s="337"/>
      <c r="AA19" s="337"/>
      <c r="AB19" s="5"/>
      <c r="AC19" s="337"/>
      <c r="AD19" s="401"/>
      <c r="AE19" s="401"/>
      <c r="AF19" s="401"/>
      <c r="AG19" s="401"/>
      <c r="AH19" s="401"/>
      <c r="AI19" s="401"/>
    </row>
    <row r="20" spans="1:35" ht="15" customHeight="1">
      <c r="A20" s="8"/>
      <c r="B20" s="78">
        <v>1</v>
      </c>
      <c r="C20" s="178" t="str">
        <f>IF(ISNUMBER(F20),MAX(ROUND(Cp/Cpp*U20/'Pre-Test'!$U$46*Tr_3*4/N_3,0)/4,2),"-")</f>
        <v>-</v>
      </c>
      <c r="D20" s="364"/>
      <c r="E20" s="320"/>
      <c r="F20" s="79"/>
      <c r="G20" s="179"/>
      <c r="H20" s="179"/>
      <c r="I20" s="180"/>
      <c r="J20" s="80" t="str">
        <f>IF(ISNUMBER(I20),(Qse*(1-Bwse/100)*Ps_3/(I20+460))^2*1.083*(H20+460)*Md*dHa/Pbar_3,dHe)</f>
        <v>-</v>
      </c>
      <c r="K20" s="79"/>
      <c r="L20" s="181"/>
      <c r="M20" s="181"/>
      <c r="N20" s="181"/>
      <c r="O20" s="181"/>
      <c r="P20" s="182" t="str">
        <f>IF(ISNUMBER(D21),((D21-D20)*Y*(I20+460)/(AVERAGE(G20:H20)+460)*(Pbar_3+K20/13.6)/Ps_3)/(1-Bwse/100)/C20,"-")</f>
        <v>-</v>
      </c>
      <c r="Q20" s="183" t="str">
        <f t="shared" ref="Q20:Q43" si="0">IF(ISNUMBER(P20),0.15625*((I20+460)/Mwe/Ps_3)^0.2091*(Y20/P20)^0.7091,"-")</f>
        <v>-</v>
      </c>
      <c r="R20" s="178" t="str">
        <f t="shared" ref="R20:R43" si="1">IF(ISNUMBER(P20),IF(Z20&lt;3162,0.0024302*(Y20/P20)^1.1791*SQRT(1/AA20)*((I20+460)/Ps_3/Mwe)^0.679,0.019723*(Y20/P20)^0.8058*SQRT(1/AA20)*((I20+460)/Ps_3/Mwe)^0.3058),"-")</f>
        <v>-</v>
      </c>
      <c r="S20" s="12"/>
      <c r="T20" s="5"/>
      <c r="U20" s="184" t="str">
        <f t="shared" ref="U20:U43" si="2">IF(ISNUMBER(F20),SQRT(F20),"-")</f>
        <v>-</v>
      </c>
      <c r="V20" s="185" t="str">
        <f t="shared" ref="V20:V43" si="3">IF(ISNUMBER(U20),85.49*Cp*U20*SQRT((I20+460)/Ps_3/Mwe),"-")</f>
        <v>-</v>
      </c>
      <c r="W20" s="186" t="str">
        <f t="shared" ref="W20:W43" si="4">IF(ISNUMBER(D21),Tstd/Pstd*Y*(D21-D20)*(Pbar_3+K20/13.6)/(AVERAGE(G20:H20)+460),"-")</f>
        <v>-</v>
      </c>
      <c r="X20" s="187" t="str">
        <f>IF(ISNUMBER(W20),W20/C20,"-")</f>
        <v>-</v>
      </c>
      <c r="Y20" s="183" t="str">
        <f t="shared" ref="Y20:Y43" si="5">IF(ISNUMBER(I20),-150.3162+13.4622*SQRT(I20+460)+3861530/(I20+460)^2+0.591123*(1-Bwse/100)*OO-91.9723*Bwse/100+0.0000151761*Bwse/100*(I20+460)^2,"-")</f>
        <v>-</v>
      </c>
      <c r="Z20" s="183" t="str">
        <f t="shared" ref="Z20:Z43" si="6">IF(ISNUMBER(Y20),864000*Ps_3*Mwe/(I20+460)*P20/Y20,"-")</f>
        <v>-</v>
      </c>
      <c r="AA20" s="188" t="str">
        <f t="shared" ref="AA20:AA43" si="7">IF(ISNUMBER(Y20),1+0.0057193*(Y20/Ps_3/(IF(ISNUMBER(R20),R20,2.5))*SQRT((I20+460)/Mwe)),"-")</f>
        <v>-</v>
      </c>
      <c r="AB20" s="5"/>
      <c r="AC20" s="184" t="str">
        <f t="shared" ref="AC20:AC43" si="8">IF(ISNUMBER(AF20),0.00013686*Ps_3*Mwe*(AF20)^2/(I20+460)/Cp^2,"-")</f>
        <v>-</v>
      </c>
      <c r="AD20" s="189" t="str">
        <f t="shared" ref="AD20:AD43" si="9">IF(ISNUMBER(AG20),0.00013686*Ps_3*Mwe*(AG20)^2/(I20+460)/Cp^2,"-")</f>
        <v>-</v>
      </c>
      <c r="AE20" s="83" t="str">
        <f t="shared" ref="AE20:AE43" si="10">IF(ISNUMBER(P20),3.055775*P20/(Dn)^2,"-")</f>
        <v>-</v>
      </c>
      <c r="AF20" s="83" t="str">
        <f t="shared" ref="AF20:AF43" si="11">IF(ISNUMBER(AH20),AE20*AH20,"-")</f>
        <v>-</v>
      </c>
      <c r="AG20" s="83" t="str">
        <f t="shared" ref="AG20:AG43" si="12">IF(ISNUMBER(AI20),AE20*AI20,"-")</f>
        <v>-</v>
      </c>
      <c r="AH20" s="83" t="str">
        <f t="shared" ref="AH20:AH43" si="13">IF(ISNUMBER(AE20),IF((0.2603*Y20*SQRT(P20))/(AE20)^1.5&gt;0.3072,0.5,(0.2457+SQRT(0.3072-(0.2603*Y20*SQRT(P20))/(AE20)^1.5))),"-")</f>
        <v>-</v>
      </c>
      <c r="AI20" s="190" t="str">
        <f t="shared" ref="AI20:AI43" si="14">IF(ISNUMBER(AE20),IF((0.4457+SQRT(0.569+(0.2603*Y20*SQRT(P20))/(AE20)^1.5))&gt;1.5,1.5,(0.4457+SQRT(0.569+(0.2603*Y20*SQRT(P20))/(AE20)^1.5))),"-")</f>
        <v>-</v>
      </c>
    </row>
    <row r="21" spans="1:35" ht="15" customHeight="1">
      <c r="A21" s="8"/>
      <c r="B21" s="88">
        <v>2</v>
      </c>
      <c r="C21" s="191" t="str">
        <f>IF(2&gt;N_3,"-",IF(ISNUMBER(F21),MAX(ROUND(Cp/Cpp*U21/'Pre-Test'!$U$46*Tr_3*4/N_3,0)/4,2)+C20,"-"))</f>
        <v>-</v>
      </c>
      <c r="D21" s="365"/>
      <c r="E21" s="347"/>
      <c r="F21" s="89"/>
      <c r="G21" s="192"/>
      <c r="H21" s="192"/>
      <c r="I21" s="193"/>
      <c r="J21" s="90" t="str">
        <f t="shared" ref="J21:J43" si="15">IF(ISNUMBER(I21),(Qse*(1-Bwse/100)*Ps_3/(I21+460))^2*1.083*(H21+460)*Md*dHa/Pbar_3,"-")</f>
        <v>-</v>
      </c>
      <c r="K21" s="89"/>
      <c r="L21" s="193"/>
      <c r="M21" s="193"/>
      <c r="N21" s="193"/>
      <c r="O21" s="193"/>
      <c r="P21" s="194" t="str">
        <f t="shared" ref="P21:P43" si="16">IF(ISNUMBER(D22),((D22-D21)*Y*(I21+460)/(AVERAGE(G21:H21)+460)*(Pbar_3+K21/13.6)/Ps_3)/(1-Bwse/100)/(C21-C20),"-")</f>
        <v>-</v>
      </c>
      <c r="Q21" s="191" t="str">
        <f t="shared" si="0"/>
        <v>-</v>
      </c>
      <c r="R21" s="191" t="str">
        <f t="shared" si="1"/>
        <v>-</v>
      </c>
      <c r="S21" s="12"/>
      <c r="T21" s="5"/>
      <c r="U21" s="195" t="str">
        <f t="shared" si="2"/>
        <v>-</v>
      </c>
      <c r="V21" s="92" t="str">
        <f t="shared" si="3"/>
        <v>-</v>
      </c>
      <c r="W21" s="196" t="str">
        <f t="shared" si="4"/>
        <v>-</v>
      </c>
      <c r="X21" s="196" t="str">
        <f t="shared" ref="X21:X43" si="17">IF(ISNUMBER(W21),W21/(C21-C20),"-")</f>
        <v>-</v>
      </c>
      <c r="Y21" s="191" t="str">
        <f t="shared" si="5"/>
        <v>-</v>
      </c>
      <c r="Z21" s="191" t="str">
        <f t="shared" si="6"/>
        <v>-</v>
      </c>
      <c r="AA21" s="197" t="str">
        <f t="shared" si="7"/>
        <v>-</v>
      </c>
      <c r="AB21" s="5"/>
      <c r="AC21" s="195" t="str">
        <f t="shared" si="8"/>
        <v>-</v>
      </c>
      <c r="AD21" s="90" t="str">
        <f t="shared" si="9"/>
        <v>-</v>
      </c>
      <c r="AE21" s="92" t="str">
        <f t="shared" si="10"/>
        <v>-</v>
      </c>
      <c r="AF21" s="92" t="str">
        <f t="shared" si="11"/>
        <v>-</v>
      </c>
      <c r="AG21" s="92" t="str">
        <f t="shared" si="12"/>
        <v>-</v>
      </c>
      <c r="AH21" s="92" t="str">
        <f t="shared" si="13"/>
        <v>-</v>
      </c>
      <c r="AI21" s="198" t="str">
        <f t="shared" si="14"/>
        <v>-</v>
      </c>
    </row>
    <row r="22" spans="1:35" ht="15" customHeight="1">
      <c r="A22" s="8"/>
      <c r="B22" s="88">
        <v>3</v>
      </c>
      <c r="C22" s="191" t="str">
        <f>IF(3&gt;N_3,"-",IF(ISNUMBER(F22),MAX(ROUND(Cp/Cpp*U22/'Pre-Test'!$U$46*Tr_3*4/N_3,0)/4,2)+C21,"-"))</f>
        <v>-</v>
      </c>
      <c r="D22" s="365"/>
      <c r="E22" s="347"/>
      <c r="F22" s="89"/>
      <c r="G22" s="192"/>
      <c r="H22" s="192"/>
      <c r="I22" s="193"/>
      <c r="J22" s="90" t="str">
        <f t="shared" si="15"/>
        <v>-</v>
      </c>
      <c r="K22" s="89"/>
      <c r="L22" s="193"/>
      <c r="M22" s="193"/>
      <c r="N22" s="193"/>
      <c r="O22" s="193"/>
      <c r="P22" s="194" t="str">
        <f t="shared" si="16"/>
        <v>-</v>
      </c>
      <c r="Q22" s="191" t="str">
        <f t="shared" si="0"/>
        <v>-</v>
      </c>
      <c r="R22" s="191" t="str">
        <f t="shared" si="1"/>
        <v>-</v>
      </c>
      <c r="S22" s="12"/>
      <c r="T22" s="5"/>
      <c r="U22" s="195" t="str">
        <f t="shared" si="2"/>
        <v>-</v>
      </c>
      <c r="V22" s="92" t="str">
        <f t="shared" si="3"/>
        <v>-</v>
      </c>
      <c r="W22" s="196" t="str">
        <f t="shared" si="4"/>
        <v>-</v>
      </c>
      <c r="X22" s="196" t="str">
        <f t="shared" si="17"/>
        <v>-</v>
      </c>
      <c r="Y22" s="191" t="str">
        <f t="shared" si="5"/>
        <v>-</v>
      </c>
      <c r="Z22" s="191" t="str">
        <f t="shared" si="6"/>
        <v>-</v>
      </c>
      <c r="AA22" s="197" t="str">
        <f t="shared" si="7"/>
        <v>-</v>
      </c>
      <c r="AB22" s="5"/>
      <c r="AC22" s="195" t="str">
        <f t="shared" si="8"/>
        <v>-</v>
      </c>
      <c r="AD22" s="90" t="str">
        <f t="shared" si="9"/>
        <v>-</v>
      </c>
      <c r="AE22" s="92" t="str">
        <f t="shared" si="10"/>
        <v>-</v>
      </c>
      <c r="AF22" s="92" t="str">
        <f t="shared" si="11"/>
        <v>-</v>
      </c>
      <c r="AG22" s="92" t="str">
        <f t="shared" si="12"/>
        <v>-</v>
      </c>
      <c r="AH22" s="92" t="str">
        <f t="shared" si="13"/>
        <v>-</v>
      </c>
      <c r="AI22" s="198" t="str">
        <f t="shared" si="14"/>
        <v>-</v>
      </c>
    </row>
    <row r="23" spans="1:35" ht="15" customHeight="1">
      <c r="A23" s="8"/>
      <c r="B23" s="88">
        <v>4</v>
      </c>
      <c r="C23" s="191" t="str">
        <f>IF(4&gt;N_3,"-",IF(ISNUMBER(F23),MAX(ROUND(Cp/Cpp*U23/'Pre-Test'!$U$46*Tr_3*4/N_3,0)/4,2)+C22,"-"))</f>
        <v>-</v>
      </c>
      <c r="D23" s="365"/>
      <c r="E23" s="347"/>
      <c r="F23" s="89"/>
      <c r="G23" s="192"/>
      <c r="H23" s="192"/>
      <c r="I23" s="193"/>
      <c r="J23" s="90" t="str">
        <f t="shared" si="15"/>
        <v>-</v>
      </c>
      <c r="K23" s="89"/>
      <c r="L23" s="193"/>
      <c r="M23" s="193"/>
      <c r="N23" s="193"/>
      <c r="O23" s="193"/>
      <c r="P23" s="194" t="str">
        <f t="shared" si="16"/>
        <v>-</v>
      </c>
      <c r="Q23" s="191" t="str">
        <f t="shared" si="0"/>
        <v>-</v>
      </c>
      <c r="R23" s="191" t="str">
        <f t="shared" si="1"/>
        <v>-</v>
      </c>
      <c r="S23" s="12"/>
      <c r="T23" s="5"/>
      <c r="U23" s="195" t="str">
        <f t="shared" si="2"/>
        <v>-</v>
      </c>
      <c r="V23" s="92" t="str">
        <f t="shared" si="3"/>
        <v>-</v>
      </c>
      <c r="W23" s="196" t="str">
        <f t="shared" si="4"/>
        <v>-</v>
      </c>
      <c r="X23" s="196" t="str">
        <f t="shared" si="17"/>
        <v>-</v>
      </c>
      <c r="Y23" s="191" t="str">
        <f t="shared" si="5"/>
        <v>-</v>
      </c>
      <c r="Z23" s="191" t="str">
        <f t="shared" si="6"/>
        <v>-</v>
      </c>
      <c r="AA23" s="197" t="str">
        <f t="shared" si="7"/>
        <v>-</v>
      </c>
      <c r="AB23" s="5"/>
      <c r="AC23" s="195" t="str">
        <f t="shared" si="8"/>
        <v>-</v>
      </c>
      <c r="AD23" s="90" t="str">
        <f t="shared" si="9"/>
        <v>-</v>
      </c>
      <c r="AE23" s="92" t="str">
        <f t="shared" si="10"/>
        <v>-</v>
      </c>
      <c r="AF23" s="92" t="str">
        <f t="shared" si="11"/>
        <v>-</v>
      </c>
      <c r="AG23" s="92" t="str">
        <f t="shared" si="12"/>
        <v>-</v>
      </c>
      <c r="AH23" s="92" t="str">
        <f t="shared" si="13"/>
        <v>-</v>
      </c>
      <c r="AI23" s="198" t="str">
        <f t="shared" si="14"/>
        <v>-</v>
      </c>
    </row>
    <row r="24" spans="1:35" ht="15" customHeight="1">
      <c r="A24" s="8"/>
      <c r="B24" s="88">
        <v>5</v>
      </c>
      <c r="C24" s="191" t="str">
        <f>IF(5&gt;N_3,"-",IF(ISNUMBER(F24),MAX(ROUND(Cp/Cpp*U24/'Pre-Test'!$U$46*Tr_3*4/N_3,0)/4,2)+C23,"-"))</f>
        <v>-</v>
      </c>
      <c r="D24" s="365"/>
      <c r="E24" s="347"/>
      <c r="F24" s="89"/>
      <c r="G24" s="192"/>
      <c r="H24" s="192"/>
      <c r="I24" s="193"/>
      <c r="J24" s="90" t="str">
        <f t="shared" si="15"/>
        <v>-</v>
      </c>
      <c r="K24" s="89"/>
      <c r="L24" s="193"/>
      <c r="M24" s="193"/>
      <c r="N24" s="193"/>
      <c r="O24" s="193"/>
      <c r="P24" s="194" t="str">
        <f t="shared" si="16"/>
        <v>-</v>
      </c>
      <c r="Q24" s="191" t="str">
        <f t="shared" si="0"/>
        <v>-</v>
      </c>
      <c r="R24" s="191" t="str">
        <f t="shared" si="1"/>
        <v>-</v>
      </c>
      <c r="S24" s="12"/>
      <c r="T24" s="5"/>
      <c r="U24" s="195" t="str">
        <f t="shared" si="2"/>
        <v>-</v>
      </c>
      <c r="V24" s="92" t="str">
        <f t="shared" si="3"/>
        <v>-</v>
      </c>
      <c r="W24" s="196" t="str">
        <f t="shared" si="4"/>
        <v>-</v>
      </c>
      <c r="X24" s="196" t="str">
        <f t="shared" si="17"/>
        <v>-</v>
      </c>
      <c r="Y24" s="191" t="str">
        <f t="shared" si="5"/>
        <v>-</v>
      </c>
      <c r="Z24" s="191" t="str">
        <f t="shared" si="6"/>
        <v>-</v>
      </c>
      <c r="AA24" s="197" t="str">
        <f t="shared" si="7"/>
        <v>-</v>
      </c>
      <c r="AB24" s="5"/>
      <c r="AC24" s="195" t="str">
        <f t="shared" si="8"/>
        <v>-</v>
      </c>
      <c r="AD24" s="90" t="str">
        <f t="shared" si="9"/>
        <v>-</v>
      </c>
      <c r="AE24" s="92" t="str">
        <f t="shared" si="10"/>
        <v>-</v>
      </c>
      <c r="AF24" s="92" t="str">
        <f t="shared" si="11"/>
        <v>-</v>
      </c>
      <c r="AG24" s="92" t="str">
        <f t="shared" si="12"/>
        <v>-</v>
      </c>
      <c r="AH24" s="92" t="str">
        <f t="shared" si="13"/>
        <v>-</v>
      </c>
      <c r="AI24" s="198" t="str">
        <f t="shared" si="14"/>
        <v>-</v>
      </c>
    </row>
    <row r="25" spans="1:35" ht="15" customHeight="1">
      <c r="A25" s="8"/>
      <c r="B25" s="88">
        <v>6</v>
      </c>
      <c r="C25" s="191" t="str">
        <f>IF(6&gt;N_3,"-",IF(ISNUMBER(F25),MAX(ROUND(Cp/Cpp*U25/'Pre-Test'!$U$46*Tr_3*4/N_3,0)/4,2)+C24,"-"))</f>
        <v>-</v>
      </c>
      <c r="D25" s="365"/>
      <c r="E25" s="347"/>
      <c r="F25" s="89"/>
      <c r="G25" s="192"/>
      <c r="H25" s="192"/>
      <c r="I25" s="193"/>
      <c r="J25" s="90" t="str">
        <f t="shared" si="15"/>
        <v>-</v>
      </c>
      <c r="K25" s="89"/>
      <c r="L25" s="193"/>
      <c r="M25" s="193"/>
      <c r="N25" s="193"/>
      <c r="O25" s="193"/>
      <c r="P25" s="194" t="str">
        <f t="shared" si="16"/>
        <v>-</v>
      </c>
      <c r="Q25" s="191" t="str">
        <f t="shared" si="0"/>
        <v>-</v>
      </c>
      <c r="R25" s="191" t="str">
        <f t="shared" si="1"/>
        <v>-</v>
      </c>
      <c r="S25" s="12"/>
      <c r="T25" s="5"/>
      <c r="U25" s="195" t="str">
        <f t="shared" si="2"/>
        <v>-</v>
      </c>
      <c r="V25" s="92" t="str">
        <f t="shared" si="3"/>
        <v>-</v>
      </c>
      <c r="W25" s="196" t="str">
        <f t="shared" si="4"/>
        <v>-</v>
      </c>
      <c r="X25" s="196" t="str">
        <f t="shared" si="17"/>
        <v>-</v>
      </c>
      <c r="Y25" s="191" t="str">
        <f t="shared" si="5"/>
        <v>-</v>
      </c>
      <c r="Z25" s="191" t="str">
        <f t="shared" si="6"/>
        <v>-</v>
      </c>
      <c r="AA25" s="197" t="str">
        <f t="shared" si="7"/>
        <v>-</v>
      </c>
      <c r="AB25" s="5"/>
      <c r="AC25" s="195" t="str">
        <f t="shared" si="8"/>
        <v>-</v>
      </c>
      <c r="AD25" s="90" t="str">
        <f t="shared" si="9"/>
        <v>-</v>
      </c>
      <c r="AE25" s="92" t="str">
        <f t="shared" si="10"/>
        <v>-</v>
      </c>
      <c r="AF25" s="92" t="str">
        <f t="shared" si="11"/>
        <v>-</v>
      </c>
      <c r="AG25" s="92" t="str">
        <f t="shared" si="12"/>
        <v>-</v>
      </c>
      <c r="AH25" s="92" t="str">
        <f t="shared" si="13"/>
        <v>-</v>
      </c>
      <c r="AI25" s="198" t="str">
        <f t="shared" si="14"/>
        <v>-</v>
      </c>
    </row>
    <row r="26" spans="1:35" ht="15" customHeight="1">
      <c r="A26" s="8"/>
      <c r="B26" s="88">
        <v>7</v>
      </c>
      <c r="C26" s="191" t="str">
        <f>IF(7&gt;N_3,"-",IF(ISNUMBER(F26),MAX(ROUND(Cp/Cpp*U26/'Pre-Test'!$U$46*Tr_3*4/N_3,0)/4,2)+C25,"-"))</f>
        <v>-</v>
      </c>
      <c r="D26" s="365"/>
      <c r="E26" s="347"/>
      <c r="F26" s="89"/>
      <c r="G26" s="192"/>
      <c r="H26" s="192"/>
      <c r="I26" s="193"/>
      <c r="J26" s="90" t="str">
        <f t="shared" si="15"/>
        <v>-</v>
      </c>
      <c r="K26" s="89"/>
      <c r="L26" s="193"/>
      <c r="M26" s="193"/>
      <c r="N26" s="193"/>
      <c r="O26" s="193"/>
      <c r="P26" s="194" t="str">
        <f t="shared" si="16"/>
        <v>-</v>
      </c>
      <c r="Q26" s="191" t="str">
        <f t="shared" si="0"/>
        <v>-</v>
      </c>
      <c r="R26" s="191" t="str">
        <f t="shared" si="1"/>
        <v>-</v>
      </c>
      <c r="S26" s="12"/>
      <c r="T26" s="5"/>
      <c r="U26" s="195" t="str">
        <f t="shared" si="2"/>
        <v>-</v>
      </c>
      <c r="V26" s="92" t="str">
        <f t="shared" si="3"/>
        <v>-</v>
      </c>
      <c r="W26" s="196" t="str">
        <f t="shared" si="4"/>
        <v>-</v>
      </c>
      <c r="X26" s="196" t="str">
        <f t="shared" si="17"/>
        <v>-</v>
      </c>
      <c r="Y26" s="191" t="str">
        <f t="shared" si="5"/>
        <v>-</v>
      </c>
      <c r="Z26" s="191" t="str">
        <f t="shared" si="6"/>
        <v>-</v>
      </c>
      <c r="AA26" s="197" t="str">
        <f t="shared" si="7"/>
        <v>-</v>
      </c>
      <c r="AB26" s="5"/>
      <c r="AC26" s="195" t="str">
        <f t="shared" si="8"/>
        <v>-</v>
      </c>
      <c r="AD26" s="90" t="str">
        <f t="shared" si="9"/>
        <v>-</v>
      </c>
      <c r="AE26" s="92" t="str">
        <f t="shared" si="10"/>
        <v>-</v>
      </c>
      <c r="AF26" s="92" t="str">
        <f t="shared" si="11"/>
        <v>-</v>
      </c>
      <c r="AG26" s="92" t="str">
        <f t="shared" si="12"/>
        <v>-</v>
      </c>
      <c r="AH26" s="92" t="str">
        <f t="shared" si="13"/>
        <v>-</v>
      </c>
      <c r="AI26" s="198" t="str">
        <f t="shared" si="14"/>
        <v>-</v>
      </c>
    </row>
    <row r="27" spans="1:35" ht="15" customHeight="1">
      <c r="A27" s="8"/>
      <c r="B27" s="88">
        <v>8</v>
      </c>
      <c r="C27" s="191" t="str">
        <f>IF(8&gt;N_3,"-",IF(ISNUMBER(F27),MAX(ROUND(Cp/Cpp*U27/'Pre-Test'!$U$46*Tr_3*4/N_3,0)/4,2)+C26,"-"))</f>
        <v>-</v>
      </c>
      <c r="D27" s="365"/>
      <c r="E27" s="347"/>
      <c r="F27" s="89"/>
      <c r="G27" s="192"/>
      <c r="H27" s="192"/>
      <c r="I27" s="193"/>
      <c r="J27" s="90" t="str">
        <f t="shared" si="15"/>
        <v>-</v>
      </c>
      <c r="K27" s="89"/>
      <c r="L27" s="193"/>
      <c r="M27" s="193"/>
      <c r="N27" s="193"/>
      <c r="O27" s="193"/>
      <c r="P27" s="194" t="str">
        <f t="shared" si="16"/>
        <v>-</v>
      </c>
      <c r="Q27" s="191" t="str">
        <f t="shared" si="0"/>
        <v>-</v>
      </c>
      <c r="R27" s="191" t="str">
        <f t="shared" si="1"/>
        <v>-</v>
      </c>
      <c r="S27" s="12"/>
      <c r="T27" s="5"/>
      <c r="U27" s="195" t="str">
        <f t="shared" si="2"/>
        <v>-</v>
      </c>
      <c r="V27" s="92" t="str">
        <f t="shared" si="3"/>
        <v>-</v>
      </c>
      <c r="W27" s="196" t="str">
        <f t="shared" si="4"/>
        <v>-</v>
      </c>
      <c r="X27" s="196" t="str">
        <f t="shared" si="17"/>
        <v>-</v>
      </c>
      <c r="Y27" s="191" t="str">
        <f t="shared" si="5"/>
        <v>-</v>
      </c>
      <c r="Z27" s="191" t="str">
        <f t="shared" si="6"/>
        <v>-</v>
      </c>
      <c r="AA27" s="197" t="str">
        <f t="shared" si="7"/>
        <v>-</v>
      </c>
      <c r="AB27" s="5"/>
      <c r="AC27" s="195" t="str">
        <f t="shared" si="8"/>
        <v>-</v>
      </c>
      <c r="AD27" s="90" t="str">
        <f t="shared" si="9"/>
        <v>-</v>
      </c>
      <c r="AE27" s="92" t="str">
        <f t="shared" si="10"/>
        <v>-</v>
      </c>
      <c r="AF27" s="92" t="str">
        <f t="shared" si="11"/>
        <v>-</v>
      </c>
      <c r="AG27" s="92" t="str">
        <f t="shared" si="12"/>
        <v>-</v>
      </c>
      <c r="AH27" s="92" t="str">
        <f t="shared" si="13"/>
        <v>-</v>
      </c>
      <c r="AI27" s="198" t="str">
        <f t="shared" si="14"/>
        <v>-</v>
      </c>
    </row>
    <row r="28" spans="1:35" ht="15" customHeight="1">
      <c r="A28" s="8"/>
      <c r="B28" s="88">
        <v>9</v>
      </c>
      <c r="C28" s="191" t="str">
        <f>IF(9&gt;N_3,"-",IF(ISNUMBER(F28),MAX(ROUND(Cp/Cpp*U28/'Pre-Test'!$U$46*Tr_3*4/N_3,0)/4,2)+C27,"-"))</f>
        <v>-</v>
      </c>
      <c r="D28" s="365"/>
      <c r="E28" s="347"/>
      <c r="F28" s="89"/>
      <c r="G28" s="192"/>
      <c r="H28" s="192"/>
      <c r="I28" s="193"/>
      <c r="J28" s="90" t="str">
        <f t="shared" si="15"/>
        <v>-</v>
      </c>
      <c r="K28" s="89"/>
      <c r="L28" s="193"/>
      <c r="M28" s="193"/>
      <c r="N28" s="193"/>
      <c r="O28" s="193"/>
      <c r="P28" s="194" t="str">
        <f t="shared" si="16"/>
        <v>-</v>
      </c>
      <c r="Q28" s="191" t="str">
        <f t="shared" si="0"/>
        <v>-</v>
      </c>
      <c r="R28" s="191" t="str">
        <f t="shared" si="1"/>
        <v>-</v>
      </c>
      <c r="S28" s="12"/>
      <c r="T28" s="5"/>
      <c r="U28" s="195" t="str">
        <f t="shared" si="2"/>
        <v>-</v>
      </c>
      <c r="V28" s="92" t="str">
        <f t="shared" si="3"/>
        <v>-</v>
      </c>
      <c r="W28" s="196" t="str">
        <f t="shared" si="4"/>
        <v>-</v>
      </c>
      <c r="X28" s="196" t="str">
        <f t="shared" si="17"/>
        <v>-</v>
      </c>
      <c r="Y28" s="191" t="str">
        <f t="shared" si="5"/>
        <v>-</v>
      </c>
      <c r="Z28" s="191" t="str">
        <f t="shared" si="6"/>
        <v>-</v>
      </c>
      <c r="AA28" s="197" t="str">
        <f t="shared" si="7"/>
        <v>-</v>
      </c>
      <c r="AB28" s="5"/>
      <c r="AC28" s="195" t="str">
        <f t="shared" si="8"/>
        <v>-</v>
      </c>
      <c r="AD28" s="90" t="str">
        <f t="shared" si="9"/>
        <v>-</v>
      </c>
      <c r="AE28" s="92" t="str">
        <f t="shared" si="10"/>
        <v>-</v>
      </c>
      <c r="AF28" s="92" t="str">
        <f t="shared" si="11"/>
        <v>-</v>
      </c>
      <c r="AG28" s="92" t="str">
        <f t="shared" si="12"/>
        <v>-</v>
      </c>
      <c r="AH28" s="92" t="str">
        <f t="shared" si="13"/>
        <v>-</v>
      </c>
      <c r="AI28" s="198" t="str">
        <f t="shared" si="14"/>
        <v>-</v>
      </c>
    </row>
    <row r="29" spans="1:35" ht="15" customHeight="1">
      <c r="A29" s="8"/>
      <c r="B29" s="88">
        <v>10</v>
      </c>
      <c r="C29" s="191" t="str">
        <f>IF(10&gt;N_3,"-",IF(ISNUMBER(F29),MAX(ROUND(Cp/Cpp*U29/'Pre-Test'!$U$46*Tr_3*4/N_3,0)/4,2)+C28,"-"))</f>
        <v>-</v>
      </c>
      <c r="D29" s="365"/>
      <c r="E29" s="347"/>
      <c r="F29" s="89"/>
      <c r="G29" s="192"/>
      <c r="H29" s="192"/>
      <c r="I29" s="193"/>
      <c r="J29" s="90" t="str">
        <f t="shared" si="15"/>
        <v>-</v>
      </c>
      <c r="K29" s="89"/>
      <c r="L29" s="193"/>
      <c r="M29" s="193"/>
      <c r="N29" s="193"/>
      <c r="O29" s="193"/>
      <c r="P29" s="194" t="str">
        <f t="shared" si="16"/>
        <v>-</v>
      </c>
      <c r="Q29" s="191" t="str">
        <f t="shared" si="0"/>
        <v>-</v>
      </c>
      <c r="R29" s="191" t="str">
        <f t="shared" si="1"/>
        <v>-</v>
      </c>
      <c r="S29" s="12"/>
      <c r="T29" s="5"/>
      <c r="U29" s="195" t="str">
        <f t="shared" si="2"/>
        <v>-</v>
      </c>
      <c r="V29" s="92" t="str">
        <f t="shared" si="3"/>
        <v>-</v>
      </c>
      <c r="W29" s="196" t="str">
        <f t="shared" si="4"/>
        <v>-</v>
      </c>
      <c r="X29" s="196" t="str">
        <f t="shared" si="17"/>
        <v>-</v>
      </c>
      <c r="Y29" s="191" t="str">
        <f t="shared" si="5"/>
        <v>-</v>
      </c>
      <c r="Z29" s="191" t="str">
        <f t="shared" si="6"/>
        <v>-</v>
      </c>
      <c r="AA29" s="197" t="str">
        <f t="shared" si="7"/>
        <v>-</v>
      </c>
      <c r="AB29" s="5"/>
      <c r="AC29" s="195" t="str">
        <f t="shared" si="8"/>
        <v>-</v>
      </c>
      <c r="AD29" s="90" t="str">
        <f t="shared" si="9"/>
        <v>-</v>
      </c>
      <c r="AE29" s="92" t="str">
        <f t="shared" si="10"/>
        <v>-</v>
      </c>
      <c r="AF29" s="92" t="str">
        <f t="shared" si="11"/>
        <v>-</v>
      </c>
      <c r="AG29" s="92" t="str">
        <f t="shared" si="12"/>
        <v>-</v>
      </c>
      <c r="AH29" s="92" t="str">
        <f t="shared" si="13"/>
        <v>-</v>
      </c>
      <c r="AI29" s="198" t="str">
        <f t="shared" si="14"/>
        <v>-</v>
      </c>
    </row>
    <row r="30" spans="1:35" ht="15" customHeight="1">
      <c r="A30" s="8"/>
      <c r="B30" s="88">
        <v>11</v>
      </c>
      <c r="C30" s="191" t="str">
        <f>IF(11&gt;N_3,"-",IF(ISNUMBER(F30),MAX(ROUND(Cp/Cpp*U30/'Pre-Test'!$U$46*Tr_3*4/N_3,0)/4,2)+C29,"-"))</f>
        <v>-</v>
      </c>
      <c r="D30" s="365"/>
      <c r="E30" s="347"/>
      <c r="F30" s="89"/>
      <c r="G30" s="192"/>
      <c r="H30" s="192"/>
      <c r="I30" s="193"/>
      <c r="J30" s="90" t="str">
        <f t="shared" si="15"/>
        <v>-</v>
      </c>
      <c r="K30" s="89"/>
      <c r="L30" s="193"/>
      <c r="M30" s="193"/>
      <c r="N30" s="193"/>
      <c r="O30" s="193"/>
      <c r="P30" s="194" t="str">
        <f t="shared" si="16"/>
        <v>-</v>
      </c>
      <c r="Q30" s="191" t="str">
        <f t="shared" si="0"/>
        <v>-</v>
      </c>
      <c r="R30" s="191" t="str">
        <f t="shared" si="1"/>
        <v>-</v>
      </c>
      <c r="S30" s="12"/>
      <c r="T30" s="5"/>
      <c r="U30" s="195" t="str">
        <f t="shared" si="2"/>
        <v>-</v>
      </c>
      <c r="V30" s="92" t="str">
        <f t="shared" si="3"/>
        <v>-</v>
      </c>
      <c r="W30" s="196" t="str">
        <f t="shared" si="4"/>
        <v>-</v>
      </c>
      <c r="X30" s="196" t="str">
        <f t="shared" si="17"/>
        <v>-</v>
      </c>
      <c r="Y30" s="191" t="str">
        <f t="shared" si="5"/>
        <v>-</v>
      </c>
      <c r="Z30" s="191" t="str">
        <f t="shared" si="6"/>
        <v>-</v>
      </c>
      <c r="AA30" s="197" t="str">
        <f t="shared" si="7"/>
        <v>-</v>
      </c>
      <c r="AB30" s="5"/>
      <c r="AC30" s="195" t="str">
        <f t="shared" si="8"/>
        <v>-</v>
      </c>
      <c r="AD30" s="90" t="str">
        <f t="shared" si="9"/>
        <v>-</v>
      </c>
      <c r="AE30" s="92" t="str">
        <f t="shared" si="10"/>
        <v>-</v>
      </c>
      <c r="AF30" s="92" t="str">
        <f t="shared" si="11"/>
        <v>-</v>
      </c>
      <c r="AG30" s="92" t="str">
        <f t="shared" si="12"/>
        <v>-</v>
      </c>
      <c r="AH30" s="92" t="str">
        <f t="shared" si="13"/>
        <v>-</v>
      </c>
      <c r="AI30" s="198" t="str">
        <f t="shared" si="14"/>
        <v>-</v>
      </c>
    </row>
    <row r="31" spans="1:35" ht="15" customHeight="1">
      <c r="A31" s="8"/>
      <c r="B31" s="88">
        <v>12</v>
      </c>
      <c r="C31" s="191" t="str">
        <f>IF(12&gt;N_3,"-",IF(ISNUMBER(F31),MAX(ROUND(Cp/Cpp*U31/'Pre-Test'!$U$46*Tr_3*4/N_3,0)/4,2)+C30,"-"))</f>
        <v>-</v>
      </c>
      <c r="D31" s="365"/>
      <c r="E31" s="347"/>
      <c r="F31" s="89"/>
      <c r="G31" s="192"/>
      <c r="H31" s="192"/>
      <c r="I31" s="193"/>
      <c r="J31" s="90" t="str">
        <f t="shared" si="15"/>
        <v>-</v>
      </c>
      <c r="K31" s="89"/>
      <c r="L31" s="193"/>
      <c r="M31" s="193"/>
      <c r="N31" s="193"/>
      <c r="O31" s="193"/>
      <c r="P31" s="194" t="str">
        <f t="shared" si="16"/>
        <v>-</v>
      </c>
      <c r="Q31" s="191" t="str">
        <f t="shared" si="0"/>
        <v>-</v>
      </c>
      <c r="R31" s="191" t="str">
        <f t="shared" si="1"/>
        <v>-</v>
      </c>
      <c r="S31" s="12"/>
      <c r="T31" s="5"/>
      <c r="U31" s="195" t="str">
        <f t="shared" si="2"/>
        <v>-</v>
      </c>
      <c r="V31" s="92" t="str">
        <f t="shared" si="3"/>
        <v>-</v>
      </c>
      <c r="W31" s="196" t="str">
        <f t="shared" si="4"/>
        <v>-</v>
      </c>
      <c r="X31" s="196" t="str">
        <f t="shared" si="17"/>
        <v>-</v>
      </c>
      <c r="Y31" s="191" t="str">
        <f t="shared" si="5"/>
        <v>-</v>
      </c>
      <c r="Z31" s="191" t="str">
        <f t="shared" si="6"/>
        <v>-</v>
      </c>
      <c r="AA31" s="197" t="str">
        <f t="shared" si="7"/>
        <v>-</v>
      </c>
      <c r="AB31" s="5"/>
      <c r="AC31" s="195" t="str">
        <f t="shared" si="8"/>
        <v>-</v>
      </c>
      <c r="AD31" s="90" t="str">
        <f t="shared" si="9"/>
        <v>-</v>
      </c>
      <c r="AE31" s="92" t="str">
        <f t="shared" si="10"/>
        <v>-</v>
      </c>
      <c r="AF31" s="92" t="str">
        <f t="shared" si="11"/>
        <v>-</v>
      </c>
      <c r="AG31" s="92" t="str">
        <f t="shared" si="12"/>
        <v>-</v>
      </c>
      <c r="AH31" s="92" t="str">
        <f t="shared" si="13"/>
        <v>-</v>
      </c>
      <c r="AI31" s="198" t="str">
        <f t="shared" si="14"/>
        <v>-</v>
      </c>
    </row>
    <row r="32" spans="1:35" ht="15" customHeight="1">
      <c r="A32" s="8"/>
      <c r="B32" s="88">
        <v>13</v>
      </c>
      <c r="C32" s="191" t="str">
        <f>IF(13&gt;N_3,"-",IF(ISNUMBER(F32),MAX(ROUND(Cp/Cpp*U32/'Pre-Test'!$U$46*Tr_3*4/N_3,0)/4,2)+C31,"-"))</f>
        <v>-</v>
      </c>
      <c r="D32" s="365"/>
      <c r="E32" s="347"/>
      <c r="F32" s="89"/>
      <c r="G32" s="192"/>
      <c r="H32" s="192"/>
      <c r="I32" s="193"/>
      <c r="J32" s="90" t="str">
        <f t="shared" si="15"/>
        <v>-</v>
      </c>
      <c r="K32" s="89"/>
      <c r="L32" s="193"/>
      <c r="M32" s="193"/>
      <c r="N32" s="193"/>
      <c r="O32" s="193"/>
      <c r="P32" s="194" t="str">
        <f t="shared" si="16"/>
        <v>-</v>
      </c>
      <c r="Q32" s="191" t="str">
        <f t="shared" si="0"/>
        <v>-</v>
      </c>
      <c r="R32" s="191" t="str">
        <f t="shared" si="1"/>
        <v>-</v>
      </c>
      <c r="S32" s="12"/>
      <c r="T32" s="5"/>
      <c r="U32" s="195" t="str">
        <f t="shared" si="2"/>
        <v>-</v>
      </c>
      <c r="V32" s="92" t="str">
        <f t="shared" si="3"/>
        <v>-</v>
      </c>
      <c r="W32" s="196" t="str">
        <f t="shared" si="4"/>
        <v>-</v>
      </c>
      <c r="X32" s="196" t="str">
        <f t="shared" si="17"/>
        <v>-</v>
      </c>
      <c r="Y32" s="191" t="str">
        <f t="shared" si="5"/>
        <v>-</v>
      </c>
      <c r="Z32" s="191" t="str">
        <f t="shared" si="6"/>
        <v>-</v>
      </c>
      <c r="AA32" s="197" t="str">
        <f t="shared" si="7"/>
        <v>-</v>
      </c>
      <c r="AB32" s="5"/>
      <c r="AC32" s="195" t="str">
        <f t="shared" si="8"/>
        <v>-</v>
      </c>
      <c r="AD32" s="90" t="str">
        <f t="shared" si="9"/>
        <v>-</v>
      </c>
      <c r="AE32" s="92" t="str">
        <f t="shared" si="10"/>
        <v>-</v>
      </c>
      <c r="AF32" s="92" t="str">
        <f t="shared" si="11"/>
        <v>-</v>
      </c>
      <c r="AG32" s="92" t="str">
        <f t="shared" si="12"/>
        <v>-</v>
      </c>
      <c r="AH32" s="92" t="str">
        <f t="shared" si="13"/>
        <v>-</v>
      </c>
      <c r="AI32" s="198" t="str">
        <f t="shared" si="14"/>
        <v>-</v>
      </c>
    </row>
    <row r="33" spans="1:35" ht="15" customHeight="1">
      <c r="A33" s="8"/>
      <c r="B33" s="88">
        <v>14</v>
      </c>
      <c r="C33" s="191" t="str">
        <f>IF(14&gt;N_3,"-",IF(ISNUMBER(F33),MAX(ROUND(Cp/Cpp*U33/'Pre-Test'!$U$46*Tr_3*4/N_3,0)/4,2)+C32,"-"))</f>
        <v>-</v>
      </c>
      <c r="D33" s="365"/>
      <c r="E33" s="347"/>
      <c r="F33" s="89"/>
      <c r="G33" s="192"/>
      <c r="H33" s="192"/>
      <c r="I33" s="193"/>
      <c r="J33" s="90" t="str">
        <f t="shared" si="15"/>
        <v>-</v>
      </c>
      <c r="K33" s="89"/>
      <c r="L33" s="193"/>
      <c r="M33" s="193"/>
      <c r="N33" s="193"/>
      <c r="O33" s="193"/>
      <c r="P33" s="194" t="str">
        <f t="shared" si="16"/>
        <v>-</v>
      </c>
      <c r="Q33" s="191" t="str">
        <f t="shared" si="0"/>
        <v>-</v>
      </c>
      <c r="R33" s="191" t="str">
        <f t="shared" si="1"/>
        <v>-</v>
      </c>
      <c r="S33" s="12"/>
      <c r="T33" s="5"/>
      <c r="U33" s="195" t="str">
        <f t="shared" si="2"/>
        <v>-</v>
      </c>
      <c r="V33" s="92" t="str">
        <f t="shared" si="3"/>
        <v>-</v>
      </c>
      <c r="W33" s="196" t="str">
        <f t="shared" si="4"/>
        <v>-</v>
      </c>
      <c r="X33" s="196" t="str">
        <f t="shared" si="17"/>
        <v>-</v>
      </c>
      <c r="Y33" s="191" t="str">
        <f t="shared" si="5"/>
        <v>-</v>
      </c>
      <c r="Z33" s="191" t="str">
        <f t="shared" si="6"/>
        <v>-</v>
      </c>
      <c r="AA33" s="197" t="str">
        <f t="shared" si="7"/>
        <v>-</v>
      </c>
      <c r="AB33" s="5"/>
      <c r="AC33" s="195" t="str">
        <f t="shared" si="8"/>
        <v>-</v>
      </c>
      <c r="AD33" s="90" t="str">
        <f t="shared" si="9"/>
        <v>-</v>
      </c>
      <c r="AE33" s="92" t="str">
        <f t="shared" si="10"/>
        <v>-</v>
      </c>
      <c r="AF33" s="92" t="str">
        <f t="shared" si="11"/>
        <v>-</v>
      </c>
      <c r="AG33" s="92" t="str">
        <f t="shared" si="12"/>
        <v>-</v>
      </c>
      <c r="AH33" s="92" t="str">
        <f t="shared" si="13"/>
        <v>-</v>
      </c>
      <c r="AI33" s="198" t="str">
        <f t="shared" si="14"/>
        <v>-</v>
      </c>
    </row>
    <row r="34" spans="1:35" ht="15" customHeight="1">
      <c r="A34" s="8"/>
      <c r="B34" s="88">
        <v>15</v>
      </c>
      <c r="C34" s="191" t="str">
        <f>IF(15&gt;N_3,"-",IF(ISNUMBER(F34),MAX(ROUND(Cp/Cpp*U34/'Pre-Test'!$U$46*Tr_3*4/N_3,0)/4,2)+C33,"-"))</f>
        <v>-</v>
      </c>
      <c r="D34" s="365"/>
      <c r="E34" s="347"/>
      <c r="F34" s="89"/>
      <c r="G34" s="192"/>
      <c r="H34" s="192"/>
      <c r="I34" s="193"/>
      <c r="J34" s="90" t="str">
        <f t="shared" si="15"/>
        <v>-</v>
      </c>
      <c r="K34" s="89"/>
      <c r="L34" s="193"/>
      <c r="M34" s="193"/>
      <c r="N34" s="193"/>
      <c r="O34" s="193"/>
      <c r="P34" s="194" t="str">
        <f t="shared" si="16"/>
        <v>-</v>
      </c>
      <c r="Q34" s="191" t="str">
        <f t="shared" si="0"/>
        <v>-</v>
      </c>
      <c r="R34" s="191" t="str">
        <f t="shared" si="1"/>
        <v>-</v>
      </c>
      <c r="S34" s="12"/>
      <c r="T34" s="5"/>
      <c r="U34" s="195" t="str">
        <f t="shared" si="2"/>
        <v>-</v>
      </c>
      <c r="V34" s="92" t="str">
        <f t="shared" si="3"/>
        <v>-</v>
      </c>
      <c r="W34" s="196" t="str">
        <f t="shared" si="4"/>
        <v>-</v>
      </c>
      <c r="X34" s="196" t="str">
        <f t="shared" si="17"/>
        <v>-</v>
      </c>
      <c r="Y34" s="191" t="str">
        <f t="shared" si="5"/>
        <v>-</v>
      </c>
      <c r="Z34" s="191" t="str">
        <f t="shared" si="6"/>
        <v>-</v>
      </c>
      <c r="AA34" s="197" t="str">
        <f t="shared" si="7"/>
        <v>-</v>
      </c>
      <c r="AB34" s="5"/>
      <c r="AC34" s="195" t="str">
        <f t="shared" si="8"/>
        <v>-</v>
      </c>
      <c r="AD34" s="90" t="str">
        <f t="shared" si="9"/>
        <v>-</v>
      </c>
      <c r="AE34" s="92" t="str">
        <f t="shared" si="10"/>
        <v>-</v>
      </c>
      <c r="AF34" s="92" t="str">
        <f t="shared" si="11"/>
        <v>-</v>
      </c>
      <c r="AG34" s="92" t="str">
        <f t="shared" si="12"/>
        <v>-</v>
      </c>
      <c r="AH34" s="92" t="str">
        <f t="shared" si="13"/>
        <v>-</v>
      </c>
      <c r="AI34" s="198" t="str">
        <f t="shared" si="14"/>
        <v>-</v>
      </c>
    </row>
    <row r="35" spans="1:35" ht="15" customHeight="1">
      <c r="A35" s="8"/>
      <c r="B35" s="88">
        <v>16</v>
      </c>
      <c r="C35" s="191" t="str">
        <f>IF(16&gt;N_3,"-",IF(ISNUMBER(F35),MAX(ROUND(Cp/Cpp*U35/'Pre-Test'!$U$46*Tr_3*4/N_3,0)/4,2)+C34,"-"))</f>
        <v>-</v>
      </c>
      <c r="D35" s="365"/>
      <c r="E35" s="347"/>
      <c r="F35" s="89"/>
      <c r="G35" s="192"/>
      <c r="H35" s="192"/>
      <c r="I35" s="193"/>
      <c r="J35" s="90" t="str">
        <f t="shared" si="15"/>
        <v>-</v>
      </c>
      <c r="K35" s="89"/>
      <c r="L35" s="193"/>
      <c r="M35" s="193"/>
      <c r="N35" s="193"/>
      <c r="O35" s="193"/>
      <c r="P35" s="194" t="str">
        <f t="shared" si="16"/>
        <v>-</v>
      </c>
      <c r="Q35" s="191" t="str">
        <f t="shared" si="0"/>
        <v>-</v>
      </c>
      <c r="R35" s="191" t="str">
        <f t="shared" si="1"/>
        <v>-</v>
      </c>
      <c r="S35" s="12"/>
      <c r="T35" s="5"/>
      <c r="U35" s="195" t="str">
        <f t="shared" si="2"/>
        <v>-</v>
      </c>
      <c r="V35" s="92" t="str">
        <f t="shared" si="3"/>
        <v>-</v>
      </c>
      <c r="W35" s="196" t="str">
        <f t="shared" si="4"/>
        <v>-</v>
      </c>
      <c r="X35" s="196" t="str">
        <f t="shared" si="17"/>
        <v>-</v>
      </c>
      <c r="Y35" s="191" t="str">
        <f t="shared" si="5"/>
        <v>-</v>
      </c>
      <c r="Z35" s="191" t="str">
        <f t="shared" si="6"/>
        <v>-</v>
      </c>
      <c r="AA35" s="197" t="str">
        <f t="shared" si="7"/>
        <v>-</v>
      </c>
      <c r="AB35" s="5"/>
      <c r="AC35" s="195" t="str">
        <f t="shared" si="8"/>
        <v>-</v>
      </c>
      <c r="AD35" s="90" t="str">
        <f t="shared" si="9"/>
        <v>-</v>
      </c>
      <c r="AE35" s="92" t="str">
        <f t="shared" si="10"/>
        <v>-</v>
      </c>
      <c r="AF35" s="92" t="str">
        <f t="shared" si="11"/>
        <v>-</v>
      </c>
      <c r="AG35" s="92" t="str">
        <f t="shared" si="12"/>
        <v>-</v>
      </c>
      <c r="AH35" s="92" t="str">
        <f t="shared" si="13"/>
        <v>-</v>
      </c>
      <c r="AI35" s="198" t="str">
        <f t="shared" si="14"/>
        <v>-</v>
      </c>
    </row>
    <row r="36" spans="1:35" ht="15" customHeight="1">
      <c r="A36" s="8"/>
      <c r="B36" s="88">
        <v>17</v>
      </c>
      <c r="C36" s="191" t="str">
        <f>IF(17&gt;N_3,"-",IF(ISNUMBER(F36),MAX(ROUND(Cp/Cpp*U36/'Pre-Test'!$U$46*Tr_3*4/N_3,0)/4,2)+C35,"-"))</f>
        <v>-</v>
      </c>
      <c r="D36" s="365"/>
      <c r="E36" s="347"/>
      <c r="F36" s="89"/>
      <c r="G36" s="192"/>
      <c r="H36" s="192"/>
      <c r="I36" s="193"/>
      <c r="J36" s="90" t="str">
        <f t="shared" si="15"/>
        <v>-</v>
      </c>
      <c r="K36" s="89"/>
      <c r="L36" s="193"/>
      <c r="M36" s="193"/>
      <c r="N36" s="193"/>
      <c r="O36" s="193"/>
      <c r="P36" s="194" t="str">
        <f t="shared" si="16"/>
        <v>-</v>
      </c>
      <c r="Q36" s="191" t="str">
        <f t="shared" si="0"/>
        <v>-</v>
      </c>
      <c r="R36" s="191" t="str">
        <f t="shared" si="1"/>
        <v>-</v>
      </c>
      <c r="S36" s="12"/>
      <c r="T36" s="5"/>
      <c r="U36" s="195" t="str">
        <f t="shared" si="2"/>
        <v>-</v>
      </c>
      <c r="V36" s="92" t="str">
        <f t="shared" si="3"/>
        <v>-</v>
      </c>
      <c r="W36" s="196" t="str">
        <f t="shared" si="4"/>
        <v>-</v>
      </c>
      <c r="X36" s="196" t="str">
        <f t="shared" si="17"/>
        <v>-</v>
      </c>
      <c r="Y36" s="191" t="str">
        <f t="shared" si="5"/>
        <v>-</v>
      </c>
      <c r="Z36" s="191" t="str">
        <f t="shared" si="6"/>
        <v>-</v>
      </c>
      <c r="AA36" s="197" t="str">
        <f t="shared" si="7"/>
        <v>-</v>
      </c>
      <c r="AB36" s="5"/>
      <c r="AC36" s="195" t="str">
        <f t="shared" si="8"/>
        <v>-</v>
      </c>
      <c r="AD36" s="90" t="str">
        <f t="shared" si="9"/>
        <v>-</v>
      </c>
      <c r="AE36" s="92" t="str">
        <f t="shared" si="10"/>
        <v>-</v>
      </c>
      <c r="AF36" s="92" t="str">
        <f t="shared" si="11"/>
        <v>-</v>
      </c>
      <c r="AG36" s="92" t="str">
        <f t="shared" si="12"/>
        <v>-</v>
      </c>
      <c r="AH36" s="92" t="str">
        <f t="shared" si="13"/>
        <v>-</v>
      </c>
      <c r="AI36" s="198" t="str">
        <f t="shared" si="14"/>
        <v>-</v>
      </c>
    </row>
    <row r="37" spans="1:35" ht="15" customHeight="1">
      <c r="A37" s="8"/>
      <c r="B37" s="88">
        <v>18</v>
      </c>
      <c r="C37" s="191" t="str">
        <f>IF(18&gt;N_3,"-",IF(ISNUMBER(F37),MAX(ROUND(Cp/Cpp*U37/'Pre-Test'!$U$46*Tr_3*4/N_3,0)/4,2)+C36,"-"))</f>
        <v>-</v>
      </c>
      <c r="D37" s="365"/>
      <c r="E37" s="347"/>
      <c r="F37" s="89"/>
      <c r="G37" s="192"/>
      <c r="H37" s="192"/>
      <c r="I37" s="193"/>
      <c r="J37" s="90" t="str">
        <f t="shared" si="15"/>
        <v>-</v>
      </c>
      <c r="K37" s="89"/>
      <c r="L37" s="193"/>
      <c r="M37" s="193"/>
      <c r="N37" s="193"/>
      <c r="O37" s="193"/>
      <c r="P37" s="194" t="str">
        <f t="shared" si="16"/>
        <v>-</v>
      </c>
      <c r="Q37" s="191" t="str">
        <f t="shared" si="0"/>
        <v>-</v>
      </c>
      <c r="R37" s="191" t="str">
        <f t="shared" si="1"/>
        <v>-</v>
      </c>
      <c r="S37" s="12"/>
      <c r="T37" s="5"/>
      <c r="U37" s="195" t="str">
        <f t="shared" si="2"/>
        <v>-</v>
      </c>
      <c r="V37" s="92" t="str">
        <f t="shared" si="3"/>
        <v>-</v>
      </c>
      <c r="W37" s="196" t="str">
        <f t="shared" si="4"/>
        <v>-</v>
      </c>
      <c r="X37" s="196" t="str">
        <f t="shared" si="17"/>
        <v>-</v>
      </c>
      <c r="Y37" s="191" t="str">
        <f t="shared" si="5"/>
        <v>-</v>
      </c>
      <c r="Z37" s="191" t="str">
        <f t="shared" si="6"/>
        <v>-</v>
      </c>
      <c r="AA37" s="197" t="str">
        <f t="shared" si="7"/>
        <v>-</v>
      </c>
      <c r="AB37" s="5"/>
      <c r="AC37" s="195" t="str">
        <f t="shared" si="8"/>
        <v>-</v>
      </c>
      <c r="AD37" s="90" t="str">
        <f t="shared" si="9"/>
        <v>-</v>
      </c>
      <c r="AE37" s="92" t="str">
        <f t="shared" si="10"/>
        <v>-</v>
      </c>
      <c r="AF37" s="92" t="str">
        <f t="shared" si="11"/>
        <v>-</v>
      </c>
      <c r="AG37" s="92" t="str">
        <f t="shared" si="12"/>
        <v>-</v>
      </c>
      <c r="AH37" s="92" t="str">
        <f t="shared" si="13"/>
        <v>-</v>
      </c>
      <c r="AI37" s="198" t="str">
        <f t="shared" si="14"/>
        <v>-</v>
      </c>
    </row>
    <row r="38" spans="1:35" ht="15" customHeight="1">
      <c r="A38" s="8"/>
      <c r="B38" s="88">
        <v>19</v>
      </c>
      <c r="C38" s="191" t="str">
        <f>IF(19&gt;N_3,"-",IF(ISNUMBER(F38),MAX(ROUND(Cp/Cpp*U38/'Pre-Test'!$U$46*Tr_3*4/N_3,0)/4,2)+C37,"-"))</f>
        <v>-</v>
      </c>
      <c r="D38" s="365"/>
      <c r="E38" s="347"/>
      <c r="F38" s="89"/>
      <c r="G38" s="192"/>
      <c r="H38" s="192"/>
      <c r="I38" s="193"/>
      <c r="J38" s="90" t="str">
        <f t="shared" si="15"/>
        <v>-</v>
      </c>
      <c r="K38" s="89"/>
      <c r="L38" s="193"/>
      <c r="M38" s="193"/>
      <c r="N38" s="193"/>
      <c r="O38" s="193"/>
      <c r="P38" s="194" t="str">
        <f t="shared" si="16"/>
        <v>-</v>
      </c>
      <c r="Q38" s="191" t="str">
        <f t="shared" si="0"/>
        <v>-</v>
      </c>
      <c r="R38" s="191" t="str">
        <f t="shared" si="1"/>
        <v>-</v>
      </c>
      <c r="S38" s="12"/>
      <c r="T38" s="5"/>
      <c r="U38" s="195" t="str">
        <f t="shared" si="2"/>
        <v>-</v>
      </c>
      <c r="V38" s="92" t="str">
        <f t="shared" si="3"/>
        <v>-</v>
      </c>
      <c r="W38" s="196" t="str">
        <f t="shared" si="4"/>
        <v>-</v>
      </c>
      <c r="X38" s="196" t="str">
        <f t="shared" si="17"/>
        <v>-</v>
      </c>
      <c r="Y38" s="191" t="str">
        <f t="shared" si="5"/>
        <v>-</v>
      </c>
      <c r="Z38" s="191" t="str">
        <f t="shared" si="6"/>
        <v>-</v>
      </c>
      <c r="AA38" s="197" t="str">
        <f t="shared" si="7"/>
        <v>-</v>
      </c>
      <c r="AB38" s="5"/>
      <c r="AC38" s="195" t="str">
        <f t="shared" si="8"/>
        <v>-</v>
      </c>
      <c r="AD38" s="90" t="str">
        <f t="shared" si="9"/>
        <v>-</v>
      </c>
      <c r="AE38" s="92" t="str">
        <f t="shared" si="10"/>
        <v>-</v>
      </c>
      <c r="AF38" s="92" t="str">
        <f t="shared" si="11"/>
        <v>-</v>
      </c>
      <c r="AG38" s="92" t="str">
        <f t="shared" si="12"/>
        <v>-</v>
      </c>
      <c r="AH38" s="92" t="str">
        <f t="shared" si="13"/>
        <v>-</v>
      </c>
      <c r="AI38" s="198" t="str">
        <f t="shared" si="14"/>
        <v>-</v>
      </c>
    </row>
    <row r="39" spans="1:35" ht="15" customHeight="1">
      <c r="A39" s="8"/>
      <c r="B39" s="88">
        <v>20</v>
      </c>
      <c r="C39" s="191" t="str">
        <f>IF(20&gt;N_3,"-",IF(ISNUMBER(F39),MAX(ROUND(Cp/Cpp*U39/'Pre-Test'!$U$46*Tr_3*4/N_3,0)/4,2)+C38,"-"))</f>
        <v>-</v>
      </c>
      <c r="D39" s="365"/>
      <c r="E39" s="347"/>
      <c r="F39" s="89"/>
      <c r="G39" s="192"/>
      <c r="H39" s="192"/>
      <c r="I39" s="193"/>
      <c r="J39" s="90" t="str">
        <f t="shared" si="15"/>
        <v>-</v>
      </c>
      <c r="K39" s="89"/>
      <c r="L39" s="193"/>
      <c r="M39" s="193"/>
      <c r="N39" s="193"/>
      <c r="O39" s="193"/>
      <c r="P39" s="194" t="str">
        <f t="shared" si="16"/>
        <v>-</v>
      </c>
      <c r="Q39" s="191" t="str">
        <f t="shared" si="0"/>
        <v>-</v>
      </c>
      <c r="R39" s="191" t="str">
        <f t="shared" si="1"/>
        <v>-</v>
      </c>
      <c r="S39" s="12"/>
      <c r="T39" s="5"/>
      <c r="U39" s="195" t="str">
        <f t="shared" si="2"/>
        <v>-</v>
      </c>
      <c r="V39" s="92" t="str">
        <f t="shared" si="3"/>
        <v>-</v>
      </c>
      <c r="W39" s="196" t="str">
        <f t="shared" si="4"/>
        <v>-</v>
      </c>
      <c r="X39" s="196" t="str">
        <f t="shared" si="17"/>
        <v>-</v>
      </c>
      <c r="Y39" s="191" t="str">
        <f t="shared" si="5"/>
        <v>-</v>
      </c>
      <c r="Z39" s="191" t="str">
        <f t="shared" si="6"/>
        <v>-</v>
      </c>
      <c r="AA39" s="197" t="str">
        <f t="shared" si="7"/>
        <v>-</v>
      </c>
      <c r="AB39" s="5"/>
      <c r="AC39" s="195" t="str">
        <f t="shared" si="8"/>
        <v>-</v>
      </c>
      <c r="AD39" s="90" t="str">
        <f t="shared" si="9"/>
        <v>-</v>
      </c>
      <c r="AE39" s="92" t="str">
        <f t="shared" si="10"/>
        <v>-</v>
      </c>
      <c r="AF39" s="92" t="str">
        <f t="shared" si="11"/>
        <v>-</v>
      </c>
      <c r="AG39" s="92" t="str">
        <f t="shared" si="12"/>
        <v>-</v>
      </c>
      <c r="AH39" s="92" t="str">
        <f t="shared" si="13"/>
        <v>-</v>
      </c>
      <c r="AI39" s="198" t="str">
        <f t="shared" si="14"/>
        <v>-</v>
      </c>
    </row>
    <row r="40" spans="1:35" ht="15" customHeight="1">
      <c r="A40" s="8"/>
      <c r="B40" s="88">
        <v>21</v>
      </c>
      <c r="C40" s="191" t="str">
        <f>IF(21&gt;N_3,"-",IF(ISNUMBER(F40),MAX(ROUND(Cp/Cpp*U40/'Pre-Test'!$U$46*Tr_3*4/N_3,0)/4,2)+C39,"-"))</f>
        <v>-</v>
      </c>
      <c r="D40" s="365"/>
      <c r="E40" s="347"/>
      <c r="F40" s="89"/>
      <c r="G40" s="192"/>
      <c r="H40" s="192"/>
      <c r="I40" s="193"/>
      <c r="J40" s="90" t="str">
        <f t="shared" si="15"/>
        <v>-</v>
      </c>
      <c r="K40" s="89"/>
      <c r="L40" s="193"/>
      <c r="M40" s="193"/>
      <c r="N40" s="193"/>
      <c r="O40" s="193"/>
      <c r="P40" s="194" t="str">
        <f t="shared" si="16"/>
        <v>-</v>
      </c>
      <c r="Q40" s="191" t="str">
        <f t="shared" si="0"/>
        <v>-</v>
      </c>
      <c r="R40" s="191" t="str">
        <f t="shared" si="1"/>
        <v>-</v>
      </c>
      <c r="S40" s="12"/>
      <c r="T40" s="5"/>
      <c r="U40" s="195" t="str">
        <f t="shared" si="2"/>
        <v>-</v>
      </c>
      <c r="V40" s="92" t="str">
        <f t="shared" si="3"/>
        <v>-</v>
      </c>
      <c r="W40" s="196" t="str">
        <f t="shared" si="4"/>
        <v>-</v>
      </c>
      <c r="X40" s="196" t="str">
        <f t="shared" si="17"/>
        <v>-</v>
      </c>
      <c r="Y40" s="191" t="str">
        <f t="shared" si="5"/>
        <v>-</v>
      </c>
      <c r="Z40" s="191" t="str">
        <f t="shared" si="6"/>
        <v>-</v>
      </c>
      <c r="AA40" s="197" t="str">
        <f t="shared" si="7"/>
        <v>-</v>
      </c>
      <c r="AB40" s="5"/>
      <c r="AC40" s="195" t="str">
        <f t="shared" si="8"/>
        <v>-</v>
      </c>
      <c r="AD40" s="90" t="str">
        <f t="shared" si="9"/>
        <v>-</v>
      </c>
      <c r="AE40" s="92" t="str">
        <f t="shared" si="10"/>
        <v>-</v>
      </c>
      <c r="AF40" s="92" t="str">
        <f t="shared" si="11"/>
        <v>-</v>
      </c>
      <c r="AG40" s="92" t="str">
        <f t="shared" si="12"/>
        <v>-</v>
      </c>
      <c r="AH40" s="92" t="str">
        <f t="shared" si="13"/>
        <v>-</v>
      </c>
      <c r="AI40" s="198" t="str">
        <f t="shared" si="14"/>
        <v>-</v>
      </c>
    </row>
    <row r="41" spans="1:35" ht="15" customHeight="1">
      <c r="A41" s="8"/>
      <c r="B41" s="88">
        <v>22</v>
      </c>
      <c r="C41" s="191" t="str">
        <f>IF(22&gt;N_3,"-",IF(ISNUMBER(F41),MAX(ROUND(Cp/Cpp*U41/'Pre-Test'!$U$46*Tr_3*4/N_3,0)/4,2)+C40,"-"))</f>
        <v>-</v>
      </c>
      <c r="D41" s="365"/>
      <c r="E41" s="347"/>
      <c r="F41" s="89"/>
      <c r="G41" s="192"/>
      <c r="H41" s="192"/>
      <c r="I41" s="193"/>
      <c r="J41" s="90" t="str">
        <f t="shared" si="15"/>
        <v>-</v>
      </c>
      <c r="K41" s="89"/>
      <c r="L41" s="193"/>
      <c r="M41" s="193"/>
      <c r="N41" s="193"/>
      <c r="O41" s="193"/>
      <c r="P41" s="194" t="str">
        <f t="shared" si="16"/>
        <v>-</v>
      </c>
      <c r="Q41" s="191" t="str">
        <f t="shared" si="0"/>
        <v>-</v>
      </c>
      <c r="R41" s="191" t="str">
        <f t="shared" si="1"/>
        <v>-</v>
      </c>
      <c r="S41" s="12"/>
      <c r="T41" s="5"/>
      <c r="U41" s="195" t="str">
        <f t="shared" si="2"/>
        <v>-</v>
      </c>
      <c r="V41" s="92" t="str">
        <f t="shared" si="3"/>
        <v>-</v>
      </c>
      <c r="W41" s="196" t="str">
        <f t="shared" si="4"/>
        <v>-</v>
      </c>
      <c r="X41" s="196" t="str">
        <f t="shared" si="17"/>
        <v>-</v>
      </c>
      <c r="Y41" s="191" t="str">
        <f t="shared" si="5"/>
        <v>-</v>
      </c>
      <c r="Z41" s="191" t="str">
        <f t="shared" si="6"/>
        <v>-</v>
      </c>
      <c r="AA41" s="197" t="str">
        <f t="shared" si="7"/>
        <v>-</v>
      </c>
      <c r="AB41" s="5"/>
      <c r="AC41" s="195" t="str">
        <f t="shared" si="8"/>
        <v>-</v>
      </c>
      <c r="AD41" s="90" t="str">
        <f t="shared" si="9"/>
        <v>-</v>
      </c>
      <c r="AE41" s="92" t="str">
        <f t="shared" si="10"/>
        <v>-</v>
      </c>
      <c r="AF41" s="92" t="str">
        <f t="shared" si="11"/>
        <v>-</v>
      </c>
      <c r="AG41" s="92" t="str">
        <f t="shared" si="12"/>
        <v>-</v>
      </c>
      <c r="AH41" s="92" t="str">
        <f t="shared" si="13"/>
        <v>-</v>
      </c>
      <c r="AI41" s="198" t="str">
        <f t="shared" si="14"/>
        <v>-</v>
      </c>
    </row>
    <row r="42" spans="1:35" ht="15" customHeight="1">
      <c r="A42" s="8"/>
      <c r="B42" s="88">
        <v>23</v>
      </c>
      <c r="C42" s="191" t="str">
        <f>IF(23&gt;N_3,"-",IF(ISNUMBER(F42),MAX(ROUND(Cp/Cpp*U42/'Pre-Test'!$U$46*Tr_3*4/N_3,0)/4,2)+C41,"-"))</f>
        <v>-</v>
      </c>
      <c r="D42" s="365"/>
      <c r="E42" s="347"/>
      <c r="F42" s="89"/>
      <c r="G42" s="192"/>
      <c r="H42" s="192"/>
      <c r="I42" s="193"/>
      <c r="J42" s="90" t="str">
        <f t="shared" si="15"/>
        <v>-</v>
      </c>
      <c r="K42" s="89"/>
      <c r="L42" s="193"/>
      <c r="M42" s="193"/>
      <c r="N42" s="193"/>
      <c r="O42" s="193"/>
      <c r="P42" s="194" t="str">
        <f t="shared" si="16"/>
        <v>-</v>
      </c>
      <c r="Q42" s="191" t="str">
        <f t="shared" si="0"/>
        <v>-</v>
      </c>
      <c r="R42" s="191" t="str">
        <f t="shared" si="1"/>
        <v>-</v>
      </c>
      <c r="S42" s="12"/>
      <c r="T42" s="5"/>
      <c r="U42" s="195" t="str">
        <f t="shared" si="2"/>
        <v>-</v>
      </c>
      <c r="V42" s="92" t="str">
        <f t="shared" si="3"/>
        <v>-</v>
      </c>
      <c r="W42" s="196" t="str">
        <f t="shared" si="4"/>
        <v>-</v>
      </c>
      <c r="X42" s="196" t="str">
        <f t="shared" si="17"/>
        <v>-</v>
      </c>
      <c r="Y42" s="191" t="str">
        <f t="shared" si="5"/>
        <v>-</v>
      </c>
      <c r="Z42" s="191" t="str">
        <f t="shared" si="6"/>
        <v>-</v>
      </c>
      <c r="AA42" s="197" t="str">
        <f t="shared" si="7"/>
        <v>-</v>
      </c>
      <c r="AB42" s="5"/>
      <c r="AC42" s="195" t="str">
        <f t="shared" si="8"/>
        <v>-</v>
      </c>
      <c r="AD42" s="90" t="str">
        <f t="shared" si="9"/>
        <v>-</v>
      </c>
      <c r="AE42" s="92" t="str">
        <f t="shared" si="10"/>
        <v>-</v>
      </c>
      <c r="AF42" s="92" t="str">
        <f t="shared" si="11"/>
        <v>-</v>
      </c>
      <c r="AG42" s="92" t="str">
        <f t="shared" si="12"/>
        <v>-</v>
      </c>
      <c r="AH42" s="92" t="str">
        <f t="shared" si="13"/>
        <v>-</v>
      </c>
      <c r="AI42" s="198" t="str">
        <f t="shared" si="14"/>
        <v>-</v>
      </c>
    </row>
    <row r="43" spans="1:35" ht="15" customHeight="1">
      <c r="A43" s="8"/>
      <c r="B43" s="106">
        <v>24</v>
      </c>
      <c r="C43" s="199" t="str">
        <f>IF(24&gt;N_3,"-",IF(ISNUMBER(F43),MAX(ROUND(Cp/Cpp*U43/'Pre-Test'!$U$46*Tr_3*4/N_3,0)/4,2)+C42,"-"))</f>
        <v>-</v>
      </c>
      <c r="D43" s="365"/>
      <c r="E43" s="347"/>
      <c r="F43" s="200"/>
      <c r="G43" s="201"/>
      <c r="H43" s="201"/>
      <c r="I43" s="250"/>
      <c r="J43" s="108" t="str">
        <f t="shared" si="15"/>
        <v>-</v>
      </c>
      <c r="K43" s="200"/>
      <c r="L43" s="203"/>
      <c r="M43" s="203"/>
      <c r="N43" s="203"/>
      <c r="O43" s="203"/>
      <c r="P43" s="204" t="str">
        <f t="shared" si="16"/>
        <v>-</v>
      </c>
      <c r="Q43" s="199" t="str">
        <f t="shared" si="0"/>
        <v>-</v>
      </c>
      <c r="R43" s="199" t="str">
        <f t="shared" si="1"/>
        <v>-</v>
      </c>
      <c r="S43" s="12"/>
      <c r="T43" s="5"/>
      <c r="U43" s="205" t="str">
        <f t="shared" si="2"/>
        <v>-</v>
      </c>
      <c r="V43" s="206" t="str">
        <f t="shared" si="3"/>
        <v>-</v>
      </c>
      <c r="W43" s="207" t="str">
        <f t="shared" si="4"/>
        <v>-</v>
      </c>
      <c r="X43" s="207" t="str">
        <f t="shared" si="17"/>
        <v>-</v>
      </c>
      <c r="Y43" s="208" t="str">
        <f t="shared" si="5"/>
        <v>-</v>
      </c>
      <c r="Z43" s="208" t="str">
        <f t="shared" si="6"/>
        <v>-</v>
      </c>
      <c r="AA43" s="209" t="str">
        <f t="shared" si="7"/>
        <v>-</v>
      </c>
      <c r="AB43" s="5"/>
      <c r="AC43" s="109" t="str">
        <f t="shared" si="8"/>
        <v>-</v>
      </c>
      <c r="AD43" s="108" t="str">
        <f t="shared" si="9"/>
        <v>-</v>
      </c>
      <c r="AE43" s="99" t="str">
        <f t="shared" si="10"/>
        <v>-</v>
      </c>
      <c r="AF43" s="99" t="str">
        <f t="shared" si="11"/>
        <v>-</v>
      </c>
      <c r="AG43" s="99" t="str">
        <f t="shared" si="12"/>
        <v>-</v>
      </c>
      <c r="AH43" s="99" t="str">
        <f t="shared" si="13"/>
        <v>-</v>
      </c>
      <c r="AI43" s="210" t="str">
        <f t="shared" si="14"/>
        <v>-</v>
      </c>
    </row>
    <row r="44" spans="1:35" ht="15" customHeight="1">
      <c r="A44" s="8"/>
      <c r="B44" s="7"/>
      <c r="C44" s="119"/>
      <c r="D44" s="373"/>
      <c r="E44" s="285"/>
      <c r="F44" s="211"/>
      <c r="G44" s="211"/>
      <c r="H44" s="212"/>
      <c r="I44" s="212"/>
      <c r="J44" s="213"/>
      <c r="K44" s="214"/>
      <c r="L44" s="214"/>
      <c r="M44" s="215"/>
      <c r="N44" s="216"/>
      <c r="O44" s="214"/>
      <c r="P44" s="214"/>
      <c r="Q44" s="215"/>
      <c r="R44" s="216"/>
      <c r="S44" s="12"/>
      <c r="T44" s="5"/>
      <c r="U44" s="217" t="str">
        <f t="shared" ref="U44:V44" si="18">IF(ISNUMBER(U20),AVERAGE(U20:U43),"-")</f>
        <v>-</v>
      </c>
      <c r="V44" s="218" t="str">
        <f t="shared" si="18"/>
        <v>-</v>
      </c>
      <c r="W44" s="219" t="str">
        <f t="shared" ref="W44:X44" si="19">IF(ISNUMBER(W20),SUM(W20:W43),"-")</f>
        <v>-</v>
      </c>
      <c r="X44" s="219" t="str">
        <f t="shared" si="19"/>
        <v>-</v>
      </c>
      <c r="Y44" s="220" t="str">
        <f t="shared" ref="Y44:AA44" si="20">IF(ISNUMBER(Y20),AVERAGE(Y20:Y43),"-")</f>
        <v>-</v>
      </c>
      <c r="Z44" s="220" t="str">
        <f t="shared" si="20"/>
        <v>-</v>
      </c>
      <c r="AA44" s="221" t="str">
        <f t="shared" si="20"/>
        <v>-</v>
      </c>
      <c r="AB44" s="222" t="s">
        <v>192</v>
      </c>
      <c r="AC44" s="5"/>
      <c r="AD44" s="5"/>
      <c r="AE44" s="5"/>
      <c r="AF44" s="5"/>
      <c r="AG44" s="5"/>
      <c r="AH44" s="5"/>
      <c r="AI44" s="5"/>
    </row>
    <row r="45" spans="1:35" ht="15" customHeight="1">
      <c r="A45" s="8"/>
      <c r="B45" s="7"/>
      <c r="C45" s="7"/>
      <c r="D45" s="116"/>
      <c r="E45" s="117"/>
      <c r="F45" s="211"/>
      <c r="G45" s="211"/>
      <c r="H45" s="212"/>
      <c r="I45" s="212"/>
      <c r="J45" s="213"/>
      <c r="K45" s="214"/>
      <c r="L45" s="214"/>
      <c r="M45" s="216"/>
      <c r="N45" s="216"/>
      <c r="O45" s="214"/>
      <c r="P45" s="214"/>
      <c r="Q45" s="216"/>
      <c r="R45" s="216"/>
      <c r="S45" s="12"/>
      <c r="T45" s="5"/>
      <c r="U45" s="104"/>
      <c r="V45" s="5"/>
      <c r="W45" s="5"/>
      <c r="X45" s="5"/>
      <c r="Y45" s="5"/>
      <c r="Z45" s="7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5" customHeight="1">
      <c r="A46" s="8"/>
      <c r="B46" s="343" t="s">
        <v>193</v>
      </c>
      <c r="C46" s="301"/>
      <c r="D46" s="370" t="s">
        <v>290</v>
      </c>
      <c r="E46" s="301"/>
      <c r="F46" s="366" t="s">
        <v>291</v>
      </c>
      <c r="G46" s="287"/>
      <c r="H46" s="301"/>
      <c r="I46" s="368" t="s">
        <v>292</v>
      </c>
      <c r="J46" s="310"/>
      <c r="K46" s="368" t="s">
        <v>293</v>
      </c>
      <c r="L46" s="310"/>
      <c r="M46" s="223" t="s">
        <v>198</v>
      </c>
      <c r="N46" s="369" t="s">
        <v>294</v>
      </c>
      <c r="O46" s="301"/>
      <c r="P46" s="370" t="s">
        <v>295</v>
      </c>
      <c r="Q46" s="287"/>
      <c r="R46" s="288"/>
      <c r="S46" s="12"/>
      <c r="T46" s="5"/>
      <c r="U46" s="104"/>
      <c r="V46" s="5"/>
      <c r="W46" s="5"/>
      <c r="X46" s="5"/>
      <c r="Y46" s="5"/>
      <c r="Z46" s="7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7.25" customHeight="1">
      <c r="A47" s="8"/>
      <c r="B47" s="341"/>
      <c r="C47" s="367"/>
      <c r="D47" s="339"/>
      <c r="E47" s="367"/>
      <c r="F47" s="339"/>
      <c r="G47" s="342"/>
      <c r="H47" s="367"/>
      <c r="I47" s="224" t="str">
        <f>IF(ISNUMBER(I48),I48+459.67,"-")</f>
        <v>-</v>
      </c>
      <c r="J47" s="225" t="s">
        <v>149</v>
      </c>
      <c r="K47" s="224" t="str">
        <f>IF(ISNUMBER(K48),K48+459.67,"-")</f>
        <v>-</v>
      </c>
      <c r="L47" s="225" t="s">
        <v>149</v>
      </c>
      <c r="M47" s="226" t="s">
        <v>163</v>
      </c>
      <c r="N47" s="363"/>
      <c r="O47" s="304"/>
      <c r="P47" s="339"/>
      <c r="Q47" s="342"/>
      <c r="R47" s="340"/>
      <c r="S47" s="12"/>
      <c r="T47" s="5"/>
      <c r="U47" s="104"/>
      <c r="V47" s="5"/>
      <c r="W47" s="5"/>
      <c r="X47" s="5"/>
      <c r="Y47" s="5"/>
      <c r="Z47" s="7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8" customHeight="1">
      <c r="A48" s="8"/>
      <c r="B48" s="227" t="str">
        <f>IF(ISNUMBER(C20),MAX(C20:C43),"-")</f>
        <v>-</v>
      </c>
      <c r="C48" s="228" t="s">
        <v>146</v>
      </c>
      <c r="D48" s="229" t="str">
        <f>IF(ISNUMBER(D20),MAX(D20:E44)-MIN(D20:E44),"-")</f>
        <v>-</v>
      </c>
      <c r="E48" s="230" t="s">
        <v>135</v>
      </c>
      <c r="F48" s="229" t="str">
        <f>IF(ISNUMBER(F20),AVERAGE($F$20:$F$43),"-")</f>
        <v>-</v>
      </c>
      <c r="G48" s="371" t="s">
        <v>296</v>
      </c>
      <c r="H48" s="349"/>
      <c r="I48" s="231" t="str">
        <f>IF(ISNUMBER(G20),AVERAGE($G$20:$H$43),"-")</f>
        <v>-</v>
      </c>
      <c r="J48" s="232" t="s">
        <v>60</v>
      </c>
      <c r="K48" s="231" t="str">
        <f>IF(ISNUMBER(I20),AVERAGE($I$20:$I$43),"-")</f>
        <v>-</v>
      </c>
      <c r="L48" s="232" t="s">
        <v>60</v>
      </c>
      <c r="M48" s="233">
        <f>MAX(L20:L43)</f>
        <v>0</v>
      </c>
      <c r="N48" s="234" t="str">
        <f>IF(ISNUMBER(K20),AVERAGE($K$20:$K$43),"-")</f>
        <v>-</v>
      </c>
      <c r="O48" s="235" t="s">
        <v>297</v>
      </c>
      <c r="P48" s="372"/>
      <c r="Q48" s="327"/>
      <c r="R48" s="236" t="s">
        <v>203</v>
      </c>
      <c r="S48" s="12"/>
      <c r="T48" s="5"/>
      <c r="U48" s="104"/>
      <c r="V48" s="5"/>
      <c r="W48" s="5"/>
      <c r="X48" s="5"/>
      <c r="Y48" s="5"/>
      <c r="Z48" s="7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5" customHeight="1">
      <c r="A49" s="8"/>
      <c r="B49" s="237"/>
      <c r="C49" s="5"/>
      <c r="D49" s="5"/>
      <c r="E49" s="5"/>
      <c r="F49" s="5"/>
      <c r="G49" s="6"/>
      <c r="H49" s="5"/>
      <c r="I49" s="238"/>
      <c r="J49" s="6"/>
      <c r="K49" s="238"/>
      <c r="L49" s="5"/>
      <c r="M49" s="5"/>
      <c r="N49" s="5"/>
      <c r="O49" s="5"/>
      <c r="P49" s="5"/>
      <c r="Q49" s="5"/>
      <c r="R49" s="5"/>
      <c r="S49" s="12"/>
      <c r="T49" s="5"/>
      <c r="U49" s="104"/>
      <c r="V49" s="5"/>
      <c r="W49" s="5"/>
      <c r="X49" s="5"/>
      <c r="Y49" s="5"/>
      <c r="Z49" s="7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5" customHeight="1">
      <c r="A50" s="8"/>
      <c r="B50" s="237"/>
      <c r="C50" s="374"/>
      <c r="D50" s="273"/>
      <c r="E50" s="374"/>
      <c r="F50" s="273"/>
      <c r="G50" s="9"/>
      <c r="H50" s="378"/>
      <c r="I50" s="272"/>
      <c r="J50" s="273"/>
      <c r="K50" s="378"/>
      <c r="L50" s="272"/>
      <c r="M50" s="273"/>
      <c r="N50" s="374"/>
      <c r="O50" s="272"/>
      <c r="P50" s="273"/>
      <c r="Q50" s="374"/>
      <c r="R50" s="273"/>
      <c r="S50" s="12"/>
      <c r="T50" s="5"/>
      <c r="U50" s="104"/>
      <c r="V50" s="5"/>
      <c r="W50" s="5"/>
      <c r="X50" s="5"/>
      <c r="Y50" s="5"/>
      <c r="Z50" s="7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5" customHeight="1">
      <c r="A51" s="8"/>
      <c r="B51" s="237"/>
      <c r="C51" s="239"/>
      <c r="D51" s="240"/>
      <c r="E51" s="239"/>
      <c r="F51" s="240"/>
      <c r="G51" s="241"/>
      <c r="H51" s="376"/>
      <c r="I51" s="273"/>
      <c r="J51" s="242"/>
      <c r="K51" s="376"/>
      <c r="L51" s="273"/>
      <c r="M51" s="243"/>
      <c r="N51" s="244"/>
      <c r="O51" s="375"/>
      <c r="P51" s="273"/>
      <c r="Q51" s="245"/>
      <c r="R51" s="9"/>
      <c r="S51" s="12"/>
      <c r="T51" s="5"/>
      <c r="U51" s="104"/>
      <c r="V51" s="5"/>
      <c r="W51" s="5"/>
      <c r="X51" s="5"/>
      <c r="Y51" s="5"/>
      <c r="Z51" s="7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5" customHeight="1">
      <c r="A52" s="8"/>
      <c r="B52" s="237"/>
      <c r="C52" s="246"/>
      <c r="D52" s="240"/>
      <c r="E52" s="246"/>
      <c r="F52" s="240"/>
      <c r="G52" s="247"/>
      <c r="H52" s="377"/>
      <c r="I52" s="273"/>
      <c r="J52" s="242"/>
      <c r="K52" s="377"/>
      <c r="L52" s="273"/>
      <c r="M52" s="243"/>
      <c r="N52" s="248"/>
      <c r="O52" s="375"/>
      <c r="P52" s="273"/>
      <c r="Q52" s="245"/>
      <c r="R52" s="9"/>
      <c r="S52" s="12"/>
      <c r="T52" s="5"/>
      <c r="U52" s="104"/>
      <c r="V52" s="5"/>
      <c r="W52" s="5"/>
      <c r="X52" s="5"/>
      <c r="Y52" s="5"/>
      <c r="Z52" s="7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5" customHeight="1">
      <c r="A53" s="8"/>
      <c r="B53" s="5"/>
      <c r="C53" s="128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12"/>
      <c r="T53" s="5"/>
      <c r="U53" s="104"/>
      <c r="V53" s="5"/>
      <c r="W53" s="5"/>
      <c r="X53" s="5"/>
      <c r="Y53" s="5"/>
      <c r="Z53" s="7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15" customHeight="1">
      <c r="A54" s="8"/>
      <c r="B54" s="51"/>
      <c r="C54" s="51"/>
      <c r="D54" s="51"/>
      <c r="E54" s="51"/>
      <c r="F54" s="51"/>
      <c r="G54" s="51"/>
      <c r="H54" s="51"/>
      <c r="I54" s="51"/>
      <c r="J54" s="5"/>
      <c r="K54" s="51"/>
      <c r="L54" s="51"/>
      <c r="M54" s="51"/>
      <c r="N54" s="51"/>
      <c r="O54" s="51"/>
      <c r="P54" s="51"/>
      <c r="Q54" s="51"/>
      <c r="R54" s="51"/>
      <c r="S54" s="12"/>
      <c r="T54" s="5"/>
      <c r="U54" s="104"/>
      <c r="V54" s="5"/>
      <c r="W54" s="5"/>
      <c r="X54" s="5"/>
      <c r="Y54" s="5"/>
      <c r="Z54" s="7"/>
      <c r="AA54" s="5"/>
      <c r="AB54" s="5"/>
      <c r="AC54" s="5"/>
      <c r="AD54" s="5"/>
      <c r="AE54" s="5"/>
      <c r="AF54" s="5"/>
      <c r="AG54" s="5"/>
      <c r="AH54" s="5"/>
      <c r="AI54" s="5"/>
    </row>
    <row r="55" spans="1:35" ht="15" customHeight="1">
      <c r="A55" s="8"/>
      <c r="B55" s="121"/>
      <c r="C55" s="121" t="s">
        <v>111</v>
      </c>
      <c r="D55" s="122"/>
      <c r="E55" s="122"/>
      <c r="F55" s="123"/>
      <c r="G55" s="123"/>
      <c r="H55" s="124"/>
      <c r="I55" s="124"/>
      <c r="J55" s="5"/>
      <c r="K55" s="121"/>
      <c r="L55" s="121" t="s">
        <v>112</v>
      </c>
      <c r="M55" s="122"/>
      <c r="N55" s="122"/>
      <c r="O55" s="123"/>
      <c r="P55" s="123"/>
      <c r="Q55" s="124"/>
      <c r="R55" s="124"/>
      <c r="S55" s="12"/>
      <c r="T55" s="5"/>
      <c r="U55" s="104"/>
      <c r="V55" s="5"/>
      <c r="W55" s="5"/>
      <c r="X55" s="5"/>
      <c r="Y55" s="5"/>
      <c r="Z55" s="7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5.25" customHeight="1">
      <c r="A56" s="60"/>
      <c r="B56" s="51"/>
      <c r="C56" s="51"/>
      <c r="D56" s="51"/>
      <c r="E56" s="51"/>
      <c r="F56" s="51"/>
      <c r="G56" s="51"/>
      <c r="H56" s="125"/>
      <c r="I56" s="51"/>
      <c r="J56" s="51"/>
      <c r="K56" s="51"/>
      <c r="L56" s="126"/>
      <c r="M56" s="125"/>
      <c r="N56" s="51"/>
      <c r="O56" s="126"/>
      <c r="P56" s="126"/>
      <c r="Q56" s="126"/>
      <c r="R56" s="126"/>
      <c r="S56" s="52"/>
      <c r="T56" s="5"/>
      <c r="U56" s="104"/>
      <c r="V56" s="5"/>
      <c r="W56" s="5"/>
      <c r="X56" s="5"/>
      <c r="Y56" s="5"/>
      <c r="Z56" s="7"/>
      <c r="AA56" s="5"/>
      <c r="AB56" s="5"/>
      <c r="AC56" s="5"/>
      <c r="AD56" s="5"/>
      <c r="AE56" s="5"/>
      <c r="AF56" s="5"/>
      <c r="AG56" s="5"/>
      <c r="AH56" s="5"/>
      <c r="AI56" s="5"/>
    </row>
    <row r="57" spans="1:35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104"/>
      <c r="V57" s="5"/>
      <c r="W57" s="5"/>
      <c r="X57" s="5"/>
      <c r="Y57" s="5"/>
      <c r="Z57" s="7"/>
      <c r="AA57" s="5"/>
      <c r="AB57" s="5"/>
      <c r="AC57" s="5"/>
      <c r="AD57" s="5"/>
      <c r="AE57" s="5"/>
      <c r="AF57" s="5"/>
      <c r="AG57" s="5"/>
      <c r="AH57" s="5"/>
      <c r="AI57" s="5"/>
    </row>
    <row r="58" spans="1:35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104"/>
      <c r="V58" s="5"/>
      <c r="W58" s="5"/>
      <c r="X58" s="5"/>
      <c r="Y58" s="5"/>
      <c r="Z58" s="7"/>
      <c r="AA58" s="5"/>
      <c r="AB58" s="5"/>
      <c r="AC58" s="5"/>
      <c r="AD58" s="5"/>
      <c r="AE58" s="5"/>
      <c r="AF58" s="5"/>
      <c r="AG58" s="5"/>
      <c r="AH58" s="5"/>
      <c r="AI58" s="5"/>
    </row>
    <row r="59" spans="1:35" ht="15" customHeight="1">
      <c r="A59" s="5"/>
      <c r="B59" s="5"/>
      <c r="C59" s="5"/>
      <c r="D59" s="5"/>
      <c r="E59" s="5"/>
      <c r="F59" s="5"/>
      <c r="G59" s="12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104"/>
      <c r="V59" s="5"/>
      <c r="W59" s="5"/>
      <c r="X59" s="5"/>
      <c r="Y59" s="5"/>
      <c r="Z59" s="7"/>
      <c r="AA59" s="5"/>
      <c r="AB59" s="5"/>
      <c r="AC59" s="5"/>
      <c r="AD59" s="5"/>
      <c r="AE59" s="5"/>
      <c r="AF59" s="5"/>
      <c r="AG59" s="5"/>
      <c r="AH59" s="5"/>
      <c r="AI59" s="5"/>
    </row>
    <row r="60" spans="1:35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104"/>
      <c r="V60" s="5"/>
      <c r="W60" s="5"/>
      <c r="X60" s="5"/>
      <c r="Y60" s="5"/>
      <c r="Z60" s="7"/>
      <c r="AA60" s="5"/>
      <c r="AB60" s="5"/>
      <c r="AC60" s="5"/>
      <c r="AD60" s="5"/>
      <c r="AE60" s="5"/>
      <c r="AF60" s="5"/>
      <c r="AG60" s="5"/>
      <c r="AH60" s="5"/>
      <c r="AI60" s="5"/>
    </row>
    <row r="61" spans="1:35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104"/>
      <c r="V61" s="5"/>
      <c r="W61" s="5"/>
      <c r="X61" s="5"/>
      <c r="Y61" s="5"/>
      <c r="Z61" s="7"/>
      <c r="AA61" s="5"/>
      <c r="AB61" s="5"/>
      <c r="AC61" s="5"/>
      <c r="AD61" s="5"/>
      <c r="AE61" s="5"/>
      <c r="AF61" s="5"/>
      <c r="AG61" s="5"/>
      <c r="AH61" s="5"/>
      <c r="AI61" s="5"/>
    </row>
    <row r="62" spans="1:35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104"/>
      <c r="V62" s="5"/>
      <c r="W62" s="5"/>
      <c r="X62" s="5"/>
      <c r="Y62" s="5"/>
      <c r="Z62" s="7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104"/>
      <c r="V63" s="5"/>
      <c r="W63" s="5"/>
      <c r="X63" s="5"/>
      <c r="Y63" s="5"/>
      <c r="Z63" s="7"/>
      <c r="AA63" s="5"/>
      <c r="AB63" s="5"/>
      <c r="AC63" s="5"/>
      <c r="AD63" s="5"/>
      <c r="AE63" s="5"/>
      <c r="AF63" s="5"/>
      <c r="AG63" s="5"/>
      <c r="AH63" s="5"/>
      <c r="AI63" s="5"/>
    </row>
    <row r="64" spans="1:35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104"/>
      <c r="V64" s="5"/>
      <c r="W64" s="5"/>
      <c r="X64" s="5"/>
      <c r="Y64" s="5"/>
      <c r="Z64" s="7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104"/>
      <c r="V65" s="5"/>
      <c r="W65" s="5"/>
      <c r="X65" s="5"/>
      <c r="Y65" s="5"/>
      <c r="Z65" s="7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104"/>
      <c r="V66" s="5"/>
      <c r="W66" s="5"/>
      <c r="X66" s="5"/>
      <c r="Y66" s="5"/>
      <c r="Z66" s="7"/>
      <c r="AA66" s="5"/>
      <c r="AB66" s="5"/>
      <c r="AC66" s="5"/>
      <c r="AD66" s="5"/>
      <c r="AE66" s="5"/>
      <c r="AF66" s="5"/>
      <c r="AG66" s="5"/>
      <c r="AH66" s="5"/>
      <c r="AI66" s="5"/>
    </row>
    <row r="67" spans="1:35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104"/>
      <c r="V67" s="5"/>
      <c r="W67" s="5"/>
      <c r="X67" s="5"/>
      <c r="Y67" s="5"/>
      <c r="Z67" s="7"/>
      <c r="AA67" s="5"/>
      <c r="AB67" s="5"/>
      <c r="AC67" s="5"/>
      <c r="AD67" s="5"/>
      <c r="AE67" s="5"/>
      <c r="AF67" s="5"/>
      <c r="AG67" s="5"/>
      <c r="AH67" s="5"/>
      <c r="AI67" s="5"/>
    </row>
    <row r="68" spans="1:35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104"/>
      <c r="V68" s="5"/>
      <c r="W68" s="5"/>
      <c r="X68" s="5"/>
      <c r="Y68" s="5"/>
      <c r="Z68" s="7"/>
      <c r="AA68" s="5"/>
      <c r="AB68" s="5"/>
      <c r="AC68" s="5"/>
      <c r="AD68" s="5"/>
      <c r="AE68" s="5"/>
      <c r="AF68" s="5"/>
      <c r="AG68" s="5"/>
      <c r="AH68" s="5"/>
      <c r="AI68" s="5"/>
    </row>
    <row r="69" spans="1:35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104"/>
      <c r="V69" s="5"/>
      <c r="W69" s="5"/>
      <c r="X69" s="5"/>
      <c r="Y69" s="5"/>
      <c r="Z69" s="7"/>
      <c r="AA69" s="5"/>
      <c r="AB69" s="5"/>
      <c r="AC69" s="5"/>
      <c r="AD69" s="5"/>
      <c r="AE69" s="5"/>
      <c r="AF69" s="5"/>
      <c r="AG69" s="5"/>
      <c r="AH69" s="5"/>
      <c r="AI69" s="5"/>
    </row>
    <row r="70" spans="1:35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104"/>
      <c r="V70" s="5"/>
      <c r="W70" s="5"/>
      <c r="X70" s="5"/>
      <c r="Y70" s="5"/>
      <c r="Z70" s="7"/>
      <c r="AA70" s="5"/>
      <c r="AB70" s="5"/>
      <c r="AC70" s="5"/>
      <c r="AD70" s="5"/>
      <c r="AE70" s="5"/>
      <c r="AF70" s="5"/>
      <c r="AG70" s="5"/>
      <c r="AH70" s="5"/>
      <c r="AI70" s="5"/>
    </row>
    <row r="71" spans="1:35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104"/>
      <c r="V71" s="5"/>
      <c r="W71" s="5"/>
      <c r="X71" s="5"/>
      <c r="Y71" s="5"/>
      <c r="Z71" s="7"/>
      <c r="AA71" s="5"/>
      <c r="AB71" s="5"/>
      <c r="AC71" s="5"/>
      <c r="AD71" s="5"/>
      <c r="AE71" s="5"/>
      <c r="AF71" s="5"/>
      <c r="AG71" s="5"/>
      <c r="AH71" s="5"/>
      <c r="AI71" s="5"/>
    </row>
    <row r="72" spans="1:35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104"/>
      <c r="V72" s="5"/>
      <c r="W72" s="5"/>
      <c r="X72" s="5"/>
      <c r="Y72" s="5"/>
      <c r="Z72" s="7"/>
      <c r="AA72" s="5"/>
      <c r="AB72" s="5"/>
      <c r="AC72" s="5"/>
      <c r="AD72" s="5"/>
      <c r="AE72" s="5"/>
      <c r="AF72" s="5"/>
      <c r="AG72" s="5"/>
      <c r="AH72" s="5"/>
      <c r="AI72" s="5"/>
    </row>
    <row r="73" spans="1:35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104"/>
      <c r="V73" s="5"/>
      <c r="W73" s="5"/>
      <c r="X73" s="5"/>
      <c r="Y73" s="5"/>
      <c r="Z73" s="7"/>
      <c r="AA73" s="5"/>
      <c r="AB73" s="5"/>
      <c r="AC73" s="5"/>
      <c r="AD73" s="5"/>
      <c r="AE73" s="5"/>
      <c r="AF73" s="5"/>
      <c r="AG73" s="5"/>
      <c r="AH73" s="5"/>
      <c r="AI73" s="5"/>
    </row>
    <row r="74" spans="1:35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104"/>
      <c r="V74" s="5"/>
      <c r="W74" s="5"/>
      <c r="X74" s="5"/>
      <c r="Y74" s="5"/>
      <c r="Z74" s="7"/>
      <c r="AA74" s="5"/>
      <c r="AB74" s="5"/>
      <c r="AC74" s="5"/>
      <c r="AD74" s="5"/>
      <c r="AE74" s="5"/>
      <c r="AF74" s="5"/>
      <c r="AG74" s="5"/>
      <c r="AH74" s="5"/>
      <c r="AI74" s="5"/>
    </row>
    <row r="75" spans="1:35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104"/>
      <c r="V75" s="5"/>
      <c r="W75" s="5"/>
      <c r="X75" s="5"/>
      <c r="Y75" s="5"/>
      <c r="Z75" s="7"/>
      <c r="AA75" s="5"/>
      <c r="AB75" s="5"/>
      <c r="AC75" s="5"/>
      <c r="AD75" s="5"/>
      <c r="AE75" s="5"/>
      <c r="AF75" s="5"/>
      <c r="AG75" s="5"/>
      <c r="AH75" s="5"/>
      <c r="AI75" s="5"/>
    </row>
    <row r="76" spans="1:35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104"/>
      <c r="V76" s="5"/>
      <c r="W76" s="5"/>
      <c r="X76" s="5"/>
      <c r="Y76" s="5"/>
      <c r="Z76" s="7"/>
      <c r="AA76" s="5"/>
      <c r="AB76" s="5"/>
      <c r="AC76" s="5"/>
      <c r="AD76" s="5"/>
      <c r="AE76" s="5"/>
      <c r="AF76" s="5"/>
      <c r="AG76" s="5"/>
      <c r="AH76" s="5"/>
      <c r="AI76" s="5"/>
    </row>
    <row r="77" spans="1:35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104"/>
      <c r="V77" s="5"/>
      <c r="W77" s="5"/>
      <c r="X77" s="5"/>
      <c r="Y77" s="5"/>
      <c r="Z77" s="7"/>
      <c r="AA77" s="5"/>
      <c r="AB77" s="5"/>
      <c r="AC77" s="5"/>
      <c r="AD77" s="5"/>
      <c r="AE77" s="5"/>
      <c r="AF77" s="5"/>
      <c r="AG77" s="5"/>
      <c r="AH77" s="5"/>
      <c r="AI77" s="5"/>
    </row>
    <row r="78" spans="1:35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104"/>
      <c r="V78" s="5"/>
      <c r="W78" s="5"/>
      <c r="X78" s="5"/>
      <c r="Y78" s="5"/>
      <c r="Z78" s="7"/>
      <c r="AA78" s="5"/>
      <c r="AB78" s="5"/>
      <c r="AC78" s="5"/>
      <c r="AD78" s="5"/>
      <c r="AE78" s="5"/>
      <c r="AF78" s="5"/>
      <c r="AG78" s="5"/>
      <c r="AH78" s="5"/>
      <c r="AI78" s="5"/>
    </row>
    <row r="79" spans="1:35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104"/>
      <c r="V79" s="5"/>
      <c r="W79" s="5"/>
      <c r="X79" s="5"/>
      <c r="Y79" s="5"/>
      <c r="Z79" s="7"/>
      <c r="AA79" s="5"/>
      <c r="AB79" s="5"/>
      <c r="AC79" s="5"/>
      <c r="AD79" s="5"/>
      <c r="AE79" s="5"/>
      <c r="AF79" s="5"/>
      <c r="AG79" s="5"/>
      <c r="AH79" s="5"/>
      <c r="AI79" s="5"/>
    </row>
    <row r="80" spans="1:35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104"/>
      <c r="V80" s="5"/>
      <c r="W80" s="5"/>
      <c r="X80" s="5"/>
      <c r="Y80" s="5"/>
      <c r="Z80" s="7"/>
      <c r="AA80" s="5"/>
      <c r="AB80" s="5"/>
      <c r="AC80" s="5"/>
      <c r="AD80" s="5"/>
      <c r="AE80" s="5"/>
      <c r="AF80" s="5"/>
      <c r="AG80" s="5"/>
      <c r="AH80" s="5"/>
      <c r="AI80" s="5"/>
    </row>
    <row r="81" spans="1:35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104"/>
      <c r="V81" s="5"/>
      <c r="W81" s="5"/>
      <c r="X81" s="5"/>
      <c r="Y81" s="5"/>
      <c r="Z81" s="7"/>
      <c r="AA81" s="5"/>
      <c r="AB81" s="5"/>
      <c r="AC81" s="5"/>
      <c r="AD81" s="5"/>
      <c r="AE81" s="5"/>
      <c r="AF81" s="5"/>
      <c r="AG81" s="5"/>
      <c r="AH81" s="5"/>
      <c r="AI81" s="5"/>
    </row>
    <row r="82" spans="1:35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104"/>
      <c r="V82" s="5"/>
      <c r="W82" s="5"/>
      <c r="X82" s="5"/>
      <c r="Y82" s="5"/>
      <c r="Z82" s="7"/>
      <c r="AA82" s="5"/>
      <c r="AB82" s="5"/>
      <c r="AC82" s="5"/>
      <c r="AD82" s="5"/>
      <c r="AE82" s="5"/>
      <c r="AF82" s="5"/>
      <c r="AG82" s="5"/>
      <c r="AH82" s="5"/>
      <c r="AI82" s="5"/>
    </row>
    <row r="83" spans="1:35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104"/>
      <c r="V83" s="5"/>
      <c r="W83" s="5"/>
      <c r="X83" s="5"/>
      <c r="Y83" s="5"/>
      <c r="Z83" s="7"/>
      <c r="AA83" s="5"/>
      <c r="AB83" s="5"/>
      <c r="AC83" s="5"/>
      <c r="AD83" s="5"/>
      <c r="AE83" s="5"/>
      <c r="AF83" s="5"/>
      <c r="AG83" s="5"/>
      <c r="AH83" s="5"/>
      <c r="AI83" s="5"/>
    </row>
    <row r="84" spans="1:35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104"/>
      <c r="V84" s="5"/>
      <c r="W84" s="5"/>
      <c r="X84" s="5"/>
      <c r="Y84" s="5"/>
      <c r="Z84" s="7"/>
      <c r="AA84" s="5"/>
      <c r="AB84" s="5"/>
      <c r="AC84" s="5"/>
      <c r="AD84" s="5"/>
      <c r="AE84" s="5"/>
      <c r="AF84" s="5"/>
      <c r="AG84" s="5"/>
      <c r="AH84" s="5"/>
      <c r="AI84" s="5"/>
    </row>
    <row r="85" spans="1:35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104"/>
      <c r="V85" s="5"/>
      <c r="W85" s="5"/>
      <c r="X85" s="5"/>
      <c r="Y85" s="5"/>
      <c r="Z85" s="7"/>
      <c r="AA85" s="5"/>
      <c r="AB85" s="5"/>
      <c r="AC85" s="5"/>
      <c r="AD85" s="5"/>
      <c r="AE85" s="5"/>
      <c r="AF85" s="5"/>
      <c r="AG85" s="5"/>
      <c r="AH85" s="5"/>
      <c r="AI85" s="5"/>
    </row>
    <row r="86" spans="1:35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104"/>
      <c r="V86" s="5"/>
      <c r="W86" s="5"/>
      <c r="X86" s="5"/>
      <c r="Y86" s="5"/>
      <c r="Z86" s="7"/>
      <c r="AA86" s="5"/>
      <c r="AB86" s="5"/>
      <c r="AC86" s="5"/>
      <c r="AD86" s="5"/>
      <c r="AE86" s="5"/>
      <c r="AF86" s="5"/>
      <c r="AG86" s="5"/>
      <c r="AH86" s="5"/>
      <c r="AI86" s="5"/>
    </row>
    <row r="87" spans="1:35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104"/>
      <c r="V87" s="5"/>
      <c r="W87" s="5"/>
      <c r="X87" s="5"/>
      <c r="Y87" s="5"/>
      <c r="Z87" s="7"/>
      <c r="AA87" s="5"/>
      <c r="AB87" s="5"/>
      <c r="AC87" s="5"/>
      <c r="AD87" s="5"/>
      <c r="AE87" s="5"/>
      <c r="AF87" s="5"/>
      <c r="AG87" s="5"/>
      <c r="AH87" s="5"/>
      <c r="AI87" s="5"/>
    </row>
    <row r="88" spans="1:35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104"/>
      <c r="V88" s="5"/>
      <c r="W88" s="5"/>
      <c r="X88" s="5"/>
      <c r="Y88" s="5"/>
      <c r="Z88" s="7"/>
      <c r="AA88" s="5"/>
      <c r="AB88" s="5"/>
      <c r="AC88" s="5"/>
      <c r="AD88" s="5"/>
      <c r="AE88" s="5"/>
      <c r="AF88" s="5"/>
      <c r="AG88" s="5"/>
      <c r="AH88" s="5"/>
      <c r="AI88" s="5"/>
    </row>
    <row r="89" spans="1:35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104"/>
      <c r="V89" s="5"/>
      <c r="W89" s="5"/>
      <c r="X89" s="5"/>
      <c r="Y89" s="5"/>
      <c r="Z89" s="7"/>
      <c r="AA89" s="5"/>
      <c r="AB89" s="5"/>
      <c r="AC89" s="5"/>
      <c r="AD89" s="5"/>
      <c r="AE89" s="5"/>
      <c r="AF89" s="5"/>
      <c r="AG89" s="5"/>
      <c r="AH89" s="5"/>
      <c r="AI89" s="5"/>
    </row>
    <row r="90" spans="1:35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104"/>
      <c r="V90" s="5"/>
      <c r="W90" s="5"/>
      <c r="X90" s="5"/>
      <c r="Y90" s="5"/>
      <c r="Z90" s="7"/>
      <c r="AA90" s="5"/>
      <c r="AB90" s="5"/>
      <c r="AC90" s="5"/>
      <c r="AD90" s="5"/>
      <c r="AE90" s="5"/>
      <c r="AF90" s="5"/>
      <c r="AG90" s="5"/>
      <c r="AH90" s="5"/>
      <c r="AI90" s="5"/>
    </row>
    <row r="91" spans="1:35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104"/>
      <c r="V91" s="5"/>
      <c r="W91" s="5"/>
      <c r="X91" s="5"/>
      <c r="Y91" s="5"/>
      <c r="Z91" s="7"/>
      <c r="AA91" s="5"/>
      <c r="AB91" s="5"/>
      <c r="AC91" s="5"/>
      <c r="AD91" s="5"/>
      <c r="AE91" s="5"/>
      <c r="AF91" s="5"/>
      <c r="AG91" s="5"/>
      <c r="AH91" s="5"/>
      <c r="AI91" s="5"/>
    </row>
    <row r="92" spans="1:35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104"/>
      <c r="V92" s="5"/>
      <c r="W92" s="5"/>
      <c r="X92" s="5"/>
      <c r="Y92" s="5"/>
      <c r="Z92" s="7"/>
      <c r="AA92" s="5"/>
      <c r="AB92" s="5"/>
      <c r="AC92" s="5"/>
      <c r="AD92" s="5"/>
      <c r="AE92" s="5"/>
      <c r="AF92" s="5"/>
      <c r="AG92" s="5"/>
      <c r="AH92" s="5"/>
      <c r="AI92" s="5"/>
    </row>
    <row r="93" spans="1:35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104"/>
      <c r="V93" s="5"/>
      <c r="W93" s="5"/>
      <c r="X93" s="5"/>
      <c r="Y93" s="5"/>
      <c r="Z93" s="7"/>
      <c r="AA93" s="5"/>
      <c r="AB93" s="5"/>
      <c r="AC93" s="5"/>
      <c r="AD93" s="5"/>
      <c r="AE93" s="5"/>
      <c r="AF93" s="5"/>
      <c r="AG93" s="5"/>
      <c r="AH93" s="5"/>
      <c r="AI93" s="5"/>
    </row>
    <row r="94" spans="1:35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104"/>
      <c r="V94" s="5"/>
      <c r="W94" s="5"/>
      <c r="X94" s="5"/>
      <c r="Y94" s="5"/>
      <c r="Z94" s="7"/>
      <c r="AA94" s="5"/>
      <c r="AB94" s="5"/>
      <c r="AC94" s="5"/>
      <c r="AD94" s="5"/>
      <c r="AE94" s="5"/>
      <c r="AF94" s="5"/>
      <c r="AG94" s="5"/>
      <c r="AH94" s="5"/>
      <c r="AI94" s="5"/>
    </row>
    <row r="95" spans="1:35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104"/>
      <c r="V95" s="5"/>
      <c r="W95" s="5"/>
      <c r="X95" s="5"/>
      <c r="Y95" s="5"/>
      <c r="Z95" s="7"/>
      <c r="AA95" s="5"/>
      <c r="AB95" s="5"/>
      <c r="AC95" s="5"/>
      <c r="AD95" s="5"/>
      <c r="AE95" s="5"/>
      <c r="AF95" s="5"/>
      <c r="AG95" s="5"/>
      <c r="AH95" s="5"/>
      <c r="AI95" s="5"/>
    </row>
    <row r="96" spans="1:35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104"/>
      <c r="V96" s="5"/>
      <c r="W96" s="5"/>
      <c r="X96" s="5"/>
      <c r="Y96" s="5"/>
      <c r="Z96" s="7"/>
      <c r="AA96" s="5"/>
      <c r="AB96" s="5"/>
      <c r="AC96" s="5"/>
      <c r="AD96" s="5"/>
      <c r="AE96" s="5"/>
      <c r="AF96" s="5"/>
      <c r="AG96" s="5"/>
      <c r="AH96" s="5"/>
      <c r="AI96" s="5"/>
    </row>
    <row r="97" spans="1:35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104"/>
      <c r="V97" s="5"/>
      <c r="W97" s="5"/>
      <c r="X97" s="5"/>
      <c r="Y97" s="5"/>
      <c r="Z97" s="7"/>
      <c r="AA97" s="5"/>
      <c r="AB97" s="5"/>
      <c r="AC97" s="5"/>
      <c r="AD97" s="5"/>
      <c r="AE97" s="5"/>
      <c r="AF97" s="5"/>
      <c r="AG97" s="5"/>
      <c r="AH97" s="5"/>
      <c r="AI97" s="5"/>
    </row>
    <row r="98" spans="1:35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104"/>
      <c r="V98" s="5"/>
      <c r="W98" s="5"/>
      <c r="X98" s="5"/>
      <c r="Y98" s="5"/>
      <c r="Z98" s="7"/>
      <c r="AA98" s="5"/>
      <c r="AB98" s="5"/>
      <c r="AC98" s="5"/>
      <c r="AD98" s="5"/>
      <c r="AE98" s="5"/>
      <c r="AF98" s="5"/>
      <c r="AG98" s="5"/>
      <c r="AH98" s="5"/>
      <c r="AI98" s="5"/>
    </row>
    <row r="99" spans="1:35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104"/>
      <c r="V99" s="5"/>
      <c r="W99" s="5"/>
      <c r="X99" s="5"/>
      <c r="Y99" s="5"/>
      <c r="Z99" s="7"/>
      <c r="AA99" s="5"/>
      <c r="AB99" s="5"/>
      <c r="AC99" s="5"/>
      <c r="AD99" s="5"/>
      <c r="AE99" s="5"/>
      <c r="AF99" s="5"/>
      <c r="AG99" s="5"/>
      <c r="AH99" s="5"/>
      <c r="AI99" s="5"/>
    </row>
    <row r="100" spans="1:35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104"/>
      <c r="V100" s="5"/>
      <c r="W100" s="5"/>
      <c r="X100" s="5"/>
      <c r="Y100" s="5"/>
      <c r="Z100" s="7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1:35" ht="1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104"/>
      <c r="V101" s="5"/>
      <c r="W101" s="5"/>
      <c r="X101" s="5"/>
      <c r="Y101" s="5"/>
      <c r="Z101" s="7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1:35" ht="1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104"/>
      <c r="V102" s="5"/>
      <c r="W102" s="5"/>
      <c r="X102" s="5"/>
      <c r="Y102" s="5"/>
      <c r="Z102" s="7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1:35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104"/>
      <c r="V103" s="5"/>
      <c r="W103" s="5"/>
      <c r="X103" s="5"/>
      <c r="Y103" s="5"/>
      <c r="Z103" s="7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1:35" ht="1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104"/>
      <c r="V104" s="5"/>
      <c r="W104" s="5"/>
      <c r="X104" s="5"/>
      <c r="Y104" s="5"/>
      <c r="Z104" s="7"/>
      <c r="AA104" s="5"/>
      <c r="AB104" s="5"/>
      <c r="AC104" s="5"/>
      <c r="AD104" s="5"/>
      <c r="AE104" s="5"/>
      <c r="AF104" s="5"/>
      <c r="AG104" s="5"/>
      <c r="AH104" s="5"/>
      <c r="AI104" s="5"/>
    </row>
    <row r="105" spans="1:35" ht="1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104"/>
      <c r="V105" s="5"/>
      <c r="W105" s="5"/>
      <c r="X105" s="5"/>
      <c r="Y105" s="5"/>
      <c r="Z105" s="7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1:35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104"/>
      <c r="V106" s="5"/>
      <c r="W106" s="5"/>
      <c r="X106" s="5"/>
      <c r="Y106" s="5"/>
      <c r="Z106" s="7"/>
      <c r="AA106" s="5"/>
      <c r="AB106" s="5"/>
      <c r="AC106" s="5"/>
      <c r="AD106" s="5"/>
      <c r="AE106" s="5"/>
      <c r="AF106" s="5"/>
      <c r="AG106" s="5"/>
      <c r="AH106" s="5"/>
      <c r="AI106" s="5"/>
    </row>
    <row r="107" spans="1:35" ht="1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104"/>
      <c r="V107" s="5"/>
      <c r="W107" s="5"/>
      <c r="X107" s="5"/>
      <c r="Y107" s="5"/>
      <c r="Z107" s="7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1:35" ht="1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104"/>
      <c r="V108" s="5"/>
      <c r="W108" s="5"/>
      <c r="X108" s="5"/>
      <c r="Y108" s="5"/>
      <c r="Z108" s="7"/>
      <c r="AA108" s="5"/>
      <c r="AB108" s="5"/>
      <c r="AC108" s="5"/>
      <c r="AD108" s="5"/>
      <c r="AE108" s="5"/>
      <c r="AF108" s="5"/>
      <c r="AG108" s="5"/>
      <c r="AH108" s="5"/>
      <c r="AI108" s="5"/>
    </row>
    <row r="109" spans="1:35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104"/>
      <c r="V109" s="5"/>
      <c r="W109" s="5"/>
      <c r="X109" s="5"/>
      <c r="Y109" s="5"/>
      <c r="Z109" s="7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1:35" ht="1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104"/>
      <c r="V110" s="5"/>
      <c r="W110" s="5"/>
      <c r="X110" s="5"/>
      <c r="Y110" s="5"/>
      <c r="Z110" s="7"/>
      <c r="AA110" s="5"/>
      <c r="AB110" s="5"/>
      <c r="AC110" s="5"/>
      <c r="AD110" s="5"/>
      <c r="AE110" s="5"/>
      <c r="AF110" s="5"/>
      <c r="AG110" s="5"/>
      <c r="AH110" s="5"/>
      <c r="AI110" s="5"/>
    </row>
    <row r="111" spans="1:35" ht="1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104"/>
      <c r="V111" s="5"/>
      <c r="W111" s="5"/>
      <c r="X111" s="5"/>
      <c r="Y111" s="5"/>
      <c r="Z111" s="7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1:35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104"/>
      <c r="V112" s="5"/>
      <c r="W112" s="5"/>
      <c r="X112" s="5"/>
      <c r="Y112" s="5"/>
      <c r="Z112" s="7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1:35" ht="1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104"/>
      <c r="V113" s="5"/>
      <c r="W113" s="5"/>
      <c r="X113" s="5"/>
      <c r="Y113" s="5"/>
      <c r="Z113" s="7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1:35" ht="1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104"/>
      <c r="V114" s="5"/>
      <c r="W114" s="5"/>
      <c r="X114" s="5"/>
      <c r="Y114" s="5"/>
      <c r="Z114" s="7"/>
      <c r="AA114" s="5"/>
      <c r="AB114" s="5"/>
      <c r="AC114" s="5"/>
      <c r="AD114" s="5"/>
      <c r="AE114" s="5"/>
      <c r="AF114" s="5"/>
      <c r="AG114" s="5"/>
      <c r="AH114" s="5"/>
      <c r="AI114" s="5"/>
    </row>
    <row r="115" spans="1:35" ht="1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104"/>
      <c r="V115" s="5"/>
      <c r="W115" s="5"/>
      <c r="X115" s="5"/>
      <c r="Y115" s="5"/>
      <c r="Z115" s="7"/>
      <c r="AA115" s="5"/>
      <c r="AB115" s="5"/>
      <c r="AC115" s="5"/>
      <c r="AD115" s="5"/>
      <c r="AE115" s="5"/>
      <c r="AF115" s="5"/>
      <c r="AG115" s="5"/>
      <c r="AH115" s="5"/>
      <c r="AI115" s="5"/>
    </row>
    <row r="116" spans="1:35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104"/>
      <c r="V116" s="5"/>
      <c r="W116" s="5"/>
      <c r="X116" s="5"/>
      <c r="Y116" s="5"/>
      <c r="Z116" s="7"/>
      <c r="AA116" s="5"/>
      <c r="AB116" s="5"/>
      <c r="AC116" s="5"/>
      <c r="AD116" s="5"/>
      <c r="AE116" s="5"/>
      <c r="AF116" s="5"/>
      <c r="AG116" s="5"/>
      <c r="AH116" s="5"/>
      <c r="AI116" s="5"/>
    </row>
    <row r="117" spans="1:35" ht="1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104"/>
      <c r="V117" s="5"/>
      <c r="W117" s="5"/>
      <c r="X117" s="5"/>
      <c r="Y117" s="5"/>
      <c r="Z117" s="7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1:35" ht="1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104"/>
      <c r="V118" s="5"/>
      <c r="W118" s="5"/>
      <c r="X118" s="5"/>
      <c r="Y118" s="5"/>
      <c r="Z118" s="7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1:35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104"/>
      <c r="V119" s="5"/>
      <c r="W119" s="5"/>
      <c r="X119" s="5"/>
      <c r="Y119" s="5"/>
      <c r="Z119" s="7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1:35" ht="1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104"/>
      <c r="V120" s="5"/>
      <c r="W120" s="5"/>
      <c r="X120" s="5"/>
      <c r="Y120" s="5"/>
      <c r="Z120" s="7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1:35" ht="1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104"/>
      <c r="V121" s="5"/>
      <c r="W121" s="5"/>
      <c r="X121" s="5"/>
      <c r="Y121" s="5"/>
      <c r="Z121" s="7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1:35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104"/>
      <c r="V122" s="5"/>
      <c r="W122" s="5"/>
      <c r="X122" s="5"/>
      <c r="Y122" s="5"/>
      <c r="Z122" s="7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1:35" ht="1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104"/>
      <c r="V123" s="5"/>
      <c r="W123" s="5"/>
      <c r="X123" s="5"/>
      <c r="Y123" s="5"/>
      <c r="Z123" s="7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1:35" ht="1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104"/>
      <c r="V124" s="5"/>
      <c r="W124" s="5"/>
      <c r="X124" s="5"/>
      <c r="Y124" s="5"/>
      <c r="Z124" s="7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104"/>
      <c r="V125" s="5"/>
      <c r="W125" s="5"/>
      <c r="X125" s="5"/>
      <c r="Y125" s="5"/>
      <c r="Z125" s="7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 ht="1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104"/>
      <c r="V126" s="5"/>
      <c r="W126" s="5"/>
      <c r="X126" s="5"/>
      <c r="Y126" s="5"/>
      <c r="Z126" s="7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1:35" ht="1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104"/>
      <c r="V127" s="5"/>
      <c r="W127" s="5"/>
      <c r="X127" s="5"/>
      <c r="Y127" s="5"/>
      <c r="Z127" s="7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1:35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104"/>
      <c r="V128" s="5"/>
      <c r="W128" s="5"/>
      <c r="X128" s="5"/>
      <c r="Y128" s="5"/>
      <c r="Z128" s="7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1:35" ht="1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104"/>
      <c r="V129" s="5"/>
      <c r="W129" s="5"/>
      <c r="X129" s="5"/>
      <c r="Y129" s="5"/>
      <c r="Z129" s="7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1:35" ht="1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104"/>
      <c r="V130" s="5"/>
      <c r="W130" s="5"/>
      <c r="X130" s="5"/>
      <c r="Y130" s="5"/>
      <c r="Z130" s="7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1:35" ht="1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104"/>
      <c r="V131" s="5"/>
      <c r="W131" s="5"/>
      <c r="X131" s="5"/>
      <c r="Y131" s="5"/>
      <c r="Z131" s="7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1:35" ht="1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104"/>
      <c r="V132" s="5"/>
      <c r="W132" s="5"/>
      <c r="X132" s="5"/>
      <c r="Y132" s="5"/>
      <c r="Z132" s="7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1:35" ht="1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104"/>
      <c r="V133" s="5"/>
      <c r="W133" s="5"/>
      <c r="X133" s="5"/>
      <c r="Y133" s="5"/>
      <c r="Z133" s="7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1:35" ht="1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104"/>
      <c r="V134" s="5"/>
      <c r="W134" s="5"/>
      <c r="X134" s="5"/>
      <c r="Y134" s="5"/>
      <c r="Z134" s="7"/>
      <c r="AA134" s="5"/>
      <c r="AB134" s="5"/>
      <c r="AC134" s="5"/>
      <c r="AD134" s="5"/>
      <c r="AE134" s="5"/>
      <c r="AF134" s="5"/>
      <c r="AG134" s="5"/>
      <c r="AH134" s="5"/>
      <c r="AI134" s="5"/>
    </row>
    <row r="135" spans="1:35" ht="1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104"/>
      <c r="V135" s="5"/>
      <c r="W135" s="5"/>
      <c r="X135" s="5"/>
      <c r="Y135" s="5"/>
      <c r="Z135" s="7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1:35" ht="1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104"/>
      <c r="V136" s="5"/>
      <c r="W136" s="5"/>
      <c r="X136" s="5"/>
      <c r="Y136" s="5"/>
      <c r="Z136" s="7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1:35" ht="1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104"/>
      <c r="V137" s="5"/>
      <c r="W137" s="5"/>
      <c r="X137" s="5"/>
      <c r="Y137" s="5"/>
      <c r="Z137" s="7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1:35" ht="1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104"/>
      <c r="V138" s="5"/>
      <c r="W138" s="5"/>
      <c r="X138" s="5"/>
      <c r="Y138" s="5"/>
      <c r="Z138" s="7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1:35" ht="1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104"/>
      <c r="V139" s="5"/>
      <c r="W139" s="5"/>
      <c r="X139" s="5"/>
      <c r="Y139" s="5"/>
      <c r="Z139" s="7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1:35" ht="1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104"/>
      <c r="V140" s="5"/>
      <c r="W140" s="5"/>
      <c r="X140" s="5"/>
      <c r="Y140" s="5"/>
      <c r="Z140" s="7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1:35" ht="1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104"/>
      <c r="V141" s="5"/>
      <c r="W141" s="5"/>
      <c r="X141" s="5"/>
      <c r="Y141" s="5"/>
      <c r="Z141" s="7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1:35" ht="1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104"/>
      <c r="V142" s="5"/>
      <c r="W142" s="5"/>
      <c r="X142" s="5"/>
      <c r="Y142" s="5"/>
      <c r="Z142" s="7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1:35" ht="1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104"/>
      <c r="V143" s="5"/>
      <c r="W143" s="5"/>
      <c r="X143" s="5"/>
      <c r="Y143" s="5"/>
      <c r="Z143" s="7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1:35" ht="1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104"/>
      <c r="V144" s="5"/>
      <c r="W144" s="5"/>
      <c r="X144" s="5"/>
      <c r="Y144" s="5"/>
      <c r="Z144" s="7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1:35" ht="1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104"/>
      <c r="V145" s="5"/>
      <c r="W145" s="5"/>
      <c r="X145" s="5"/>
      <c r="Y145" s="5"/>
      <c r="Z145" s="7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1:35" ht="1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104"/>
      <c r="V146" s="5"/>
      <c r="W146" s="5"/>
      <c r="X146" s="5"/>
      <c r="Y146" s="5"/>
      <c r="Z146" s="7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1:35" ht="1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104"/>
      <c r="V147" s="5"/>
      <c r="W147" s="5"/>
      <c r="X147" s="5"/>
      <c r="Y147" s="5"/>
      <c r="Z147" s="7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1:35" ht="1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104"/>
      <c r="V148" s="5"/>
      <c r="W148" s="5"/>
      <c r="X148" s="5"/>
      <c r="Y148" s="5"/>
      <c r="Z148" s="7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1:35" ht="1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104"/>
      <c r="V149" s="5"/>
      <c r="W149" s="5"/>
      <c r="X149" s="5"/>
      <c r="Y149" s="5"/>
      <c r="Z149" s="7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1:35" ht="1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104"/>
      <c r="V150" s="5"/>
      <c r="W150" s="5"/>
      <c r="X150" s="5"/>
      <c r="Y150" s="5"/>
      <c r="Z150" s="7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1:35" ht="1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104"/>
      <c r="V151" s="5"/>
      <c r="W151" s="5"/>
      <c r="X151" s="5"/>
      <c r="Y151" s="5"/>
      <c r="Z151" s="7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1:35" ht="1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104"/>
      <c r="V152" s="5"/>
      <c r="W152" s="5"/>
      <c r="X152" s="5"/>
      <c r="Y152" s="5"/>
      <c r="Z152" s="7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1:35" ht="1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104"/>
      <c r="V153" s="5"/>
      <c r="W153" s="5"/>
      <c r="X153" s="5"/>
      <c r="Y153" s="5"/>
      <c r="Z153" s="7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1:35" ht="1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104"/>
      <c r="V154" s="5"/>
      <c r="W154" s="5"/>
      <c r="X154" s="5"/>
      <c r="Y154" s="5"/>
      <c r="Z154" s="7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1:35" ht="1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104"/>
      <c r="V155" s="5"/>
      <c r="W155" s="5"/>
      <c r="X155" s="5"/>
      <c r="Y155" s="5"/>
      <c r="Z155" s="7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1:35" ht="1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104"/>
      <c r="V156" s="5"/>
      <c r="W156" s="5"/>
      <c r="X156" s="5"/>
      <c r="Y156" s="5"/>
      <c r="Z156" s="7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1:35" ht="1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104"/>
      <c r="V157" s="5"/>
      <c r="W157" s="5"/>
      <c r="X157" s="5"/>
      <c r="Y157" s="5"/>
      <c r="Z157" s="7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1:35" ht="1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104"/>
      <c r="V158" s="5"/>
      <c r="W158" s="5"/>
      <c r="X158" s="5"/>
      <c r="Y158" s="5"/>
      <c r="Z158" s="7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1:35" ht="1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104"/>
      <c r="V159" s="5"/>
      <c r="W159" s="5"/>
      <c r="X159" s="5"/>
      <c r="Y159" s="5"/>
      <c r="Z159" s="7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1:35" ht="1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104"/>
      <c r="V160" s="5"/>
      <c r="W160" s="5"/>
      <c r="X160" s="5"/>
      <c r="Y160" s="5"/>
      <c r="Z160" s="7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1:35" ht="1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104"/>
      <c r="V161" s="5"/>
      <c r="W161" s="5"/>
      <c r="X161" s="5"/>
      <c r="Y161" s="5"/>
      <c r="Z161" s="7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1:35" ht="1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104"/>
      <c r="V162" s="5"/>
      <c r="W162" s="5"/>
      <c r="X162" s="5"/>
      <c r="Y162" s="5"/>
      <c r="Z162" s="7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1:35" ht="1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104"/>
      <c r="V163" s="5"/>
      <c r="W163" s="5"/>
      <c r="X163" s="5"/>
      <c r="Y163" s="5"/>
      <c r="Z163" s="7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1:35" ht="1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104"/>
      <c r="V164" s="5"/>
      <c r="W164" s="5"/>
      <c r="X164" s="5"/>
      <c r="Y164" s="5"/>
      <c r="Z164" s="7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1:35" ht="1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104"/>
      <c r="V165" s="5"/>
      <c r="W165" s="5"/>
      <c r="X165" s="5"/>
      <c r="Y165" s="5"/>
      <c r="Z165" s="7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1:35" ht="1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104"/>
      <c r="V166" s="5"/>
      <c r="W166" s="5"/>
      <c r="X166" s="5"/>
      <c r="Y166" s="5"/>
      <c r="Z166" s="7"/>
      <c r="AA166" s="5"/>
      <c r="AB166" s="5"/>
      <c r="AC166" s="5"/>
      <c r="AD166" s="5"/>
      <c r="AE166" s="5"/>
      <c r="AF166" s="5"/>
      <c r="AG166" s="5"/>
      <c r="AH166" s="5"/>
      <c r="AI166" s="5"/>
    </row>
    <row r="167" spans="1:35" ht="1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104"/>
      <c r="V167" s="5"/>
      <c r="W167" s="5"/>
      <c r="X167" s="5"/>
      <c r="Y167" s="5"/>
      <c r="Z167" s="7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ht="1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104"/>
      <c r="V168" s="5"/>
      <c r="W168" s="5"/>
      <c r="X168" s="5"/>
      <c r="Y168" s="5"/>
      <c r="Z168" s="7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 ht="1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104"/>
      <c r="V169" s="5"/>
      <c r="W169" s="5"/>
      <c r="X169" s="5"/>
      <c r="Y169" s="5"/>
      <c r="Z169" s="7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1:35" ht="1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104"/>
      <c r="V170" s="5"/>
      <c r="W170" s="5"/>
      <c r="X170" s="5"/>
      <c r="Y170" s="5"/>
      <c r="Z170" s="7"/>
      <c r="AA170" s="5"/>
      <c r="AB170" s="5"/>
      <c r="AC170" s="5"/>
      <c r="AD170" s="5"/>
      <c r="AE170" s="5"/>
      <c r="AF170" s="5"/>
      <c r="AG170" s="5"/>
      <c r="AH170" s="5"/>
      <c r="AI170" s="5"/>
    </row>
    <row r="171" spans="1:35" ht="1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104"/>
      <c r="V171" s="5"/>
      <c r="W171" s="5"/>
      <c r="X171" s="5"/>
      <c r="Y171" s="5"/>
      <c r="Z171" s="7"/>
      <c r="AA171" s="5"/>
      <c r="AB171" s="5"/>
      <c r="AC171" s="5"/>
      <c r="AD171" s="5"/>
      <c r="AE171" s="5"/>
      <c r="AF171" s="5"/>
      <c r="AG171" s="5"/>
      <c r="AH171" s="5"/>
      <c r="AI171" s="5"/>
    </row>
    <row r="172" spans="1:35" ht="1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104"/>
      <c r="V172" s="5"/>
      <c r="W172" s="5"/>
      <c r="X172" s="5"/>
      <c r="Y172" s="5"/>
      <c r="Z172" s="7"/>
      <c r="AA172" s="5"/>
      <c r="AB172" s="5"/>
      <c r="AC172" s="5"/>
      <c r="AD172" s="5"/>
      <c r="AE172" s="5"/>
      <c r="AF172" s="5"/>
      <c r="AG172" s="5"/>
      <c r="AH172" s="5"/>
      <c r="AI172" s="5"/>
    </row>
    <row r="173" spans="1:35" ht="1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104"/>
      <c r="V173" s="5"/>
      <c r="W173" s="5"/>
      <c r="X173" s="5"/>
      <c r="Y173" s="5"/>
      <c r="Z173" s="7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1:35" ht="1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104"/>
      <c r="V174" s="5"/>
      <c r="W174" s="5"/>
      <c r="X174" s="5"/>
      <c r="Y174" s="5"/>
      <c r="Z174" s="7"/>
      <c r="AA174" s="5"/>
      <c r="AB174" s="5"/>
      <c r="AC174" s="5"/>
      <c r="AD174" s="5"/>
      <c r="AE174" s="5"/>
      <c r="AF174" s="5"/>
      <c r="AG174" s="5"/>
      <c r="AH174" s="5"/>
      <c r="AI174" s="5"/>
    </row>
    <row r="175" spans="1:35" ht="1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104"/>
      <c r="V175" s="5"/>
      <c r="W175" s="5"/>
      <c r="X175" s="5"/>
      <c r="Y175" s="5"/>
      <c r="Z175" s="7"/>
      <c r="AA175" s="5"/>
      <c r="AB175" s="5"/>
      <c r="AC175" s="5"/>
      <c r="AD175" s="5"/>
      <c r="AE175" s="5"/>
      <c r="AF175" s="5"/>
      <c r="AG175" s="5"/>
      <c r="AH175" s="5"/>
      <c r="AI175" s="5"/>
    </row>
    <row r="176" spans="1:35" ht="1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104"/>
      <c r="V176" s="5"/>
      <c r="W176" s="5"/>
      <c r="X176" s="5"/>
      <c r="Y176" s="5"/>
      <c r="Z176" s="7"/>
      <c r="AA176" s="5"/>
      <c r="AB176" s="5"/>
      <c r="AC176" s="5"/>
      <c r="AD176" s="5"/>
      <c r="AE176" s="5"/>
      <c r="AF176" s="5"/>
      <c r="AG176" s="5"/>
      <c r="AH176" s="5"/>
      <c r="AI176" s="5"/>
    </row>
    <row r="177" spans="1:35" ht="1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104"/>
      <c r="V177" s="5"/>
      <c r="W177" s="5"/>
      <c r="X177" s="5"/>
      <c r="Y177" s="5"/>
      <c r="Z177" s="7"/>
      <c r="AA177" s="5"/>
      <c r="AB177" s="5"/>
      <c r="AC177" s="5"/>
      <c r="AD177" s="5"/>
      <c r="AE177" s="5"/>
      <c r="AF177" s="5"/>
      <c r="AG177" s="5"/>
      <c r="AH177" s="5"/>
      <c r="AI177" s="5"/>
    </row>
    <row r="178" spans="1:35" ht="1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104"/>
      <c r="V178" s="5"/>
      <c r="W178" s="5"/>
      <c r="X178" s="5"/>
      <c r="Y178" s="5"/>
      <c r="Z178" s="7"/>
      <c r="AA178" s="5"/>
      <c r="AB178" s="5"/>
      <c r="AC178" s="5"/>
      <c r="AD178" s="5"/>
      <c r="AE178" s="5"/>
      <c r="AF178" s="5"/>
      <c r="AG178" s="5"/>
      <c r="AH178" s="5"/>
      <c r="AI178" s="5"/>
    </row>
    <row r="179" spans="1:35" ht="1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104"/>
      <c r="V179" s="5"/>
      <c r="W179" s="5"/>
      <c r="X179" s="5"/>
      <c r="Y179" s="5"/>
      <c r="Z179" s="7"/>
      <c r="AA179" s="5"/>
      <c r="AB179" s="5"/>
      <c r="AC179" s="5"/>
      <c r="AD179" s="5"/>
      <c r="AE179" s="5"/>
      <c r="AF179" s="5"/>
      <c r="AG179" s="5"/>
      <c r="AH179" s="5"/>
      <c r="AI179" s="5"/>
    </row>
    <row r="180" spans="1:35" ht="1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104"/>
      <c r="V180" s="5"/>
      <c r="W180" s="5"/>
      <c r="X180" s="5"/>
      <c r="Y180" s="5"/>
      <c r="Z180" s="7"/>
      <c r="AA180" s="5"/>
      <c r="AB180" s="5"/>
      <c r="AC180" s="5"/>
      <c r="AD180" s="5"/>
      <c r="AE180" s="5"/>
      <c r="AF180" s="5"/>
      <c r="AG180" s="5"/>
      <c r="AH180" s="5"/>
      <c r="AI180" s="5"/>
    </row>
    <row r="181" spans="1:35" ht="1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104"/>
      <c r="V181" s="5"/>
      <c r="W181" s="5"/>
      <c r="X181" s="5"/>
      <c r="Y181" s="5"/>
      <c r="Z181" s="7"/>
      <c r="AA181" s="5"/>
      <c r="AB181" s="5"/>
      <c r="AC181" s="5"/>
      <c r="AD181" s="5"/>
      <c r="AE181" s="5"/>
      <c r="AF181" s="5"/>
      <c r="AG181" s="5"/>
      <c r="AH181" s="5"/>
      <c r="AI181" s="5"/>
    </row>
    <row r="182" spans="1:35" ht="1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104"/>
      <c r="V182" s="5"/>
      <c r="W182" s="5"/>
      <c r="X182" s="5"/>
      <c r="Y182" s="5"/>
      <c r="Z182" s="7"/>
      <c r="AA182" s="5"/>
      <c r="AB182" s="5"/>
      <c r="AC182" s="5"/>
      <c r="AD182" s="5"/>
      <c r="AE182" s="5"/>
      <c r="AF182" s="5"/>
      <c r="AG182" s="5"/>
      <c r="AH182" s="5"/>
      <c r="AI182" s="5"/>
    </row>
    <row r="183" spans="1:35" ht="1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104"/>
      <c r="V183" s="5"/>
      <c r="W183" s="5"/>
      <c r="X183" s="5"/>
      <c r="Y183" s="5"/>
      <c r="Z183" s="7"/>
      <c r="AA183" s="5"/>
      <c r="AB183" s="5"/>
      <c r="AC183" s="5"/>
      <c r="AD183" s="5"/>
      <c r="AE183" s="5"/>
      <c r="AF183" s="5"/>
      <c r="AG183" s="5"/>
      <c r="AH183" s="5"/>
      <c r="AI183" s="5"/>
    </row>
    <row r="184" spans="1:35" ht="1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104"/>
      <c r="V184" s="5"/>
      <c r="W184" s="5"/>
      <c r="X184" s="5"/>
      <c r="Y184" s="5"/>
      <c r="Z184" s="7"/>
      <c r="AA184" s="5"/>
      <c r="AB184" s="5"/>
      <c r="AC184" s="5"/>
      <c r="AD184" s="5"/>
      <c r="AE184" s="5"/>
      <c r="AF184" s="5"/>
      <c r="AG184" s="5"/>
      <c r="AH184" s="5"/>
      <c r="AI184" s="5"/>
    </row>
    <row r="185" spans="1:35" ht="1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104"/>
      <c r="V185" s="5"/>
      <c r="W185" s="5"/>
      <c r="X185" s="5"/>
      <c r="Y185" s="5"/>
      <c r="Z185" s="7"/>
      <c r="AA185" s="5"/>
      <c r="AB185" s="5"/>
      <c r="AC185" s="5"/>
      <c r="AD185" s="5"/>
      <c r="AE185" s="5"/>
      <c r="AF185" s="5"/>
      <c r="AG185" s="5"/>
      <c r="AH185" s="5"/>
      <c r="AI185" s="5"/>
    </row>
    <row r="186" spans="1:35" ht="1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104"/>
      <c r="V186" s="5"/>
      <c r="W186" s="5"/>
      <c r="X186" s="5"/>
      <c r="Y186" s="5"/>
      <c r="Z186" s="7"/>
      <c r="AA186" s="5"/>
      <c r="AB186" s="5"/>
      <c r="AC186" s="5"/>
      <c r="AD186" s="5"/>
      <c r="AE186" s="5"/>
      <c r="AF186" s="5"/>
      <c r="AG186" s="5"/>
      <c r="AH186" s="5"/>
      <c r="AI186" s="5"/>
    </row>
    <row r="187" spans="1:35" ht="1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104"/>
      <c r="V187" s="5"/>
      <c r="W187" s="5"/>
      <c r="X187" s="5"/>
      <c r="Y187" s="5"/>
      <c r="Z187" s="7"/>
      <c r="AA187" s="5"/>
      <c r="AB187" s="5"/>
      <c r="AC187" s="5"/>
      <c r="AD187" s="5"/>
      <c r="AE187" s="5"/>
      <c r="AF187" s="5"/>
      <c r="AG187" s="5"/>
      <c r="AH187" s="5"/>
      <c r="AI187" s="5"/>
    </row>
    <row r="188" spans="1:35" ht="1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104"/>
      <c r="V188" s="5"/>
      <c r="W188" s="5"/>
      <c r="X188" s="5"/>
      <c r="Y188" s="5"/>
      <c r="Z188" s="7"/>
      <c r="AA188" s="5"/>
      <c r="AB188" s="5"/>
      <c r="AC188" s="5"/>
      <c r="AD188" s="5"/>
      <c r="AE188" s="5"/>
      <c r="AF188" s="5"/>
      <c r="AG188" s="5"/>
      <c r="AH188" s="5"/>
      <c r="AI188" s="5"/>
    </row>
    <row r="189" spans="1:35" ht="1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104"/>
      <c r="V189" s="5"/>
      <c r="W189" s="5"/>
      <c r="X189" s="5"/>
      <c r="Y189" s="5"/>
      <c r="Z189" s="7"/>
      <c r="AA189" s="5"/>
      <c r="AB189" s="5"/>
      <c r="AC189" s="5"/>
      <c r="AD189" s="5"/>
      <c r="AE189" s="5"/>
      <c r="AF189" s="5"/>
      <c r="AG189" s="5"/>
      <c r="AH189" s="5"/>
      <c r="AI189" s="5"/>
    </row>
    <row r="190" spans="1:35" ht="1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104"/>
      <c r="V190" s="5"/>
      <c r="W190" s="5"/>
      <c r="X190" s="5"/>
      <c r="Y190" s="5"/>
      <c r="Z190" s="7"/>
      <c r="AA190" s="5"/>
      <c r="AB190" s="5"/>
      <c r="AC190" s="5"/>
      <c r="AD190" s="5"/>
      <c r="AE190" s="5"/>
      <c r="AF190" s="5"/>
      <c r="AG190" s="5"/>
      <c r="AH190" s="5"/>
      <c r="AI190" s="5"/>
    </row>
    <row r="191" spans="1:35" ht="1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104"/>
      <c r="V191" s="5"/>
      <c r="W191" s="5"/>
      <c r="X191" s="5"/>
      <c r="Y191" s="5"/>
      <c r="Z191" s="7"/>
      <c r="AA191" s="5"/>
      <c r="AB191" s="5"/>
      <c r="AC191" s="5"/>
      <c r="AD191" s="5"/>
      <c r="AE191" s="5"/>
      <c r="AF191" s="5"/>
      <c r="AG191" s="5"/>
      <c r="AH191" s="5"/>
      <c r="AI191" s="5"/>
    </row>
    <row r="192" spans="1:35" ht="1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104"/>
      <c r="V192" s="5"/>
      <c r="W192" s="5"/>
      <c r="X192" s="5"/>
      <c r="Y192" s="5"/>
      <c r="Z192" s="7"/>
      <c r="AA192" s="5"/>
      <c r="AB192" s="5"/>
      <c r="AC192" s="5"/>
      <c r="AD192" s="5"/>
      <c r="AE192" s="5"/>
      <c r="AF192" s="5"/>
      <c r="AG192" s="5"/>
      <c r="AH192" s="5"/>
      <c r="AI192" s="5"/>
    </row>
    <row r="193" spans="1:35" ht="1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104"/>
      <c r="V193" s="5"/>
      <c r="W193" s="5"/>
      <c r="X193" s="5"/>
      <c r="Y193" s="5"/>
      <c r="Z193" s="7"/>
      <c r="AA193" s="5"/>
      <c r="AB193" s="5"/>
      <c r="AC193" s="5"/>
      <c r="AD193" s="5"/>
      <c r="AE193" s="5"/>
      <c r="AF193" s="5"/>
      <c r="AG193" s="5"/>
      <c r="AH193" s="5"/>
      <c r="AI193" s="5"/>
    </row>
    <row r="194" spans="1:35" ht="1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104"/>
      <c r="V194" s="5"/>
      <c r="W194" s="5"/>
      <c r="X194" s="5"/>
      <c r="Y194" s="5"/>
      <c r="Z194" s="7"/>
      <c r="AA194" s="5"/>
      <c r="AB194" s="5"/>
      <c r="AC194" s="5"/>
      <c r="AD194" s="5"/>
      <c r="AE194" s="5"/>
      <c r="AF194" s="5"/>
      <c r="AG194" s="5"/>
      <c r="AH194" s="5"/>
      <c r="AI194" s="5"/>
    </row>
    <row r="195" spans="1:35" ht="1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104"/>
      <c r="V195" s="5"/>
      <c r="W195" s="5"/>
      <c r="X195" s="5"/>
      <c r="Y195" s="5"/>
      <c r="Z195" s="7"/>
      <c r="AA195" s="5"/>
      <c r="AB195" s="5"/>
      <c r="AC195" s="5"/>
      <c r="AD195" s="5"/>
      <c r="AE195" s="5"/>
      <c r="AF195" s="5"/>
      <c r="AG195" s="5"/>
      <c r="AH195" s="5"/>
      <c r="AI195" s="5"/>
    </row>
    <row r="196" spans="1:35" ht="1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104"/>
      <c r="V196" s="5"/>
      <c r="W196" s="5"/>
      <c r="X196" s="5"/>
      <c r="Y196" s="5"/>
      <c r="Z196" s="7"/>
      <c r="AA196" s="5"/>
      <c r="AB196" s="5"/>
      <c r="AC196" s="5"/>
      <c r="AD196" s="5"/>
      <c r="AE196" s="5"/>
      <c r="AF196" s="5"/>
      <c r="AG196" s="5"/>
      <c r="AH196" s="5"/>
      <c r="AI196" s="5"/>
    </row>
    <row r="197" spans="1:35" ht="1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104"/>
      <c r="V197" s="5"/>
      <c r="W197" s="5"/>
      <c r="X197" s="5"/>
      <c r="Y197" s="5"/>
      <c r="Z197" s="7"/>
      <c r="AA197" s="5"/>
      <c r="AB197" s="5"/>
      <c r="AC197" s="5"/>
      <c r="AD197" s="5"/>
      <c r="AE197" s="5"/>
      <c r="AF197" s="5"/>
      <c r="AG197" s="5"/>
      <c r="AH197" s="5"/>
      <c r="AI197" s="5"/>
    </row>
    <row r="198" spans="1:35" ht="1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104"/>
      <c r="V198" s="5"/>
      <c r="W198" s="5"/>
      <c r="X198" s="5"/>
      <c r="Y198" s="5"/>
      <c r="Z198" s="7"/>
      <c r="AA198" s="5"/>
      <c r="AB198" s="5"/>
      <c r="AC198" s="5"/>
      <c r="AD198" s="5"/>
      <c r="AE198" s="5"/>
      <c r="AF198" s="5"/>
      <c r="AG198" s="5"/>
      <c r="AH198" s="5"/>
      <c r="AI198" s="5"/>
    </row>
    <row r="199" spans="1:35" ht="1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104"/>
      <c r="V199" s="5"/>
      <c r="W199" s="5"/>
      <c r="X199" s="5"/>
      <c r="Y199" s="5"/>
      <c r="Z199" s="7"/>
      <c r="AA199" s="5"/>
      <c r="AB199" s="5"/>
      <c r="AC199" s="5"/>
      <c r="AD199" s="5"/>
      <c r="AE199" s="5"/>
      <c r="AF199" s="5"/>
      <c r="AG199" s="5"/>
      <c r="AH199" s="5"/>
      <c r="AI199" s="5"/>
    </row>
    <row r="200" spans="1:35" ht="1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104"/>
      <c r="V200" s="5"/>
      <c r="W200" s="5"/>
      <c r="X200" s="5"/>
      <c r="Y200" s="5"/>
      <c r="Z200" s="7"/>
      <c r="AA200" s="5"/>
      <c r="AB200" s="5"/>
      <c r="AC200" s="5"/>
      <c r="AD200" s="5"/>
      <c r="AE200" s="5"/>
      <c r="AF200" s="5"/>
      <c r="AG200" s="5"/>
      <c r="AH200" s="5"/>
      <c r="AI200" s="5"/>
    </row>
    <row r="201" spans="1:35" ht="1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104"/>
      <c r="V201" s="5"/>
      <c r="W201" s="5"/>
      <c r="X201" s="5"/>
      <c r="Y201" s="5"/>
      <c r="Z201" s="7"/>
      <c r="AA201" s="5"/>
      <c r="AB201" s="5"/>
      <c r="AC201" s="5"/>
      <c r="AD201" s="5"/>
      <c r="AE201" s="5"/>
      <c r="AF201" s="5"/>
      <c r="AG201" s="5"/>
      <c r="AH201" s="5"/>
      <c r="AI201" s="5"/>
    </row>
    <row r="202" spans="1:35" ht="1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104"/>
      <c r="V202" s="5"/>
      <c r="W202" s="5"/>
      <c r="X202" s="5"/>
      <c r="Y202" s="5"/>
      <c r="Z202" s="7"/>
      <c r="AA202" s="5"/>
      <c r="AB202" s="5"/>
      <c r="AC202" s="5"/>
      <c r="AD202" s="5"/>
      <c r="AE202" s="5"/>
      <c r="AF202" s="5"/>
      <c r="AG202" s="5"/>
      <c r="AH202" s="5"/>
      <c r="AI202" s="5"/>
    </row>
    <row r="203" spans="1:35" ht="1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104"/>
      <c r="V203" s="5"/>
      <c r="W203" s="5"/>
      <c r="X203" s="5"/>
      <c r="Y203" s="5"/>
      <c r="Z203" s="7"/>
      <c r="AA203" s="5"/>
      <c r="AB203" s="5"/>
      <c r="AC203" s="5"/>
      <c r="AD203" s="5"/>
      <c r="AE203" s="5"/>
      <c r="AF203" s="5"/>
      <c r="AG203" s="5"/>
      <c r="AH203" s="5"/>
      <c r="AI203" s="5"/>
    </row>
    <row r="204" spans="1:35" ht="1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104"/>
      <c r="V204" s="5"/>
      <c r="W204" s="5"/>
      <c r="X204" s="5"/>
      <c r="Y204" s="5"/>
      <c r="Z204" s="7"/>
      <c r="AA204" s="5"/>
      <c r="AB204" s="5"/>
      <c r="AC204" s="5"/>
      <c r="AD204" s="5"/>
      <c r="AE204" s="5"/>
      <c r="AF204" s="5"/>
      <c r="AG204" s="5"/>
      <c r="AH204" s="5"/>
      <c r="AI204" s="5"/>
    </row>
    <row r="205" spans="1:35" ht="1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104"/>
      <c r="V205" s="5"/>
      <c r="W205" s="5"/>
      <c r="X205" s="5"/>
      <c r="Y205" s="5"/>
      <c r="Z205" s="7"/>
      <c r="AA205" s="5"/>
      <c r="AB205" s="5"/>
      <c r="AC205" s="5"/>
      <c r="AD205" s="5"/>
      <c r="AE205" s="5"/>
      <c r="AF205" s="5"/>
      <c r="AG205" s="5"/>
      <c r="AH205" s="5"/>
      <c r="AI205" s="5"/>
    </row>
    <row r="206" spans="1:35" ht="1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104"/>
      <c r="V206" s="5"/>
      <c r="W206" s="5"/>
      <c r="X206" s="5"/>
      <c r="Y206" s="5"/>
      <c r="Z206" s="7"/>
      <c r="AA206" s="5"/>
      <c r="AB206" s="5"/>
      <c r="AC206" s="5"/>
      <c r="AD206" s="5"/>
      <c r="AE206" s="5"/>
      <c r="AF206" s="5"/>
      <c r="AG206" s="5"/>
      <c r="AH206" s="5"/>
      <c r="AI206" s="5"/>
    </row>
    <row r="207" spans="1:35" ht="1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104"/>
      <c r="V207" s="5"/>
      <c r="W207" s="5"/>
      <c r="X207" s="5"/>
      <c r="Y207" s="5"/>
      <c r="Z207" s="7"/>
      <c r="AA207" s="5"/>
      <c r="AB207" s="5"/>
      <c r="AC207" s="5"/>
      <c r="AD207" s="5"/>
      <c r="AE207" s="5"/>
      <c r="AF207" s="5"/>
      <c r="AG207" s="5"/>
      <c r="AH207" s="5"/>
      <c r="AI207" s="5"/>
    </row>
    <row r="208" spans="1:35" ht="1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104"/>
      <c r="V208" s="5"/>
      <c r="W208" s="5"/>
      <c r="X208" s="5"/>
      <c r="Y208" s="5"/>
      <c r="Z208" s="7"/>
      <c r="AA208" s="5"/>
      <c r="AB208" s="5"/>
      <c r="AC208" s="5"/>
      <c r="AD208" s="5"/>
      <c r="AE208" s="5"/>
      <c r="AF208" s="5"/>
      <c r="AG208" s="5"/>
      <c r="AH208" s="5"/>
      <c r="AI208" s="5"/>
    </row>
    <row r="209" spans="1:35" ht="1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104"/>
      <c r="V209" s="5"/>
      <c r="W209" s="5"/>
      <c r="X209" s="5"/>
      <c r="Y209" s="5"/>
      <c r="Z209" s="7"/>
      <c r="AA209" s="5"/>
      <c r="AB209" s="5"/>
      <c r="AC209" s="5"/>
      <c r="AD209" s="5"/>
      <c r="AE209" s="5"/>
      <c r="AF209" s="5"/>
      <c r="AG209" s="5"/>
      <c r="AH209" s="5"/>
      <c r="AI209" s="5"/>
    </row>
    <row r="210" spans="1:35" ht="1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104"/>
      <c r="V210" s="5"/>
      <c r="W210" s="5"/>
      <c r="X210" s="5"/>
      <c r="Y210" s="5"/>
      <c r="Z210" s="7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 ht="1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104"/>
      <c r="V211" s="5"/>
      <c r="W211" s="5"/>
      <c r="X211" s="5"/>
      <c r="Y211" s="5"/>
      <c r="Z211" s="7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 ht="1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104"/>
      <c r="V212" s="5"/>
      <c r="W212" s="5"/>
      <c r="X212" s="5"/>
      <c r="Y212" s="5"/>
      <c r="Z212" s="7"/>
      <c r="AA212" s="5"/>
      <c r="AB212" s="5"/>
      <c r="AC212" s="5"/>
      <c r="AD212" s="5"/>
      <c r="AE212" s="5"/>
      <c r="AF212" s="5"/>
      <c r="AG212" s="5"/>
      <c r="AH212" s="5"/>
      <c r="AI212" s="5"/>
    </row>
    <row r="213" spans="1:35" ht="1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104"/>
      <c r="V213" s="5"/>
      <c r="W213" s="5"/>
      <c r="X213" s="5"/>
      <c r="Y213" s="5"/>
      <c r="Z213" s="7"/>
      <c r="AA213" s="5"/>
      <c r="AB213" s="5"/>
      <c r="AC213" s="5"/>
      <c r="AD213" s="5"/>
      <c r="AE213" s="5"/>
      <c r="AF213" s="5"/>
      <c r="AG213" s="5"/>
      <c r="AH213" s="5"/>
      <c r="AI213" s="5"/>
    </row>
    <row r="214" spans="1:35" ht="1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104"/>
      <c r="V214" s="5"/>
      <c r="W214" s="5"/>
      <c r="X214" s="5"/>
      <c r="Y214" s="5"/>
      <c r="Z214" s="7"/>
      <c r="AA214" s="5"/>
      <c r="AB214" s="5"/>
      <c r="AC214" s="5"/>
      <c r="AD214" s="5"/>
      <c r="AE214" s="5"/>
      <c r="AF214" s="5"/>
      <c r="AG214" s="5"/>
      <c r="AH214" s="5"/>
      <c r="AI214" s="5"/>
    </row>
    <row r="215" spans="1:35" ht="1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104"/>
      <c r="V215" s="5"/>
      <c r="W215" s="5"/>
      <c r="X215" s="5"/>
      <c r="Y215" s="5"/>
      <c r="Z215" s="7"/>
      <c r="AA215" s="5"/>
      <c r="AB215" s="5"/>
      <c r="AC215" s="5"/>
      <c r="AD215" s="5"/>
      <c r="AE215" s="5"/>
      <c r="AF215" s="5"/>
      <c r="AG215" s="5"/>
      <c r="AH215" s="5"/>
      <c r="AI215" s="5"/>
    </row>
    <row r="216" spans="1:35" ht="1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104"/>
      <c r="V216" s="5"/>
      <c r="W216" s="5"/>
      <c r="X216" s="5"/>
      <c r="Y216" s="5"/>
      <c r="Z216" s="7"/>
      <c r="AA216" s="5"/>
      <c r="AB216" s="5"/>
      <c r="AC216" s="5"/>
      <c r="AD216" s="5"/>
      <c r="AE216" s="5"/>
      <c r="AF216" s="5"/>
      <c r="AG216" s="5"/>
      <c r="AH216" s="5"/>
      <c r="AI216" s="5"/>
    </row>
    <row r="217" spans="1:35" ht="1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104"/>
      <c r="V217" s="5"/>
      <c r="W217" s="5"/>
      <c r="X217" s="5"/>
      <c r="Y217" s="5"/>
      <c r="Z217" s="7"/>
      <c r="AA217" s="5"/>
      <c r="AB217" s="5"/>
      <c r="AC217" s="5"/>
      <c r="AD217" s="5"/>
      <c r="AE217" s="5"/>
      <c r="AF217" s="5"/>
      <c r="AG217" s="5"/>
      <c r="AH217" s="5"/>
      <c r="AI217" s="5"/>
    </row>
    <row r="218" spans="1:35" ht="1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104"/>
      <c r="V218" s="5"/>
      <c r="W218" s="5"/>
      <c r="X218" s="5"/>
      <c r="Y218" s="5"/>
      <c r="Z218" s="7"/>
      <c r="AA218" s="5"/>
      <c r="AB218" s="5"/>
      <c r="AC218" s="5"/>
      <c r="AD218" s="5"/>
      <c r="AE218" s="5"/>
      <c r="AF218" s="5"/>
      <c r="AG218" s="5"/>
      <c r="AH218" s="5"/>
      <c r="AI218" s="5"/>
    </row>
    <row r="219" spans="1:35" ht="1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104"/>
      <c r="V219" s="5"/>
      <c r="W219" s="5"/>
      <c r="X219" s="5"/>
      <c r="Y219" s="5"/>
      <c r="Z219" s="7"/>
      <c r="AA219" s="5"/>
      <c r="AB219" s="5"/>
      <c r="AC219" s="5"/>
      <c r="AD219" s="5"/>
      <c r="AE219" s="5"/>
      <c r="AF219" s="5"/>
      <c r="AG219" s="5"/>
      <c r="AH219" s="5"/>
      <c r="AI219" s="5"/>
    </row>
    <row r="220" spans="1:35" ht="1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104"/>
      <c r="V220" s="5"/>
      <c r="W220" s="5"/>
      <c r="X220" s="5"/>
      <c r="Y220" s="5"/>
      <c r="Z220" s="7"/>
      <c r="AA220" s="5"/>
      <c r="AB220" s="5"/>
      <c r="AC220" s="5"/>
      <c r="AD220" s="5"/>
      <c r="AE220" s="5"/>
      <c r="AF220" s="5"/>
      <c r="AG220" s="5"/>
      <c r="AH220" s="5"/>
      <c r="AI220" s="5"/>
    </row>
    <row r="221" spans="1:35" ht="1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104"/>
      <c r="V221" s="5"/>
      <c r="W221" s="5"/>
      <c r="X221" s="5"/>
      <c r="Y221" s="5"/>
      <c r="Z221" s="7"/>
      <c r="AA221" s="5"/>
      <c r="AB221" s="5"/>
      <c r="AC221" s="5"/>
      <c r="AD221" s="5"/>
      <c r="AE221" s="5"/>
      <c r="AF221" s="5"/>
      <c r="AG221" s="5"/>
      <c r="AH221" s="5"/>
      <c r="AI221" s="5"/>
    </row>
    <row r="222" spans="1:35" ht="1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104"/>
      <c r="V222" s="5"/>
      <c r="W222" s="5"/>
      <c r="X222" s="5"/>
      <c r="Y222" s="5"/>
      <c r="Z222" s="7"/>
      <c r="AA222" s="5"/>
      <c r="AB222" s="5"/>
      <c r="AC222" s="5"/>
      <c r="AD222" s="5"/>
      <c r="AE222" s="5"/>
      <c r="AF222" s="5"/>
      <c r="AG222" s="5"/>
      <c r="AH222" s="5"/>
      <c r="AI222" s="5"/>
    </row>
    <row r="223" spans="1:35" ht="1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104"/>
      <c r="V223" s="5"/>
      <c r="W223" s="5"/>
      <c r="X223" s="5"/>
      <c r="Y223" s="5"/>
      <c r="Z223" s="7"/>
      <c r="AA223" s="5"/>
      <c r="AB223" s="5"/>
      <c r="AC223" s="5"/>
      <c r="AD223" s="5"/>
      <c r="AE223" s="5"/>
      <c r="AF223" s="5"/>
      <c r="AG223" s="5"/>
      <c r="AH223" s="5"/>
      <c r="AI223" s="5"/>
    </row>
    <row r="224" spans="1:35" ht="1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104"/>
      <c r="V224" s="5"/>
      <c r="W224" s="5"/>
      <c r="X224" s="5"/>
      <c r="Y224" s="5"/>
      <c r="Z224" s="7"/>
      <c r="AA224" s="5"/>
      <c r="AB224" s="5"/>
      <c r="AC224" s="5"/>
      <c r="AD224" s="5"/>
      <c r="AE224" s="5"/>
      <c r="AF224" s="5"/>
      <c r="AG224" s="5"/>
      <c r="AH224" s="5"/>
      <c r="AI224" s="5"/>
    </row>
    <row r="225" spans="1:35" ht="1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104"/>
      <c r="V225" s="5"/>
      <c r="W225" s="5"/>
      <c r="X225" s="5"/>
      <c r="Y225" s="5"/>
      <c r="Z225" s="7"/>
      <c r="AA225" s="5"/>
      <c r="AB225" s="5"/>
      <c r="AC225" s="5"/>
      <c r="AD225" s="5"/>
      <c r="AE225" s="5"/>
      <c r="AF225" s="5"/>
      <c r="AG225" s="5"/>
      <c r="AH225" s="5"/>
      <c r="AI225" s="5"/>
    </row>
    <row r="226" spans="1:35" ht="1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104"/>
      <c r="V226" s="5"/>
      <c r="W226" s="5"/>
      <c r="X226" s="5"/>
      <c r="Y226" s="5"/>
      <c r="Z226" s="7"/>
      <c r="AA226" s="5"/>
      <c r="AB226" s="5"/>
      <c r="AC226" s="5"/>
      <c r="AD226" s="5"/>
      <c r="AE226" s="5"/>
      <c r="AF226" s="5"/>
      <c r="AG226" s="5"/>
      <c r="AH226" s="5"/>
      <c r="AI226" s="5"/>
    </row>
    <row r="227" spans="1:35" ht="1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104"/>
      <c r="V227" s="5"/>
      <c r="W227" s="5"/>
      <c r="X227" s="5"/>
      <c r="Y227" s="5"/>
      <c r="Z227" s="7"/>
      <c r="AA227" s="5"/>
      <c r="AB227" s="5"/>
      <c r="AC227" s="5"/>
      <c r="AD227" s="5"/>
      <c r="AE227" s="5"/>
      <c r="AF227" s="5"/>
      <c r="AG227" s="5"/>
      <c r="AH227" s="5"/>
      <c r="AI227" s="5"/>
    </row>
    <row r="228" spans="1:35" ht="1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104"/>
      <c r="V228" s="5"/>
      <c r="W228" s="5"/>
      <c r="X228" s="5"/>
      <c r="Y228" s="5"/>
      <c r="Z228" s="7"/>
      <c r="AA228" s="5"/>
      <c r="AB228" s="5"/>
      <c r="AC228" s="5"/>
      <c r="AD228" s="5"/>
      <c r="AE228" s="5"/>
      <c r="AF228" s="5"/>
      <c r="AG228" s="5"/>
      <c r="AH228" s="5"/>
      <c r="AI228" s="5"/>
    </row>
    <row r="229" spans="1:35" ht="1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104"/>
      <c r="V229" s="5"/>
      <c r="W229" s="5"/>
      <c r="X229" s="5"/>
      <c r="Y229" s="5"/>
      <c r="Z229" s="7"/>
      <c r="AA229" s="5"/>
      <c r="AB229" s="5"/>
      <c r="AC229" s="5"/>
      <c r="AD229" s="5"/>
      <c r="AE229" s="5"/>
      <c r="AF229" s="5"/>
      <c r="AG229" s="5"/>
      <c r="AH229" s="5"/>
      <c r="AI229" s="5"/>
    </row>
    <row r="230" spans="1:35" ht="1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104"/>
      <c r="V230" s="5"/>
      <c r="W230" s="5"/>
      <c r="X230" s="5"/>
      <c r="Y230" s="5"/>
      <c r="Z230" s="7"/>
      <c r="AA230" s="5"/>
      <c r="AB230" s="5"/>
      <c r="AC230" s="5"/>
      <c r="AD230" s="5"/>
      <c r="AE230" s="5"/>
      <c r="AF230" s="5"/>
      <c r="AG230" s="5"/>
      <c r="AH230" s="5"/>
      <c r="AI230" s="5"/>
    </row>
    <row r="231" spans="1:35" ht="1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104"/>
      <c r="V231" s="5"/>
      <c r="W231" s="5"/>
      <c r="X231" s="5"/>
      <c r="Y231" s="5"/>
      <c r="Z231" s="7"/>
      <c r="AA231" s="5"/>
      <c r="AB231" s="5"/>
      <c r="AC231" s="5"/>
      <c r="AD231" s="5"/>
      <c r="AE231" s="5"/>
      <c r="AF231" s="5"/>
      <c r="AG231" s="5"/>
      <c r="AH231" s="5"/>
      <c r="AI231" s="5"/>
    </row>
    <row r="232" spans="1:35" ht="1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104"/>
      <c r="V232" s="5"/>
      <c r="W232" s="5"/>
      <c r="X232" s="5"/>
      <c r="Y232" s="5"/>
      <c r="Z232" s="7"/>
      <c r="AA232" s="5"/>
      <c r="AB232" s="5"/>
      <c r="AC232" s="5"/>
      <c r="AD232" s="5"/>
      <c r="AE232" s="5"/>
      <c r="AF232" s="5"/>
      <c r="AG232" s="5"/>
      <c r="AH232" s="5"/>
      <c r="AI232" s="5"/>
    </row>
    <row r="233" spans="1:35" ht="1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104"/>
      <c r="V233" s="5"/>
      <c r="W233" s="5"/>
      <c r="X233" s="5"/>
      <c r="Y233" s="5"/>
      <c r="Z233" s="7"/>
      <c r="AA233" s="5"/>
      <c r="AB233" s="5"/>
      <c r="AC233" s="5"/>
      <c r="AD233" s="5"/>
      <c r="AE233" s="5"/>
      <c r="AF233" s="5"/>
      <c r="AG233" s="5"/>
      <c r="AH233" s="5"/>
      <c r="AI233" s="5"/>
    </row>
    <row r="234" spans="1:35" ht="1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104"/>
      <c r="V234" s="5"/>
      <c r="W234" s="5"/>
      <c r="X234" s="5"/>
      <c r="Y234" s="5"/>
      <c r="Z234" s="7"/>
      <c r="AA234" s="5"/>
      <c r="AB234" s="5"/>
      <c r="AC234" s="5"/>
      <c r="AD234" s="5"/>
      <c r="AE234" s="5"/>
      <c r="AF234" s="5"/>
      <c r="AG234" s="5"/>
      <c r="AH234" s="5"/>
      <c r="AI234" s="5"/>
    </row>
    <row r="235" spans="1:35" ht="1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104"/>
      <c r="V235" s="5"/>
      <c r="W235" s="5"/>
      <c r="X235" s="5"/>
      <c r="Y235" s="5"/>
      <c r="Z235" s="7"/>
      <c r="AA235" s="5"/>
      <c r="AB235" s="5"/>
      <c r="AC235" s="5"/>
      <c r="AD235" s="5"/>
      <c r="AE235" s="5"/>
      <c r="AF235" s="5"/>
      <c r="AG235" s="5"/>
      <c r="AH235" s="5"/>
      <c r="AI235" s="5"/>
    </row>
    <row r="236" spans="1:35" ht="1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104"/>
      <c r="V236" s="5"/>
      <c r="W236" s="5"/>
      <c r="X236" s="5"/>
      <c r="Y236" s="5"/>
      <c r="Z236" s="7"/>
      <c r="AA236" s="5"/>
      <c r="AB236" s="5"/>
      <c r="AC236" s="5"/>
      <c r="AD236" s="5"/>
      <c r="AE236" s="5"/>
      <c r="AF236" s="5"/>
      <c r="AG236" s="5"/>
      <c r="AH236" s="5"/>
      <c r="AI236" s="5"/>
    </row>
    <row r="237" spans="1:35" ht="1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104"/>
      <c r="V237" s="5"/>
      <c r="W237" s="5"/>
      <c r="X237" s="5"/>
      <c r="Y237" s="5"/>
      <c r="Z237" s="7"/>
      <c r="AA237" s="5"/>
      <c r="AB237" s="5"/>
      <c r="AC237" s="5"/>
      <c r="AD237" s="5"/>
      <c r="AE237" s="5"/>
      <c r="AF237" s="5"/>
      <c r="AG237" s="5"/>
      <c r="AH237" s="5"/>
      <c r="AI237" s="5"/>
    </row>
    <row r="238" spans="1:35" ht="1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104"/>
      <c r="V238" s="5"/>
      <c r="W238" s="5"/>
      <c r="X238" s="5"/>
      <c r="Y238" s="5"/>
      <c r="Z238" s="7"/>
      <c r="AA238" s="5"/>
      <c r="AB238" s="5"/>
      <c r="AC238" s="5"/>
      <c r="AD238" s="5"/>
      <c r="AE238" s="5"/>
      <c r="AF238" s="5"/>
      <c r="AG238" s="5"/>
      <c r="AH238" s="5"/>
      <c r="AI238" s="5"/>
    </row>
    <row r="239" spans="1:35" ht="1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104"/>
      <c r="V239" s="5"/>
      <c r="W239" s="5"/>
      <c r="X239" s="5"/>
      <c r="Y239" s="5"/>
      <c r="Z239" s="7"/>
      <c r="AA239" s="5"/>
      <c r="AB239" s="5"/>
      <c r="AC239" s="5"/>
      <c r="AD239" s="5"/>
      <c r="AE239" s="5"/>
      <c r="AF239" s="5"/>
      <c r="AG239" s="5"/>
      <c r="AH239" s="5"/>
      <c r="AI239" s="5"/>
    </row>
    <row r="240" spans="1:35" ht="1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104"/>
      <c r="V240" s="5"/>
      <c r="W240" s="5"/>
      <c r="X240" s="5"/>
      <c r="Y240" s="5"/>
      <c r="Z240" s="7"/>
      <c r="AA240" s="5"/>
      <c r="AB240" s="5"/>
      <c r="AC240" s="5"/>
      <c r="AD240" s="5"/>
      <c r="AE240" s="5"/>
      <c r="AF240" s="5"/>
      <c r="AG240" s="5"/>
      <c r="AH240" s="5"/>
      <c r="AI240" s="5"/>
    </row>
    <row r="241" spans="1:35" ht="1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104"/>
      <c r="V241" s="5"/>
      <c r="W241" s="5"/>
      <c r="X241" s="5"/>
      <c r="Y241" s="5"/>
      <c r="Z241" s="7"/>
      <c r="AA241" s="5"/>
      <c r="AB241" s="5"/>
      <c r="AC241" s="5"/>
      <c r="AD241" s="5"/>
      <c r="AE241" s="5"/>
      <c r="AF241" s="5"/>
      <c r="AG241" s="5"/>
      <c r="AH241" s="5"/>
      <c r="AI241" s="5"/>
    </row>
    <row r="242" spans="1:35" ht="1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104"/>
      <c r="V242" s="5"/>
      <c r="W242" s="5"/>
      <c r="X242" s="5"/>
      <c r="Y242" s="5"/>
      <c r="Z242" s="7"/>
      <c r="AA242" s="5"/>
      <c r="AB242" s="5"/>
      <c r="AC242" s="5"/>
      <c r="AD242" s="5"/>
      <c r="AE242" s="5"/>
      <c r="AF242" s="5"/>
      <c r="AG242" s="5"/>
      <c r="AH242" s="5"/>
      <c r="AI242" s="5"/>
    </row>
    <row r="243" spans="1:35" ht="1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104"/>
      <c r="V243" s="5"/>
      <c r="W243" s="5"/>
      <c r="X243" s="5"/>
      <c r="Y243" s="5"/>
      <c r="Z243" s="7"/>
      <c r="AA243" s="5"/>
      <c r="AB243" s="5"/>
      <c r="AC243" s="5"/>
      <c r="AD243" s="5"/>
      <c r="AE243" s="5"/>
      <c r="AF243" s="5"/>
      <c r="AG243" s="5"/>
      <c r="AH243" s="5"/>
      <c r="AI243" s="5"/>
    </row>
    <row r="244" spans="1:35" ht="1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104"/>
      <c r="V244" s="5"/>
      <c r="W244" s="5"/>
      <c r="X244" s="5"/>
      <c r="Y244" s="5"/>
      <c r="Z244" s="7"/>
      <c r="AA244" s="5"/>
      <c r="AB244" s="5"/>
      <c r="AC244" s="5"/>
      <c r="AD244" s="5"/>
      <c r="AE244" s="5"/>
      <c r="AF244" s="5"/>
      <c r="AG244" s="5"/>
      <c r="AH244" s="5"/>
      <c r="AI244" s="5"/>
    </row>
    <row r="245" spans="1:35" ht="1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104"/>
      <c r="V245" s="5"/>
      <c r="W245" s="5"/>
      <c r="X245" s="5"/>
      <c r="Y245" s="5"/>
      <c r="Z245" s="7"/>
      <c r="AA245" s="5"/>
      <c r="AB245" s="5"/>
      <c r="AC245" s="5"/>
      <c r="AD245" s="5"/>
      <c r="AE245" s="5"/>
      <c r="AF245" s="5"/>
      <c r="AG245" s="5"/>
      <c r="AH245" s="5"/>
      <c r="AI245" s="5"/>
    </row>
    <row r="246" spans="1:35" ht="1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104"/>
      <c r="V246" s="5"/>
      <c r="W246" s="5"/>
      <c r="X246" s="5"/>
      <c r="Y246" s="5"/>
      <c r="Z246" s="7"/>
      <c r="AA246" s="5"/>
      <c r="AB246" s="5"/>
      <c r="AC246" s="5"/>
      <c r="AD246" s="5"/>
      <c r="AE246" s="5"/>
      <c r="AF246" s="5"/>
      <c r="AG246" s="5"/>
      <c r="AH246" s="5"/>
      <c r="AI246" s="5"/>
    </row>
    <row r="247" spans="1:35" ht="1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104"/>
      <c r="V247" s="5"/>
      <c r="W247" s="5"/>
      <c r="X247" s="5"/>
      <c r="Y247" s="5"/>
      <c r="Z247" s="7"/>
      <c r="AA247" s="5"/>
      <c r="AB247" s="5"/>
      <c r="AC247" s="5"/>
      <c r="AD247" s="5"/>
      <c r="AE247" s="5"/>
      <c r="AF247" s="5"/>
      <c r="AG247" s="5"/>
      <c r="AH247" s="5"/>
      <c r="AI247" s="5"/>
    </row>
    <row r="248" spans="1:35" ht="1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104"/>
      <c r="V248" s="5"/>
      <c r="W248" s="5"/>
      <c r="X248" s="5"/>
      <c r="Y248" s="5"/>
      <c r="Z248" s="7"/>
      <c r="AA248" s="5"/>
      <c r="AB248" s="5"/>
      <c r="AC248" s="5"/>
      <c r="AD248" s="5"/>
      <c r="AE248" s="5"/>
      <c r="AF248" s="5"/>
      <c r="AG248" s="5"/>
      <c r="AH248" s="5"/>
      <c r="AI248" s="5"/>
    </row>
    <row r="249" spans="1:35" ht="1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104"/>
      <c r="V249" s="5"/>
      <c r="W249" s="5"/>
      <c r="X249" s="5"/>
      <c r="Y249" s="5"/>
      <c r="Z249" s="7"/>
      <c r="AA249" s="5"/>
      <c r="AB249" s="5"/>
      <c r="AC249" s="5"/>
      <c r="AD249" s="5"/>
      <c r="AE249" s="5"/>
      <c r="AF249" s="5"/>
      <c r="AG249" s="5"/>
      <c r="AH249" s="5"/>
      <c r="AI249" s="5"/>
    </row>
    <row r="250" spans="1:35" ht="1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104"/>
      <c r="V250" s="5"/>
      <c r="W250" s="5"/>
      <c r="X250" s="5"/>
      <c r="Y250" s="5"/>
      <c r="Z250" s="7"/>
      <c r="AA250" s="5"/>
      <c r="AB250" s="5"/>
      <c r="AC250" s="5"/>
      <c r="AD250" s="5"/>
      <c r="AE250" s="5"/>
      <c r="AF250" s="5"/>
      <c r="AG250" s="5"/>
      <c r="AH250" s="5"/>
      <c r="AI250" s="5"/>
    </row>
    <row r="251" spans="1:35" ht="1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104"/>
      <c r="V251" s="5"/>
      <c r="W251" s="5"/>
      <c r="X251" s="5"/>
      <c r="Y251" s="5"/>
      <c r="Z251" s="7"/>
      <c r="AA251" s="5"/>
      <c r="AB251" s="5"/>
      <c r="AC251" s="5"/>
      <c r="AD251" s="5"/>
      <c r="AE251" s="5"/>
      <c r="AF251" s="5"/>
      <c r="AG251" s="5"/>
      <c r="AH251" s="5"/>
      <c r="AI251" s="5"/>
    </row>
    <row r="252" spans="1:35" ht="1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104"/>
      <c r="V252" s="5"/>
      <c r="W252" s="5"/>
      <c r="X252" s="5"/>
      <c r="Y252" s="5"/>
      <c r="Z252" s="7"/>
      <c r="AA252" s="5"/>
      <c r="AB252" s="5"/>
      <c r="AC252" s="5"/>
      <c r="AD252" s="5"/>
      <c r="AE252" s="5"/>
      <c r="AF252" s="5"/>
      <c r="AG252" s="5"/>
      <c r="AH252" s="5"/>
      <c r="AI252" s="5"/>
    </row>
    <row r="253" spans="1:35" ht="1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104"/>
      <c r="V253" s="5"/>
      <c r="W253" s="5"/>
      <c r="X253" s="5"/>
      <c r="Y253" s="5"/>
      <c r="Z253" s="7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 ht="1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104"/>
      <c r="V254" s="5"/>
      <c r="W254" s="5"/>
      <c r="X254" s="5"/>
      <c r="Y254" s="5"/>
      <c r="Z254" s="7"/>
      <c r="AA254" s="5"/>
      <c r="AB254" s="5"/>
      <c r="AC254" s="5"/>
      <c r="AD254" s="5"/>
      <c r="AE254" s="5"/>
      <c r="AF254" s="5"/>
      <c r="AG254" s="5"/>
      <c r="AH254" s="5"/>
      <c r="AI254" s="5"/>
    </row>
    <row r="255" spans="1:35" ht="1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104"/>
      <c r="V255" s="5"/>
      <c r="W255" s="5"/>
      <c r="X255" s="5"/>
      <c r="Y255" s="5"/>
      <c r="Z255" s="7"/>
      <c r="AA255" s="5"/>
      <c r="AB255" s="5"/>
      <c r="AC255" s="5"/>
      <c r="AD255" s="5"/>
      <c r="AE255" s="5"/>
      <c r="AF255" s="5"/>
      <c r="AG255" s="5"/>
      <c r="AH255" s="5"/>
      <c r="AI255" s="5"/>
    </row>
    <row r="256" spans="1:35" ht="15.75" customHeight="1">
      <c r="A256" s="5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5"/>
      <c r="T256" s="5"/>
      <c r="U256" s="104"/>
      <c r="V256" s="5"/>
      <c r="W256" s="5"/>
      <c r="X256" s="5"/>
      <c r="Y256" s="5"/>
      <c r="Z256" s="7"/>
      <c r="AA256" s="5"/>
      <c r="AB256" s="5"/>
      <c r="AC256" s="5"/>
      <c r="AD256" s="5"/>
      <c r="AE256" s="5"/>
      <c r="AF256" s="5"/>
      <c r="AG256" s="5"/>
      <c r="AH256" s="5"/>
      <c r="AI256" s="5"/>
    </row>
    <row r="257" spans="1:35" ht="15.75" customHeight="1">
      <c r="A257" s="5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5"/>
      <c r="T257" s="5"/>
      <c r="U257" s="104"/>
      <c r="V257" s="5"/>
      <c r="W257" s="5"/>
      <c r="X257" s="5"/>
      <c r="Y257" s="5"/>
      <c r="Z257" s="7"/>
      <c r="AA257" s="5"/>
      <c r="AB257" s="5"/>
      <c r="AC257" s="5"/>
      <c r="AD257" s="5"/>
      <c r="AE257" s="5"/>
      <c r="AF257" s="5"/>
      <c r="AG257" s="5"/>
      <c r="AH257" s="5"/>
      <c r="AI257" s="5"/>
    </row>
    <row r="258" spans="1:35" ht="15.75" customHeight="1">
      <c r="A258" s="5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5"/>
      <c r="T258" s="5"/>
      <c r="U258" s="104"/>
      <c r="V258" s="5"/>
      <c r="W258" s="5"/>
      <c r="X258" s="5"/>
      <c r="Y258" s="5"/>
      <c r="Z258" s="7"/>
      <c r="AA258" s="5"/>
      <c r="AB258" s="5"/>
      <c r="AC258" s="5"/>
      <c r="AD258" s="5"/>
      <c r="AE258" s="5"/>
      <c r="AF258" s="5"/>
      <c r="AG258" s="5"/>
      <c r="AH258" s="5"/>
      <c r="AI258" s="5"/>
    </row>
    <row r="259" spans="1:35" ht="15.75" customHeight="1">
      <c r="A259" s="5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5"/>
      <c r="T259" s="5"/>
      <c r="U259" s="104"/>
      <c r="V259" s="5"/>
      <c r="W259" s="5"/>
      <c r="X259" s="5"/>
      <c r="Y259" s="5"/>
      <c r="Z259" s="7"/>
      <c r="AA259" s="5"/>
      <c r="AB259" s="5"/>
      <c r="AC259" s="5"/>
      <c r="AD259" s="5"/>
      <c r="AE259" s="5"/>
      <c r="AF259" s="5"/>
      <c r="AG259" s="5"/>
      <c r="AH259" s="5"/>
      <c r="AI259" s="5"/>
    </row>
    <row r="260" spans="1:35" ht="15.75" customHeight="1">
      <c r="A260" s="5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5"/>
      <c r="T260" s="5"/>
      <c r="U260" s="104"/>
      <c r="V260" s="5"/>
      <c r="W260" s="5"/>
      <c r="X260" s="5"/>
      <c r="Y260" s="5"/>
      <c r="Z260" s="7"/>
      <c r="AA260" s="5"/>
      <c r="AB260" s="5"/>
      <c r="AC260" s="5"/>
      <c r="AD260" s="5"/>
      <c r="AE260" s="5"/>
      <c r="AF260" s="5"/>
      <c r="AG260" s="5"/>
      <c r="AH260" s="5"/>
      <c r="AI260" s="5"/>
    </row>
    <row r="261" spans="1:35" ht="15.75" customHeight="1">
      <c r="A261" s="5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5"/>
      <c r="T261" s="5"/>
      <c r="U261" s="104"/>
      <c r="V261" s="5"/>
      <c r="W261" s="5"/>
      <c r="X261" s="5"/>
      <c r="Y261" s="5"/>
      <c r="Z261" s="7"/>
      <c r="AA261" s="5"/>
      <c r="AB261" s="5"/>
      <c r="AC261" s="5"/>
      <c r="AD261" s="5"/>
      <c r="AE261" s="5"/>
      <c r="AF261" s="5"/>
      <c r="AG261" s="5"/>
      <c r="AH261" s="5"/>
      <c r="AI261" s="5"/>
    </row>
    <row r="262" spans="1:35" ht="15.75" customHeight="1">
      <c r="A262" s="5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5"/>
      <c r="T262" s="5"/>
      <c r="U262" s="104"/>
      <c r="V262" s="5"/>
      <c r="W262" s="5"/>
      <c r="X262" s="5"/>
      <c r="Y262" s="5"/>
      <c r="Z262" s="7"/>
      <c r="AA262" s="5"/>
      <c r="AB262" s="5"/>
      <c r="AC262" s="5"/>
      <c r="AD262" s="5"/>
      <c r="AE262" s="5"/>
      <c r="AF262" s="5"/>
      <c r="AG262" s="5"/>
      <c r="AH262" s="5"/>
      <c r="AI262" s="5"/>
    </row>
    <row r="263" spans="1:35" ht="15.75" customHeight="1">
      <c r="A263" s="5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5"/>
      <c r="T263" s="5"/>
      <c r="U263" s="104"/>
      <c r="V263" s="5"/>
      <c r="W263" s="5"/>
      <c r="X263" s="5"/>
      <c r="Y263" s="5"/>
      <c r="Z263" s="7"/>
      <c r="AA263" s="5"/>
      <c r="AB263" s="5"/>
      <c r="AC263" s="5"/>
      <c r="AD263" s="5"/>
      <c r="AE263" s="5"/>
      <c r="AF263" s="5"/>
      <c r="AG263" s="5"/>
      <c r="AH263" s="5"/>
      <c r="AI263" s="5"/>
    </row>
    <row r="264" spans="1:35" ht="15.75" customHeight="1">
      <c r="A264" s="5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5"/>
      <c r="T264" s="5"/>
      <c r="U264" s="104"/>
      <c r="V264" s="5"/>
      <c r="W264" s="5"/>
      <c r="X264" s="5"/>
      <c r="Y264" s="5"/>
      <c r="Z264" s="7"/>
      <c r="AA264" s="5"/>
      <c r="AB264" s="5"/>
      <c r="AC264" s="5"/>
      <c r="AD264" s="5"/>
      <c r="AE264" s="5"/>
      <c r="AF264" s="5"/>
      <c r="AG264" s="5"/>
      <c r="AH264" s="5"/>
      <c r="AI264" s="5"/>
    </row>
    <row r="265" spans="1:35" ht="15.75" customHeight="1">
      <c r="A265" s="5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5"/>
      <c r="T265" s="5"/>
      <c r="U265" s="104"/>
      <c r="V265" s="5"/>
      <c r="W265" s="5"/>
      <c r="X265" s="5"/>
      <c r="Y265" s="5"/>
      <c r="Z265" s="7"/>
      <c r="AA265" s="5"/>
      <c r="AB265" s="5"/>
      <c r="AC265" s="5"/>
      <c r="AD265" s="5"/>
      <c r="AE265" s="5"/>
      <c r="AF265" s="5"/>
      <c r="AG265" s="5"/>
      <c r="AH265" s="5"/>
      <c r="AI265" s="5"/>
    </row>
    <row r="266" spans="1:35" ht="15.75" customHeight="1">
      <c r="A266" s="5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5"/>
      <c r="T266" s="5"/>
      <c r="U266" s="104"/>
      <c r="V266" s="5"/>
      <c r="W266" s="5"/>
      <c r="X266" s="5"/>
      <c r="Y266" s="5"/>
      <c r="Z266" s="7"/>
      <c r="AA266" s="5"/>
      <c r="AB266" s="5"/>
      <c r="AC266" s="5"/>
      <c r="AD266" s="5"/>
      <c r="AE266" s="5"/>
      <c r="AF266" s="5"/>
      <c r="AG266" s="5"/>
      <c r="AH266" s="5"/>
      <c r="AI266" s="5"/>
    </row>
    <row r="267" spans="1:35" ht="15.75" customHeight="1">
      <c r="A267" s="5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5"/>
      <c r="T267" s="5"/>
      <c r="U267" s="104"/>
      <c r="V267" s="5"/>
      <c r="W267" s="5"/>
      <c r="X267" s="5"/>
      <c r="Y267" s="5"/>
      <c r="Z267" s="7"/>
      <c r="AA267" s="5"/>
      <c r="AB267" s="5"/>
      <c r="AC267" s="5"/>
      <c r="AD267" s="5"/>
      <c r="AE267" s="5"/>
      <c r="AF267" s="5"/>
      <c r="AG267" s="5"/>
      <c r="AH267" s="5"/>
      <c r="AI267" s="5"/>
    </row>
    <row r="268" spans="1:35" ht="15.75" customHeight="1">
      <c r="A268" s="5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5"/>
      <c r="T268" s="5"/>
      <c r="U268" s="104"/>
      <c r="V268" s="5"/>
      <c r="W268" s="5"/>
      <c r="X268" s="5"/>
      <c r="Y268" s="5"/>
      <c r="Z268" s="7"/>
      <c r="AA268" s="5"/>
      <c r="AB268" s="5"/>
      <c r="AC268" s="5"/>
      <c r="AD268" s="5"/>
      <c r="AE268" s="5"/>
      <c r="AF268" s="5"/>
      <c r="AG268" s="5"/>
      <c r="AH268" s="5"/>
      <c r="AI268" s="5"/>
    </row>
    <row r="269" spans="1:35" ht="15.75" customHeight="1">
      <c r="A269" s="5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5"/>
      <c r="T269" s="5"/>
      <c r="U269" s="104"/>
      <c r="V269" s="5"/>
      <c r="W269" s="5"/>
      <c r="X269" s="5"/>
      <c r="Y269" s="5"/>
      <c r="Z269" s="7"/>
      <c r="AA269" s="5"/>
      <c r="AB269" s="5"/>
      <c r="AC269" s="5"/>
      <c r="AD269" s="5"/>
      <c r="AE269" s="5"/>
      <c r="AF269" s="5"/>
      <c r="AG269" s="5"/>
      <c r="AH269" s="5"/>
      <c r="AI269" s="5"/>
    </row>
    <row r="270" spans="1:35" ht="15.75" customHeight="1">
      <c r="A270" s="5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5"/>
      <c r="T270" s="5"/>
      <c r="U270" s="104"/>
      <c r="V270" s="5"/>
      <c r="W270" s="5"/>
      <c r="X270" s="5"/>
      <c r="Y270" s="5"/>
      <c r="Z270" s="7"/>
      <c r="AA270" s="5"/>
      <c r="AB270" s="5"/>
      <c r="AC270" s="5"/>
      <c r="AD270" s="5"/>
      <c r="AE270" s="5"/>
      <c r="AF270" s="5"/>
      <c r="AG270" s="5"/>
      <c r="AH270" s="5"/>
      <c r="AI270" s="5"/>
    </row>
    <row r="271" spans="1:35" ht="15.75" customHeight="1">
      <c r="A271" s="5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5"/>
      <c r="T271" s="5"/>
      <c r="U271" s="104"/>
      <c r="V271" s="5"/>
      <c r="W271" s="5"/>
      <c r="X271" s="5"/>
      <c r="Y271" s="5"/>
      <c r="Z271" s="7"/>
      <c r="AA271" s="5"/>
      <c r="AB271" s="5"/>
      <c r="AC271" s="5"/>
      <c r="AD271" s="5"/>
      <c r="AE271" s="5"/>
      <c r="AF271" s="5"/>
      <c r="AG271" s="5"/>
      <c r="AH271" s="5"/>
      <c r="AI271" s="5"/>
    </row>
    <row r="272" spans="1:35" ht="15.75" customHeight="1">
      <c r="A272" s="5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5"/>
      <c r="T272" s="5"/>
      <c r="U272" s="104"/>
      <c r="V272" s="5"/>
      <c r="W272" s="5"/>
      <c r="X272" s="5"/>
      <c r="Y272" s="5"/>
      <c r="Z272" s="7"/>
      <c r="AA272" s="5"/>
      <c r="AB272" s="5"/>
      <c r="AC272" s="5"/>
      <c r="AD272" s="5"/>
      <c r="AE272" s="5"/>
      <c r="AF272" s="5"/>
      <c r="AG272" s="5"/>
      <c r="AH272" s="5"/>
      <c r="AI272" s="5"/>
    </row>
    <row r="273" spans="1:35" ht="15.75" customHeight="1">
      <c r="A273" s="5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5"/>
      <c r="T273" s="5"/>
      <c r="U273" s="104"/>
      <c r="V273" s="5"/>
      <c r="W273" s="5"/>
      <c r="X273" s="5"/>
      <c r="Y273" s="5"/>
      <c r="Z273" s="7"/>
      <c r="AA273" s="5"/>
      <c r="AB273" s="5"/>
      <c r="AC273" s="5"/>
      <c r="AD273" s="5"/>
      <c r="AE273" s="5"/>
      <c r="AF273" s="5"/>
      <c r="AG273" s="5"/>
      <c r="AH273" s="5"/>
      <c r="AI273" s="5"/>
    </row>
    <row r="274" spans="1:35" ht="15.75" customHeight="1">
      <c r="A274" s="5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5"/>
      <c r="T274" s="5"/>
      <c r="U274" s="104"/>
      <c r="V274" s="5"/>
      <c r="W274" s="5"/>
      <c r="X274" s="5"/>
      <c r="Y274" s="5"/>
      <c r="Z274" s="7"/>
      <c r="AA274" s="5"/>
      <c r="AB274" s="5"/>
      <c r="AC274" s="5"/>
      <c r="AD274" s="5"/>
      <c r="AE274" s="5"/>
      <c r="AF274" s="5"/>
      <c r="AG274" s="5"/>
      <c r="AH274" s="5"/>
      <c r="AI274" s="5"/>
    </row>
    <row r="275" spans="1:35" ht="15.75" customHeight="1">
      <c r="A275" s="5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5"/>
      <c r="T275" s="5"/>
      <c r="U275" s="104"/>
      <c r="V275" s="5"/>
      <c r="W275" s="5"/>
      <c r="X275" s="5"/>
      <c r="Y275" s="5"/>
      <c r="Z275" s="7"/>
      <c r="AA275" s="5"/>
      <c r="AB275" s="5"/>
      <c r="AC275" s="5"/>
      <c r="AD275" s="5"/>
      <c r="AE275" s="5"/>
      <c r="AF275" s="5"/>
      <c r="AG275" s="5"/>
      <c r="AH275" s="5"/>
      <c r="AI275" s="5"/>
    </row>
    <row r="276" spans="1:35" ht="15.75" customHeight="1">
      <c r="A276" s="5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5"/>
      <c r="T276" s="5"/>
      <c r="U276" s="104"/>
      <c r="V276" s="5"/>
      <c r="W276" s="5"/>
      <c r="X276" s="5"/>
      <c r="Y276" s="5"/>
      <c r="Z276" s="7"/>
      <c r="AA276" s="5"/>
      <c r="AB276" s="5"/>
      <c r="AC276" s="5"/>
      <c r="AD276" s="5"/>
      <c r="AE276" s="5"/>
      <c r="AF276" s="5"/>
      <c r="AG276" s="5"/>
      <c r="AH276" s="5"/>
      <c r="AI276" s="5"/>
    </row>
    <row r="277" spans="1:35" ht="15.75" customHeight="1">
      <c r="A277" s="5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5"/>
      <c r="T277" s="5"/>
      <c r="U277" s="104"/>
      <c r="V277" s="5"/>
      <c r="W277" s="5"/>
      <c r="X277" s="5"/>
      <c r="Y277" s="5"/>
      <c r="Z277" s="7"/>
      <c r="AA277" s="5"/>
      <c r="AB277" s="5"/>
      <c r="AC277" s="5"/>
      <c r="AD277" s="5"/>
      <c r="AE277" s="5"/>
      <c r="AF277" s="5"/>
      <c r="AG277" s="5"/>
      <c r="AH277" s="5"/>
      <c r="AI277" s="5"/>
    </row>
    <row r="278" spans="1:35" ht="15.75" customHeight="1">
      <c r="A278" s="5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5"/>
      <c r="T278" s="5"/>
      <c r="U278" s="104"/>
      <c r="V278" s="5"/>
      <c r="W278" s="5"/>
      <c r="X278" s="5"/>
      <c r="Y278" s="5"/>
      <c r="Z278" s="7"/>
      <c r="AA278" s="5"/>
      <c r="AB278" s="5"/>
      <c r="AC278" s="5"/>
      <c r="AD278" s="5"/>
      <c r="AE278" s="5"/>
      <c r="AF278" s="5"/>
      <c r="AG278" s="5"/>
      <c r="AH278" s="5"/>
      <c r="AI278" s="5"/>
    </row>
    <row r="279" spans="1:35" ht="15.75" customHeight="1">
      <c r="A279" s="5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5"/>
      <c r="T279" s="5"/>
      <c r="U279" s="104"/>
      <c r="V279" s="5"/>
      <c r="W279" s="5"/>
      <c r="X279" s="5"/>
      <c r="Y279" s="5"/>
      <c r="Z279" s="7"/>
      <c r="AA279" s="5"/>
      <c r="AB279" s="5"/>
      <c r="AC279" s="5"/>
      <c r="AD279" s="5"/>
      <c r="AE279" s="5"/>
      <c r="AF279" s="5"/>
      <c r="AG279" s="5"/>
      <c r="AH279" s="5"/>
      <c r="AI279" s="5"/>
    </row>
    <row r="280" spans="1:35" ht="15.75" customHeight="1">
      <c r="A280" s="5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5"/>
      <c r="T280" s="5"/>
      <c r="U280" s="104"/>
      <c r="V280" s="5"/>
      <c r="W280" s="5"/>
      <c r="X280" s="5"/>
      <c r="Y280" s="5"/>
      <c r="Z280" s="7"/>
      <c r="AA280" s="5"/>
      <c r="AB280" s="5"/>
      <c r="AC280" s="5"/>
      <c r="AD280" s="5"/>
      <c r="AE280" s="5"/>
      <c r="AF280" s="5"/>
      <c r="AG280" s="5"/>
      <c r="AH280" s="5"/>
      <c r="AI280" s="5"/>
    </row>
    <row r="281" spans="1:35" ht="15.75" customHeight="1">
      <c r="A281" s="5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5"/>
      <c r="T281" s="5"/>
      <c r="U281" s="104"/>
      <c r="V281" s="5"/>
      <c r="W281" s="5"/>
      <c r="X281" s="5"/>
      <c r="Y281" s="5"/>
      <c r="Z281" s="7"/>
      <c r="AA281" s="5"/>
      <c r="AB281" s="5"/>
      <c r="AC281" s="5"/>
      <c r="AD281" s="5"/>
      <c r="AE281" s="5"/>
      <c r="AF281" s="5"/>
      <c r="AG281" s="5"/>
      <c r="AH281" s="5"/>
      <c r="AI281" s="5"/>
    </row>
    <row r="282" spans="1:35" ht="15.75" customHeight="1">
      <c r="A282" s="5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5"/>
      <c r="T282" s="5"/>
      <c r="U282" s="104"/>
      <c r="V282" s="5"/>
      <c r="W282" s="5"/>
      <c r="X282" s="5"/>
      <c r="Y282" s="5"/>
      <c r="Z282" s="7"/>
      <c r="AA282" s="5"/>
      <c r="AB282" s="5"/>
      <c r="AC282" s="5"/>
      <c r="AD282" s="5"/>
      <c r="AE282" s="5"/>
      <c r="AF282" s="5"/>
      <c r="AG282" s="5"/>
      <c r="AH282" s="5"/>
      <c r="AI282" s="5"/>
    </row>
    <row r="283" spans="1:35" ht="15.75" customHeight="1">
      <c r="A283" s="5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5"/>
      <c r="T283" s="5"/>
      <c r="U283" s="104"/>
      <c r="V283" s="5"/>
      <c r="W283" s="5"/>
      <c r="X283" s="5"/>
      <c r="Y283" s="5"/>
      <c r="Z283" s="7"/>
      <c r="AA283" s="5"/>
      <c r="AB283" s="5"/>
      <c r="AC283" s="5"/>
      <c r="AD283" s="5"/>
      <c r="AE283" s="5"/>
      <c r="AF283" s="5"/>
      <c r="AG283" s="5"/>
      <c r="AH283" s="5"/>
      <c r="AI283" s="5"/>
    </row>
    <row r="284" spans="1:35" ht="15.75" customHeight="1">
      <c r="A284" s="5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5"/>
      <c r="T284" s="5"/>
      <c r="U284" s="104"/>
      <c r="V284" s="5"/>
      <c r="W284" s="5"/>
      <c r="X284" s="5"/>
      <c r="Y284" s="5"/>
      <c r="Z284" s="7"/>
      <c r="AA284" s="5"/>
      <c r="AB284" s="5"/>
      <c r="AC284" s="5"/>
      <c r="AD284" s="5"/>
      <c r="AE284" s="5"/>
      <c r="AF284" s="5"/>
      <c r="AG284" s="5"/>
      <c r="AH284" s="5"/>
      <c r="AI284" s="5"/>
    </row>
    <row r="285" spans="1:35" ht="15.75" customHeight="1">
      <c r="A285" s="5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5"/>
      <c r="T285" s="5"/>
      <c r="U285" s="104"/>
      <c r="V285" s="5"/>
      <c r="W285" s="5"/>
      <c r="X285" s="5"/>
      <c r="Y285" s="5"/>
      <c r="Z285" s="7"/>
      <c r="AA285" s="5"/>
      <c r="AB285" s="5"/>
      <c r="AC285" s="5"/>
      <c r="AD285" s="5"/>
      <c r="AE285" s="5"/>
      <c r="AF285" s="5"/>
      <c r="AG285" s="5"/>
      <c r="AH285" s="5"/>
      <c r="AI285" s="5"/>
    </row>
    <row r="286" spans="1:35" ht="15.75" customHeight="1">
      <c r="A286" s="5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5"/>
      <c r="T286" s="5"/>
      <c r="U286" s="104"/>
      <c r="V286" s="5"/>
      <c r="W286" s="5"/>
      <c r="X286" s="5"/>
      <c r="Y286" s="5"/>
      <c r="Z286" s="7"/>
      <c r="AA286" s="5"/>
      <c r="AB286" s="5"/>
      <c r="AC286" s="5"/>
      <c r="AD286" s="5"/>
      <c r="AE286" s="5"/>
      <c r="AF286" s="5"/>
      <c r="AG286" s="5"/>
      <c r="AH286" s="5"/>
      <c r="AI286" s="5"/>
    </row>
    <row r="287" spans="1:35" ht="15.75" customHeight="1">
      <c r="A287" s="5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5"/>
      <c r="T287" s="5"/>
      <c r="U287" s="104"/>
      <c r="V287" s="5"/>
      <c r="W287" s="5"/>
      <c r="X287" s="5"/>
      <c r="Y287" s="5"/>
      <c r="Z287" s="7"/>
      <c r="AA287" s="5"/>
      <c r="AB287" s="5"/>
      <c r="AC287" s="5"/>
      <c r="AD287" s="5"/>
      <c r="AE287" s="5"/>
      <c r="AF287" s="5"/>
      <c r="AG287" s="5"/>
      <c r="AH287" s="5"/>
      <c r="AI287" s="5"/>
    </row>
    <row r="288" spans="1:35" ht="15.75" customHeight="1">
      <c r="A288" s="5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5"/>
      <c r="T288" s="5"/>
      <c r="U288" s="104"/>
      <c r="V288" s="5"/>
      <c r="W288" s="5"/>
      <c r="X288" s="5"/>
      <c r="Y288" s="5"/>
      <c r="Z288" s="7"/>
      <c r="AA288" s="5"/>
      <c r="AB288" s="5"/>
      <c r="AC288" s="5"/>
      <c r="AD288" s="5"/>
      <c r="AE288" s="5"/>
      <c r="AF288" s="5"/>
      <c r="AG288" s="5"/>
      <c r="AH288" s="5"/>
      <c r="AI288" s="5"/>
    </row>
    <row r="289" spans="1:35" ht="15.75" customHeight="1">
      <c r="A289" s="5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5"/>
      <c r="T289" s="5"/>
      <c r="U289" s="104"/>
      <c r="V289" s="5"/>
      <c r="W289" s="5"/>
      <c r="X289" s="5"/>
      <c r="Y289" s="5"/>
      <c r="Z289" s="7"/>
      <c r="AA289" s="5"/>
      <c r="AB289" s="5"/>
      <c r="AC289" s="5"/>
      <c r="AD289" s="5"/>
      <c r="AE289" s="5"/>
      <c r="AF289" s="5"/>
      <c r="AG289" s="5"/>
      <c r="AH289" s="5"/>
      <c r="AI289" s="5"/>
    </row>
    <row r="290" spans="1:35" ht="15.75" customHeight="1">
      <c r="A290" s="5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5"/>
      <c r="T290" s="5"/>
      <c r="U290" s="104"/>
      <c r="V290" s="5"/>
      <c r="W290" s="5"/>
      <c r="X290" s="5"/>
      <c r="Y290" s="5"/>
      <c r="Z290" s="7"/>
      <c r="AA290" s="5"/>
      <c r="AB290" s="5"/>
      <c r="AC290" s="5"/>
      <c r="AD290" s="5"/>
      <c r="AE290" s="5"/>
      <c r="AF290" s="5"/>
      <c r="AG290" s="5"/>
      <c r="AH290" s="5"/>
      <c r="AI290" s="5"/>
    </row>
    <row r="291" spans="1:35" ht="15.75" customHeight="1">
      <c r="A291" s="5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5"/>
      <c r="T291" s="5"/>
      <c r="U291" s="104"/>
      <c r="V291" s="5"/>
      <c r="W291" s="5"/>
      <c r="X291" s="5"/>
      <c r="Y291" s="5"/>
      <c r="Z291" s="7"/>
      <c r="AA291" s="5"/>
      <c r="AB291" s="5"/>
      <c r="AC291" s="5"/>
      <c r="AD291" s="5"/>
      <c r="AE291" s="5"/>
      <c r="AF291" s="5"/>
      <c r="AG291" s="5"/>
      <c r="AH291" s="5"/>
      <c r="AI291" s="5"/>
    </row>
    <row r="292" spans="1:35" ht="15.75" customHeight="1">
      <c r="A292" s="5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5"/>
      <c r="T292" s="5"/>
      <c r="U292" s="104"/>
      <c r="V292" s="5"/>
      <c r="W292" s="5"/>
      <c r="X292" s="5"/>
      <c r="Y292" s="5"/>
      <c r="Z292" s="7"/>
      <c r="AA292" s="5"/>
      <c r="AB292" s="5"/>
      <c r="AC292" s="5"/>
      <c r="AD292" s="5"/>
      <c r="AE292" s="5"/>
      <c r="AF292" s="5"/>
      <c r="AG292" s="5"/>
      <c r="AH292" s="5"/>
      <c r="AI292" s="5"/>
    </row>
    <row r="293" spans="1:35" ht="15.75" customHeight="1">
      <c r="A293" s="5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5"/>
      <c r="T293" s="5"/>
      <c r="U293" s="104"/>
      <c r="V293" s="5"/>
      <c r="W293" s="5"/>
      <c r="X293" s="5"/>
      <c r="Y293" s="5"/>
      <c r="Z293" s="7"/>
      <c r="AA293" s="5"/>
      <c r="AB293" s="5"/>
      <c r="AC293" s="5"/>
      <c r="AD293" s="5"/>
      <c r="AE293" s="5"/>
      <c r="AF293" s="5"/>
      <c r="AG293" s="5"/>
      <c r="AH293" s="5"/>
      <c r="AI293" s="5"/>
    </row>
    <row r="294" spans="1:35" ht="15.75" customHeight="1">
      <c r="A294" s="5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5"/>
      <c r="T294" s="5"/>
      <c r="U294" s="104"/>
      <c r="V294" s="5"/>
      <c r="W294" s="5"/>
      <c r="X294" s="5"/>
      <c r="Y294" s="5"/>
      <c r="Z294" s="7"/>
      <c r="AA294" s="5"/>
      <c r="AB294" s="5"/>
      <c r="AC294" s="5"/>
      <c r="AD294" s="5"/>
      <c r="AE294" s="5"/>
      <c r="AF294" s="5"/>
      <c r="AG294" s="5"/>
      <c r="AH294" s="5"/>
      <c r="AI294" s="5"/>
    </row>
    <row r="295" spans="1:35" ht="15.75" customHeight="1">
      <c r="A295" s="5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5"/>
      <c r="T295" s="5"/>
      <c r="U295" s="104"/>
      <c r="V295" s="5"/>
      <c r="W295" s="5"/>
      <c r="X295" s="5"/>
      <c r="Y295" s="5"/>
      <c r="Z295" s="7"/>
      <c r="AA295" s="5"/>
      <c r="AB295" s="5"/>
      <c r="AC295" s="5"/>
      <c r="AD295" s="5"/>
      <c r="AE295" s="5"/>
      <c r="AF295" s="5"/>
      <c r="AG295" s="5"/>
      <c r="AH295" s="5"/>
      <c r="AI295" s="5"/>
    </row>
    <row r="296" spans="1:35" ht="15.75" customHeight="1">
      <c r="A296" s="5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5"/>
      <c r="T296" s="5"/>
      <c r="U296" s="104"/>
      <c r="V296" s="5"/>
      <c r="W296" s="5"/>
      <c r="X296" s="5"/>
      <c r="Y296" s="5"/>
      <c r="Z296" s="7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 ht="15.75" customHeight="1">
      <c r="A297" s="5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5"/>
      <c r="T297" s="5"/>
      <c r="U297" s="104"/>
      <c r="V297" s="5"/>
      <c r="W297" s="5"/>
      <c r="X297" s="5"/>
      <c r="Y297" s="5"/>
      <c r="Z297" s="7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 ht="15.75" customHeight="1">
      <c r="A298" s="5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5"/>
      <c r="T298" s="5"/>
      <c r="U298" s="104"/>
      <c r="V298" s="5"/>
      <c r="W298" s="5"/>
      <c r="X298" s="5"/>
      <c r="Y298" s="5"/>
      <c r="Z298" s="7"/>
      <c r="AA298" s="5"/>
      <c r="AB298" s="5"/>
      <c r="AC298" s="5"/>
      <c r="AD298" s="5"/>
      <c r="AE298" s="5"/>
      <c r="AF298" s="5"/>
      <c r="AG298" s="5"/>
      <c r="AH298" s="5"/>
      <c r="AI298" s="5"/>
    </row>
    <row r="299" spans="1:35" ht="15.75" customHeight="1">
      <c r="A299" s="5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5"/>
      <c r="T299" s="5"/>
      <c r="U299" s="104"/>
      <c r="V299" s="5"/>
      <c r="W299" s="5"/>
      <c r="X299" s="5"/>
      <c r="Y299" s="5"/>
      <c r="Z299" s="7"/>
      <c r="AA299" s="5"/>
      <c r="AB299" s="5"/>
      <c r="AC299" s="5"/>
      <c r="AD299" s="5"/>
      <c r="AE299" s="5"/>
      <c r="AF299" s="5"/>
      <c r="AG299" s="5"/>
      <c r="AH299" s="5"/>
      <c r="AI299" s="5"/>
    </row>
    <row r="300" spans="1:35" ht="15.75" customHeight="1">
      <c r="A300" s="5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5"/>
      <c r="T300" s="5"/>
      <c r="U300" s="104"/>
      <c r="V300" s="5"/>
      <c r="W300" s="5"/>
      <c r="X300" s="5"/>
      <c r="Y300" s="5"/>
      <c r="Z300" s="7"/>
      <c r="AA300" s="5"/>
      <c r="AB300" s="5"/>
      <c r="AC300" s="5"/>
      <c r="AD300" s="5"/>
      <c r="AE300" s="5"/>
      <c r="AF300" s="5"/>
      <c r="AG300" s="5"/>
      <c r="AH300" s="5"/>
      <c r="AI300" s="5"/>
    </row>
    <row r="301" spans="1:35" ht="15.75" customHeight="1">
      <c r="A301" s="5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5"/>
      <c r="T301" s="5"/>
      <c r="U301" s="104"/>
      <c r="V301" s="5"/>
      <c r="W301" s="5"/>
      <c r="X301" s="5"/>
      <c r="Y301" s="5"/>
      <c r="Z301" s="7"/>
      <c r="AA301" s="5"/>
      <c r="AB301" s="5"/>
      <c r="AC301" s="5"/>
      <c r="AD301" s="5"/>
      <c r="AE301" s="5"/>
      <c r="AF301" s="5"/>
      <c r="AG301" s="5"/>
      <c r="AH301" s="5"/>
      <c r="AI301" s="5"/>
    </row>
    <row r="302" spans="1:35" ht="15.75" customHeight="1">
      <c r="A302" s="5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5"/>
      <c r="T302" s="5"/>
      <c r="U302" s="104"/>
      <c r="V302" s="5"/>
      <c r="W302" s="5"/>
      <c r="X302" s="5"/>
      <c r="Y302" s="5"/>
      <c r="Z302" s="7"/>
      <c r="AA302" s="5"/>
      <c r="AB302" s="5"/>
      <c r="AC302" s="5"/>
      <c r="AD302" s="5"/>
      <c r="AE302" s="5"/>
      <c r="AF302" s="5"/>
      <c r="AG302" s="5"/>
      <c r="AH302" s="5"/>
      <c r="AI302" s="5"/>
    </row>
    <row r="303" spans="1:35" ht="15.75" customHeight="1">
      <c r="A303" s="5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5"/>
      <c r="T303" s="5"/>
      <c r="U303" s="104"/>
      <c r="V303" s="5"/>
      <c r="W303" s="5"/>
      <c r="X303" s="5"/>
      <c r="Y303" s="5"/>
      <c r="Z303" s="7"/>
      <c r="AA303" s="5"/>
      <c r="AB303" s="5"/>
      <c r="AC303" s="5"/>
      <c r="AD303" s="5"/>
      <c r="AE303" s="5"/>
      <c r="AF303" s="5"/>
      <c r="AG303" s="5"/>
      <c r="AH303" s="5"/>
      <c r="AI303" s="5"/>
    </row>
    <row r="304" spans="1:35" ht="15.75" customHeight="1">
      <c r="A304" s="5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5"/>
      <c r="T304" s="5"/>
      <c r="U304" s="104"/>
      <c r="V304" s="5"/>
      <c r="W304" s="5"/>
      <c r="X304" s="5"/>
      <c r="Y304" s="5"/>
      <c r="Z304" s="7"/>
      <c r="AA304" s="5"/>
      <c r="AB304" s="5"/>
      <c r="AC304" s="5"/>
      <c r="AD304" s="5"/>
      <c r="AE304" s="5"/>
      <c r="AF304" s="5"/>
      <c r="AG304" s="5"/>
      <c r="AH304" s="5"/>
      <c r="AI304" s="5"/>
    </row>
    <row r="305" spans="1:35" ht="15.75" customHeight="1">
      <c r="A305" s="5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5"/>
      <c r="T305" s="5"/>
      <c r="U305" s="104"/>
      <c r="V305" s="5"/>
      <c r="W305" s="5"/>
      <c r="X305" s="5"/>
      <c r="Y305" s="5"/>
      <c r="Z305" s="7"/>
      <c r="AA305" s="5"/>
      <c r="AB305" s="5"/>
      <c r="AC305" s="5"/>
      <c r="AD305" s="5"/>
      <c r="AE305" s="5"/>
      <c r="AF305" s="5"/>
      <c r="AG305" s="5"/>
      <c r="AH305" s="5"/>
      <c r="AI305" s="5"/>
    </row>
    <row r="306" spans="1:35" ht="15.75" customHeight="1">
      <c r="A306" s="5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5"/>
      <c r="T306" s="5"/>
      <c r="U306" s="104"/>
      <c r="V306" s="5"/>
      <c r="W306" s="5"/>
      <c r="X306" s="5"/>
      <c r="Y306" s="5"/>
      <c r="Z306" s="7"/>
      <c r="AA306" s="5"/>
      <c r="AB306" s="5"/>
      <c r="AC306" s="5"/>
      <c r="AD306" s="5"/>
      <c r="AE306" s="5"/>
      <c r="AF306" s="5"/>
      <c r="AG306" s="5"/>
      <c r="AH306" s="5"/>
      <c r="AI306" s="5"/>
    </row>
    <row r="307" spans="1:35" ht="15.75" customHeight="1">
      <c r="A307" s="5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5"/>
      <c r="T307" s="5"/>
      <c r="U307" s="104"/>
      <c r="V307" s="5"/>
      <c r="W307" s="5"/>
      <c r="X307" s="5"/>
      <c r="Y307" s="5"/>
      <c r="Z307" s="7"/>
      <c r="AA307" s="5"/>
      <c r="AB307" s="5"/>
      <c r="AC307" s="5"/>
      <c r="AD307" s="5"/>
      <c r="AE307" s="5"/>
      <c r="AF307" s="5"/>
      <c r="AG307" s="5"/>
      <c r="AH307" s="5"/>
      <c r="AI307" s="5"/>
    </row>
    <row r="308" spans="1:35" ht="15.75" customHeight="1">
      <c r="A308" s="5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5"/>
      <c r="T308" s="5"/>
      <c r="U308" s="104"/>
      <c r="V308" s="5"/>
      <c r="W308" s="5"/>
      <c r="X308" s="5"/>
      <c r="Y308" s="5"/>
      <c r="Z308" s="7"/>
      <c r="AA308" s="5"/>
      <c r="AB308" s="5"/>
      <c r="AC308" s="5"/>
      <c r="AD308" s="5"/>
      <c r="AE308" s="5"/>
      <c r="AF308" s="5"/>
      <c r="AG308" s="5"/>
      <c r="AH308" s="5"/>
      <c r="AI308" s="5"/>
    </row>
    <row r="309" spans="1:35" ht="15.75" customHeight="1">
      <c r="A309" s="5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5"/>
      <c r="T309" s="5"/>
      <c r="U309" s="104"/>
      <c r="V309" s="5"/>
      <c r="W309" s="5"/>
      <c r="X309" s="5"/>
      <c r="Y309" s="5"/>
      <c r="Z309" s="7"/>
      <c r="AA309" s="5"/>
      <c r="AB309" s="5"/>
      <c r="AC309" s="5"/>
      <c r="AD309" s="5"/>
      <c r="AE309" s="5"/>
      <c r="AF309" s="5"/>
      <c r="AG309" s="5"/>
      <c r="AH309" s="5"/>
      <c r="AI309" s="5"/>
    </row>
    <row r="310" spans="1:35" ht="15.75" customHeight="1">
      <c r="A310" s="5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5"/>
      <c r="T310" s="5"/>
      <c r="U310" s="104"/>
      <c r="V310" s="5"/>
      <c r="W310" s="5"/>
      <c r="X310" s="5"/>
      <c r="Y310" s="5"/>
      <c r="Z310" s="7"/>
      <c r="AA310" s="5"/>
      <c r="AB310" s="5"/>
      <c r="AC310" s="5"/>
      <c r="AD310" s="5"/>
      <c r="AE310" s="5"/>
      <c r="AF310" s="5"/>
      <c r="AG310" s="5"/>
      <c r="AH310" s="5"/>
      <c r="AI310" s="5"/>
    </row>
    <row r="311" spans="1:35" ht="15.75" customHeight="1">
      <c r="A311" s="5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5"/>
      <c r="T311" s="5"/>
      <c r="U311" s="104"/>
      <c r="V311" s="5"/>
      <c r="W311" s="5"/>
      <c r="X311" s="5"/>
      <c r="Y311" s="5"/>
      <c r="Z311" s="7"/>
      <c r="AA311" s="5"/>
      <c r="AB311" s="5"/>
      <c r="AC311" s="5"/>
      <c r="AD311" s="5"/>
      <c r="AE311" s="5"/>
      <c r="AF311" s="5"/>
      <c r="AG311" s="5"/>
      <c r="AH311" s="5"/>
      <c r="AI311" s="5"/>
    </row>
    <row r="312" spans="1:35" ht="15.75" customHeight="1">
      <c r="A312" s="5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5"/>
      <c r="T312" s="5"/>
      <c r="U312" s="104"/>
      <c r="V312" s="5"/>
      <c r="W312" s="5"/>
      <c r="X312" s="5"/>
      <c r="Y312" s="5"/>
      <c r="Z312" s="7"/>
      <c r="AA312" s="5"/>
      <c r="AB312" s="5"/>
      <c r="AC312" s="5"/>
      <c r="AD312" s="5"/>
      <c r="AE312" s="5"/>
      <c r="AF312" s="5"/>
      <c r="AG312" s="5"/>
      <c r="AH312" s="5"/>
      <c r="AI312" s="5"/>
    </row>
    <row r="313" spans="1:35" ht="15.75" customHeight="1">
      <c r="A313" s="5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5"/>
      <c r="T313" s="5"/>
      <c r="U313" s="104"/>
      <c r="V313" s="5"/>
      <c r="W313" s="5"/>
      <c r="X313" s="5"/>
      <c r="Y313" s="5"/>
      <c r="Z313" s="7"/>
      <c r="AA313" s="5"/>
      <c r="AB313" s="5"/>
      <c r="AC313" s="5"/>
      <c r="AD313" s="5"/>
      <c r="AE313" s="5"/>
      <c r="AF313" s="5"/>
      <c r="AG313" s="5"/>
      <c r="AH313" s="5"/>
      <c r="AI313" s="5"/>
    </row>
    <row r="314" spans="1:35" ht="15.75" customHeight="1">
      <c r="A314" s="5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5"/>
      <c r="T314" s="5"/>
      <c r="U314" s="104"/>
      <c r="V314" s="5"/>
      <c r="W314" s="5"/>
      <c r="X314" s="5"/>
      <c r="Y314" s="5"/>
      <c r="Z314" s="7"/>
      <c r="AA314" s="5"/>
      <c r="AB314" s="5"/>
      <c r="AC314" s="5"/>
      <c r="AD314" s="5"/>
      <c r="AE314" s="5"/>
      <c r="AF314" s="5"/>
      <c r="AG314" s="5"/>
      <c r="AH314" s="5"/>
      <c r="AI314" s="5"/>
    </row>
    <row r="315" spans="1:35" ht="15.75" customHeight="1">
      <c r="A315" s="5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5"/>
      <c r="T315" s="5"/>
      <c r="U315" s="104"/>
      <c r="V315" s="5"/>
      <c r="W315" s="5"/>
      <c r="X315" s="5"/>
      <c r="Y315" s="5"/>
      <c r="Z315" s="7"/>
      <c r="AA315" s="5"/>
      <c r="AB315" s="5"/>
      <c r="AC315" s="5"/>
      <c r="AD315" s="5"/>
      <c r="AE315" s="5"/>
      <c r="AF315" s="5"/>
      <c r="AG315" s="5"/>
      <c r="AH315" s="5"/>
      <c r="AI315" s="5"/>
    </row>
    <row r="316" spans="1:35" ht="15.75" customHeight="1">
      <c r="A316" s="5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5"/>
      <c r="T316" s="5"/>
      <c r="U316" s="104"/>
      <c r="V316" s="5"/>
      <c r="W316" s="5"/>
      <c r="X316" s="5"/>
      <c r="Y316" s="5"/>
      <c r="Z316" s="7"/>
      <c r="AA316" s="5"/>
      <c r="AB316" s="5"/>
      <c r="AC316" s="5"/>
      <c r="AD316" s="5"/>
      <c r="AE316" s="5"/>
      <c r="AF316" s="5"/>
      <c r="AG316" s="5"/>
      <c r="AH316" s="5"/>
      <c r="AI316" s="5"/>
    </row>
    <row r="317" spans="1:35" ht="15.75" customHeight="1">
      <c r="A317" s="5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5"/>
      <c r="T317" s="5"/>
      <c r="U317" s="104"/>
      <c r="V317" s="5"/>
      <c r="W317" s="5"/>
      <c r="X317" s="5"/>
      <c r="Y317" s="5"/>
      <c r="Z317" s="7"/>
      <c r="AA317" s="5"/>
      <c r="AB317" s="5"/>
      <c r="AC317" s="5"/>
      <c r="AD317" s="5"/>
      <c r="AE317" s="5"/>
      <c r="AF317" s="5"/>
      <c r="AG317" s="5"/>
      <c r="AH317" s="5"/>
      <c r="AI317" s="5"/>
    </row>
    <row r="318" spans="1:35" ht="15.75" customHeight="1">
      <c r="A318" s="5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5"/>
      <c r="T318" s="5"/>
      <c r="U318" s="104"/>
      <c r="V318" s="5"/>
      <c r="W318" s="5"/>
      <c r="X318" s="5"/>
      <c r="Y318" s="5"/>
      <c r="Z318" s="7"/>
      <c r="AA318" s="5"/>
      <c r="AB318" s="5"/>
      <c r="AC318" s="5"/>
      <c r="AD318" s="5"/>
      <c r="AE318" s="5"/>
      <c r="AF318" s="5"/>
      <c r="AG318" s="5"/>
      <c r="AH318" s="5"/>
      <c r="AI318" s="5"/>
    </row>
    <row r="319" spans="1:35" ht="15.75" customHeight="1">
      <c r="A319" s="5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5"/>
      <c r="T319" s="5"/>
      <c r="U319" s="104"/>
      <c r="V319" s="5"/>
      <c r="W319" s="5"/>
      <c r="X319" s="5"/>
      <c r="Y319" s="5"/>
      <c r="Z319" s="7"/>
      <c r="AA319" s="5"/>
      <c r="AB319" s="5"/>
      <c r="AC319" s="5"/>
      <c r="AD319" s="5"/>
      <c r="AE319" s="5"/>
      <c r="AF319" s="5"/>
      <c r="AG319" s="5"/>
      <c r="AH319" s="5"/>
      <c r="AI319" s="5"/>
    </row>
    <row r="320" spans="1:35" ht="15.75" customHeight="1">
      <c r="A320" s="5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5"/>
      <c r="T320" s="5"/>
      <c r="U320" s="104"/>
      <c r="V320" s="5"/>
      <c r="W320" s="5"/>
      <c r="X320" s="5"/>
      <c r="Y320" s="5"/>
      <c r="Z320" s="7"/>
      <c r="AA320" s="5"/>
      <c r="AB320" s="5"/>
      <c r="AC320" s="5"/>
      <c r="AD320" s="5"/>
      <c r="AE320" s="5"/>
      <c r="AF320" s="5"/>
      <c r="AG320" s="5"/>
      <c r="AH320" s="5"/>
      <c r="AI320" s="5"/>
    </row>
    <row r="321" spans="1:35" ht="15.75" customHeight="1">
      <c r="A321" s="5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5"/>
      <c r="T321" s="5"/>
      <c r="U321" s="104"/>
      <c r="V321" s="5"/>
      <c r="W321" s="5"/>
      <c r="X321" s="5"/>
      <c r="Y321" s="5"/>
      <c r="Z321" s="7"/>
      <c r="AA321" s="5"/>
      <c r="AB321" s="5"/>
      <c r="AC321" s="5"/>
      <c r="AD321" s="5"/>
      <c r="AE321" s="5"/>
      <c r="AF321" s="5"/>
      <c r="AG321" s="5"/>
      <c r="AH321" s="5"/>
      <c r="AI321" s="5"/>
    </row>
    <row r="322" spans="1:35" ht="15.75" customHeight="1">
      <c r="A322" s="5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5"/>
      <c r="T322" s="5"/>
      <c r="U322" s="104"/>
      <c r="V322" s="5"/>
      <c r="W322" s="5"/>
      <c r="X322" s="5"/>
      <c r="Y322" s="5"/>
      <c r="Z322" s="7"/>
      <c r="AA322" s="5"/>
      <c r="AB322" s="5"/>
      <c r="AC322" s="5"/>
      <c r="AD322" s="5"/>
      <c r="AE322" s="5"/>
      <c r="AF322" s="5"/>
      <c r="AG322" s="5"/>
      <c r="AH322" s="5"/>
      <c r="AI322" s="5"/>
    </row>
    <row r="323" spans="1:35" ht="15.75" customHeight="1">
      <c r="A323" s="5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5"/>
      <c r="T323" s="5"/>
      <c r="U323" s="104"/>
      <c r="V323" s="5"/>
      <c r="W323" s="5"/>
      <c r="X323" s="5"/>
      <c r="Y323" s="5"/>
      <c r="Z323" s="7"/>
      <c r="AA323" s="5"/>
      <c r="AB323" s="5"/>
      <c r="AC323" s="5"/>
      <c r="AD323" s="5"/>
      <c r="AE323" s="5"/>
      <c r="AF323" s="5"/>
      <c r="AG323" s="5"/>
      <c r="AH323" s="5"/>
      <c r="AI323" s="5"/>
    </row>
    <row r="324" spans="1:35" ht="15.75" customHeight="1">
      <c r="A324" s="5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5"/>
      <c r="T324" s="5"/>
      <c r="U324" s="104"/>
      <c r="V324" s="5"/>
      <c r="W324" s="5"/>
      <c r="X324" s="5"/>
      <c r="Y324" s="5"/>
      <c r="Z324" s="7"/>
      <c r="AA324" s="5"/>
      <c r="AB324" s="5"/>
      <c r="AC324" s="5"/>
      <c r="AD324" s="5"/>
      <c r="AE324" s="5"/>
      <c r="AF324" s="5"/>
      <c r="AG324" s="5"/>
      <c r="AH324" s="5"/>
      <c r="AI324" s="5"/>
    </row>
    <row r="325" spans="1:35" ht="15.75" customHeight="1">
      <c r="A325" s="5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5"/>
      <c r="T325" s="5"/>
      <c r="U325" s="104"/>
      <c r="V325" s="5"/>
      <c r="W325" s="5"/>
      <c r="X325" s="5"/>
      <c r="Y325" s="5"/>
      <c r="Z325" s="7"/>
      <c r="AA325" s="5"/>
      <c r="AB325" s="5"/>
      <c r="AC325" s="5"/>
      <c r="AD325" s="5"/>
      <c r="AE325" s="5"/>
      <c r="AF325" s="5"/>
      <c r="AG325" s="5"/>
      <c r="AH325" s="5"/>
      <c r="AI325" s="5"/>
    </row>
    <row r="326" spans="1:35" ht="15.75" customHeight="1">
      <c r="A326" s="5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5"/>
      <c r="T326" s="5"/>
      <c r="U326" s="104"/>
      <c r="V326" s="5"/>
      <c r="W326" s="5"/>
      <c r="X326" s="5"/>
      <c r="Y326" s="5"/>
      <c r="Z326" s="7"/>
      <c r="AA326" s="5"/>
      <c r="AB326" s="5"/>
      <c r="AC326" s="5"/>
      <c r="AD326" s="5"/>
      <c r="AE326" s="5"/>
      <c r="AF326" s="5"/>
      <c r="AG326" s="5"/>
      <c r="AH326" s="5"/>
      <c r="AI326" s="5"/>
    </row>
    <row r="327" spans="1:35" ht="15.75" customHeight="1">
      <c r="A327" s="5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5"/>
      <c r="T327" s="5"/>
      <c r="U327" s="104"/>
      <c r="V327" s="5"/>
      <c r="W327" s="5"/>
      <c r="X327" s="5"/>
      <c r="Y327" s="5"/>
      <c r="Z327" s="7"/>
      <c r="AA327" s="5"/>
      <c r="AB327" s="5"/>
      <c r="AC327" s="5"/>
      <c r="AD327" s="5"/>
      <c r="AE327" s="5"/>
      <c r="AF327" s="5"/>
      <c r="AG327" s="5"/>
      <c r="AH327" s="5"/>
      <c r="AI327" s="5"/>
    </row>
    <row r="328" spans="1:35" ht="15.75" customHeight="1">
      <c r="A328" s="5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5"/>
      <c r="T328" s="5"/>
      <c r="U328" s="104"/>
      <c r="V328" s="5"/>
      <c r="W328" s="5"/>
      <c r="X328" s="5"/>
      <c r="Y328" s="5"/>
      <c r="Z328" s="7"/>
      <c r="AA328" s="5"/>
      <c r="AB328" s="5"/>
      <c r="AC328" s="5"/>
      <c r="AD328" s="5"/>
      <c r="AE328" s="5"/>
      <c r="AF328" s="5"/>
      <c r="AG328" s="5"/>
      <c r="AH328" s="5"/>
      <c r="AI328" s="5"/>
    </row>
    <row r="329" spans="1:35" ht="15.75" customHeight="1">
      <c r="A329" s="5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5"/>
      <c r="T329" s="5"/>
      <c r="U329" s="104"/>
      <c r="V329" s="5"/>
      <c r="W329" s="5"/>
      <c r="X329" s="5"/>
      <c r="Y329" s="5"/>
      <c r="Z329" s="7"/>
      <c r="AA329" s="5"/>
      <c r="AB329" s="5"/>
      <c r="AC329" s="5"/>
      <c r="AD329" s="5"/>
      <c r="AE329" s="5"/>
      <c r="AF329" s="5"/>
      <c r="AG329" s="5"/>
      <c r="AH329" s="5"/>
      <c r="AI329" s="5"/>
    </row>
    <row r="330" spans="1:35" ht="15.75" customHeight="1">
      <c r="A330" s="5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5"/>
      <c r="T330" s="5"/>
      <c r="U330" s="104"/>
      <c r="V330" s="5"/>
      <c r="W330" s="5"/>
      <c r="X330" s="5"/>
      <c r="Y330" s="5"/>
      <c r="Z330" s="7"/>
      <c r="AA330" s="5"/>
      <c r="AB330" s="5"/>
      <c r="AC330" s="5"/>
      <c r="AD330" s="5"/>
      <c r="AE330" s="5"/>
      <c r="AF330" s="5"/>
      <c r="AG330" s="5"/>
      <c r="AH330" s="5"/>
      <c r="AI330" s="5"/>
    </row>
    <row r="331" spans="1:35" ht="15.75" customHeight="1">
      <c r="A331" s="5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5"/>
      <c r="T331" s="5"/>
      <c r="U331" s="104"/>
      <c r="V331" s="5"/>
      <c r="W331" s="5"/>
      <c r="X331" s="5"/>
      <c r="Y331" s="5"/>
      <c r="Z331" s="7"/>
      <c r="AA331" s="5"/>
      <c r="AB331" s="5"/>
      <c r="AC331" s="5"/>
      <c r="AD331" s="5"/>
      <c r="AE331" s="5"/>
      <c r="AF331" s="5"/>
      <c r="AG331" s="5"/>
      <c r="AH331" s="5"/>
      <c r="AI331" s="5"/>
    </row>
    <row r="332" spans="1:35" ht="15.75" customHeight="1">
      <c r="A332" s="5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5"/>
      <c r="T332" s="5"/>
      <c r="U332" s="104"/>
      <c r="V332" s="5"/>
      <c r="W332" s="5"/>
      <c r="X332" s="5"/>
      <c r="Y332" s="5"/>
      <c r="Z332" s="7"/>
      <c r="AA332" s="5"/>
      <c r="AB332" s="5"/>
      <c r="AC332" s="5"/>
      <c r="AD332" s="5"/>
      <c r="AE332" s="5"/>
      <c r="AF332" s="5"/>
      <c r="AG332" s="5"/>
      <c r="AH332" s="5"/>
      <c r="AI332" s="5"/>
    </row>
    <row r="333" spans="1:35" ht="15.75" customHeight="1">
      <c r="A333" s="5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5"/>
      <c r="T333" s="5"/>
      <c r="U333" s="104"/>
      <c r="V333" s="5"/>
      <c r="W333" s="5"/>
      <c r="X333" s="5"/>
      <c r="Y333" s="5"/>
      <c r="Z333" s="7"/>
      <c r="AA333" s="5"/>
      <c r="AB333" s="5"/>
      <c r="AC333" s="5"/>
      <c r="AD333" s="5"/>
      <c r="AE333" s="5"/>
      <c r="AF333" s="5"/>
      <c r="AG333" s="5"/>
      <c r="AH333" s="5"/>
      <c r="AI333" s="5"/>
    </row>
    <row r="334" spans="1:35" ht="15.75" customHeight="1">
      <c r="A334" s="5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5"/>
      <c r="T334" s="5"/>
      <c r="U334" s="104"/>
      <c r="V334" s="5"/>
      <c r="W334" s="5"/>
      <c r="X334" s="5"/>
      <c r="Y334" s="5"/>
      <c r="Z334" s="7"/>
      <c r="AA334" s="5"/>
      <c r="AB334" s="5"/>
      <c r="AC334" s="5"/>
      <c r="AD334" s="5"/>
      <c r="AE334" s="5"/>
      <c r="AF334" s="5"/>
      <c r="AG334" s="5"/>
      <c r="AH334" s="5"/>
      <c r="AI334" s="5"/>
    </row>
    <row r="335" spans="1:35" ht="15.75" customHeight="1">
      <c r="A335" s="5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5"/>
      <c r="T335" s="5"/>
      <c r="U335" s="104"/>
      <c r="V335" s="5"/>
      <c r="W335" s="5"/>
      <c r="X335" s="5"/>
      <c r="Y335" s="5"/>
      <c r="Z335" s="7"/>
      <c r="AA335" s="5"/>
      <c r="AB335" s="5"/>
      <c r="AC335" s="5"/>
      <c r="AD335" s="5"/>
      <c r="AE335" s="5"/>
      <c r="AF335" s="5"/>
      <c r="AG335" s="5"/>
      <c r="AH335" s="5"/>
      <c r="AI335" s="5"/>
    </row>
    <row r="336" spans="1:35" ht="15.75" customHeight="1">
      <c r="A336" s="5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5"/>
      <c r="T336" s="5"/>
      <c r="U336" s="104"/>
      <c r="V336" s="5"/>
      <c r="W336" s="5"/>
      <c r="X336" s="5"/>
      <c r="Y336" s="5"/>
      <c r="Z336" s="7"/>
      <c r="AA336" s="5"/>
      <c r="AB336" s="5"/>
      <c r="AC336" s="5"/>
      <c r="AD336" s="5"/>
      <c r="AE336" s="5"/>
      <c r="AF336" s="5"/>
      <c r="AG336" s="5"/>
      <c r="AH336" s="5"/>
      <c r="AI336" s="5"/>
    </row>
    <row r="337" spans="1:35" ht="15.75" customHeight="1">
      <c r="A337" s="5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5"/>
      <c r="T337" s="5"/>
      <c r="U337" s="104"/>
      <c r="V337" s="5"/>
      <c r="W337" s="5"/>
      <c r="X337" s="5"/>
      <c r="Y337" s="5"/>
      <c r="Z337" s="7"/>
      <c r="AA337" s="5"/>
      <c r="AB337" s="5"/>
      <c r="AC337" s="5"/>
      <c r="AD337" s="5"/>
      <c r="AE337" s="5"/>
      <c r="AF337" s="5"/>
      <c r="AG337" s="5"/>
      <c r="AH337" s="5"/>
      <c r="AI337" s="5"/>
    </row>
    <row r="338" spans="1:35" ht="15.75" customHeight="1">
      <c r="A338" s="5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5"/>
      <c r="T338" s="5"/>
      <c r="U338" s="104"/>
      <c r="V338" s="5"/>
      <c r="W338" s="5"/>
      <c r="X338" s="5"/>
      <c r="Y338" s="5"/>
      <c r="Z338" s="7"/>
      <c r="AA338" s="5"/>
      <c r="AB338" s="5"/>
      <c r="AC338" s="5"/>
      <c r="AD338" s="5"/>
      <c r="AE338" s="5"/>
      <c r="AF338" s="5"/>
      <c r="AG338" s="5"/>
      <c r="AH338" s="5"/>
      <c r="AI338" s="5"/>
    </row>
    <row r="339" spans="1:35" ht="15.75" customHeight="1">
      <c r="A339" s="5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5"/>
      <c r="T339" s="5"/>
      <c r="U339" s="104"/>
      <c r="V339" s="5"/>
      <c r="W339" s="5"/>
      <c r="X339" s="5"/>
      <c r="Y339" s="5"/>
      <c r="Z339" s="7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ht="15.75" customHeight="1">
      <c r="A340" s="5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5"/>
      <c r="T340" s="5"/>
      <c r="U340" s="104"/>
      <c r="V340" s="5"/>
      <c r="W340" s="5"/>
      <c r="X340" s="5"/>
      <c r="Y340" s="5"/>
      <c r="Z340" s="7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 ht="15.75" customHeight="1">
      <c r="A341" s="5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5"/>
      <c r="T341" s="5"/>
      <c r="U341" s="104"/>
      <c r="V341" s="5"/>
      <c r="W341" s="5"/>
      <c r="X341" s="5"/>
      <c r="Y341" s="5"/>
      <c r="Z341" s="7"/>
      <c r="AA341" s="5"/>
      <c r="AB341" s="5"/>
      <c r="AC341" s="5"/>
      <c r="AD341" s="5"/>
      <c r="AE341" s="5"/>
      <c r="AF341" s="5"/>
      <c r="AG341" s="5"/>
      <c r="AH341" s="5"/>
      <c r="AI341" s="5"/>
    </row>
    <row r="342" spans="1:35" ht="15.75" customHeight="1">
      <c r="A342" s="5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5"/>
      <c r="T342" s="5"/>
      <c r="U342" s="104"/>
      <c r="V342" s="5"/>
      <c r="W342" s="5"/>
      <c r="X342" s="5"/>
      <c r="Y342" s="5"/>
      <c r="Z342" s="7"/>
      <c r="AA342" s="5"/>
      <c r="AB342" s="5"/>
      <c r="AC342" s="5"/>
      <c r="AD342" s="5"/>
      <c r="AE342" s="5"/>
      <c r="AF342" s="5"/>
      <c r="AG342" s="5"/>
      <c r="AH342" s="5"/>
      <c r="AI342" s="5"/>
    </row>
    <row r="343" spans="1:35" ht="15.75" customHeight="1">
      <c r="A343" s="5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5"/>
      <c r="T343" s="5"/>
      <c r="U343" s="104"/>
      <c r="V343" s="5"/>
      <c r="W343" s="5"/>
      <c r="X343" s="5"/>
      <c r="Y343" s="5"/>
      <c r="Z343" s="7"/>
      <c r="AA343" s="5"/>
      <c r="AB343" s="5"/>
      <c r="AC343" s="5"/>
      <c r="AD343" s="5"/>
      <c r="AE343" s="5"/>
      <c r="AF343" s="5"/>
      <c r="AG343" s="5"/>
      <c r="AH343" s="5"/>
      <c r="AI343" s="5"/>
    </row>
    <row r="344" spans="1:35" ht="15.75" customHeight="1">
      <c r="A344" s="5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5"/>
      <c r="T344" s="5"/>
      <c r="U344" s="104"/>
      <c r="V344" s="5"/>
      <c r="W344" s="5"/>
      <c r="X344" s="5"/>
      <c r="Y344" s="5"/>
      <c r="Z344" s="7"/>
      <c r="AA344" s="5"/>
      <c r="AB344" s="5"/>
      <c r="AC344" s="5"/>
      <c r="AD344" s="5"/>
      <c r="AE344" s="5"/>
      <c r="AF344" s="5"/>
      <c r="AG344" s="5"/>
      <c r="AH344" s="5"/>
      <c r="AI344" s="5"/>
    </row>
    <row r="345" spans="1:35" ht="15.75" customHeight="1">
      <c r="A345" s="5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5"/>
      <c r="T345" s="5"/>
      <c r="U345" s="104"/>
      <c r="V345" s="5"/>
      <c r="W345" s="5"/>
      <c r="X345" s="5"/>
      <c r="Y345" s="5"/>
      <c r="Z345" s="7"/>
      <c r="AA345" s="5"/>
      <c r="AB345" s="5"/>
      <c r="AC345" s="5"/>
      <c r="AD345" s="5"/>
      <c r="AE345" s="5"/>
      <c r="AF345" s="5"/>
      <c r="AG345" s="5"/>
      <c r="AH345" s="5"/>
      <c r="AI345" s="5"/>
    </row>
    <row r="346" spans="1:35" ht="15.75" customHeight="1">
      <c r="A346" s="5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5"/>
      <c r="T346" s="5"/>
      <c r="U346" s="104"/>
      <c r="V346" s="5"/>
      <c r="W346" s="5"/>
      <c r="X346" s="5"/>
      <c r="Y346" s="5"/>
      <c r="Z346" s="7"/>
      <c r="AA346" s="5"/>
      <c r="AB346" s="5"/>
      <c r="AC346" s="5"/>
      <c r="AD346" s="5"/>
      <c r="AE346" s="5"/>
      <c r="AF346" s="5"/>
      <c r="AG346" s="5"/>
      <c r="AH346" s="5"/>
      <c r="AI346" s="5"/>
    </row>
    <row r="347" spans="1:35" ht="15.75" customHeight="1">
      <c r="A347" s="5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5"/>
      <c r="T347" s="5"/>
      <c r="U347" s="104"/>
      <c r="V347" s="5"/>
      <c r="W347" s="5"/>
      <c r="X347" s="5"/>
      <c r="Y347" s="5"/>
      <c r="Z347" s="7"/>
      <c r="AA347" s="5"/>
      <c r="AB347" s="5"/>
      <c r="AC347" s="5"/>
      <c r="AD347" s="5"/>
      <c r="AE347" s="5"/>
      <c r="AF347" s="5"/>
      <c r="AG347" s="5"/>
      <c r="AH347" s="5"/>
      <c r="AI347" s="5"/>
    </row>
    <row r="348" spans="1:35" ht="15.75" customHeight="1">
      <c r="A348" s="5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5"/>
      <c r="T348" s="5"/>
      <c r="U348" s="104"/>
      <c r="V348" s="5"/>
      <c r="W348" s="5"/>
      <c r="X348" s="5"/>
      <c r="Y348" s="5"/>
      <c r="Z348" s="7"/>
      <c r="AA348" s="5"/>
      <c r="AB348" s="5"/>
      <c r="AC348" s="5"/>
      <c r="AD348" s="5"/>
      <c r="AE348" s="5"/>
      <c r="AF348" s="5"/>
      <c r="AG348" s="5"/>
      <c r="AH348" s="5"/>
      <c r="AI348" s="5"/>
    </row>
    <row r="349" spans="1:35" ht="15.75" customHeight="1">
      <c r="A349" s="5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5"/>
      <c r="T349" s="5"/>
      <c r="U349" s="104"/>
      <c r="V349" s="5"/>
      <c r="W349" s="5"/>
      <c r="X349" s="5"/>
      <c r="Y349" s="5"/>
      <c r="Z349" s="7"/>
      <c r="AA349" s="5"/>
      <c r="AB349" s="5"/>
      <c r="AC349" s="5"/>
      <c r="AD349" s="5"/>
      <c r="AE349" s="5"/>
      <c r="AF349" s="5"/>
      <c r="AG349" s="5"/>
      <c r="AH349" s="5"/>
      <c r="AI349" s="5"/>
    </row>
    <row r="350" spans="1:35" ht="15.75" customHeight="1">
      <c r="A350" s="5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5"/>
      <c r="T350" s="5"/>
      <c r="U350" s="104"/>
      <c r="V350" s="5"/>
      <c r="W350" s="5"/>
      <c r="X350" s="5"/>
      <c r="Y350" s="5"/>
      <c r="Z350" s="7"/>
      <c r="AA350" s="5"/>
      <c r="AB350" s="5"/>
      <c r="AC350" s="5"/>
      <c r="AD350" s="5"/>
      <c r="AE350" s="5"/>
      <c r="AF350" s="5"/>
      <c r="AG350" s="5"/>
      <c r="AH350" s="5"/>
      <c r="AI350" s="5"/>
    </row>
    <row r="351" spans="1:35" ht="15.75" customHeight="1">
      <c r="A351" s="5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5"/>
      <c r="T351" s="5"/>
      <c r="U351" s="104"/>
      <c r="V351" s="5"/>
      <c r="W351" s="5"/>
      <c r="X351" s="5"/>
      <c r="Y351" s="5"/>
      <c r="Z351" s="7"/>
      <c r="AA351" s="5"/>
      <c r="AB351" s="5"/>
      <c r="AC351" s="5"/>
      <c r="AD351" s="5"/>
      <c r="AE351" s="5"/>
      <c r="AF351" s="5"/>
      <c r="AG351" s="5"/>
      <c r="AH351" s="5"/>
      <c r="AI351" s="5"/>
    </row>
    <row r="352" spans="1:35" ht="15.75" customHeight="1">
      <c r="A352" s="5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5"/>
      <c r="T352" s="5"/>
      <c r="U352" s="104"/>
      <c r="V352" s="5"/>
      <c r="W352" s="5"/>
      <c r="X352" s="5"/>
      <c r="Y352" s="5"/>
      <c r="Z352" s="7"/>
      <c r="AA352" s="5"/>
      <c r="AB352" s="5"/>
      <c r="AC352" s="5"/>
      <c r="AD352" s="5"/>
      <c r="AE352" s="5"/>
      <c r="AF352" s="5"/>
      <c r="AG352" s="5"/>
      <c r="AH352" s="5"/>
      <c r="AI352" s="5"/>
    </row>
    <row r="353" spans="1:35" ht="15.75" customHeight="1">
      <c r="A353" s="5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5"/>
      <c r="T353" s="5"/>
      <c r="U353" s="104"/>
      <c r="V353" s="5"/>
      <c r="W353" s="5"/>
      <c r="X353" s="5"/>
      <c r="Y353" s="5"/>
      <c r="Z353" s="7"/>
      <c r="AA353" s="5"/>
      <c r="AB353" s="5"/>
      <c r="AC353" s="5"/>
      <c r="AD353" s="5"/>
      <c r="AE353" s="5"/>
      <c r="AF353" s="5"/>
      <c r="AG353" s="5"/>
      <c r="AH353" s="5"/>
      <c r="AI353" s="5"/>
    </row>
    <row r="354" spans="1:35" ht="15.75" customHeight="1">
      <c r="A354" s="5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5"/>
      <c r="T354" s="5"/>
      <c r="U354" s="104"/>
      <c r="V354" s="5"/>
      <c r="W354" s="5"/>
      <c r="X354" s="5"/>
      <c r="Y354" s="5"/>
      <c r="Z354" s="7"/>
      <c r="AA354" s="5"/>
      <c r="AB354" s="5"/>
      <c r="AC354" s="5"/>
      <c r="AD354" s="5"/>
      <c r="AE354" s="5"/>
      <c r="AF354" s="5"/>
      <c r="AG354" s="5"/>
      <c r="AH354" s="5"/>
      <c r="AI354" s="5"/>
    </row>
    <row r="355" spans="1:35" ht="15.75" customHeight="1">
      <c r="A355" s="5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5"/>
      <c r="T355" s="5"/>
      <c r="U355" s="104"/>
      <c r="V355" s="5"/>
      <c r="W355" s="5"/>
      <c r="X355" s="5"/>
      <c r="Y355" s="5"/>
      <c r="Z355" s="7"/>
      <c r="AA355" s="5"/>
      <c r="AB355" s="5"/>
      <c r="AC355" s="5"/>
      <c r="AD355" s="5"/>
      <c r="AE355" s="5"/>
      <c r="AF355" s="5"/>
      <c r="AG355" s="5"/>
      <c r="AH355" s="5"/>
      <c r="AI355" s="5"/>
    </row>
    <row r="356" spans="1:35" ht="15.75" customHeight="1">
      <c r="A356" s="5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5"/>
      <c r="T356" s="5"/>
      <c r="U356" s="104"/>
      <c r="V356" s="5"/>
      <c r="W356" s="5"/>
      <c r="X356" s="5"/>
      <c r="Y356" s="5"/>
      <c r="Z356" s="7"/>
      <c r="AA356" s="5"/>
      <c r="AB356" s="5"/>
      <c r="AC356" s="5"/>
      <c r="AD356" s="5"/>
      <c r="AE356" s="5"/>
      <c r="AF356" s="5"/>
      <c r="AG356" s="5"/>
      <c r="AH356" s="5"/>
      <c r="AI356" s="5"/>
    </row>
    <row r="357" spans="1:35" ht="15.75" customHeight="1">
      <c r="A357" s="5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5"/>
      <c r="T357" s="5"/>
      <c r="U357" s="104"/>
      <c r="V357" s="5"/>
      <c r="W357" s="5"/>
      <c r="X357" s="5"/>
      <c r="Y357" s="5"/>
      <c r="Z357" s="7"/>
      <c r="AA357" s="5"/>
      <c r="AB357" s="5"/>
      <c r="AC357" s="5"/>
      <c r="AD357" s="5"/>
      <c r="AE357" s="5"/>
      <c r="AF357" s="5"/>
      <c r="AG357" s="5"/>
      <c r="AH357" s="5"/>
      <c r="AI357" s="5"/>
    </row>
    <row r="358" spans="1:35" ht="15.75" customHeight="1">
      <c r="A358" s="5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5"/>
      <c r="T358" s="5"/>
      <c r="U358" s="104"/>
      <c r="V358" s="5"/>
      <c r="W358" s="5"/>
      <c r="X358" s="5"/>
      <c r="Y358" s="5"/>
      <c r="Z358" s="7"/>
      <c r="AA358" s="5"/>
      <c r="AB358" s="5"/>
      <c r="AC358" s="5"/>
      <c r="AD358" s="5"/>
      <c r="AE358" s="5"/>
      <c r="AF358" s="5"/>
      <c r="AG358" s="5"/>
      <c r="AH358" s="5"/>
      <c r="AI358" s="5"/>
    </row>
    <row r="359" spans="1:35" ht="15.75" customHeight="1">
      <c r="A359" s="5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5"/>
      <c r="T359" s="5"/>
      <c r="U359" s="104"/>
      <c r="V359" s="5"/>
      <c r="W359" s="5"/>
      <c r="X359" s="5"/>
      <c r="Y359" s="5"/>
      <c r="Z359" s="7"/>
      <c r="AA359" s="5"/>
      <c r="AB359" s="5"/>
      <c r="AC359" s="5"/>
      <c r="AD359" s="5"/>
      <c r="AE359" s="5"/>
      <c r="AF359" s="5"/>
      <c r="AG359" s="5"/>
      <c r="AH359" s="5"/>
      <c r="AI359" s="5"/>
    </row>
    <row r="360" spans="1:35" ht="15.75" customHeight="1">
      <c r="A360" s="5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5"/>
      <c r="T360" s="5"/>
      <c r="U360" s="104"/>
      <c r="V360" s="5"/>
      <c r="W360" s="5"/>
      <c r="X360" s="5"/>
      <c r="Y360" s="5"/>
      <c r="Z360" s="7"/>
      <c r="AA360" s="5"/>
      <c r="AB360" s="5"/>
      <c r="AC360" s="5"/>
      <c r="AD360" s="5"/>
      <c r="AE360" s="5"/>
      <c r="AF360" s="5"/>
      <c r="AG360" s="5"/>
      <c r="AH360" s="5"/>
      <c r="AI360" s="5"/>
    </row>
    <row r="361" spans="1:35" ht="15.75" customHeight="1">
      <c r="A361" s="5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5"/>
      <c r="T361" s="5"/>
      <c r="U361" s="104"/>
      <c r="V361" s="5"/>
      <c r="W361" s="5"/>
      <c r="X361" s="5"/>
      <c r="Y361" s="5"/>
      <c r="Z361" s="7"/>
      <c r="AA361" s="5"/>
      <c r="AB361" s="5"/>
      <c r="AC361" s="5"/>
      <c r="AD361" s="5"/>
      <c r="AE361" s="5"/>
      <c r="AF361" s="5"/>
      <c r="AG361" s="5"/>
      <c r="AH361" s="5"/>
      <c r="AI361" s="5"/>
    </row>
    <row r="362" spans="1:35" ht="15.75" customHeight="1">
      <c r="A362" s="5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5"/>
      <c r="T362" s="5"/>
      <c r="U362" s="104"/>
      <c r="V362" s="5"/>
      <c r="W362" s="5"/>
      <c r="X362" s="5"/>
      <c r="Y362" s="5"/>
      <c r="Z362" s="7"/>
      <c r="AA362" s="5"/>
      <c r="AB362" s="5"/>
      <c r="AC362" s="5"/>
      <c r="AD362" s="5"/>
      <c r="AE362" s="5"/>
      <c r="AF362" s="5"/>
      <c r="AG362" s="5"/>
      <c r="AH362" s="5"/>
      <c r="AI362" s="5"/>
    </row>
    <row r="363" spans="1:35" ht="15.75" customHeight="1">
      <c r="A363" s="5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5"/>
      <c r="T363" s="5"/>
      <c r="U363" s="104"/>
      <c r="V363" s="5"/>
      <c r="W363" s="5"/>
      <c r="X363" s="5"/>
      <c r="Y363" s="5"/>
      <c r="Z363" s="7"/>
      <c r="AA363" s="5"/>
      <c r="AB363" s="5"/>
      <c r="AC363" s="5"/>
      <c r="AD363" s="5"/>
      <c r="AE363" s="5"/>
      <c r="AF363" s="5"/>
      <c r="AG363" s="5"/>
      <c r="AH363" s="5"/>
      <c r="AI363" s="5"/>
    </row>
    <row r="364" spans="1:35" ht="15.75" customHeight="1">
      <c r="A364" s="5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5"/>
      <c r="T364" s="5"/>
      <c r="U364" s="104"/>
      <c r="V364" s="5"/>
      <c r="W364" s="5"/>
      <c r="X364" s="5"/>
      <c r="Y364" s="5"/>
      <c r="Z364" s="7"/>
      <c r="AA364" s="5"/>
      <c r="AB364" s="5"/>
      <c r="AC364" s="5"/>
      <c r="AD364" s="5"/>
      <c r="AE364" s="5"/>
      <c r="AF364" s="5"/>
      <c r="AG364" s="5"/>
      <c r="AH364" s="5"/>
      <c r="AI364" s="5"/>
    </row>
    <row r="365" spans="1:35" ht="15.75" customHeight="1">
      <c r="A365" s="5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5"/>
      <c r="T365" s="5"/>
      <c r="U365" s="104"/>
      <c r="V365" s="5"/>
      <c r="W365" s="5"/>
      <c r="X365" s="5"/>
      <c r="Y365" s="5"/>
      <c r="Z365" s="7"/>
      <c r="AA365" s="5"/>
      <c r="AB365" s="5"/>
      <c r="AC365" s="5"/>
      <c r="AD365" s="5"/>
      <c r="AE365" s="5"/>
      <c r="AF365" s="5"/>
      <c r="AG365" s="5"/>
      <c r="AH365" s="5"/>
      <c r="AI365" s="5"/>
    </row>
    <row r="366" spans="1:35" ht="15.75" customHeight="1">
      <c r="A366" s="5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5"/>
      <c r="T366" s="5"/>
      <c r="U366" s="104"/>
      <c r="V366" s="5"/>
      <c r="W366" s="5"/>
      <c r="X366" s="5"/>
      <c r="Y366" s="5"/>
      <c r="Z366" s="7"/>
      <c r="AA366" s="5"/>
      <c r="AB366" s="5"/>
      <c r="AC366" s="5"/>
      <c r="AD366" s="5"/>
      <c r="AE366" s="5"/>
      <c r="AF366" s="5"/>
      <c r="AG366" s="5"/>
      <c r="AH366" s="5"/>
      <c r="AI366" s="5"/>
    </row>
    <row r="367" spans="1:35" ht="15.75" customHeight="1">
      <c r="A367" s="5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5"/>
      <c r="T367" s="5"/>
      <c r="U367" s="104"/>
      <c r="V367" s="5"/>
      <c r="W367" s="5"/>
      <c r="X367" s="5"/>
      <c r="Y367" s="5"/>
      <c r="Z367" s="7"/>
      <c r="AA367" s="5"/>
      <c r="AB367" s="5"/>
      <c r="AC367" s="5"/>
      <c r="AD367" s="5"/>
      <c r="AE367" s="5"/>
      <c r="AF367" s="5"/>
      <c r="AG367" s="5"/>
      <c r="AH367" s="5"/>
      <c r="AI367" s="5"/>
    </row>
    <row r="368" spans="1:35" ht="15.75" customHeight="1">
      <c r="A368" s="5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5"/>
      <c r="T368" s="5"/>
      <c r="U368" s="104"/>
      <c r="V368" s="5"/>
      <c r="W368" s="5"/>
      <c r="X368" s="5"/>
      <c r="Y368" s="5"/>
      <c r="Z368" s="7"/>
      <c r="AA368" s="5"/>
      <c r="AB368" s="5"/>
      <c r="AC368" s="5"/>
      <c r="AD368" s="5"/>
      <c r="AE368" s="5"/>
      <c r="AF368" s="5"/>
      <c r="AG368" s="5"/>
      <c r="AH368" s="5"/>
      <c r="AI368" s="5"/>
    </row>
    <row r="369" spans="1:35" ht="15.75" customHeight="1">
      <c r="A369" s="5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5"/>
      <c r="T369" s="5"/>
      <c r="U369" s="104"/>
      <c r="V369" s="5"/>
      <c r="W369" s="5"/>
      <c r="X369" s="5"/>
      <c r="Y369" s="5"/>
      <c r="Z369" s="7"/>
      <c r="AA369" s="5"/>
      <c r="AB369" s="5"/>
      <c r="AC369" s="5"/>
      <c r="AD369" s="5"/>
      <c r="AE369" s="5"/>
      <c r="AF369" s="5"/>
      <c r="AG369" s="5"/>
      <c r="AH369" s="5"/>
      <c r="AI369" s="5"/>
    </row>
    <row r="370" spans="1:35" ht="15.75" customHeight="1">
      <c r="A370" s="5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5"/>
      <c r="T370" s="5"/>
      <c r="U370" s="104"/>
      <c r="V370" s="5"/>
      <c r="W370" s="5"/>
      <c r="X370" s="5"/>
      <c r="Y370" s="5"/>
      <c r="Z370" s="7"/>
      <c r="AA370" s="5"/>
      <c r="AB370" s="5"/>
      <c r="AC370" s="5"/>
      <c r="AD370" s="5"/>
      <c r="AE370" s="5"/>
      <c r="AF370" s="5"/>
      <c r="AG370" s="5"/>
      <c r="AH370" s="5"/>
      <c r="AI370" s="5"/>
    </row>
    <row r="371" spans="1:35" ht="15.75" customHeight="1">
      <c r="A371" s="5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5"/>
      <c r="T371" s="5"/>
      <c r="U371" s="104"/>
      <c r="V371" s="5"/>
      <c r="W371" s="5"/>
      <c r="X371" s="5"/>
      <c r="Y371" s="5"/>
      <c r="Z371" s="7"/>
      <c r="AA371" s="5"/>
      <c r="AB371" s="5"/>
      <c r="AC371" s="5"/>
      <c r="AD371" s="5"/>
      <c r="AE371" s="5"/>
      <c r="AF371" s="5"/>
      <c r="AG371" s="5"/>
      <c r="AH371" s="5"/>
      <c r="AI371" s="5"/>
    </row>
    <row r="372" spans="1:35" ht="15.75" customHeight="1">
      <c r="A372" s="5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5"/>
      <c r="T372" s="5"/>
      <c r="U372" s="104"/>
      <c r="V372" s="5"/>
      <c r="W372" s="5"/>
      <c r="X372" s="5"/>
      <c r="Y372" s="5"/>
      <c r="Z372" s="7"/>
      <c r="AA372" s="5"/>
      <c r="AB372" s="5"/>
      <c r="AC372" s="5"/>
      <c r="AD372" s="5"/>
      <c r="AE372" s="5"/>
      <c r="AF372" s="5"/>
      <c r="AG372" s="5"/>
      <c r="AH372" s="5"/>
      <c r="AI372" s="5"/>
    </row>
    <row r="373" spans="1:35" ht="15.75" customHeight="1">
      <c r="A373" s="5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5"/>
      <c r="T373" s="5"/>
      <c r="U373" s="104"/>
      <c r="V373" s="5"/>
      <c r="W373" s="5"/>
      <c r="X373" s="5"/>
      <c r="Y373" s="5"/>
      <c r="Z373" s="7"/>
      <c r="AA373" s="5"/>
      <c r="AB373" s="5"/>
      <c r="AC373" s="5"/>
      <c r="AD373" s="5"/>
      <c r="AE373" s="5"/>
      <c r="AF373" s="5"/>
      <c r="AG373" s="5"/>
      <c r="AH373" s="5"/>
      <c r="AI373" s="5"/>
    </row>
    <row r="374" spans="1:35" ht="15.75" customHeight="1">
      <c r="A374" s="5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5"/>
      <c r="T374" s="5"/>
      <c r="U374" s="104"/>
      <c r="V374" s="5"/>
      <c r="W374" s="5"/>
      <c r="X374" s="5"/>
      <c r="Y374" s="5"/>
      <c r="Z374" s="7"/>
      <c r="AA374" s="5"/>
      <c r="AB374" s="5"/>
      <c r="AC374" s="5"/>
      <c r="AD374" s="5"/>
      <c r="AE374" s="5"/>
      <c r="AF374" s="5"/>
      <c r="AG374" s="5"/>
      <c r="AH374" s="5"/>
      <c r="AI374" s="5"/>
    </row>
    <row r="375" spans="1:35" ht="15.75" customHeight="1">
      <c r="A375" s="5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5"/>
      <c r="T375" s="5"/>
      <c r="U375" s="104"/>
      <c r="V375" s="5"/>
      <c r="W375" s="5"/>
      <c r="X375" s="5"/>
      <c r="Y375" s="5"/>
      <c r="Z375" s="7"/>
      <c r="AA375" s="5"/>
      <c r="AB375" s="5"/>
      <c r="AC375" s="5"/>
      <c r="AD375" s="5"/>
      <c r="AE375" s="5"/>
      <c r="AF375" s="5"/>
      <c r="AG375" s="5"/>
      <c r="AH375" s="5"/>
      <c r="AI375" s="5"/>
    </row>
    <row r="376" spans="1:35" ht="15.75" customHeight="1">
      <c r="A376" s="5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5"/>
      <c r="T376" s="5"/>
      <c r="U376" s="104"/>
      <c r="V376" s="5"/>
      <c r="W376" s="5"/>
      <c r="X376" s="5"/>
      <c r="Y376" s="5"/>
      <c r="Z376" s="7"/>
      <c r="AA376" s="5"/>
      <c r="AB376" s="5"/>
      <c r="AC376" s="5"/>
      <c r="AD376" s="5"/>
      <c r="AE376" s="5"/>
      <c r="AF376" s="5"/>
      <c r="AG376" s="5"/>
      <c r="AH376" s="5"/>
      <c r="AI376" s="5"/>
    </row>
    <row r="377" spans="1:35" ht="15.75" customHeight="1">
      <c r="A377" s="5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5"/>
      <c r="T377" s="5"/>
      <c r="U377" s="104"/>
      <c r="V377" s="5"/>
      <c r="W377" s="5"/>
      <c r="X377" s="5"/>
      <c r="Y377" s="5"/>
      <c r="Z377" s="7"/>
      <c r="AA377" s="5"/>
      <c r="AB377" s="5"/>
      <c r="AC377" s="5"/>
      <c r="AD377" s="5"/>
      <c r="AE377" s="5"/>
      <c r="AF377" s="5"/>
      <c r="AG377" s="5"/>
      <c r="AH377" s="5"/>
      <c r="AI377" s="5"/>
    </row>
    <row r="378" spans="1:35" ht="15.75" customHeight="1">
      <c r="A378" s="5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5"/>
      <c r="T378" s="5"/>
      <c r="U378" s="104"/>
      <c r="V378" s="5"/>
      <c r="W378" s="5"/>
      <c r="X378" s="5"/>
      <c r="Y378" s="5"/>
      <c r="Z378" s="7"/>
      <c r="AA378" s="5"/>
      <c r="AB378" s="5"/>
      <c r="AC378" s="5"/>
      <c r="AD378" s="5"/>
      <c r="AE378" s="5"/>
      <c r="AF378" s="5"/>
      <c r="AG378" s="5"/>
      <c r="AH378" s="5"/>
      <c r="AI378" s="5"/>
    </row>
    <row r="379" spans="1:35" ht="15.75" customHeight="1">
      <c r="A379" s="5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5"/>
      <c r="T379" s="5"/>
      <c r="U379" s="104"/>
      <c r="V379" s="5"/>
      <c r="W379" s="5"/>
      <c r="X379" s="5"/>
      <c r="Y379" s="5"/>
      <c r="Z379" s="7"/>
      <c r="AA379" s="5"/>
      <c r="AB379" s="5"/>
      <c r="AC379" s="5"/>
      <c r="AD379" s="5"/>
      <c r="AE379" s="5"/>
      <c r="AF379" s="5"/>
      <c r="AG379" s="5"/>
      <c r="AH379" s="5"/>
      <c r="AI379" s="5"/>
    </row>
    <row r="380" spans="1:35" ht="15.75" customHeight="1">
      <c r="A380" s="5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5"/>
      <c r="T380" s="5"/>
      <c r="U380" s="104"/>
      <c r="V380" s="5"/>
      <c r="W380" s="5"/>
      <c r="X380" s="5"/>
      <c r="Y380" s="5"/>
      <c r="Z380" s="7"/>
      <c r="AA380" s="5"/>
      <c r="AB380" s="5"/>
      <c r="AC380" s="5"/>
      <c r="AD380" s="5"/>
      <c r="AE380" s="5"/>
      <c r="AF380" s="5"/>
      <c r="AG380" s="5"/>
      <c r="AH380" s="5"/>
      <c r="AI380" s="5"/>
    </row>
    <row r="381" spans="1:35" ht="15.75" customHeight="1">
      <c r="A381" s="5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5"/>
      <c r="T381" s="5"/>
      <c r="U381" s="104"/>
      <c r="V381" s="5"/>
      <c r="W381" s="5"/>
      <c r="X381" s="5"/>
      <c r="Y381" s="5"/>
      <c r="Z381" s="7"/>
      <c r="AA381" s="5"/>
      <c r="AB381" s="5"/>
      <c r="AC381" s="5"/>
      <c r="AD381" s="5"/>
      <c r="AE381" s="5"/>
      <c r="AF381" s="5"/>
      <c r="AG381" s="5"/>
      <c r="AH381" s="5"/>
      <c r="AI381" s="5"/>
    </row>
    <row r="382" spans="1:35" ht="15.75" customHeight="1">
      <c r="A382" s="5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5"/>
      <c r="T382" s="5"/>
      <c r="U382" s="104"/>
      <c r="V382" s="5"/>
      <c r="W382" s="5"/>
      <c r="X382" s="5"/>
      <c r="Y382" s="5"/>
      <c r="Z382" s="7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ht="15.75" customHeight="1">
      <c r="A383" s="5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5"/>
      <c r="T383" s="5"/>
      <c r="U383" s="104"/>
      <c r="V383" s="5"/>
      <c r="W383" s="5"/>
      <c r="X383" s="5"/>
      <c r="Y383" s="5"/>
      <c r="Z383" s="7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 ht="15.75" customHeight="1">
      <c r="A384" s="5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5"/>
      <c r="T384" s="5"/>
      <c r="U384" s="104"/>
      <c r="V384" s="5"/>
      <c r="W384" s="5"/>
      <c r="X384" s="5"/>
      <c r="Y384" s="5"/>
      <c r="Z384" s="7"/>
      <c r="AA384" s="5"/>
      <c r="AB384" s="5"/>
      <c r="AC384" s="5"/>
      <c r="AD384" s="5"/>
      <c r="AE384" s="5"/>
      <c r="AF384" s="5"/>
      <c r="AG384" s="5"/>
      <c r="AH384" s="5"/>
      <c r="AI384" s="5"/>
    </row>
    <row r="385" spans="1:35" ht="15.75" customHeight="1">
      <c r="A385" s="5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5"/>
      <c r="T385" s="5"/>
      <c r="U385" s="104"/>
      <c r="V385" s="5"/>
      <c r="W385" s="5"/>
      <c r="X385" s="5"/>
      <c r="Y385" s="5"/>
      <c r="Z385" s="7"/>
      <c r="AA385" s="5"/>
      <c r="AB385" s="5"/>
      <c r="AC385" s="5"/>
      <c r="AD385" s="5"/>
      <c r="AE385" s="5"/>
      <c r="AF385" s="5"/>
      <c r="AG385" s="5"/>
      <c r="AH385" s="5"/>
      <c r="AI385" s="5"/>
    </row>
    <row r="386" spans="1:35" ht="15.75" customHeight="1">
      <c r="A386" s="5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5"/>
      <c r="T386" s="5"/>
      <c r="U386" s="104"/>
      <c r="V386" s="5"/>
      <c r="W386" s="5"/>
      <c r="X386" s="5"/>
      <c r="Y386" s="5"/>
      <c r="Z386" s="7"/>
      <c r="AA386" s="5"/>
      <c r="AB386" s="5"/>
      <c r="AC386" s="5"/>
      <c r="AD386" s="5"/>
      <c r="AE386" s="5"/>
      <c r="AF386" s="5"/>
      <c r="AG386" s="5"/>
      <c r="AH386" s="5"/>
      <c r="AI386" s="5"/>
    </row>
    <row r="387" spans="1:35" ht="15.75" customHeight="1">
      <c r="A387" s="5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5"/>
      <c r="T387" s="5"/>
      <c r="U387" s="104"/>
      <c r="V387" s="5"/>
      <c r="W387" s="5"/>
      <c r="X387" s="5"/>
      <c r="Y387" s="5"/>
      <c r="Z387" s="7"/>
      <c r="AA387" s="5"/>
      <c r="AB387" s="5"/>
      <c r="AC387" s="5"/>
      <c r="AD387" s="5"/>
      <c r="AE387" s="5"/>
      <c r="AF387" s="5"/>
      <c r="AG387" s="5"/>
      <c r="AH387" s="5"/>
      <c r="AI387" s="5"/>
    </row>
    <row r="388" spans="1:35" ht="15.75" customHeight="1">
      <c r="A388" s="5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5"/>
      <c r="T388" s="5"/>
      <c r="U388" s="104"/>
      <c r="V388" s="5"/>
      <c r="W388" s="5"/>
      <c r="X388" s="5"/>
      <c r="Y388" s="5"/>
      <c r="Z388" s="7"/>
      <c r="AA388" s="5"/>
      <c r="AB388" s="5"/>
      <c r="AC388" s="5"/>
      <c r="AD388" s="5"/>
      <c r="AE388" s="5"/>
      <c r="AF388" s="5"/>
      <c r="AG388" s="5"/>
      <c r="AH388" s="5"/>
      <c r="AI388" s="5"/>
    </row>
    <row r="389" spans="1:35" ht="15.75" customHeight="1">
      <c r="A389" s="5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5"/>
      <c r="T389" s="5"/>
      <c r="U389" s="104"/>
      <c r="V389" s="5"/>
      <c r="W389" s="5"/>
      <c r="X389" s="5"/>
      <c r="Y389" s="5"/>
      <c r="Z389" s="7"/>
      <c r="AA389" s="5"/>
      <c r="AB389" s="5"/>
      <c r="AC389" s="5"/>
      <c r="AD389" s="5"/>
      <c r="AE389" s="5"/>
      <c r="AF389" s="5"/>
      <c r="AG389" s="5"/>
      <c r="AH389" s="5"/>
      <c r="AI389" s="5"/>
    </row>
    <row r="390" spans="1:35" ht="15.75" customHeight="1">
      <c r="A390" s="5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5"/>
      <c r="T390" s="5"/>
      <c r="U390" s="104"/>
      <c r="V390" s="5"/>
      <c r="W390" s="5"/>
      <c r="X390" s="5"/>
      <c r="Y390" s="5"/>
      <c r="Z390" s="7"/>
      <c r="AA390" s="5"/>
      <c r="AB390" s="5"/>
      <c r="AC390" s="5"/>
      <c r="AD390" s="5"/>
      <c r="AE390" s="5"/>
      <c r="AF390" s="5"/>
      <c r="AG390" s="5"/>
      <c r="AH390" s="5"/>
      <c r="AI390" s="5"/>
    </row>
    <row r="391" spans="1:35" ht="15.75" customHeight="1">
      <c r="A391" s="5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5"/>
      <c r="T391" s="5"/>
      <c r="U391" s="104"/>
      <c r="V391" s="5"/>
      <c r="W391" s="5"/>
      <c r="X391" s="5"/>
      <c r="Y391" s="5"/>
      <c r="Z391" s="7"/>
      <c r="AA391" s="5"/>
      <c r="AB391" s="5"/>
      <c r="AC391" s="5"/>
      <c r="AD391" s="5"/>
      <c r="AE391" s="5"/>
      <c r="AF391" s="5"/>
      <c r="AG391" s="5"/>
      <c r="AH391" s="5"/>
      <c r="AI391" s="5"/>
    </row>
    <row r="392" spans="1:35" ht="15.75" customHeight="1">
      <c r="A392" s="5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5"/>
      <c r="T392" s="5"/>
      <c r="U392" s="104"/>
      <c r="V392" s="5"/>
      <c r="W392" s="5"/>
      <c r="X392" s="5"/>
      <c r="Y392" s="5"/>
      <c r="Z392" s="7"/>
      <c r="AA392" s="5"/>
      <c r="AB392" s="5"/>
      <c r="AC392" s="5"/>
      <c r="AD392" s="5"/>
      <c r="AE392" s="5"/>
      <c r="AF392" s="5"/>
      <c r="AG392" s="5"/>
      <c r="AH392" s="5"/>
      <c r="AI392" s="5"/>
    </row>
    <row r="393" spans="1:35" ht="15.75" customHeight="1">
      <c r="A393" s="5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5"/>
      <c r="T393" s="5"/>
      <c r="U393" s="104"/>
      <c r="V393" s="5"/>
      <c r="W393" s="5"/>
      <c r="X393" s="5"/>
      <c r="Y393" s="5"/>
      <c r="Z393" s="7"/>
      <c r="AA393" s="5"/>
      <c r="AB393" s="5"/>
      <c r="AC393" s="5"/>
      <c r="AD393" s="5"/>
      <c r="AE393" s="5"/>
      <c r="AF393" s="5"/>
      <c r="AG393" s="5"/>
      <c r="AH393" s="5"/>
      <c r="AI393" s="5"/>
    </row>
    <row r="394" spans="1:35" ht="15.75" customHeight="1">
      <c r="A394" s="5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5"/>
      <c r="T394" s="5"/>
      <c r="U394" s="104"/>
      <c r="V394" s="5"/>
      <c r="W394" s="5"/>
      <c r="X394" s="5"/>
      <c r="Y394" s="5"/>
      <c r="Z394" s="7"/>
      <c r="AA394" s="5"/>
      <c r="AB394" s="5"/>
      <c r="AC394" s="5"/>
      <c r="AD394" s="5"/>
      <c r="AE394" s="5"/>
      <c r="AF394" s="5"/>
      <c r="AG394" s="5"/>
      <c r="AH394" s="5"/>
      <c r="AI394" s="5"/>
    </row>
    <row r="395" spans="1:35" ht="15.75" customHeight="1">
      <c r="A395" s="5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5"/>
      <c r="T395" s="5"/>
      <c r="U395" s="104"/>
      <c r="V395" s="5"/>
      <c r="W395" s="5"/>
      <c r="X395" s="5"/>
      <c r="Y395" s="5"/>
      <c r="Z395" s="7"/>
      <c r="AA395" s="5"/>
      <c r="AB395" s="5"/>
      <c r="AC395" s="5"/>
      <c r="AD395" s="5"/>
      <c r="AE395" s="5"/>
      <c r="AF395" s="5"/>
      <c r="AG395" s="5"/>
      <c r="AH395" s="5"/>
      <c r="AI395" s="5"/>
    </row>
    <row r="396" spans="1:35" ht="15.75" customHeight="1">
      <c r="A396" s="5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5"/>
      <c r="T396" s="5"/>
      <c r="U396" s="104"/>
      <c r="V396" s="5"/>
      <c r="W396" s="5"/>
      <c r="X396" s="5"/>
      <c r="Y396" s="5"/>
      <c r="Z396" s="7"/>
      <c r="AA396" s="5"/>
      <c r="AB396" s="5"/>
      <c r="AC396" s="5"/>
      <c r="AD396" s="5"/>
      <c r="AE396" s="5"/>
      <c r="AF396" s="5"/>
      <c r="AG396" s="5"/>
      <c r="AH396" s="5"/>
      <c r="AI396" s="5"/>
    </row>
    <row r="397" spans="1:35" ht="15.75" customHeight="1">
      <c r="A397" s="5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5"/>
      <c r="T397" s="5"/>
      <c r="U397" s="104"/>
      <c r="V397" s="5"/>
      <c r="W397" s="5"/>
      <c r="X397" s="5"/>
      <c r="Y397" s="5"/>
      <c r="Z397" s="7"/>
      <c r="AA397" s="5"/>
      <c r="AB397" s="5"/>
      <c r="AC397" s="5"/>
      <c r="AD397" s="5"/>
      <c r="AE397" s="5"/>
      <c r="AF397" s="5"/>
      <c r="AG397" s="5"/>
      <c r="AH397" s="5"/>
      <c r="AI397" s="5"/>
    </row>
    <row r="398" spans="1:35" ht="15.75" customHeight="1">
      <c r="A398" s="5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5"/>
      <c r="T398" s="5"/>
      <c r="U398" s="104"/>
      <c r="V398" s="5"/>
      <c r="W398" s="5"/>
      <c r="X398" s="5"/>
      <c r="Y398" s="5"/>
      <c r="Z398" s="7"/>
      <c r="AA398" s="5"/>
      <c r="AB398" s="5"/>
      <c r="AC398" s="5"/>
      <c r="AD398" s="5"/>
      <c r="AE398" s="5"/>
      <c r="AF398" s="5"/>
      <c r="AG398" s="5"/>
      <c r="AH398" s="5"/>
      <c r="AI398" s="5"/>
    </row>
    <row r="399" spans="1:35" ht="15.75" customHeight="1">
      <c r="A399" s="5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5"/>
      <c r="T399" s="5"/>
      <c r="U399" s="104"/>
      <c r="V399" s="5"/>
      <c r="W399" s="5"/>
      <c r="X399" s="5"/>
      <c r="Y399" s="5"/>
      <c r="Z399" s="7"/>
      <c r="AA399" s="5"/>
      <c r="AB399" s="5"/>
      <c r="AC399" s="5"/>
      <c r="AD399" s="5"/>
      <c r="AE399" s="5"/>
      <c r="AF399" s="5"/>
      <c r="AG399" s="5"/>
      <c r="AH399" s="5"/>
      <c r="AI399" s="5"/>
    </row>
    <row r="400" spans="1:35" ht="15.75" customHeight="1">
      <c r="A400" s="5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5"/>
      <c r="T400" s="5"/>
      <c r="U400" s="104"/>
      <c r="V400" s="5"/>
      <c r="W400" s="5"/>
      <c r="X400" s="5"/>
      <c r="Y400" s="5"/>
      <c r="Z400" s="7"/>
      <c r="AA400" s="5"/>
      <c r="AB400" s="5"/>
      <c r="AC400" s="5"/>
      <c r="AD400" s="5"/>
      <c r="AE400" s="5"/>
      <c r="AF400" s="5"/>
      <c r="AG400" s="5"/>
      <c r="AH400" s="5"/>
      <c r="AI400" s="5"/>
    </row>
    <row r="401" spans="1:35" ht="15.75" customHeight="1">
      <c r="A401" s="5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5"/>
      <c r="T401" s="5"/>
      <c r="U401" s="104"/>
      <c r="V401" s="5"/>
      <c r="W401" s="5"/>
      <c r="X401" s="5"/>
      <c r="Y401" s="5"/>
      <c r="Z401" s="7"/>
      <c r="AA401" s="5"/>
      <c r="AB401" s="5"/>
      <c r="AC401" s="5"/>
      <c r="AD401" s="5"/>
      <c r="AE401" s="5"/>
      <c r="AF401" s="5"/>
      <c r="AG401" s="5"/>
      <c r="AH401" s="5"/>
      <c r="AI401" s="5"/>
    </row>
    <row r="402" spans="1:35" ht="15.75" customHeight="1">
      <c r="A402" s="5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5"/>
      <c r="T402" s="5"/>
      <c r="U402" s="104"/>
      <c r="V402" s="5"/>
      <c r="W402" s="5"/>
      <c r="X402" s="5"/>
      <c r="Y402" s="5"/>
      <c r="Z402" s="7"/>
      <c r="AA402" s="5"/>
      <c r="AB402" s="5"/>
      <c r="AC402" s="5"/>
      <c r="AD402" s="5"/>
      <c r="AE402" s="5"/>
      <c r="AF402" s="5"/>
      <c r="AG402" s="5"/>
      <c r="AH402" s="5"/>
      <c r="AI402" s="5"/>
    </row>
    <row r="403" spans="1:35" ht="15.75" customHeight="1">
      <c r="A403" s="5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5"/>
      <c r="T403" s="5"/>
      <c r="U403" s="104"/>
      <c r="V403" s="5"/>
      <c r="W403" s="5"/>
      <c r="X403" s="5"/>
      <c r="Y403" s="5"/>
      <c r="Z403" s="7"/>
      <c r="AA403" s="5"/>
      <c r="AB403" s="5"/>
      <c r="AC403" s="5"/>
      <c r="AD403" s="5"/>
      <c r="AE403" s="5"/>
      <c r="AF403" s="5"/>
      <c r="AG403" s="5"/>
      <c r="AH403" s="5"/>
      <c r="AI403" s="5"/>
    </row>
    <row r="404" spans="1:35" ht="15.75" customHeight="1">
      <c r="A404" s="5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5"/>
      <c r="T404" s="5"/>
      <c r="U404" s="104"/>
      <c r="V404" s="5"/>
      <c r="W404" s="5"/>
      <c r="X404" s="5"/>
      <c r="Y404" s="5"/>
      <c r="Z404" s="7"/>
      <c r="AA404" s="5"/>
      <c r="AB404" s="5"/>
      <c r="AC404" s="5"/>
      <c r="AD404" s="5"/>
      <c r="AE404" s="5"/>
      <c r="AF404" s="5"/>
      <c r="AG404" s="5"/>
      <c r="AH404" s="5"/>
      <c r="AI404" s="5"/>
    </row>
    <row r="405" spans="1:35" ht="15.75" customHeight="1">
      <c r="A405" s="5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5"/>
      <c r="T405" s="5"/>
      <c r="U405" s="104"/>
      <c r="V405" s="5"/>
      <c r="W405" s="5"/>
      <c r="X405" s="5"/>
      <c r="Y405" s="5"/>
      <c r="Z405" s="7"/>
      <c r="AA405" s="5"/>
      <c r="AB405" s="5"/>
      <c r="AC405" s="5"/>
      <c r="AD405" s="5"/>
      <c r="AE405" s="5"/>
      <c r="AF405" s="5"/>
      <c r="AG405" s="5"/>
      <c r="AH405" s="5"/>
      <c r="AI405" s="5"/>
    </row>
    <row r="406" spans="1:35" ht="15.75" customHeight="1">
      <c r="A406" s="5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5"/>
      <c r="T406" s="5"/>
      <c r="U406" s="104"/>
      <c r="V406" s="5"/>
      <c r="W406" s="5"/>
      <c r="X406" s="5"/>
      <c r="Y406" s="5"/>
      <c r="Z406" s="7"/>
      <c r="AA406" s="5"/>
      <c r="AB406" s="5"/>
      <c r="AC406" s="5"/>
      <c r="AD406" s="5"/>
      <c r="AE406" s="5"/>
      <c r="AF406" s="5"/>
      <c r="AG406" s="5"/>
      <c r="AH406" s="5"/>
      <c r="AI406" s="5"/>
    </row>
    <row r="407" spans="1:35" ht="15.75" customHeight="1">
      <c r="A407" s="5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5"/>
      <c r="T407" s="5"/>
      <c r="U407" s="104"/>
      <c r="V407" s="5"/>
      <c r="W407" s="5"/>
      <c r="X407" s="5"/>
      <c r="Y407" s="5"/>
      <c r="Z407" s="7"/>
      <c r="AA407" s="5"/>
      <c r="AB407" s="5"/>
      <c r="AC407" s="5"/>
      <c r="AD407" s="5"/>
      <c r="AE407" s="5"/>
      <c r="AF407" s="5"/>
      <c r="AG407" s="5"/>
      <c r="AH407" s="5"/>
      <c r="AI407" s="5"/>
    </row>
    <row r="408" spans="1:35" ht="15.75" customHeight="1">
      <c r="A408" s="5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5"/>
      <c r="T408" s="5"/>
      <c r="U408" s="104"/>
      <c r="V408" s="5"/>
      <c r="W408" s="5"/>
      <c r="X408" s="5"/>
      <c r="Y408" s="5"/>
      <c r="Z408" s="7"/>
      <c r="AA408" s="5"/>
      <c r="AB408" s="5"/>
      <c r="AC408" s="5"/>
      <c r="AD408" s="5"/>
      <c r="AE408" s="5"/>
      <c r="AF408" s="5"/>
      <c r="AG408" s="5"/>
      <c r="AH408" s="5"/>
      <c r="AI408" s="5"/>
    </row>
    <row r="409" spans="1:35" ht="15.75" customHeight="1">
      <c r="A409" s="5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5"/>
      <c r="T409" s="5"/>
      <c r="U409" s="104"/>
      <c r="V409" s="5"/>
      <c r="W409" s="5"/>
      <c r="X409" s="5"/>
      <c r="Y409" s="5"/>
      <c r="Z409" s="7"/>
      <c r="AA409" s="5"/>
      <c r="AB409" s="5"/>
      <c r="AC409" s="5"/>
      <c r="AD409" s="5"/>
      <c r="AE409" s="5"/>
      <c r="AF409" s="5"/>
      <c r="AG409" s="5"/>
      <c r="AH409" s="5"/>
      <c r="AI409" s="5"/>
    </row>
    <row r="410" spans="1:35" ht="15.75" customHeight="1">
      <c r="A410" s="5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5"/>
      <c r="T410" s="5"/>
      <c r="U410" s="104"/>
      <c r="V410" s="5"/>
      <c r="W410" s="5"/>
      <c r="X410" s="5"/>
      <c r="Y410" s="5"/>
      <c r="Z410" s="7"/>
      <c r="AA410" s="5"/>
      <c r="AB410" s="5"/>
      <c r="AC410" s="5"/>
      <c r="AD410" s="5"/>
      <c r="AE410" s="5"/>
      <c r="AF410" s="5"/>
      <c r="AG410" s="5"/>
      <c r="AH410" s="5"/>
      <c r="AI410" s="5"/>
    </row>
    <row r="411" spans="1:35" ht="15.75" customHeight="1">
      <c r="A411" s="5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5"/>
      <c r="T411" s="5"/>
      <c r="U411" s="104"/>
      <c r="V411" s="5"/>
      <c r="W411" s="5"/>
      <c r="X411" s="5"/>
      <c r="Y411" s="5"/>
      <c r="Z411" s="7"/>
      <c r="AA411" s="5"/>
      <c r="AB411" s="5"/>
      <c r="AC411" s="5"/>
      <c r="AD411" s="5"/>
      <c r="AE411" s="5"/>
      <c r="AF411" s="5"/>
      <c r="AG411" s="5"/>
      <c r="AH411" s="5"/>
      <c r="AI411" s="5"/>
    </row>
    <row r="412" spans="1:35" ht="15.75" customHeight="1">
      <c r="A412" s="5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5"/>
      <c r="T412" s="5"/>
      <c r="U412" s="104"/>
      <c r="V412" s="5"/>
      <c r="W412" s="5"/>
      <c r="X412" s="5"/>
      <c r="Y412" s="5"/>
      <c r="Z412" s="7"/>
      <c r="AA412" s="5"/>
      <c r="AB412" s="5"/>
      <c r="AC412" s="5"/>
      <c r="AD412" s="5"/>
      <c r="AE412" s="5"/>
      <c r="AF412" s="5"/>
      <c r="AG412" s="5"/>
      <c r="AH412" s="5"/>
      <c r="AI412" s="5"/>
    </row>
    <row r="413" spans="1:35" ht="15.75" customHeight="1">
      <c r="A413" s="5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5"/>
      <c r="T413" s="5"/>
      <c r="U413" s="104"/>
      <c r="V413" s="5"/>
      <c r="W413" s="5"/>
      <c r="X413" s="5"/>
      <c r="Y413" s="5"/>
      <c r="Z413" s="7"/>
      <c r="AA413" s="5"/>
      <c r="AB413" s="5"/>
      <c r="AC413" s="5"/>
      <c r="AD413" s="5"/>
      <c r="AE413" s="5"/>
      <c r="AF413" s="5"/>
      <c r="AG413" s="5"/>
      <c r="AH413" s="5"/>
      <c r="AI413" s="5"/>
    </row>
    <row r="414" spans="1:35" ht="15.75" customHeight="1">
      <c r="A414" s="5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5"/>
      <c r="T414" s="5"/>
      <c r="U414" s="104"/>
      <c r="V414" s="5"/>
      <c r="W414" s="5"/>
      <c r="X414" s="5"/>
      <c r="Y414" s="5"/>
      <c r="Z414" s="7"/>
      <c r="AA414" s="5"/>
      <c r="AB414" s="5"/>
      <c r="AC414" s="5"/>
      <c r="AD414" s="5"/>
      <c r="AE414" s="5"/>
      <c r="AF414" s="5"/>
      <c r="AG414" s="5"/>
      <c r="AH414" s="5"/>
      <c r="AI414" s="5"/>
    </row>
    <row r="415" spans="1:35" ht="15.75" customHeight="1">
      <c r="A415" s="5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5"/>
      <c r="T415" s="5"/>
      <c r="U415" s="104"/>
      <c r="V415" s="5"/>
      <c r="W415" s="5"/>
      <c r="X415" s="5"/>
      <c r="Y415" s="5"/>
      <c r="Z415" s="7"/>
      <c r="AA415" s="5"/>
      <c r="AB415" s="5"/>
      <c r="AC415" s="5"/>
      <c r="AD415" s="5"/>
      <c r="AE415" s="5"/>
      <c r="AF415" s="5"/>
      <c r="AG415" s="5"/>
      <c r="AH415" s="5"/>
      <c r="AI415" s="5"/>
    </row>
    <row r="416" spans="1:35" ht="15.75" customHeight="1">
      <c r="A416" s="5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5"/>
      <c r="T416" s="5"/>
      <c r="U416" s="104"/>
      <c r="V416" s="5"/>
      <c r="W416" s="5"/>
      <c r="X416" s="5"/>
      <c r="Y416" s="5"/>
      <c r="Z416" s="7"/>
      <c r="AA416" s="5"/>
      <c r="AB416" s="5"/>
      <c r="AC416" s="5"/>
      <c r="AD416" s="5"/>
      <c r="AE416" s="5"/>
      <c r="AF416" s="5"/>
      <c r="AG416" s="5"/>
      <c r="AH416" s="5"/>
      <c r="AI416" s="5"/>
    </row>
    <row r="417" spans="1:35" ht="15.75" customHeight="1">
      <c r="A417" s="5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5"/>
      <c r="T417" s="5"/>
      <c r="U417" s="104"/>
      <c r="V417" s="5"/>
      <c r="W417" s="5"/>
      <c r="X417" s="5"/>
      <c r="Y417" s="5"/>
      <c r="Z417" s="7"/>
      <c r="AA417" s="5"/>
      <c r="AB417" s="5"/>
      <c r="AC417" s="5"/>
      <c r="AD417" s="5"/>
      <c r="AE417" s="5"/>
      <c r="AF417" s="5"/>
      <c r="AG417" s="5"/>
      <c r="AH417" s="5"/>
      <c r="AI417" s="5"/>
    </row>
    <row r="418" spans="1:35" ht="15.75" customHeight="1">
      <c r="A418" s="5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5"/>
      <c r="T418" s="5"/>
      <c r="U418" s="104"/>
      <c r="V418" s="5"/>
      <c r="W418" s="5"/>
      <c r="X418" s="5"/>
      <c r="Y418" s="5"/>
      <c r="Z418" s="7"/>
      <c r="AA418" s="5"/>
      <c r="AB418" s="5"/>
      <c r="AC418" s="5"/>
      <c r="AD418" s="5"/>
      <c r="AE418" s="5"/>
      <c r="AF418" s="5"/>
      <c r="AG418" s="5"/>
      <c r="AH418" s="5"/>
      <c r="AI418" s="5"/>
    </row>
    <row r="419" spans="1:35" ht="15.75" customHeight="1">
      <c r="A419" s="5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5"/>
      <c r="T419" s="5"/>
      <c r="U419" s="104"/>
      <c r="V419" s="5"/>
      <c r="W419" s="5"/>
      <c r="X419" s="5"/>
      <c r="Y419" s="5"/>
      <c r="Z419" s="7"/>
      <c r="AA419" s="5"/>
      <c r="AB419" s="5"/>
      <c r="AC419" s="5"/>
      <c r="AD419" s="5"/>
      <c r="AE419" s="5"/>
      <c r="AF419" s="5"/>
      <c r="AG419" s="5"/>
      <c r="AH419" s="5"/>
      <c r="AI419" s="5"/>
    </row>
    <row r="420" spans="1:35" ht="15.75" customHeight="1">
      <c r="A420" s="5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5"/>
      <c r="T420" s="5"/>
      <c r="U420" s="104"/>
      <c r="V420" s="5"/>
      <c r="W420" s="5"/>
      <c r="X420" s="5"/>
      <c r="Y420" s="5"/>
      <c r="Z420" s="7"/>
      <c r="AA420" s="5"/>
      <c r="AB420" s="5"/>
      <c r="AC420" s="5"/>
      <c r="AD420" s="5"/>
      <c r="AE420" s="5"/>
      <c r="AF420" s="5"/>
      <c r="AG420" s="5"/>
      <c r="AH420" s="5"/>
      <c r="AI420" s="5"/>
    </row>
    <row r="421" spans="1:35" ht="15.75" customHeight="1">
      <c r="A421" s="5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5"/>
      <c r="T421" s="5"/>
      <c r="U421" s="104"/>
      <c r="V421" s="5"/>
      <c r="W421" s="5"/>
      <c r="X421" s="5"/>
      <c r="Y421" s="5"/>
      <c r="Z421" s="7"/>
      <c r="AA421" s="5"/>
      <c r="AB421" s="5"/>
      <c r="AC421" s="5"/>
      <c r="AD421" s="5"/>
      <c r="AE421" s="5"/>
      <c r="AF421" s="5"/>
      <c r="AG421" s="5"/>
      <c r="AH421" s="5"/>
      <c r="AI421" s="5"/>
    </row>
    <row r="422" spans="1:35" ht="15.75" customHeight="1">
      <c r="A422" s="5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5"/>
      <c r="T422" s="5"/>
      <c r="U422" s="104"/>
      <c r="V422" s="5"/>
      <c r="W422" s="5"/>
      <c r="X422" s="5"/>
      <c r="Y422" s="5"/>
      <c r="Z422" s="7"/>
      <c r="AA422" s="5"/>
      <c r="AB422" s="5"/>
      <c r="AC422" s="5"/>
      <c r="AD422" s="5"/>
      <c r="AE422" s="5"/>
      <c r="AF422" s="5"/>
      <c r="AG422" s="5"/>
      <c r="AH422" s="5"/>
      <c r="AI422" s="5"/>
    </row>
    <row r="423" spans="1:35" ht="15.75" customHeight="1">
      <c r="A423" s="5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5"/>
      <c r="T423" s="5"/>
      <c r="U423" s="104"/>
      <c r="V423" s="5"/>
      <c r="W423" s="5"/>
      <c r="X423" s="5"/>
      <c r="Y423" s="5"/>
      <c r="Z423" s="7"/>
      <c r="AA423" s="5"/>
      <c r="AB423" s="5"/>
      <c r="AC423" s="5"/>
      <c r="AD423" s="5"/>
      <c r="AE423" s="5"/>
      <c r="AF423" s="5"/>
      <c r="AG423" s="5"/>
      <c r="AH423" s="5"/>
      <c r="AI423" s="5"/>
    </row>
    <row r="424" spans="1:35" ht="15.75" customHeight="1">
      <c r="A424" s="5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5"/>
      <c r="T424" s="5"/>
      <c r="U424" s="104"/>
      <c r="V424" s="5"/>
      <c r="W424" s="5"/>
      <c r="X424" s="5"/>
      <c r="Y424" s="5"/>
      <c r="Z424" s="7"/>
      <c r="AA424" s="5"/>
      <c r="AB424" s="5"/>
      <c r="AC424" s="5"/>
      <c r="AD424" s="5"/>
      <c r="AE424" s="5"/>
      <c r="AF424" s="5"/>
      <c r="AG424" s="5"/>
      <c r="AH424" s="5"/>
      <c r="AI424" s="5"/>
    </row>
    <row r="425" spans="1:35" ht="15.75" customHeight="1">
      <c r="A425" s="5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5"/>
      <c r="T425" s="5"/>
      <c r="U425" s="104"/>
      <c r="V425" s="5"/>
      <c r="W425" s="5"/>
      <c r="X425" s="5"/>
      <c r="Y425" s="5"/>
      <c r="Z425" s="7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ht="15.75" customHeight="1">
      <c r="A426" s="5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5"/>
      <c r="T426" s="5"/>
      <c r="U426" s="104"/>
      <c r="V426" s="5"/>
      <c r="W426" s="5"/>
      <c r="X426" s="5"/>
      <c r="Y426" s="5"/>
      <c r="Z426" s="7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 ht="15.75" customHeight="1">
      <c r="A427" s="5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5"/>
      <c r="T427" s="5"/>
      <c r="U427" s="104"/>
      <c r="V427" s="5"/>
      <c r="W427" s="5"/>
      <c r="X427" s="5"/>
      <c r="Y427" s="5"/>
      <c r="Z427" s="7"/>
      <c r="AA427" s="5"/>
      <c r="AB427" s="5"/>
      <c r="AC427" s="5"/>
      <c r="AD427" s="5"/>
      <c r="AE427" s="5"/>
      <c r="AF427" s="5"/>
      <c r="AG427" s="5"/>
      <c r="AH427" s="5"/>
      <c r="AI427" s="5"/>
    </row>
    <row r="428" spans="1:35" ht="15.75" customHeight="1">
      <c r="A428" s="5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5"/>
      <c r="T428" s="5"/>
      <c r="U428" s="104"/>
      <c r="V428" s="5"/>
      <c r="W428" s="5"/>
      <c r="X428" s="5"/>
      <c r="Y428" s="5"/>
      <c r="Z428" s="7"/>
      <c r="AA428" s="5"/>
      <c r="AB428" s="5"/>
      <c r="AC428" s="5"/>
      <c r="AD428" s="5"/>
      <c r="AE428" s="5"/>
      <c r="AF428" s="5"/>
      <c r="AG428" s="5"/>
      <c r="AH428" s="5"/>
      <c r="AI428" s="5"/>
    </row>
    <row r="429" spans="1:35" ht="15.75" customHeight="1">
      <c r="A429" s="5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5"/>
      <c r="T429" s="5"/>
      <c r="U429" s="104"/>
      <c r="V429" s="5"/>
      <c r="W429" s="5"/>
      <c r="X429" s="5"/>
      <c r="Y429" s="5"/>
      <c r="Z429" s="7"/>
      <c r="AA429" s="5"/>
      <c r="AB429" s="5"/>
      <c r="AC429" s="5"/>
      <c r="AD429" s="5"/>
      <c r="AE429" s="5"/>
      <c r="AF429" s="5"/>
      <c r="AG429" s="5"/>
      <c r="AH429" s="5"/>
      <c r="AI429" s="5"/>
    </row>
    <row r="430" spans="1:35" ht="15.75" customHeight="1">
      <c r="A430" s="5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5"/>
      <c r="T430" s="5"/>
      <c r="U430" s="104"/>
      <c r="V430" s="5"/>
      <c r="W430" s="5"/>
      <c r="X430" s="5"/>
      <c r="Y430" s="5"/>
      <c r="Z430" s="7"/>
      <c r="AA430" s="5"/>
      <c r="AB430" s="5"/>
      <c r="AC430" s="5"/>
      <c r="AD430" s="5"/>
      <c r="AE430" s="5"/>
      <c r="AF430" s="5"/>
      <c r="AG430" s="5"/>
      <c r="AH430" s="5"/>
      <c r="AI430" s="5"/>
    </row>
    <row r="431" spans="1:35" ht="15.75" customHeight="1">
      <c r="A431" s="5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5"/>
      <c r="T431" s="5"/>
      <c r="U431" s="104"/>
      <c r="V431" s="5"/>
      <c r="W431" s="5"/>
      <c r="X431" s="5"/>
      <c r="Y431" s="5"/>
      <c r="Z431" s="7"/>
      <c r="AA431" s="5"/>
      <c r="AB431" s="5"/>
      <c r="AC431" s="5"/>
      <c r="AD431" s="5"/>
      <c r="AE431" s="5"/>
      <c r="AF431" s="5"/>
      <c r="AG431" s="5"/>
      <c r="AH431" s="5"/>
      <c r="AI431" s="5"/>
    </row>
    <row r="432" spans="1:35" ht="15.75" customHeight="1">
      <c r="A432" s="5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5"/>
      <c r="T432" s="5"/>
      <c r="U432" s="104"/>
      <c r="V432" s="5"/>
      <c r="W432" s="5"/>
      <c r="X432" s="5"/>
      <c r="Y432" s="5"/>
      <c r="Z432" s="7"/>
      <c r="AA432" s="5"/>
      <c r="AB432" s="5"/>
      <c r="AC432" s="5"/>
      <c r="AD432" s="5"/>
      <c r="AE432" s="5"/>
      <c r="AF432" s="5"/>
      <c r="AG432" s="5"/>
      <c r="AH432" s="5"/>
      <c r="AI432" s="5"/>
    </row>
    <row r="433" spans="1:35" ht="15.75" customHeight="1">
      <c r="A433" s="5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5"/>
      <c r="T433" s="5"/>
      <c r="U433" s="104"/>
      <c r="V433" s="5"/>
      <c r="W433" s="5"/>
      <c r="X433" s="5"/>
      <c r="Y433" s="5"/>
      <c r="Z433" s="7"/>
      <c r="AA433" s="5"/>
      <c r="AB433" s="5"/>
      <c r="AC433" s="5"/>
      <c r="AD433" s="5"/>
      <c r="AE433" s="5"/>
      <c r="AF433" s="5"/>
      <c r="AG433" s="5"/>
      <c r="AH433" s="5"/>
      <c r="AI433" s="5"/>
    </row>
    <row r="434" spans="1:35" ht="15.75" customHeight="1">
      <c r="A434" s="5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5"/>
      <c r="T434" s="5"/>
      <c r="U434" s="104"/>
      <c r="V434" s="5"/>
      <c r="W434" s="5"/>
      <c r="X434" s="5"/>
      <c r="Y434" s="5"/>
      <c r="Z434" s="7"/>
      <c r="AA434" s="5"/>
      <c r="AB434" s="5"/>
      <c r="AC434" s="5"/>
      <c r="AD434" s="5"/>
      <c r="AE434" s="5"/>
      <c r="AF434" s="5"/>
      <c r="AG434" s="5"/>
      <c r="AH434" s="5"/>
      <c r="AI434" s="5"/>
    </row>
    <row r="435" spans="1:35" ht="15.75" customHeight="1">
      <c r="A435" s="5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5"/>
      <c r="T435" s="5"/>
      <c r="U435" s="104"/>
      <c r="V435" s="5"/>
      <c r="W435" s="5"/>
      <c r="X435" s="5"/>
      <c r="Y435" s="5"/>
      <c r="Z435" s="7"/>
      <c r="AA435" s="5"/>
      <c r="AB435" s="5"/>
      <c r="AC435" s="5"/>
      <c r="AD435" s="5"/>
      <c r="AE435" s="5"/>
      <c r="AF435" s="5"/>
      <c r="AG435" s="5"/>
      <c r="AH435" s="5"/>
      <c r="AI435" s="5"/>
    </row>
    <row r="436" spans="1:35" ht="15.75" customHeight="1">
      <c r="A436" s="5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5"/>
      <c r="T436" s="5"/>
      <c r="U436" s="104"/>
      <c r="V436" s="5"/>
      <c r="W436" s="5"/>
      <c r="X436" s="5"/>
      <c r="Y436" s="5"/>
      <c r="Z436" s="7"/>
      <c r="AA436" s="5"/>
      <c r="AB436" s="5"/>
      <c r="AC436" s="5"/>
      <c r="AD436" s="5"/>
      <c r="AE436" s="5"/>
      <c r="AF436" s="5"/>
      <c r="AG436" s="5"/>
      <c r="AH436" s="5"/>
      <c r="AI436" s="5"/>
    </row>
    <row r="437" spans="1:35" ht="15.75" customHeight="1">
      <c r="A437" s="5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5"/>
      <c r="T437" s="5"/>
      <c r="U437" s="104"/>
      <c r="V437" s="5"/>
      <c r="W437" s="5"/>
      <c r="X437" s="5"/>
      <c r="Y437" s="5"/>
      <c r="Z437" s="7"/>
      <c r="AA437" s="5"/>
      <c r="AB437" s="5"/>
      <c r="AC437" s="5"/>
      <c r="AD437" s="5"/>
      <c r="AE437" s="5"/>
      <c r="AF437" s="5"/>
      <c r="AG437" s="5"/>
      <c r="AH437" s="5"/>
      <c r="AI437" s="5"/>
    </row>
    <row r="438" spans="1:35" ht="15.75" customHeight="1">
      <c r="A438" s="5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5"/>
      <c r="T438" s="5"/>
      <c r="U438" s="104"/>
      <c r="V438" s="5"/>
      <c r="W438" s="5"/>
      <c r="X438" s="5"/>
      <c r="Y438" s="5"/>
      <c r="Z438" s="7"/>
      <c r="AA438" s="5"/>
      <c r="AB438" s="5"/>
      <c r="AC438" s="5"/>
      <c r="AD438" s="5"/>
      <c r="AE438" s="5"/>
      <c r="AF438" s="5"/>
      <c r="AG438" s="5"/>
      <c r="AH438" s="5"/>
      <c r="AI438" s="5"/>
    </row>
    <row r="439" spans="1:35" ht="15.75" customHeight="1">
      <c r="A439" s="5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5"/>
      <c r="T439" s="5"/>
      <c r="U439" s="104"/>
      <c r="V439" s="5"/>
      <c r="W439" s="5"/>
      <c r="X439" s="5"/>
      <c r="Y439" s="5"/>
      <c r="Z439" s="7"/>
      <c r="AA439" s="5"/>
      <c r="AB439" s="5"/>
      <c r="AC439" s="5"/>
      <c r="AD439" s="5"/>
      <c r="AE439" s="5"/>
      <c r="AF439" s="5"/>
      <c r="AG439" s="5"/>
      <c r="AH439" s="5"/>
      <c r="AI439" s="5"/>
    </row>
    <row r="440" spans="1:35" ht="15.75" customHeight="1">
      <c r="A440" s="5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5"/>
      <c r="T440" s="5"/>
      <c r="U440" s="104"/>
      <c r="V440" s="5"/>
      <c r="W440" s="5"/>
      <c r="X440" s="5"/>
      <c r="Y440" s="5"/>
      <c r="Z440" s="7"/>
      <c r="AA440" s="5"/>
      <c r="AB440" s="5"/>
      <c r="AC440" s="5"/>
      <c r="AD440" s="5"/>
      <c r="AE440" s="5"/>
      <c r="AF440" s="5"/>
      <c r="AG440" s="5"/>
      <c r="AH440" s="5"/>
      <c r="AI440" s="5"/>
    </row>
    <row r="441" spans="1:35" ht="15.75" customHeight="1">
      <c r="A441" s="5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5"/>
      <c r="T441" s="5"/>
      <c r="U441" s="104"/>
      <c r="V441" s="5"/>
      <c r="W441" s="5"/>
      <c r="X441" s="5"/>
      <c r="Y441" s="5"/>
      <c r="Z441" s="7"/>
      <c r="AA441" s="5"/>
      <c r="AB441" s="5"/>
      <c r="AC441" s="5"/>
      <c r="AD441" s="5"/>
      <c r="AE441" s="5"/>
      <c r="AF441" s="5"/>
      <c r="AG441" s="5"/>
      <c r="AH441" s="5"/>
      <c r="AI441" s="5"/>
    </row>
    <row r="442" spans="1:35" ht="15.75" customHeight="1">
      <c r="A442" s="5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5"/>
      <c r="T442" s="5"/>
      <c r="U442" s="104"/>
      <c r="V442" s="5"/>
      <c r="W442" s="5"/>
      <c r="X442" s="5"/>
      <c r="Y442" s="5"/>
      <c r="Z442" s="7"/>
      <c r="AA442" s="5"/>
      <c r="AB442" s="5"/>
      <c r="AC442" s="5"/>
      <c r="AD442" s="5"/>
      <c r="AE442" s="5"/>
      <c r="AF442" s="5"/>
      <c r="AG442" s="5"/>
      <c r="AH442" s="5"/>
      <c r="AI442" s="5"/>
    </row>
    <row r="443" spans="1:35" ht="15.75" customHeight="1">
      <c r="A443" s="5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5"/>
      <c r="T443" s="5"/>
      <c r="U443" s="104"/>
      <c r="V443" s="5"/>
      <c r="W443" s="5"/>
      <c r="X443" s="5"/>
      <c r="Y443" s="5"/>
      <c r="Z443" s="7"/>
      <c r="AA443" s="5"/>
      <c r="AB443" s="5"/>
      <c r="AC443" s="5"/>
      <c r="AD443" s="5"/>
      <c r="AE443" s="5"/>
      <c r="AF443" s="5"/>
      <c r="AG443" s="5"/>
      <c r="AH443" s="5"/>
      <c r="AI443" s="5"/>
    </row>
    <row r="444" spans="1:35" ht="15.75" customHeight="1">
      <c r="A444" s="5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5"/>
      <c r="T444" s="5"/>
      <c r="U444" s="104"/>
      <c r="V444" s="5"/>
      <c r="W444" s="5"/>
      <c r="X444" s="5"/>
      <c r="Y444" s="5"/>
      <c r="Z444" s="7"/>
      <c r="AA444" s="5"/>
      <c r="AB444" s="5"/>
      <c r="AC444" s="5"/>
      <c r="AD444" s="5"/>
      <c r="AE444" s="5"/>
      <c r="AF444" s="5"/>
      <c r="AG444" s="5"/>
      <c r="AH444" s="5"/>
      <c r="AI444" s="5"/>
    </row>
    <row r="445" spans="1:35" ht="15.75" customHeight="1">
      <c r="A445" s="5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5"/>
      <c r="T445" s="5"/>
      <c r="U445" s="104"/>
      <c r="V445" s="5"/>
      <c r="W445" s="5"/>
      <c r="X445" s="5"/>
      <c r="Y445" s="5"/>
      <c r="Z445" s="7"/>
      <c r="AA445" s="5"/>
      <c r="AB445" s="5"/>
      <c r="AC445" s="5"/>
      <c r="AD445" s="5"/>
      <c r="AE445" s="5"/>
      <c r="AF445" s="5"/>
      <c r="AG445" s="5"/>
      <c r="AH445" s="5"/>
      <c r="AI445" s="5"/>
    </row>
    <row r="446" spans="1:35" ht="15.75" customHeight="1">
      <c r="A446" s="5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5"/>
      <c r="T446" s="5"/>
      <c r="U446" s="104"/>
      <c r="V446" s="5"/>
      <c r="W446" s="5"/>
      <c r="X446" s="5"/>
      <c r="Y446" s="5"/>
      <c r="Z446" s="7"/>
      <c r="AA446" s="5"/>
      <c r="AB446" s="5"/>
      <c r="AC446" s="5"/>
      <c r="AD446" s="5"/>
      <c r="AE446" s="5"/>
      <c r="AF446" s="5"/>
      <c r="AG446" s="5"/>
      <c r="AH446" s="5"/>
      <c r="AI446" s="5"/>
    </row>
    <row r="447" spans="1:35" ht="15.75" customHeight="1">
      <c r="A447" s="5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5"/>
      <c r="T447" s="5"/>
      <c r="U447" s="104"/>
      <c r="V447" s="5"/>
      <c r="W447" s="5"/>
      <c r="X447" s="5"/>
      <c r="Y447" s="5"/>
      <c r="Z447" s="7"/>
      <c r="AA447" s="5"/>
      <c r="AB447" s="5"/>
      <c r="AC447" s="5"/>
      <c r="AD447" s="5"/>
      <c r="AE447" s="5"/>
      <c r="AF447" s="5"/>
      <c r="AG447" s="5"/>
      <c r="AH447" s="5"/>
      <c r="AI447" s="5"/>
    </row>
    <row r="448" spans="1:35" ht="15.75" customHeight="1">
      <c r="A448" s="5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5"/>
      <c r="T448" s="5"/>
      <c r="U448" s="104"/>
      <c r="V448" s="5"/>
      <c r="W448" s="5"/>
      <c r="X448" s="5"/>
      <c r="Y448" s="5"/>
      <c r="Z448" s="7"/>
      <c r="AA448" s="5"/>
      <c r="AB448" s="5"/>
      <c r="AC448" s="5"/>
      <c r="AD448" s="5"/>
      <c r="AE448" s="5"/>
      <c r="AF448" s="5"/>
      <c r="AG448" s="5"/>
      <c r="AH448" s="5"/>
      <c r="AI448" s="5"/>
    </row>
    <row r="449" spans="1:35" ht="15.75" customHeight="1">
      <c r="A449" s="5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5"/>
      <c r="T449" s="5"/>
      <c r="U449" s="104"/>
      <c r="V449" s="5"/>
      <c r="W449" s="5"/>
      <c r="X449" s="5"/>
      <c r="Y449" s="5"/>
      <c r="Z449" s="7"/>
      <c r="AA449" s="5"/>
      <c r="AB449" s="5"/>
      <c r="AC449" s="5"/>
      <c r="AD449" s="5"/>
      <c r="AE449" s="5"/>
      <c r="AF449" s="5"/>
      <c r="AG449" s="5"/>
      <c r="AH449" s="5"/>
      <c r="AI449" s="5"/>
    </row>
    <row r="450" spans="1:35" ht="15.75" customHeight="1">
      <c r="A450" s="5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5"/>
      <c r="T450" s="5"/>
      <c r="U450" s="104"/>
      <c r="V450" s="5"/>
      <c r="W450" s="5"/>
      <c r="X450" s="5"/>
      <c r="Y450" s="5"/>
      <c r="Z450" s="7"/>
      <c r="AA450" s="5"/>
      <c r="AB450" s="5"/>
      <c r="AC450" s="5"/>
      <c r="AD450" s="5"/>
      <c r="AE450" s="5"/>
      <c r="AF450" s="5"/>
      <c r="AG450" s="5"/>
      <c r="AH450" s="5"/>
      <c r="AI450" s="5"/>
    </row>
    <row r="451" spans="1:35" ht="15.75" customHeight="1">
      <c r="A451" s="5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5"/>
      <c r="T451" s="5"/>
      <c r="U451" s="104"/>
      <c r="V451" s="5"/>
      <c r="W451" s="5"/>
      <c r="X451" s="5"/>
      <c r="Y451" s="5"/>
      <c r="Z451" s="7"/>
      <c r="AA451" s="5"/>
      <c r="AB451" s="5"/>
      <c r="AC451" s="5"/>
      <c r="AD451" s="5"/>
      <c r="AE451" s="5"/>
      <c r="AF451" s="5"/>
      <c r="AG451" s="5"/>
      <c r="AH451" s="5"/>
      <c r="AI451" s="5"/>
    </row>
    <row r="452" spans="1:35" ht="15.75" customHeight="1">
      <c r="A452" s="5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5"/>
      <c r="T452" s="5"/>
      <c r="U452" s="104"/>
      <c r="V452" s="5"/>
      <c r="W452" s="5"/>
      <c r="X452" s="5"/>
      <c r="Y452" s="5"/>
      <c r="Z452" s="7"/>
      <c r="AA452" s="5"/>
      <c r="AB452" s="5"/>
      <c r="AC452" s="5"/>
      <c r="AD452" s="5"/>
      <c r="AE452" s="5"/>
      <c r="AF452" s="5"/>
      <c r="AG452" s="5"/>
      <c r="AH452" s="5"/>
      <c r="AI452" s="5"/>
    </row>
    <row r="453" spans="1:35" ht="15.75" customHeight="1">
      <c r="A453" s="5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5"/>
      <c r="T453" s="5"/>
      <c r="U453" s="104"/>
      <c r="V453" s="5"/>
      <c r="W453" s="5"/>
      <c r="X453" s="5"/>
      <c r="Y453" s="5"/>
      <c r="Z453" s="7"/>
      <c r="AA453" s="5"/>
      <c r="AB453" s="5"/>
      <c r="AC453" s="5"/>
      <c r="AD453" s="5"/>
      <c r="AE453" s="5"/>
      <c r="AF453" s="5"/>
      <c r="AG453" s="5"/>
      <c r="AH453" s="5"/>
      <c r="AI453" s="5"/>
    </row>
    <row r="454" spans="1:35" ht="15.75" customHeight="1">
      <c r="A454" s="5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5"/>
      <c r="T454" s="5"/>
      <c r="U454" s="104"/>
      <c r="V454" s="5"/>
      <c r="W454" s="5"/>
      <c r="X454" s="5"/>
      <c r="Y454" s="5"/>
      <c r="Z454" s="7"/>
      <c r="AA454" s="5"/>
      <c r="AB454" s="5"/>
      <c r="AC454" s="5"/>
      <c r="AD454" s="5"/>
      <c r="AE454" s="5"/>
      <c r="AF454" s="5"/>
      <c r="AG454" s="5"/>
      <c r="AH454" s="5"/>
      <c r="AI454" s="5"/>
    </row>
    <row r="455" spans="1:35" ht="15.75" customHeight="1">
      <c r="A455" s="5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5"/>
      <c r="T455" s="5"/>
      <c r="U455" s="104"/>
      <c r="V455" s="5"/>
      <c r="W455" s="5"/>
      <c r="X455" s="5"/>
      <c r="Y455" s="5"/>
      <c r="Z455" s="7"/>
      <c r="AA455" s="5"/>
      <c r="AB455" s="5"/>
      <c r="AC455" s="5"/>
      <c r="AD455" s="5"/>
      <c r="AE455" s="5"/>
      <c r="AF455" s="5"/>
      <c r="AG455" s="5"/>
      <c r="AH455" s="5"/>
      <c r="AI455" s="5"/>
    </row>
    <row r="456" spans="1:35" ht="15.75" customHeight="1">
      <c r="A456" s="5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5"/>
      <c r="T456" s="5"/>
      <c r="U456" s="104"/>
      <c r="V456" s="5"/>
      <c r="W456" s="5"/>
      <c r="X456" s="5"/>
      <c r="Y456" s="5"/>
      <c r="Z456" s="7"/>
      <c r="AA456" s="5"/>
      <c r="AB456" s="5"/>
      <c r="AC456" s="5"/>
      <c r="AD456" s="5"/>
      <c r="AE456" s="5"/>
      <c r="AF456" s="5"/>
      <c r="AG456" s="5"/>
      <c r="AH456" s="5"/>
      <c r="AI456" s="5"/>
    </row>
    <row r="457" spans="1:35" ht="15.75" customHeight="1">
      <c r="A457" s="5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5"/>
      <c r="T457" s="5"/>
      <c r="U457" s="104"/>
      <c r="V457" s="5"/>
      <c r="W457" s="5"/>
      <c r="X457" s="5"/>
      <c r="Y457" s="5"/>
      <c r="Z457" s="7"/>
      <c r="AA457" s="5"/>
      <c r="AB457" s="5"/>
      <c r="AC457" s="5"/>
      <c r="AD457" s="5"/>
      <c r="AE457" s="5"/>
      <c r="AF457" s="5"/>
      <c r="AG457" s="5"/>
      <c r="AH457" s="5"/>
      <c r="AI457" s="5"/>
    </row>
    <row r="458" spans="1:35" ht="15.75" customHeight="1">
      <c r="A458" s="5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5"/>
      <c r="T458" s="5"/>
      <c r="U458" s="104"/>
      <c r="V458" s="5"/>
      <c r="W458" s="5"/>
      <c r="X458" s="5"/>
      <c r="Y458" s="5"/>
      <c r="Z458" s="7"/>
      <c r="AA458" s="5"/>
      <c r="AB458" s="5"/>
      <c r="AC458" s="5"/>
      <c r="AD458" s="5"/>
      <c r="AE458" s="5"/>
      <c r="AF458" s="5"/>
      <c r="AG458" s="5"/>
      <c r="AH458" s="5"/>
      <c r="AI458" s="5"/>
    </row>
    <row r="459" spans="1:35" ht="15.75" customHeight="1">
      <c r="A459" s="5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5"/>
      <c r="T459" s="5"/>
      <c r="U459" s="104"/>
      <c r="V459" s="5"/>
      <c r="W459" s="5"/>
      <c r="X459" s="5"/>
      <c r="Y459" s="5"/>
      <c r="Z459" s="7"/>
      <c r="AA459" s="5"/>
      <c r="AB459" s="5"/>
      <c r="AC459" s="5"/>
      <c r="AD459" s="5"/>
      <c r="AE459" s="5"/>
      <c r="AF459" s="5"/>
      <c r="AG459" s="5"/>
      <c r="AH459" s="5"/>
      <c r="AI459" s="5"/>
    </row>
    <row r="460" spans="1:35" ht="15.75" customHeight="1">
      <c r="A460" s="5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5"/>
      <c r="T460" s="5"/>
      <c r="U460" s="104"/>
      <c r="V460" s="5"/>
      <c r="W460" s="5"/>
      <c r="X460" s="5"/>
      <c r="Y460" s="5"/>
      <c r="Z460" s="7"/>
      <c r="AA460" s="5"/>
      <c r="AB460" s="5"/>
      <c r="AC460" s="5"/>
      <c r="AD460" s="5"/>
      <c r="AE460" s="5"/>
      <c r="AF460" s="5"/>
      <c r="AG460" s="5"/>
      <c r="AH460" s="5"/>
      <c r="AI460" s="5"/>
    </row>
    <row r="461" spans="1:35" ht="15.75" customHeight="1">
      <c r="A461" s="5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5"/>
      <c r="T461" s="5"/>
      <c r="U461" s="104"/>
      <c r="V461" s="5"/>
      <c r="W461" s="5"/>
      <c r="X461" s="5"/>
      <c r="Y461" s="5"/>
      <c r="Z461" s="7"/>
      <c r="AA461" s="5"/>
      <c r="AB461" s="5"/>
      <c r="AC461" s="5"/>
      <c r="AD461" s="5"/>
      <c r="AE461" s="5"/>
      <c r="AF461" s="5"/>
      <c r="AG461" s="5"/>
      <c r="AH461" s="5"/>
      <c r="AI461" s="5"/>
    </row>
    <row r="462" spans="1:35" ht="15.75" customHeight="1">
      <c r="A462" s="5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5"/>
      <c r="T462" s="5"/>
      <c r="U462" s="104"/>
      <c r="V462" s="5"/>
      <c r="W462" s="5"/>
      <c r="X462" s="5"/>
      <c r="Y462" s="5"/>
      <c r="Z462" s="7"/>
      <c r="AA462" s="5"/>
      <c r="AB462" s="5"/>
      <c r="AC462" s="5"/>
      <c r="AD462" s="5"/>
      <c r="AE462" s="5"/>
      <c r="AF462" s="5"/>
      <c r="AG462" s="5"/>
      <c r="AH462" s="5"/>
      <c r="AI462" s="5"/>
    </row>
    <row r="463" spans="1:35" ht="15.75" customHeight="1">
      <c r="A463" s="5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5"/>
      <c r="T463" s="5"/>
      <c r="U463" s="104"/>
      <c r="V463" s="5"/>
      <c r="W463" s="5"/>
      <c r="X463" s="5"/>
      <c r="Y463" s="5"/>
      <c r="Z463" s="7"/>
      <c r="AA463" s="5"/>
      <c r="AB463" s="5"/>
      <c r="AC463" s="5"/>
      <c r="AD463" s="5"/>
      <c r="AE463" s="5"/>
      <c r="AF463" s="5"/>
      <c r="AG463" s="5"/>
      <c r="AH463" s="5"/>
      <c r="AI463" s="5"/>
    </row>
    <row r="464" spans="1:35" ht="15.75" customHeight="1">
      <c r="A464" s="5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5"/>
      <c r="T464" s="5"/>
      <c r="U464" s="104"/>
      <c r="V464" s="5"/>
      <c r="W464" s="5"/>
      <c r="X464" s="5"/>
      <c r="Y464" s="5"/>
      <c r="Z464" s="7"/>
      <c r="AA464" s="5"/>
      <c r="AB464" s="5"/>
      <c r="AC464" s="5"/>
      <c r="AD464" s="5"/>
      <c r="AE464" s="5"/>
      <c r="AF464" s="5"/>
      <c r="AG464" s="5"/>
      <c r="AH464" s="5"/>
      <c r="AI464" s="5"/>
    </row>
    <row r="465" spans="1:35" ht="15.75" customHeight="1">
      <c r="A465" s="5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5"/>
      <c r="T465" s="5"/>
      <c r="U465" s="104"/>
      <c r="V465" s="5"/>
      <c r="W465" s="5"/>
      <c r="X465" s="5"/>
      <c r="Y465" s="5"/>
      <c r="Z465" s="7"/>
      <c r="AA465" s="5"/>
      <c r="AB465" s="5"/>
      <c r="AC465" s="5"/>
      <c r="AD465" s="5"/>
      <c r="AE465" s="5"/>
      <c r="AF465" s="5"/>
      <c r="AG465" s="5"/>
      <c r="AH465" s="5"/>
      <c r="AI465" s="5"/>
    </row>
    <row r="466" spans="1:35" ht="15.75" customHeight="1">
      <c r="A466" s="5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5"/>
      <c r="T466" s="5"/>
      <c r="U466" s="104"/>
      <c r="V466" s="5"/>
      <c r="W466" s="5"/>
      <c r="X466" s="5"/>
      <c r="Y466" s="5"/>
      <c r="Z466" s="7"/>
      <c r="AA466" s="5"/>
      <c r="AB466" s="5"/>
      <c r="AC466" s="5"/>
      <c r="AD466" s="5"/>
      <c r="AE466" s="5"/>
      <c r="AF466" s="5"/>
      <c r="AG466" s="5"/>
      <c r="AH466" s="5"/>
      <c r="AI466" s="5"/>
    </row>
    <row r="467" spans="1:35" ht="15.75" customHeight="1">
      <c r="A467" s="5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5"/>
      <c r="T467" s="5"/>
      <c r="U467" s="104"/>
      <c r="V467" s="5"/>
      <c r="W467" s="5"/>
      <c r="X467" s="5"/>
      <c r="Y467" s="5"/>
      <c r="Z467" s="7"/>
      <c r="AA467" s="5"/>
      <c r="AB467" s="5"/>
      <c r="AC467" s="5"/>
      <c r="AD467" s="5"/>
      <c r="AE467" s="5"/>
      <c r="AF467" s="5"/>
      <c r="AG467" s="5"/>
      <c r="AH467" s="5"/>
      <c r="AI467" s="5"/>
    </row>
    <row r="468" spans="1:35" ht="15.75" customHeight="1">
      <c r="A468" s="5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5"/>
      <c r="T468" s="5"/>
      <c r="U468" s="104"/>
      <c r="V468" s="5"/>
      <c r="W468" s="5"/>
      <c r="X468" s="5"/>
      <c r="Y468" s="5"/>
      <c r="Z468" s="7"/>
      <c r="AA468" s="5"/>
      <c r="AB468" s="5"/>
      <c r="AC468" s="5"/>
      <c r="AD468" s="5"/>
      <c r="AE468" s="5"/>
      <c r="AF468" s="5"/>
      <c r="AG468" s="5"/>
      <c r="AH468" s="5"/>
      <c r="AI468" s="5"/>
    </row>
    <row r="469" spans="1:35" ht="15.75" customHeight="1">
      <c r="A469" s="5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5"/>
      <c r="T469" s="5"/>
      <c r="U469" s="104"/>
      <c r="V469" s="5"/>
      <c r="W469" s="5"/>
      <c r="X469" s="5"/>
      <c r="Y469" s="5"/>
      <c r="Z469" s="7"/>
      <c r="AA469" s="5"/>
      <c r="AB469" s="5"/>
      <c r="AC469" s="5"/>
      <c r="AD469" s="5"/>
      <c r="AE469" s="5"/>
      <c r="AF469" s="5"/>
      <c r="AG469" s="5"/>
      <c r="AH469" s="5"/>
      <c r="AI469" s="5"/>
    </row>
    <row r="470" spans="1:35" ht="15.75" customHeight="1">
      <c r="A470" s="5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5"/>
      <c r="T470" s="5"/>
      <c r="U470" s="104"/>
      <c r="V470" s="5"/>
      <c r="W470" s="5"/>
      <c r="X470" s="5"/>
      <c r="Y470" s="5"/>
      <c r="Z470" s="7"/>
      <c r="AA470" s="5"/>
      <c r="AB470" s="5"/>
      <c r="AC470" s="5"/>
      <c r="AD470" s="5"/>
      <c r="AE470" s="5"/>
      <c r="AF470" s="5"/>
      <c r="AG470" s="5"/>
      <c r="AH470" s="5"/>
      <c r="AI470" s="5"/>
    </row>
    <row r="471" spans="1:35" ht="15.75" customHeight="1">
      <c r="A471" s="5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5"/>
      <c r="T471" s="5"/>
      <c r="U471" s="104"/>
      <c r="V471" s="5"/>
      <c r="W471" s="5"/>
      <c r="X471" s="5"/>
      <c r="Y471" s="5"/>
      <c r="Z471" s="7"/>
      <c r="AA471" s="5"/>
      <c r="AB471" s="5"/>
      <c r="AC471" s="5"/>
      <c r="AD471" s="5"/>
      <c r="AE471" s="5"/>
      <c r="AF471" s="5"/>
      <c r="AG471" s="5"/>
      <c r="AH471" s="5"/>
      <c r="AI471" s="5"/>
    </row>
    <row r="472" spans="1:35" ht="15.75" customHeight="1">
      <c r="A472" s="5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5"/>
      <c r="T472" s="5"/>
      <c r="U472" s="104"/>
      <c r="V472" s="5"/>
      <c r="W472" s="5"/>
      <c r="X472" s="5"/>
      <c r="Y472" s="5"/>
      <c r="Z472" s="7"/>
      <c r="AA472" s="5"/>
      <c r="AB472" s="5"/>
      <c r="AC472" s="5"/>
      <c r="AD472" s="5"/>
      <c r="AE472" s="5"/>
      <c r="AF472" s="5"/>
      <c r="AG472" s="5"/>
      <c r="AH472" s="5"/>
      <c r="AI472" s="5"/>
    </row>
    <row r="473" spans="1:35" ht="15.75" customHeight="1">
      <c r="A473" s="5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5"/>
      <c r="T473" s="5"/>
      <c r="U473" s="104"/>
      <c r="V473" s="5"/>
      <c r="W473" s="5"/>
      <c r="X473" s="5"/>
      <c r="Y473" s="5"/>
      <c r="Z473" s="7"/>
      <c r="AA473" s="5"/>
      <c r="AB473" s="5"/>
      <c r="AC473" s="5"/>
      <c r="AD473" s="5"/>
      <c r="AE473" s="5"/>
      <c r="AF473" s="5"/>
      <c r="AG473" s="5"/>
      <c r="AH473" s="5"/>
      <c r="AI473" s="5"/>
    </row>
    <row r="474" spans="1:35" ht="15.75" customHeight="1">
      <c r="A474" s="5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5"/>
      <c r="T474" s="5"/>
      <c r="U474" s="104"/>
      <c r="V474" s="5"/>
      <c r="W474" s="5"/>
      <c r="X474" s="5"/>
      <c r="Y474" s="5"/>
      <c r="Z474" s="7"/>
      <c r="AA474" s="5"/>
      <c r="AB474" s="5"/>
      <c r="AC474" s="5"/>
      <c r="AD474" s="5"/>
      <c r="AE474" s="5"/>
      <c r="AF474" s="5"/>
      <c r="AG474" s="5"/>
      <c r="AH474" s="5"/>
      <c r="AI474" s="5"/>
    </row>
    <row r="475" spans="1:35" ht="15.75" customHeight="1">
      <c r="A475" s="5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5"/>
      <c r="T475" s="5"/>
      <c r="U475" s="104"/>
      <c r="V475" s="5"/>
      <c r="W475" s="5"/>
      <c r="X475" s="5"/>
      <c r="Y475" s="5"/>
      <c r="Z475" s="7"/>
      <c r="AA475" s="5"/>
      <c r="AB475" s="5"/>
      <c r="AC475" s="5"/>
      <c r="AD475" s="5"/>
      <c r="AE475" s="5"/>
      <c r="AF475" s="5"/>
      <c r="AG475" s="5"/>
      <c r="AH475" s="5"/>
      <c r="AI475" s="5"/>
    </row>
    <row r="476" spans="1:35" ht="15.75" customHeight="1">
      <c r="A476" s="5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5"/>
      <c r="T476" s="5"/>
      <c r="U476" s="104"/>
      <c r="V476" s="5"/>
      <c r="W476" s="5"/>
      <c r="X476" s="5"/>
      <c r="Y476" s="5"/>
      <c r="Z476" s="7"/>
      <c r="AA476" s="5"/>
      <c r="AB476" s="5"/>
      <c r="AC476" s="5"/>
      <c r="AD476" s="5"/>
      <c r="AE476" s="5"/>
      <c r="AF476" s="5"/>
      <c r="AG476" s="5"/>
      <c r="AH476" s="5"/>
      <c r="AI476" s="5"/>
    </row>
    <row r="477" spans="1:35" ht="15.75" customHeight="1">
      <c r="A477" s="5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5"/>
      <c r="T477" s="5"/>
      <c r="U477" s="104"/>
      <c r="V477" s="5"/>
      <c r="W477" s="5"/>
      <c r="X477" s="5"/>
      <c r="Y477" s="5"/>
      <c r="Z477" s="7"/>
      <c r="AA477" s="5"/>
      <c r="AB477" s="5"/>
      <c r="AC477" s="5"/>
      <c r="AD477" s="5"/>
      <c r="AE477" s="5"/>
      <c r="AF477" s="5"/>
      <c r="AG477" s="5"/>
      <c r="AH477" s="5"/>
      <c r="AI477" s="5"/>
    </row>
    <row r="478" spans="1:35" ht="15.75" customHeight="1">
      <c r="A478" s="5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5"/>
      <c r="T478" s="5"/>
      <c r="U478" s="104"/>
      <c r="V478" s="5"/>
      <c r="W478" s="5"/>
      <c r="X478" s="5"/>
      <c r="Y478" s="5"/>
      <c r="Z478" s="7"/>
      <c r="AA478" s="5"/>
      <c r="AB478" s="5"/>
      <c r="AC478" s="5"/>
      <c r="AD478" s="5"/>
      <c r="AE478" s="5"/>
      <c r="AF478" s="5"/>
      <c r="AG478" s="5"/>
      <c r="AH478" s="5"/>
      <c r="AI478" s="5"/>
    </row>
    <row r="479" spans="1:35" ht="15.75" customHeight="1">
      <c r="A479" s="5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5"/>
      <c r="T479" s="5"/>
      <c r="U479" s="104"/>
      <c r="V479" s="5"/>
      <c r="W479" s="5"/>
      <c r="X479" s="5"/>
      <c r="Y479" s="5"/>
      <c r="Z479" s="7"/>
      <c r="AA479" s="5"/>
      <c r="AB479" s="5"/>
      <c r="AC479" s="5"/>
      <c r="AD479" s="5"/>
      <c r="AE479" s="5"/>
      <c r="AF479" s="5"/>
      <c r="AG479" s="5"/>
      <c r="AH479" s="5"/>
      <c r="AI479" s="5"/>
    </row>
    <row r="480" spans="1:35" ht="15.75" customHeight="1">
      <c r="A480" s="5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5"/>
      <c r="T480" s="5"/>
      <c r="U480" s="104"/>
      <c r="V480" s="5"/>
      <c r="W480" s="5"/>
      <c r="X480" s="5"/>
      <c r="Y480" s="5"/>
      <c r="Z480" s="7"/>
      <c r="AA480" s="5"/>
      <c r="AB480" s="5"/>
      <c r="AC480" s="5"/>
      <c r="AD480" s="5"/>
      <c r="AE480" s="5"/>
      <c r="AF480" s="5"/>
      <c r="AG480" s="5"/>
      <c r="AH480" s="5"/>
      <c r="AI480" s="5"/>
    </row>
    <row r="481" spans="1:35" ht="15.75" customHeight="1">
      <c r="A481" s="5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5"/>
      <c r="T481" s="5"/>
      <c r="U481" s="104"/>
      <c r="V481" s="5"/>
      <c r="W481" s="5"/>
      <c r="X481" s="5"/>
      <c r="Y481" s="5"/>
      <c r="Z481" s="7"/>
      <c r="AA481" s="5"/>
      <c r="AB481" s="5"/>
      <c r="AC481" s="5"/>
      <c r="AD481" s="5"/>
      <c r="AE481" s="5"/>
      <c r="AF481" s="5"/>
      <c r="AG481" s="5"/>
      <c r="AH481" s="5"/>
      <c r="AI481" s="5"/>
    </row>
    <row r="482" spans="1:35" ht="15.75" customHeight="1">
      <c r="A482" s="5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5"/>
      <c r="T482" s="5"/>
      <c r="U482" s="104"/>
      <c r="V482" s="5"/>
      <c r="W482" s="5"/>
      <c r="X482" s="5"/>
      <c r="Y482" s="5"/>
      <c r="Z482" s="7"/>
      <c r="AA482" s="5"/>
      <c r="AB482" s="5"/>
      <c r="AC482" s="5"/>
      <c r="AD482" s="5"/>
      <c r="AE482" s="5"/>
      <c r="AF482" s="5"/>
      <c r="AG482" s="5"/>
      <c r="AH482" s="5"/>
      <c r="AI482" s="5"/>
    </row>
    <row r="483" spans="1:35" ht="15.75" customHeight="1">
      <c r="A483" s="5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5"/>
      <c r="T483" s="5"/>
      <c r="U483" s="104"/>
      <c r="V483" s="5"/>
      <c r="W483" s="5"/>
      <c r="X483" s="5"/>
      <c r="Y483" s="5"/>
      <c r="Z483" s="7"/>
      <c r="AA483" s="5"/>
      <c r="AB483" s="5"/>
      <c r="AC483" s="5"/>
      <c r="AD483" s="5"/>
      <c r="AE483" s="5"/>
      <c r="AF483" s="5"/>
      <c r="AG483" s="5"/>
      <c r="AH483" s="5"/>
      <c r="AI483" s="5"/>
    </row>
    <row r="484" spans="1:35" ht="15.75" customHeight="1">
      <c r="A484" s="5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5"/>
      <c r="T484" s="5"/>
      <c r="U484" s="104"/>
      <c r="V484" s="5"/>
      <c r="W484" s="5"/>
      <c r="X484" s="5"/>
      <c r="Y484" s="5"/>
      <c r="Z484" s="7"/>
      <c r="AA484" s="5"/>
      <c r="AB484" s="5"/>
      <c r="AC484" s="5"/>
      <c r="AD484" s="5"/>
      <c r="AE484" s="5"/>
      <c r="AF484" s="5"/>
      <c r="AG484" s="5"/>
      <c r="AH484" s="5"/>
      <c r="AI484" s="5"/>
    </row>
    <row r="485" spans="1:35" ht="15.75" customHeight="1">
      <c r="A485" s="5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5"/>
      <c r="T485" s="5"/>
      <c r="U485" s="104"/>
      <c r="V485" s="5"/>
      <c r="W485" s="5"/>
      <c r="X485" s="5"/>
      <c r="Y485" s="5"/>
      <c r="Z485" s="7"/>
      <c r="AA485" s="5"/>
      <c r="AB485" s="5"/>
      <c r="AC485" s="5"/>
      <c r="AD485" s="5"/>
      <c r="AE485" s="5"/>
      <c r="AF485" s="5"/>
      <c r="AG485" s="5"/>
      <c r="AH485" s="5"/>
      <c r="AI485" s="5"/>
    </row>
    <row r="486" spans="1:35" ht="15.75" customHeight="1">
      <c r="A486" s="5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5"/>
      <c r="T486" s="5"/>
      <c r="U486" s="104"/>
      <c r="V486" s="5"/>
      <c r="W486" s="5"/>
      <c r="X486" s="5"/>
      <c r="Y486" s="5"/>
      <c r="Z486" s="7"/>
      <c r="AA486" s="5"/>
      <c r="AB486" s="5"/>
      <c r="AC486" s="5"/>
      <c r="AD486" s="5"/>
      <c r="AE486" s="5"/>
      <c r="AF486" s="5"/>
      <c r="AG486" s="5"/>
      <c r="AH486" s="5"/>
      <c r="AI486" s="5"/>
    </row>
    <row r="487" spans="1:35" ht="15.75" customHeight="1">
      <c r="A487" s="5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5"/>
      <c r="T487" s="5"/>
      <c r="U487" s="104"/>
      <c r="V487" s="5"/>
      <c r="W487" s="5"/>
      <c r="X487" s="5"/>
      <c r="Y487" s="5"/>
      <c r="Z487" s="7"/>
      <c r="AA487" s="5"/>
      <c r="AB487" s="5"/>
      <c r="AC487" s="5"/>
      <c r="AD487" s="5"/>
      <c r="AE487" s="5"/>
      <c r="AF487" s="5"/>
      <c r="AG487" s="5"/>
      <c r="AH487" s="5"/>
      <c r="AI487" s="5"/>
    </row>
    <row r="488" spans="1:35" ht="15.75" customHeight="1">
      <c r="A488" s="5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5"/>
      <c r="T488" s="5"/>
      <c r="U488" s="104"/>
      <c r="V488" s="5"/>
      <c r="W488" s="5"/>
      <c r="X488" s="5"/>
      <c r="Y488" s="5"/>
      <c r="Z488" s="7"/>
      <c r="AA488" s="5"/>
      <c r="AB488" s="5"/>
      <c r="AC488" s="5"/>
      <c r="AD488" s="5"/>
      <c r="AE488" s="5"/>
      <c r="AF488" s="5"/>
      <c r="AG488" s="5"/>
      <c r="AH488" s="5"/>
      <c r="AI488" s="5"/>
    </row>
    <row r="489" spans="1:35" ht="15.75" customHeight="1">
      <c r="A489" s="5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5"/>
      <c r="T489" s="5"/>
      <c r="U489" s="104"/>
      <c r="V489" s="5"/>
      <c r="W489" s="5"/>
      <c r="X489" s="5"/>
      <c r="Y489" s="5"/>
      <c r="Z489" s="7"/>
      <c r="AA489" s="5"/>
      <c r="AB489" s="5"/>
      <c r="AC489" s="5"/>
      <c r="AD489" s="5"/>
      <c r="AE489" s="5"/>
      <c r="AF489" s="5"/>
      <c r="AG489" s="5"/>
      <c r="AH489" s="5"/>
      <c r="AI489" s="5"/>
    </row>
    <row r="490" spans="1:35" ht="15.75" customHeight="1">
      <c r="A490" s="5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5"/>
      <c r="T490" s="5"/>
      <c r="U490" s="104"/>
      <c r="V490" s="5"/>
      <c r="W490" s="5"/>
      <c r="X490" s="5"/>
      <c r="Y490" s="5"/>
      <c r="Z490" s="7"/>
      <c r="AA490" s="5"/>
      <c r="AB490" s="5"/>
      <c r="AC490" s="5"/>
      <c r="AD490" s="5"/>
      <c r="AE490" s="5"/>
      <c r="AF490" s="5"/>
      <c r="AG490" s="5"/>
      <c r="AH490" s="5"/>
      <c r="AI490" s="5"/>
    </row>
    <row r="491" spans="1:35" ht="15.75" customHeight="1">
      <c r="A491" s="5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5"/>
      <c r="T491" s="5"/>
      <c r="U491" s="104"/>
      <c r="V491" s="5"/>
      <c r="W491" s="5"/>
      <c r="X491" s="5"/>
      <c r="Y491" s="5"/>
      <c r="Z491" s="7"/>
      <c r="AA491" s="5"/>
      <c r="AB491" s="5"/>
      <c r="AC491" s="5"/>
      <c r="AD491" s="5"/>
      <c r="AE491" s="5"/>
      <c r="AF491" s="5"/>
      <c r="AG491" s="5"/>
      <c r="AH491" s="5"/>
      <c r="AI491" s="5"/>
    </row>
    <row r="492" spans="1:35" ht="15.75" customHeight="1">
      <c r="A492" s="5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5"/>
      <c r="T492" s="5"/>
      <c r="U492" s="104"/>
      <c r="V492" s="5"/>
      <c r="W492" s="5"/>
      <c r="X492" s="5"/>
      <c r="Y492" s="5"/>
      <c r="Z492" s="7"/>
      <c r="AA492" s="5"/>
      <c r="AB492" s="5"/>
      <c r="AC492" s="5"/>
      <c r="AD492" s="5"/>
      <c r="AE492" s="5"/>
      <c r="AF492" s="5"/>
      <c r="AG492" s="5"/>
      <c r="AH492" s="5"/>
      <c r="AI492" s="5"/>
    </row>
    <row r="493" spans="1:35" ht="15.75" customHeight="1">
      <c r="A493" s="5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5"/>
      <c r="T493" s="5"/>
      <c r="U493" s="104"/>
      <c r="V493" s="5"/>
      <c r="W493" s="5"/>
      <c r="X493" s="5"/>
      <c r="Y493" s="5"/>
      <c r="Z493" s="7"/>
      <c r="AA493" s="5"/>
      <c r="AB493" s="5"/>
      <c r="AC493" s="5"/>
      <c r="AD493" s="5"/>
      <c r="AE493" s="5"/>
      <c r="AF493" s="5"/>
      <c r="AG493" s="5"/>
      <c r="AH493" s="5"/>
      <c r="AI493" s="5"/>
    </row>
    <row r="494" spans="1:35" ht="15.75" customHeight="1">
      <c r="A494" s="5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5"/>
      <c r="T494" s="5"/>
      <c r="U494" s="104"/>
      <c r="V494" s="5"/>
      <c r="W494" s="5"/>
      <c r="X494" s="5"/>
      <c r="Y494" s="5"/>
      <c r="Z494" s="7"/>
      <c r="AA494" s="5"/>
      <c r="AB494" s="5"/>
      <c r="AC494" s="5"/>
      <c r="AD494" s="5"/>
      <c r="AE494" s="5"/>
      <c r="AF494" s="5"/>
      <c r="AG494" s="5"/>
      <c r="AH494" s="5"/>
      <c r="AI494" s="5"/>
    </row>
    <row r="495" spans="1:35" ht="15.75" customHeight="1">
      <c r="A495" s="5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5"/>
      <c r="T495" s="5"/>
      <c r="U495" s="104"/>
      <c r="V495" s="5"/>
      <c r="W495" s="5"/>
      <c r="X495" s="5"/>
      <c r="Y495" s="5"/>
      <c r="Z495" s="7"/>
      <c r="AA495" s="5"/>
      <c r="AB495" s="5"/>
      <c r="AC495" s="5"/>
      <c r="AD495" s="5"/>
      <c r="AE495" s="5"/>
      <c r="AF495" s="5"/>
      <c r="AG495" s="5"/>
      <c r="AH495" s="5"/>
      <c r="AI495" s="5"/>
    </row>
    <row r="496" spans="1:35" ht="15.75" customHeight="1">
      <c r="A496" s="5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5"/>
      <c r="T496" s="5"/>
      <c r="U496" s="104"/>
      <c r="V496" s="5"/>
      <c r="W496" s="5"/>
      <c r="X496" s="5"/>
      <c r="Y496" s="5"/>
      <c r="Z496" s="7"/>
      <c r="AA496" s="5"/>
      <c r="AB496" s="5"/>
      <c r="AC496" s="5"/>
      <c r="AD496" s="5"/>
      <c r="AE496" s="5"/>
      <c r="AF496" s="5"/>
      <c r="AG496" s="5"/>
      <c r="AH496" s="5"/>
      <c r="AI496" s="5"/>
    </row>
    <row r="497" spans="1:35" ht="15.75" customHeight="1">
      <c r="A497" s="5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5"/>
      <c r="T497" s="5"/>
      <c r="U497" s="104"/>
      <c r="V497" s="5"/>
      <c r="W497" s="5"/>
      <c r="X497" s="5"/>
      <c r="Y497" s="5"/>
      <c r="Z497" s="7"/>
      <c r="AA497" s="5"/>
      <c r="AB497" s="5"/>
      <c r="AC497" s="5"/>
      <c r="AD497" s="5"/>
      <c r="AE497" s="5"/>
      <c r="AF497" s="5"/>
      <c r="AG497" s="5"/>
      <c r="AH497" s="5"/>
      <c r="AI497" s="5"/>
    </row>
    <row r="498" spans="1:35" ht="15.75" customHeight="1">
      <c r="A498" s="5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5"/>
      <c r="T498" s="5"/>
      <c r="U498" s="104"/>
      <c r="V498" s="5"/>
      <c r="W498" s="5"/>
      <c r="X498" s="5"/>
      <c r="Y498" s="5"/>
      <c r="Z498" s="7"/>
      <c r="AA498" s="5"/>
      <c r="AB498" s="5"/>
      <c r="AC498" s="5"/>
      <c r="AD498" s="5"/>
      <c r="AE498" s="5"/>
      <c r="AF498" s="5"/>
      <c r="AG498" s="5"/>
      <c r="AH498" s="5"/>
      <c r="AI498" s="5"/>
    </row>
    <row r="499" spans="1:35" ht="15.75" customHeight="1">
      <c r="A499" s="5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5"/>
      <c r="T499" s="5"/>
      <c r="U499" s="104"/>
      <c r="V499" s="5"/>
      <c r="W499" s="5"/>
      <c r="X499" s="5"/>
      <c r="Y499" s="5"/>
      <c r="Z499" s="7"/>
      <c r="AA499" s="5"/>
      <c r="AB499" s="5"/>
      <c r="AC499" s="5"/>
      <c r="AD499" s="5"/>
      <c r="AE499" s="5"/>
      <c r="AF499" s="5"/>
      <c r="AG499" s="5"/>
      <c r="AH499" s="5"/>
      <c r="AI499" s="5"/>
    </row>
    <row r="500" spans="1:35" ht="15.75" customHeight="1">
      <c r="A500" s="5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5"/>
      <c r="T500" s="5"/>
      <c r="U500" s="104"/>
      <c r="V500" s="5"/>
      <c r="W500" s="5"/>
      <c r="X500" s="5"/>
      <c r="Y500" s="5"/>
      <c r="Z500" s="7"/>
      <c r="AA500" s="5"/>
      <c r="AB500" s="5"/>
      <c r="AC500" s="5"/>
      <c r="AD500" s="5"/>
      <c r="AE500" s="5"/>
      <c r="AF500" s="5"/>
      <c r="AG500" s="5"/>
      <c r="AH500" s="5"/>
      <c r="AI500" s="5"/>
    </row>
    <row r="501" spans="1:35" ht="15.75" customHeight="1">
      <c r="A501" s="5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5"/>
      <c r="T501" s="5"/>
      <c r="U501" s="104"/>
      <c r="V501" s="5"/>
      <c r="W501" s="5"/>
      <c r="X501" s="5"/>
      <c r="Y501" s="5"/>
      <c r="Z501" s="7"/>
      <c r="AA501" s="5"/>
      <c r="AB501" s="5"/>
      <c r="AC501" s="5"/>
      <c r="AD501" s="5"/>
      <c r="AE501" s="5"/>
      <c r="AF501" s="5"/>
      <c r="AG501" s="5"/>
      <c r="AH501" s="5"/>
      <c r="AI501" s="5"/>
    </row>
    <row r="502" spans="1:35" ht="15.75" customHeight="1">
      <c r="A502" s="5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5"/>
      <c r="T502" s="5"/>
      <c r="U502" s="104"/>
      <c r="V502" s="5"/>
      <c r="W502" s="5"/>
      <c r="X502" s="5"/>
      <c r="Y502" s="5"/>
      <c r="Z502" s="7"/>
      <c r="AA502" s="5"/>
      <c r="AB502" s="5"/>
      <c r="AC502" s="5"/>
      <c r="AD502" s="5"/>
      <c r="AE502" s="5"/>
      <c r="AF502" s="5"/>
      <c r="AG502" s="5"/>
      <c r="AH502" s="5"/>
      <c r="AI502" s="5"/>
    </row>
    <row r="503" spans="1:35" ht="15.75" customHeight="1">
      <c r="A503" s="5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5"/>
      <c r="T503" s="5"/>
      <c r="U503" s="104"/>
      <c r="V503" s="5"/>
      <c r="W503" s="5"/>
      <c r="X503" s="5"/>
      <c r="Y503" s="5"/>
      <c r="Z503" s="7"/>
      <c r="AA503" s="5"/>
      <c r="AB503" s="5"/>
      <c r="AC503" s="5"/>
      <c r="AD503" s="5"/>
      <c r="AE503" s="5"/>
      <c r="AF503" s="5"/>
      <c r="AG503" s="5"/>
      <c r="AH503" s="5"/>
      <c r="AI503" s="5"/>
    </row>
    <row r="504" spans="1:35" ht="15.75" customHeight="1">
      <c r="A504" s="5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5"/>
      <c r="T504" s="5"/>
      <c r="U504" s="104"/>
      <c r="V504" s="5"/>
      <c r="W504" s="5"/>
      <c r="X504" s="5"/>
      <c r="Y504" s="5"/>
      <c r="Z504" s="7"/>
      <c r="AA504" s="5"/>
      <c r="AB504" s="5"/>
      <c r="AC504" s="5"/>
      <c r="AD504" s="5"/>
      <c r="AE504" s="5"/>
      <c r="AF504" s="5"/>
      <c r="AG504" s="5"/>
      <c r="AH504" s="5"/>
      <c r="AI504" s="5"/>
    </row>
    <row r="505" spans="1:35" ht="15.75" customHeight="1">
      <c r="A505" s="5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5"/>
      <c r="T505" s="5"/>
      <c r="U505" s="104"/>
      <c r="V505" s="5"/>
      <c r="W505" s="5"/>
      <c r="X505" s="5"/>
      <c r="Y505" s="5"/>
      <c r="Z505" s="7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ht="15.75" customHeight="1">
      <c r="A506" s="5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5"/>
      <c r="T506" s="5"/>
      <c r="U506" s="104"/>
      <c r="V506" s="5"/>
      <c r="W506" s="5"/>
      <c r="X506" s="5"/>
      <c r="Y506" s="5"/>
      <c r="Z506" s="7"/>
      <c r="AA506" s="5"/>
      <c r="AB506" s="5"/>
      <c r="AC506" s="5"/>
      <c r="AD506" s="5"/>
      <c r="AE506" s="5"/>
      <c r="AF506" s="5"/>
      <c r="AG506" s="5"/>
      <c r="AH506" s="5"/>
      <c r="AI506" s="5"/>
    </row>
    <row r="507" spans="1:35" ht="15.75" customHeight="1">
      <c r="A507" s="5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5"/>
      <c r="T507" s="5"/>
      <c r="U507" s="104"/>
      <c r="V507" s="5"/>
      <c r="W507" s="5"/>
      <c r="X507" s="5"/>
      <c r="Y507" s="5"/>
      <c r="Z507" s="7"/>
      <c r="AA507" s="5"/>
      <c r="AB507" s="5"/>
      <c r="AC507" s="5"/>
      <c r="AD507" s="5"/>
      <c r="AE507" s="5"/>
      <c r="AF507" s="5"/>
      <c r="AG507" s="5"/>
      <c r="AH507" s="5"/>
      <c r="AI507" s="5"/>
    </row>
    <row r="508" spans="1:35" ht="15.75" customHeight="1">
      <c r="A508" s="5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5"/>
      <c r="T508" s="5"/>
      <c r="U508" s="104"/>
      <c r="V508" s="5"/>
      <c r="W508" s="5"/>
      <c r="X508" s="5"/>
      <c r="Y508" s="5"/>
      <c r="Z508" s="7"/>
      <c r="AA508" s="5"/>
      <c r="AB508" s="5"/>
      <c r="AC508" s="5"/>
      <c r="AD508" s="5"/>
      <c r="AE508" s="5"/>
      <c r="AF508" s="5"/>
      <c r="AG508" s="5"/>
      <c r="AH508" s="5"/>
      <c r="AI508" s="5"/>
    </row>
    <row r="509" spans="1:35" ht="15.75" customHeight="1">
      <c r="A509" s="5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5"/>
      <c r="T509" s="5"/>
      <c r="U509" s="104"/>
      <c r="V509" s="5"/>
      <c r="W509" s="5"/>
      <c r="X509" s="5"/>
      <c r="Y509" s="5"/>
      <c r="Z509" s="7"/>
      <c r="AA509" s="5"/>
      <c r="AB509" s="5"/>
      <c r="AC509" s="5"/>
      <c r="AD509" s="5"/>
      <c r="AE509" s="5"/>
      <c r="AF509" s="5"/>
      <c r="AG509" s="5"/>
      <c r="AH509" s="5"/>
      <c r="AI509" s="5"/>
    </row>
    <row r="510" spans="1:35" ht="15.75" customHeight="1">
      <c r="A510" s="5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5"/>
      <c r="T510" s="5"/>
      <c r="U510" s="104"/>
      <c r="V510" s="5"/>
      <c r="W510" s="5"/>
      <c r="X510" s="5"/>
      <c r="Y510" s="5"/>
      <c r="Z510" s="7"/>
      <c r="AA510" s="5"/>
      <c r="AB510" s="5"/>
      <c r="AC510" s="5"/>
      <c r="AD510" s="5"/>
      <c r="AE510" s="5"/>
      <c r="AF510" s="5"/>
      <c r="AG510" s="5"/>
      <c r="AH510" s="5"/>
      <c r="AI510" s="5"/>
    </row>
    <row r="511" spans="1:35" ht="15.75" customHeight="1">
      <c r="A511" s="5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5"/>
      <c r="T511" s="5"/>
      <c r="U511" s="104"/>
      <c r="V511" s="5"/>
      <c r="W511" s="5"/>
      <c r="X511" s="5"/>
      <c r="Y511" s="5"/>
      <c r="Z511" s="7"/>
      <c r="AA511" s="5"/>
      <c r="AB511" s="5"/>
      <c r="AC511" s="5"/>
      <c r="AD511" s="5"/>
      <c r="AE511" s="5"/>
      <c r="AF511" s="5"/>
      <c r="AG511" s="5"/>
      <c r="AH511" s="5"/>
      <c r="AI511" s="5"/>
    </row>
    <row r="512" spans="1:35" ht="15.75" customHeight="1">
      <c r="A512" s="5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5"/>
      <c r="T512" s="5"/>
      <c r="U512" s="104"/>
      <c r="V512" s="5"/>
      <c r="W512" s="5"/>
      <c r="X512" s="5"/>
      <c r="Y512" s="5"/>
      <c r="Z512" s="7"/>
      <c r="AA512" s="5"/>
      <c r="AB512" s="5"/>
      <c r="AC512" s="5"/>
      <c r="AD512" s="5"/>
      <c r="AE512" s="5"/>
      <c r="AF512" s="5"/>
      <c r="AG512" s="5"/>
      <c r="AH512" s="5"/>
      <c r="AI512" s="5"/>
    </row>
    <row r="513" spans="1:35" ht="15.75" customHeight="1">
      <c r="A513" s="5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5"/>
      <c r="T513" s="5"/>
      <c r="U513" s="104"/>
      <c r="V513" s="5"/>
      <c r="W513" s="5"/>
      <c r="X513" s="5"/>
      <c r="Y513" s="5"/>
      <c r="Z513" s="7"/>
      <c r="AA513" s="5"/>
      <c r="AB513" s="5"/>
      <c r="AC513" s="5"/>
      <c r="AD513" s="5"/>
      <c r="AE513" s="5"/>
      <c r="AF513" s="5"/>
      <c r="AG513" s="5"/>
      <c r="AH513" s="5"/>
      <c r="AI513" s="5"/>
    </row>
    <row r="514" spans="1:35" ht="15.75" customHeight="1">
      <c r="A514" s="5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5"/>
      <c r="T514" s="5"/>
      <c r="U514" s="104"/>
      <c r="V514" s="5"/>
      <c r="W514" s="5"/>
      <c r="X514" s="5"/>
      <c r="Y514" s="5"/>
      <c r="Z514" s="7"/>
      <c r="AA514" s="5"/>
      <c r="AB514" s="5"/>
      <c r="AC514" s="5"/>
      <c r="AD514" s="5"/>
      <c r="AE514" s="5"/>
      <c r="AF514" s="5"/>
      <c r="AG514" s="5"/>
      <c r="AH514" s="5"/>
      <c r="AI514" s="5"/>
    </row>
    <row r="515" spans="1:35" ht="15.75" customHeight="1">
      <c r="A515" s="5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5"/>
      <c r="T515" s="5"/>
      <c r="U515" s="104"/>
      <c r="V515" s="5"/>
      <c r="W515" s="5"/>
      <c r="X515" s="5"/>
      <c r="Y515" s="5"/>
      <c r="Z515" s="7"/>
      <c r="AA515" s="5"/>
      <c r="AB515" s="5"/>
      <c r="AC515" s="5"/>
      <c r="AD515" s="5"/>
      <c r="AE515" s="5"/>
      <c r="AF515" s="5"/>
      <c r="AG515" s="5"/>
      <c r="AH515" s="5"/>
      <c r="AI515" s="5"/>
    </row>
    <row r="516" spans="1:35" ht="15.75" customHeight="1">
      <c r="A516" s="5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5"/>
      <c r="T516" s="5"/>
      <c r="U516" s="104"/>
      <c r="V516" s="5"/>
      <c r="W516" s="5"/>
      <c r="X516" s="5"/>
      <c r="Y516" s="5"/>
      <c r="Z516" s="7"/>
      <c r="AA516" s="5"/>
      <c r="AB516" s="5"/>
      <c r="AC516" s="5"/>
      <c r="AD516" s="5"/>
      <c r="AE516" s="5"/>
      <c r="AF516" s="5"/>
      <c r="AG516" s="5"/>
      <c r="AH516" s="5"/>
      <c r="AI516" s="5"/>
    </row>
    <row r="517" spans="1:35" ht="15.75" customHeight="1">
      <c r="A517" s="5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5"/>
      <c r="T517" s="5"/>
      <c r="U517" s="104"/>
      <c r="V517" s="5"/>
      <c r="W517" s="5"/>
      <c r="X517" s="5"/>
      <c r="Y517" s="5"/>
      <c r="Z517" s="7"/>
      <c r="AA517" s="5"/>
      <c r="AB517" s="5"/>
      <c r="AC517" s="5"/>
      <c r="AD517" s="5"/>
      <c r="AE517" s="5"/>
      <c r="AF517" s="5"/>
      <c r="AG517" s="5"/>
      <c r="AH517" s="5"/>
      <c r="AI517" s="5"/>
    </row>
    <row r="518" spans="1:35" ht="15.75" customHeight="1">
      <c r="A518" s="5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5"/>
      <c r="T518" s="5"/>
      <c r="U518" s="104"/>
      <c r="V518" s="5"/>
      <c r="W518" s="5"/>
      <c r="X518" s="5"/>
      <c r="Y518" s="5"/>
      <c r="Z518" s="7"/>
      <c r="AA518" s="5"/>
      <c r="AB518" s="5"/>
      <c r="AC518" s="5"/>
      <c r="AD518" s="5"/>
      <c r="AE518" s="5"/>
      <c r="AF518" s="5"/>
      <c r="AG518" s="5"/>
      <c r="AH518" s="5"/>
      <c r="AI518" s="5"/>
    </row>
    <row r="519" spans="1:35" ht="15.75" customHeight="1">
      <c r="A519" s="5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5"/>
      <c r="T519" s="5"/>
      <c r="U519" s="104"/>
      <c r="V519" s="5"/>
      <c r="W519" s="5"/>
      <c r="X519" s="5"/>
      <c r="Y519" s="5"/>
      <c r="Z519" s="7"/>
      <c r="AA519" s="5"/>
      <c r="AB519" s="5"/>
      <c r="AC519" s="5"/>
      <c r="AD519" s="5"/>
      <c r="AE519" s="5"/>
      <c r="AF519" s="5"/>
      <c r="AG519" s="5"/>
      <c r="AH519" s="5"/>
      <c r="AI519" s="5"/>
    </row>
    <row r="520" spans="1:35" ht="15.75" customHeight="1">
      <c r="A520" s="5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5"/>
      <c r="T520" s="5"/>
      <c r="U520" s="104"/>
      <c r="V520" s="5"/>
      <c r="W520" s="5"/>
      <c r="X520" s="5"/>
      <c r="Y520" s="5"/>
      <c r="Z520" s="7"/>
      <c r="AA520" s="5"/>
      <c r="AB520" s="5"/>
      <c r="AC520" s="5"/>
      <c r="AD520" s="5"/>
      <c r="AE520" s="5"/>
      <c r="AF520" s="5"/>
      <c r="AG520" s="5"/>
      <c r="AH520" s="5"/>
      <c r="AI520" s="5"/>
    </row>
    <row r="521" spans="1:35" ht="15.75" customHeight="1">
      <c r="A521" s="5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5"/>
      <c r="T521" s="5"/>
      <c r="U521" s="104"/>
      <c r="V521" s="5"/>
      <c r="W521" s="5"/>
      <c r="X521" s="5"/>
      <c r="Y521" s="5"/>
      <c r="Z521" s="7"/>
      <c r="AA521" s="5"/>
      <c r="AB521" s="5"/>
      <c r="AC521" s="5"/>
      <c r="AD521" s="5"/>
      <c r="AE521" s="5"/>
      <c r="AF521" s="5"/>
      <c r="AG521" s="5"/>
      <c r="AH521" s="5"/>
      <c r="AI521" s="5"/>
    </row>
    <row r="522" spans="1:35" ht="15.75" customHeight="1">
      <c r="A522" s="5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5"/>
      <c r="T522" s="5"/>
      <c r="U522" s="104"/>
      <c r="V522" s="5"/>
      <c r="W522" s="5"/>
      <c r="X522" s="5"/>
      <c r="Y522" s="5"/>
      <c r="Z522" s="7"/>
      <c r="AA522" s="5"/>
      <c r="AB522" s="5"/>
      <c r="AC522" s="5"/>
      <c r="AD522" s="5"/>
      <c r="AE522" s="5"/>
      <c r="AF522" s="5"/>
      <c r="AG522" s="5"/>
      <c r="AH522" s="5"/>
      <c r="AI522" s="5"/>
    </row>
    <row r="523" spans="1:35" ht="15.75" customHeight="1">
      <c r="A523" s="5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5"/>
      <c r="T523" s="5"/>
      <c r="U523" s="104"/>
      <c r="V523" s="5"/>
      <c r="W523" s="5"/>
      <c r="X523" s="5"/>
      <c r="Y523" s="5"/>
      <c r="Z523" s="7"/>
      <c r="AA523" s="5"/>
      <c r="AB523" s="5"/>
      <c r="AC523" s="5"/>
      <c r="AD523" s="5"/>
      <c r="AE523" s="5"/>
      <c r="AF523" s="5"/>
      <c r="AG523" s="5"/>
      <c r="AH523" s="5"/>
      <c r="AI523" s="5"/>
    </row>
    <row r="524" spans="1:35" ht="15.75" customHeight="1">
      <c r="A524" s="5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5"/>
      <c r="T524" s="5"/>
      <c r="U524" s="104"/>
      <c r="V524" s="5"/>
      <c r="W524" s="5"/>
      <c r="X524" s="5"/>
      <c r="Y524" s="5"/>
      <c r="Z524" s="7"/>
      <c r="AA524" s="5"/>
      <c r="AB524" s="5"/>
      <c r="AC524" s="5"/>
      <c r="AD524" s="5"/>
      <c r="AE524" s="5"/>
      <c r="AF524" s="5"/>
      <c r="AG524" s="5"/>
      <c r="AH524" s="5"/>
      <c r="AI524" s="5"/>
    </row>
    <row r="525" spans="1:35" ht="15.75" customHeight="1">
      <c r="A525" s="5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5"/>
      <c r="T525" s="5"/>
      <c r="U525" s="104"/>
      <c r="V525" s="5"/>
      <c r="W525" s="5"/>
      <c r="X525" s="5"/>
      <c r="Y525" s="5"/>
      <c r="Z525" s="7"/>
      <c r="AA525" s="5"/>
      <c r="AB525" s="5"/>
      <c r="AC525" s="5"/>
      <c r="AD525" s="5"/>
      <c r="AE525" s="5"/>
      <c r="AF525" s="5"/>
      <c r="AG525" s="5"/>
      <c r="AH525" s="5"/>
      <c r="AI525" s="5"/>
    </row>
    <row r="526" spans="1:35" ht="15.75" customHeight="1">
      <c r="A526" s="5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5"/>
      <c r="T526" s="5"/>
      <c r="U526" s="104"/>
      <c r="V526" s="5"/>
      <c r="W526" s="5"/>
      <c r="X526" s="5"/>
      <c r="Y526" s="5"/>
      <c r="Z526" s="7"/>
      <c r="AA526" s="5"/>
      <c r="AB526" s="5"/>
      <c r="AC526" s="5"/>
      <c r="AD526" s="5"/>
      <c r="AE526" s="5"/>
      <c r="AF526" s="5"/>
      <c r="AG526" s="5"/>
      <c r="AH526" s="5"/>
      <c r="AI526" s="5"/>
    </row>
    <row r="527" spans="1:35" ht="15.75" customHeight="1">
      <c r="A527" s="5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5"/>
      <c r="T527" s="5"/>
      <c r="U527" s="104"/>
      <c r="V527" s="5"/>
      <c r="W527" s="5"/>
      <c r="X527" s="5"/>
      <c r="Y527" s="5"/>
      <c r="Z527" s="7"/>
      <c r="AA527" s="5"/>
      <c r="AB527" s="5"/>
      <c r="AC527" s="5"/>
      <c r="AD527" s="5"/>
      <c r="AE527" s="5"/>
      <c r="AF527" s="5"/>
      <c r="AG527" s="5"/>
      <c r="AH527" s="5"/>
      <c r="AI527" s="5"/>
    </row>
    <row r="528" spans="1:35" ht="15.75" customHeight="1">
      <c r="A528" s="5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5"/>
      <c r="T528" s="5"/>
      <c r="U528" s="104"/>
      <c r="V528" s="5"/>
      <c r="W528" s="5"/>
      <c r="X528" s="5"/>
      <c r="Y528" s="5"/>
      <c r="Z528" s="7"/>
      <c r="AA528" s="5"/>
      <c r="AB528" s="5"/>
      <c r="AC528" s="5"/>
      <c r="AD528" s="5"/>
      <c r="AE528" s="5"/>
      <c r="AF528" s="5"/>
      <c r="AG528" s="5"/>
      <c r="AH528" s="5"/>
      <c r="AI528" s="5"/>
    </row>
    <row r="529" spans="1:35" ht="15.75" customHeight="1">
      <c r="A529" s="5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5"/>
      <c r="T529" s="5"/>
      <c r="U529" s="104"/>
      <c r="V529" s="5"/>
      <c r="W529" s="5"/>
      <c r="X529" s="5"/>
      <c r="Y529" s="5"/>
      <c r="Z529" s="7"/>
      <c r="AA529" s="5"/>
      <c r="AB529" s="5"/>
      <c r="AC529" s="5"/>
      <c r="AD529" s="5"/>
      <c r="AE529" s="5"/>
      <c r="AF529" s="5"/>
      <c r="AG529" s="5"/>
      <c r="AH529" s="5"/>
      <c r="AI529" s="5"/>
    </row>
    <row r="530" spans="1:35" ht="15.75" customHeight="1">
      <c r="A530" s="5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5"/>
      <c r="T530" s="5"/>
      <c r="U530" s="104"/>
      <c r="V530" s="5"/>
      <c r="W530" s="5"/>
      <c r="X530" s="5"/>
      <c r="Y530" s="5"/>
      <c r="Z530" s="7"/>
      <c r="AA530" s="5"/>
      <c r="AB530" s="5"/>
      <c r="AC530" s="5"/>
      <c r="AD530" s="5"/>
      <c r="AE530" s="5"/>
      <c r="AF530" s="5"/>
      <c r="AG530" s="5"/>
      <c r="AH530" s="5"/>
      <c r="AI530" s="5"/>
    </row>
    <row r="531" spans="1:35" ht="15.75" customHeight="1">
      <c r="A531" s="5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5"/>
      <c r="T531" s="5"/>
      <c r="U531" s="104"/>
      <c r="V531" s="5"/>
      <c r="W531" s="5"/>
      <c r="X531" s="5"/>
      <c r="Y531" s="5"/>
      <c r="Z531" s="7"/>
      <c r="AA531" s="5"/>
      <c r="AB531" s="5"/>
      <c r="AC531" s="5"/>
      <c r="AD531" s="5"/>
      <c r="AE531" s="5"/>
      <c r="AF531" s="5"/>
      <c r="AG531" s="5"/>
      <c r="AH531" s="5"/>
      <c r="AI531" s="5"/>
    </row>
    <row r="532" spans="1:35" ht="15.75" customHeight="1">
      <c r="A532" s="5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5"/>
      <c r="T532" s="5"/>
      <c r="U532" s="104"/>
      <c r="V532" s="5"/>
      <c r="W532" s="5"/>
      <c r="X532" s="5"/>
      <c r="Y532" s="5"/>
      <c r="Z532" s="7"/>
      <c r="AA532" s="5"/>
      <c r="AB532" s="5"/>
      <c r="AC532" s="5"/>
      <c r="AD532" s="5"/>
      <c r="AE532" s="5"/>
      <c r="AF532" s="5"/>
      <c r="AG532" s="5"/>
      <c r="AH532" s="5"/>
      <c r="AI532" s="5"/>
    </row>
    <row r="533" spans="1:35" ht="15.75" customHeight="1">
      <c r="A533" s="5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5"/>
      <c r="T533" s="5"/>
      <c r="U533" s="104"/>
      <c r="V533" s="5"/>
      <c r="W533" s="5"/>
      <c r="X533" s="5"/>
      <c r="Y533" s="5"/>
      <c r="Z533" s="7"/>
      <c r="AA533" s="5"/>
      <c r="AB533" s="5"/>
      <c r="AC533" s="5"/>
      <c r="AD533" s="5"/>
      <c r="AE533" s="5"/>
      <c r="AF533" s="5"/>
      <c r="AG533" s="5"/>
      <c r="AH533" s="5"/>
      <c r="AI533" s="5"/>
    </row>
    <row r="534" spans="1:35" ht="15.75" customHeight="1">
      <c r="A534" s="5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5"/>
      <c r="T534" s="5"/>
      <c r="U534" s="104"/>
      <c r="V534" s="5"/>
      <c r="W534" s="5"/>
      <c r="X534" s="5"/>
      <c r="Y534" s="5"/>
      <c r="Z534" s="7"/>
      <c r="AA534" s="5"/>
      <c r="AB534" s="5"/>
      <c r="AC534" s="5"/>
      <c r="AD534" s="5"/>
      <c r="AE534" s="5"/>
      <c r="AF534" s="5"/>
      <c r="AG534" s="5"/>
      <c r="AH534" s="5"/>
      <c r="AI534" s="5"/>
    </row>
    <row r="535" spans="1:35" ht="15.75" customHeight="1">
      <c r="A535" s="5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5"/>
      <c r="T535" s="5"/>
      <c r="U535" s="104"/>
      <c r="V535" s="5"/>
      <c r="W535" s="5"/>
      <c r="X535" s="5"/>
      <c r="Y535" s="5"/>
      <c r="Z535" s="7"/>
      <c r="AA535" s="5"/>
      <c r="AB535" s="5"/>
      <c r="AC535" s="5"/>
      <c r="AD535" s="5"/>
      <c r="AE535" s="5"/>
      <c r="AF535" s="5"/>
      <c r="AG535" s="5"/>
      <c r="AH535" s="5"/>
      <c r="AI535" s="5"/>
    </row>
    <row r="536" spans="1:35" ht="15.75" customHeight="1">
      <c r="A536" s="5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5"/>
      <c r="T536" s="5"/>
      <c r="U536" s="104"/>
      <c r="V536" s="5"/>
      <c r="W536" s="5"/>
      <c r="X536" s="5"/>
      <c r="Y536" s="5"/>
      <c r="Z536" s="7"/>
      <c r="AA536" s="5"/>
      <c r="AB536" s="5"/>
      <c r="AC536" s="5"/>
      <c r="AD536" s="5"/>
      <c r="AE536" s="5"/>
      <c r="AF536" s="5"/>
      <c r="AG536" s="5"/>
      <c r="AH536" s="5"/>
      <c r="AI536" s="5"/>
    </row>
    <row r="537" spans="1:35" ht="15.75" customHeight="1">
      <c r="A537" s="5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5"/>
      <c r="T537" s="5"/>
      <c r="U537" s="104"/>
      <c r="V537" s="5"/>
      <c r="W537" s="5"/>
      <c r="X537" s="5"/>
      <c r="Y537" s="5"/>
      <c r="Z537" s="7"/>
      <c r="AA537" s="5"/>
      <c r="AB537" s="5"/>
      <c r="AC537" s="5"/>
      <c r="AD537" s="5"/>
      <c r="AE537" s="5"/>
      <c r="AF537" s="5"/>
      <c r="AG537" s="5"/>
      <c r="AH537" s="5"/>
      <c r="AI537" s="5"/>
    </row>
    <row r="538" spans="1:35" ht="15.75" customHeight="1">
      <c r="A538" s="5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5"/>
      <c r="T538" s="5"/>
      <c r="U538" s="104"/>
      <c r="V538" s="5"/>
      <c r="W538" s="5"/>
      <c r="X538" s="5"/>
      <c r="Y538" s="5"/>
      <c r="Z538" s="7"/>
      <c r="AA538" s="5"/>
      <c r="AB538" s="5"/>
      <c r="AC538" s="5"/>
      <c r="AD538" s="5"/>
      <c r="AE538" s="5"/>
      <c r="AF538" s="5"/>
      <c r="AG538" s="5"/>
      <c r="AH538" s="5"/>
      <c r="AI538" s="5"/>
    </row>
    <row r="539" spans="1:35" ht="15.75" customHeight="1">
      <c r="A539" s="5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5"/>
      <c r="T539" s="5"/>
      <c r="U539" s="104"/>
      <c r="V539" s="5"/>
      <c r="W539" s="5"/>
      <c r="X539" s="5"/>
      <c r="Y539" s="5"/>
      <c r="Z539" s="7"/>
      <c r="AA539" s="5"/>
      <c r="AB539" s="5"/>
      <c r="AC539" s="5"/>
      <c r="AD539" s="5"/>
      <c r="AE539" s="5"/>
      <c r="AF539" s="5"/>
      <c r="AG539" s="5"/>
      <c r="AH539" s="5"/>
      <c r="AI539" s="5"/>
    </row>
    <row r="540" spans="1:35" ht="15.75" customHeight="1">
      <c r="A540" s="5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5"/>
      <c r="T540" s="5"/>
      <c r="U540" s="104"/>
      <c r="V540" s="5"/>
      <c r="W540" s="5"/>
      <c r="X540" s="5"/>
      <c r="Y540" s="5"/>
      <c r="Z540" s="7"/>
      <c r="AA540" s="5"/>
      <c r="AB540" s="5"/>
      <c r="AC540" s="5"/>
      <c r="AD540" s="5"/>
      <c r="AE540" s="5"/>
      <c r="AF540" s="5"/>
      <c r="AG540" s="5"/>
      <c r="AH540" s="5"/>
      <c r="AI540" s="5"/>
    </row>
    <row r="541" spans="1:35" ht="15.75" customHeight="1">
      <c r="A541" s="5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5"/>
      <c r="T541" s="5"/>
      <c r="U541" s="104"/>
      <c r="V541" s="5"/>
      <c r="W541" s="5"/>
      <c r="X541" s="5"/>
      <c r="Y541" s="5"/>
      <c r="Z541" s="7"/>
      <c r="AA541" s="5"/>
      <c r="AB541" s="5"/>
      <c r="AC541" s="5"/>
      <c r="AD541" s="5"/>
      <c r="AE541" s="5"/>
      <c r="AF541" s="5"/>
      <c r="AG541" s="5"/>
      <c r="AH541" s="5"/>
      <c r="AI541" s="5"/>
    </row>
    <row r="542" spans="1:35" ht="15.75" customHeight="1">
      <c r="A542" s="5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5"/>
      <c r="T542" s="5"/>
      <c r="U542" s="104"/>
      <c r="V542" s="5"/>
      <c r="W542" s="5"/>
      <c r="X542" s="5"/>
      <c r="Y542" s="5"/>
      <c r="Z542" s="7"/>
      <c r="AA542" s="5"/>
      <c r="AB542" s="5"/>
      <c r="AC542" s="5"/>
      <c r="AD542" s="5"/>
      <c r="AE542" s="5"/>
      <c r="AF542" s="5"/>
      <c r="AG542" s="5"/>
      <c r="AH542" s="5"/>
      <c r="AI542" s="5"/>
    </row>
    <row r="543" spans="1:35" ht="15.75" customHeight="1">
      <c r="A543" s="5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5"/>
      <c r="T543" s="5"/>
      <c r="U543" s="104"/>
      <c r="V543" s="5"/>
      <c r="W543" s="5"/>
      <c r="X543" s="5"/>
      <c r="Y543" s="5"/>
      <c r="Z543" s="7"/>
      <c r="AA543" s="5"/>
      <c r="AB543" s="5"/>
      <c r="AC543" s="5"/>
      <c r="AD543" s="5"/>
      <c r="AE543" s="5"/>
      <c r="AF543" s="5"/>
      <c r="AG543" s="5"/>
      <c r="AH543" s="5"/>
      <c r="AI543" s="5"/>
    </row>
    <row r="544" spans="1:35" ht="15.75" customHeight="1">
      <c r="A544" s="5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5"/>
      <c r="T544" s="5"/>
      <c r="U544" s="104"/>
      <c r="V544" s="5"/>
      <c r="W544" s="5"/>
      <c r="X544" s="5"/>
      <c r="Y544" s="5"/>
      <c r="Z544" s="7"/>
      <c r="AA544" s="5"/>
      <c r="AB544" s="5"/>
      <c r="AC544" s="5"/>
      <c r="AD544" s="5"/>
      <c r="AE544" s="5"/>
      <c r="AF544" s="5"/>
      <c r="AG544" s="5"/>
      <c r="AH544" s="5"/>
      <c r="AI544" s="5"/>
    </row>
    <row r="545" spans="1:35" ht="15.75" customHeight="1">
      <c r="A545" s="5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5"/>
      <c r="T545" s="5"/>
      <c r="U545" s="104"/>
      <c r="V545" s="5"/>
      <c r="W545" s="5"/>
      <c r="X545" s="5"/>
      <c r="Y545" s="5"/>
      <c r="Z545" s="7"/>
      <c r="AA545" s="5"/>
      <c r="AB545" s="5"/>
      <c r="AC545" s="5"/>
      <c r="AD545" s="5"/>
      <c r="AE545" s="5"/>
      <c r="AF545" s="5"/>
      <c r="AG545" s="5"/>
      <c r="AH545" s="5"/>
      <c r="AI545" s="5"/>
    </row>
    <row r="546" spans="1:35" ht="15.75" customHeight="1">
      <c r="A546" s="5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5"/>
      <c r="T546" s="5"/>
      <c r="U546" s="104"/>
      <c r="V546" s="5"/>
      <c r="W546" s="5"/>
      <c r="X546" s="5"/>
      <c r="Y546" s="5"/>
      <c r="Z546" s="7"/>
      <c r="AA546" s="5"/>
      <c r="AB546" s="5"/>
      <c r="AC546" s="5"/>
      <c r="AD546" s="5"/>
      <c r="AE546" s="5"/>
      <c r="AF546" s="5"/>
      <c r="AG546" s="5"/>
      <c r="AH546" s="5"/>
      <c r="AI546" s="5"/>
    </row>
    <row r="547" spans="1:35" ht="15.75" customHeight="1">
      <c r="A547" s="5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5"/>
      <c r="T547" s="5"/>
      <c r="U547" s="104"/>
      <c r="V547" s="5"/>
      <c r="W547" s="5"/>
      <c r="X547" s="5"/>
      <c r="Y547" s="5"/>
      <c r="Z547" s="7"/>
      <c r="AA547" s="5"/>
      <c r="AB547" s="5"/>
      <c r="AC547" s="5"/>
      <c r="AD547" s="5"/>
      <c r="AE547" s="5"/>
      <c r="AF547" s="5"/>
      <c r="AG547" s="5"/>
      <c r="AH547" s="5"/>
      <c r="AI547" s="5"/>
    </row>
    <row r="548" spans="1:35" ht="15.75" customHeight="1">
      <c r="A548" s="5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5"/>
      <c r="T548" s="5"/>
      <c r="U548" s="104"/>
      <c r="V548" s="5"/>
      <c r="W548" s="5"/>
      <c r="X548" s="5"/>
      <c r="Y548" s="5"/>
      <c r="Z548" s="7"/>
      <c r="AA548" s="5"/>
      <c r="AB548" s="5"/>
      <c r="AC548" s="5"/>
      <c r="AD548" s="5"/>
      <c r="AE548" s="5"/>
      <c r="AF548" s="5"/>
      <c r="AG548" s="5"/>
      <c r="AH548" s="5"/>
      <c r="AI548" s="5"/>
    </row>
    <row r="549" spans="1:35" ht="15.75" customHeight="1">
      <c r="A549" s="5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5"/>
      <c r="T549" s="5"/>
      <c r="U549" s="104"/>
      <c r="V549" s="5"/>
      <c r="W549" s="5"/>
      <c r="X549" s="5"/>
      <c r="Y549" s="5"/>
      <c r="Z549" s="7"/>
      <c r="AA549" s="5"/>
      <c r="AB549" s="5"/>
      <c r="AC549" s="5"/>
      <c r="AD549" s="5"/>
      <c r="AE549" s="5"/>
      <c r="AF549" s="5"/>
      <c r="AG549" s="5"/>
      <c r="AH549" s="5"/>
      <c r="AI549" s="5"/>
    </row>
    <row r="550" spans="1:35" ht="15.75" customHeight="1">
      <c r="A550" s="5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5"/>
      <c r="T550" s="5"/>
      <c r="U550" s="104"/>
      <c r="V550" s="5"/>
      <c r="W550" s="5"/>
      <c r="X550" s="5"/>
      <c r="Y550" s="5"/>
      <c r="Z550" s="7"/>
      <c r="AA550" s="5"/>
      <c r="AB550" s="5"/>
      <c r="AC550" s="5"/>
      <c r="AD550" s="5"/>
      <c r="AE550" s="5"/>
      <c r="AF550" s="5"/>
      <c r="AG550" s="5"/>
      <c r="AH550" s="5"/>
      <c r="AI550" s="5"/>
    </row>
    <row r="551" spans="1:35" ht="15.75" customHeight="1">
      <c r="A551" s="5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5"/>
      <c r="T551" s="5"/>
      <c r="U551" s="104"/>
      <c r="V551" s="5"/>
      <c r="W551" s="5"/>
      <c r="X551" s="5"/>
      <c r="Y551" s="5"/>
      <c r="Z551" s="7"/>
      <c r="AA551" s="5"/>
      <c r="AB551" s="5"/>
      <c r="AC551" s="5"/>
      <c r="AD551" s="5"/>
      <c r="AE551" s="5"/>
      <c r="AF551" s="5"/>
      <c r="AG551" s="5"/>
      <c r="AH551" s="5"/>
      <c r="AI551" s="5"/>
    </row>
    <row r="552" spans="1:35" ht="15.75" customHeight="1">
      <c r="A552" s="5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5"/>
      <c r="T552" s="5"/>
      <c r="U552" s="104"/>
      <c r="V552" s="5"/>
      <c r="W552" s="5"/>
      <c r="X552" s="5"/>
      <c r="Y552" s="5"/>
      <c r="Z552" s="7"/>
      <c r="AA552" s="5"/>
      <c r="AB552" s="5"/>
      <c r="AC552" s="5"/>
      <c r="AD552" s="5"/>
      <c r="AE552" s="5"/>
      <c r="AF552" s="5"/>
      <c r="AG552" s="5"/>
      <c r="AH552" s="5"/>
      <c r="AI552" s="5"/>
    </row>
    <row r="553" spans="1:35" ht="15.75" customHeight="1">
      <c r="A553" s="5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5"/>
      <c r="T553" s="5"/>
      <c r="U553" s="104"/>
      <c r="V553" s="5"/>
      <c r="W553" s="5"/>
      <c r="X553" s="5"/>
      <c r="Y553" s="5"/>
      <c r="Z553" s="7"/>
      <c r="AA553" s="5"/>
      <c r="AB553" s="5"/>
      <c r="AC553" s="5"/>
      <c r="AD553" s="5"/>
      <c r="AE553" s="5"/>
      <c r="AF553" s="5"/>
      <c r="AG553" s="5"/>
      <c r="AH553" s="5"/>
      <c r="AI553" s="5"/>
    </row>
    <row r="554" spans="1:35" ht="15.75" customHeight="1">
      <c r="A554" s="5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5"/>
      <c r="T554" s="5"/>
      <c r="U554" s="104"/>
      <c r="V554" s="5"/>
      <c r="W554" s="5"/>
      <c r="X554" s="5"/>
      <c r="Y554" s="5"/>
      <c r="Z554" s="7"/>
      <c r="AA554" s="5"/>
      <c r="AB554" s="5"/>
      <c r="AC554" s="5"/>
      <c r="AD554" s="5"/>
      <c r="AE554" s="5"/>
      <c r="AF554" s="5"/>
      <c r="AG554" s="5"/>
      <c r="AH554" s="5"/>
      <c r="AI554" s="5"/>
    </row>
    <row r="555" spans="1:35" ht="15.75" customHeight="1">
      <c r="A555" s="5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5"/>
      <c r="T555" s="5"/>
      <c r="U555" s="104"/>
      <c r="V555" s="5"/>
      <c r="W555" s="5"/>
      <c r="X555" s="5"/>
      <c r="Y555" s="5"/>
      <c r="Z555" s="7"/>
      <c r="AA555" s="5"/>
      <c r="AB555" s="5"/>
      <c r="AC555" s="5"/>
      <c r="AD555" s="5"/>
      <c r="AE555" s="5"/>
      <c r="AF555" s="5"/>
      <c r="AG555" s="5"/>
      <c r="AH555" s="5"/>
      <c r="AI555" s="5"/>
    </row>
    <row r="556" spans="1:35" ht="15.75" customHeight="1">
      <c r="A556" s="5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5"/>
      <c r="T556" s="5"/>
      <c r="U556" s="104"/>
      <c r="V556" s="5"/>
      <c r="W556" s="5"/>
      <c r="X556" s="5"/>
      <c r="Y556" s="5"/>
      <c r="Z556" s="7"/>
      <c r="AA556" s="5"/>
      <c r="AB556" s="5"/>
      <c r="AC556" s="5"/>
      <c r="AD556" s="5"/>
      <c r="AE556" s="5"/>
      <c r="AF556" s="5"/>
      <c r="AG556" s="5"/>
      <c r="AH556" s="5"/>
      <c r="AI556" s="5"/>
    </row>
    <row r="557" spans="1:35" ht="15.75" customHeight="1">
      <c r="A557" s="5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5"/>
      <c r="T557" s="5"/>
      <c r="U557" s="104"/>
      <c r="V557" s="5"/>
      <c r="W557" s="5"/>
      <c r="X557" s="5"/>
      <c r="Y557" s="5"/>
      <c r="Z557" s="7"/>
      <c r="AA557" s="5"/>
      <c r="AB557" s="5"/>
      <c r="AC557" s="5"/>
      <c r="AD557" s="5"/>
      <c r="AE557" s="5"/>
      <c r="AF557" s="5"/>
      <c r="AG557" s="5"/>
      <c r="AH557" s="5"/>
      <c r="AI557" s="5"/>
    </row>
    <row r="558" spans="1:35" ht="15.75" customHeight="1">
      <c r="A558" s="5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5"/>
      <c r="T558" s="5"/>
      <c r="U558" s="104"/>
      <c r="V558" s="5"/>
      <c r="W558" s="5"/>
      <c r="X558" s="5"/>
      <c r="Y558" s="5"/>
      <c r="Z558" s="7"/>
      <c r="AA558" s="5"/>
      <c r="AB558" s="5"/>
      <c r="AC558" s="5"/>
      <c r="AD558" s="5"/>
      <c r="AE558" s="5"/>
      <c r="AF558" s="5"/>
      <c r="AG558" s="5"/>
      <c r="AH558" s="5"/>
      <c r="AI558" s="5"/>
    </row>
    <row r="559" spans="1:35" ht="15.75" customHeight="1">
      <c r="A559" s="5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5"/>
      <c r="T559" s="5"/>
      <c r="U559" s="104"/>
      <c r="V559" s="5"/>
      <c r="W559" s="5"/>
      <c r="X559" s="5"/>
      <c r="Y559" s="5"/>
      <c r="Z559" s="7"/>
      <c r="AA559" s="5"/>
      <c r="AB559" s="5"/>
      <c r="AC559" s="5"/>
      <c r="AD559" s="5"/>
      <c r="AE559" s="5"/>
      <c r="AF559" s="5"/>
      <c r="AG559" s="5"/>
      <c r="AH559" s="5"/>
      <c r="AI559" s="5"/>
    </row>
    <row r="560" spans="1:35" ht="15.75" customHeight="1">
      <c r="A560" s="5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5"/>
      <c r="T560" s="5"/>
      <c r="U560" s="104"/>
      <c r="V560" s="5"/>
      <c r="W560" s="5"/>
      <c r="X560" s="5"/>
      <c r="Y560" s="5"/>
      <c r="Z560" s="7"/>
      <c r="AA560" s="5"/>
      <c r="AB560" s="5"/>
      <c r="AC560" s="5"/>
      <c r="AD560" s="5"/>
      <c r="AE560" s="5"/>
      <c r="AF560" s="5"/>
      <c r="AG560" s="5"/>
      <c r="AH560" s="5"/>
      <c r="AI560" s="5"/>
    </row>
    <row r="561" spans="1:35" ht="15.75" customHeight="1">
      <c r="A561" s="5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5"/>
      <c r="T561" s="5"/>
      <c r="U561" s="104"/>
      <c r="V561" s="5"/>
      <c r="W561" s="5"/>
      <c r="X561" s="5"/>
      <c r="Y561" s="5"/>
      <c r="Z561" s="7"/>
      <c r="AA561" s="5"/>
      <c r="AB561" s="5"/>
      <c r="AC561" s="5"/>
      <c r="AD561" s="5"/>
      <c r="AE561" s="5"/>
      <c r="AF561" s="5"/>
      <c r="AG561" s="5"/>
      <c r="AH561" s="5"/>
      <c r="AI561" s="5"/>
    </row>
    <row r="562" spans="1:35" ht="15.75" customHeight="1">
      <c r="A562" s="5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5"/>
      <c r="T562" s="5"/>
      <c r="U562" s="104"/>
      <c r="V562" s="5"/>
      <c r="W562" s="5"/>
      <c r="X562" s="5"/>
      <c r="Y562" s="5"/>
      <c r="Z562" s="7"/>
      <c r="AA562" s="5"/>
      <c r="AB562" s="5"/>
      <c r="AC562" s="5"/>
      <c r="AD562" s="5"/>
      <c r="AE562" s="5"/>
      <c r="AF562" s="5"/>
      <c r="AG562" s="5"/>
      <c r="AH562" s="5"/>
      <c r="AI562" s="5"/>
    </row>
    <row r="563" spans="1:35" ht="15.75" customHeight="1">
      <c r="A563" s="5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5"/>
      <c r="T563" s="5"/>
      <c r="U563" s="104"/>
      <c r="V563" s="5"/>
      <c r="W563" s="5"/>
      <c r="X563" s="5"/>
      <c r="Y563" s="5"/>
      <c r="Z563" s="7"/>
      <c r="AA563" s="5"/>
      <c r="AB563" s="5"/>
      <c r="AC563" s="5"/>
      <c r="AD563" s="5"/>
      <c r="AE563" s="5"/>
      <c r="AF563" s="5"/>
      <c r="AG563" s="5"/>
      <c r="AH563" s="5"/>
      <c r="AI563" s="5"/>
    </row>
    <row r="564" spans="1:35" ht="15.75" customHeight="1">
      <c r="A564" s="5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5"/>
      <c r="T564" s="5"/>
      <c r="U564" s="104"/>
      <c r="V564" s="5"/>
      <c r="W564" s="5"/>
      <c r="X564" s="5"/>
      <c r="Y564" s="5"/>
      <c r="Z564" s="7"/>
      <c r="AA564" s="5"/>
      <c r="AB564" s="5"/>
      <c r="AC564" s="5"/>
      <c r="AD564" s="5"/>
      <c r="AE564" s="5"/>
      <c r="AF564" s="5"/>
      <c r="AG564" s="5"/>
      <c r="AH564" s="5"/>
      <c r="AI564" s="5"/>
    </row>
    <row r="565" spans="1:35" ht="15.75" customHeight="1">
      <c r="A565" s="5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5"/>
      <c r="T565" s="5"/>
      <c r="U565" s="104"/>
      <c r="V565" s="5"/>
      <c r="W565" s="5"/>
      <c r="X565" s="5"/>
      <c r="Y565" s="5"/>
      <c r="Z565" s="7"/>
      <c r="AA565" s="5"/>
      <c r="AB565" s="5"/>
      <c r="AC565" s="5"/>
      <c r="AD565" s="5"/>
      <c r="AE565" s="5"/>
      <c r="AF565" s="5"/>
      <c r="AG565" s="5"/>
      <c r="AH565" s="5"/>
      <c r="AI565" s="5"/>
    </row>
    <row r="566" spans="1:35" ht="15.75" customHeight="1">
      <c r="A566" s="5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5"/>
      <c r="T566" s="5"/>
      <c r="U566" s="104"/>
      <c r="V566" s="5"/>
      <c r="W566" s="5"/>
      <c r="X566" s="5"/>
      <c r="Y566" s="5"/>
      <c r="Z566" s="7"/>
      <c r="AA566" s="5"/>
      <c r="AB566" s="5"/>
      <c r="AC566" s="5"/>
      <c r="AD566" s="5"/>
      <c r="AE566" s="5"/>
      <c r="AF566" s="5"/>
      <c r="AG566" s="5"/>
      <c r="AH566" s="5"/>
      <c r="AI566" s="5"/>
    </row>
    <row r="567" spans="1:35" ht="15.75" customHeight="1">
      <c r="A567" s="5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5"/>
      <c r="T567" s="5"/>
      <c r="U567" s="104"/>
      <c r="V567" s="5"/>
      <c r="W567" s="5"/>
      <c r="X567" s="5"/>
      <c r="Y567" s="5"/>
      <c r="Z567" s="7"/>
      <c r="AA567" s="5"/>
      <c r="AB567" s="5"/>
      <c r="AC567" s="5"/>
      <c r="AD567" s="5"/>
      <c r="AE567" s="5"/>
      <c r="AF567" s="5"/>
      <c r="AG567" s="5"/>
      <c r="AH567" s="5"/>
      <c r="AI567" s="5"/>
    </row>
    <row r="568" spans="1:35" ht="15.75" customHeight="1">
      <c r="A568" s="5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5"/>
      <c r="T568" s="5"/>
      <c r="U568" s="104"/>
      <c r="V568" s="5"/>
      <c r="W568" s="5"/>
      <c r="X568" s="5"/>
      <c r="Y568" s="5"/>
      <c r="Z568" s="7"/>
      <c r="AA568" s="5"/>
      <c r="AB568" s="5"/>
      <c r="AC568" s="5"/>
      <c r="AD568" s="5"/>
      <c r="AE568" s="5"/>
      <c r="AF568" s="5"/>
      <c r="AG568" s="5"/>
      <c r="AH568" s="5"/>
      <c r="AI568" s="5"/>
    </row>
    <row r="569" spans="1:35" ht="15.75" customHeight="1">
      <c r="A569" s="5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5"/>
      <c r="T569" s="5"/>
      <c r="U569" s="104"/>
      <c r="V569" s="5"/>
      <c r="W569" s="5"/>
      <c r="X569" s="5"/>
      <c r="Y569" s="5"/>
      <c r="Z569" s="7"/>
      <c r="AA569" s="5"/>
      <c r="AB569" s="5"/>
      <c r="AC569" s="5"/>
      <c r="AD569" s="5"/>
      <c r="AE569" s="5"/>
      <c r="AF569" s="5"/>
      <c r="AG569" s="5"/>
      <c r="AH569" s="5"/>
      <c r="AI569" s="5"/>
    </row>
    <row r="570" spans="1:35" ht="15.75" customHeight="1">
      <c r="A570" s="5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5"/>
      <c r="T570" s="5"/>
      <c r="U570" s="104"/>
      <c r="V570" s="5"/>
      <c r="W570" s="5"/>
      <c r="X570" s="5"/>
      <c r="Y570" s="5"/>
      <c r="Z570" s="7"/>
      <c r="AA570" s="5"/>
      <c r="AB570" s="5"/>
      <c r="AC570" s="5"/>
      <c r="AD570" s="5"/>
      <c r="AE570" s="5"/>
      <c r="AF570" s="5"/>
      <c r="AG570" s="5"/>
      <c r="AH570" s="5"/>
      <c r="AI570" s="5"/>
    </row>
    <row r="571" spans="1:35" ht="15.75" customHeight="1">
      <c r="A571" s="5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5"/>
      <c r="T571" s="5"/>
      <c r="U571" s="104"/>
      <c r="V571" s="5"/>
      <c r="W571" s="5"/>
      <c r="X571" s="5"/>
      <c r="Y571" s="5"/>
      <c r="Z571" s="7"/>
      <c r="AA571" s="5"/>
      <c r="AB571" s="5"/>
      <c r="AC571" s="5"/>
      <c r="AD571" s="5"/>
      <c r="AE571" s="5"/>
      <c r="AF571" s="5"/>
      <c r="AG571" s="5"/>
      <c r="AH571" s="5"/>
      <c r="AI571" s="5"/>
    </row>
    <row r="572" spans="1:35" ht="15.75" customHeight="1">
      <c r="A572" s="5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5"/>
      <c r="T572" s="5"/>
      <c r="U572" s="104"/>
      <c r="V572" s="5"/>
      <c r="W572" s="5"/>
      <c r="X572" s="5"/>
      <c r="Y572" s="5"/>
      <c r="Z572" s="7"/>
      <c r="AA572" s="5"/>
      <c r="AB572" s="5"/>
      <c r="AC572" s="5"/>
      <c r="AD572" s="5"/>
      <c r="AE572" s="5"/>
      <c r="AF572" s="5"/>
      <c r="AG572" s="5"/>
      <c r="AH572" s="5"/>
      <c r="AI572" s="5"/>
    </row>
    <row r="573" spans="1:35" ht="15.75" customHeight="1">
      <c r="A573" s="5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5"/>
      <c r="T573" s="5"/>
      <c r="U573" s="104"/>
      <c r="V573" s="5"/>
      <c r="W573" s="5"/>
      <c r="X573" s="5"/>
      <c r="Y573" s="5"/>
      <c r="Z573" s="7"/>
      <c r="AA573" s="5"/>
      <c r="AB573" s="5"/>
      <c r="AC573" s="5"/>
      <c r="AD573" s="5"/>
      <c r="AE573" s="5"/>
      <c r="AF573" s="5"/>
      <c r="AG573" s="5"/>
      <c r="AH573" s="5"/>
      <c r="AI573" s="5"/>
    </row>
    <row r="574" spans="1:35" ht="15.75" customHeight="1">
      <c r="A574" s="5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5"/>
      <c r="T574" s="5"/>
      <c r="U574" s="104"/>
      <c r="V574" s="5"/>
      <c r="W574" s="5"/>
      <c r="X574" s="5"/>
      <c r="Y574" s="5"/>
      <c r="Z574" s="7"/>
      <c r="AA574" s="5"/>
      <c r="AB574" s="5"/>
      <c r="AC574" s="5"/>
      <c r="AD574" s="5"/>
      <c r="AE574" s="5"/>
      <c r="AF574" s="5"/>
      <c r="AG574" s="5"/>
      <c r="AH574" s="5"/>
      <c r="AI574" s="5"/>
    </row>
    <row r="575" spans="1:35" ht="15.75" customHeight="1">
      <c r="A575" s="5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5"/>
      <c r="T575" s="5"/>
      <c r="U575" s="104"/>
      <c r="V575" s="5"/>
      <c r="W575" s="5"/>
      <c r="X575" s="5"/>
      <c r="Y575" s="5"/>
      <c r="Z575" s="7"/>
      <c r="AA575" s="5"/>
      <c r="AB575" s="5"/>
      <c r="AC575" s="5"/>
      <c r="AD575" s="5"/>
      <c r="AE575" s="5"/>
      <c r="AF575" s="5"/>
      <c r="AG575" s="5"/>
      <c r="AH575" s="5"/>
      <c r="AI575" s="5"/>
    </row>
    <row r="576" spans="1:35" ht="15.75" customHeight="1">
      <c r="A576" s="5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5"/>
      <c r="T576" s="5"/>
      <c r="U576" s="104"/>
      <c r="V576" s="5"/>
      <c r="W576" s="5"/>
      <c r="X576" s="5"/>
      <c r="Y576" s="5"/>
      <c r="Z576" s="7"/>
      <c r="AA576" s="5"/>
      <c r="AB576" s="5"/>
      <c r="AC576" s="5"/>
      <c r="AD576" s="5"/>
      <c r="AE576" s="5"/>
      <c r="AF576" s="5"/>
      <c r="AG576" s="5"/>
      <c r="AH576" s="5"/>
      <c r="AI576" s="5"/>
    </row>
    <row r="577" spans="1:35" ht="15.75" customHeight="1">
      <c r="A577" s="5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5"/>
      <c r="T577" s="5"/>
      <c r="U577" s="104"/>
      <c r="V577" s="5"/>
      <c r="W577" s="5"/>
      <c r="X577" s="5"/>
      <c r="Y577" s="5"/>
      <c r="Z577" s="7"/>
      <c r="AA577" s="5"/>
      <c r="AB577" s="5"/>
      <c r="AC577" s="5"/>
      <c r="AD577" s="5"/>
      <c r="AE577" s="5"/>
      <c r="AF577" s="5"/>
      <c r="AG577" s="5"/>
      <c r="AH577" s="5"/>
      <c r="AI577" s="5"/>
    </row>
    <row r="578" spans="1:35" ht="15.75" customHeight="1">
      <c r="A578" s="5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5"/>
      <c r="T578" s="5"/>
      <c r="U578" s="104"/>
      <c r="V578" s="5"/>
      <c r="W578" s="5"/>
      <c r="X578" s="5"/>
      <c r="Y578" s="5"/>
      <c r="Z578" s="7"/>
      <c r="AA578" s="5"/>
      <c r="AB578" s="5"/>
      <c r="AC578" s="5"/>
      <c r="AD578" s="5"/>
      <c r="AE578" s="5"/>
      <c r="AF578" s="5"/>
      <c r="AG578" s="5"/>
      <c r="AH578" s="5"/>
      <c r="AI578" s="5"/>
    </row>
    <row r="579" spans="1:35" ht="15.75" customHeight="1">
      <c r="A579" s="5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5"/>
      <c r="T579" s="5"/>
      <c r="U579" s="104"/>
      <c r="V579" s="5"/>
      <c r="W579" s="5"/>
      <c r="X579" s="5"/>
      <c r="Y579" s="5"/>
      <c r="Z579" s="7"/>
      <c r="AA579" s="5"/>
      <c r="AB579" s="5"/>
      <c r="AC579" s="5"/>
      <c r="AD579" s="5"/>
      <c r="AE579" s="5"/>
      <c r="AF579" s="5"/>
      <c r="AG579" s="5"/>
      <c r="AH579" s="5"/>
      <c r="AI579" s="5"/>
    </row>
    <row r="580" spans="1:35" ht="15.75" customHeight="1">
      <c r="A580" s="5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5"/>
      <c r="T580" s="5"/>
      <c r="U580" s="104"/>
      <c r="V580" s="5"/>
      <c r="W580" s="5"/>
      <c r="X580" s="5"/>
      <c r="Y580" s="5"/>
      <c r="Z580" s="7"/>
      <c r="AA580" s="5"/>
      <c r="AB580" s="5"/>
      <c r="AC580" s="5"/>
      <c r="AD580" s="5"/>
      <c r="AE580" s="5"/>
      <c r="AF580" s="5"/>
      <c r="AG580" s="5"/>
      <c r="AH580" s="5"/>
      <c r="AI580" s="5"/>
    </row>
    <row r="581" spans="1:35" ht="15.75" customHeight="1">
      <c r="A581" s="5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5"/>
      <c r="T581" s="5"/>
      <c r="U581" s="104"/>
      <c r="V581" s="5"/>
      <c r="W581" s="5"/>
      <c r="X581" s="5"/>
      <c r="Y581" s="5"/>
      <c r="Z581" s="7"/>
      <c r="AA581" s="5"/>
      <c r="AB581" s="5"/>
      <c r="AC581" s="5"/>
      <c r="AD581" s="5"/>
      <c r="AE581" s="5"/>
      <c r="AF581" s="5"/>
      <c r="AG581" s="5"/>
      <c r="AH581" s="5"/>
      <c r="AI581" s="5"/>
    </row>
    <row r="582" spans="1:35" ht="15.75" customHeight="1">
      <c r="A582" s="5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5"/>
      <c r="T582" s="5"/>
      <c r="U582" s="104"/>
      <c r="V582" s="5"/>
      <c r="W582" s="5"/>
      <c r="X582" s="5"/>
      <c r="Y582" s="5"/>
      <c r="Z582" s="7"/>
      <c r="AA582" s="5"/>
      <c r="AB582" s="5"/>
      <c r="AC582" s="5"/>
      <c r="AD582" s="5"/>
      <c r="AE582" s="5"/>
      <c r="AF582" s="5"/>
      <c r="AG582" s="5"/>
      <c r="AH582" s="5"/>
      <c r="AI582" s="5"/>
    </row>
    <row r="583" spans="1:35" ht="15.75" customHeight="1">
      <c r="A583" s="5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5"/>
      <c r="T583" s="5"/>
      <c r="U583" s="104"/>
      <c r="V583" s="5"/>
      <c r="W583" s="5"/>
      <c r="X583" s="5"/>
      <c r="Y583" s="5"/>
      <c r="Z583" s="7"/>
      <c r="AA583" s="5"/>
      <c r="AB583" s="5"/>
      <c r="AC583" s="5"/>
      <c r="AD583" s="5"/>
      <c r="AE583" s="5"/>
      <c r="AF583" s="5"/>
      <c r="AG583" s="5"/>
      <c r="AH583" s="5"/>
      <c r="AI583" s="5"/>
    </row>
    <row r="584" spans="1:35" ht="15.75" customHeight="1">
      <c r="A584" s="5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5"/>
      <c r="T584" s="5"/>
      <c r="U584" s="104"/>
      <c r="V584" s="5"/>
      <c r="W584" s="5"/>
      <c r="X584" s="5"/>
      <c r="Y584" s="5"/>
      <c r="Z584" s="7"/>
      <c r="AA584" s="5"/>
      <c r="AB584" s="5"/>
      <c r="AC584" s="5"/>
      <c r="AD584" s="5"/>
      <c r="AE584" s="5"/>
      <c r="AF584" s="5"/>
      <c r="AG584" s="5"/>
      <c r="AH584" s="5"/>
      <c r="AI584" s="5"/>
    </row>
    <row r="585" spans="1:35" ht="15.75" customHeight="1">
      <c r="A585" s="5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5"/>
      <c r="T585" s="5"/>
      <c r="U585" s="104"/>
      <c r="V585" s="5"/>
      <c r="W585" s="5"/>
      <c r="X585" s="5"/>
      <c r="Y585" s="5"/>
      <c r="Z585" s="7"/>
      <c r="AA585" s="5"/>
      <c r="AB585" s="5"/>
      <c r="AC585" s="5"/>
      <c r="AD585" s="5"/>
      <c r="AE585" s="5"/>
      <c r="AF585" s="5"/>
      <c r="AG585" s="5"/>
      <c r="AH585" s="5"/>
      <c r="AI585" s="5"/>
    </row>
    <row r="586" spans="1:35" ht="15.75" customHeight="1">
      <c r="A586" s="5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5"/>
      <c r="T586" s="5"/>
      <c r="U586" s="104"/>
      <c r="V586" s="5"/>
      <c r="W586" s="5"/>
      <c r="X586" s="5"/>
      <c r="Y586" s="5"/>
      <c r="Z586" s="7"/>
      <c r="AA586" s="5"/>
      <c r="AB586" s="5"/>
      <c r="AC586" s="5"/>
      <c r="AD586" s="5"/>
      <c r="AE586" s="5"/>
      <c r="AF586" s="5"/>
      <c r="AG586" s="5"/>
      <c r="AH586" s="5"/>
      <c r="AI586" s="5"/>
    </row>
    <row r="587" spans="1:35" ht="15.75" customHeight="1">
      <c r="A587" s="5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5"/>
      <c r="T587" s="5"/>
      <c r="U587" s="104"/>
      <c r="V587" s="5"/>
      <c r="W587" s="5"/>
      <c r="X587" s="5"/>
      <c r="Y587" s="5"/>
      <c r="Z587" s="7"/>
      <c r="AA587" s="5"/>
      <c r="AB587" s="5"/>
      <c r="AC587" s="5"/>
      <c r="AD587" s="5"/>
      <c r="AE587" s="5"/>
      <c r="AF587" s="5"/>
      <c r="AG587" s="5"/>
      <c r="AH587" s="5"/>
      <c r="AI587" s="5"/>
    </row>
    <row r="588" spans="1:35" ht="15.75" customHeight="1">
      <c r="A588" s="5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5"/>
      <c r="T588" s="5"/>
      <c r="U588" s="104"/>
      <c r="V588" s="5"/>
      <c r="W588" s="5"/>
      <c r="X588" s="5"/>
      <c r="Y588" s="5"/>
      <c r="Z588" s="7"/>
      <c r="AA588" s="5"/>
      <c r="AB588" s="5"/>
      <c r="AC588" s="5"/>
      <c r="AD588" s="5"/>
      <c r="AE588" s="5"/>
      <c r="AF588" s="5"/>
      <c r="AG588" s="5"/>
      <c r="AH588" s="5"/>
      <c r="AI588" s="5"/>
    </row>
    <row r="589" spans="1:35" ht="15.75" customHeight="1">
      <c r="A589" s="5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5"/>
      <c r="T589" s="5"/>
      <c r="U589" s="104"/>
      <c r="V589" s="5"/>
      <c r="W589" s="5"/>
      <c r="X589" s="5"/>
      <c r="Y589" s="5"/>
      <c r="Z589" s="7"/>
      <c r="AA589" s="5"/>
      <c r="AB589" s="5"/>
      <c r="AC589" s="5"/>
      <c r="AD589" s="5"/>
      <c r="AE589" s="5"/>
      <c r="AF589" s="5"/>
      <c r="AG589" s="5"/>
      <c r="AH589" s="5"/>
      <c r="AI589" s="5"/>
    </row>
    <row r="590" spans="1:35" ht="15.75" customHeight="1">
      <c r="A590" s="5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5"/>
      <c r="T590" s="5"/>
      <c r="U590" s="104"/>
      <c r="V590" s="5"/>
      <c r="W590" s="5"/>
      <c r="X590" s="5"/>
      <c r="Y590" s="5"/>
      <c r="Z590" s="7"/>
      <c r="AA590" s="5"/>
      <c r="AB590" s="5"/>
      <c r="AC590" s="5"/>
      <c r="AD590" s="5"/>
      <c r="AE590" s="5"/>
      <c r="AF590" s="5"/>
      <c r="AG590" s="5"/>
      <c r="AH590" s="5"/>
      <c r="AI590" s="5"/>
    </row>
    <row r="591" spans="1:35" ht="15.75" customHeight="1">
      <c r="A591" s="5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5"/>
      <c r="T591" s="5"/>
      <c r="U591" s="104"/>
      <c r="V591" s="5"/>
      <c r="W591" s="5"/>
      <c r="X591" s="5"/>
      <c r="Y591" s="5"/>
      <c r="Z591" s="7"/>
      <c r="AA591" s="5"/>
      <c r="AB591" s="5"/>
      <c r="AC591" s="5"/>
      <c r="AD591" s="5"/>
      <c r="AE591" s="5"/>
      <c r="AF591" s="5"/>
      <c r="AG591" s="5"/>
      <c r="AH591" s="5"/>
      <c r="AI591" s="5"/>
    </row>
    <row r="592" spans="1:35" ht="15.75" customHeight="1">
      <c r="A592" s="5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5"/>
      <c r="T592" s="5"/>
      <c r="U592" s="104"/>
      <c r="V592" s="5"/>
      <c r="W592" s="5"/>
      <c r="X592" s="5"/>
      <c r="Y592" s="5"/>
      <c r="Z592" s="7"/>
      <c r="AA592" s="5"/>
      <c r="AB592" s="5"/>
      <c r="AC592" s="5"/>
      <c r="AD592" s="5"/>
      <c r="AE592" s="5"/>
      <c r="AF592" s="5"/>
      <c r="AG592" s="5"/>
      <c r="AH592" s="5"/>
      <c r="AI592" s="5"/>
    </row>
    <row r="593" spans="1:35" ht="15.75" customHeight="1">
      <c r="A593" s="5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5"/>
      <c r="T593" s="5"/>
      <c r="U593" s="104"/>
      <c r="V593" s="5"/>
      <c r="W593" s="5"/>
      <c r="X593" s="5"/>
      <c r="Y593" s="5"/>
      <c r="Z593" s="7"/>
      <c r="AA593" s="5"/>
      <c r="AB593" s="5"/>
      <c r="AC593" s="5"/>
      <c r="AD593" s="5"/>
      <c r="AE593" s="5"/>
      <c r="AF593" s="5"/>
      <c r="AG593" s="5"/>
      <c r="AH593" s="5"/>
      <c r="AI593" s="5"/>
    </row>
    <row r="594" spans="1:35" ht="15.75" customHeight="1">
      <c r="A594" s="5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5"/>
      <c r="T594" s="5"/>
      <c r="U594" s="104"/>
      <c r="V594" s="5"/>
      <c r="W594" s="5"/>
      <c r="X594" s="5"/>
      <c r="Y594" s="5"/>
      <c r="Z594" s="7"/>
      <c r="AA594" s="5"/>
      <c r="AB594" s="5"/>
      <c r="AC594" s="5"/>
      <c r="AD594" s="5"/>
      <c r="AE594" s="5"/>
      <c r="AF594" s="5"/>
      <c r="AG594" s="5"/>
      <c r="AH594" s="5"/>
      <c r="AI594" s="5"/>
    </row>
    <row r="595" spans="1:35" ht="15.75" customHeight="1">
      <c r="A595" s="5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5"/>
      <c r="T595" s="5"/>
      <c r="U595" s="104"/>
      <c r="V595" s="5"/>
      <c r="W595" s="5"/>
      <c r="X595" s="5"/>
      <c r="Y595" s="5"/>
      <c r="Z595" s="7"/>
      <c r="AA595" s="5"/>
      <c r="AB595" s="5"/>
      <c r="AC595" s="5"/>
      <c r="AD595" s="5"/>
      <c r="AE595" s="5"/>
      <c r="AF595" s="5"/>
      <c r="AG595" s="5"/>
      <c r="AH595" s="5"/>
      <c r="AI595" s="5"/>
    </row>
    <row r="596" spans="1:35" ht="15.75" customHeight="1">
      <c r="A596" s="5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5"/>
      <c r="T596" s="5"/>
      <c r="U596" s="104"/>
      <c r="V596" s="5"/>
      <c r="W596" s="5"/>
      <c r="X596" s="5"/>
      <c r="Y596" s="5"/>
      <c r="Z596" s="7"/>
      <c r="AA596" s="5"/>
      <c r="AB596" s="5"/>
      <c r="AC596" s="5"/>
      <c r="AD596" s="5"/>
      <c r="AE596" s="5"/>
      <c r="AF596" s="5"/>
      <c r="AG596" s="5"/>
      <c r="AH596" s="5"/>
      <c r="AI596" s="5"/>
    </row>
    <row r="597" spans="1:35" ht="15.75" customHeight="1">
      <c r="A597" s="5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5"/>
      <c r="T597" s="5"/>
      <c r="U597" s="104"/>
      <c r="V597" s="5"/>
      <c r="W597" s="5"/>
      <c r="X597" s="5"/>
      <c r="Y597" s="5"/>
      <c r="Z597" s="7"/>
      <c r="AA597" s="5"/>
      <c r="AB597" s="5"/>
      <c r="AC597" s="5"/>
      <c r="AD597" s="5"/>
      <c r="AE597" s="5"/>
      <c r="AF597" s="5"/>
      <c r="AG597" s="5"/>
      <c r="AH597" s="5"/>
      <c r="AI597" s="5"/>
    </row>
    <row r="598" spans="1:35" ht="15.75" customHeight="1">
      <c r="A598" s="5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5"/>
      <c r="T598" s="5"/>
      <c r="U598" s="104"/>
      <c r="V598" s="5"/>
      <c r="W598" s="5"/>
      <c r="X598" s="5"/>
      <c r="Y598" s="5"/>
      <c r="Z598" s="7"/>
      <c r="AA598" s="5"/>
      <c r="AB598" s="5"/>
      <c r="AC598" s="5"/>
      <c r="AD598" s="5"/>
      <c r="AE598" s="5"/>
      <c r="AF598" s="5"/>
      <c r="AG598" s="5"/>
      <c r="AH598" s="5"/>
      <c r="AI598" s="5"/>
    </row>
    <row r="599" spans="1:35" ht="15.75" customHeight="1">
      <c r="A599" s="5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5"/>
      <c r="T599" s="5"/>
      <c r="U599" s="104"/>
      <c r="V599" s="5"/>
      <c r="W599" s="5"/>
      <c r="X599" s="5"/>
      <c r="Y599" s="5"/>
      <c r="Z599" s="7"/>
      <c r="AA599" s="5"/>
      <c r="AB599" s="5"/>
      <c r="AC599" s="5"/>
      <c r="AD599" s="5"/>
      <c r="AE599" s="5"/>
      <c r="AF599" s="5"/>
      <c r="AG599" s="5"/>
      <c r="AH599" s="5"/>
      <c r="AI599" s="5"/>
    </row>
    <row r="600" spans="1:35" ht="15.75" customHeight="1">
      <c r="A600" s="5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5"/>
      <c r="T600" s="5"/>
      <c r="U600" s="104"/>
      <c r="V600" s="5"/>
      <c r="W600" s="5"/>
      <c r="X600" s="5"/>
      <c r="Y600" s="5"/>
      <c r="Z600" s="7"/>
      <c r="AA600" s="5"/>
      <c r="AB600" s="5"/>
      <c r="AC600" s="5"/>
      <c r="AD600" s="5"/>
      <c r="AE600" s="5"/>
      <c r="AF600" s="5"/>
      <c r="AG600" s="5"/>
      <c r="AH600" s="5"/>
      <c r="AI600" s="5"/>
    </row>
    <row r="601" spans="1:35" ht="15.75" customHeight="1">
      <c r="A601" s="5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5"/>
      <c r="T601" s="5"/>
      <c r="U601" s="104"/>
      <c r="V601" s="5"/>
      <c r="W601" s="5"/>
      <c r="X601" s="5"/>
      <c r="Y601" s="5"/>
      <c r="Z601" s="7"/>
      <c r="AA601" s="5"/>
      <c r="AB601" s="5"/>
      <c r="AC601" s="5"/>
      <c r="AD601" s="5"/>
      <c r="AE601" s="5"/>
      <c r="AF601" s="5"/>
      <c r="AG601" s="5"/>
      <c r="AH601" s="5"/>
      <c r="AI601" s="5"/>
    </row>
    <row r="602" spans="1:35" ht="15.75" customHeight="1">
      <c r="A602" s="5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5"/>
      <c r="T602" s="5"/>
      <c r="U602" s="104"/>
      <c r="V602" s="5"/>
      <c r="W602" s="5"/>
      <c r="X602" s="5"/>
      <c r="Y602" s="5"/>
      <c r="Z602" s="7"/>
      <c r="AA602" s="5"/>
      <c r="AB602" s="5"/>
      <c r="AC602" s="5"/>
      <c r="AD602" s="5"/>
      <c r="AE602" s="5"/>
      <c r="AF602" s="5"/>
      <c r="AG602" s="5"/>
      <c r="AH602" s="5"/>
      <c r="AI602" s="5"/>
    </row>
    <row r="603" spans="1:35" ht="15.75" customHeight="1">
      <c r="A603" s="5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5"/>
      <c r="T603" s="5"/>
      <c r="U603" s="104"/>
      <c r="V603" s="5"/>
      <c r="W603" s="5"/>
      <c r="X603" s="5"/>
      <c r="Y603" s="5"/>
      <c r="Z603" s="7"/>
      <c r="AA603" s="5"/>
      <c r="AB603" s="5"/>
      <c r="AC603" s="5"/>
      <c r="AD603" s="5"/>
      <c r="AE603" s="5"/>
      <c r="AF603" s="5"/>
      <c r="AG603" s="5"/>
      <c r="AH603" s="5"/>
      <c r="AI603" s="5"/>
    </row>
    <row r="604" spans="1:35" ht="15.75" customHeight="1">
      <c r="A604" s="5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5"/>
      <c r="T604" s="5"/>
      <c r="U604" s="104"/>
      <c r="V604" s="5"/>
      <c r="W604" s="5"/>
      <c r="X604" s="5"/>
      <c r="Y604" s="5"/>
      <c r="Z604" s="7"/>
      <c r="AA604" s="5"/>
      <c r="AB604" s="5"/>
      <c r="AC604" s="5"/>
      <c r="AD604" s="5"/>
      <c r="AE604" s="5"/>
      <c r="AF604" s="5"/>
      <c r="AG604" s="5"/>
      <c r="AH604" s="5"/>
      <c r="AI604" s="5"/>
    </row>
    <row r="605" spans="1:35" ht="15.75" customHeight="1">
      <c r="A605" s="5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5"/>
      <c r="T605" s="5"/>
      <c r="U605" s="104"/>
      <c r="V605" s="5"/>
      <c r="W605" s="5"/>
      <c r="X605" s="5"/>
      <c r="Y605" s="5"/>
      <c r="Z605" s="7"/>
      <c r="AA605" s="5"/>
      <c r="AB605" s="5"/>
      <c r="AC605" s="5"/>
      <c r="AD605" s="5"/>
      <c r="AE605" s="5"/>
      <c r="AF605" s="5"/>
      <c r="AG605" s="5"/>
      <c r="AH605" s="5"/>
      <c r="AI605" s="5"/>
    </row>
    <row r="606" spans="1:35" ht="15.75" customHeight="1">
      <c r="A606" s="5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5"/>
      <c r="T606" s="5"/>
      <c r="U606" s="104"/>
      <c r="V606" s="5"/>
      <c r="W606" s="5"/>
      <c r="X606" s="5"/>
      <c r="Y606" s="5"/>
      <c r="Z606" s="7"/>
      <c r="AA606" s="5"/>
      <c r="AB606" s="5"/>
      <c r="AC606" s="5"/>
      <c r="AD606" s="5"/>
      <c r="AE606" s="5"/>
      <c r="AF606" s="5"/>
      <c r="AG606" s="5"/>
      <c r="AH606" s="5"/>
      <c r="AI606" s="5"/>
    </row>
    <row r="607" spans="1:35" ht="15.75" customHeight="1">
      <c r="A607" s="5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5"/>
      <c r="T607" s="5"/>
      <c r="U607" s="104"/>
      <c r="V607" s="5"/>
      <c r="W607" s="5"/>
      <c r="X607" s="5"/>
      <c r="Y607" s="5"/>
      <c r="Z607" s="7"/>
      <c r="AA607" s="5"/>
      <c r="AB607" s="5"/>
      <c r="AC607" s="5"/>
      <c r="AD607" s="5"/>
      <c r="AE607" s="5"/>
      <c r="AF607" s="5"/>
      <c r="AG607" s="5"/>
      <c r="AH607" s="5"/>
      <c r="AI607" s="5"/>
    </row>
    <row r="608" spans="1:35" ht="15.75" customHeight="1">
      <c r="A608" s="5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5"/>
      <c r="T608" s="5"/>
      <c r="U608" s="104"/>
      <c r="V608" s="5"/>
      <c r="W608" s="5"/>
      <c r="X608" s="5"/>
      <c r="Y608" s="5"/>
      <c r="Z608" s="7"/>
      <c r="AA608" s="5"/>
      <c r="AB608" s="5"/>
      <c r="AC608" s="5"/>
      <c r="AD608" s="5"/>
      <c r="AE608" s="5"/>
      <c r="AF608" s="5"/>
      <c r="AG608" s="5"/>
      <c r="AH608" s="5"/>
      <c r="AI608" s="5"/>
    </row>
    <row r="609" spans="1:35" ht="15.75" customHeight="1">
      <c r="A609" s="5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5"/>
      <c r="T609" s="5"/>
      <c r="U609" s="104"/>
      <c r="V609" s="5"/>
      <c r="W609" s="5"/>
      <c r="X609" s="5"/>
      <c r="Y609" s="5"/>
      <c r="Z609" s="7"/>
      <c r="AA609" s="5"/>
      <c r="AB609" s="5"/>
      <c r="AC609" s="5"/>
      <c r="AD609" s="5"/>
      <c r="AE609" s="5"/>
      <c r="AF609" s="5"/>
      <c r="AG609" s="5"/>
      <c r="AH609" s="5"/>
      <c r="AI609" s="5"/>
    </row>
    <row r="610" spans="1:35" ht="15.75" customHeight="1">
      <c r="A610" s="5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5"/>
      <c r="T610" s="5"/>
      <c r="U610" s="104"/>
      <c r="V610" s="5"/>
      <c r="W610" s="5"/>
      <c r="X610" s="5"/>
      <c r="Y610" s="5"/>
      <c r="Z610" s="7"/>
      <c r="AA610" s="5"/>
      <c r="AB610" s="5"/>
      <c r="AC610" s="5"/>
      <c r="AD610" s="5"/>
      <c r="AE610" s="5"/>
      <c r="AF610" s="5"/>
      <c r="AG610" s="5"/>
      <c r="AH610" s="5"/>
      <c r="AI610" s="5"/>
    </row>
    <row r="611" spans="1:35" ht="15.75" customHeight="1">
      <c r="A611" s="5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5"/>
      <c r="T611" s="5"/>
      <c r="U611" s="104"/>
      <c r="V611" s="5"/>
      <c r="W611" s="5"/>
      <c r="X611" s="5"/>
      <c r="Y611" s="5"/>
      <c r="Z611" s="7"/>
      <c r="AA611" s="5"/>
      <c r="AB611" s="5"/>
      <c r="AC611" s="5"/>
      <c r="AD611" s="5"/>
      <c r="AE611" s="5"/>
      <c r="AF611" s="5"/>
      <c r="AG611" s="5"/>
      <c r="AH611" s="5"/>
      <c r="AI611" s="5"/>
    </row>
    <row r="612" spans="1:35" ht="15.75" customHeight="1">
      <c r="A612" s="5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5"/>
      <c r="T612" s="5"/>
      <c r="U612" s="104"/>
      <c r="V612" s="5"/>
      <c r="W612" s="5"/>
      <c r="X612" s="5"/>
      <c r="Y612" s="5"/>
      <c r="Z612" s="7"/>
      <c r="AA612" s="5"/>
      <c r="AB612" s="5"/>
      <c r="AC612" s="5"/>
      <c r="AD612" s="5"/>
      <c r="AE612" s="5"/>
      <c r="AF612" s="5"/>
      <c r="AG612" s="5"/>
      <c r="AH612" s="5"/>
      <c r="AI612" s="5"/>
    </row>
    <row r="613" spans="1:35" ht="15.75" customHeight="1">
      <c r="A613" s="5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5"/>
      <c r="T613" s="5"/>
      <c r="U613" s="104"/>
      <c r="V613" s="5"/>
      <c r="W613" s="5"/>
      <c r="X613" s="5"/>
      <c r="Y613" s="5"/>
      <c r="Z613" s="7"/>
      <c r="AA613" s="5"/>
      <c r="AB613" s="5"/>
      <c r="AC613" s="5"/>
      <c r="AD613" s="5"/>
      <c r="AE613" s="5"/>
      <c r="AF613" s="5"/>
      <c r="AG613" s="5"/>
      <c r="AH613" s="5"/>
      <c r="AI613" s="5"/>
    </row>
    <row r="614" spans="1:35" ht="15.75" customHeight="1">
      <c r="A614" s="5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5"/>
      <c r="T614" s="5"/>
      <c r="U614" s="104"/>
      <c r="V614" s="5"/>
      <c r="W614" s="5"/>
      <c r="X614" s="5"/>
      <c r="Y614" s="5"/>
      <c r="Z614" s="7"/>
      <c r="AA614" s="5"/>
      <c r="AB614" s="5"/>
      <c r="AC614" s="5"/>
      <c r="AD614" s="5"/>
      <c r="AE614" s="5"/>
      <c r="AF614" s="5"/>
      <c r="AG614" s="5"/>
      <c r="AH614" s="5"/>
      <c r="AI614" s="5"/>
    </row>
    <row r="615" spans="1:35" ht="15.75" customHeight="1">
      <c r="A615" s="5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5"/>
      <c r="T615" s="5"/>
      <c r="U615" s="104"/>
      <c r="V615" s="5"/>
      <c r="W615" s="5"/>
      <c r="X615" s="5"/>
      <c r="Y615" s="5"/>
      <c r="Z615" s="7"/>
      <c r="AA615" s="5"/>
      <c r="AB615" s="5"/>
      <c r="AC615" s="5"/>
      <c r="AD615" s="5"/>
      <c r="AE615" s="5"/>
      <c r="AF615" s="5"/>
      <c r="AG615" s="5"/>
      <c r="AH615" s="5"/>
      <c r="AI615" s="5"/>
    </row>
    <row r="616" spans="1:35" ht="15.75" customHeight="1">
      <c r="A616" s="5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5"/>
      <c r="T616" s="5"/>
      <c r="U616" s="104"/>
      <c r="V616" s="5"/>
      <c r="W616" s="5"/>
      <c r="X616" s="5"/>
      <c r="Y616" s="5"/>
      <c r="Z616" s="7"/>
      <c r="AA616" s="5"/>
      <c r="AB616" s="5"/>
      <c r="AC616" s="5"/>
      <c r="AD616" s="5"/>
      <c r="AE616" s="5"/>
      <c r="AF616" s="5"/>
      <c r="AG616" s="5"/>
      <c r="AH616" s="5"/>
      <c r="AI616" s="5"/>
    </row>
    <row r="617" spans="1:35" ht="15.75" customHeight="1">
      <c r="A617" s="5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5"/>
      <c r="T617" s="5"/>
      <c r="U617" s="104"/>
      <c r="V617" s="5"/>
      <c r="W617" s="5"/>
      <c r="X617" s="5"/>
      <c r="Y617" s="5"/>
      <c r="Z617" s="7"/>
      <c r="AA617" s="5"/>
      <c r="AB617" s="5"/>
      <c r="AC617" s="5"/>
      <c r="AD617" s="5"/>
      <c r="AE617" s="5"/>
      <c r="AF617" s="5"/>
      <c r="AG617" s="5"/>
      <c r="AH617" s="5"/>
      <c r="AI617" s="5"/>
    </row>
    <row r="618" spans="1:35" ht="15.75" customHeight="1">
      <c r="A618" s="5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5"/>
      <c r="T618" s="5"/>
      <c r="U618" s="104"/>
      <c r="V618" s="5"/>
      <c r="W618" s="5"/>
      <c r="X618" s="5"/>
      <c r="Y618" s="5"/>
      <c r="Z618" s="7"/>
      <c r="AA618" s="5"/>
      <c r="AB618" s="5"/>
      <c r="AC618" s="5"/>
      <c r="AD618" s="5"/>
      <c r="AE618" s="5"/>
      <c r="AF618" s="5"/>
      <c r="AG618" s="5"/>
      <c r="AH618" s="5"/>
      <c r="AI618" s="5"/>
    </row>
    <row r="619" spans="1:35" ht="15.75" customHeight="1">
      <c r="A619" s="5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5"/>
      <c r="T619" s="5"/>
      <c r="U619" s="104"/>
      <c r="V619" s="5"/>
      <c r="W619" s="5"/>
      <c r="X619" s="5"/>
      <c r="Y619" s="5"/>
      <c r="Z619" s="7"/>
      <c r="AA619" s="5"/>
      <c r="AB619" s="5"/>
      <c r="AC619" s="5"/>
      <c r="AD619" s="5"/>
      <c r="AE619" s="5"/>
      <c r="AF619" s="5"/>
      <c r="AG619" s="5"/>
      <c r="AH619" s="5"/>
      <c r="AI619" s="5"/>
    </row>
    <row r="620" spans="1:35" ht="15.75" customHeight="1">
      <c r="A620" s="5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5"/>
      <c r="T620" s="5"/>
      <c r="U620" s="104"/>
      <c r="V620" s="5"/>
      <c r="W620" s="5"/>
      <c r="X620" s="5"/>
      <c r="Y620" s="5"/>
      <c r="Z620" s="7"/>
      <c r="AA620" s="5"/>
      <c r="AB620" s="5"/>
      <c r="AC620" s="5"/>
      <c r="AD620" s="5"/>
      <c r="AE620" s="5"/>
      <c r="AF620" s="5"/>
      <c r="AG620" s="5"/>
      <c r="AH620" s="5"/>
      <c r="AI620" s="5"/>
    </row>
    <row r="621" spans="1:35" ht="15.75" customHeight="1">
      <c r="A621" s="5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5"/>
      <c r="T621" s="5"/>
      <c r="U621" s="104"/>
      <c r="V621" s="5"/>
      <c r="W621" s="5"/>
      <c r="X621" s="5"/>
      <c r="Y621" s="5"/>
      <c r="Z621" s="7"/>
      <c r="AA621" s="5"/>
      <c r="AB621" s="5"/>
      <c r="AC621" s="5"/>
      <c r="AD621" s="5"/>
      <c r="AE621" s="5"/>
      <c r="AF621" s="5"/>
      <c r="AG621" s="5"/>
      <c r="AH621" s="5"/>
      <c r="AI621" s="5"/>
    </row>
    <row r="622" spans="1:35" ht="15.75" customHeight="1">
      <c r="A622" s="5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5"/>
      <c r="T622" s="5"/>
      <c r="U622" s="104"/>
      <c r="V622" s="5"/>
      <c r="W622" s="5"/>
      <c r="X622" s="5"/>
      <c r="Y622" s="5"/>
      <c r="Z622" s="7"/>
      <c r="AA622" s="5"/>
      <c r="AB622" s="5"/>
      <c r="AC622" s="5"/>
      <c r="AD622" s="5"/>
      <c r="AE622" s="5"/>
      <c r="AF622" s="5"/>
      <c r="AG622" s="5"/>
      <c r="AH622" s="5"/>
      <c r="AI622" s="5"/>
    </row>
    <row r="623" spans="1:35" ht="15.75" customHeight="1">
      <c r="A623" s="5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5"/>
      <c r="T623" s="5"/>
      <c r="U623" s="104"/>
      <c r="V623" s="5"/>
      <c r="W623" s="5"/>
      <c r="X623" s="5"/>
      <c r="Y623" s="5"/>
      <c r="Z623" s="7"/>
      <c r="AA623" s="5"/>
      <c r="AB623" s="5"/>
      <c r="AC623" s="5"/>
      <c r="AD623" s="5"/>
      <c r="AE623" s="5"/>
      <c r="AF623" s="5"/>
      <c r="AG623" s="5"/>
      <c r="AH623" s="5"/>
      <c r="AI623" s="5"/>
    </row>
    <row r="624" spans="1:35" ht="15.75" customHeight="1">
      <c r="A624" s="5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5"/>
      <c r="T624" s="5"/>
      <c r="U624" s="104"/>
      <c r="V624" s="5"/>
      <c r="W624" s="5"/>
      <c r="X624" s="5"/>
      <c r="Y624" s="5"/>
      <c r="Z624" s="7"/>
      <c r="AA624" s="5"/>
      <c r="AB624" s="5"/>
      <c r="AC624" s="5"/>
      <c r="AD624" s="5"/>
      <c r="AE624" s="5"/>
      <c r="AF624" s="5"/>
      <c r="AG624" s="5"/>
      <c r="AH624" s="5"/>
      <c r="AI624" s="5"/>
    </row>
    <row r="625" spans="1:35" ht="15.75" customHeight="1">
      <c r="A625" s="5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5"/>
      <c r="T625" s="5"/>
      <c r="U625" s="104"/>
      <c r="V625" s="5"/>
      <c r="W625" s="5"/>
      <c r="X625" s="5"/>
      <c r="Y625" s="5"/>
      <c r="Z625" s="7"/>
      <c r="AA625" s="5"/>
      <c r="AB625" s="5"/>
      <c r="AC625" s="5"/>
      <c r="AD625" s="5"/>
      <c r="AE625" s="5"/>
      <c r="AF625" s="5"/>
      <c r="AG625" s="5"/>
      <c r="AH625" s="5"/>
      <c r="AI625" s="5"/>
    </row>
    <row r="626" spans="1:35" ht="15.75" customHeight="1">
      <c r="A626" s="5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5"/>
      <c r="T626" s="5"/>
      <c r="U626" s="104"/>
      <c r="V626" s="5"/>
      <c r="W626" s="5"/>
      <c r="X626" s="5"/>
      <c r="Y626" s="5"/>
      <c r="Z626" s="7"/>
      <c r="AA626" s="5"/>
      <c r="AB626" s="5"/>
      <c r="AC626" s="5"/>
      <c r="AD626" s="5"/>
      <c r="AE626" s="5"/>
      <c r="AF626" s="5"/>
      <c r="AG626" s="5"/>
      <c r="AH626" s="5"/>
      <c r="AI626" s="5"/>
    </row>
    <row r="627" spans="1:35" ht="15.75" customHeight="1">
      <c r="A627" s="5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5"/>
      <c r="T627" s="5"/>
      <c r="U627" s="104"/>
      <c r="V627" s="5"/>
      <c r="W627" s="5"/>
      <c r="X627" s="5"/>
      <c r="Y627" s="5"/>
      <c r="Z627" s="7"/>
      <c r="AA627" s="5"/>
      <c r="AB627" s="5"/>
      <c r="AC627" s="5"/>
      <c r="AD627" s="5"/>
      <c r="AE627" s="5"/>
      <c r="AF627" s="5"/>
      <c r="AG627" s="5"/>
      <c r="AH627" s="5"/>
      <c r="AI627" s="5"/>
    </row>
    <row r="628" spans="1:35" ht="15.75" customHeight="1">
      <c r="A628" s="5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5"/>
      <c r="T628" s="5"/>
      <c r="U628" s="104"/>
      <c r="V628" s="5"/>
      <c r="W628" s="5"/>
      <c r="X628" s="5"/>
      <c r="Y628" s="5"/>
      <c r="Z628" s="7"/>
      <c r="AA628" s="5"/>
      <c r="AB628" s="5"/>
      <c r="AC628" s="5"/>
      <c r="AD628" s="5"/>
      <c r="AE628" s="5"/>
      <c r="AF628" s="5"/>
      <c r="AG628" s="5"/>
      <c r="AH628" s="5"/>
      <c r="AI628" s="5"/>
    </row>
    <row r="629" spans="1:35" ht="15.75" customHeight="1">
      <c r="A629" s="5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5"/>
      <c r="T629" s="5"/>
      <c r="U629" s="104"/>
      <c r="V629" s="5"/>
      <c r="W629" s="5"/>
      <c r="X629" s="5"/>
      <c r="Y629" s="5"/>
      <c r="Z629" s="7"/>
      <c r="AA629" s="5"/>
      <c r="AB629" s="5"/>
      <c r="AC629" s="5"/>
      <c r="AD629" s="5"/>
      <c r="AE629" s="5"/>
      <c r="AF629" s="5"/>
      <c r="AG629" s="5"/>
      <c r="AH629" s="5"/>
      <c r="AI629" s="5"/>
    </row>
    <row r="630" spans="1:35" ht="15.75" customHeight="1">
      <c r="A630" s="5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5"/>
      <c r="T630" s="5"/>
      <c r="U630" s="104"/>
      <c r="V630" s="5"/>
      <c r="W630" s="5"/>
      <c r="X630" s="5"/>
      <c r="Y630" s="5"/>
      <c r="Z630" s="7"/>
      <c r="AA630" s="5"/>
      <c r="AB630" s="5"/>
      <c r="AC630" s="5"/>
      <c r="AD630" s="5"/>
      <c r="AE630" s="5"/>
      <c r="AF630" s="5"/>
      <c r="AG630" s="5"/>
      <c r="AH630" s="5"/>
      <c r="AI630" s="5"/>
    </row>
    <row r="631" spans="1:35" ht="15.75" customHeight="1">
      <c r="A631" s="5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5"/>
      <c r="T631" s="5"/>
      <c r="U631" s="104"/>
      <c r="V631" s="5"/>
      <c r="W631" s="5"/>
      <c r="X631" s="5"/>
      <c r="Y631" s="5"/>
      <c r="Z631" s="7"/>
      <c r="AA631" s="5"/>
      <c r="AB631" s="5"/>
      <c r="AC631" s="5"/>
      <c r="AD631" s="5"/>
      <c r="AE631" s="5"/>
      <c r="AF631" s="5"/>
      <c r="AG631" s="5"/>
      <c r="AH631" s="5"/>
      <c r="AI631" s="5"/>
    </row>
    <row r="632" spans="1:35" ht="15.75" customHeight="1">
      <c r="A632" s="5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5"/>
      <c r="T632" s="5"/>
      <c r="U632" s="104"/>
      <c r="V632" s="5"/>
      <c r="W632" s="5"/>
      <c r="X632" s="5"/>
      <c r="Y632" s="5"/>
      <c r="Z632" s="7"/>
      <c r="AA632" s="5"/>
      <c r="AB632" s="5"/>
      <c r="AC632" s="5"/>
      <c r="AD632" s="5"/>
      <c r="AE632" s="5"/>
      <c r="AF632" s="5"/>
      <c r="AG632" s="5"/>
      <c r="AH632" s="5"/>
      <c r="AI632" s="5"/>
    </row>
    <row r="633" spans="1:35" ht="15.75" customHeight="1">
      <c r="A633" s="5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5"/>
      <c r="T633" s="5"/>
      <c r="U633" s="104"/>
      <c r="V633" s="5"/>
      <c r="W633" s="5"/>
      <c r="X633" s="5"/>
      <c r="Y633" s="5"/>
      <c r="Z633" s="7"/>
      <c r="AA633" s="5"/>
      <c r="AB633" s="5"/>
      <c r="AC633" s="5"/>
      <c r="AD633" s="5"/>
      <c r="AE633" s="5"/>
      <c r="AF633" s="5"/>
      <c r="AG633" s="5"/>
      <c r="AH633" s="5"/>
      <c r="AI633" s="5"/>
    </row>
    <row r="634" spans="1:35" ht="15.75" customHeight="1">
      <c r="A634" s="5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5"/>
      <c r="T634" s="5"/>
      <c r="U634" s="104"/>
      <c r="V634" s="5"/>
      <c r="W634" s="5"/>
      <c r="X634" s="5"/>
      <c r="Y634" s="5"/>
      <c r="Z634" s="7"/>
      <c r="AA634" s="5"/>
      <c r="AB634" s="5"/>
      <c r="AC634" s="5"/>
      <c r="AD634" s="5"/>
      <c r="AE634" s="5"/>
      <c r="AF634" s="5"/>
      <c r="AG634" s="5"/>
      <c r="AH634" s="5"/>
      <c r="AI634" s="5"/>
    </row>
    <row r="635" spans="1:35" ht="15.75" customHeight="1">
      <c r="A635" s="5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5"/>
      <c r="T635" s="5"/>
      <c r="U635" s="104"/>
      <c r="V635" s="5"/>
      <c r="W635" s="5"/>
      <c r="X635" s="5"/>
      <c r="Y635" s="5"/>
      <c r="Z635" s="7"/>
      <c r="AA635" s="5"/>
      <c r="AB635" s="5"/>
      <c r="AC635" s="5"/>
      <c r="AD635" s="5"/>
      <c r="AE635" s="5"/>
      <c r="AF635" s="5"/>
      <c r="AG635" s="5"/>
      <c r="AH635" s="5"/>
      <c r="AI635" s="5"/>
    </row>
    <row r="636" spans="1:35" ht="15.75" customHeight="1">
      <c r="A636" s="5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5"/>
      <c r="T636" s="5"/>
      <c r="U636" s="104"/>
      <c r="V636" s="5"/>
      <c r="W636" s="5"/>
      <c r="X636" s="5"/>
      <c r="Y636" s="5"/>
      <c r="Z636" s="7"/>
      <c r="AA636" s="5"/>
      <c r="AB636" s="5"/>
      <c r="AC636" s="5"/>
      <c r="AD636" s="5"/>
      <c r="AE636" s="5"/>
      <c r="AF636" s="5"/>
      <c r="AG636" s="5"/>
      <c r="AH636" s="5"/>
      <c r="AI636" s="5"/>
    </row>
    <row r="637" spans="1:35" ht="15.75" customHeight="1">
      <c r="A637" s="5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5"/>
      <c r="T637" s="5"/>
      <c r="U637" s="104"/>
      <c r="V637" s="5"/>
      <c r="W637" s="5"/>
      <c r="X637" s="5"/>
      <c r="Y637" s="5"/>
      <c r="Z637" s="7"/>
      <c r="AA637" s="5"/>
      <c r="AB637" s="5"/>
      <c r="AC637" s="5"/>
      <c r="AD637" s="5"/>
      <c r="AE637" s="5"/>
      <c r="AF637" s="5"/>
      <c r="AG637" s="5"/>
      <c r="AH637" s="5"/>
      <c r="AI637" s="5"/>
    </row>
    <row r="638" spans="1:35" ht="15.75" customHeight="1">
      <c r="A638" s="5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5"/>
      <c r="T638" s="5"/>
      <c r="U638" s="104"/>
      <c r="V638" s="5"/>
      <c r="W638" s="5"/>
      <c r="X638" s="5"/>
      <c r="Y638" s="5"/>
      <c r="Z638" s="7"/>
      <c r="AA638" s="5"/>
      <c r="AB638" s="5"/>
      <c r="AC638" s="5"/>
      <c r="AD638" s="5"/>
      <c r="AE638" s="5"/>
      <c r="AF638" s="5"/>
      <c r="AG638" s="5"/>
      <c r="AH638" s="5"/>
      <c r="AI638" s="5"/>
    </row>
    <row r="639" spans="1:35" ht="15.75" customHeight="1">
      <c r="A639" s="5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5"/>
      <c r="T639" s="5"/>
      <c r="U639" s="104"/>
      <c r="V639" s="5"/>
      <c r="W639" s="5"/>
      <c r="X639" s="5"/>
      <c r="Y639" s="5"/>
      <c r="Z639" s="7"/>
      <c r="AA639" s="5"/>
      <c r="AB639" s="5"/>
      <c r="AC639" s="5"/>
      <c r="AD639" s="5"/>
      <c r="AE639" s="5"/>
      <c r="AF639" s="5"/>
      <c r="AG639" s="5"/>
      <c r="AH639" s="5"/>
      <c r="AI639" s="5"/>
    </row>
    <row r="640" spans="1:35" ht="15.75" customHeight="1">
      <c r="A640" s="5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5"/>
      <c r="T640" s="5"/>
      <c r="U640" s="104"/>
      <c r="V640" s="5"/>
      <c r="W640" s="5"/>
      <c r="X640" s="5"/>
      <c r="Y640" s="5"/>
      <c r="Z640" s="7"/>
      <c r="AA640" s="5"/>
      <c r="AB640" s="5"/>
      <c r="AC640" s="5"/>
      <c r="AD640" s="5"/>
      <c r="AE640" s="5"/>
      <c r="AF640" s="5"/>
      <c r="AG640" s="5"/>
      <c r="AH640" s="5"/>
      <c r="AI640" s="5"/>
    </row>
    <row r="641" spans="1:35" ht="15.75" customHeight="1">
      <c r="A641" s="5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5"/>
      <c r="T641" s="5"/>
      <c r="U641" s="104"/>
      <c r="V641" s="5"/>
      <c r="W641" s="5"/>
      <c r="X641" s="5"/>
      <c r="Y641" s="5"/>
      <c r="Z641" s="7"/>
      <c r="AA641" s="5"/>
      <c r="AB641" s="5"/>
      <c r="AC641" s="5"/>
      <c r="AD641" s="5"/>
      <c r="AE641" s="5"/>
      <c r="AF641" s="5"/>
      <c r="AG641" s="5"/>
      <c r="AH641" s="5"/>
      <c r="AI641" s="5"/>
    </row>
    <row r="642" spans="1:35" ht="15.75" customHeight="1">
      <c r="A642" s="5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5"/>
      <c r="T642" s="5"/>
      <c r="U642" s="104"/>
      <c r="V642" s="5"/>
      <c r="W642" s="5"/>
      <c r="X642" s="5"/>
      <c r="Y642" s="5"/>
      <c r="Z642" s="7"/>
      <c r="AA642" s="5"/>
      <c r="AB642" s="5"/>
      <c r="AC642" s="5"/>
      <c r="AD642" s="5"/>
      <c r="AE642" s="5"/>
      <c r="AF642" s="5"/>
      <c r="AG642" s="5"/>
      <c r="AH642" s="5"/>
      <c r="AI642" s="5"/>
    </row>
    <row r="643" spans="1:35" ht="15.75" customHeight="1">
      <c r="A643" s="5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5"/>
      <c r="T643" s="5"/>
      <c r="U643" s="104"/>
      <c r="V643" s="5"/>
      <c r="W643" s="5"/>
      <c r="X643" s="5"/>
      <c r="Y643" s="5"/>
      <c r="Z643" s="7"/>
      <c r="AA643" s="5"/>
      <c r="AB643" s="5"/>
      <c r="AC643" s="5"/>
      <c r="AD643" s="5"/>
      <c r="AE643" s="5"/>
      <c r="AF643" s="5"/>
      <c r="AG643" s="5"/>
      <c r="AH643" s="5"/>
      <c r="AI643" s="5"/>
    </row>
    <row r="644" spans="1:35" ht="15.75" customHeight="1">
      <c r="A644" s="5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5"/>
      <c r="T644" s="5"/>
      <c r="U644" s="104"/>
      <c r="V644" s="5"/>
      <c r="W644" s="5"/>
      <c r="X644" s="5"/>
      <c r="Y644" s="5"/>
      <c r="Z644" s="7"/>
      <c r="AA644" s="5"/>
      <c r="AB644" s="5"/>
      <c r="AC644" s="5"/>
      <c r="AD644" s="5"/>
      <c r="AE644" s="5"/>
      <c r="AF644" s="5"/>
      <c r="AG644" s="5"/>
      <c r="AH644" s="5"/>
      <c r="AI644" s="5"/>
    </row>
    <row r="645" spans="1:35" ht="15.75" customHeight="1">
      <c r="A645" s="5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5"/>
      <c r="T645" s="5"/>
      <c r="U645" s="104"/>
      <c r="V645" s="5"/>
      <c r="W645" s="5"/>
      <c r="X645" s="5"/>
      <c r="Y645" s="5"/>
      <c r="Z645" s="7"/>
      <c r="AA645" s="5"/>
      <c r="AB645" s="5"/>
      <c r="AC645" s="5"/>
      <c r="AD645" s="5"/>
      <c r="AE645" s="5"/>
      <c r="AF645" s="5"/>
      <c r="AG645" s="5"/>
      <c r="AH645" s="5"/>
      <c r="AI645" s="5"/>
    </row>
    <row r="646" spans="1:35" ht="15.75" customHeight="1">
      <c r="A646" s="5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5"/>
      <c r="T646" s="5"/>
      <c r="U646" s="104"/>
      <c r="V646" s="5"/>
      <c r="W646" s="5"/>
      <c r="X646" s="5"/>
      <c r="Y646" s="5"/>
      <c r="Z646" s="7"/>
      <c r="AA646" s="5"/>
      <c r="AB646" s="5"/>
      <c r="AC646" s="5"/>
      <c r="AD646" s="5"/>
      <c r="AE646" s="5"/>
      <c r="AF646" s="5"/>
      <c r="AG646" s="5"/>
      <c r="AH646" s="5"/>
      <c r="AI646" s="5"/>
    </row>
    <row r="647" spans="1:35" ht="15.75" customHeight="1">
      <c r="A647" s="5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5"/>
      <c r="T647" s="5"/>
      <c r="U647" s="104"/>
      <c r="V647" s="5"/>
      <c r="W647" s="5"/>
      <c r="X647" s="5"/>
      <c r="Y647" s="5"/>
      <c r="Z647" s="7"/>
      <c r="AA647" s="5"/>
      <c r="AB647" s="5"/>
      <c r="AC647" s="5"/>
      <c r="AD647" s="5"/>
      <c r="AE647" s="5"/>
      <c r="AF647" s="5"/>
      <c r="AG647" s="5"/>
      <c r="AH647" s="5"/>
      <c r="AI647" s="5"/>
    </row>
    <row r="648" spans="1:35" ht="15.75" customHeight="1">
      <c r="A648" s="5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5"/>
      <c r="T648" s="5"/>
      <c r="U648" s="104"/>
      <c r="V648" s="5"/>
      <c r="W648" s="5"/>
      <c r="X648" s="5"/>
      <c r="Y648" s="5"/>
      <c r="Z648" s="7"/>
      <c r="AA648" s="5"/>
      <c r="AB648" s="5"/>
      <c r="AC648" s="5"/>
      <c r="AD648" s="5"/>
      <c r="AE648" s="5"/>
      <c r="AF648" s="5"/>
      <c r="AG648" s="5"/>
      <c r="AH648" s="5"/>
      <c r="AI648" s="5"/>
    </row>
    <row r="649" spans="1:35" ht="15.75" customHeight="1">
      <c r="A649" s="5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5"/>
      <c r="T649" s="5"/>
      <c r="U649" s="104"/>
      <c r="V649" s="5"/>
      <c r="W649" s="5"/>
      <c r="X649" s="5"/>
      <c r="Y649" s="5"/>
      <c r="Z649" s="7"/>
      <c r="AA649" s="5"/>
      <c r="AB649" s="5"/>
      <c r="AC649" s="5"/>
      <c r="AD649" s="5"/>
      <c r="AE649" s="5"/>
      <c r="AF649" s="5"/>
      <c r="AG649" s="5"/>
      <c r="AH649" s="5"/>
      <c r="AI649" s="5"/>
    </row>
    <row r="650" spans="1:35" ht="15.75" customHeight="1">
      <c r="A650" s="5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5"/>
      <c r="T650" s="5"/>
      <c r="U650" s="104"/>
      <c r="V650" s="5"/>
      <c r="W650" s="5"/>
      <c r="X650" s="5"/>
      <c r="Y650" s="5"/>
      <c r="Z650" s="7"/>
      <c r="AA650" s="5"/>
      <c r="AB650" s="5"/>
      <c r="AC650" s="5"/>
      <c r="AD650" s="5"/>
      <c r="AE650" s="5"/>
      <c r="AF650" s="5"/>
      <c r="AG650" s="5"/>
      <c r="AH650" s="5"/>
      <c r="AI650" s="5"/>
    </row>
    <row r="651" spans="1:35" ht="15.75" customHeight="1">
      <c r="A651" s="5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5"/>
      <c r="T651" s="5"/>
      <c r="U651" s="104"/>
      <c r="V651" s="5"/>
      <c r="W651" s="5"/>
      <c r="X651" s="5"/>
      <c r="Y651" s="5"/>
      <c r="Z651" s="7"/>
      <c r="AA651" s="5"/>
      <c r="AB651" s="5"/>
      <c r="AC651" s="5"/>
      <c r="AD651" s="5"/>
      <c r="AE651" s="5"/>
      <c r="AF651" s="5"/>
      <c r="AG651" s="5"/>
      <c r="AH651" s="5"/>
      <c r="AI651" s="5"/>
    </row>
    <row r="652" spans="1:35" ht="15.75" customHeight="1">
      <c r="A652" s="5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5"/>
      <c r="T652" s="5"/>
      <c r="U652" s="104"/>
      <c r="V652" s="5"/>
      <c r="W652" s="5"/>
      <c r="X652" s="5"/>
      <c r="Y652" s="5"/>
      <c r="Z652" s="7"/>
      <c r="AA652" s="5"/>
      <c r="AB652" s="5"/>
      <c r="AC652" s="5"/>
      <c r="AD652" s="5"/>
      <c r="AE652" s="5"/>
      <c r="AF652" s="5"/>
      <c r="AG652" s="5"/>
      <c r="AH652" s="5"/>
      <c r="AI652" s="5"/>
    </row>
    <row r="653" spans="1:35" ht="15.75" customHeight="1">
      <c r="A653" s="5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5"/>
      <c r="T653" s="5"/>
      <c r="U653" s="104"/>
      <c r="V653" s="5"/>
      <c r="W653" s="5"/>
      <c r="X653" s="5"/>
      <c r="Y653" s="5"/>
      <c r="Z653" s="7"/>
      <c r="AA653" s="5"/>
      <c r="AB653" s="5"/>
      <c r="AC653" s="5"/>
      <c r="AD653" s="5"/>
      <c r="AE653" s="5"/>
      <c r="AF653" s="5"/>
      <c r="AG653" s="5"/>
      <c r="AH653" s="5"/>
      <c r="AI653" s="5"/>
    </row>
    <row r="654" spans="1:35" ht="15.75" customHeight="1">
      <c r="A654" s="5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5"/>
      <c r="T654" s="5"/>
      <c r="U654" s="104"/>
      <c r="V654" s="5"/>
      <c r="W654" s="5"/>
      <c r="X654" s="5"/>
      <c r="Y654" s="5"/>
      <c r="Z654" s="7"/>
      <c r="AA654" s="5"/>
      <c r="AB654" s="5"/>
      <c r="AC654" s="5"/>
      <c r="AD654" s="5"/>
      <c r="AE654" s="5"/>
      <c r="AF654" s="5"/>
      <c r="AG654" s="5"/>
      <c r="AH654" s="5"/>
      <c r="AI654" s="5"/>
    </row>
    <row r="655" spans="1:35" ht="15.75" customHeight="1">
      <c r="A655" s="5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5"/>
      <c r="T655" s="5"/>
      <c r="U655" s="104"/>
      <c r="V655" s="5"/>
      <c r="W655" s="5"/>
      <c r="X655" s="5"/>
      <c r="Y655" s="5"/>
      <c r="Z655" s="7"/>
      <c r="AA655" s="5"/>
      <c r="AB655" s="5"/>
      <c r="AC655" s="5"/>
      <c r="AD655" s="5"/>
      <c r="AE655" s="5"/>
      <c r="AF655" s="5"/>
      <c r="AG655" s="5"/>
      <c r="AH655" s="5"/>
      <c r="AI655" s="5"/>
    </row>
    <row r="656" spans="1:35" ht="15.75" customHeight="1">
      <c r="A656" s="5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5"/>
      <c r="T656" s="5"/>
      <c r="U656" s="104"/>
      <c r="V656" s="5"/>
      <c r="W656" s="5"/>
      <c r="X656" s="5"/>
      <c r="Y656" s="5"/>
      <c r="Z656" s="7"/>
      <c r="AA656" s="5"/>
      <c r="AB656" s="5"/>
      <c r="AC656" s="5"/>
      <c r="AD656" s="5"/>
      <c r="AE656" s="5"/>
      <c r="AF656" s="5"/>
      <c r="AG656" s="5"/>
      <c r="AH656" s="5"/>
      <c r="AI656" s="5"/>
    </row>
    <row r="657" spans="1:35" ht="15.75" customHeight="1">
      <c r="A657" s="5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5"/>
      <c r="T657" s="5"/>
      <c r="U657" s="104"/>
      <c r="V657" s="5"/>
      <c r="W657" s="5"/>
      <c r="X657" s="5"/>
      <c r="Y657" s="5"/>
      <c r="Z657" s="7"/>
      <c r="AA657" s="5"/>
      <c r="AB657" s="5"/>
      <c r="AC657" s="5"/>
      <c r="AD657" s="5"/>
      <c r="AE657" s="5"/>
      <c r="AF657" s="5"/>
      <c r="AG657" s="5"/>
      <c r="AH657" s="5"/>
      <c r="AI657" s="5"/>
    </row>
    <row r="658" spans="1:35" ht="15.75" customHeight="1">
      <c r="A658" s="5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5"/>
      <c r="T658" s="5"/>
      <c r="U658" s="104"/>
      <c r="V658" s="5"/>
      <c r="W658" s="5"/>
      <c r="X658" s="5"/>
      <c r="Y658" s="5"/>
      <c r="Z658" s="7"/>
      <c r="AA658" s="5"/>
      <c r="AB658" s="5"/>
      <c r="AC658" s="5"/>
      <c r="AD658" s="5"/>
      <c r="AE658" s="5"/>
      <c r="AF658" s="5"/>
      <c r="AG658" s="5"/>
      <c r="AH658" s="5"/>
      <c r="AI658" s="5"/>
    </row>
    <row r="659" spans="1:35" ht="15.75" customHeight="1">
      <c r="A659" s="5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5"/>
      <c r="T659" s="5"/>
      <c r="U659" s="104"/>
      <c r="V659" s="5"/>
      <c r="W659" s="5"/>
      <c r="X659" s="5"/>
      <c r="Y659" s="5"/>
      <c r="Z659" s="7"/>
      <c r="AA659" s="5"/>
      <c r="AB659" s="5"/>
      <c r="AC659" s="5"/>
      <c r="AD659" s="5"/>
      <c r="AE659" s="5"/>
      <c r="AF659" s="5"/>
      <c r="AG659" s="5"/>
      <c r="AH659" s="5"/>
      <c r="AI659" s="5"/>
    </row>
    <row r="660" spans="1:35" ht="15.75" customHeight="1">
      <c r="A660" s="5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5"/>
      <c r="T660" s="5"/>
      <c r="U660" s="104"/>
      <c r="V660" s="5"/>
      <c r="W660" s="5"/>
      <c r="X660" s="5"/>
      <c r="Y660" s="5"/>
      <c r="Z660" s="7"/>
      <c r="AA660" s="5"/>
      <c r="AB660" s="5"/>
      <c r="AC660" s="5"/>
      <c r="AD660" s="5"/>
      <c r="AE660" s="5"/>
      <c r="AF660" s="5"/>
      <c r="AG660" s="5"/>
      <c r="AH660" s="5"/>
      <c r="AI660" s="5"/>
    </row>
    <row r="661" spans="1:35" ht="15.75" customHeight="1">
      <c r="A661" s="5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5"/>
      <c r="T661" s="5"/>
      <c r="U661" s="104"/>
      <c r="V661" s="5"/>
      <c r="W661" s="5"/>
      <c r="X661" s="5"/>
      <c r="Y661" s="5"/>
      <c r="Z661" s="7"/>
      <c r="AA661" s="5"/>
      <c r="AB661" s="5"/>
      <c r="AC661" s="5"/>
      <c r="AD661" s="5"/>
      <c r="AE661" s="5"/>
      <c r="AF661" s="5"/>
      <c r="AG661" s="5"/>
      <c r="AH661" s="5"/>
      <c r="AI661" s="5"/>
    </row>
    <row r="662" spans="1:35" ht="15.75" customHeight="1">
      <c r="A662" s="5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5"/>
      <c r="T662" s="5"/>
      <c r="U662" s="104"/>
      <c r="V662" s="5"/>
      <c r="W662" s="5"/>
      <c r="X662" s="5"/>
      <c r="Y662" s="5"/>
      <c r="Z662" s="7"/>
      <c r="AA662" s="5"/>
      <c r="AB662" s="5"/>
      <c r="AC662" s="5"/>
      <c r="AD662" s="5"/>
      <c r="AE662" s="5"/>
      <c r="AF662" s="5"/>
      <c r="AG662" s="5"/>
      <c r="AH662" s="5"/>
      <c r="AI662" s="5"/>
    </row>
    <row r="663" spans="1:35" ht="15.75" customHeight="1">
      <c r="A663" s="5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5"/>
      <c r="T663" s="5"/>
      <c r="U663" s="104"/>
      <c r="V663" s="5"/>
      <c r="W663" s="5"/>
      <c r="X663" s="5"/>
      <c r="Y663" s="5"/>
      <c r="Z663" s="7"/>
      <c r="AA663" s="5"/>
      <c r="AB663" s="5"/>
      <c r="AC663" s="5"/>
      <c r="AD663" s="5"/>
      <c r="AE663" s="5"/>
      <c r="AF663" s="5"/>
      <c r="AG663" s="5"/>
      <c r="AH663" s="5"/>
      <c r="AI663" s="5"/>
    </row>
    <row r="664" spans="1:35" ht="15.75" customHeight="1">
      <c r="A664" s="5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5"/>
      <c r="T664" s="5"/>
      <c r="U664" s="104"/>
      <c r="V664" s="5"/>
      <c r="W664" s="5"/>
      <c r="X664" s="5"/>
      <c r="Y664" s="5"/>
      <c r="Z664" s="7"/>
      <c r="AA664" s="5"/>
      <c r="AB664" s="5"/>
      <c r="AC664" s="5"/>
      <c r="AD664" s="5"/>
      <c r="AE664" s="5"/>
      <c r="AF664" s="5"/>
      <c r="AG664" s="5"/>
      <c r="AH664" s="5"/>
      <c r="AI664" s="5"/>
    </row>
    <row r="665" spans="1:35" ht="15.75" customHeight="1">
      <c r="A665" s="5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5"/>
      <c r="T665" s="5"/>
      <c r="U665" s="104"/>
      <c r="V665" s="5"/>
      <c r="W665" s="5"/>
      <c r="X665" s="5"/>
      <c r="Y665" s="5"/>
      <c r="Z665" s="7"/>
      <c r="AA665" s="5"/>
      <c r="AB665" s="5"/>
      <c r="AC665" s="5"/>
      <c r="AD665" s="5"/>
      <c r="AE665" s="5"/>
      <c r="AF665" s="5"/>
      <c r="AG665" s="5"/>
      <c r="AH665" s="5"/>
      <c r="AI665" s="5"/>
    </row>
    <row r="666" spans="1:35" ht="15.75" customHeight="1">
      <c r="A666" s="5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5"/>
      <c r="T666" s="5"/>
      <c r="U666" s="104"/>
      <c r="V666" s="5"/>
      <c r="W666" s="5"/>
      <c r="X666" s="5"/>
      <c r="Y666" s="5"/>
      <c r="Z666" s="7"/>
      <c r="AA666" s="5"/>
      <c r="AB666" s="5"/>
      <c r="AC666" s="5"/>
      <c r="AD666" s="5"/>
      <c r="AE666" s="5"/>
      <c r="AF666" s="5"/>
      <c r="AG666" s="5"/>
      <c r="AH666" s="5"/>
      <c r="AI666" s="5"/>
    </row>
    <row r="667" spans="1:35" ht="15.75" customHeight="1">
      <c r="A667" s="5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5"/>
      <c r="T667" s="5"/>
      <c r="U667" s="104"/>
      <c r="V667" s="5"/>
      <c r="W667" s="5"/>
      <c r="X667" s="5"/>
      <c r="Y667" s="5"/>
      <c r="Z667" s="7"/>
      <c r="AA667" s="5"/>
      <c r="AB667" s="5"/>
      <c r="AC667" s="5"/>
      <c r="AD667" s="5"/>
      <c r="AE667" s="5"/>
      <c r="AF667" s="5"/>
      <c r="AG667" s="5"/>
      <c r="AH667" s="5"/>
      <c r="AI667" s="5"/>
    </row>
    <row r="668" spans="1:35" ht="15.75" customHeight="1">
      <c r="A668" s="5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5"/>
      <c r="T668" s="5"/>
      <c r="U668" s="104"/>
      <c r="V668" s="5"/>
      <c r="W668" s="5"/>
      <c r="X668" s="5"/>
      <c r="Y668" s="5"/>
      <c r="Z668" s="7"/>
      <c r="AA668" s="5"/>
      <c r="AB668" s="5"/>
      <c r="AC668" s="5"/>
      <c r="AD668" s="5"/>
      <c r="AE668" s="5"/>
      <c r="AF668" s="5"/>
      <c r="AG668" s="5"/>
      <c r="AH668" s="5"/>
      <c r="AI668" s="5"/>
    </row>
    <row r="669" spans="1:35" ht="15.75" customHeight="1">
      <c r="A669" s="5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5"/>
      <c r="T669" s="5"/>
      <c r="U669" s="104"/>
      <c r="V669" s="5"/>
      <c r="W669" s="5"/>
      <c r="X669" s="5"/>
      <c r="Y669" s="5"/>
      <c r="Z669" s="7"/>
      <c r="AA669" s="5"/>
      <c r="AB669" s="5"/>
      <c r="AC669" s="5"/>
      <c r="AD669" s="5"/>
      <c r="AE669" s="5"/>
      <c r="AF669" s="5"/>
      <c r="AG669" s="5"/>
      <c r="AH669" s="5"/>
      <c r="AI669" s="5"/>
    </row>
    <row r="670" spans="1:35" ht="15.75" customHeight="1">
      <c r="A670" s="5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5"/>
      <c r="T670" s="5"/>
      <c r="U670" s="104"/>
      <c r="V670" s="5"/>
      <c r="W670" s="5"/>
      <c r="X670" s="5"/>
      <c r="Y670" s="5"/>
      <c r="Z670" s="7"/>
      <c r="AA670" s="5"/>
      <c r="AB670" s="5"/>
      <c r="AC670" s="5"/>
      <c r="AD670" s="5"/>
      <c r="AE670" s="5"/>
      <c r="AF670" s="5"/>
      <c r="AG670" s="5"/>
      <c r="AH670" s="5"/>
      <c r="AI670" s="5"/>
    </row>
    <row r="671" spans="1:35" ht="15.75" customHeight="1">
      <c r="A671" s="5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5"/>
      <c r="T671" s="5"/>
      <c r="U671" s="104"/>
      <c r="V671" s="5"/>
      <c r="W671" s="5"/>
      <c r="X671" s="5"/>
      <c r="Y671" s="5"/>
      <c r="Z671" s="7"/>
      <c r="AA671" s="5"/>
      <c r="AB671" s="5"/>
      <c r="AC671" s="5"/>
      <c r="AD671" s="5"/>
      <c r="AE671" s="5"/>
      <c r="AF671" s="5"/>
      <c r="AG671" s="5"/>
      <c r="AH671" s="5"/>
      <c r="AI671" s="5"/>
    </row>
    <row r="672" spans="1:35" ht="15.75" customHeight="1">
      <c r="A672" s="5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5"/>
      <c r="T672" s="5"/>
      <c r="U672" s="104"/>
      <c r="V672" s="5"/>
      <c r="W672" s="5"/>
      <c r="X672" s="5"/>
      <c r="Y672" s="5"/>
      <c r="Z672" s="7"/>
      <c r="AA672" s="5"/>
      <c r="AB672" s="5"/>
      <c r="AC672" s="5"/>
      <c r="AD672" s="5"/>
      <c r="AE672" s="5"/>
      <c r="AF672" s="5"/>
      <c r="AG672" s="5"/>
      <c r="AH672" s="5"/>
      <c r="AI672" s="5"/>
    </row>
    <row r="673" spans="1:35" ht="15.75" customHeight="1">
      <c r="A673" s="5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5"/>
      <c r="T673" s="5"/>
      <c r="U673" s="104"/>
      <c r="V673" s="5"/>
      <c r="W673" s="5"/>
      <c r="X673" s="5"/>
      <c r="Y673" s="5"/>
      <c r="Z673" s="7"/>
      <c r="AA673" s="5"/>
      <c r="AB673" s="5"/>
      <c r="AC673" s="5"/>
      <c r="AD673" s="5"/>
      <c r="AE673" s="5"/>
      <c r="AF673" s="5"/>
      <c r="AG673" s="5"/>
      <c r="AH673" s="5"/>
      <c r="AI673" s="5"/>
    </row>
    <row r="674" spans="1:35" ht="15.75" customHeight="1">
      <c r="A674" s="5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5"/>
      <c r="T674" s="5"/>
      <c r="U674" s="104"/>
      <c r="V674" s="5"/>
      <c r="W674" s="5"/>
      <c r="X674" s="5"/>
      <c r="Y674" s="5"/>
      <c r="Z674" s="7"/>
      <c r="AA674" s="5"/>
      <c r="AB674" s="5"/>
      <c r="AC674" s="5"/>
      <c r="AD674" s="5"/>
      <c r="AE674" s="5"/>
      <c r="AF674" s="5"/>
      <c r="AG674" s="5"/>
      <c r="AH674" s="5"/>
      <c r="AI674" s="5"/>
    </row>
    <row r="675" spans="1:35" ht="15.75" customHeight="1">
      <c r="A675" s="5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5"/>
      <c r="T675" s="5"/>
      <c r="U675" s="104"/>
      <c r="V675" s="5"/>
      <c r="W675" s="5"/>
      <c r="X675" s="5"/>
      <c r="Y675" s="5"/>
      <c r="Z675" s="7"/>
      <c r="AA675" s="5"/>
      <c r="AB675" s="5"/>
      <c r="AC675" s="5"/>
      <c r="AD675" s="5"/>
      <c r="AE675" s="5"/>
      <c r="AF675" s="5"/>
      <c r="AG675" s="5"/>
      <c r="AH675" s="5"/>
      <c r="AI675" s="5"/>
    </row>
    <row r="676" spans="1:35" ht="15.75" customHeight="1">
      <c r="A676" s="5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5"/>
      <c r="T676" s="5"/>
      <c r="U676" s="104"/>
      <c r="V676" s="5"/>
      <c r="W676" s="5"/>
      <c r="X676" s="5"/>
      <c r="Y676" s="5"/>
      <c r="Z676" s="7"/>
      <c r="AA676" s="5"/>
      <c r="AB676" s="5"/>
      <c r="AC676" s="5"/>
      <c r="AD676" s="5"/>
      <c r="AE676" s="5"/>
      <c r="AF676" s="5"/>
      <c r="AG676" s="5"/>
      <c r="AH676" s="5"/>
      <c r="AI676" s="5"/>
    </row>
    <row r="677" spans="1:35" ht="15.75" customHeight="1">
      <c r="A677" s="5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5"/>
      <c r="T677" s="5"/>
      <c r="U677" s="104"/>
      <c r="V677" s="5"/>
      <c r="W677" s="5"/>
      <c r="X677" s="5"/>
      <c r="Y677" s="5"/>
      <c r="Z677" s="7"/>
      <c r="AA677" s="5"/>
      <c r="AB677" s="5"/>
      <c r="AC677" s="5"/>
      <c r="AD677" s="5"/>
      <c r="AE677" s="5"/>
      <c r="AF677" s="5"/>
      <c r="AG677" s="5"/>
      <c r="AH677" s="5"/>
      <c r="AI677" s="5"/>
    </row>
    <row r="678" spans="1:35" ht="15.75" customHeight="1">
      <c r="A678" s="5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5"/>
      <c r="T678" s="5"/>
      <c r="U678" s="104"/>
      <c r="V678" s="5"/>
      <c r="W678" s="5"/>
      <c r="X678" s="5"/>
      <c r="Y678" s="5"/>
      <c r="Z678" s="7"/>
      <c r="AA678" s="5"/>
      <c r="AB678" s="5"/>
      <c r="AC678" s="5"/>
      <c r="AD678" s="5"/>
      <c r="AE678" s="5"/>
      <c r="AF678" s="5"/>
      <c r="AG678" s="5"/>
      <c r="AH678" s="5"/>
      <c r="AI678" s="5"/>
    </row>
    <row r="679" spans="1:35" ht="15.75" customHeight="1">
      <c r="A679" s="5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5"/>
      <c r="T679" s="5"/>
      <c r="U679" s="104"/>
      <c r="V679" s="5"/>
      <c r="W679" s="5"/>
      <c r="X679" s="5"/>
      <c r="Y679" s="5"/>
      <c r="Z679" s="7"/>
      <c r="AA679" s="5"/>
      <c r="AB679" s="5"/>
      <c r="AC679" s="5"/>
      <c r="AD679" s="5"/>
      <c r="AE679" s="5"/>
      <c r="AF679" s="5"/>
      <c r="AG679" s="5"/>
      <c r="AH679" s="5"/>
      <c r="AI679" s="5"/>
    </row>
    <row r="680" spans="1:35" ht="15.75" customHeight="1">
      <c r="A680" s="5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5"/>
      <c r="T680" s="5"/>
      <c r="U680" s="104"/>
      <c r="V680" s="5"/>
      <c r="W680" s="5"/>
      <c r="X680" s="5"/>
      <c r="Y680" s="5"/>
      <c r="Z680" s="7"/>
      <c r="AA680" s="5"/>
      <c r="AB680" s="5"/>
      <c r="AC680" s="5"/>
      <c r="AD680" s="5"/>
      <c r="AE680" s="5"/>
      <c r="AF680" s="5"/>
      <c r="AG680" s="5"/>
      <c r="AH680" s="5"/>
      <c r="AI680" s="5"/>
    </row>
    <row r="681" spans="1:35" ht="15.75" customHeight="1">
      <c r="A681" s="5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5"/>
      <c r="T681" s="5"/>
      <c r="U681" s="104"/>
      <c r="V681" s="5"/>
      <c r="W681" s="5"/>
      <c r="X681" s="5"/>
      <c r="Y681" s="5"/>
      <c r="Z681" s="7"/>
      <c r="AA681" s="5"/>
      <c r="AB681" s="5"/>
      <c r="AC681" s="5"/>
      <c r="AD681" s="5"/>
      <c r="AE681" s="5"/>
      <c r="AF681" s="5"/>
      <c r="AG681" s="5"/>
      <c r="AH681" s="5"/>
      <c r="AI681" s="5"/>
    </row>
    <row r="682" spans="1:35" ht="15.75" customHeight="1">
      <c r="A682" s="5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5"/>
      <c r="T682" s="5"/>
      <c r="U682" s="104"/>
      <c r="V682" s="5"/>
      <c r="W682" s="5"/>
      <c r="X682" s="5"/>
      <c r="Y682" s="5"/>
      <c r="Z682" s="7"/>
      <c r="AA682" s="5"/>
      <c r="AB682" s="5"/>
      <c r="AC682" s="5"/>
      <c r="AD682" s="5"/>
      <c r="AE682" s="5"/>
      <c r="AF682" s="5"/>
      <c r="AG682" s="5"/>
      <c r="AH682" s="5"/>
      <c r="AI682" s="5"/>
    </row>
    <row r="683" spans="1:35" ht="15.75" customHeight="1">
      <c r="A683" s="5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5"/>
      <c r="T683" s="5"/>
      <c r="U683" s="104"/>
      <c r="V683" s="5"/>
      <c r="W683" s="5"/>
      <c r="X683" s="5"/>
      <c r="Y683" s="5"/>
      <c r="Z683" s="7"/>
      <c r="AA683" s="5"/>
      <c r="AB683" s="5"/>
      <c r="AC683" s="5"/>
      <c r="AD683" s="5"/>
      <c r="AE683" s="5"/>
      <c r="AF683" s="5"/>
      <c r="AG683" s="5"/>
      <c r="AH683" s="5"/>
      <c r="AI683" s="5"/>
    </row>
    <row r="684" spans="1:35" ht="15.75" customHeight="1">
      <c r="A684" s="5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5"/>
      <c r="T684" s="5"/>
      <c r="U684" s="104"/>
      <c r="V684" s="5"/>
      <c r="W684" s="5"/>
      <c r="X684" s="5"/>
      <c r="Y684" s="5"/>
      <c r="Z684" s="7"/>
      <c r="AA684" s="5"/>
      <c r="AB684" s="5"/>
      <c r="AC684" s="5"/>
      <c r="AD684" s="5"/>
      <c r="AE684" s="5"/>
      <c r="AF684" s="5"/>
      <c r="AG684" s="5"/>
      <c r="AH684" s="5"/>
      <c r="AI684" s="5"/>
    </row>
    <row r="685" spans="1:35" ht="15.75" customHeight="1">
      <c r="A685" s="5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5"/>
      <c r="T685" s="5"/>
      <c r="U685" s="104"/>
      <c r="V685" s="5"/>
      <c r="W685" s="5"/>
      <c r="X685" s="5"/>
      <c r="Y685" s="5"/>
      <c r="Z685" s="7"/>
      <c r="AA685" s="5"/>
      <c r="AB685" s="5"/>
      <c r="AC685" s="5"/>
      <c r="AD685" s="5"/>
      <c r="AE685" s="5"/>
      <c r="AF685" s="5"/>
      <c r="AG685" s="5"/>
      <c r="AH685" s="5"/>
      <c r="AI685" s="5"/>
    </row>
    <row r="686" spans="1:35" ht="15.75" customHeight="1">
      <c r="A686" s="5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5"/>
      <c r="T686" s="5"/>
      <c r="U686" s="104"/>
      <c r="V686" s="5"/>
      <c r="W686" s="5"/>
      <c r="X686" s="5"/>
      <c r="Y686" s="5"/>
      <c r="Z686" s="7"/>
      <c r="AA686" s="5"/>
      <c r="AB686" s="5"/>
      <c r="AC686" s="5"/>
      <c r="AD686" s="5"/>
      <c r="AE686" s="5"/>
      <c r="AF686" s="5"/>
      <c r="AG686" s="5"/>
      <c r="AH686" s="5"/>
      <c r="AI686" s="5"/>
    </row>
    <row r="687" spans="1:35" ht="15.75" customHeight="1">
      <c r="A687" s="5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5"/>
      <c r="T687" s="5"/>
      <c r="U687" s="104"/>
      <c r="V687" s="5"/>
      <c r="W687" s="5"/>
      <c r="X687" s="5"/>
      <c r="Y687" s="5"/>
      <c r="Z687" s="7"/>
      <c r="AA687" s="5"/>
      <c r="AB687" s="5"/>
      <c r="AC687" s="5"/>
      <c r="AD687" s="5"/>
      <c r="AE687" s="5"/>
      <c r="AF687" s="5"/>
      <c r="AG687" s="5"/>
      <c r="AH687" s="5"/>
      <c r="AI687" s="5"/>
    </row>
    <row r="688" spans="1:35" ht="15.75" customHeight="1">
      <c r="A688" s="5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5"/>
      <c r="T688" s="5"/>
      <c r="U688" s="104"/>
      <c r="V688" s="5"/>
      <c r="W688" s="5"/>
      <c r="X688" s="5"/>
      <c r="Y688" s="5"/>
      <c r="Z688" s="7"/>
      <c r="AA688" s="5"/>
      <c r="AB688" s="5"/>
      <c r="AC688" s="5"/>
      <c r="AD688" s="5"/>
      <c r="AE688" s="5"/>
      <c r="AF688" s="5"/>
      <c r="AG688" s="5"/>
      <c r="AH688" s="5"/>
      <c r="AI688" s="5"/>
    </row>
    <row r="689" spans="1:35" ht="15.75" customHeight="1">
      <c r="A689" s="5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5"/>
      <c r="T689" s="5"/>
      <c r="U689" s="104"/>
      <c r="V689" s="5"/>
      <c r="W689" s="5"/>
      <c r="X689" s="5"/>
      <c r="Y689" s="5"/>
      <c r="Z689" s="7"/>
      <c r="AA689" s="5"/>
      <c r="AB689" s="5"/>
      <c r="AC689" s="5"/>
      <c r="AD689" s="5"/>
      <c r="AE689" s="5"/>
      <c r="AF689" s="5"/>
      <c r="AG689" s="5"/>
      <c r="AH689" s="5"/>
      <c r="AI689" s="5"/>
    </row>
    <row r="690" spans="1:35" ht="15.75" customHeight="1">
      <c r="A690" s="5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5"/>
      <c r="T690" s="5"/>
      <c r="U690" s="104"/>
      <c r="V690" s="5"/>
      <c r="W690" s="5"/>
      <c r="X690" s="5"/>
      <c r="Y690" s="5"/>
      <c r="Z690" s="7"/>
      <c r="AA690" s="5"/>
      <c r="AB690" s="5"/>
      <c r="AC690" s="5"/>
      <c r="AD690" s="5"/>
      <c r="AE690" s="5"/>
      <c r="AF690" s="5"/>
      <c r="AG690" s="5"/>
      <c r="AH690" s="5"/>
      <c r="AI690" s="5"/>
    </row>
    <row r="691" spans="1:35" ht="15.75" customHeight="1">
      <c r="A691" s="5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5"/>
      <c r="T691" s="5"/>
      <c r="U691" s="104"/>
      <c r="V691" s="5"/>
      <c r="W691" s="5"/>
      <c r="X691" s="5"/>
      <c r="Y691" s="5"/>
      <c r="Z691" s="7"/>
      <c r="AA691" s="5"/>
      <c r="AB691" s="5"/>
      <c r="AC691" s="5"/>
      <c r="AD691" s="5"/>
      <c r="AE691" s="5"/>
      <c r="AF691" s="5"/>
      <c r="AG691" s="5"/>
      <c r="AH691" s="5"/>
      <c r="AI691" s="5"/>
    </row>
    <row r="692" spans="1:35" ht="15.75" customHeight="1">
      <c r="A692" s="5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5"/>
      <c r="T692" s="5"/>
      <c r="U692" s="104"/>
      <c r="V692" s="5"/>
      <c r="W692" s="5"/>
      <c r="X692" s="5"/>
      <c r="Y692" s="5"/>
      <c r="Z692" s="7"/>
      <c r="AA692" s="5"/>
      <c r="AB692" s="5"/>
      <c r="AC692" s="5"/>
      <c r="AD692" s="5"/>
      <c r="AE692" s="5"/>
      <c r="AF692" s="5"/>
      <c r="AG692" s="5"/>
      <c r="AH692" s="5"/>
      <c r="AI692" s="5"/>
    </row>
    <row r="693" spans="1:35" ht="15.75" customHeight="1">
      <c r="A693" s="5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5"/>
      <c r="T693" s="5"/>
      <c r="U693" s="104"/>
      <c r="V693" s="5"/>
      <c r="W693" s="5"/>
      <c r="X693" s="5"/>
      <c r="Y693" s="5"/>
      <c r="Z693" s="7"/>
      <c r="AA693" s="5"/>
      <c r="AB693" s="5"/>
      <c r="AC693" s="5"/>
      <c r="AD693" s="5"/>
      <c r="AE693" s="5"/>
      <c r="AF693" s="5"/>
      <c r="AG693" s="5"/>
      <c r="AH693" s="5"/>
      <c r="AI693" s="5"/>
    </row>
    <row r="694" spans="1:35" ht="15.75" customHeight="1">
      <c r="A694" s="5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5"/>
      <c r="T694" s="5"/>
      <c r="U694" s="104"/>
      <c r="V694" s="5"/>
      <c r="W694" s="5"/>
      <c r="X694" s="5"/>
      <c r="Y694" s="5"/>
      <c r="Z694" s="7"/>
      <c r="AA694" s="5"/>
      <c r="AB694" s="5"/>
      <c r="AC694" s="5"/>
      <c r="AD694" s="5"/>
      <c r="AE694" s="5"/>
      <c r="AF694" s="5"/>
      <c r="AG694" s="5"/>
      <c r="AH694" s="5"/>
      <c r="AI694" s="5"/>
    </row>
    <row r="695" spans="1:35" ht="15.75" customHeight="1">
      <c r="A695" s="5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5"/>
      <c r="T695" s="5"/>
      <c r="U695" s="104"/>
      <c r="V695" s="5"/>
      <c r="W695" s="5"/>
      <c r="X695" s="5"/>
      <c r="Y695" s="5"/>
      <c r="Z695" s="7"/>
      <c r="AA695" s="5"/>
      <c r="AB695" s="5"/>
      <c r="AC695" s="5"/>
      <c r="AD695" s="5"/>
      <c r="AE695" s="5"/>
      <c r="AF695" s="5"/>
      <c r="AG695" s="5"/>
      <c r="AH695" s="5"/>
      <c r="AI695" s="5"/>
    </row>
    <row r="696" spans="1:35" ht="15.75" customHeight="1">
      <c r="A696" s="5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5"/>
      <c r="T696" s="5"/>
      <c r="U696" s="104"/>
      <c r="V696" s="5"/>
      <c r="W696" s="5"/>
      <c r="X696" s="5"/>
      <c r="Y696" s="5"/>
      <c r="Z696" s="7"/>
      <c r="AA696" s="5"/>
      <c r="AB696" s="5"/>
      <c r="AC696" s="5"/>
      <c r="AD696" s="5"/>
      <c r="AE696" s="5"/>
      <c r="AF696" s="5"/>
      <c r="AG696" s="5"/>
      <c r="AH696" s="5"/>
      <c r="AI696" s="5"/>
    </row>
    <row r="697" spans="1:35" ht="15.75" customHeight="1">
      <c r="A697" s="5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5"/>
      <c r="T697" s="5"/>
      <c r="U697" s="104"/>
      <c r="V697" s="5"/>
      <c r="W697" s="5"/>
      <c r="X697" s="5"/>
      <c r="Y697" s="5"/>
      <c r="Z697" s="7"/>
      <c r="AA697" s="5"/>
      <c r="AB697" s="5"/>
      <c r="AC697" s="5"/>
      <c r="AD697" s="5"/>
      <c r="AE697" s="5"/>
      <c r="AF697" s="5"/>
      <c r="AG697" s="5"/>
      <c r="AH697" s="5"/>
      <c r="AI697" s="5"/>
    </row>
    <row r="698" spans="1:35" ht="15.75" customHeight="1">
      <c r="A698" s="5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5"/>
      <c r="T698" s="5"/>
      <c r="U698" s="104"/>
      <c r="V698" s="5"/>
      <c r="W698" s="5"/>
      <c r="X698" s="5"/>
      <c r="Y698" s="5"/>
      <c r="Z698" s="7"/>
      <c r="AA698" s="5"/>
      <c r="AB698" s="5"/>
      <c r="AC698" s="5"/>
      <c r="AD698" s="5"/>
      <c r="AE698" s="5"/>
      <c r="AF698" s="5"/>
      <c r="AG698" s="5"/>
      <c r="AH698" s="5"/>
      <c r="AI698" s="5"/>
    </row>
    <row r="699" spans="1:35" ht="15.75" customHeight="1">
      <c r="A699" s="5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5"/>
      <c r="T699" s="5"/>
      <c r="U699" s="104"/>
      <c r="V699" s="5"/>
      <c r="W699" s="5"/>
      <c r="X699" s="5"/>
      <c r="Y699" s="5"/>
      <c r="Z699" s="7"/>
      <c r="AA699" s="5"/>
      <c r="AB699" s="5"/>
      <c r="AC699" s="5"/>
      <c r="AD699" s="5"/>
      <c r="AE699" s="5"/>
      <c r="AF699" s="5"/>
      <c r="AG699" s="5"/>
      <c r="AH699" s="5"/>
      <c r="AI699" s="5"/>
    </row>
    <row r="700" spans="1:35" ht="15.75" customHeight="1">
      <c r="A700" s="5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5"/>
      <c r="T700" s="5"/>
      <c r="U700" s="104"/>
      <c r="V700" s="5"/>
      <c r="W700" s="5"/>
      <c r="X700" s="5"/>
      <c r="Y700" s="5"/>
      <c r="Z700" s="7"/>
      <c r="AA700" s="5"/>
      <c r="AB700" s="5"/>
      <c r="AC700" s="5"/>
      <c r="AD700" s="5"/>
      <c r="AE700" s="5"/>
      <c r="AF700" s="5"/>
      <c r="AG700" s="5"/>
      <c r="AH700" s="5"/>
      <c r="AI700" s="5"/>
    </row>
    <row r="701" spans="1:35" ht="15.75" customHeight="1">
      <c r="A701" s="5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5"/>
      <c r="T701" s="5"/>
      <c r="U701" s="104"/>
      <c r="V701" s="5"/>
      <c r="W701" s="5"/>
      <c r="X701" s="5"/>
      <c r="Y701" s="5"/>
      <c r="Z701" s="7"/>
      <c r="AA701" s="5"/>
      <c r="AB701" s="5"/>
      <c r="AC701" s="5"/>
      <c r="AD701" s="5"/>
      <c r="AE701" s="5"/>
      <c r="AF701" s="5"/>
      <c r="AG701" s="5"/>
      <c r="AH701" s="5"/>
      <c r="AI701" s="5"/>
    </row>
    <row r="702" spans="1:35" ht="15.75" customHeight="1">
      <c r="A702" s="5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5"/>
      <c r="T702" s="5"/>
      <c r="U702" s="104"/>
      <c r="V702" s="5"/>
      <c r="W702" s="5"/>
      <c r="X702" s="5"/>
      <c r="Y702" s="5"/>
      <c r="Z702" s="7"/>
      <c r="AA702" s="5"/>
      <c r="AB702" s="5"/>
      <c r="AC702" s="5"/>
      <c r="AD702" s="5"/>
      <c r="AE702" s="5"/>
      <c r="AF702" s="5"/>
      <c r="AG702" s="5"/>
      <c r="AH702" s="5"/>
      <c r="AI702" s="5"/>
    </row>
    <row r="703" spans="1:35" ht="15.75" customHeight="1">
      <c r="A703" s="5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5"/>
      <c r="T703" s="5"/>
      <c r="U703" s="104"/>
      <c r="V703" s="5"/>
      <c r="W703" s="5"/>
      <c r="X703" s="5"/>
      <c r="Y703" s="5"/>
      <c r="Z703" s="7"/>
      <c r="AA703" s="5"/>
      <c r="AB703" s="5"/>
      <c r="AC703" s="5"/>
      <c r="AD703" s="5"/>
      <c r="AE703" s="5"/>
      <c r="AF703" s="5"/>
      <c r="AG703" s="5"/>
      <c r="AH703" s="5"/>
      <c r="AI703" s="5"/>
    </row>
    <row r="704" spans="1:35" ht="15.75" customHeight="1">
      <c r="A704" s="5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5"/>
      <c r="T704" s="5"/>
      <c r="U704" s="104"/>
      <c r="V704" s="5"/>
      <c r="W704" s="5"/>
      <c r="X704" s="5"/>
      <c r="Y704" s="5"/>
      <c r="Z704" s="7"/>
      <c r="AA704" s="5"/>
      <c r="AB704" s="5"/>
      <c r="AC704" s="5"/>
      <c r="AD704" s="5"/>
      <c r="AE704" s="5"/>
      <c r="AF704" s="5"/>
      <c r="AG704" s="5"/>
      <c r="AH704" s="5"/>
      <c r="AI704" s="5"/>
    </row>
    <row r="705" spans="1:35" ht="15.75" customHeight="1">
      <c r="A705" s="5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5"/>
      <c r="T705" s="5"/>
      <c r="U705" s="104"/>
      <c r="V705" s="5"/>
      <c r="W705" s="5"/>
      <c r="X705" s="5"/>
      <c r="Y705" s="5"/>
      <c r="Z705" s="7"/>
      <c r="AA705" s="5"/>
      <c r="AB705" s="5"/>
      <c r="AC705" s="5"/>
      <c r="AD705" s="5"/>
      <c r="AE705" s="5"/>
      <c r="AF705" s="5"/>
      <c r="AG705" s="5"/>
      <c r="AH705" s="5"/>
      <c r="AI705" s="5"/>
    </row>
    <row r="706" spans="1:35" ht="15.75" customHeight="1">
      <c r="A706" s="5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5"/>
      <c r="T706" s="5"/>
      <c r="U706" s="104"/>
      <c r="V706" s="5"/>
      <c r="W706" s="5"/>
      <c r="X706" s="5"/>
      <c r="Y706" s="5"/>
      <c r="Z706" s="7"/>
      <c r="AA706" s="5"/>
      <c r="AB706" s="5"/>
      <c r="AC706" s="5"/>
      <c r="AD706" s="5"/>
      <c r="AE706" s="5"/>
      <c r="AF706" s="5"/>
      <c r="AG706" s="5"/>
      <c r="AH706" s="5"/>
      <c r="AI706" s="5"/>
    </row>
    <row r="707" spans="1:35" ht="15.75" customHeight="1">
      <c r="A707" s="5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5"/>
      <c r="T707" s="5"/>
      <c r="U707" s="104"/>
      <c r="V707" s="5"/>
      <c r="W707" s="5"/>
      <c r="X707" s="5"/>
      <c r="Y707" s="5"/>
      <c r="Z707" s="7"/>
      <c r="AA707" s="5"/>
      <c r="AB707" s="5"/>
      <c r="AC707" s="5"/>
      <c r="AD707" s="5"/>
      <c r="AE707" s="5"/>
      <c r="AF707" s="5"/>
      <c r="AG707" s="5"/>
      <c r="AH707" s="5"/>
      <c r="AI707" s="5"/>
    </row>
    <row r="708" spans="1:35" ht="15.75" customHeight="1">
      <c r="A708" s="5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5"/>
      <c r="T708" s="5"/>
      <c r="U708" s="104"/>
      <c r="V708" s="5"/>
      <c r="W708" s="5"/>
      <c r="X708" s="5"/>
      <c r="Y708" s="5"/>
      <c r="Z708" s="7"/>
      <c r="AA708" s="5"/>
      <c r="AB708" s="5"/>
      <c r="AC708" s="5"/>
      <c r="AD708" s="5"/>
      <c r="AE708" s="5"/>
      <c r="AF708" s="5"/>
      <c r="AG708" s="5"/>
      <c r="AH708" s="5"/>
      <c r="AI708" s="5"/>
    </row>
    <row r="709" spans="1:35" ht="15.75" customHeight="1">
      <c r="A709" s="5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5"/>
      <c r="T709" s="5"/>
      <c r="U709" s="104"/>
      <c r="V709" s="5"/>
      <c r="W709" s="5"/>
      <c r="X709" s="5"/>
      <c r="Y709" s="5"/>
      <c r="Z709" s="7"/>
      <c r="AA709" s="5"/>
      <c r="AB709" s="5"/>
      <c r="AC709" s="5"/>
      <c r="AD709" s="5"/>
      <c r="AE709" s="5"/>
      <c r="AF709" s="5"/>
      <c r="AG709" s="5"/>
      <c r="AH709" s="5"/>
      <c r="AI709" s="5"/>
    </row>
    <row r="710" spans="1:35" ht="15.75" customHeight="1">
      <c r="A710" s="5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5"/>
      <c r="T710" s="5"/>
      <c r="U710" s="104"/>
      <c r="V710" s="5"/>
      <c r="W710" s="5"/>
      <c r="X710" s="5"/>
      <c r="Y710" s="5"/>
      <c r="Z710" s="7"/>
      <c r="AA710" s="5"/>
      <c r="AB710" s="5"/>
      <c r="AC710" s="5"/>
      <c r="AD710" s="5"/>
      <c r="AE710" s="5"/>
      <c r="AF710" s="5"/>
      <c r="AG710" s="5"/>
      <c r="AH710" s="5"/>
      <c r="AI710" s="5"/>
    </row>
    <row r="711" spans="1:35" ht="15.75" customHeight="1">
      <c r="A711" s="5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5"/>
      <c r="T711" s="5"/>
      <c r="U711" s="104"/>
      <c r="V711" s="5"/>
      <c r="W711" s="5"/>
      <c r="X711" s="5"/>
      <c r="Y711" s="5"/>
      <c r="Z711" s="7"/>
      <c r="AA711" s="5"/>
      <c r="AB711" s="5"/>
      <c r="AC711" s="5"/>
      <c r="AD711" s="5"/>
      <c r="AE711" s="5"/>
      <c r="AF711" s="5"/>
      <c r="AG711" s="5"/>
      <c r="AH711" s="5"/>
      <c r="AI711" s="5"/>
    </row>
    <row r="712" spans="1:35" ht="15.75" customHeight="1">
      <c r="A712" s="5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5"/>
      <c r="T712" s="5"/>
      <c r="U712" s="104"/>
      <c r="V712" s="5"/>
      <c r="W712" s="5"/>
      <c r="X712" s="5"/>
      <c r="Y712" s="5"/>
      <c r="Z712" s="7"/>
      <c r="AA712" s="5"/>
      <c r="AB712" s="5"/>
      <c r="AC712" s="5"/>
      <c r="AD712" s="5"/>
      <c r="AE712" s="5"/>
      <c r="AF712" s="5"/>
      <c r="AG712" s="5"/>
      <c r="AH712" s="5"/>
      <c r="AI712" s="5"/>
    </row>
    <row r="713" spans="1:35" ht="15.75" customHeight="1">
      <c r="A713" s="5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5"/>
      <c r="T713" s="5"/>
      <c r="U713" s="104"/>
      <c r="V713" s="5"/>
      <c r="W713" s="5"/>
      <c r="X713" s="5"/>
      <c r="Y713" s="5"/>
      <c r="Z713" s="7"/>
      <c r="AA713" s="5"/>
      <c r="AB713" s="5"/>
      <c r="AC713" s="5"/>
      <c r="AD713" s="5"/>
      <c r="AE713" s="5"/>
      <c r="AF713" s="5"/>
      <c r="AG713" s="5"/>
      <c r="AH713" s="5"/>
      <c r="AI713" s="5"/>
    </row>
    <row r="714" spans="1:35" ht="15.75" customHeight="1">
      <c r="A714" s="5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5"/>
      <c r="T714" s="5"/>
      <c r="U714" s="104"/>
      <c r="V714" s="5"/>
      <c r="W714" s="5"/>
      <c r="X714" s="5"/>
      <c r="Y714" s="5"/>
      <c r="Z714" s="7"/>
      <c r="AA714" s="5"/>
      <c r="AB714" s="5"/>
      <c r="AC714" s="5"/>
      <c r="AD714" s="5"/>
      <c r="AE714" s="5"/>
      <c r="AF714" s="5"/>
      <c r="AG714" s="5"/>
      <c r="AH714" s="5"/>
      <c r="AI714" s="5"/>
    </row>
    <row r="715" spans="1:35" ht="15.75" customHeight="1">
      <c r="A715" s="5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5"/>
      <c r="T715" s="5"/>
      <c r="U715" s="104"/>
      <c r="V715" s="5"/>
      <c r="W715" s="5"/>
      <c r="X715" s="5"/>
      <c r="Y715" s="5"/>
      <c r="Z715" s="7"/>
      <c r="AA715" s="5"/>
      <c r="AB715" s="5"/>
      <c r="AC715" s="5"/>
      <c r="AD715" s="5"/>
      <c r="AE715" s="5"/>
      <c r="AF715" s="5"/>
      <c r="AG715" s="5"/>
      <c r="AH715" s="5"/>
      <c r="AI715" s="5"/>
    </row>
    <row r="716" spans="1:35" ht="15.75" customHeight="1">
      <c r="A716" s="5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5"/>
      <c r="T716" s="5"/>
      <c r="U716" s="104"/>
      <c r="V716" s="5"/>
      <c r="W716" s="5"/>
      <c r="X716" s="5"/>
      <c r="Y716" s="5"/>
      <c r="Z716" s="7"/>
      <c r="AA716" s="5"/>
      <c r="AB716" s="5"/>
      <c r="AC716" s="5"/>
      <c r="AD716" s="5"/>
      <c r="AE716" s="5"/>
      <c r="AF716" s="5"/>
      <c r="AG716" s="5"/>
      <c r="AH716" s="5"/>
      <c r="AI716" s="5"/>
    </row>
    <row r="717" spans="1:35" ht="15.75" customHeight="1">
      <c r="A717" s="5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5"/>
      <c r="T717" s="5"/>
      <c r="U717" s="104"/>
      <c r="V717" s="5"/>
      <c r="W717" s="5"/>
      <c r="X717" s="5"/>
      <c r="Y717" s="5"/>
      <c r="Z717" s="7"/>
      <c r="AA717" s="5"/>
      <c r="AB717" s="5"/>
      <c r="AC717" s="5"/>
      <c r="AD717" s="5"/>
      <c r="AE717" s="5"/>
      <c r="AF717" s="5"/>
      <c r="AG717" s="5"/>
      <c r="AH717" s="5"/>
      <c r="AI717" s="5"/>
    </row>
    <row r="718" spans="1:35" ht="15.75" customHeight="1">
      <c r="A718" s="5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5"/>
      <c r="T718" s="5"/>
      <c r="U718" s="104"/>
      <c r="V718" s="5"/>
      <c r="W718" s="5"/>
      <c r="X718" s="5"/>
      <c r="Y718" s="5"/>
      <c r="Z718" s="7"/>
      <c r="AA718" s="5"/>
      <c r="AB718" s="5"/>
      <c r="AC718" s="5"/>
      <c r="AD718" s="5"/>
      <c r="AE718" s="5"/>
      <c r="AF718" s="5"/>
      <c r="AG718" s="5"/>
      <c r="AH718" s="5"/>
      <c r="AI718" s="5"/>
    </row>
    <row r="719" spans="1:35" ht="15.75" customHeight="1">
      <c r="A719" s="5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5"/>
      <c r="T719" s="5"/>
      <c r="U719" s="104"/>
      <c r="V719" s="5"/>
      <c r="W719" s="5"/>
      <c r="X719" s="5"/>
      <c r="Y719" s="5"/>
      <c r="Z719" s="7"/>
      <c r="AA719" s="5"/>
      <c r="AB719" s="5"/>
      <c r="AC719" s="5"/>
      <c r="AD719" s="5"/>
      <c r="AE719" s="5"/>
      <c r="AF719" s="5"/>
      <c r="AG719" s="5"/>
      <c r="AH719" s="5"/>
      <c r="AI719" s="5"/>
    </row>
    <row r="720" spans="1:35" ht="15.75" customHeight="1">
      <c r="A720" s="5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5"/>
      <c r="T720" s="5"/>
      <c r="U720" s="104"/>
      <c r="V720" s="5"/>
      <c r="W720" s="5"/>
      <c r="X720" s="5"/>
      <c r="Y720" s="5"/>
      <c r="Z720" s="7"/>
      <c r="AA720" s="5"/>
      <c r="AB720" s="5"/>
      <c r="AC720" s="5"/>
      <c r="AD720" s="5"/>
      <c r="AE720" s="5"/>
      <c r="AF720" s="5"/>
      <c r="AG720" s="5"/>
      <c r="AH720" s="5"/>
      <c r="AI720" s="5"/>
    </row>
    <row r="721" spans="1:35" ht="15.75" customHeight="1">
      <c r="A721" s="5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5"/>
      <c r="T721" s="5"/>
      <c r="U721" s="104"/>
      <c r="V721" s="5"/>
      <c r="W721" s="5"/>
      <c r="X721" s="5"/>
      <c r="Y721" s="5"/>
      <c r="Z721" s="7"/>
      <c r="AA721" s="5"/>
      <c r="AB721" s="5"/>
      <c r="AC721" s="5"/>
      <c r="AD721" s="5"/>
      <c r="AE721" s="5"/>
      <c r="AF721" s="5"/>
      <c r="AG721" s="5"/>
      <c r="AH721" s="5"/>
      <c r="AI721" s="5"/>
    </row>
    <row r="722" spans="1:35" ht="15.75" customHeight="1">
      <c r="A722" s="5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5"/>
      <c r="T722" s="5"/>
      <c r="U722" s="104"/>
      <c r="V722" s="5"/>
      <c r="W722" s="5"/>
      <c r="X722" s="5"/>
      <c r="Y722" s="5"/>
      <c r="Z722" s="7"/>
      <c r="AA722" s="5"/>
      <c r="AB722" s="5"/>
      <c r="AC722" s="5"/>
      <c r="AD722" s="5"/>
      <c r="AE722" s="5"/>
      <c r="AF722" s="5"/>
      <c r="AG722" s="5"/>
      <c r="AH722" s="5"/>
      <c r="AI722" s="5"/>
    </row>
    <row r="723" spans="1:35" ht="15.75" customHeight="1">
      <c r="A723" s="5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5"/>
      <c r="T723" s="5"/>
      <c r="U723" s="104"/>
      <c r="V723" s="5"/>
      <c r="W723" s="5"/>
      <c r="X723" s="5"/>
      <c r="Y723" s="5"/>
      <c r="Z723" s="7"/>
      <c r="AA723" s="5"/>
      <c r="AB723" s="5"/>
      <c r="AC723" s="5"/>
      <c r="AD723" s="5"/>
      <c r="AE723" s="5"/>
      <c r="AF723" s="5"/>
      <c r="AG723" s="5"/>
      <c r="AH723" s="5"/>
      <c r="AI723" s="5"/>
    </row>
    <row r="724" spans="1:35" ht="15.75" customHeight="1">
      <c r="A724" s="5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5"/>
      <c r="T724" s="5"/>
      <c r="U724" s="104"/>
      <c r="V724" s="5"/>
      <c r="W724" s="5"/>
      <c r="X724" s="5"/>
      <c r="Y724" s="5"/>
      <c r="Z724" s="7"/>
      <c r="AA724" s="5"/>
      <c r="AB724" s="5"/>
      <c r="AC724" s="5"/>
      <c r="AD724" s="5"/>
      <c r="AE724" s="5"/>
      <c r="AF724" s="5"/>
      <c r="AG724" s="5"/>
      <c r="AH724" s="5"/>
      <c r="AI724" s="5"/>
    </row>
    <row r="725" spans="1:35" ht="15.75" customHeight="1">
      <c r="A725" s="5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5"/>
      <c r="T725" s="5"/>
      <c r="U725" s="104"/>
      <c r="V725" s="5"/>
      <c r="W725" s="5"/>
      <c r="X725" s="5"/>
      <c r="Y725" s="5"/>
      <c r="Z725" s="7"/>
      <c r="AA725" s="5"/>
      <c r="AB725" s="5"/>
      <c r="AC725" s="5"/>
      <c r="AD725" s="5"/>
      <c r="AE725" s="5"/>
      <c r="AF725" s="5"/>
      <c r="AG725" s="5"/>
      <c r="AH725" s="5"/>
      <c r="AI725" s="5"/>
    </row>
    <row r="726" spans="1:35" ht="15.75" customHeight="1">
      <c r="A726" s="5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5"/>
      <c r="T726" s="5"/>
      <c r="U726" s="104"/>
      <c r="V726" s="5"/>
      <c r="W726" s="5"/>
      <c r="X726" s="5"/>
      <c r="Y726" s="5"/>
      <c r="Z726" s="7"/>
      <c r="AA726" s="5"/>
      <c r="AB726" s="5"/>
      <c r="AC726" s="5"/>
      <c r="AD726" s="5"/>
      <c r="AE726" s="5"/>
      <c r="AF726" s="5"/>
      <c r="AG726" s="5"/>
      <c r="AH726" s="5"/>
      <c r="AI726" s="5"/>
    </row>
    <row r="727" spans="1:35" ht="15.75" customHeight="1">
      <c r="A727" s="5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5"/>
      <c r="T727" s="5"/>
      <c r="U727" s="104"/>
      <c r="V727" s="5"/>
      <c r="W727" s="5"/>
      <c r="X727" s="5"/>
      <c r="Y727" s="5"/>
      <c r="Z727" s="7"/>
      <c r="AA727" s="5"/>
      <c r="AB727" s="5"/>
      <c r="AC727" s="5"/>
      <c r="AD727" s="5"/>
      <c r="AE727" s="5"/>
      <c r="AF727" s="5"/>
      <c r="AG727" s="5"/>
      <c r="AH727" s="5"/>
      <c r="AI727" s="5"/>
    </row>
    <row r="728" spans="1:35" ht="15.75" customHeight="1">
      <c r="A728" s="5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5"/>
      <c r="T728" s="5"/>
      <c r="U728" s="104"/>
      <c r="V728" s="5"/>
      <c r="W728" s="5"/>
      <c r="X728" s="5"/>
      <c r="Y728" s="5"/>
      <c r="Z728" s="7"/>
      <c r="AA728" s="5"/>
      <c r="AB728" s="5"/>
      <c r="AC728" s="5"/>
      <c r="AD728" s="5"/>
      <c r="AE728" s="5"/>
      <c r="AF728" s="5"/>
      <c r="AG728" s="5"/>
      <c r="AH728" s="5"/>
      <c r="AI728" s="5"/>
    </row>
    <row r="729" spans="1:35" ht="15.75" customHeight="1">
      <c r="A729" s="5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5"/>
      <c r="T729" s="5"/>
      <c r="U729" s="104"/>
      <c r="V729" s="5"/>
      <c r="W729" s="5"/>
      <c r="X729" s="5"/>
      <c r="Y729" s="5"/>
      <c r="Z729" s="7"/>
      <c r="AA729" s="5"/>
      <c r="AB729" s="5"/>
      <c r="AC729" s="5"/>
      <c r="AD729" s="5"/>
      <c r="AE729" s="5"/>
      <c r="AF729" s="5"/>
      <c r="AG729" s="5"/>
      <c r="AH729" s="5"/>
      <c r="AI729" s="5"/>
    </row>
    <row r="730" spans="1:35" ht="15.75" customHeight="1">
      <c r="A730" s="5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5"/>
      <c r="T730" s="5"/>
      <c r="U730" s="104"/>
      <c r="V730" s="5"/>
      <c r="W730" s="5"/>
      <c r="X730" s="5"/>
      <c r="Y730" s="5"/>
      <c r="Z730" s="7"/>
      <c r="AA730" s="5"/>
      <c r="AB730" s="5"/>
      <c r="AC730" s="5"/>
      <c r="AD730" s="5"/>
      <c r="AE730" s="5"/>
      <c r="AF730" s="5"/>
      <c r="AG730" s="5"/>
      <c r="AH730" s="5"/>
      <c r="AI730" s="5"/>
    </row>
    <row r="731" spans="1:35" ht="15.75" customHeight="1">
      <c r="A731" s="5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5"/>
      <c r="T731" s="5"/>
      <c r="U731" s="104"/>
      <c r="V731" s="5"/>
      <c r="W731" s="5"/>
      <c r="X731" s="5"/>
      <c r="Y731" s="5"/>
      <c r="Z731" s="7"/>
      <c r="AA731" s="5"/>
      <c r="AB731" s="5"/>
      <c r="AC731" s="5"/>
      <c r="AD731" s="5"/>
      <c r="AE731" s="5"/>
      <c r="AF731" s="5"/>
      <c r="AG731" s="5"/>
      <c r="AH731" s="5"/>
      <c r="AI731" s="5"/>
    </row>
    <row r="732" spans="1:35" ht="15.75" customHeight="1">
      <c r="A732" s="5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5"/>
      <c r="T732" s="5"/>
      <c r="U732" s="104"/>
      <c r="V732" s="5"/>
      <c r="W732" s="5"/>
      <c r="X732" s="5"/>
      <c r="Y732" s="5"/>
      <c r="Z732" s="7"/>
      <c r="AA732" s="5"/>
      <c r="AB732" s="5"/>
      <c r="AC732" s="5"/>
      <c r="AD732" s="5"/>
      <c r="AE732" s="5"/>
      <c r="AF732" s="5"/>
      <c r="AG732" s="5"/>
      <c r="AH732" s="5"/>
      <c r="AI732" s="5"/>
    </row>
    <row r="733" spans="1:35" ht="15.75" customHeight="1">
      <c r="A733" s="5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5"/>
      <c r="T733" s="5"/>
      <c r="U733" s="104"/>
      <c r="V733" s="5"/>
      <c r="W733" s="5"/>
      <c r="X733" s="5"/>
      <c r="Y733" s="5"/>
      <c r="Z733" s="7"/>
      <c r="AA733" s="5"/>
      <c r="AB733" s="5"/>
      <c r="AC733" s="5"/>
      <c r="AD733" s="5"/>
      <c r="AE733" s="5"/>
      <c r="AF733" s="5"/>
      <c r="AG733" s="5"/>
      <c r="AH733" s="5"/>
      <c r="AI733" s="5"/>
    </row>
    <row r="734" spans="1:35" ht="15.75" customHeight="1">
      <c r="A734" s="5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5"/>
      <c r="T734" s="5"/>
      <c r="U734" s="104"/>
      <c r="V734" s="5"/>
      <c r="W734" s="5"/>
      <c r="X734" s="5"/>
      <c r="Y734" s="5"/>
      <c r="Z734" s="7"/>
      <c r="AA734" s="5"/>
      <c r="AB734" s="5"/>
      <c r="AC734" s="5"/>
      <c r="AD734" s="5"/>
      <c r="AE734" s="5"/>
      <c r="AF734" s="5"/>
      <c r="AG734" s="5"/>
      <c r="AH734" s="5"/>
      <c r="AI734" s="5"/>
    </row>
    <row r="735" spans="1:35" ht="15.75" customHeight="1">
      <c r="A735" s="5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5"/>
      <c r="T735" s="5"/>
      <c r="U735" s="104"/>
      <c r="V735" s="5"/>
      <c r="W735" s="5"/>
      <c r="X735" s="5"/>
      <c r="Y735" s="5"/>
      <c r="Z735" s="7"/>
      <c r="AA735" s="5"/>
      <c r="AB735" s="5"/>
      <c r="AC735" s="5"/>
      <c r="AD735" s="5"/>
      <c r="AE735" s="5"/>
      <c r="AF735" s="5"/>
      <c r="AG735" s="5"/>
      <c r="AH735" s="5"/>
      <c r="AI735" s="5"/>
    </row>
    <row r="736" spans="1:35" ht="15.75" customHeight="1">
      <c r="A736" s="5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5"/>
      <c r="T736" s="5"/>
      <c r="U736" s="104"/>
      <c r="V736" s="5"/>
      <c r="W736" s="5"/>
      <c r="X736" s="5"/>
      <c r="Y736" s="5"/>
      <c r="Z736" s="7"/>
      <c r="AA736" s="5"/>
      <c r="AB736" s="5"/>
      <c r="AC736" s="5"/>
      <c r="AD736" s="5"/>
      <c r="AE736" s="5"/>
      <c r="AF736" s="5"/>
      <c r="AG736" s="5"/>
      <c r="AH736" s="5"/>
      <c r="AI736" s="5"/>
    </row>
    <row r="737" spans="1:35" ht="15.75" customHeight="1">
      <c r="A737" s="5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5"/>
      <c r="T737" s="5"/>
      <c r="U737" s="104"/>
      <c r="V737" s="5"/>
      <c r="W737" s="5"/>
      <c r="X737" s="5"/>
      <c r="Y737" s="5"/>
      <c r="Z737" s="7"/>
      <c r="AA737" s="5"/>
      <c r="AB737" s="5"/>
      <c r="AC737" s="5"/>
      <c r="AD737" s="5"/>
      <c r="AE737" s="5"/>
      <c r="AF737" s="5"/>
      <c r="AG737" s="5"/>
      <c r="AH737" s="5"/>
      <c r="AI737" s="5"/>
    </row>
    <row r="738" spans="1:35" ht="15.75" customHeight="1">
      <c r="A738" s="5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5"/>
      <c r="T738" s="5"/>
      <c r="U738" s="104"/>
      <c r="V738" s="5"/>
      <c r="W738" s="5"/>
      <c r="X738" s="5"/>
      <c r="Y738" s="5"/>
      <c r="Z738" s="7"/>
      <c r="AA738" s="5"/>
      <c r="AB738" s="5"/>
      <c r="AC738" s="5"/>
      <c r="AD738" s="5"/>
      <c r="AE738" s="5"/>
      <c r="AF738" s="5"/>
      <c r="AG738" s="5"/>
      <c r="AH738" s="5"/>
      <c r="AI738" s="5"/>
    </row>
    <row r="739" spans="1:35" ht="15.75" customHeight="1">
      <c r="A739" s="5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5"/>
      <c r="T739" s="5"/>
      <c r="U739" s="104"/>
      <c r="V739" s="5"/>
      <c r="W739" s="5"/>
      <c r="X739" s="5"/>
      <c r="Y739" s="5"/>
      <c r="Z739" s="7"/>
      <c r="AA739" s="5"/>
      <c r="AB739" s="5"/>
      <c r="AC739" s="5"/>
      <c r="AD739" s="5"/>
      <c r="AE739" s="5"/>
      <c r="AF739" s="5"/>
      <c r="AG739" s="5"/>
      <c r="AH739" s="5"/>
      <c r="AI739" s="5"/>
    </row>
    <row r="740" spans="1:35" ht="15.75" customHeight="1">
      <c r="A740" s="5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5"/>
      <c r="T740" s="5"/>
      <c r="U740" s="104"/>
      <c r="V740" s="5"/>
      <c r="W740" s="5"/>
      <c r="X740" s="5"/>
      <c r="Y740" s="5"/>
      <c r="Z740" s="7"/>
      <c r="AA740" s="5"/>
      <c r="AB740" s="5"/>
      <c r="AC740" s="5"/>
      <c r="AD740" s="5"/>
      <c r="AE740" s="5"/>
      <c r="AF740" s="5"/>
      <c r="AG740" s="5"/>
      <c r="AH740" s="5"/>
      <c r="AI740" s="5"/>
    </row>
    <row r="741" spans="1:35" ht="15.75" customHeight="1">
      <c r="A741" s="5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5"/>
      <c r="T741" s="5"/>
      <c r="U741" s="104"/>
      <c r="V741" s="5"/>
      <c r="W741" s="5"/>
      <c r="X741" s="5"/>
      <c r="Y741" s="5"/>
      <c r="Z741" s="7"/>
      <c r="AA741" s="5"/>
      <c r="AB741" s="5"/>
      <c r="AC741" s="5"/>
      <c r="AD741" s="5"/>
      <c r="AE741" s="5"/>
      <c r="AF741" s="5"/>
      <c r="AG741" s="5"/>
      <c r="AH741" s="5"/>
      <c r="AI741" s="5"/>
    </row>
    <row r="742" spans="1:35" ht="15.75" customHeight="1">
      <c r="A742" s="5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5"/>
      <c r="T742" s="5"/>
      <c r="U742" s="104"/>
      <c r="V742" s="5"/>
      <c r="W742" s="5"/>
      <c r="X742" s="5"/>
      <c r="Y742" s="5"/>
      <c r="Z742" s="7"/>
      <c r="AA742" s="5"/>
      <c r="AB742" s="5"/>
      <c r="AC742" s="5"/>
      <c r="AD742" s="5"/>
      <c r="AE742" s="5"/>
      <c r="AF742" s="5"/>
      <c r="AG742" s="5"/>
      <c r="AH742" s="5"/>
      <c r="AI742" s="5"/>
    </row>
    <row r="743" spans="1:35" ht="15.75" customHeight="1">
      <c r="A743" s="5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5"/>
      <c r="T743" s="5"/>
      <c r="U743" s="104"/>
      <c r="V743" s="5"/>
      <c r="W743" s="5"/>
      <c r="X743" s="5"/>
      <c r="Y743" s="5"/>
      <c r="Z743" s="7"/>
      <c r="AA743" s="5"/>
      <c r="AB743" s="5"/>
      <c r="AC743" s="5"/>
      <c r="AD743" s="5"/>
      <c r="AE743" s="5"/>
      <c r="AF743" s="5"/>
      <c r="AG743" s="5"/>
      <c r="AH743" s="5"/>
      <c r="AI743" s="5"/>
    </row>
    <row r="744" spans="1:35" ht="15.75" customHeight="1">
      <c r="A744" s="5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5"/>
      <c r="T744" s="5"/>
      <c r="U744" s="104"/>
      <c r="V744" s="5"/>
      <c r="W744" s="5"/>
      <c r="X744" s="5"/>
      <c r="Y744" s="5"/>
      <c r="Z744" s="7"/>
      <c r="AA744" s="5"/>
      <c r="AB744" s="5"/>
      <c r="AC744" s="5"/>
      <c r="AD744" s="5"/>
      <c r="AE744" s="5"/>
      <c r="AF744" s="5"/>
      <c r="AG744" s="5"/>
      <c r="AH744" s="5"/>
      <c r="AI744" s="5"/>
    </row>
    <row r="745" spans="1:35" ht="15.75" customHeight="1">
      <c r="A745" s="5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5"/>
      <c r="T745" s="5"/>
      <c r="U745" s="104"/>
      <c r="V745" s="5"/>
      <c r="W745" s="5"/>
      <c r="X745" s="5"/>
      <c r="Y745" s="5"/>
      <c r="Z745" s="7"/>
      <c r="AA745" s="5"/>
      <c r="AB745" s="5"/>
      <c r="AC745" s="5"/>
      <c r="AD745" s="5"/>
      <c r="AE745" s="5"/>
      <c r="AF745" s="5"/>
      <c r="AG745" s="5"/>
      <c r="AH745" s="5"/>
      <c r="AI745" s="5"/>
    </row>
    <row r="746" spans="1:35" ht="15.75" customHeight="1">
      <c r="A746" s="5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5"/>
      <c r="T746" s="5"/>
      <c r="U746" s="104"/>
      <c r="V746" s="5"/>
      <c r="W746" s="5"/>
      <c r="X746" s="5"/>
      <c r="Y746" s="5"/>
      <c r="Z746" s="7"/>
      <c r="AA746" s="5"/>
      <c r="AB746" s="5"/>
      <c r="AC746" s="5"/>
      <c r="AD746" s="5"/>
      <c r="AE746" s="5"/>
      <c r="AF746" s="5"/>
      <c r="AG746" s="5"/>
      <c r="AH746" s="5"/>
      <c r="AI746" s="5"/>
    </row>
    <row r="747" spans="1:35" ht="15.75" customHeight="1">
      <c r="A747" s="5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5"/>
      <c r="T747" s="5"/>
      <c r="U747" s="104"/>
      <c r="V747" s="5"/>
      <c r="W747" s="5"/>
      <c r="X747" s="5"/>
      <c r="Y747" s="5"/>
      <c r="Z747" s="7"/>
      <c r="AA747" s="5"/>
      <c r="AB747" s="5"/>
      <c r="AC747" s="5"/>
      <c r="AD747" s="5"/>
      <c r="AE747" s="5"/>
      <c r="AF747" s="5"/>
      <c r="AG747" s="5"/>
      <c r="AH747" s="5"/>
      <c r="AI747" s="5"/>
    </row>
    <row r="748" spans="1:35" ht="15.75" customHeight="1">
      <c r="A748" s="5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5"/>
      <c r="T748" s="5"/>
      <c r="U748" s="104"/>
      <c r="V748" s="5"/>
      <c r="W748" s="5"/>
      <c r="X748" s="5"/>
      <c r="Y748" s="5"/>
      <c r="Z748" s="7"/>
      <c r="AA748" s="5"/>
      <c r="AB748" s="5"/>
      <c r="AC748" s="5"/>
      <c r="AD748" s="5"/>
      <c r="AE748" s="5"/>
      <c r="AF748" s="5"/>
      <c r="AG748" s="5"/>
      <c r="AH748" s="5"/>
      <c r="AI748" s="5"/>
    </row>
    <row r="749" spans="1:35" ht="15.75" customHeight="1">
      <c r="A749" s="5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5"/>
      <c r="T749" s="5"/>
      <c r="U749" s="104"/>
      <c r="V749" s="5"/>
      <c r="W749" s="5"/>
      <c r="X749" s="5"/>
      <c r="Y749" s="5"/>
      <c r="Z749" s="7"/>
      <c r="AA749" s="5"/>
      <c r="AB749" s="5"/>
      <c r="AC749" s="5"/>
      <c r="AD749" s="5"/>
      <c r="AE749" s="5"/>
      <c r="AF749" s="5"/>
      <c r="AG749" s="5"/>
      <c r="AH749" s="5"/>
      <c r="AI749" s="5"/>
    </row>
    <row r="750" spans="1:35" ht="15.75" customHeight="1">
      <c r="A750" s="5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5"/>
      <c r="T750" s="5"/>
      <c r="U750" s="104"/>
      <c r="V750" s="5"/>
      <c r="W750" s="5"/>
      <c r="X750" s="5"/>
      <c r="Y750" s="5"/>
      <c r="Z750" s="7"/>
      <c r="AA750" s="5"/>
      <c r="AB750" s="5"/>
      <c r="AC750" s="5"/>
      <c r="AD750" s="5"/>
      <c r="AE750" s="5"/>
      <c r="AF750" s="5"/>
      <c r="AG750" s="5"/>
      <c r="AH750" s="5"/>
      <c r="AI750" s="5"/>
    </row>
    <row r="751" spans="1:35" ht="15.75" customHeight="1">
      <c r="A751" s="5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5"/>
      <c r="T751" s="5"/>
      <c r="U751" s="104"/>
      <c r="V751" s="5"/>
      <c r="W751" s="5"/>
      <c r="X751" s="5"/>
      <c r="Y751" s="5"/>
      <c r="Z751" s="7"/>
      <c r="AA751" s="5"/>
      <c r="AB751" s="5"/>
      <c r="AC751" s="5"/>
      <c r="AD751" s="5"/>
      <c r="AE751" s="5"/>
      <c r="AF751" s="5"/>
      <c r="AG751" s="5"/>
      <c r="AH751" s="5"/>
      <c r="AI751" s="5"/>
    </row>
    <row r="752" spans="1:35" ht="15.75" customHeight="1">
      <c r="A752" s="5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5"/>
      <c r="T752" s="5"/>
      <c r="U752" s="104"/>
      <c r="V752" s="5"/>
      <c r="W752" s="5"/>
      <c r="X752" s="5"/>
      <c r="Y752" s="5"/>
      <c r="Z752" s="7"/>
      <c r="AA752" s="5"/>
      <c r="AB752" s="5"/>
      <c r="AC752" s="5"/>
      <c r="AD752" s="5"/>
      <c r="AE752" s="5"/>
      <c r="AF752" s="5"/>
      <c r="AG752" s="5"/>
      <c r="AH752" s="5"/>
      <c r="AI752" s="5"/>
    </row>
    <row r="753" spans="1:35" ht="15.75" customHeight="1">
      <c r="A753" s="5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5"/>
      <c r="T753" s="5"/>
      <c r="U753" s="104"/>
      <c r="V753" s="5"/>
      <c r="W753" s="5"/>
      <c r="X753" s="5"/>
      <c r="Y753" s="5"/>
      <c r="Z753" s="7"/>
      <c r="AA753" s="5"/>
      <c r="AB753" s="5"/>
      <c r="AC753" s="5"/>
      <c r="AD753" s="5"/>
      <c r="AE753" s="5"/>
      <c r="AF753" s="5"/>
      <c r="AG753" s="5"/>
      <c r="AH753" s="5"/>
      <c r="AI753" s="5"/>
    </row>
    <row r="754" spans="1:35" ht="15.75" customHeight="1">
      <c r="A754" s="5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5"/>
      <c r="T754" s="5"/>
      <c r="U754" s="104"/>
      <c r="V754" s="5"/>
      <c r="W754" s="5"/>
      <c r="X754" s="5"/>
      <c r="Y754" s="5"/>
      <c r="Z754" s="7"/>
      <c r="AA754" s="5"/>
      <c r="AB754" s="5"/>
      <c r="AC754" s="5"/>
      <c r="AD754" s="5"/>
      <c r="AE754" s="5"/>
      <c r="AF754" s="5"/>
      <c r="AG754" s="5"/>
      <c r="AH754" s="5"/>
      <c r="AI754" s="5"/>
    </row>
    <row r="755" spans="1:35" ht="15.75" customHeight="1">
      <c r="A755" s="5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5"/>
      <c r="T755" s="5"/>
      <c r="U755" s="104"/>
      <c r="V755" s="5"/>
      <c r="W755" s="5"/>
      <c r="X755" s="5"/>
      <c r="Y755" s="5"/>
      <c r="Z755" s="7"/>
      <c r="AA755" s="5"/>
      <c r="AB755" s="5"/>
      <c r="AC755" s="5"/>
      <c r="AD755" s="5"/>
      <c r="AE755" s="5"/>
      <c r="AF755" s="5"/>
      <c r="AG755" s="5"/>
      <c r="AH755" s="5"/>
      <c r="AI755" s="5"/>
    </row>
    <row r="756" spans="1:35" ht="15.75" customHeight="1">
      <c r="A756" s="5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5"/>
      <c r="T756" s="5"/>
      <c r="U756" s="104"/>
      <c r="V756" s="5"/>
      <c r="W756" s="5"/>
      <c r="X756" s="5"/>
      <c r="Y756" s="5"/>
      <c r="Z756" s="7"/>
      <c r="AA756" s="5"/>
      <c r="AB756" s="5"/>
      <c r="AC756" s="5"/>
      <c r="AD756" s="5"/>
      <c r="AE756" s="5"/>
      <c r="AF756" s="5"/>
      <c r="AG756" s="5"/>
      <c r="AH756" s="5"/>
      <c r="AI756" s="5"/>
    </row>
    <row r="757" spans="1:35" ht="15.75" customHeight="1">
      <c r="A757" s="5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5"/>
      <c r="T757" s="5"/>
      <c r="U757" s="104"/>
      <c r="V757" s="5"/>
      <c r="W757" s="5"/>
      <c r="X757" s="5"/>
      <c r="Y757" s="5"/>
      <c r="Z757" s="7"/>
      <c r="AA757" s="5"/>
      <c r="AB757" s="5"/>
      <c r="AC757" s="5"/>
      <c r="AD757" s="5"/>
      <c r="AE757" s="5"/>
      <c r="AF757" s="5"/>
      <c r="AG757" s="5"/>
      <c r="AH757" s="5"/>
      <c r="AI757" s="5"/>
    </row>
    <row r="758" spans="1:35" ht="15.75" customHeight="1">
      <c r="A758" s="5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5"/>
      <c r="T758" s="5"/>
      <c r="U758" s="104"/>
      <c r="V758" s="5"/>
      <c r="W758" s="5"/>
      <c r="X758" s="5"/>
      <c r="Y758" s="5"/>
      <c r="Z758" s="7"/>
      <c r="AA758" s="5"/>
      <c r="AB758" s="5"/>
      <c r="AC758" s="5"/>
      <c r="AD758" s="5"/>
      <c r="AE758" s="5"/>
      <c r="AF758" s="5"/>
      <c r="AG758" s="5"/>
      <c r="AH758" s="5"/>
      <c r="AI758" s="5"/>
    </row>
    <row r="759" spans="1:35" ht="15.75" customHeight="1">
      <c r="A759" s="5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5"/>
      <c r="T759" s="5"/>
      <c r="U759" s="104"/>
      <c r="V759" s="5"/>
      <c r="W759" s="5"/>
      <c r="X759" s="5"/>
      <c r="Y759" s="5"/>
      <c r="Z759" s="7"/>
      <c r="AA759" s="5"/>
      <c r="AB759" s="5"/>
      <c r="AC759" s="5"/>
      <c r="AD759" s="5"/>
      <c r="AE759" s="5"/>
      <c r="AF759" s="5"/>
      <c r="AG759" s="5"/>
      <c r="AH759" s="5"/>
      <c r="AI759" s="5"/>
    </row>
    <row r="760" spans="1:35" ht="15.75" customHeight="1">
      <c r="A760" s="5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5"/>
      <c r="T760" s="5"/>
      <c r="U760" s="104"/>
      <c r="V760" s="5"/>
      <c r="W760" s="5"/>
      <c r="X760" s="5"/>
      <c r="Y760" s="5"/>
      <c r="Z760" s="7"/>
      <c r="AA760" s="5"/>
      <c r="AB760" s="5"/>
      <c r="AC760" s="5"/>
      <c r="AD760" s="5"/>
      <c r="AE760" s="5"/>
      <c r="AF760" s="5"/>
      <c r="AG760" s="5"/>
      <c r="AH760" s="5"/>
      <c r="AI760" s="5"/>
    </row>
    <row r="761" spans="1:35" ht="15.75" customHeight="1">
      <c r="A761" s="5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5"/>
      <c r="T761" s="5"/>
      <c r="U761" s="104"/>
      <c r="V761" s="5"/>
      <c r="W761" s="5"/>
      <c r="X761" s="5"/>
      <c r="Y761" s="5"/>
      <c r="Z761" s="7"/>
      <c r="AA761" s="5"/>
      <c r="AB761" s="5"/>
      <c r="AC761" s="5"/>
      <c r="AD761" s="5"/>
      <c r="AE761" s="5"/>
      <c r="AF761" s="5"/>
      <c r="AG761" s="5"/>
      <c r="AH761" s="5"/>
      <c r="AI761" s="5"/>
    </row>
    <row r="762" spans="1:35" ht="15.75" customHeight="1">
      <c r="A762" s="5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5"/>
      <c r="T762" s="5"/>
      <c r="U762" s="104"/>
      <c r="V762" s="5"/>
      <c r="W762" s="5"/>
      <c r="X762" s="5"/>
      <c r="Y762" s="5"/>
      <c r="Z762" s="7"/>
      <c r="AA762" s="5"/>
      <c r="AB762" s="5"/>
      <c r="AC762" s="5"/>
      <c r="AD762" s="5"/>
      <c r="AE762" s="5"/>
      <c r="AF762" s="5"/>
      <c r="AG762" s="5"/>
      <c r="AH762" s="5"/>
      <c r="AI762" s="5"/>
    </row>
    <row r="763" spans="1:35" ht="15.75" customHeight="1">
      <c r="A763" s="5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5"/>
      <c r="T763" s="5"/>
      <c r="U763" s="104"/>
      <c r="V763" s="5"/>
      <c r="W763" s="5"/>
      <c r="X763" s="5"/>
      <c r="Y763" s="5"/>
      <c r="Z763" s="7"/>
      <c r="AA763" s="5"/>
      <c r="AB763" s="5"/>
      <c r="AC763" s="5"/>
      <c r="AD763" s="5"/>
      <c r="AE763" s="5"/>
      <c r="AF763" s="5"/>
      <c r="AG763" s="5"/>
      <c r="AH763" s="5"/>
      <c r="AI763" s="5"/>
    </row>
    <row r="764" spans="1:35" ht="15.75" customHeight="1">
      <c r="A764" s="5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5"/>
      <c r="T764" s="5"/>
      <c r="U764" s="104"/>
      <c r="V764" s="5"/>
      <c r="W764" s="5"/>
      <c r="X764" s="5"/>
      <c r="Y764" s="5"/>
      <c r="Z764" s="7"/>
      <c r="AA764" s="5"/>
      <c r="AB764" s="5"/>
      <c r="AC764" s="5"/>
      <c r="AD764" s="5"/>
      <c r="AE764" s="5"/>
      <c r="AF764" s="5"/>
      <c r="AG764" s="5"/>
      <c r="AH764" s="5"/>
      <c r="AI764" s="5"/>
    </row>
    <row r="765" spans="1:35" ht="15.75" customHeight="1">
      <c r="A765" s="5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5"/>
      <c r="T765" s="5"/>
      <c r="U765" s="104"/>
      <c r="V765" s="5"/>
      <c r="W765" s="5"/>
      <c r="X765" s="5"/>
      <c r="Y765" s="5"/>
      <c r="Z765" s="7"/>
      <c r="AA765" s="5"/>
      <c r="AB765" s="5"/>
      <c r="AC765" s="5"/>
      <c r="AD765" s="5"/>
      <c r="AE765" s="5"/>
      <c r="AF765" s="5"/>
      <c r="AG765" s="5"/>
      <c r="AH765" s="5"/>
      <c r="AI765" s="5"/>
    </row>
    <row r="766" spans="1:35" ht="15.75" customHeight="1">
      <c r="A766" s="5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5"/>
      <c r="T766" s="5"/>
      <c r="U766" s="104"/>
      <c r="V766" s="5"/>
      <c r="W766" s="5"/>
      <c r="X766" s="5"/>
      <c r="Y766" s="5"/>
      <c r="Z766" s="7"/>
      <c r="AA766" s="5"/>
      <c r="AB766" s="5"/>
      <c r="AC766" s="5"/>
      <c r="AD766" s="5"/>
      <c r="AE766" s="5"/>
      <c r="AF766" s="5"/>
      <c r="AG766" s="5"/>
      <c r="AH766" s="5"/>
      <c r="AI766" s="5"/>
    </row>
    <row r="767" spans="1:35" ht="15.75" customHeight="1">
      <c r="A767" s="5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5"/>
      <c r="T767" s="5"/>
      <c r="U767" s="104"/>
      <c r="V767" s="5"/>
      <c r="W767" s="5"/>
      <c r="X767" s="5"/>
      <c r="Y767" s="5"/>
      <c r="Z767" s="7"/>
      <c r="AA767" s="5"/>
      <c r="AB767" s="5"/>
      <c r="AC767" s="5"/>
      <c r="AD767" s="5"/>
      <c r="AE767" s="5"/>
      <c r="AF767" s="5"/>
      <c r="AG767" s="5"/>
      <c r="AH767" s="5"/>
      <c r="AI767" s="5"/>
    </row>
    <row r="768" spans="1:35" ht="15.75" customHeight="1">
      <c r="A768" s="5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5"/>
      <c r="T768" s="5"/>
      <c r="U768" s="104"/>
      <c r="V768" s="5"/>
      <c r="W768" s="5"/>
      <c r="X768" s="5"/>
      <c r="Y768" s="5"/>
      <c r="Z768" s="7"/>
      <c r="AA768" s="5"/>
      <c r="AB768" s="5"/>
      <c r="AC768" s="5"/>
      <c r="AD768" s="5"/>
      <c r="AE768" s="5"/>
      <c r="AF768" s="5"/>
      <c r="AG768" s="5"/>
      <c r="AH768" s="5"/>
      <c r="AI768" s="5"/>
    </row>
    <row r="769" spans="1:35" ht="15.75" customHeight="1">
      <c r="A769" s="5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5"/>
      <c r="T769" s="5"/>
      <c r="U769" s="104"/>
      <c r="V769" s="5"/>
      <c r="W769" s="5"/>
      <c r="X769" s="5"/>
      <c r="Y769" s="5"/>
      <c r="Z769" s="7"/>
      <c r="AA769" s="5"/>
      <c r="AB769" s="5"/>
      <c r="AC769" s="5"/>
      <c r="AD769" s="5"/>
      <c r="AE769" s="5"/>
      <c r="AF769" s="5"/>
      <c r="AG769" s="5"/>
      <c r="AH769" s="5"/>
      <c r="AI769" s="5"/>
    </row>
    <row r="770" spans="1:35" ht="15.75" customHeight="1">
      <c r="A770" s="5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5"/>
      <c r="T770" s="5"/>
      <c r="U770" s="104"/>
      <c r="V770" s="5"/>
      <c r="W770" s="5"/>
      <c r="X770" s="5"/>
      <c r="Y770" s="5"/>
      <c r="Z770" s="7"/>
      <c r="AA770" s="5"/>
      <c r="AB770" s="5"/>
      <c r="AC770" s="5"/>
      <c r="AD770" s="5"/>
      <c r="AE770" s="5"/>
      <c r="AF770" s="5"/>
      <c r="AG770" s="5"/>
      <c r="AH770" s="5"/>
      <c r="AI770" s="5"/>
    </row>
    <row r="771" spans="1:35" ht="15.75" customHeight="1">
      <c r="A771" s="5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5"/>
      <c r="T771" s="5"/>
      <c r="U771" s="104"/>
      <c r="V771" s="5"/>
      <c r="W771" s="5"/>
      <c r="X771" s="5"/>
      <c r="Y771" s="5"/>
      <c r="Z771" s="7"/>
      <c r="AA771" s="5"/>
      <c r="AB771" s="5"/>
      <c r="AC771" s="5"/>
      <c r="AD771" s="5"/>
      <c r="AE771" s="5"/>
      <c r="AF771" s="5"/>
      <c r="AG771" s="5"/>
      <c r="AH771" s="5"/>
      <c r="AI771" s="5"/>
    </row>
    <row r="772" spans="1:35" ht="15.75" customHeight="1">
      <c r="A772" s="5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5"/>
      <c r="T772" s="5"/>
      <c r="U772" s="104"/>
      <c r="V772" s="5"/>
      <c r="W772" s="5"/>
      <c r="X772" s="5"/>
      <c r="Y772" s="5"/>
      <c r="Z772" s="7"/>
      <c r="AA772" s="5"/>
      <c r="AB772" s="5"/>
      <c r="AC772" s="5"/>
      <c r="AD772" s="5"/>
      <c r="AE772" s="5"/>
      <c r="AF772" s="5"/>
      <c r="AG772" s="5"/>
      <c r="AH772" s="5"/>
      <c r="AI772" s="5"/>
    </row>
    <row r="773" spans="1:35" ht="15.75" customHeight="1">
      <c r="A773" s="5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5"/>
      <c r="T773" s="5"/>
      <c r="U773" s="104"/>
      <c r="V773" s="5"/>
      <c r="W773" s="5"/>
      <c r="X773" s="5"/>
      <c r="Y773" s="5"/>
      <c r="Z773" s="7"/>
      <c r="AA773" s="5"/>
      <c r="AB773" s="5"/>
      <c r="AC773" s="5"/>
      <c r="AD773" s="5"/>
      <c r="AE773" s="5"/>
      <c r="AF773" s="5"/>
      <c r="AG773" s="5"/>
      <c r="AH773" s="5"/>
      <c r="AI773" s="5"/>
    </row>
    <row r="774" spans="1:35" ht="15.75" customHeight="1">
      <c r="A774" s="5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5"/>
      <c r="T774" s="5"/>
      <c r="U774" s="104"/>
      <c r="V774" s="5"/>
      <c r="W774" s="5"/>
      <c r="X774" s="5"/>
      <c r="Y774" s="5"/>
      <c r="Z774" s="7"/>
      <c r="AA774" s="5"/>
      <c r="AB774" s="5"/>
      <c r="AC774" s="5"/>
      <c r="AD774" s="5"/>
      <c r="AE774" s="5"/>
      <c r="AF774" s="5"/>
      <c r="AG774" s="5"/>
      <c r="AH774" s="5"/>
      <c r="AI774" s="5"/>
    </row>
    <row r="775" spans="1:35" ht="15.75" customHeight="1">
      <c r="A775" s="5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5"/>
      <c r="T775" s="5"/>
      <c r="U775" s="104"/>
      <c r="V775" s="5"/>
      <c r="W775" s="5"/>
      <c r="X775" s="5"/>
      <c r="Y775" s="5"/>
      <c r="Z775" s="7"/>
      <c r="AA775" s="5"/>
      <c r="AB775" s="5"/>
      <c r="AC775" s="5"/>
      <c r="AD775" s="5"/>
      <c r="AE775" s="5"/>
      <c r="AF775" s="5"/>
      <c r="AG775" s="5"/>
      <c r="AH775" s="5"/>
      <c r="AI775" s="5"/>
    </row>
    <row r="776" spans="1:35" ht="15.75" customHeight="1">
      <c r="A776" s="5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5"/>
      <c r="T776" s="5"/>
      <c r="U776" s="104"/>
      <c r="V776" s="5"/>
      <c r="W776" s="5"/>
      <c r="X776" s="5"/>
      <c r="Y776" s="5"/>
      <c r="Z776" s="7"/>
      <c r="AA776" s="5"/>
      <c r="AB776" s="5"/>
      <c r="AC776" s="5"/>
      <c r="AD776" s="5"/>
      <c r="AE776" s="5"/>
      <c r="AF776" s="5"/>
      <c r="AG776" s="5"/>
      <c r="AH776" s="5"/>
      <c r="AI776" s="5"/>
    </row>
    <row r="777" spans="1:35" ht="15.75" customHeight="1">
      <c r="A777" s="5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5"/>
      <c r="T777" s="5"/>
      <c r="U777" s="104"/>
      <c r="V777" s="5"/>
      <c r="W777" s="5"/>
      <c r="X777" s="5"/>
      <c r="Y777" s="5"/>
      <c r="Z777" s="7"/>
      <c r="AA777" s="5"/>
      <c r="AB777" s="5"/>
      <c r="AC777" s="5"/>
      <c r="AD777" s="5"/>
      <c r="AE777" s="5"/>
      <c r="AF777" s="5"/>
      <c r="AG777" s="5"/>
      <c r="AH777" s="5"/>
      <c r="AI777" s="5"/>
    </row>
    <row r="778" spans="1:35" ht="15.75" customHeight="1">
      <c r="A778" s="5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5"/>
      <c r="T778" s="5"/>
      <c r="U778" s="104"/>
      <c r="V778" s="5"/>
      <c r="W778" s="5"/>
      <c r="X778" s="5"/>
      <c r="Y778" s="5"/>
      <c r="Z778" s="7"/>
      <c r="AA778" s="5"/>
      <c r="AB778" s="5"/>
      <c r="AC778" s="5"/>
      <c r="AD778" s="5"/>
      <c r="AE778" s="5"/>
      <c r="AF778" s="5"/>
      <c r="AG778" s="5"/>
      <c r="AH778" s="5"/>
      <c r="AI778" s="5"/>
    </row>
    <row r="779" spans="1:35" ht="15.75" customHeight="1">
      <c r="A779" s="5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5"/>
      <c r="T779" s="5"/>
      <c r="U779" s="104"/>
      <c r="V779" s="5"/>
      <c r="W779" s="5"/>
      <c r="X779" s="5"/>
      <c r="Y779" s="5"/>
      <c r="Z779" s="7"/>
      <c r="AA779" s="5"/>
      <c r="AB779" s="5"/>
      <c r="AC779" s="5"/>
      <c r="AD779" s="5"/>
      <c r="AE779" s="5"/>
      <c r="AF779" s="5"/>
      <c r="AG779" s="5"/>
      <c r="AH779" s="5"/>
      <c r="AI779" s="5"/>
    </row>
    <row r="780" spans="1:35" ht="15.75" customHeight="1">
      <c r="A780" s="5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5"/>
      <c r="T780" s="5"/>
      <c r="U780" s="104"/>
      <c r="V780" s="5"/>
      <c r="W780" s="5"/>
      <c r="X780" s="5"/>
      <c r="Y780" s="5"/>
      <c r="Z780" s="7"/>
      <c r="AA780" s="5"/>
      <c r="AB780" s="5"/>
      <c r="AC780" s="5"/>
      <c r="AD780" s="5"/>
      <c r="AE780" s="5"/>
      <c r="AF780" s="5"/>
      <c r="AG780" s="5"/>
      <c r="AH780" s="5"/>
      <c r="AI780" s="5"/>
    </row>
    <row r="781" spans="1:35" ht="15.75" customHeight="1">
      <c r="A781" s="5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5"/>
      <c r="T781" s="5"/>
      <c r="U781" s="104"/>
      <c r="V781" s="5"/>
      <c r="W781" s="5"/>
      <c r="X781" s="5"/>
      <c r="Y781" s="5"/>
      <c r="Z781" s="7"/>
      <c r="AA781" s="5"/>
      <c r="AB781" s="5"/>
      <c r="AC781" s="5"/>
      <c r="AD781" s="5"/>
      <c r="AE781" s="5"/>
      <c r="AF781" s="5"/>
      <c r="AG781" s="5"/>
      <c r="AH781" s="5"/>
      <c r="AI781" s="5"/>
    </row>
    <row r="782" spans="1:35" ht="15.75" customHeight="1">
      <c r="A782" s="5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5"/>
      <c r="T782" s="5"/>
      <c r="U782" s="104"/>
      <c r="V782" s="5"/>
      <c r="W782" s="5"/>
      <c r="X782" s="5"/>
      <c r="Y782" s="5"/>
      <c r="Z782" s="7"/>
      <c r="AA782" s="5"/>
      <c r="AB782" s="5"/>
      <c r="AC782" s="5"/>
      <c r="AD782" s="5"/>
      <c r="AE782" s="5"/>
      <c r="AF782" s="5"/>
      <c r="AG782" s="5"/>
      <c r="AH782" s="5"/>
      <c r="AI782" s="5"/>
    </row>
    <row r="783" spans="1:35" ht="15.75" customHeight="1">
      <c r="A783" s="5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5"/>
      <c r="T783" s="5"/>
      <c r="U783" s="104"/>
      <c r="V783" s="5"/>
      <c r="W783" s="5"/>
      <c r="X783" s="5"/>
      <c r="Y783" s="5"/>
      <c r="Z783" s="7"/>
      <c r="AA783" s="5"/>
      <c r="AB783" s="5"/>
      <c r="AC783" s="5"/>
      <c r="AD783" s="5"/>
      <c r="AE783" s="5"/>
      <c r="AF783" s="5"/>
      <c r="AG783" s="5"/>
      <c r="AH783" s="5"/>
      <c r="AI783" s="5"/>
    </row>
    <row r="784" spans="1:35" ht="15.75" customHeight="1">
      <c r="A784" s="5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5"/>
      <c r="T784" s="5"/>
      <c r="U784" s="104"/>
      <c r="V784" s="5"/>
      <c r="W784" s="5"/>
      <c r="X784" s="5"/>
      <c r="Y784" s="5"/>
      <c r="Z784" s="7"/>
      <c r="AA784" s="5"/>
      <c r="AB784" s="5"/>
      <c r="AC784" s="5"/>
      <c r="AD784" s="5"/>
      <c r="AE784" s="5"/>
      <c r="AF784" s="5"/>
      <c r="AG784" s="5"/>
      <c r="AH784" s="5"/>
      <c r="AI784" s="5"/>
    </row>
    <row r="785" spans="1:35" ht="15.75" customHeight="1">
      <c r="A785" s="5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5"/>
      <c r="T785" s="5"/>
      <c r="U785" s="104"/>
      <c r="V785" s="5"/>
      <c r="W785" s="5"/>
      <c r="X785" s="5"/>
      <c r="Y785" s="5"/>
      <c r="Z785" s="7"/>
      <c r="AA785" s="5"/>
      <c r="AB785" s="5"/>
      <c r="AC785" s="5"/>
      <c r="AD785" s="5"/>
      <c r="AE785" s="5"/>
      <c r="AF785" s="5"/>
      <c r="AG785" s="5"/>
      <c r="AH785" s="5"/>
      <c r="AI785" s="5"/>
    </row>
    <row r="786" spans="1:35" ht="15.75" customHeight="1">
      <c r="A786" s="5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5"/>
      <c r="T786" s="5"/>
      <c r="U786" s="104"/>
      <c r="V786" s="5"/>
      <c r="W786" s="5"/>
      <c r="X786" s="5"/>
      <c r="Y786" s="5"/>
      <c r="Z786" s="7"/>
      <c r="AA786" s="5"/>
      <c r="AB786" s="5"/>
      <c r="AC786" s="5"/>
      <c r="AD786" s="5"/>
      <c r="AE786" s="5"/>
      <c r="AF786" s="5"/>
      <c r="AG786" s="5"/>
      <c r="AH786" s="5"/>
      <c r="AI786" s="5"/>
    </row>
    <row r="787" spans="1:35" ht="15.75" customHeight="1">
      <c r="A787" s="5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5"/>
      <c r="T787" s="5"/>
      <c r="U787" s="104"/>
      <c r="V787" s="5"/>
      <c r="W787" s="5"/>
      <c r="X787" s="5"/>
      <c r="Y787" s="5"/>
      <c r="Z787" s="7"/>
      <c r="AA787" s="5"/>
      <c r="AB787" s="5"/>
      <c r="AC787" s="5"/>
      <c r="AD787" s="5"/>
      <c r="AE787" s="5"/>
      <c r="AF787" s="5"/>
      <c r="AG787" s="5"/>
      <c r="AH787" s="5"/>
      <c r="AI787" s="5"/>
    </row>
    <row r="788" spans="1:35" ht="15.75" customHeight="1">
      <c r="A788" s="5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5"/>
      <c r="T788" s="5"/>
      <c r="U788" s="104"/>
      <c r="V788" s="5"/>
      <c r="W788" s="5"/>
      <c r="X788" s="5"/>
      <c r="Y788" s="5"/>
      <c r="Z788" s="7"/>
      <c r="AA788" s="5"/>
      <c r="AB788" s="5"/>
      <c r="AC788" s="5"/>
      <c r="AD788" s="5"/>
      <c r="AE788" s="5"/>
      <c r="AF788" s="5"/>
      <c r="AG788" s="5"/>
      <c r="AH788" s="5"/>
      <c r="AI788" s="5"/>
    </row>
    <row r="789" spans="1:35" ht="15.75" customHeight="1">
      <c r="A789" s="5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5"/>
      <c r="T789" s="5"/>
      <c r="U789" s="104"/>
      <c r="V789" s="5"/>
      <c r="W789" s="5"/>
      <c r="X789" s="5"/>
      <c r="Y789" s="5"/>
      <c r="Z789" s="7"/>
      <c r="AA789" s="5"/>
      <c r="AB789" s="5"/>
      <c r="AC789" s="5"/>
      <c r="AD789" s="5"/>
      <c r="AE789" s="5"/>
      <c r="AF789" s="5"/>
      <c r="AG789" s="5"/>
      <c r="AH789" s="5"/>
      <c r="AI789" s="5"/>
    </row>
    <row r="790" spans="1:35" ht="15.75" customHeight="1">
      <c r="A790" s="5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5"/>
      <c r="T790" s="5"/>
      <c r="U790" s="104"/>
      <c r="V790" s="5"/>
      <c r="W790" s="5"/>
      <c r="X790" s="5"/>
      <c r="Y790" s="5"/>
      <c r="Z790" s="7"/>
      <c r="AA790" s="5"/>
      <c r="AB790" s="5"/>
      <c r="AC790" s="5"/>
      <c r="AD790" s="5"/>
      <c r="AE790" s="5"/>
      <c r="AF790" s="5"/>
      <c r="AG790" s="5"/>
      <c r="AH790" s="5"/>
      <c r="AI790" s="5"/>
    </row>
    <row r="791" spans="1:35" ht="15.75" customHeight="1">
      <c r="A791" s="5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5"/>
      <c r="T791" s="5"/>
      <c r="U791" s="104"/>
      <c r="V791" s="5"/>
      <c r="W791" s="5"/>
      <c r="X791" s="5"/>
      <c r="Y791" s="5"/>
      <c r="Z791" s="7"/>
      <c r="AA791" s="5"/>
      <c r="AB791" s="5"/>
      <c r="AC791" s="5"/>
      <c r="AD791" s="5"/>
      <c r="AE791" s="5"/>
      <c r="AF791" s="5"/>
      <c r="AG791" s="5"/>
      <c r="AH791" s="5"/>
      <c r="AI791" s="5"/>
    </row>
    <row r="792" spans="1:35" ht="15.75" customHeight="1">
      <c r="A792" s="5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5"/>
      <c r="T792" s="5"/>
      <c r="U792" s="104"/>
      <c r="V792" s="5"/>
      <c r="W792" s="5"/>
      <c r="X792" s="5"/>
      <c r="Y792" s="5"/>
      <c r="Z792" s="7"/>
      <c r="AA792" s="5"/>
      <c r="AB792" s="5"/>
      <c r="AC792" s="5"/>
      <c r="AD792" s="5"/>
      <c r="AE792" s="5"/>
      <c r="AF792" s="5"/>
      <c r="AG792" s="5"/>
      <c r="AH792" s="5"/>
      <c r="AI792" s="5"/>
    </row>
    <row r="793" spans="1:35" ht="15.75" customHeight="1">
      <c r="A793" s="5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5"/>
      <c r="T793" s="5"/>
      <c r="U793" s="104"/>
      <c r="V793" s="5"/>
      <c r="W793" s="5"/>
      <c r="X793" s="5"/>
      <c r="Y793" s="5"/>
      <c r="Z793" s="7"/>
      <c r="AA793" s="5"/>
      <c r="AB793" s="5"/>
      <c r="AC793" s="5"/>
      <c r="AD793" s="5"/>
      <c r="AE793" s="5"/>
      <c r="AF793" s="5"/>
      <c r="AG793" s="5"/>
      <c r="AH793" s="5"/>
      <c r="AI793" s="5"/>
    </row>
    <row r="794" spans="1:35" ht="15.75" customHeight="1">
      <c r="A794" s="5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5"/>
      <c r="T794" s="5"/>
      <c r="U794" s="104"/>
      <c r="V794" s="5"/>
      <c r="W794" s="5"/>
      <c r="X794" s="5"/>
      <c r="Y794" s="5"/>
      <c r="Z794" s="7"/>
      <c r="AA794" s="5"/>
      <c r="AB794" s="5"/>
      <c r="AC794" s="5"/>
      <c r="AD794" s="5"/>
      <c r="AE794" s="5"/>
      <c r="AF794" s="5"/>
      <c r="AG794" s="5"/>
      <c r="AH794" s="5"/>
      <c r="AI794" s="5"/>
    </row>
    <row r="795" spans="1:35" ht="15.75" customHeight="1">
      <c r="A795" s="5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5"/>
      <c r="T795" s="5"/>
      <c r="U795" s="104"/>
      <c r="V795" s="5"/>
      <c r="W795" s="5"/>
      <c r="X795" s="5"/>
      <c r="Y795" s="5"/>
      <c r="Z795" s="7"/>
      <c r="AA795" s="5"/>
      <c r="AB795" s="5"/>
      <c r="AC795" s="5"/>
      <c r="AD795" s="5"/>
      <c r="AE795" s="5"/>
      <c r="AF795" s="5"/>
      <c r="AG795" s="5"/>
      <c r="AH795" s="5"/>
      <c r="AI795" s="5"/>
    </row>
    <row r="796" spans="1:35" ht="15.75" customHeight="1">
      <c r="A796" s="5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5"/>
      <c r="T796" s="5"/>
      <c r="U796" s="104"/>
      <c r="V796" s="5"/>
      <c r="W796" s="5"/>
      <c r="X796" s="5"/>
      <c r="Y796" s="5"/>
      <c r="Z796" s="7"/>
      <c r="AA796" s="5"/>
      <c r="AB796" s="5"/>
      <c r="AC796" s="5"/>
      <c r="AD796" s="5"/>
      <c r="AE796" s="5"/>
      <c r="AF796" s="5"/>
      <c r="AG796" s="5"/>
      <c r="AH796" s="5"/>
      <c r="AI796" s="5"/>
    </row>
    <row r="797" spans="1:35" ht="15.75" customHeight="1">
      <c r="A797" s="5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5"/>
      <c r="T797" s="5"/>
      <c r="U797" s="104"/>
      <c r="V797" s="5"/>
      <c r="W797" s="5"/>
      <c r="X797" s="5"/>
      <c r="Y797" s="5"/>
      <c r="Z797" s="7"/>
      <c r="AA797" s="5"/>
      <c r="AB797" s="5"/>
      <c r="AC797" s="5"/>
      <c r="AD797" s="5"/>
      <c r="AE797" s="5"/>
      <c r="AF797" s="5"/>
      <c r="AG797" s="5"/>
      <c r="AH797" s="5"/>
      <c r="AI797" s="5"/>
    </row>
    <row r="798" spans="1:35" ht="15.75" customHeight="1">
      <c r="A798" s="5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5"/>
      <c r="T798" s="5"/>
      <c r="U798" s="104"/>
      <c r="V798" s="5"/>
      <c r="W798" s="5"/>
      <c r="X798" s="5"/>
      <c r="Y798" s="5"/>
      <c r="Z798" s="7"/>
      <c r="AA798" s="5"/>
      <c r="AB798" s="5"/>
      <c r="AC798" s="5"/>
      <c r="AD798" s="5"/>
      <c r="AE798" s="5"/>
      <c r="AF798" s="5"/>
      <c r="AG798" s="5"/>
      <c r="AH798" s="5"/>
      <c r="AI798" s="5"/>
    </row>
    <row r="799" spans="1:35" ht="15.75" customHeight="1">
      <c r="A799" s="5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5"/>
      <c r="T799" s="5"/>
      <c r="U799" s="104"/>
      <c r="V799" s="5"/>
      <c r="W799" s="5"/>
      <c r="X799" s="5"/>
      <c r="Y799" s="5"/>
      <c r="Z799" s="7"/>
      <c r="AA799" s="5"/>
      <c r="AB799" s="5"/>
      <c r="AC799" s="5"/>
      <c r="AD799" s="5"/>
      <c r="AE799" s="5"/>
      <c r="AF799" s="5"/>
      <c r="AG799" s="5"/>
      <c r="AH799" s="5"/>
      <c r="AI799" s="5"/>
    </row>
    <row r="800" spans="1:35" ht="15.75" customHeight="1">
      <c r="A800" s="5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5"/>
      <c r="T800" s="5"/>
      <c r="U800" s="104"/>
      <c r="V800" s="5"/>
      <c r="W800" s="5"/>
      <c r="X800" s="5"/>
      <c r="Y800" s="5"/>
      <c r="Z800" s="7"/>
      <c r="AA800" s="5"/>
      <c r="AB800" s="5"/>
      <c r="AC800" s="5"/>
      <c r="AD800" s="5"/>
      <c r="AE800" s="5"/>
      <c r="AF800" s="5"/>
      <c r="AG800" s="5"/>
      <c r="AH800" s="5"/>
      <c r="AI800" s="5"/>
    </row>
    <row r="801" spans="1:35" ht="15.75" customHeight="1">
      <c r="A801" s="5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5"/>
      <c r="T801" s="5"/>
      <c r="U801" s="104"/>
      <c r="V801" s="5"/>
      <c r="W801" s="5"/>
      <c r="X801" s="5"/>
      <c r="Y801" s="5"/>
      <c r="Z801" s="7"/>
      <c r="AA801" s="5"/>
      <c r="AB801" s="5"/>
      <c r="AC801" s="5"/>
      <c r="AD801" s="5"/>
      <c r="AE801" s="5"/>
      <c r="AF801" s="5"/>
      <c r="AG801" s="5"/>
      <c r="AH801" s="5"/>
      <c r="AI801" s="5"/>
    </row>
    <row r="802" spans="1:35" ht="15.75" customHeight="1">
      <c r="A802" s="5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5"/>
      <c r="T802" s="5"/>
      <c r="U802" s="104"/>
      <c r="V802" s="5"/>
      <c r="W802" s="5"/>
      <c r="X802" s="5"/>
      <c r="Y802" s="5"/>
      <c r="Z802" s="7"/>
      <c r="AA802" s="5"/>
      <c r="AB802" s="5"/>
      <c r="AC802" s="5"/>
      <c r="AD802" s="5"/>
      <c r="AE802" s="5"/>
      <c r="AF802" s="5"/>
      <c r="AG802" s="5"/>
      <c r="AH802" s="5"/>
      <c r="AI802" s="5"/>
    </row>
    <row r="803" spans="1:35" ht="15.75" customHeight="1">
      <c r="A803" s="5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5"/>
      <c r="T803" s="5"/>
      <c r="U803" s="104"/>
      <c r="V803" s="5"/>
      <c r="W803" s="5"/>
      <c r="X803" s="5"/>
      <c r="Y803" s="5"/>
      <c r="Z803" s="7"/>
      <c r="AA803" s="5"/>
      <c r="AB803" s="5"/>
      <c r="AC803" s="5"/>
      <c r="AD803" s="5"/>
      <c r="AE803" s="5"/>
      <c r="AF803" s="5"/>
      <c r="AG803" s="5"/>
      <c r="AH803" s="5"/>
      <c r="AI803" s="5"/>
    </row>
    <row r="804" spans="1:35" ht="15.75" customHeight="1">
      <c r="A804" s="5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5"/>
      <c r="T804" s="5"/>
      <c r="U804" s="104"/>
      <c r="V804" s="5"/>
      <c r="W804" s="5"/>
      <c r="X804" s="5"/>
      <c r="Y804" s="5"/>
      <c r="Z804" s="7"/>
      <c r="AA804" s="5"/>
      <c r="AB804" s="5"/>
      <c r="AC804" s="5"/>
      <c r="AD804" s="5"/>
      <c r="AE804" s="5"/>
      <c r="AF804" s="5"/>
      <c r="AG804" s="5"/>
      <c r="AH804" s="5"/>
      <c r="AI804" s="5"/>
    </row>
    <row r="805" spans="1:35" ht="15.75" customHeight="1">
      <c r="A805" s="5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5"/>
      <c r="T805" s="5"/>
      <c r="U805" s="104"/>
      <c r="V805" s="5"/>
      <c r="W805" s="5"/>
      <c r="X805" s="5"/>
      <c r="Y805" s="5"/>
      <c r="Z805" s="7"/>
      <c r="AA805" s="5"/>
      <c r="AB805" s="5"/>
      <c r="AC805" s="5"/>
      <c r="AD805" s="5"/>
      <c r="AE805" s="5"/>
      <c r="AF805" s="5"/>
      <c r="AG805" s="5"/>
      <c r="AH805" s="5"/>
      <c r="AI805" s="5"/>
    </row>
    <row r="806" spans="1:35" ht="15.75" customHeight="1">
      <c r="A806" s="5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5"/>
      <c r="T806" s="5"/>
      <c r="U806" s="104"/>
      <c r="V806" s="5"/>
      <c r="W806" s="5"/>
      <c r="X806" s="5"/>
      <c r="Y806" s="5"/>
      <c r="Z806" s="7"/>
      <c r="AA806" s="5"/>
      <c r="AB806" s="5"/>
      <c r="AC806" s="5"/>
      <c r="AD806" s="5"/>
      <c r="AE806" s="5"/>
      <c r="AF806" s="5"/>
      <c r="AG806" s="5"/>
      <c r="AH806" s="5"/>
      <c r="AI806" s="5"/>
    </row>
    <row r="807" spans="1:35" ht="15.75" customHeight="1">
      <c r="A807" s="5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5"/>
      <c r="T807" s="5"/>
      <c r="U807" s="104"/>
      <c r="V807" s="5"/>
      <c r="W807" s="5"/>
      <c r="X807" s="5"/>
      <c r="Y807" s="5"/>
      <c r="Z807" s="7"/>
      <c r="AA807" s="5"/>
      <c r="AB807" s="5"/>
      <c r="AC807" s="5"/>
      <c r="AD807" s="5"/>
      <c r="AE807" s="5"/>
      <c r="AF807" s="5"/>
      <c r="AG807" s="5"/>
      <c r="AH807" s="5"/>
      <c r="AI807" s="5"/>
    </row>
    <row r="808" spans="1:35" ht="15.75" customHeight="1">
      <c r="A808" s="5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5"/>
      <c r="T808" s="5"/>
      <c r="U808" s="104"/>
      <c r="V808" s="5"/>
      <c r="W808" s="5"/>
      <c r="X808" s="5"/>
      <c r="Y808" s="5"/>
      <c r="Z808" s="7"/>
      <c r="AA808" s="5"/>
      <c r="AB808" s="5"/>
      <c r="AC808" s="5"/>
      <c r="AD808" s="5"/>
      <c r="AE808" s="5"/>
      <c r="AF808" s="5"/>
      <c r="AG808" s="5"/>
      <c r="AH808" s="5"/>
      <c r="AI808" s="5"/>
    </row>
    <row r="809" spans="1:35" ht="15.75" customHeight="1">
      <c r="A809" s="5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5"/>
      <c r="T809" s="5"/>
      <c r="U809" s="104"/>
      <c r="V809" s="5"/>
      <c r="W809" s="5"/>
      <c r="X809" s="5"/>
      <c r="Y809" s="5"/>
      <c r="Z809" s="7"/>
      <c r="AA809" s="5"/>
      <c r="AB809" s="5"/>
      <c r="AC809" s="5"/>
      <c r="AD809" s="5"/>
      <c r="AE809" s="5"/>
      <c r="AF809" s="5"/>
      <c r="AG809" s="5"/>
      <c r="AH809" s="5"/>
      <c r="AI809" s="5"/>
    </row>
    <row r="810" spans="1:35" ht="15.75" customHeight="1">
      <c r="A810" s="5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5"/>
      <c r="T810" s="5"/>
      <c r="U810" s="104"/>
      <c r="V810" s="5"/>
      <c r="W810" s="5"/>
      <c r="X810" s="5"/>
      <c r="Y810" s="5"/>
      <c r="Z810" s="7"/>
      <c r="AA810" s="5"/>
      <c r="AB810" s="5"/>
      <c r="AC810" s="5"/>
      <c r="AD810" s="5"/>
      <c r="AE810" s="5"/>
      <c r="AF810" s="5"/>
      <c r="AG810" s="5"/>
      <c r="AH810" s="5"/>
      <c r="AI810" s="5"/>
    </row>
    <row r="811" spans="1:35" ht="15.75" customHeight="1">
      <c r="A811" s="5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5"/>
      <c r="T811" s="5"/>
      <c r="U811" s="104"/>
      <c r="V811" s="5"/>
      <c r="W811" s="5"/>
      <c r="X811" s="5"/>
      <c r="Y811" s="5"/>
      <c r="Z811" s="7"/>
      <c r="AA811" s="5"/>
      <c r="AB811" s="5"/>
      <c r="AC811" s="5"/>
      <c r="AD811" s="5"/>
      <c r="AE811" s="5"/>
      <c r="AF811" s="5"/>
      <c r="AG811" s="5"/>
      <c r="AH811" s="5"/>
      <c r="AI811" s="5"/>
    </row>
    <row r="812" spans="1:35" ht="15.75" customHeight="1">
      <c r="A812" s="5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5"/>
      <c r="T812" s="5"/>
      <c r="U812" s="104"/>
      <c r="V812" s="5"/>
      <c r="W812" s="5"/>
      <c r="X812" s="5"/>
      <c r="Y812" s="5"/>
      <c r="Z812" s="7"/>
      <c r="AA812" s="5"/>
      <c r="AB812" s="5"/>
      <c r="AC812" s="5"/>
      <c r="AD812" s="5"/>
      <c r="AE812" s="5"/>
      <c r="AF812" s="5"/>
      <c r="AG812" s="5"/>
      <c r="AH812" s="5"/>
      <c r="AI812" s="5"/>
    </row>
    <row r="813" spans="1:35" ht="15.75" customHeight="1">
      <c r="A813" s="5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5"/>
      <c r="T813" s="5"/>
      <c r="U813" s="104"/>
      <c r="V813" s="5"/>
      <c r="W813" s="5"/>
      <c r="X813" s="5"/>
      <c r="Y813" s="5"/>
      <c r="Z813" s="7"/>
      <c r="AA813" s="5"/>
      <c r="AB813" s="5"/>
      <c r="AC813" s="5"/>
      <c r="AD813" s="5"/>
      <c r="AE813" s="5"/>
      <c r="AF813" s="5"/>
      <c r="AG813" s="5"/>
      <c r="AH813" s="5"/>
      <c r="AI813" s="5"/>
    </row>
    <row r="814" spans="1:35" ht="15.75" customHeight="1">
      <c r="A814" s="5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5"/>
      <c r="T814" s="5"/>
      <c r="U814" s="104"/>
      <c r="V814" s="5"/>
      <c r="W814" s="5"/>
      <c r="X814" s="5"/>
      <c r="Y814" s="5"/>
      <c r="Z814" s="7"/>
      <c r="AA814" s="5"/>
      <c r="AB814" s="5"/>
      <c r="AC814" s="5"/>
      <c r="AD814" s="5"/>
      <c r="AE814" s="5"/>
      <c r="AF814" s="5"/>
      <c r="AG814" s="5"/>
      <c r="AH814" s="5"/>
      <c r="AI814" s="5"/>
    </row>
    <row r="815" spans="1:35" ht="15.75" customHeight="1">
      <c r="A815" s="5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5"/>
      <c r="T815" s="5"/>
      <c r="U815" s="104"/>
      <c r="V815" s="5"/>
      <c r="W815" s="5"/>
      <c r="X815" s="5"/>
      <c r="Y815" s="5"/>
      <c r="Z815" s="7"/>
      <c r="AA815" s="5"/>
      <c r="AB815" s="5"/>
      <c r="AC815" s="5"/>
      <c r="AD815" s="5"/>
      <c r="AE815" s="5"/>
      <c r="AF815" s="5"/>
      <c r="AG815" s="5"/>
      <c r="AH815" s="5"/>
      <c r="AI815" s="5"/>
    </row>
    <row r="816" spans="1:35" ht="15.75" customHeight="1">
      <c r="A816" s="5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5"/>
      <c r="T816" s="5"/>
      <c r="U816" s="104"/>
      <c r="V816" s="5"/>
      <c r="W816" s="5"/>
      <c r="X816" s="5"/>
      <c r="Y816" s="5"/>
      <c r="Z816" s="7"/>
      <c r="AA816" s="5"/>
      <c r="AB816" s="5"/>
      <c r="AC816" s="5"/>
      <c r="AD816" s="5"/>
      <c r="AE816" s="5"/>
      <c r="AF816" s="5"/>
      <c r="AG816" s="5"/>
      <c r="AH816" s="5"/>
      <c r="AI816" s="5"/>
    </row>
    <row r="817" spans="1:35" ht="15.75" customHeight="1">
      <c r="A817" s="5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5"/>
      <c r="T817" s="5"/>
      <c r="U817" s="104"/>
      <c r="V817" s="5"/>
      <c r="W817" s="5"/>
      <c r="X817" s="5"/>
      <c r="Y817" s="5"/>
      <c r="Z817" s="7"/>
      <c r="AA817" s="5"/>
      <c r="AB817" s="5"/>
      <c r="AC817" s="5"/>
      <c r="AD817" s="5"/>
      <c r="AE817" s="5"/>
      <c r="AF817" s="5"/>
      <c r="AG817" s="5"/>
      <c r="AH817" s="5"/>
      <c r="AI817" s="5"/>
    </row>
    <row r="818" spans="1:35" ht="15.75" customHeight="1">
      <c r="A818" s="5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5"/>
      <c r="T818" s="5"/>
      <c r="U818" s="104"/>
      <c r="V818" s="5"/>
      <c r="W818" s="5"/>
      <c r="X818" s="5"/>
      <c r="Y818" s="5"/>
      <c r="Z818" s="7"/>
      <c r="AA818" s="5"/>
      <c r="AB818" s="5"/>
      <c r="AC818" s="5"/>
      <c r="AD818" s="5"/>
      <c r="AE818" s="5"/>
      <c r="AF818" s="5"/>
      <c r="AG818" s="5"/>
      <c r="AH818" s="5"/>
      <c r="AI818" s="5"/>
    </row>
    <row r="819" spans="1:35" ht="15.75" customHeight="1">
      <c r="A819" s="5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5"/>
      <c r="T819" s="5"/>
      <c r="U819" s="104"/>
      <c r="V819" s="5"/>
      <c r="W819" s="5"/>
      <c r="X819" s="5"/>
      <c r="Y819" s="5"/>
      <c r="Z819" s="7"/>
      <c r="AA819" s="5"/>
      <c r="AB819" s="5"/>
      <c r="AC819" s="5"/>
      <c r="AD819" s="5"/>
      <c r="AE819" s="5"/>
      <c r="AF819" s="5"/>
      <c r="AG819" s="5"/>
      <c r="AH819" s="5"/>
      <c r="AI819" s="5"/>
    </row>
    <row r="820" spans="1:35" ht="15.75" customHeight="1">
      <c r="A820" s="5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5"/>
      <c r="T820" s="5"/>
      <c r="U820" s="104"/>
      <c r="V820" s="5"/>
      <c r="W820" s="5"/>
      <c r="X820" s="5"/>
      <c r="Y820" s="5"/>
      <c r="Z820" s="7"/>
      <c r="AA820" s="5"/>
      <c r="AB820" s="5"/>
      <c r="AC820" s="5"/>
      <c r="AD820" s="5"/>
      <c r="AE820" s="5"/>
      <c r="AF820" s="5"/>
      <c r="AG820" s="5"/>
      <c r="AH820" s="5"/>
      <c r="AI820" s="5"/>
    </row>
    <row r="821" spans="1:35" ht="15.75" customHeight="1">
      <c r="A821" s="5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5"/>
      <c r="T821" s="5"/>
      <c r="U821" s="104"/>
      <c r="V821" s="5"/>
      <c r="W821" s="5"/>
      <c r="X821" s="5"/>
      <c r="Y821" s="5"/>
      <c r="Z821" s="7"/>
      <c r="AA821" s="5"/>
      <c r="AB821" s="5"/>
      <c r="AC821" s="5"/>
      <c r="AD821" s="5"/>
      <c r="AE821" s="5"/>
      <c r="AF821" s="5"/>
      <c r="AG821" s="5"/>
      <c r="AH821" s="5"/>
      <c r="AI821" s="5"/>
    </row>
    <row r="822" spans="1:35" ht="15.75" customHeight="1">
      <c r="A822" s="5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5"/>
      <c r="T822" s="5"/>
      <c r="U822" s="104"/>
      <c r="V822" s="5"/>
      <c r="W822" s="5"/>
      <c r="X822" s="5"/>
      <c r="Y822" s="5"/>
      <c r="Z822" s="7"/>
      <c r="AA822" s="5"/>
      <c r="AB822" s="5"/>
      <c r="AC822" s="5"/>
      <c r="AD822" s="5"/>
      <c r="AE822" s="5"/>
      <c r="AF822" s="5"/>
      <c r="AG822" s="5"/>
      <c r="AH822" s="5"/>
      <c r="AI822" s="5"/>
    </row>
    <row r="823" spans="1:35" ht="15.75" customHeight="1">
      <c r="A823" s="5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5"/>
      <c r="T823" s="5"/>
      <c r="U823" s="104"/>
      <c r="V823" s="5"/>
      <c r="W823" s="5"/>
      <c r="X823" s="5"/>
      <c r="Y823" s="5"/>
      <c r="Z823" s="7"/>
      <c r="AA823" s="5"/>
      <c r="AB823" s="5"/>
      <c r="AC823" s="5"/>
      <c r="AD823" s="5"/>
      <c r="AE823" s="5"/>
      <c r="AF823" s="5"/>
      <c r="AG823" s="5"/>
      <c r="AH823" s="5"/>
      <c r="AI823" s="5"/>
    </row>
    <row r="824" spans="1:35" ht="15.75" customHeight="1">
      <c r="A824" s="5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5"/>
      <c r="T824" s="5"/>
      <c r="U824" s="104"/>
      <c r="V824" s="5"/>
      <c r="W824" s="5"/>
      <c r="X824" s="5"/>
      <c r="Y824" s="5"/>
      <c r="Z824" s="7"/>
      <c r="AA824" s="5"/>
      <c r="AB824" s="5"/>
      <c r="AC824" s="5"/>
      <c r="AD824" s="5"/>
      <c r="AE824" s="5"/>
      <c r="AF824" s="5"/>
      <c r="AG824" s="5"/>
      <c r="AH824" s="5"/>
      <c r="AI824" s="5"/>
    </row>
    <row r="825" spans="1:35" ht="15.75" customHeight="1">
      <c r="A825" s="5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5"/>
      <c r="T825" s="5"/>
      <c r="U825" s="104"/>
      <c r="V825" s="5"/>
      <c r="W825" s="5"/>
      <c r="X825" s="5"/>
      <c r="Y825" s="5"/>
      <c r="Z825" s="7"/>
      <c r="AA825" s="5"/>
      <c r="AB825" s="5"/>
      <c r="AC825" s="5"/>
      <c r="AD825" s="5"/>
      <c r="AE825" s="5"/>
      <c r="AF825" s="5"/>
      <c r="AG825" s="5"/>
      <c r="AH825" s="5"/>
      <c r="AI825" s="5"/>
    </row>
    <row r="826" spans="1:35" ht="15.75" customHeight="1">
      <c r="A826" s="5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5"/>
      <c r="T826" s="5"/>
      <c r="U826" s="104"/>
      <c r="V826" s="5"/>
      <c r="W826" s="5"/>
      <c r="X826" s="5"/>
      <c r="Y826" s="5"/>
      <c r="Z826" s="7"/>
      <c r="AA826" s="5"/>
      <c r="AB826" s="5"/>
      <c r="AC826" s="5"/>
      <c r="AD826" s="5"/>
      <c r="AE826" s="5"/>
      <c r="AF826" s="5"/>
      <c r="AG826" s="5"/>
      <c r="AH826" s="5"/>
      <c r="AI826" s="5"/>
    </row>
    <row r="827" spans="1:35" ht="15.75" customHeight="1">
      <c r="A827" s="5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5"/>
      <c r="T827" s="5"/>
      <c r="U827" s="104"/>
      <c r="V827" s="5"/>
      <c r="W827" s="5"/>
      <c r="X827" s="5"/>
      <c r="Y827" s="5"/>
      <c r="Z827" s="7"/>
      <c r="AA827" s="5"/>
      <c r="AB827" s="5"/>
      <c r="AC827" s="5"/>
      <c r="AD827" s="5"/>
      <c r="AE827" s="5"/>
      <c r="AF827" s="5"/>
      <c r="AG827" s="5"/>
      <c r="AH827" s="5"/>
      <c r="AI827" s="5"/>
    </row>
    <row r="828" spans="1:35" ht="15.75" customHeight="1">
      <c r="A828" s="5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5"/>
      <c r="T828" s="5"/>
      <c r="U828" s="104"/>
      <c r="V828" s="5"/>
      <c r="W828" s="5"/>
      <c r="X828" s="5"/>
      <c r="Y828" s="5"/>
      <c r="Z828" s="7"/>
      <c r="AA828" s="5"/>
      <c r="AB828" s="5"/>
      <c r="AC828" s="5"/>
      <c r="AD828" s="5"/>
      <c r="AE828" s="5"/>
      <c r="AF828" s="5"/>
      <c r="AG828" s="5"/>
      <c r="AH828" s="5"/>
      <c r="AI828" s="5"/>
    </row>
    <row r="829" spans="1:35" ht="15.75" customHeight="1">
      <c r="A829" s="5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5"/>
      <c r="T829" s="5"/>
      <c r="U829" s="104"/>
      <c r="V829" s="5"/>
      <c r="W829" s="5"/>
      <c r="X829" s="5"/>
      <c r="Y829" s="5"/>
      <c r="Z829" s="7"/>
      <c r="AA829" s="5"/>
      <c r="AB829" s="5"/>
      <c r="AC829" s="5"/>
      <c r="AD829" s="5"/>
      <c r="AE829" s="5"/>
      <c r="AF829" s="5"/>
      <c r="AG829" s="5"/>
      <c r="AH829" s="5"/>
      <c r="AI829" s="5"/>
    </row>
    <row r="830" spans="1:35" ht="15.75" customHeight="1">
      <c r="A830" s="5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5"/>
      <c r="T830" s="5"/>
      <c r="U830" s="104"/>
      <c r="V830" s="5"/>
      <c r="W830" s="5"/>
      <c r="X830" s="5"/>
      <c r="Y830" s="5"/>
      <c r="Z830" s="7"/>
      <c r="AA830" s="5"/>
      <c r="AB830" s="5"/>
      <c r="AC830" s="5"/>
      <c r="AD830" s="5"/>
      <c r="AE830" s="5"/>
      <c r="AF830" s="5"/>
      <c r="AG830" s="5"/>
      <c r="AH830" s="5"/>
      <c r="AI830" s="5"/>
    </row>
    <row r="831" spans="1:35" ht="15.75" customHeight="1">
      <c r="A831" s="5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5"/>
      <c r="T831" s="5"/>
      <c r="U831" s="104"/>
      <c r="V831" s="5"/>
      <c r="W831" s="5"/>
      <c r="X831" s="5"/>
      <c r="Y831" s="5"/>
      <c r="Z831" s="7"/>
      <c r="AA831" s="5"/>
      <c r="AB831" s="5"/>
      <c r="AC831" s="5"/>
      <c r="AD831" s="5"/>
      <c r="AE831" s="5"/>
      <c r="AF831" s="5"/>
      <c r="AG831" s="5"/>
      <c r="AH831" s="5"/>
      <c r="AI831" s="5"/>
    </row>
    <row r="832" spans="1:35" ht="15.75" customHeight="1">
      <c r="A832" s="5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5"/>
      <c r="T832" s="5"/>
      <c r="U832" s="104"/>
      <c r="V832" s="5"/>
      <c r="W832" s="5"/>
      <c r="X832" s="5"/>
      <c r="Y832" s="5"/>
      <c r="Z832" s="7"/>
      <c r="AA832" s="5"/>
      <c r="AB832" s="5"/>
      <c r="AC832" s="5"/>
      <c r="AD832" s="5"/>
      <c r="AE832" s="5"/>
      <c r="AF832" s="5"/>
      <c r="AG832" s="5"/>
      <c r="AH832" s="5"/>
      <c r="AI832" s="5"/>
    </row>
    <row r="833" spans="1:35" ht="15.75" customHeight="1">
      <c r="A833" s="5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5"/>
      <c r="T833" s="5"/>
      <c r="U833" s="104"/>
      <c r="V833" s="5"/>
      <c r="W833" s="5"/>
      <c r="X833" s="5"/>
      <c r="Y833" s="5"/>
      <c r="Z833" s="7"/>
      <c r="AA833" s="5"/>
      <c r="AB833" s="5"/>
      <c r="AC833" s="5"/>
      <c r="AD833" s="5"/>
      <c r="AE833" s="5"/>
      <c r="AF833" s="5"/>
      <c r="AG833" s="5"/>
      <c r="AH833" s="5"/>
      <c r="AI833" s="5"/>
    </row>
    <row r="834" spans="1:35" ht="15.75" customHeight="1">
      <c r="A834" s="5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5"/>
      <c r="T834" s="5"/>
      <c r="U834" s="104"/>
      <c r="V834" s="5"/>
      <c r="W834" s="5"/>
      <c r="X834" s="5"/>
      <c r="Y834" s="5"/>
      <c r="Z834" s="7"/>
      <c r="AA834" s="5"/>
      <c r="AB834" s="5"/>
      <c r="AC834" s="5"/>
      <c r="AD834" s="5"/>
      <c r="AE834" s="5"/>
      <c r="AF834" s="5"/>
      <c r="AG834" s="5"/>
      <c r="AH834" s="5"/>
      <c r="AI834" s="5"/>
    </row>
    <row r="835" spans="1:35" ht="15.75" customHeight="1">
      <c r="A835" s="5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5"/>
      <c r="T835" s="5"/>
      <c r="U835" s="104"/>
      <c r="V835" s="5"/>
      <c r="W835" s="5"/>
      <c r="X835" s="5"/>
      <c r="Y835" s="5"/>
      <c r="Z835" s="7"/>
      <c r="AA835" s="5"/>
      <c r="AB835" s="5"/>
      <c r="AC835" s="5"/>
      <c r="AD835" s="5"/>
      <c r="AE835" s="5"/>
      <c r="AF835" s="5"/>
      <c r="AG835" s="5"/>
      <c r="AH835" s="5"/>
      <c r="AI835" s="5"/>
    </row>
    <row r="836" spans="1:35" ht="15.75" customHeight="1">
      <c r="A836" s="5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5"/>
      <c r="T836" s="5"/>
      <c r="U836" s="104"/>
      <c r="V836" s="5"/>
      <c r="W836" s="5"/>
      <c r="X836" s="5"/>
      <c r="Y836" s="5"/>
      <c r="Z836" s="7"/>
      <c r="AA836" s="5"/>
      <c r="AB836" s="5"/>
      <c r="AC836" s="5"/>
      <c r="AD836" s="5"/>
      <c r="AE836" s="5"/>
      <c r="AF836" s="5"/>
      <c r="AG836" s="5"/>
      <c r="AH836" s="5"/>
      <c r="AI836" s="5"/>
    </row>
    <row r="837" spans="1:35" ht="15.75" customHeight="1">
      <c r="A837" s="5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5"/>
      <c r="T837" s="5"/>
      <c r="U837" s="104"/>
      <c r="V837" s="5"/>
      <c r="W837" s="5"/>
      <c r="X837" s="5"/>
      <c r="Y837" s="5"/>
      <c r="Z837" s="7"/>
      <c r="AA837" s="5"/>
      <c r="AB837" s="5"/>
      <c r="AC837" s="5"/>
      <c r="AD837" s="5"/>
      <c r="AE837" s="5"/>
      <c r="AF837" s="5"/>
      <c r="AG837" s="5"/>
      <c r="AH837" s="5"/>
      <c r="AI837" s="5"/>
    </row>
    <row r="838" spans="1:35" ht="15.75" customHeight="1">
      <c r="A838" s="5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5"/>
      <c r="T838" s="5"/>
      <c r="U838" s="104"/>
      <c r="V838" s="5"/>
      <c r="W838" s="5"/>
      <c r="X838" s="5"/>
      <c r="Y838" s="5"/>
      <c r="Z838" s="7"/>
      <c r="AA838" s="5"/>
      <c r="AB838" s="5"/>
      <c r="AC838" s="5"/>
      <c r="AD838" s="5"/>
      <c r="AE838" s="5"/>
      <c r="AF838" s="5"/>
      <c r="AG838" s="5"/>
      <c r="AH838" s="5"/>
      <c r="AI838" s="5"/>
    </row>
    <row r="839" spans="1:35" ht="15.75" customHeight="1">
      <c r="A839" s="5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5"/>
      <c r="T839" s="5"/>
      <c r="U839" s="104"/>
      <c r="V839" s="5"/>
      <c r="W839" s="5"/>
      <c r="X839" s="5"/>
      <c r="Y839" s="5"/>
      <c r="Z839" s="7"/>
      <c r="AA839" s="5"/>
      <c r="AB839" s="5"/>
      <c r="AC839" s="5"/>
      <c r="AD839" s="5"/>
      <c r="AE839" s="5"/>
      <c r="AF839" s="5"/>
      <c r="AG839" s="5"/>
      <c r="AH839" s="5"/>
      <c r="AI839" s="5"/>
    </row>
    <row r="840" spans="1:35" ht="15.75" customHeight="1">
      <c r="A840" s="5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5"/>
      <c r="T840" s="5"/>
      <c r="U840" s="104"/>
      <c r="V840" s="5"/>
      <c r="W840" s="5"/>
      <c r="X840" s="5"/>
      <c r="Y840" s="5"/>
      <c r="Z840" s="7"/>
      <c r="AA840" s="5"/>
      <c r="AB840" s="5"/>
      <c r="AC840" s="5"/>
      <c r="AD840" s="5"/>
      <c r="AE840" s="5"/>
      <c r="AF840" s="5"/>
      <c r="AG840" s="5"/>
      <c r="AH840" s="5"/>
      <c r="AI840" s="5"/>
    </row>
    <row r="841" spans="1:35" ht="15.75" customHeight="1">
      <c r="A841" s="5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5"/>
      <c r="T841" s="5"/>
      <c r="U841" s="104"/>
      <c r="V841" s="5"/>
      <c r="W841" s="5"/>
      <c r="X841" s="5"/>
      <c r="Y841" s="5"/>
      <c r="Z841" s="7"/>
      <c r="AA841" s="5"/>
      <c r="AB841" s="5"/>
      <c r="AC841" s="5"/>
      <c r="AD841" s="5"/>
      <c r="AE841" s="5"/>
      <c r="AF841" s="5"/>
      <c r="AG841" s="5"/>
      <c r="AH841" s="5"/>
      <c r="AI841" s="5"/>
    </row>
    <row r="842" spans="1:35" ht="15.75" customHeight="1">
      <c r="A842" s="5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5"/>
      <c r="T842" s="5"/>
      <c r="U842" s="104"/>
      <c r="V842" s="5"/>
      <c r="W842" s="5"/>
      <c r="X842" s="5"/>
      <c r="Y842" s="5"/>
      <c r="Z842" s="7"/>
      <c r="AA842" s="5"/>
      <c r="AB842" s="5"/>
      <c r="AC842" s="5"/>
      <c r="AD842" s="5"/>
      <c r="AE842" s="5"/>
      <c r="AF842" s="5"/>
      <c r="AG842" s="5"/>
      <c r="AH842" s="5"/>
      <c r="AI842" s="5"/>
    </row>
    <row r="843" spans="1:35" ht="15.75" customHeight="1">
      <c r="A843" s="5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5"/>
      <c r="T843" s="5"/>
      <c r="U843" s="104"/>
      <c r="V843" s="5"/>
      <c r="W843" s="5"/>
      <c r="X843" s="5"/>
      <c r="Y843" s="5"/>
      <c r="Z843" s="7"/>
      <c r="AA843" s="5"/>
      <c r="AB843" s="5"/>
      <c r="AC843" s="5"/>
      <c r="AD843" s="5"/>
      <c r="AE843" s="5"/>
      <c r="AF843" s="5"/>
      <c r="AG843" s="5"/>
      <c r="AH843" s="5"/>
      <c r="AI843" s="5"/>
    </row>
    <row r="844" spans="1:35" ht="15.75" customHeight="1">
      <c r="A844" s="5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5"/>
      <c r="T844" s="5"/>
      <c r="U844" s="104"/>
      <c r="V844" s="5"/>
      <c r="W844" s="5"/>
      <c r="X844" s="5"/>
      <c r="Y844" s="5"/>
      <c r="Z844" s="7"/>
      <c r="AA844" s="5"/>
      <c r="AB844" s="5"/>
      <c r="AC844" s="5"/>
      <c r="AD844" s="5"/>
      <c r="AE844" s="5"/>
      <c r="AF844" s="5"/>
      <c r="AG844" s="5"/>
      <c r="AH844" s="5"/>
      <c r="AI844" s="5"/>
    </row>
    <row r="845" spans="1:35" ht="15.75" customHeight="1">
      <c r="A845" s="5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5"/>
      <c r="T845" s="5"/>
      <c r="U845" s="104"/>
      <c r="V845" s="5"/>
      <c r="W845" s="5"/>
      <c r="X845" s="5"/>
      <c r="Y845" s="5"/>
      <c r="Z845" s="7"/>
      <c r="AA845" s="5"/>
      <c r="AB845" s="5"/>
      <c r="AC845" s="5"/>
      <c r="AD845" s="5"/>
      <c r="AE845" s="5"/>
      <c r="AF845" s="5"/>
      <c r="AG845" s="5"/>
      <c r="AH845" s="5"/>
      <c r="AI845" s="5"/>
    </row>
    <row r="846" spans="1:35" ht="15.75" customHeight="1">
      <c r="A846" s="5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5"/>
      <c r="T846" s="5"/>
      <c r="U846" s="104"/>
      <c r="V846" s="5"/>
      <c r="W846" s="5"/>
      <c r="X846" s="5"/>
      <c r="Y846" s="5"/>
      <c r="Z846" s="7"/>
      <c r="AA846" s="5"/>
      <c r="AB846" s="5"/>
      <c r="AC846" s="5"/>
      <c r="AD846" s="5"/>
      <c r="AE846" s="5"/>
      <c r="AF846" s="5"/>
      <c r="AG846" s="5"/>
      <c r="AH846" s="5"/>
      <c r="AI846" s="5"/>
    </row>
    <row r="847" spans="1:35" ht="15.75" customHeight="1">
      <c r="A847" s="5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5"/>
      <c r="T847" s="5"/>
      <c r="U847" s="104"/>
      <c r="V847" s="5"/>
      <c r="W847" s="5"/>
      <c r="X847" s="5"/>
      <c r="Y847" s="5"/>
      <c r="Z847" s="7"/>
      <c r="AA847" s="5"/>
      <c r="AB847" s="5"/>
      <c r="AC847" s="5"/>
      <c r="AD847" s="5"/>
      <c r="AE847" s="5"/>
      <c r="AF847" s="5"/>
      <c r="AG847" s="5"/>
      <c r="AH847" s="5"/>
      <c r="AI847" s="5"/>
    </row>
    <row r="848" spans="1:35" ht="15.75" customHeight="1">
      <c r="A848" s="5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5"/>
      <c r="T848" s="5"/>
      <c r="U848" s="104"/>
      <c r="V848" s="5"/>
      <c r="W848" s="5"/>
      <c r="X848" s="5"/>
      <c r="Y848" s="5"/>
      <c r="Z848" s="7"/>
      <c r="AA848" s="5"/>
      <c r="AB848" s="5"/>
      <c r="AC848" s="5"/>
      <c r="AD848" s="5"/>
      <c r="AE848" s="5"/>
      <c r="AF848" s="5"/>
      <c r="AG848" s="5"/>
      <c r="AH848" s="5"/>
      <c r="AI848" s="5"/>
    </row>
    <row r="849" spans="1:35" ht="15.75" customHeight="1">
      <c r="A849" s="5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5"/>
      <c r="T849" s="5"/>
      <c r="U849" s="104"/>
      <c r="V849" s="5"/>
      <c r="W849" s="5"/>
      <c r="X849" s="5"/>
      <c r="Y849" s="5"/>
      <c r="Z849" s="7"/>
      <c r="AA849" s="5"/>
      <c r="AB849" s="5"/>
      <c r="AC849" s="5"/>
      <c r="AD849" s="5"/>
      <c r="AE849" s="5"/>
      <c r="AF849" s="5"/>
      <c r="AG849" s="5"/>
      <c r="AH849" s="5"/>
      <c r="AI849" s="5"/>
    </row>
    <row r="850" spans="1:35" ht="15.75" customHeight="1">
      <c r="A850" s="5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5"/>
      <c r="T850" s="5"/>
      <c r="U850" s="104"/>
      <c r="V850" s="5"/>
      <c r="W850" s="5"/>
      <c r="X850" s="5"/>
      <c r="Y850" s="5"/>
      <c r="Z850" s="7"/>
      <c r="AA850" s="5"/>
      <c r="AB850" s="5"/>
      <c r="AC850" s="5"/>
      <c r="AD850" s="5"/>
      <c r="AE850" s="5"/>
      <c r="AF850" s="5"/>
      <c r="AG850" s="5"/>
      <c r="AH850" s="5"/>
      <c r="AI850" s="5"/>
    </row>
    <row r="851" spans="1:35" ht="15.75" customHeight="1">
      <c r="A851" s="5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5"/>
      <c r="T851" s="5"/>
      <c r="U851" s="104"/>
      <c r="V851" s="5"/>
      <c r="W851" s="5"/>
      <c r="X851" s="5"/>
      <c r="Y851" s="5"/>
      <c r="Z851" s="7"/>
      <c r="AA851" s="5"/>
      <c r="AB851" s="5"/>
      <c r="AC851" s="5"/>
      <c r="AD851" s="5"/>
      <c r="AE851" s="5"/>
      <c r="AF851" s="5"/>
      <c r="AG851" s="5"/>
      <c r="AH851" s="5"/>
      <c r="AI851" s="5"/>
    </row>
    <row r="852" spans="1:35" ht="15.75" customHeight="1">
      <c r="A852" s="5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5"/>
      <c r="T852" s="5"/>
      <c r="U852" s="104"/>
      <c r="V852" s="5"/>
      <c r="W852" s="5"/>
      <c r="X852" s="5"/>
      <c r="Y852" s="5"/>
      <c r="Z852" s="7"/>
      <c r="AA852" s="5"/>
      <c r="AB852" s="5"/>
      <c r="AC852" s="5"/>
      <c r="AD852" s="5"/>
      <c r="AE852" s="5"/>
      <c r="AF852" s="5"/>
      <c r="AG852" s="5"/>
      <c r="AH852" s="5"/>
      <c r="AI852" s="5"/>
    </row>
    <row r="853" spans="1:35" ht="15.75" customHeight="1">
      <c r="A853" s="5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5"/>
      <c r="T853" s="5"/>
      <c r="U853" s="104"/>
      <c r="V853" s="5"/>
      <c r="W853" s="5"/>
      <c r="X853" s="5"/>
      <c r="Y853" s="5"/>
      <c r="Z853" s="7"/>
      <c r="AA853" s="5"/>
      <c r="AB853" s="5"/>
      <c r="AC853" s="5"/>
      <c r="AD853" s="5"/>
      <c r="AE853" s="5"/>
      <c r="AF853" s="5"/>
      <c r="AG853" s="5"/>
      <c r="AH853" s="5"/>
      <c r="AI853" s="5"/>
    </row>
    <row r="854" spans="1:35" ht="15.75" customHeight="1">
      <c r="A854" s="5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5"/>
      <c r="T854" s="5"/>
      <c r="U854" s="104"/>
      <c r="V854" s="5"/>
      <c r="W854" s="5"/>
      <c r="X854" s="5"/>
      <c r="Y854" s="5"/>
      <c r="Z854" s="7"/>
      <c r="AA854" s="5"/>
      <c r="AB854" s="5"/>
      <c r="AC854" s="5"/>
      <c r="AD854" s="5"/>
      <c r="AE854" s="5"/>
      <c r="AF854" s="5"/>
      <c r="AG854" s="5"/>
      <c r="AH854" s="5"/>
      <c r="AI854" s="5"/>
    </row>
    <row r="855" spans="1:35" ht="15.75" customHeight="1">
      <c r="A855" s="5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5"/>
      <c r="T855" s="5"/>
      <c r="U855" s="104"/>
      <c r="V855" s="5"/>
      <c r="W855" s="5"/>
      <c r="X855" s="5"/>
      <c r="Y855" s="5"/>
      <c r="Z855" s="7"/>
      <c r="AA855" s="5"/>
      <c r="AB855" s="5"/>
      <c r="AC855" s="5"/>
      <c r="AD855" s="5"/>
      <c r="AE855" s="5"/>
      <c r="AF855" s="5"/>
      <c r="AG855" s="5"/>
      <c r="AH855" s="5"/>
      <c r="AI855" s="5"/>
    </row>
    <row r="856" spans="1:35" ht="15.75" customHeight="1">
      <c r="A856" s="5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5"/>
      <c r="T856" s="5"/>
      <c r="U856" s="104"/>
      <c r="V856" s="5"/>
      <c r="W856" s="5"/>
      <c r="X856" s="5"/>
      <c r="Y856" s="5"/>
      <c r="Z856" s="7"/>
      <c r="AA856" s="5"/>
      <c r="AB856" s="5"/>
      <c r="AC856" s="5"/>
      <c r="AD856" s="5"/>
      <c r="AE856" s="5"/>
      <c r="AF856" s="5"/>
      <c r="AG856" s="5"/>
      <c r="AH856" s="5"/>
      <c r="AI856" s="5"/>
    </row>
    <row r="857" spans="1:35" ht="15.75" customHeight="1">
      <c r="A857" s="5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5"/>
      <c r="T857" s="5"/>
      <c r="U857" s="104"/>
      <c r="V857" s="5"/>
      <c r="W857" s="5"/>
      <c r="X857" s="5"/>
      <c r="Y857" s="5"/>
      <c r="Z857" s="7"/>
      <c r="AA857" s="5"/>
      <c r="AB857" s="5"/>
      <c r="AC857" s="5"/>
      <c r="AD857" s="5"/>
      <c r="AE857" s="5"/>
      <c r="AF857" s="5"/>
      <c r="AG857" s="5"/>
      <c r="AH857" s="5"/>
      <c r="AI857" s="5"/>
    </row>
    <row r="858" spans="1:35" ht="15.75" customHeight="1">
      <c r="A858" s="5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5"/>
      <c r="T858" s="5"/>
      <c r="U858" s="104"/>
      <c r="V858" s="5"/>
      <c r="W858" s="5"/>
      <c r="X858" s="5"/>
      <c r="Y858" s="5"/>
      <c r="Z858" s="7"/>
      <c r="AA858" s="5"/>
      <c r="AB858" s="5"/>
      <c r="AC858" s="5"/>
      <c r="AD858" s="5"/>
      <c r="AE858" s="5"/>
      <c r="AF858" s="5"/>
      <c r="AG858" s="5"/>
      <c r="AH858" s="5"/>
      <c r="AI858" s="5"/>
    </row>
    <row r="859" spans="1:35" ht="15.75" customHeight="1">
      <c r="A859" s="5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5"/>
      <c r="T859" s="5"/>
      <c r="U859" s="104"/>
      <c r="V859" s="5"/>
      <c r="W859" s="5"/>
      <c r="X859" s="5"/>
      <c r="Y859" s="5"/>
      <c r="Z859" s="7"/>
      <c r="AA859" s="5"/>
      <c r="AB859" s="5"/>
      <c r="AC859" s="5"/>
      <c r="AD859" s="5"/>
      <c r="AE859" s="5"/>
      <c r="AF859" s="5"/>
      <c r="AG859" s="5"/>
      <c r="AH859" s="5"/>
      <c r="AI859" s="5"/>
    </row>
    <row r="860" spans="1:35" ht="15.75" customHeight="1">
      <c r="A860" s="5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5"/>
      <c r="T860" s="5"/>
      <c r="U860" s="104"/>
      <c r="V860" s="5"/>
      <c r="W860" s="5"/>
      <c r="X860" s="5"/>
      <c r="Y860" s="5"/>
      <c r="Z860" s="7"/>
      <c r="AA860" s="5"/>
      <c r="AB860" s="5"/>
      <c r="AC860" s="5"/>
      <c r="AD860" s="5"/>
      <c r="AE860" s="5"/>
      <c r="AF860" s="5"/>
      <c r="AG860" s="5"/>
      <c r="AH860" s="5"/>
      <c r="AI860" s="5"/>
    </row>
    <row r="861" spans="1:35" ht="15.75" customHeight="1">
      <c r="A861" s="5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5"/>
      <c r="T861" s="5"/>
      <c r="U861" s="104"/>
      <c r="V861" s="5"/>
      <c r="W861" s="5"/>
      <c r="X861" s="5"/>
      <c r="Y861" s="5"/>
      <c r="Z861" s="7"/>
      <c r="AA861" s="5"/>
      <c r="AB861" s="5"/>
      <c r="AC861" s="5"/>
      <c r="AD861" s="5"/>
      <c r="AE861" s="5"/>
      <c r="AF861" s="5"/>
      <c r="AG861" s="5"/>
      <c r="AH861" s="5"/>
      <c r="AI861" s="5"/>
    </row>
    <row r="862" spans="1:35" ht="15.75" customHeight="1">
      <c r="A862" s="5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5"/>
      <c r="T862" s="5"/>
      <c r="U862" s="104"/>
      <c r="V862" s="5"/>
      <c r="W862" s="5"/>
      <c r="X862" s="5"/>
      <c r="Y862" s="5"/>
      <c r="Z862" s="7"/>
      <c r="AA862" s="5"/>
      <c r="AB862" s="5"/>
      <c r="AC862" s="5"/>
      <c r="AD862" s="5"/>
      <c r="AE862" s="5"/>
      <c r="AF862" s="5"/>
      <c r="AG862" s="5"/>
      <c r="AH862" s="5"/>
      <c r="AI862" s="5"/>
    </row>
    <row r="863" spans="1:35" ht="15.75" customHeight="1">
      <c r="A863" s="5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5"/>
      <c r="T863" s="5"/>
      <c r="U863" s="104"/>
      <c r="V863" s="5"/>
      <c r="W863" s="5"/>
      <c r="X863" s="5"/>
      <c r="Y863" s="5"/>
      <c r="Z863" s="7"/>
      <c r="AA863" s="5"/>
      <c r="AB863" s="5"/>
      <c r="AC863" s="5"/>
      <c r="AD863" s="5"/>
      <c r="AE863" s="5"/>
      <c r="AF863" s="5"/>
      <c r="AG863" s="5"/>
      <c r="AH863" s="5"/>
      <c r="AI863" s="5"/>
    </row>
    <row r="864" spans="1:35" ht="15.75" customHeight="1">
      <c r="A864" s="5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5"/>
      <c r="T864" s="5"/>
      <c r="U864" s="104"/>
      <c r="V864" s="5"/>
      <c r="W864" s="5"/>
      <c r="X864" s="5"/>
      <c r="Y864" s="5"/>
      <c r="Z864" s="7"/>
      <c r="AA864" s="5"/>
      <c r="AB864" s="5"/>
      <c r="AC864" s="5"/>
      <c r="AD864" s="5"/>
      <c r="AE864" s="5"/>
      <c r="AF864" s="5"/>
      <c r="AG864" s="5"/>
      <c r="AH864" s="5"/>
      <c r="AI864" s="5"/>
    </row>
    <row r="865" spans="1:35" ht="15.75" customHeight="1">
      <c r="A865" s="5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5"/>
      <c r="T865" s="5"/>
      <c r="U865" s="104"/>
      <c r="V865" s="5"/>
      <c r="W865" s="5"/>
      <c r="X865" s="5"/>
      <c r="Y865" s="5"/>
      <c r="Z865" s="7"/>
      <c r="AA865" s="5"/>
      <c r="AB865" s="5"/>
      <c r="AC865" s="5"/>
      <c r="AD865" s="5"/>
      <c r="AE865" s="5"/>
      <c r="AF865" s="5"/>
      <c r="AG865" s="5"/>
      <c r="AH865" s="5"/>
      <c r="AI865" s="5"/>
    </row>
    <row r="866" spans="1:35" ht="15.75" customHeight="1">
      <c r="A866" s="5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5"/>
      <c r="T866" s="5"/>
      <c r="U866" s="104"/>
      <c r="V866" s="5"/>
      <c r="W866" s="5"/>
      <c r="X866" s="5"/>
      <c r="Y866" s="5"/>
      <c r="Z866" s="7"/>
      <c r="AA866" s="5"/>
      <c r="AB866" s="5"/>
      <c r="AC866" s="5"/>
      <c r="AD866" s="5"/>
      <c r="AE866" s="5"/>
      <c r="AF866" s="5"/>
      <c r="AG866" s="5"/>
      <c r="AH866" s="5"/>
      <c r="AI866" s="5"/>
    </row>
    <row r="867" spans="1:35" ht="15.75" customHeight="1">
      <c r="A867" s="5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5"/>
      <c r="T867" s="5"/>
      <c r="U867" s="104"/>
      <c r="V867" s="5"/>
      <c r="W867" s="5"/>
      <c r="X867" s="5"/>
      <c r="Y867" s="5"/>
      <c r="Z867" s="7"/>
      <c r="AA867" s="5"/>
      <c r="AB867" s="5"/>
      <c r="AC867" s="5"/>
      <c r="AD867" s="5"/>
      <c r="AE867" s="5"/>
      <c r="AF867" s="5"/>
      <c r="AG867" s="5"/>
      <c r="AH867" s="5"/>
      <c r="AI867" s="5"/>
    </row>
    <row r="868" spans="1:35" ht="15.75" customHeight="1">
      <c r="A868" s="5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5"/>
      <c r="T868" s="5"/>
      <c r="U868" s="104"/>
      <c r="V868" s="5"/>
      <c r="W868" s="5"/>
      <c r="X868" s="5"/>
      <c r="Y868" s="5"/>
      <c r="Z868" s="7"/>
      <c r="AA868" s="5"/>
      <c r="AB868" s="5"/>
      <c r="AC868" s="5"/>
      <c r="AD868" s="5"/>
      <c r="AE868" s="5"/>
      <c r="AF868" s="5"/>
      <c r="AG868" s="5"/>
      <c r="AH868" s="5"/>
      <c r="AI868" s="5"/>
    </row>
    <row r="869" spans="1:35" ht="15.75" customHeight="1">
      <c r="A869" s="5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5"/>
      <c r="T869" s="5"/>
      <c r="U869" s="104"/>
      <c r="V869" s="5"/>
      <c r="W869" s="5"/>
      <c r="X869" s="5"/>
      <c r="Y869" s="5"/>
      <c r="Z869" s="7"/>
      <c r="AA869" s="5"/>
      <c r="AB869" s="5"/>
      <c r="AC869" s="5"/>
      <c r="AD869" s="5"/>
      <c r="AE869" s="5"/>
      <c r="AF869" s="5"/>
      <c r="AG869" s="5"/>
      <c r="AH869" s="5"/>
      <c r="AI869" s="5"/>
    </row>
    <row r="870" spans="1:35" ht="15.75" customHeight="1">
      <c r="A870" s="5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5"/>
      <c r="T870" s="5"/>
      <c r="U870" s="104"/>
      <c r="V870" s="5"/>
      <c r="W870" s="5"/>
      <c r="X870" s="5"/>
      <c r="Y870" s="5"/>
      <c r="Z870" s="7"/>
      <c r="AA870" s="5"/>
      <c r="AB870" s="5"/>
      <c r="AC870" s="5"/>
      <c r="AD870" s="5"/>
      <c r="AE870" s="5"/>
      <c r="AF870" s="5"/>
      <c r="AG870" s="5"/>
      <c r="AH870" s="5"/>
      <c r="AI870" s="5"/>
    </row>
    <row r="871" spans="1:35" ht="15.75" customHeight="1">
      <c r="A871" s="5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5"/>
      <c r="T871" s="5"/>
      <c r="U871" s="104"/>
      <c r="V871" s="5"/>
      <c r="W871" s="5"/>
      <c r="X871" s="5"/>
      <c r="Y871" s="5"/>
      <c r="Z871" s="7"/>
      <c r="AA871" s="5"/>
      <c r="AB871" s="5"/>
      <c r="AC871" s="5"/>
      <c r="AD871" s="5"/>
      <c r="AE871" s="5"/>
      <c r="AF871" s="5"/>
      <c r="AG871" s="5"/>
      <c r="AH871" s="5"/>
      <c r="AI871" s="5"/>
    </row>
    <row r="872" spans="1:35" ht="15.75" customHeight="1">
      <c r="A872" s="5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5"/>
      <c r="T872" s="5"/>
      <c r="U872" s="104"/>
      <c r="V872" s="5"/>
      <c r="W872" s="5"/>
      <c r="X872" s="5"/>
      <c r="Y872" s="5"/>
      <c r="Z872" s="7"/>
      <c r="AA872" s="5"/>
      <c r="AB872" s="5"/>
      <c r="AC872" s="5"/>
      <c r="AD872" s="5"/>
      <c r="AE872" s="5"/>
      <c r="AF872" s="5"/>
      <c r="AG872" s="5"/>
      <c r="AH872" s="5"/>
      <c r="AI872" s="5"/>
    </row>
    <row r="873" spans="1:35" ht="15.75" customHeight="1">
      <c r="A873" s="5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5"/>
      <c r="T873" s="5"/>
      <c r="U873" s="104"/>
      <c r="V873" s="5"/>
      <c r="W873" s="5"/>
      <c r="X873" s="5"/>
      <c r="Y873" s="5"/>
      <c r="Z873" s="7"/>
      <c r="AA873" s="5"/>
      <c r="AB873" s="5"/>
      <c r="AC873" s="5"/>
      <c r="AD873" s="5"/>
      <c r="AE873" s="5"/>
      <c r="AF873" s="5"/>
      <c r="AG873" s="5"/>
      <c r="AH873" s="5"/>
      <c r="AI873" s="5"/>
    </row>
    <row r="874" spans="1:35" ht="15.75" customHeight="1">
      <c r="A874" s="5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5"/>
      <c r="T874" s="5"/>
      <c r="U874" s="104"/>
      <c r="V874" s="5"/>
      <c r="W874" s="5"/>
      <c r="X874" s="5"/>
      <c r="Y874" s="5"/>
      <c r="Z874" s="7"/>
      <c r="AA874" s="5"/>
      <c r="AB874" s="5"/>
      <c r="AC874" s="5"/>
      <c r="AD874" s="5"/>
      <c r="AE874" s="5"/>
      <c r="AF874" s="5"/>
      <c r="AG874" s="5"/>
      <c r="AH874" s="5"/>
      <c r="AI874" s="5"/>
    </row>
    <row r="875" spans="1:35" ht="15.75" customHeight="1">
      <c r="A875" s="5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5"/>
      <c r="T875" s="5"/>
      <c r="U875" s="104"/>
      <c r="V875" s="5"/>
      <c r="W875" s="5"/>
      <c r="X875" s="5"/>
      <c r="Y875" s="5"/>
      <c r="Z875" s="7"/>
      <c r="AA875" s="5"/>
      <c r="AB875" s="5"/>
      <c r="AC875" s="5"/>
      <c r="AD875" s="5"/>
      <c r="AE875" s="5"/>
      <c r="AF875" s="5"/>
      <c r="AG875" s="5"/>
      <c r="AH875" s="5"/>
      <c r="AI875" s="5"/>
    </row>
    <row r="876" spans="1:35" ht="15.75" customHeight="1">
      <c r="A876" s="5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5"/>
      <c r="T876" s="5"/>
      <c r="U876" s="104"/>
      <c r="V876" s="5"/>
      <c r="W876" s="5"/>
      <c r="X876" s="5"/>
      <c r="Y876" s="5"/>
      <c r="Z876" s="7"/>
      <c r="AA876" s="5"/>
      <c r="AB876" s="5"/>
      <c r="AC876" s="5"/>
      <c r="AD876" s="5"/>
      <c r="AE876" s="5"/>
      <c r="AF876" s="5"/>
      <c r="AG876" s="5"/>
      <c r="AH876" s="5"/>
      <c r="AI876" s="5"/>
    </row>
    <row r="877" spans="1:35" ht="15.75" customHeight="1">
      <c r="A877" s="5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5"/>
      <c r="T877" s="5"/>
      <c r="U877" s="104"/>
      <c r="V877" s="5"/>
      <c r="W877" s="5"/>
      <c r="X877" s="5"/>
      <c r="Y877" s="5"/>
      <c r="Z877" s="7"/>
      <c r="AA877" s="5"/>
      <c r="AB877" s="5"/>
      <c r="AC877" s="5"/>
      <c r="AD877" s="5"/>
      <c r="AE877" s="5"/>
      <c r="AF877" s="5"/>
      <c r="AG877" s="5"/>
      <c r="AH877" s="5"/>
      <c r="AI877" s="5"/>
    </row>
    <row r="878" spans="1:35" ht="15.75" customHeight="1">
      <c r="A878" s="5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5"/>
      <c r="T878" s="5"/>
      <c r="U878" s="104"/>
      <c r="V878" s="5"/>
      <c r="W878" s="5"/>
      <c r="X878" s="5"/>
      <c r="Y878" s="5"/>
      <c r="Z878" s="7"/>
      <c r="AA878" s="5"/>
      <c r="AB878" s="5"/>
      <c r="AC878" s="5"/>
      <c r="AD878" s="5"/>
      <c r="AE878" s="5"/>
      <c r="AF878" s="5"/>
      <c r="AG878" s="5"/>
      <c r="AH878" s="5"/>
      <c r="AI878" s="5"/>
    </row>
    <row r="879" spans="1:35" ht="15.75" customHeight="1">
      <c r="A879" s="5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5"/>
      <c r="T879" s="5"/>
      <c r="U879" s="104"/>
      <c r="V879" s="5"/>
      <c r="W879" s="5"/>
      <c r="X879" s="5"/>
      <c r="Y879" s="5"/>
      <c r="Z879" s="7"/>
      <c r="AA879" s="5"/>
      <c r="AB879" s="5"/>
      <c r="AC879" s="5"/>
      <c r="AD879" s="5"/>
      <c r="AE879" s="5"/>
      <c r="AF879" s="5"/>
      <c r="AG879" s="5"/>
      <c r="AH879" s="5"/>
      <c r="AI879" s="5"/>
    </row>
    <row r="880" spans="1:35" ht="15.75" customHeight="1">
      <c r="A880" s="5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5"/>
      <c r="T880" s="5"/>
      <c r="U880" s="104"/>
      <c r="V880" s="5"/>
      <c r="W880" s="5"/>
      <c r="X880" s="5"/>
      <c r="Y880" s="5"/>
      <c r="Z880" s="7"/>
      <c r="AA880" s="5"/>
      <c r="AB880" s="5"/>
      <c r="AC880" s="5"/>
      <c r="AD880" s="5"/>
      <c r="AE880" s="5"/>
      <c r="AF880" s="5"/>
      <c r="AG880" s="5"/>
      <c r="AH880" s="5"/>
      <c r="AI880" s="5"/>
    </row>
    <row r="881" spans="1:35" ht="15.75" customHeight="1">
      <c r="A881" s="5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5"/>
      <c r="T881" s="5"/>
      <c r="U881" s="104"/>
      <c r="V881" s="5"/>
      <c r="W881" s="5"/>
      <c r="X881" s="5"/>
      <c r="Y881" s="5"/>
      <c r="Z881" s="7"/>
      <c r="AA881" s="5"/>
      <c r="AB881" s="5"/>
      <c r="AC881" s="5"/>
      <c r="AD881" s="5"/>
      <c r="AE881" s="5"/>
      <c r="AF881" s="5"/>
      <c r="AG881" s="5"/>
      <c r="AH881" s="5"/>
      <c r="AI881" s="5"/>
    </row>
    <row r="882" spans="1:35" ht="15.75" customHeight="1">
      <c r="A882" s="5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5"/>
      <c r="T882" s="5"/>
      <c r="U882" s="104"/>
      <c r="V882" s="5"/>
      <c r="W882" s="5"/>
      <c r="X882" s="5"/>
      <c r="Y882" s="5"/>
      <c r="Z882" s="7"/>
      <c r="AA882" s="5"/>
      <c r="AB882" s="5"/>
      <c r="AC882" s="5"/>
      <c r="AD882" s="5"/>
      <c r="AE882" s="5"/>
      <c r="AF882" s="5"/>
      <c r="AG882" s="5"/>
      <c r="AH882" s="5"/>
      <c r="AI882" s="5"/>
    </row>
    <row r="883" spans="1:35" ht="15.75" customHeight="1">
      <c r="A883" s="5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5"/>
      <c r="T883" s="5"/>
      <c r="U883" s="104"/>
      <c r="V883" s="5"/>
      <c r="W883" s="5"/>
      <c r="X883" s="5"/>
      <c r="Y883" s="5"/>
      <c r="Z883" s="7"/>
      <c r="AA883" s="5"/>
      <c r="AB883" s="5"/>
      <c r="AC883" s="5"/>
      <c r="AD883" s="5"/>
      <c r="AE883" s="5"/>
      <c r="AF883" s="5"/>
      <c r="AG883" s="5"/>
      <c r="AH883" s="5"/>
      <c r="AI883" s="5"/>
    </row>
    <row r="884" spans="1:35" ht="15.75" customHeight="1">
      <c r="A884" s="5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5"/>
      <c r="T884" s="5"/>
      <c r="U884" s="104"/>
      <c r="V884" s="5"/>
      <c r="W884" s="5"/>
      <c r="X884" s="5"/>
      <c r="Y884" s="5"/>
      <c r="Z884" s="7"/>
      <c r="AA884" s="5"/>
      <c r="AB884" s="5"/>
      <c r="AC884" s="5"/>
      <c r="AD884" s="5"/>
      <c r="AE884" s="5"/>
      <c r="AF884" s="5"/>
      <c r="AG884" s="5"/>
      <c r="AH884" s="5"/>
      <c r="AI884" s="5"/>
    </row>
    <row r="885" spans="1:35" ht="15.75" customHeight="1">
      <c r="A885" s="5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5"/>
      <c r="T885" s="5"/>
      <c r="U885" s="104"/>
      <c r="V885" s="5"/>
      <c r="W885" s="5"/>
      <c r="X885" s="5"/>
      <c r="Y885" s="5"/>
      <c r="Z885" s="7"/>
      <c r="AA885" s="5"/>
      <c r="AB885" s="5"/>
      <c r="AC885" s="5"/>
      <c r="AD885" s="5"/>
      <c r="AE885" s="5"/>
      <c r="AF885" s="5"/>
      <c r="AG885" s="5"/>
      <c r="AH885" s="5"/>
      <c r="AI885" s="5"/>
    </row>
    <row r="886" spans="1:35" ht="15.75" customHeight="1">
      <c r="A886" s="5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5"/>
      <c r="T886" s="5"/>
      <c r="U886" s="104"/>
      <c r="V886" s="5"/>
      <c r="W886" s="5"/>
      <c r="X886" s="5"/>
      <c r="Y886" s="5"/>
      <c r="Z886" s="7"/>
      <c r="AA886" s="5"/>
      <c r="AB886" s="5"/>
      <c r="AC886" s="5"/>
      <c r="AD886" s="5"/>
      <c r="AE886" s="5"/>
      <c r="AF886" s="5"/>
      <c r="AG886" s="5"/>
      <c r="AH886" s="5"/>
      <c r="AI886" s="5"/>
    </row>
    <row r="887" spans="1:35" ht="15.75" customHeight="1">
      <c r="A887" s="5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5"/>
      <c r="T887" s="5"/>
      <c r="U887" s="104"/>
      <c r="V887" s="5"/>
      <c r="W887" s="5"/>
      <c r="X887" s="5"/>
      <c r="Y887" s="5"/>
      <c r="Z887" s="7"/>
      <c r="AA887" s="5"/>
      <c r="AB887" s="5"/>
      <c r="AC887" s="5"/>
      <c r="AD887" s="5"/>
      <c r="AE887" s="5"/>
      <c r="AF887" s="5"/>
      <c r="AG887" s="5"/>
      <c r="AH887" s="5"/>
      <c r="AI887" s="5"/>
    </row>
    <row r="888" spans="1:35" ht="15.75" customHeight="1">
      <c r="A888" s="5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5"/>
      <c r="T888" s="5"/>
      <c r="U888" s="104"/>
      <c r="V888" s="5"/>
      <c r="W888" s="5"/>
      <c r="X888" s="5"/>
      <c r="Y888" s="5"/>
      <c r="Z888" s="7"/>
      <c r="AA888" s="5"/>
      <c r="AB888" s="5"/>
      <c r="AC888" s="5"/>
      <c r="AD888" s="5"/>
      <c r="AE888" s="5"/>
      <c r="AF888" s="5"/>
      <c r="AG888" s="5"/>
      <c r="AH888" s="5"/>
      <c r="AI888" s="5"/>
    </row>
    <row r="889" spans="1:35" ht="15.75" customHeight="1">
      <c r="A889" s="5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5"/>
      <c r="T889" s="5"/>
      <c r="U889" s="104"/>
      <c r="V889" s="5"/>
      <c r="W889" s="5"/>
      <c r="X889" s="5"/>
      <c r="Y889" s="5"/>
      <c r="Z889" s="7"/>
      <c r="AA889" s="5"/>
      <c r="AB889" s="5"/>
      <c r="AC889" s="5"/>
      <c r="AD889" s="5"/>
      <c r="AE889" s="5"/>
      <c r="AF889" s="5"/>
      <c r="AG889" s="5"/>
      <c r="AH889" s="5"/>
      <c r="AI889" s="5"/>
    </row>
    <row r="890" spans="1:35" ht="15.75" customHeight="1">
      <c r="A890" s="5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5"/>
      <c r="T890" s="5"/>
      <c r="U890" s="104"/>
      <c r="V890" s="5"/>
      <c r="W890" s="5"/>
      <c r="X890" s="5"/>
      <c r="Y890" s="5"/>
      <c r="Z890" s="7"/>
      <c r="AA890" s="5"/>
      <c r="AB890" s="5"/>
      <c r="AC890" s="5"/>
      <c r="AD890" s="5"/>
      <c r="AE890" s="5"/>
      <c r="AF890" s="5"/>
      <c r="AG890" s="5"/>
      <c r="AH890" s="5"/>
      <c r="AI890" s="5"/>
    </row>
    <row r="891" spans="1:35" ht="15.75" customHeight="1">
      <c r="A891" s="5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5"/>
      <c r="T891" s="5"/>
      <c r="U891" s="104"/>
      <c r="V891" s="5"/>
      <c r="W891" s="5"/>
      <c r="X891" s="5"/>
      <c r="Y891" s="5"/>
      <c r="Z891" s="7"/>
      <c r="AA891" s="5"/>
      <c r="AB891" s="5"/>
      <c r="AC891" s="5"/>
      <c r="AD891" s="5"/>
      <c r="AE891" s="5"/>
      <c r="AF891" s="5"/>
      <c r="AG891" s="5"/>
      <c r="AH891" s="5"/>
      <c r="AI891" s="5"/>
    </row>
    <row r="892" spans="1:35" ht="15.75" customHeight="1">
      <c r="A892" s="5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5"/>
      <c r="T892" s="5"/>
      <c r="U892" s="104"/>
      <c r="V892" s="5"/>
      <c r="W892" s="5"/>
      <c r="X892" s="5"/>
      <c r="Y892" s="5"/>
      <c r="Z892" s="7"/>
      <c r="AA892" s="5"/>
      <c r="AB892" s="5"/>
      <c r="AC892" s="5"/>
      <c r="AD892" s="5"/>
      <c r="AE892" s="5"/>
      <c r="AF892" s="5"/>
      <c r="AG892" s="5"/>
      <c r="AH892" s="5"/>
      <c r="AI892" s="5"/>
    </row>
    <row r="893" spans="1:35" ht="15.75" customHeight="1">
      <c r="A893" s="5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5"/>
      <c r="T893" s="5"/>
      <c r="U893" s="104"/>
      <c r="V893" s="5"/>
      <c r="W893" s="5"/>
      <c r="X893" s="5"/>
      <c r="Y893" s="5"/>
      <c r="Z893" s="7"/>
      <c r="AA893" s="5"/>
      <c r="AB893" s="5"/>
      <c r="AC893" s="5"/>
      <c r="AD893" s="5"/>
      <c r="AE893" s="5"/>
      <c r="AF893" s="5"/>
      <c r="AG893" s="5"/>
      <c r="AH893" s="5"/>
      <c r="AI893" s="5"/>
    </row>
    <row r="894" spans="1:35" ht="15.75" customHeight="1">
      <c r="A894" s="5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5"/>
      <c r="T894" s="5"/>
      <c r="U894" s="104"/>
      <c r="V894" s="5"/>
      <c r="W894" s="5"/>
      <c r="X894" s="5"/>
      <c r="Y894" s="5"/>
      <c r="Z894" s="7"/>
      <c r="AA894" s="5"/>
      <c r="AB894" s="5"/>
      <c r="AC894" s="5"/>
      <c r="AD894" s="5"/>
      <c r="AE894" s="5"/>
      <c r="AF894" s="5"/>
      <c r="AG894" s="5"/>
      <c r="AH894" s="5"/>
      <c r="AI894" s="5"/>
    </row>
    <row r="895" spans="1:35" ht="15.75" customHeight="1">
      <c r="A895" s="5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5"/>
      <c r="T895" s="5"/>
      <c r="U895" s="104"/>
      <c r="V895" s="5"/>
      <c r="W895" s="5"/>
      <c r="X895" s="5"/>
      <c r="Y895" s="5"/>
      <c r="Z895" s="7"/>
      <c r="AA895" s="5"/>
      <c r="AB895" s="5"/>
      <c r="AC895" s="5"/>
      <c r="AD895" s="5"/>
      <c r="AE895" s="5"/>
      <c r="AF895" s="5"/>
      <c r="AG895" s="5"/>
      <c r="AH895" s="5"/>
      <c r="AI895" s="5"/>
    </row>
    <row r="896" spans="1:35" ht="15.75" customHeight="1">
      <c r="A896" s="5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5"/>
      <c r="T896" s="5"/>
      <c r="U896" s="104"/>
      <c r="V896" s="5"/>
      <c r="W896" s="5"/>
      <c r="X896" s="5"/>
      <c r="Y896" s="5"/>
      <c r="Z896" s="7"/>
      <c r="AA896" s="5"/>
      <c r="AB896" s="5"/>
      <c r="AC896" s="5"/>
      <c r="AD896" s="5"/>
      <c r="AE896" s="5"/>
      <c r="AF896" s="5"/>
      <c r="AG896" s="5"/>
      <c r="AH896" s="5"/>
      <c r="AI896" s="5"/>
    </row>
    <row r="897" spans="1:35" ht="15.75" customHeight="1">
      <c r="A897" s="5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5"/>
      <c r="T897" s="5"/>
      <c r="U897" s="104"/>
      <c r="V897" s="5"/>
      <c r="W897" s="5"/>
      <c r="X897" s="5"/>
      <c r="Y897" s="5"/>
      <c r="Z897" s="7"/>
      <c r="AA897" s="5"/>
      <c r="AB897" s="5"/>
      <c r="AC897" s="5"/>
      <c r="AD897" s="5"/>
      <c r="AE897" s="5"/>
      <c r="AF897" s="5"/>
      <c r="AG897" s="5"/>
      <c r="AH897" s="5"/>
      <c r="AI897" s="5"/>
    </row>
    <row r="898" spans="1:35" ht="15.75" customHeight="1">
      <c r="A898" s="5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5"/>
      <c r="T898" s="5"/>
      <c r="U898" s="104"/>
      <c r="V898" s="5"/>
      <c r="W898" s="5"/>
      <c r="X898" s="5"/>
      <c r="Y898" s="5"/>
      <c r="Z898" s="7"/>
      <c r="AA898" s="5"/>
      <c r="AB898" s="5"/>
      <c r="AC898" s="5"/>
      <c r="AD898" s="5"/>
      <c r="AE898" s="5"/>
      <c r="AF898" s="5"/>
      <c r="AG898" s="5"/>
      <c r="AH898" s="5"/>
      <c r="AI898" s="5"/>
    </row>
    <row r="899" spans="1:35" ht="15.75" customHeight="1">
      <c r="A899" s="5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5"/>
      <c r="T899" s="5"/>
      <c r="U899" s="104"/>
      <c r="V899" s="5"/>
      <c r="W899" s="5"/>
      <c r="X899" s="5"/>
      <c r="Y899" s="5"/>
      <c r="Z899" s="7"/>
      <c r="AA899" s="5"/>
      <c r="AB899" s="5"/>
      <c r="AC899" s="5"/>
      <c r="AD899" s="5"/>
      <c r="AE899" s="5"/>
      <c r="AF899" s="5"/>
      <c r="AG899" s="5"/>
      <c r="AH899" s="5"/>
      <c r="AI899" s="5"/>
    </row>
    <row r="900" spans="1:35" ht="15.75" customHeight="1">
      <c r="A900" s="5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5"/>
      <c r="T900" s="5"/>
      <c r="U900" s="104"/>
      <c r="V900" s="5"/>
      <c r="W900" s="5"/>
      <c r="X900" s="5"/>
      <c r="Y900" s="5"/>
      <c r="Z900" s="7"/>
      <c r="AA900" s="5"/>
      <c r="AB900" s="5"/>
      <c r="AC900" s="5"/>
      <c r="AD900" s="5"/>
      <c r="AE900" s="5"/>
      <c r="AF900" s="5"/>
      <c r="AG900" s="5"/>
      <c r="AH900" s="5"/>
      <c r="AI900" s="5"/>
    </row>
    <row r="901" spans="1:35" ht="15.75" customHeight="1">
      <c r="A901" s="5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5"/>
      <c r="T901" s="5"/>
      <c r="U901" s="104"/>
      <c r="V901" s="5"/>
      <c r="W901" s="5"/>
      <c r="X901" s="5"/>
      <c r="Y901" s="5"/>
      <c r="Z901" s="7"/>
      <c r="AA901" s="5"/>
      <c r="AB901" s="5"/>
      <c r="AC901" s="5"/>
      <c r="AD901" s="5"/>
      <c r="AE901" s="5"/>
      <c r="AF901" s="5"/>
      <c r="AG901" s="5"/>
      <c r="AH901" s="5"/>
      <c r="AI901" s="5"/>
    </row>
    <row r="902" spans="1:35" ht="15.75" customHeight="1">
      <c r="A902" s="5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5"/>
      <c r="T902" s="5"/>
      <c r="U902" s="104"/>
      <c r="V902" s="5"/>
      <c r="W902" s="5"/>
      <c r="X902" s="5"/>
      <c r="Y902" s="5"/>
      <c r="Z902" s="7"/>
      <c r="AA902" s="5"/>
      <c r="AB902" s="5"/>
      <c r="AC902" s="5"/>
      <c r="AD902" s="5"/>
      <c r="AE902" s="5"/>
      <c r="AF902" s="5"/>
      <c r="AG902" s="5"/>
      <c r="AH902" s="5"/>
      <c r="AI902" s="5"/>
    </row>
    <row r="903" spans="1:35" ht="15.75" customHeight="1">
      <c r="A903" s="5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5"/>
      <c r="T903" s="5"/>
      <c r="U903" s="104"/>
      <c r="V903" s="5"/>
      <c r="W903" s="5"/>
      <c r="X903" s="5"/>
      <c r="Y903" s="5"/>
      <c r="Z903" s="7"/>
      <c r="AA903" s="5"/>
      <c r="AB903" s="5"/>
      <c r="AC903" s="5"/>
      <c r="AD903" s="5"/>
      <c r="AE903" s="5"/>
      <c r="AF903" s="5"/>
      <c r="AG903" s="5"/>
      <c r="AH903" s="5"/>
      <c r="AI903" s="5"/>
    </row>
    <row r="904" spans="1:35" ht="15.75" customHeight="1">
      <c r="A904" s="5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5"/>
      <c r="T904" s="5"/>
      <c r="U904" s="104"/>
      <c r="V904" s="5"/>
      <c r="W904" s="5"/>
      <c r="X904" s="5"/>
      <c r="Y904" s="5"/>
      <c r="Z904" s="7"/>
      <c r="AA904" s="5"/>
      <c r="AB904" s="5"/>
      <c r="AC904" s="5"/>
      <c r="AD904" s="5"/>
      <c r="AE904" s="5"/>
      <c r="AF904" s="5"/>
      <c r="AG904" s="5"/>
      <c r="AH904" s="5"/>
      <c r="AI904" s="5"/>
    </row>
    <row r="905" spans="1:35" ht="15.75" customHeight="1">
      <c r="A905" s="5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5"/>
      <c r="T905" s="5"/>
      <c r="U905" s="104"/>
      <c r="V905" s="5"/>
      <c r="W905" s="5"/>
      <c r="X905" s="5"/>
      <c r="Y905" s="5"/>
      <c r="Z905" s="7"/>
      <c r="AA905" s="5"/>
      <c r="AB905" s="5"/>
      <c r="AC905" s="5"/>
      <c r="AD905" s="5"/>
      <c r="AE905" s="5"/>
      <c r="AF905" s="5"/>
      <c r="AG905" s="5"/>
      <c r="AH905" s="5"/>
      <c r="AI905" s="5"/>
    </row>
    <row r="906" spans="1:35" ht="15.75" customHeight="1">
      <c r="A906" s="5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5"/>
      <c r="T906" s="5"/>
      <c r="U906" s="104"/>
      <c r="V906" s="5"/>
      <c r="W906" s="5"/>
      <c r="X906" s="5"/>
      <c r="Y906" s="5"/>
      <c r="Z906" s="7"/>
      <c r="AA906" s="5"/>
      <c r="AB906" s="5"/>
      <c r="AC906" s="5"/>
      <c r="AD906" s="5"/>
      <c r="AE906" s="5"/>
      <c r="AF906" s="5"/>
      <c r="AG906" s="5"/>
      <c r="AH906" s="5"/>
      <c r="AI906" s="5"/>
    </row>
    <row r="907" spans="1:35" ht="15.75" customHeight="1">
      <c r="A907" s="5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5"/>
      <c r="T907" s="5"/>
      <c r="U907" s="104"/>
      <c r="V907" s="5"/>
      <c r="W907" s="5"/>
      <c r="X907" s="5"/>
      <c r="Y907" s="5"/>
      <c r="Z907" s="7"/>
      <c r="AA907" s="5"/>
      <c r="AB907" s="5"/>
      <c r="AC907" s="5"/>
      <c r="AD907" s="5"/>
      <c r="AE907" s="5"/>
      <c r="AF907" s="5"/>
      <c r="AG907" s="5"/>
      <c r="AH907" s="5"/>
      <c r="AI907" s="5"/>
    </row>
    <row r="908" spans="1:35" ht="15.75" customHeight="1">
      <c r="A908" s="5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5"/>
      <c r="T908" s="5"/>
      <c r="U908" s="104"/>
      <c r="V908" s="5"/>
      <c r="W908" s="5"/>
      <c r="X908" s="5"/>
      <c r="Y908" s="5"/>
      <c r="Z908" s="7"/>
      <c r="AA908" s="5"/>
      <c r="AB908" s="5"/>
      <c r="AC908" s="5"/>
      <c r="AD908" s="5"/>
      <c r="AE908" s="5"/>
      <c r="AF908" s="5"/>
      <c r="AG908" s="5"/>
      <c r="AH908" s="5"/>
      <c r="AI908" s="5"/>
    </row>
    <row r="909" spans="1:35" ht="15.75" customHeight="1">
      <c r="A909" s="5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5"/>
      <c r="T909" s="5"/>
      <c r="U909" s="104"/>
      <c r="V909" s="5"/>
      <c r="W909" s="5"/>
      <c r="X909" s="5"/>
      <c r="Y909" s="5"/>
      <c r="Z909" s="7"/>
      <c r="AA909" s="5"/>
      <c r="AB909" s="5"/>
      <c r="AC909" s="5"/>
      <c r="AD909" s="5"/>
      <c r="AE909" s="5"/>
      <c r="AF909" s="5"/>
      <c r="AG909" s="5"/>
      <c r="AH909" s="5"/>
      <c r="AI909" s="5"/>
    </row>
    <row r="910" spans="1:35" ht="15.75" customHeight="1">
      <c r="A910" s="5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5"/>
      <c r="T910" s="5"/>
      <c r="U910" s="104"/>
      <c r="V910" s="5"/>
      <c r="W910" s="5"/>
      <c r="X910" s="5"/>
      <c r="Y910" s="5"/>
      <c r="Z910" s="7"/>
      <c r="AA910" s="5"/>
      <c r="AB910" s="5"/>
      <c r="AC910" s="5"/>
      <c r="AD910" s="5"/>
      <c r="AE910" s="5"/>
      <c r="AF910" s="5"/>
      <c r="AG910" s="5"/>
      <c r="AH910" s="5"/>
      <c r="AI910" s="5"/>
    </row>
    <row r="911" spans="1:35" ht="15.75" customHeight="1">
      <c r="A911" s="5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5"/>
      <c r="T911" s="5"/>
      <c r="U911" s="104"/>
      <c r="V911" s="5"/>
      <c r="W911" s="5"/>
      <c r="X911" s="5"/>
      <c r="Y911" s="5"/>
      <c r="Z911" s="7"/>
      <c r="AA911" s="5"/>
      <c r="AB911" s="5"/>
      <c r="AC911" s="5"/>
      <c r="AD911" s="5"/>
      <c r="AE911" s="5"/>
      <c r="AF911" s="5"/>
      <c r="AG911" s="5"/>
      <c r="AH911" s="5"/>
      <c r="AI911" s="5"/>
    </row>
    <row r="912" spans="1:35" ht="15.75" customHeight="1">
      <c r="A912" s="5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5"/>
      <c r="T912" s="5"/>
      <c r="U912" s="104"/>
      <c r="V912" s="5"/>
      <c r="W912" s="5"/>
      <c r="X912" s="5"/>
      <c r="Y912" s="5"/>
      <c r="Z912" s="7"/>
      <c r="AA912" s="5"/>
      <c r="AB912" s="5"/>
      <c r="AC912" s="5"/>
      <c r="AD912" s="5"/>
      <c r="AE912" s="5"/>
      <c r="AF912" s="5"/>
      <c r="AG912" s="5"/>
      <c r="AH912" s="5"/>
      <c r="AI912" s="5"/>
    </row>
    <row r="913" spans="1:35" ht="15.75" customHeight="1">
      <c r="A913" s="5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5"/>
      <c r="T913" s="5"/>
      <c r="U913" s="104"/>
      <c r="V913" s="5"/>
      <c r="W913" s="5"/>
      <c r="X913" s="5"/>
      <c r="Y913" s="5"/>
      <c r="Z913" s="7"/>
      <c r="AA913" s="5"/>
      <c r="AB913" s="5"/>
      <c r="AC913" s="5"/>
      <c r="AD913" s="5"/>
      <c r="AE913" s="5"/>
      <c r="AF913" s="5"/>
      <c r="AG913" s="5"/>
      <c r="AH913" s="5"/>
      <c r="AI913" s="5"/>
    </row>
    <row r="914" spans="1:35" ht="15.75" customHeight="1">
      <c r="A914" s="5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5"/>
      <c r="T914" s="5"/>
      <c r="U914" s="104"/>
      <c r="V914" s="5"/>
      <c r="W914" s="5"/>
      <c r="X914" s="5"/>
      <c r="Y914" s="5"/>
      <c r="Z914" s="7"/>
      <c r="AA914" s="5"/>
      <c r="AB914" s="5"/>
      <c r="AC914" s="5"/>
      <c r="AD914" s="5"/>
      <c r="AE914" s="5"/>
      <c r="AF914" s="5"/>
      <c r="AG914" s="5"/>
      <c r="AH914" s="5"/>
      <c r="AI914" s="5"/>
    </row>
    <row r="915" spans="1:35" ht="15.75" customHeight="1">
      <c r="A915" s="5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5"/>
      <c r="T915" s="5"/>
      <c r="U915" s="104"/>
      <c r="V915" s="5"/>
      <c r="W915" s="5"/>
      <c r="X915" s="5"/>
      <c r="Y915" s="5"/>
      <c r="Z915" s="7"/>
      <c r="AA915" s="5"/>
      <c r="AB915" s="5"/>
      <c r="AC915" s="5"/>
      <c r="AD915" s="5"/>
      <c r="AE915" s="5"/>
      <c r="AF915" s="5"/>
      <c r="AG915" s="5"/>
      <c r="AH915" s="5"/>
      <c r="AI915" s="5"/>
    </row>
    <row r="916" spans="1:35" ht="15.75" customHeight="1">
      <c r="A916" s="5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5"/>
      <c r="T916" s="5"/>
      <c r="U916" s="104"/>
      <c r="V916" s="5"/>
      <c r="W916" s="5"/>
      <c r="X916" s="5"/>
      <c r="Y916" s="5"/>
      <c r="Z916" s="7"/>
      <c r="AA916" s="5"/>
      <c r="AB916" s="5"/>
      <c r="AC916" s="5"/>
      <c r="AD916" s="5"/>
      <c r="AE916" s="5"/>
      <c r="AF916" s="5"/>
      <c r="AG916" s="5"/>
      <c r="AH916" s="5"/>
      <c r="AI916" s="5"/>
    </row>
    <row r="917" spans="1:35" ht="15.75" customHeight="1">
      <c r="A917" s="5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5"/>
      <c r="T917" s="5"/>
      <c r="U917" s="104"/>
      <c r="V917" s="5"/>
      <c r="W917" s="5"/>
      <c r="X917" s="5"/>
      <c r="Y917" s="5"/>
      <c r="Z917" s="7"/>
      <c r="AA917" s="5"/>
      <c r="AB917" s="5"/>
      <c r="AC917" s="5"/>
      <c r="AD917" s="5"/>
      <c r="AE917" s="5"/>
      <c r="AF917" s="5"/>
      <c r="AG917" s="5"/>
      <c r="AH917" s="5"/>
      <c r="AI917" s="5"/>
    </row>
    <row r="918" spans="1:35" ht="15.75" customHeight="1">
      <c r="A918" s="5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5"/>
      <c r="T918" s="5"/>
      <c r="U918" s="104"/>
      <c r="V918" s="5"/>
      <c r="W918" s="5"/>
      <c r="X918" s="5"/>
      <c r="Y918" s="5"/>
      <c r="Z918" s="7"/>
      <c r="AA918" s="5"/>
      <c r="AB918" s="5"/>
      <c r="AC918" s="5"/>
      <c r="AD918" s="5"/>
      <c r="AE918" s="5"/>
      <c r="AF918" s="5"/>
      <c r="AG918" s="5"/>
      <c r="AH918" s="5"/>
      <c r="AI918" s="5"/>
    </row>
    <row r="919" spans="1:35" ht="15.75" customHeight="1">
      <c r="A919" s="5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5"/>
      <c r="T919" s="5"/>
      <c r="U919" s="104"/>
      <c r="V919" s="5"/>
      <c r="W919" s="5"/>
      <c r="X919" s="5"/>
      <c r="Y919" s="5"/>
      <c r="Z919" s="7"/>
      <c r="AA919" s="5"/>
      <c r="AB919" s="5"/>
      <c r="AC919" s="5"/>
      <c r="AD919" s="5"/>
      <c r="AE919" s="5"/>
      <c r="AF919" s="5"/>
      <c r="AG919" s="5"/>
      <c r="AH919" s="5"/>
      <c r="AI919" s="5"/>
    </row>
    <row r="920" spans="1:35" ht="15.75" customHeight="1">
      <c r="A920" s="5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5"/>
      <c r="T920" s="5"/>
      <c r="U920" s="104"/>
      <c r="V920" s="5"/>
      <c r="W920" s="5"/>
      <c r="X920" s="5"/>
      <c r="Y920" s="5"/>
      <c r="Z920" s="7"/>
      <c r="AA920" s="5"/>
      <c r="AB920" s="5"/>
      <c r="AC920" s="5"/>
      <c r="AD920" s="5"/>
      <c r="AE920" s="5"/>
      <c r="AF920" s="5"/>
      <c r="AG920" s="5"/>
      <c r="AH920" s="5"/>
      <c r="AI920" s="5"/>
    </row>
    <row r="921" spans="1:35" ht="15.75" customHeight="1">
      <c r="A921" s="5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5"/>
      <c r="T921" s="5"/>
      <c r="U921" s="104"/>
      <c r="V921" s="5"/>
      <c r="W921" s="5"/>
      <c r="X921" s="5"/>
      <c r="Y921" s="5"/>
      <c r="Z921" s="7"/>
      <c r="AA921" s="5"/>
      <c r="AB921" s="5"/>
      <c r="AC921" s="5"/>
      <c r="AD921" s="5"/>
      <c r="AE921" s="5"/>
      <c r="AF921" s="5"/>
      <c r="AG921" s="5"/>
      <c r="AH921" s="5"/>
      <c r="AI921" s="5"/>
    </row>
    <row r="922" spans="1:35" ht="15.75" customHeight="1">
      <c r="A922" s="5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5"/>
      <c r="T922" s="5"/>
      <c r="U922" s="104"/>
      <c r="V922" s="5"/>
      <c r="W922" s="5"/>
      <c r="X922" s="5"/>
      <c r="Y922" s="5"/>
      <c r="Z922" s="7"/>
      <c r="AA922" s="5"/>
      <c r="AB922" s="5"/>
      <c r="AC922" s="5"/>
      <c r="AD922" s="5"/>
      <c r="AE922" s="5"/>
      <c r="AF922" s="5"/>
      <c r="AG922" s="5"/>
      <c r="AH922" s="5"/>
      <c r="AI922" s="5"/>
    </row>
    <row r="923" spans="1:35" ht="15.75" customHeight="1">
      <c r="A923" s="5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5"/>
      <c r="T923" s="5"/>
      <c r="U923" s="104"/>
      <c r="V923" s="5"/>
      <c r="W923" s="5"/>
      <c r="X923" s="5"/>
      <c r="Y923" s="5"/>
      <c r="Z923" s="7"/>
      <c r="AA923" s="5"/>
      <c r="AB923" s="5"/>
      <c r="AC923" s="5"/>
      <c r="AD923" s="5"/>
      <c r="AE923" s="5"/>
      <c r="AF923" s="5"/>
      <c r="AG923" s="5"/>
      <c r="AH923" s="5"/>
      <c r="AI923" s="5"/>
    </row>
    <row r="924" spans="1:35" ht="15.75" customHeight="1">
      <c r="A924" s="5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5"/>
      <c r="T924" s="5"/>
      <c r="U924" s="104"/>
      <c r="V924" s="5"/>
      <c r="W924" s="5"/>
      <c r="X924" s="5"/>
      <c r="Y924" s="5"/>
      <c r="Z924" s="7"/>
      <c r="AA924" s="5"/>
      <c r="AB924" s="5"/>
      <c r="AC924" s="5"/>
      <c r="AD924" s="5"/>
      <c r="AE924" s="5"/>
      <c r="AF924" s="5"/>
      <c r="AG924" s="5"/>
      <c r="AH924" s="5"/>
      <c r="AI924" s="5"/>
    </row>
    <row r="925" spans="1:35" ht="15.75" customHeight="1">
      <c r="A925" s="5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5"/>
      <c r="T925" s="5"/>
      <c r="U925" s="104"/>
      <c r="V925" s="5"/>
      <c r="W925" s="5"/>
      <c r="X925" s="5"/>
      <c r="Y925" s="5"/>
      <c r="Z925" s="7"/>
      <c r="AA925" s="5"/>
      <c r="AB925" s="5"/>
      <c r="AC925" s="5"/>
      <c r="AD925" s="5"/>
      <c r="AE925" s="5"/>
      <c r="AF925" s="5"/>
      <c r="AG925" s="5"/>
      <c r="AH925" s="5"/>
      <c r="AI925" s="5"/>
    </row>
    <row r="926" spans="1:35" ht="15.75" customHeight="1">
      <c r="A926" s="5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5"/>
      <c r="T926" s="5"/>
      <c r="U926" s="104"/>
      <c r="V926" s="5"/>
      <c r="W926" s="5"/>
      <c r="X926" s="5"/>
      <c r="Y926" s="5"/>
      <c r="Z926" s="7"/>
      <c r="AA926" s="5"/>
      <c r="AB926" s="5"/>
      <c r="AC926" s="5"/>
      <c r="AD926" s="5"/>
      <c r="AE926" s="5"/>
      <c r="AF926" s="5"/>
      <c r="AG926" s="5"/>
      <c r="AH926" s="5"/>
      <c r="AI926" s="5"/>
    </row>
    <row r="927" spans="1:35" ht="15.75" customHeight="1">
      <c r="A927" s="5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5"/>
      <c r="T927" s="5"/>
      <c r="U927" s="104"/>
      <c r="V927" s="5"/>
      <c r="W927" s="5"/>
      <c r="X927" s="5"/>
      <c r="Y927" s="5"/>
      <c r="Z927" s="7"/>
      <c r="AA927" s="5"/>
      <c r="AB927" s="5"/>
      <c r="AC927" s="5"/>
      <c r="AD927" s="5"/>
      <c r="AE927" s="5"/>
      <c r="AF927" s="5"/>
      <c r="AG927" s="5"/>
      <c r="AH927" s="5"/>
      <c r="AI927" s="5"/>
    </row>
    <row r="928" spans="1:35" ht="15.75" customHeight="1">
      <c r="A928" s="5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5"/>
      <c r="T928" s="5"/>
      <c r="U928" s="104"/>
      <c r="V928" s="5"/>
      <c r="W928" s="5"/>
      <c r="X928" s="5"/>
      <c r="Y928" s="5"/>
      <c r="Z928" s="7"/>
      <c r="AA928" s="5"/>
      <c r="AB928" s="5"/>
      <c r="AC928" s="5"/>
      <c r="AD928" s="5"/>
      <c r="AE928" s="5"/>
      <c r="AF928" s="5"/>
      <c r="AG928" s="5"/>
      <c r="AH928" s="5"/>
      <c r="AI928" s="5"/>
    </row>
    <row r="929" spans="1:35" ht="15.75" customHeight="1">
      <c r="A929" s="5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5"/>
      <c r="T929" s="5"/>
      <c r="U929" s="104"/>
      <c r="V929" s="5"/>
      <c r="W929" s="5"/>
      <c r="X929" s="5"/>
      <c r="Y929" s="5"/>
      <c r="Z929" s="7"/>
      <c r="AA929" s="5"/>
      <c r="AB929" s="5"/>
      <c r="AC929" s="5"/>
      <c r="AD929" s="5"/>
      <c r="AE929" s="5"/>
      <c r="AF929" s="5"/>
      <c r="AG929" s="5"/>
      <c r="AH929" s="5"/>
      <c r="AI929" s="5"/>
    </row>
    <row r="930" spans="1:35" ht="15.75" customHeight="1">
      <c r="A930" s="5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5"/>
      <c r="T930" s="5"/>
      <c r="U930" s="104"/>
      <c r="V930" s="5"/>
      <c r="W930" s="5"/>
      <c r="X930" s="5"/>
      <c r="Y930" s="5"/>
      <c r="Z930" s="7"/>
      <c r="AA930" s="5"/>
      <c r="AB930" s="5"/>
      <c r="AC930" s="5"/>
      <c r="AD930" s="5"/>
      <c r="AE930" s="5"/>
      <c r="AF930" s="5"/>
      <c r="AG930" s="5"/>
      <c r="AH930" s="5"/>
      <c r="AI930" s="5"/>
    </row>
    <row r="931" spans="1:35" ht="15.75" customHeight="1">
      <c r="A931" s="5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5"/>
      <c r="T931" s="5"/>
      <c r="U931" s="104"/>
      <c r="V931" s="5"/>
      <c r="W931" s="5"/>
      <c r="X931" s="5"/>
      <c r="Y931" s="5"/>
      <c r="Z931" s="7"/>
      <c r="AA931" s="5"/>
      <c r="AB931" s="5"/>
      <c r="AC931" s="5"/>
      <c r="AD931" s="5"/>
      <c r="AE931" s="5"/>
      <c r="AF931" s="5"/>
      <c r="AG931" s="5"/>
      <c r="AH931" s="5"/>
      <c r="AI931" s="5"/>
    </row>
    <row r="932" spans="1:35" ht="15.75" customHeight="1">
      <c r="A932" s="5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5"/>
      <c r="T932" s="5"/>
      <c r="U932" s="104"/>
      <c r="V932" s="5"/>
      <c r="W932" s="5"/>
      <c r="X932" s="5"/>
      <c r="Y932" s="5"/>
      <c r="Z932" s="7"/>
      <c r="AA932" s="5"/>
      <c r="AB932" s="5"/>
      <c r="AC932" s="5"/>
      <c r="AD932" s="5"/>
      <c r="AE932" s="5"/>
      <c r="AF932" s="5"/>
      <c r="AG932" s="5"/>
      <c r="AH932" s="5"/>
      <c r="AI932" s="5"/>
    </row>
    <row r="933" spans="1:35" ht="15.75" customHeight="1">
      <c r="A933" s="5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5"/>
      <c r="T933" s="5"/>
      <c r="U933" s="104"/>
      <c r="V933" s="5"/>
      <c r="W933" s="5"/>
      <c r="X933" s="5"/>
      <c r="Y933" s="5"/>
      <c r="Z933" s="7"/>
      <c r="AA933" s="5"/>
      <c r="AB933" s="5"/>
      <c r="AC933" s="5"/>
      <c r="AD933" s="5"/>
      <c r="AE933" s="5"/>
      <c r="AF933" s="5"/>
      <c r="AG933" s="5"/>
      <c r="AH933" s="5"/>
      <c r="AI933" s="5"/>
    </row>
    <row r="934" spans="1:35" ht="15.75" customHeight="1">
      <c r="A934" s="5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5"/>
      <c r="T934" s="5"/>
      <c r="U934" s="104"/>
      <c r="V934" s="5"/>
      <c r="W934" s="5"/>
      <c r="X934" s="5"/>
      <c r="Y934" s="5"/>
      <c r="Z934" s="7"/>
      <c r="AA934" s="5"/>
      <c r="AB934" s="5"/>
      <c r="AC934" s="5"/>
      <c r="AD934" s="5"/>
      <c r="AE934" s="5"/>
      <c r="AF934" s="5"/>
      <c r="AG934" s="5"/>
      <c r="AH934" s="5"/>
      <c r="AI934" s="5"/>
    </row>
    <row r="935" spans="1:35" ht="15.75" customHeight="1">
      <c r="A935" s="5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5"/>
      <c r="T935" s="5"/>
      <c r="U935" s="104"/>
      <c r="V935" s="5"/>
      <c r="W935" s="5"/>
      <c r="X935" s="5"/>
      <c r="Y935" s="5"/>
      <c r="Z935" s="7"/>
      <c r="AA935" s="5"/>
      <c r="AB935" s="5"/>
      <c r="AC935" s="5"/>
      <c r="AD935" s="5"/>
      <c r="AE935" s="5"/>
      <c r="AF935" s="5"/>
      <c r="AG935" s="5"/>
      <c r="AH935" s="5"/>
      <c r="AI935" s="5"/>
    </row>
    <row r="936" spans="1:35" ht="15.75" customHeight="1">
      <c r="A936" s="5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5"/>
      <c r="T936" s="5"/>
      <c r="U936" s="104"/>
      <c r="V936" s="5"/>
      <c r="W936" s="5"/>
      <c r="X936" s="5"/>
      <c r="Y936" s="5"/>
      <c r="Z936" s="7"/>
      <c r="AA936" s="5"/>
      <c r="AB936" s="5"/>
      <c r="AC936" s="5"/>
      <c r="AD936" s="5"/>
      <c r="AE936" s="5"/>
      <c r="AF936" s="5"/>
      <c r="AG936" s="5"/>
      <c r="AH936" s="5"/>
      <c r="AI936" s="5"/>
    </row>
    <row r="937" spans="1:35" ht="15.75" customHeight="1">
      <c r="A937" s="5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5"/>
      <c r="T937" s="5"/>
      <c r="U937" s="104"/>
      <c r="V937" s="5"/>
      <c r="W937" s="5"/>
      <c r="X937" s="5"/>
      <c r="Y937" s="5"/>
      <c r="Z937" s="7"/>
      <c r="AA937" s="5"/>
      <c r="AB937" s="5"/>
      <c r="AC937" s="5"/>
      <c r="AD937" s="5"/>
      <c r="AE937" s="5"/>
      <c r="AF937" s="5"/>
      <c r="AG937" s="5"/>
      <c r="AH937" s="5"/>
      <c r="AI937" s="5"/>
    </row>
    <row r="938" spans="1:35" ht="15.75" customHeight="1">
      <c r="A938" s="5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5"/>
      <c r="T938" s="5"/>
      <c r="U938" s="104"/>
      <c r="V938" s="5"/>
      <c r="W938" s="5"/>
      <c r="X938" s="5"/>
      <c r="Y938" s="5"/>
      <c r="Z938" s="7"/>
      <c r="AA938" s="5"/>
      <c r="AB938" s="5"/>
      <c r="AC938" s="5"/>
      <c r="AD938" s="5"/>
      <c r="AE938" s="5"/>
      <c r="AF938" s="5"/>
      <c r="AG938" s="5"/>
      <c r="AH938" s="5"/>
      <c r="AI938" s="5"/>
    </row>
    <row r="939" spans="1:35" ht="15.75" customHeight="1">
      <c r="A939" s="5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5"/>
      <c r="T939" s="5"/>
      <c r="U939" s="104"/>
      <c r="V939" s="5"/>
      <c r="W939" s="5"/>
      <c r="X939" s="5"/>
      <c r="Y939" s="5"/>
      <c r="Z939" s="7"/>
      <c r="AA939" s="5"/>
      <c r="AB939" s="5"/>
      <c r="AC939" s="5"/>
      <c r="AD939" s="5"/>
      <c r="AE939" s="5"/>
      <c r="AF939" s="5"/>
      <c r="AG939" s="5"/>
      <c r="AH939" s="5"/>
      <c r="AI939" s="5"/>
    </row>
    <row r="940" spans="1:35" ht="15.75" customHeight="1">
      <c r="A940" s="5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5"/>
      <c r="T940" s="5"/>
      <c r="U940" s="104"/>
      <c r="V940" s="5"/>
      <c r="W940" s="5"/>
      <c r="X940" s="5"/>
      <c r="Y940" s="5"/>
      <c r="Z940" s="7"/>
      <c r="AA940" s="5"/>
      <c r="AB940" s="5"/>
      <c r="AC940" s="5"/>
      <c r="AD940" s="5"/>
      <c r="AE940" s="5"/>
      <c r="AF940" s="5"/>
      <c r="AG940" s="5"/>
      <c r="AH940" s="5"/>
      <c r="AI940" s="5"/>
    </row>
    <row r="941" spans="1:35" ht="15.75" customHeight="1">
      <c r="A941" s="5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5"/>
      <c r="T941" s="5"/>
      <c r="U941" s="104"/>
      <c r="V941" s="5"/>
      <c r="W941" s="5"/>
      <c r="X941" s="5"/>
      <c r="Y941" s="5"/>
      <c r="Z941" s="7"/>
      <c r="AA941" s="5"/>
      <c r="AB941" s="5"/>
      <c r="AC941" s="5"/>
      <c r="AD941" s="5"/>
      <c r="AE941" s="5"/>
      <c r="AF941" s="5"/>
      <c r="AG941" s="5"/>
      <c r="AH941" s="5"/>
      <c r="AI941" s="5"/>
    </row>
    <row r="942" spans="1:35" ht="15.75" customHeight="1">
      <c r="A942" s="5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5"/>
      <c r="T942" s="5"/>
      <c r="U942" s="104"/>
      <c r="V942" s="5"/>
      <c r="W942" s="5"/>
      <c r="X942" s="5"/>
      <c r="Y942" s="5"/>
      <c r="Z942" s="7"/>
      <c r="AA942" s="5"/>
      <c r="AB942" s="5"/>
      <c r="AC942" s="5"/>
      <c r="AD942" s="5"/>
      <c r="AE942" s="5"/>
      <c r="AF942" s="5"/>
      <c r="AG942" s="5"/>
      <c r="AH942" s="5"/>
      <c r="AI942" s="5"/>
    </row>
    <row r="943" spans="1:35" ht="15.75" customHeight="1">
      <c r="A943" s="5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5"/>
      <c r="T943" s="5"/>
      <c r="U943" s="104"/>
      <c r="V943" s="5"/>
      <c r="W943" s="5"/>
      <c r="X943" s="5"/>
      <c r="Y943" s="5"/>
      <c r="Z943" s="7"/>
      <c r="AA943" s="5"/>
      <c r="AB943" s="5"/>
      <c r="AC943" s="5"/>
      <c r="AD943" s="5"/>
      <c r="AE943" s="5"/>
      <c r="AF943" s="5"/>
      <c r="AG943" s="5"/>
      <c r="AH943" s="5"/>
      <c r="AI943" s="5"/>
    </row>
    <row r="944" spans="1:35" ht="15.75" customHeight="1">
      <c r="A944" s="5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5"/>
      <c r="T944" s="5"/>
      <c r="U944" s="104"/>
      <c r="V944" s="5"/>
      <c r="W944" s="5"/>
      <c r="X944" s="5"/>
      <c r="Y944" s="5"/>
      <c r="Z944" s="7"/>
      <c r="AA944" s="5"/>
      <c r="AB944" s="5"/>
      <c r="AC944" s="5"/>
      <c r="AD944" s="5"/>
      <c r="AE944" s="5"/>
      <c r="AF944" s="5"/>
      <c r="AG944" s="5"/>
      <c r="AH944" s="5"/>
      <c r="AI944" s="5"/>
    </row>
    <row r="945" spans="1:35" ht="15.75" customHeight="1">
      <c r="A945" s="5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5"/>
      <c r="T945" s="5"/>
      <c r="U945" s="104"/>
      <c r="V945" s="5"/>
      <c r="W945" s="5"/>
      <c r="X945" s="5"/>
      <c r="Y945" s="5"/>
      <c r="Z945" s="7"/>
      <c r="AA945" s="5"/>
      <c r="AB945" s="5"/>
      <c r="AC945" s="5"/>
      <c r="AD945" s="5"/>
      <c r="AE945" s="5"/>
      <c r="AF945" s="5"/>
      <c r="AG945" s="5"/>
      <c r="AH945" s="5"/>
      <c r="AI945" s="5"/>
    </row>
    <row r="946" spans="1:35" ht="15.75" customHeight="1">
      <c r="A946" s="5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5"/>
      <c r="T946" s="5"/>
      <c r="U946" s="104"/>
      <c r="V946" s="5"/>
      <c r="W946" s="5"/>
      <c r="X946" s="5"/>
      <c r="Y946" s="5"/>
      <c r="Z946" s="7"/>
      <c r="AA946" s="5"/>
      <c r="AB946" s="5"/>
      <c r="AC946" s="5"/>
      <c r="AD946" s="5"/>
      <c r="AE946" s="5"/>
      <c r="AF946" s="5"/>
      <c r="AG946" s="5"/>
      <c r="AH946" s="5"/>
      <c r="AI946" s="5"/>
    </row>
    <row r="947" spans="1:35" ht="15.75" customHeight="1">
      <c r="A947" s="5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5"/>
      <c r="T947" s="5"/>
      <c r="U947" s="104"/>
      <c r="V947" s="5"/>
      <c r="W947" s="5"/>
      <c r="X947" s="5"/>
      <c r="Y947" s="5"/>
      <c r="Z947" s="7"/>
      <c r="AA947" s="5"/>
      <c r="AB947" s="5"/>
      <c r="AC947" s="5"/>
      <c r="AD947" s="5"/>
      <c r="AE947" s="5"/>
      <c r="AF947" s="5"/>
      <c r="AG947" s="5"/>
      <c r="AH947" s="5"/>
      <c r="AI947" s="5"/>
    </row>
    <row r="948" spans="1:35" ht="15.75" customHeight="1">
      <c r="A948" s="5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5"/>
      <c r="T948" s="5"/>
      <c r="U948" s="104"/>
      <c r="V948" s="5"/>
      <c r="W948" s="5"/>
      <c r="X948" s="5"/>
      <c r="Y948" s="5"/>
      <c r="Z948" s="7"/>
      <c r="AA948" s="5"/>
      <c r="AB948" s="5"/>
      <c r="AC948" s="5"/>
      <c r="AD948" s="5"/>
      <c r="AE948" s="5"/>
      <c r="AF948" s="5"/>
      <c r="AG948" s="5"/>
      <c r="AH948" s="5"/>
      <c r="AI948" s="5"/>
    </row>
    <row r="949" spans="1:35" ht="15.75" customHeight="1">
      <c r="A949" s="5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5"/>
      <c r="T949" s="5"/>
      <c r="U949" s="104"/>
      <c r="V949" s="5"/>
      <c r="W949" s="5"/>
      <c r="X949" s="5"/>
      <c r="Y949" s="5"/>
      <c r="Z949" s="7"/>
      <c r="AA949" s="5"/>
      <c r="AB949" s="5"/>
      <c r="AC949" s="5"/>
      <c r="AD949" s="5"/>
      <c r="AE949" s="5"/>
      <c r="AF949" s="5"/>
      <c r="AG949" s="5"/>
      <c r="AH949" s="5"/>
      <c r="AI949" s="5"/>
    </row>
    <row r="950" spans="1:35" ht="15.75" customHeight="1">
      <c r="A950" s="5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5"/>
      <c r="T950" s="5"/>
      <c r="U950" s="104"/>
      <c r="V950" s="5"/>
      <c r="W950" s="5"/>
      <c r="X950" s="5"/>
      <c r="Y950" s="5"/>
      <c r="Z950" s="7"/>
      <c r="AA950" s="5"/>
      <c r="AB950" s="5"/>
      <c r="AC950" s="5"/>
      <c r="AD950" s="5"/>
      <c r="AE950" s="5"/>
      <c r="AF950" s="5"/>
      <c r="AG950" s="5"/>
      <c r="AH950" s="5"/>
      <c r="AI950" s="5"/>
    </row>
    <row r="951" spans="1:35" ht="15.75" customHeight="1">
      <c r="A951" s="5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5"/>
      <c r="T951" s="5"/>
      <c r="U951" s="104"/>
      <c r="V951" s="5"/>
      <c r="W951" s="5"/>
      <c r="X951" s="5"/>
      <c r="Y951" s="5"/>
      <c r="Z951" s="7"/>
      <c r="AA951" s="5"/>
      <c r="AB951" s="5"/>
      <c r="AC951" s="5"/>
      <c r="AD951" s="5"/>
      <c r="AE951" s="5"/>
      <c r="AF951" s="5"/>
      <c r="AG951" s="5"/>
      <c r="AH951" s="5"/>
      <c r="AI951" s="5"/>
    </row>
    <row r="952" spans="1:35" ht="15.75" customHeight="1">
      <c r="A952" s="5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5"/>
      <c r="T952" s="5"/>
      <c r="U952" s="104"/>
      <c r="V952" s="5"/>
      <c r="W952" s="5"/>
      <c r="X952" s="5"/>
      <c r="Y952" s="5"/>
      <c r="Z952" s="7"/>
      <c r="AA952" s="5"/>
      <c r="AB952" s="5"/>
      <c r="AC952" s="5"/>
      <c r="AD952" s="5"/>
      <c r="AE952" s="5"/>
      <c r="AF952" s="5"/>
      <c r="AG952" s="5"/>
      <c r="AH952" s="5"/>
      <c r="AI952" s="5"/>
    </row>
    <row r="953" spans="1:35" ht="15.75" customHeight="1">
      <c r="A953" s="5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5"/>
      <c r="T953" s="5"/>
      <c r="U953" s="104"/>
      <c r="V953" s="5"/>
      <c r="W953" s="5"/>
      <c r="X953" s="5"/>
      <c r="Y953" s="5"/>
      <c r="Z953" s="7"/>
      <c r="AA953" s="5"/>
      <c r="AB953" s="5"/>
      <c r="AC953" s="5"/>
      <c r="AD953" s="5"/>
      <c r="AE953" s="5"/>
      <c r="AF953" s="5"/>
      <c r="AG953" s="5"/>
      <c r="AH953" s="5"/>
      <c r="AI953" s="5"/>
    </row>
    <row r="954" spans="1:35" ht="15.75" customHeight="1">
      <c r="A954" s="5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5"/>
      <c r="T954" s="5"/>
      <c r="U954" s="104"/>
      <c r="V954" s="5"/>
      <c r="W954" s="5"/>
      <c r="X954" s="5"/>
      <c r="Y954" s="5"/>
      <c r="Z954" s="7"/>
      <c r="AA954" s="5"/>
      <c r="AB954" s="5"/>
      <c r="AC954" s="5"/>
      <c r="AD954" s="5"/>
      <c r="AE954" s="5"/>
      <c r="AF954" s="5"/>
      <c r="AG954" s="5"/>
      <c r="AH954" s="5"/>
      <c r="AI954" s="5"/>
    </row>
    <row r="955" spans="1:35" ht="15.75" customHeight="1">
      <c r="A955" s="5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5"/>
      <c r="T955" s="5"/>
      <c r="U955" s="104"/>
      <c r="V955" s="5"/>
      <c r="W955" s="5"/>
      <c r="X955" s="5"/>
      <c r="Y955" s="5"/>
      <c r="Z955" s="7"/>
      <c r="AA955" s="5"/>
      <c r="AB955" s="5"/>
      <c r="AC955" s="5"/>
      <c r="AD955" s="5"/>
      <c r="AE955" s="5"/>
      <c r="AF955" s="5"/>
      <c r="AG955" s="5"/>
      <c r="AH955" s="5"/>
      <c r="AI955" s="5"/>
    </row>
    <row r="956" spans="1:35" ht="15.75" customHeight="1">
      <c r="A956" s="5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5"/>
      <c r="T956" s="5"/>
      <c r="U956" s="104"/>
      <c r="V956" s="5"/>
      <c r="W956" s="5"/>
      <c r="X956" s="5"/>
      <c r="Y956" s="5"/>
      <c r="Z956" s="7"/>
      <c r="AA956" s="5"/>
      <c r="AB956" s="5"/>
      <c r="AC956" s="5"/>
      <c r="AD956" s="5"/>
      <c r="AE956" s="5"/>
      <c r="AF956" s="5"/>
      <c r="AG956" s="5"/>
      <c r="AH956" s="5"/>
      <c r="AI956" s="5"/>
    </row>
    <row r="957" spans="1:35" ht="15.75" customHeight="1">
      <c r="A957" s="5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5"/>
      <c r="T957" s="5"/>
      <c r="U957" s="104"/>
      <c r="V957" s="5"/>
      <c r="W957" s="5"/>
      <c r="X957" s="5"/>
      <c r="Y957" s="5"/>
      <c r="Z957" s="7"/>
      <c r="AA957" s="5"/>
      <c r="AB957" s="5"/>
      <c r="AC957" s="5"/>
      <c r="AD957" s="5"/>
      <c r="AE957" s="5"/>
      <c r="AF957" s="5"/>
      <c r="AG957" s="5"/>
      <c r="AH957" s="5"/>
      <c r="AI957" s="5"/>
    </row>
    <row r="958" spans="1:35" ht="15.75" customHeight="1">
      <c r="A958" s="5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5"/>
      <c r="T958" s="5"/>
      <c r="U958" s="104"/>
      <c r="V958" s="5"/>
      <c r="W958" s="5"/>
      <c r="X958" s="5"/>
      <c r="Y958" s="5"/>
      <c r="Z958" s="7"/>
      <c r="AA958" s="5"/>
      <c r="AB958" s="5"/>
      <c r="AC958" s="5"/>
      <c r="AD958" s="5"/>
      <c r="AE958" s="5"/>
      <c r="AF958" s="5"/>
      <c r="AG958" s="5"/>
      <c r="AH958" s="5"/>
      <c r="AI958" s="5"/>
    </row>
    <row r="959" spans="1:35" ht="15.75" customHeight="1">
      <c r="A959" s="5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5"/>
      <c r="T959" s="5"/>
      <c r="U959" s="104"/>
      <c r="V959" s="5"/>
      <c r="W959" s="5"/>
      <c r="X959" s="5"/>
      <c r="Y959" s="5"/>
      <c r="Z959" s="7"/>
      <c r="AA959" s="5"/>
      <c r="AB959" s="5"/>
      <c r="AC959" s="5"/>
      <c r="AD959" s="5"/>
      <c r="AE959" s="5"/>
      <c r="AF959" s="5"/>
      <c r="AG959" s="5"/>
      <c r="AH959" s="5"/>
      <c r="AI959" s="5"/>
    </row>
    <row r="960" spans="1:35" ht="15.75" customHeight="1">
      <c r="A960" s="5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5"/>
      <c r="T960" s="5"/>
      <c r="U960" s="104"/>
      <c r="V960" s="5"/>
      <c r="W960" s="5"/>
      <c r="X960" s="5"/>
      <c r="Y960" s="5"/>
      <c r="Z960" s="7"/>
      <c r="AA960" s="5"/>
      <c r="AB960" s="5"/>
      <c r="AC960" s="5"/>
      <c r="AD960" s="5"/>
      <c r="AE960" s="5"/>
      <c r="AF960" s="5"/>
      <c r="AG960" s="5"/>
      <c r="AH960" s="5"/>
      <c r="AI960" s="5"/>
    </row>
    <row r="961" spans="1:35" ht="15.75" customHeight="1">
      <c r="A961" s="5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5"/>
      <c r="T961" s="5"/>
      <c r="U961" s="104"/>
      <c r="V961" s="5"/>
      <c r="W961" s="5"/>
      <c r="X961" s="5"/>
      <c r="Y961" s="5"/>
      <c r="Z961" s="7"/>
      <c r="AA961" s="5"/>
      <c r="AB961" s="5"/>
      <c r="AC961" s="5"/>
      <c r="AD961" s="5"/>
      <c r="AE961" s="5"/>
      <c r="AF961" s="5"/>
      <c r="AG961" s="5"/>
      <c r="AH961" s="5"/>
      <c r="AI961" s="5"/>
    </row>
    <row r="962" spans="1:35" ht="15.75" customHeight="1">
      <c r="A962" s="5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5"/>
      <c r="T962" s="5"/>
      <c r="U962" s="104"/>
      <c r="V962" s="5"/>
      <c r="W962" s="5"/>
      <c r="X962" s="5"/>
      <c r="Y962" s="5"/>
      <c r="Z962" s="7"/>
      <c r="AA962" s="5"/>
      <c r="AB962" s="5"/>
      <c r="AC962" s="5"/>
      <c r="AD962" s="5"/>
      <c r="AE962" s="5"/>
      <c r="AF962" s="5"/>
      <c r="AG962" s="5"/>
      <c r="AH962" s="5"/>
      <c r="AI962" s="5"/>
    </row>
    <row r="963" spans="1:35" ht="15.75" customHeight="1">
      <c r="A963" s="5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5"/>
      <c r="T963" s="5"/>
      <c r="U963" s="104"/>
      <c r="V963" s="5"/>
      <c r="W963" s="5"/>
      <c r="X963" s="5"/>
      <c r="Y963" s="5"/>
      <c r="Z963" s="7"/>
      <c r="AA963" s="5"/>
      <c r="AB963" s="5"/>
      <c r="AC963" s="5"/>
      <c r="AD963" s="5"/>
      <c r="AE963" s="5"/>
      <c r="AF963" s="5"/>
      <c r="AG963" s="5"/>
      <c r="AH963" s="5"/>
      <c r="AI963" s="5"/>
    </row>
    <row r="964" spans="1:35" ht="15.75" customHeight="1">
      <c r="A964" s="5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5"/>
      <c r="T964" s="5"/>
      <c r="U964" s="104"/>
      <c r="V964" s="5"/>
      <c r="W964" s="5"/>
      <c r="X964" s="5"/>
      <c r="Y964" s="5"/>
      <c r="Z964" s="7"/>
      <c r="AA964" s="5"/>
      <c r="AB964" s="5"/>
      <c r="AC964" s="5"/>
      <c r="AD964" s="5"/>
      <c r="AE964" s="5"/>
      <c r="AF964" s="5"/>
      <c r="AG964" s="5"/>
      <c r="AH964" s="5"/>
      <c r="AI964" s="5"/>
    </row>
    <row r="965" spans="1:35" ht="15.75" customHeight="1">
      <c r="A965" s="5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5"/>
      <c r="T965" s="5"/>
      <c r="U965" s="104"/>
      <c r="V965" s="5"/>
      <c r="W965" s="5"/>
      <c r="X965" s="5"/>
      <c r="Y965" s="5"/>
      <c r="Z965" s="7"/>
      <c r="AA965" s="5"/>
      <c r="AB965" s="5"/>
      <c r="AC965" s="5"/>
      <c r="AD965" s="5"/>
      <c r="AE965" s="5"/>
      <c r="AF965" s="5"/>
      <c r="AG965" s="5"/>
      <c r="AH965" s="5"/>
      <c r="AI965" s="5"/>
    </row>
    <row r="966" spans="1:35" ht="15.75" customHeight="1">
      <c r="A966" s="5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5"/>
      <c r="T966" s="5"/>
      <c r="U966" s="104"/>
      <c r="V966" s="5"/>
      <c r="W966" s="5"/>
      <c r="X966" s="5"/>
      <c r="Y966" s="5"/>
      <c r="Z966" s="7"/>
      <c r="AA966" s="5"/>
      <c r="AB966" s="5"/>
      <c r="AC966" s="5"/>
      <c r="AD966" s="5"/>
      <c r="AE966" s="5"/>
      <c r="AF966" s="5"/>
      <c r="AG966" s="5"/>
      <c r="AH966" s="5"/>
      <c r="AI966" s="5"/>
    </row>
    <row r="967" spans="1:35" ht="15.75" customHeight="1">
      <c r="A967" s="5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5"/>
      <c r="T967" s="5"/>
      <c r="U967" s="104"/>
      <c r="V967" s="5"/>
      <c r="W967" s="5"/>
      <c r="X967" s="5"/>
      <c r="Y967" s="5"/>
      <c r="Z967" s="7"/>
      <c r="AA967" s="5"/>
      <c r="AB967" s="5"/>
      <c r="AC967" s="5"/>
      <c r="AD967" s="5"/>
      <c r="AE967" s="5"/>
      <c r="AF967" s="5"/>
      <c r="AG967" s="5"/>
      <c r="AH967" s="5"/>
      <c r="AI967" s="5"/>
    </row>
    <row r="968" spans="1:35" ht="15.75" customHeight="1">
      <c r="A968" s="5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5"/>
      <c r="T968" s="5"/>
      <c r="U968" s="104"/>
      <c r="V968" s="5"/>
      <c r="W968" s="5"/>
      <c r="X968" s="5"/>
      <c r="Y968" s="5"/>
      <c r="Z968" s="7"/>
      <c r="AA968" s="5"/>
      <c r="AB968" s="5"/>
      <c r="AC968" s="5"/>
      <c r="AD968" s="5"/>
      <c r="AE968" s="5"/>
      <c r="AF968" s="5"/>
      <c r="AG968" s="5"/>
      <c r="AH968" s="5"/>
      <c r="AI968" s="5"/>
    </row>
    <row r="969" spans="1:35" ht="15.75" customHeight="1">
      <c r="A969" s="5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5"/>
      <c r="T969" s="5"/>
      <c r="U969" s="104"/>
      <c r="V969" s="5"/>
      <c r="W969" s="5"/>
      <c r="X969" s="5"/>
      <c r="Y969" s="5"/>
      <c r="Z969" s="7"/>
      <c r="AA969" s="5"/>
      <c r="AB969" s="5"/>
      <c r="AC969" s="5"/>
      <c r="AD969" s="5"/>
      <c r="AE969" s="5"/>
      <c r="AF969" s="5"/>
      <c r="AG969" s="5"/>
      <c r="AH969" s="5"/>
      <c r="AI969" s="5"/>
    </row>
    <row r="970" spans="1:35" ht="15.75" customHeight="1">
      <c r="A970" s="5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5"/>
      <c r="T970" s="5"/>
      <c r="U970" s="104"/>
      <c r="V970" s="5"/>
      <c r="W970" s="5"/>
      <c r="X970" s="5"/>
      <c r="Y970" s="5"/>
      <c r="Z970" s="7"/>
      <c r="AA970" s="5"/>
      <c r="AB970" s="5"/>
      <c r="AC970" s="5"/>
      <c r="AD970" s="5"/>
      <c r="AE970" s="5"/>
      <c r="AF970" s="5"/>
      <c r="AG970" s="5"/>
      <c r="AH970" s="5"/>
      <c r="AI970" s="5"/>
    </row>
    <row r="971" spans="1:35" ht="15.75" customHeight="1">
      <c r="A971" s="5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5"/>
      <c r="T971" s="5"/>
      <c r="U971" s="104"/>
      <c r="V971" s="5"/>
      <c r="W971" s="5"/>
      <c r="X971" s="5"/>
      <c r="Y971" s="5"/>
      <c r="Z971" s="7"/>
      <c r="AA971" s="5"/>
      <c r="AB971" s="5"/>
      <c r="AC971" s="5"/>
      <c r="AD971" s="5"/>
      <c r="AE971" s="5"/>
      <c r="AF971" s="5"/>
      <c r="AG971" s="5"/>
      <c r="AH971" s="5"/>
      <c r="AI971" s="5"/>
    </row>
    <row r="972" spans="1:35" ht="15.75" customHeight="1">
      <c r="A972" s="5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5"/>
      <c r="T972" s="5"/>
      <c r="U972" s="104"/>
      <c r="V972" s="5"/>
      <c r="W972" s="5"/>
      <c r="X972" s="5"/>
      <c r="Y972" s="5"/>
      <c r="Z972" s="7"/>
      <c r="AA972" s="5"/>
      <c r="AB972" s="5"/>
      <c r="AC972" s="5"/>
      <c r="AD972" s="5"/>
      <c r="AE972" s="5"/>
      <c r="AF972" s="5"/>
      <c r="AG972" s="5"/>
      <c r="AH972" s="5"/>
      <c r="AI972" s="5"/>
    </row>
    <row r="973" spans="1:35" ht="15.75" customHeight="1">
      <c r="A973" s="5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5"/>
      <c r="T973" s="5"/>
      <c r="U973" s="104"/>
      <c r="V973" s="5"/>
      <c r="W973" s="5"/>
      <c r="X973" s="5"/>
      <c r="Y973" s="5"/>
      <c r="Z973" s="7"/>
      <c r="AA973" s="5"/>
      <c r="AB973" s="5"/>
      <c r="AC973" s="5"/>
      <c r="AD973" s="5"/>
      <c r="AE973" s="5"/>
      <c r="AF973" s="5"/>
      <c r="AG973" s="5"/>
      <c r="AH973" s="5"/>
      <c r="AI973" s="5"/>
    </row>
    <row r="974" spans="1:35" ht="15.75" customHeight="1">
      <c r="A974" s="5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5"/>
      <c r="T974" s="5"/>
      <c r="U974" s="104"/>
      <c r="V974" s="5"/>
      <c r="W974" s="5"/>
      <c r="X974" s="5"/>
      <c r="Y974" s="5"/>
      <c r="Z974" s="7"/>
      <c r="AA974" s="5"/>
      <c r="AB974" s="5"/>
      <c r="AC974" s="5"/>
      <c r="AD974" s="5"/>
      <c r="AE974" s="5"/>
      <c r="AF974" s="5"/>
      <c r="AG974" s="5"/>
      <c r="AH974" s="5"/>
      <c r="AI974" s="5"/>
    </row>
    <row r="975" spans="1:35" ht="15.75" customHeight="1">
      <c r="A975" s="5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5"/>
      <c r="T975" s="5"/>
      <c r="U975" s="104"/>
      <c r="V975" s="5"/>
      <c r="W975" s="5"/>
      <c r="X975" s="5"/>
      <c r="Y975" s="5"/>
      <c r="Z975" s="7"/>
      <c r="AA975" s="5"/>
      <c r="AB975" s="5"/>
      <c r="AC975" s="5"/>
      <c r="AD975" s="5"/>
      <c r="AE975" s="5"/>
      <c r="AF975" s="5"/>
      <c r="AG975" s="5"/>
      <c r="AH975" s="5"/>
      <c r="AI975" s="5"/>
    </row>
    <row r="976" spans="1:35" ht="15.75" customHeight="1">
      <c r="A976" s="5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5"/>
      <c r="T976" s="5"/>
      <c r="U976" s="104"/>
      <c r="V976" s="5"/>
      <c r="W976" s="5"/>
      <c r="X976" s="5"/>
      <c r="Y976" s="5"/>
      <c r="Z976" s="7"/>
      <c r="AA976" s="5"/>
      <c r="AB976" s="5"/>
      <c r="AC976" s="5"/>
      <c r="AD976" s="5"/>
      <c r="AE976" s="5"/>
      <c r="AF976" s="5"/>
      <c r="AG976" s="5"/>
      <c r="AH976" s="5"/>
      <c r="AI976" s="5"/>
    </row>
    <row r="977" spans="1:35" ht="15.75" customHeight="1">
      <c r="A977" s="5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5"/>
      <c r="T977" s="5"/>
      <c r="U977" s="104"/>
      <c r="V977" s="5"/>
      <c r="W977" s="5"/>
      <c r="X977" s="5"/>
      <c r="Y977" s="5"/>
      <c r="Z977" s="7"/>
      <c r="AA977" s="5"/>
      <c r="AB977" s="5"/>
      <c r="AC977" s="5"/>
      <c r="AD977" s="5"/>
      <c r="AE977" s="5"/>
      <c r="AF977" s="5"/>
      <c r="AG977" s="5"/>
      <c r="AH977" s="5"/>
      <c r="AI977" s="5"/>
    </row>
    <row r="978" spans="1:35" ht="15.75" customHeight="1">
      <c r="A978" s="5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5"/>
      <c r="T978" s="5"/>
      <c r="U978" s="104"/>
      <c r="V978" s="5"/>
      <c r="W978" s="5"/>
      <c r="X978" s="5"/>
      <c r="Y978" s="5"/>
      <c r="Z978" s="7"/>
      <c r="AA978" s="5"/>
      <c r="AB978" s="5"/>
      <c r="AC978" s="5"/>
      <c r="AD978" s="5"/>
      <c r="AE978" s="5"/>
      <c r="AF978" s="5"/>
      <c r="AG978" s="5"/>
      <c r="AH978" s="5"/>
      <c r="AI978" s="5"/>
    </row>
    <row r="979" spans="1:35" ht="15.75" customHeight="1">
      <c r="A979" s="5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5"/>
      <c r="T979" s="5"/>
      <c r="U979" s="104"/>
      <c r="V979" s="5"/>
      <c r="W979" s="5"/>
      <c r="X979" s="5"/>
      <c r="Y979" s="5"/>
      <c r="Z979" s="7"/>
      <c r="AA979" s="5"/>
      <c r="AB979" s="5"/>
      <c r="AC979" s="5"/>
      <c r="AD979" s="5"/>
      <c r="AE979" s="5"/>
      <c r="AF979" s="5"/>
      <c r="AG979" s="5"/>
      <c r="AH979" s="5"/>
      <c r="AI979" s="5"/>
    </row>
    <row r="980" spans="1:35" ht="15.75" customHeight="1">
      <c r="A980" s="5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5"/>
      <c r="T980" s="5"/>
      <c r="U980" s="104"/>
      <c r="V980" s="5"/>
      <c r="W980" s="5"/>
      <c r="X980" s="5"/>
      <c r="Y980" s="5"/>
      <c r="Z980" s="7"/>
      <c r="AA980" s="5"/>
      <c r="AB980" s="5"/>
      <c r="AC980" s="5"/>
      <c r="AD980" s="5"/>
      <c r="AE980" s="5"/>
      <c r="AF980" s="5"/>
      <c r="AG980" s="5"/>
      <c r="AH980" s="5"/>
      <c r="AI980" s="5"/>
    </row>
    <row r="981" spans="1:35" ht="15.75" customHeight="1">
      <c r="A981" s="5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5"/>
      <c r="T981" s="5"/>
      <c r="U981" s="104"/>
      <c r="V981" s="5"/>
      <c r="W981" s="5"/>
      <c r="X981" s="5"/>
      <c r="Y981" s="5"/>
      <c r="Z981" s="7"/>
      <c r="AA981" s="5"/>
      <c r="AB981" s="5"/>
      <c r="AC981" s="5"/>
      <c r="AD981" s="5"/>
      <c r="AE981" s="5"/>
      <c r="AF981" s="5"/>
      <c r="AG981" s="5"/>
      <c r="AH981" s="5"/>
      <c r="AI981" s="5"/>
    </row>
    <row r="982" spans="1:35" ht="15.75" customHeight="1">
      <c r="A982" s="5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5"/>
      <c r="T982" s="5"/>
      <c r="U982" s="104"/>
      <c r="V982" s="5"/>
      <c r="W982" s="5"/>
      <c r="X982" s="5"/>
      <c r="Y982" s="5"/>
      <c r="Z982" s="7"/>
      <c r="AA982" s="5"/>
      <c r="AB982" s="5"/>
      <c r="AC982" s="5"/>
      <c r="AD982" s="5"/>
      <c r="AE982" s="5"/>
      <c r="AF982" s="5"/>
      <c r="AG982" s="5"/>
      <c r="AH982" s="5"/>
      <c r="AI982" s="5"/>
    </row>
    <row r="983" spans="1:35" ht="15.75" customHeight="1">
      <c r="A983" s="5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5"/>
      <c r="T983" s="5"/>
      <c r="U983" s="104"/>
      <c r="V983" s="5"/>
      <c r="W983" s="5"/>
      <c r="X983" s="5"/>
      <c r="Y983" s="5"/>
      <c r="Z983" s="7"/>
      <c r="AA983" s="5"/>
      <c r="AB983" s="5"/>
      <c r="AC983" s="5"/>
      <c r="AD983" s="5"/>
      <c r="AE983" s="5"/>
      <c r="AF983" s="5"/>
      <c r="AG983" s="5"/>
      <c r="AH983" s="5"/>
      <c r="AI983" s="5"/>
    </row>
    <row r="984" spans="1:35" ht="15.75" customHeight="1">
      <c r="A984" s="5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5"/>
      <c r="T984" s="5"/>
      <c r="U984" s="104"/>
      <c r="V984" s="5"/>
      <c r="W984" s="5"/>
      <c r="X984" s="5"/>
      <c r="Y984" s="5"/>
      <c r="Z984" s="7"/>
      <c r="AA984" s="5"/>
      <c r="AB984" s="5"/>
      <c r="AC984" s="5"/>
      <c r="AD984" s="5"/>
      <c r="AE984" s="5"/>
      <c r="AF984" s="5"/>
      <c r="AG984" s="5"/>
      <c r="AH984" s="5"/>
      <c r="AI984" s="5"/>
    </row>
    <row r="985" spans="1:35" ht="15.75" customHeight="1">
      <c r="A985" s="5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5"/>
      <c r="T985" s="5"/>
      <c r="U985" s="104"/>
      <c r="V985" s="5"/>
      <c r="W985" s="5"/>
      <c r="X985" s="5"/>
      <c r="Y985" s="5"/>
      <c r="Z985" s="7"/>
      <c r="AA985" s="5"/>
      <c r="AB985" s="5"/>
      <c r="AC985" s="5"/>
      <c r="AD985" s="5"/>
      <c r="AE985" s="5"/>
      <c r="AF985" s="5"/>
      <c r="AG985" s="5"/>
      <c r="AH985" s="5"/>
      <c r="AI985" s="5"/>
    </row>
    <row r="986" spans="1:35" ht="15.75" customHeight="1">
      <c r="A986" s="5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5"/>
      <c r="T986" s="5"/>
      <c r="U986" s="104"/>
      <c r="V986" s="5"/>
      <c r="W986" s="5"/>
      <c r="X986" s="5"/>
      <c r="Y986" s="5"/>
      <c r="Z986" s="7"/>
      <c r="AA986" s="5"/>
      <c r="AB986" s="5"/>
      <c r="AC986" s="5"/>
      <c r="AD986" s="5"/>
      <c r="AE986" s="5"/>
      <c r="AF986" s="5"/>
      <c r="AG986" s="5"/>
      <c r="AH986" s="5"/>
      <c r="AI986" s="5"/>
    </row>
    <row r="987" spans="1:35" ht="15.75" customHeight="1">
      <c r="A987" s="5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5"/>
      <c r="T987" s="5"/>
      <c r="U987" s="104"/>
      <c r="V987" s="5"/>
      <c r="W987" s="5"/>
      <c r="X987" s="5"/>
      <c r="Y987" s="5"/>
      <c r="Z987" s="7"/>
      <c r="AA987" s="5"/>
      <c r="AB987" s="5"/>
      <c r="AC987" s="5"/>
      <c r="AD987" s="5"/>
      <c r="AE987" s="5"/>
      <c r="AF987" s="5"/>
      <c r="AG987" s="5"/>
      <c r="AH987" s="5"/>
      <c r="AI987" s="5"/>
    </row>
    <row r="988" spans="1:35" ht="15.75" customHeight="1">
      <c r="A988" s="5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5"/>
      <c r="T988" s="5"/>
      <c r="U988" s="104"/>
      <c r="V988" s="5"/>
      <c r="W988" s="5"/>
      <c r="X988" s="5"/>
      <c r="Y988" s="5"/>
      <c r="Z988" s="7"/>
      <c r="AA988" s="5"/>
      <c r="AB988" s="5"/>
      <c r="AC988" s="5"/>
      <c r="AD988" s="5"/>
      <c r="AE988" s="5"/>
      <c r="AF988" s="5"/>
      <c r="AG988" s="5"/>
      <c r="AH988" s="5"/>
      <c r="AI988" s="5"/>
    </row>
    <row r="989" spans="1:35" ht="15.75" customHeight="1">
      <c r="A989" s="5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5"/>
      <c r="T989" s="5"/>
      <c r="U989" s="104"/>
      <c r="V989" s="5"/>
      <c r="W989" s="5"/>
      <c r="X989" s="5"/>
      <c r="Y989" s="5"/>
      <c r="Z989" s="7"/>
      <c r="AA989" s="5"/>
      <c r="AB989" s="5"/>
      <c r="AC989" s="5"/>
      <c r="AD989" s="5"/>
      <c r="AE989" s="5"/>
      <c r="AF989" s="5"/>
      <c r="AG989" s="5"/>
      <c r="AH989" s="5"/>
      <c r="AI989" s="5"/>
    </row>
    <row r="990" spans="1:35" ht="15.75" customHeight="1">
      <c r="A990" s="5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5"/>
      <c r="T990" s="5"/>
      <c r="U990" s="104"/>
      <c r="V990" s="5"/>
      <c r="W990" s="5"/>
      <c r="X990" s="5"/>
      <c r="Y990" s="5"/>
      <c r="Z990" s="7"/>
      <c r="AA990" s="5"/>
      <c r="AB990" s="5"/>
      <c r="AC990" s="5"/>
      <c r="AD990" s="5"/>
      <c r="AE990" s="5"/>
      <c r="AF990" s="5"/>
      <c r="AG990" s="5"/>
      <c r="AH990" s="5"/>
      <c r="AI990" s="5"/>
    </row>
    <row r="991" spans="1:35" ht="15.75" customHeight="1">
      <c r="A991" s="5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5"/>
      <c r="T991" s="5"/>
      <c r="U991" s="104"/>
      <c r="V991" s="5"/>
      <c r="W991" s="5"/>
      <c r="X991" s="5"/>
      <c r="Y991" s="5"/>
      <c r="Z991" s="7"/>
      <c r="AA991" s="5"/>
      <c r="AB991" s="5"/>
      <c r="AC991" s="5"/>
      <c r="AD991" s="5"/>
      <c r="AE991" s="5"/>
      <c r="AF991" s="5"/>
      <c r="AG991" s="5"/>
      <c r="AH991" s="5"/>
      <c r="AI991" s="5"/>
    </row>
    <row r="992" spans="1:35" ht="15.75" customHeight="1">
      <c r="A992" s="5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5"/>
      <c r="T992" s="5"/>
      <c r="U992" s="104"/>
      <c r="V992" s="5"/>
      <c r="W992" s="5"/>
      <c r="X992" s="5"/>
      <c r="Y992" s="5"/>
      <c r="Z992" s="7"/>
      <c r="AA992" s="5"/>
      <c r="AB992" s="5"/>
      <c r="AC992" s="5"/>
      <c r="AD992" s="5"/>
      <c r="AE992" s="5"/>
      <c r="AF992" s="5"/>
      <c r="AG992" s="5"/>
      <c r="AH992" s="5"/>
      <c r="AI992" s="5"/>
    </row>
    <row r="993" spans="1:35" ht="15.75" customHeight="1">
      <c r="A993" s="5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5"/>
      <c r="T993" s="5"/>
      <c r="U993" s="104"/>
      <c r="V993" s="5"/>
      <c r="W993" s="5"/>
      <c r="X993" s="5"/>
      <c r="Y993" s="5"/>
      <c r="Z993" s="7"/>
      <c r="AA993" s="5"/>
      <c r="AB993" s="5"/>
      <c r="AC993" s="5"/>
      <c r="AD993" s="5"/>
      <c r="AE993" s="5"/>
      <c r="AF993" s="5"/>
      <c r="AG993" s="5"/>
      <c r="AH993" s="5"/>
      <c r="AI993" s="5"/>
    </row>
    <row r="994" spans="1:35" ht="15.75" customHeight="1">
      <c r="A994" s="5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5"/>
      <c r="T994" s="5"/>
      <c r="U994" s="104"/>
      <c r="V994" s="5"/>
      <c r="W994" s="5"/>
      <c r="X994" s="5"/>
      <c r="Y994" s="5"/>
      <c r="Z994" s="7"/>
      <c r="AA994" s="5"/>
      <c r="AB994" s="5"/>
      <c r="AC994" s="5"/>
      <c r="AD994" s="5"/>
      <c r="AE994" s="5"/>
      <c r="AF994" s="5"/>
      <c r="AG994" s="5"/>
      <c r="AH994" s="5"/>
      <c r="AI994" s="5"/>
    </row>
    <row r="995" spans="1:35" ht="15.75" customHeight="1">
      <c r="A995" s="5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5"/>
      <c r="T995" s="5"/>
      <c r="U995" s="104"/>
      <c r="V995" s="5"/>
      <c r="W995" s="5"/>
      <c r="X995" s="5"/>
      <c r="Y995" s="5"/>
      <c r="Z995" s="7"/>
      <c r="AA995" s="5"/>
      <c r="AB995" s="5"/>
      <c r="AC995" s="5"/>
      <c r="AD995" s="5"/>
      <c r="AE995" s="5"/>
      <c r="AF995" s="5"/>
      <c r="AG995" s="5"/>
      <c r="AH995" s="5"/>
      <c r="AI995" s="5"/>
    </row>
    <row r="996" spans="1:35" ht="15.75" customHeight="1">
      <c r="A996" s="5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5"/>
      <c r="T996" s="5"/>
      <c r="U996" s="104"/>
      <c r="V996" s="5"/>
      <c r="W996" s="5"/>
      <c r="X996" s="5"/>
      <c r="Y996" s="5"/>
      <c r="Z996" s="7"/>
      <c r="AA996" s="5"/>
      <c r="AB996" s="5"/>
      <c r="AC996" s="5"/>
      <c r="AD996" s="5"/>
      <c r="AE996" s="5"/>
      <c r="AF996" s="5"/>
      <c r="AG996" s="5"/>
      <c r="AH996" s="5"/>
      <c r="AI996" s="5"/>
    </row>
    <row r="997" spans="1:35" ht="15.75" customHeight="1">
      <c r="A997" s="5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5"/>
      <c r="T997" s="5"/>
      <c r="U997" s="104"/>
      <c r="V997" s="5"/>
      <c r="W997" s="5"/>
      <c r="X997" s="5"/>
      <c r="Y997" s="5"/>
      <c r="Z997" s="7"/>
      <c r="AA997" s="5"/>
      <c r="AB997" s="5"/>
      <c r="AC997" s="5"/>
      <c r="AD997" s="5"/>
      <c r="AE997" s="5"/>
      <c r="AF997" s="5"/>
      <c r="AG997" s="5"/>
      <c r="AH997" s="5"/>
      <c r="AI997" s="5"/>
    </row>
    <row r="998" spans="1:35" ht="15.75" customHeight="1">
      <c r="A998" s="5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5"/>
      <c r="T998" s="5"/>
      <c r="U998" s="104"/>
      <c r="V998" s="5"/>
      <c r="W998" s="5"/>
      <c r="X998" s="5"/>
      <c r="Y998" s="5"/>
      <c r="Z998" s="7"/>
      <c r="AA998" s="5"/>
      <c r="AB998" s="5"/>
      <c r="AC998" s="5"/>
      <c r="AD998" s="5"/>
      <c r="AE998" s="5"/>
      <c r="AF998" s="5"/>
      <c r="AG998" s="5"/>
      <c r="AH998" s="5"/>
      <c r="AI998" s="5"/>
    </row>
    <row r="999" spans="1:35" ht="15.75" customHeight="1">
      <c r="A999" s="5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5"/>
      <c r="T999" s="5"/>
      <c r="U999" s="104"/>
      <c r="V999" s="5"/>
      <c r="W999" s="5"/>
      <c r="X999" s="5"/>
      <c r="Y999" s="5"/>
      <c r="Z999" s="7"/>
      <c r="AA999" s="5"/>
      <c r="AB999" s="5"/>
      <c r="AC999" s="5"/>
      <c r="AD999" s="5"/>
      <c r="AE999" s="5"/>
      <c r="AF999" s="5"/>
      <c r="AG999" s="5"/>
      <c r="AH999" s="5"/>
      <c r="AI999" s="5"/>
    </row>
    <row r="1000" spans="1:35" ht="15.75" customHeight="1">
      <c r="A1000" s="5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5"/>
      <c r="T1000" s="5"/>
      <c r="U1000" s="104"/>
      <c r="V1000" s="5"/>
      <c r="W1000" s="5"/>
      <c r="X1000" s="5"/>
      <c r="Y1000" s="5"/>
      <c r="Z1000" s="7"/>
      <c r="AA1000" s="5"/>
      <c r="AB1000" s="5"/>
      <c r="AC1000" s="5"/>
      <c r="AD1000" s="5"/>
      <c r="AE1000" s="5"/>
      <c r="AF1000" s="5"/>
      <c r="AG1000" s="5"/>
      <c r="AH1000" s="5"/>
      <c r="AI1000" s="5"/>
    </row>
  </sheetData>
  <mergeCells count="95">
    <mergeCell ref="F14:G14"/>
    <mergeCell ref="B17:B19"/>
    <mergeCell ref="C17:C19"/>
    <mergeCell ref="G17:I17"/>
    <mergeCell ref="J17:K17"/>
    <mergeCell ref="G18:H18"/>
    <mergeCell ref="J18:K18"/>
    <mergeCell ref="AI18:AI19"/>
    <mergeCell ref="W18:W19"/>
    <mergeCell ref="X18:X19"/>
    <mergeCell ref="Y18:Y19"/>
    <mergeCell ref="Z18:Z19"/>
    <mergeCell ref="AA18:AA19"/>
    <mergeCell ref="AC18:AC19"/>
    <mergeCell ref="AD18:AD19"/>
    <mergeCell ref="V18:V19"/>
    <mergeCell ref="AE18:AE19"/>
    <mergeCell ref="AF18:AF19"/>
    <mergeCell ref="AG18:AG19"/>
    <mergeCell ref="AH18:AH19"/>
    <mergeCell ref="M18:N18"/>
    <mergeCell ref="P18:P19"/>
    <mergeCell ref="Q18:Q19"/>
    <mergeCell ref="R18:R19"/>
    <mergeCell ref="U18:U19"/>
    <mergeCell ref="L14:M14"/>
    <mergeCell ref="N14:O14"/>
    <mergeCell ref="L15:M15"/>
    <mergeCell ref="N15:O15"/>
    <mergeCell ref="M17:O17"/>
    <mergeCell ref="L11:M11"/>
    <mergeCell ref="N11:O11"/>
    <mergeCell ref="N12:O12"/>
    <mergeCell ref="L12:M12"/>
    <mergeCell ref="L13:M13"/>
    <mergeCell ref="N13:O13"/>
    <mergeCell ref="Q50:R50"/>
    <mergeCell ref="H51:I51"/>
    <mergeCell ref="H52:I52"/>
    <mergeCell ref="O52:P52"/>
    <mergeCell ref="D2:H2"/>
    <mergeCell ref="K2:L2"/>
    <mergeCell ref="O2:R2"/>
    <mergeCell ref="D3:E3"/>
    <mergeCell ref="K3:L3"/>
    <mergeCell ref="O3:R3"/>
    <mergeCell ref="B5:E5"/>
    <mergeCell ref="N5:Q5"/>
    <mergeCell ref="F5:I5"/>
    <mergeCell ref="J5:M5"/>
    <mergeCell ref="H6:I6"/>
    <mergeCell ref="J10:Q10"/>
    <mergeCell ref="K52:L52"/>
    <mergeCell ref="C50:D50"/>
    <mergeCell ref="E50:F50"/>
    <mergeCell ref="H50:J50"/>
    <mergeCell ref="K50:M50"/>
    <mergeCell ref="B46:C47"/>
    <mergeCell ref="D46:E47"/>
    <mergeCell ref="N50:P50"/>
    <mergeCell ref="O51:P51"/>
    <mergeCell ref="K51:L51"/>
    <mergeCell ref="P46:R47"/>
    <mergeCell ref="G48:H48"/>
    <mergeCell ref="P48:Q48"/>
    <mergeCell ref="D40:E40"/>
    <mergeCell ref="D41:E41"/>
    <mergeCell ref="D42:E42"/>
    <mergeCell ref="D43:E43"/>
    <mergeCell ref="D44:E44"/>
    <mergeCell ref="D39:E39"/>
    <mergeCell ref="F46:H47"/>
    <mergeCell ref="I46:J46"/>
    <mergeCell ref="K46:L46"/>
    <mergeCell ref="N46:O47"/>
    <mergeCell ref="D34:E34"/>
    <mergeCell ref="D35:E35"/>
    <mergeCell ref="D36:E36"/>
    <mergeCell ref="D37:E37"/>
    <mergeCell ref="D38:E38"/>
    <mergeCell ref="D29:E29"/>
    <mergeCell ref="D30:E30"/>
    <mergeCell ref="D31:E31"/>
    <mergeCell ref="D32:E32"/>
    <mergeCell ref="D33:E33"/>
    <mergeCell ref="D24:E24"/>
    <mergeCell ref="D25:E25"/>
    <mergeCell ref="D26:E26"/>
    <mergeCell ref="D27:E27"/>
    <mergeCell ref="D28:E28"/>
    <mergeCell ref="D17:E19"/>
    <mergeCell ref="D20:E20"/>
    <mergeCell ref="D21:E21"/>
    <mergeCell ref="D22:E22"/>
    <mergeCell ref="D23:E23"/>
  </mergeCells>
  <conditionalFormatting sqref="Q20:Q43">
    <cfRule type="expression" dxfId="23" priority="1" stopIfTrue="1">
      <formula>OR(AND(ISNUMBER(Q20),Q20&lt;9),AND(ISNUMBER(Q20),Q20&gt;11))</formula>
    </cfRule>
  </conditionalFormatting>
  <conditionalFormatting sqref="R20:R43">
    <cfRule type="expression" dxfId="22" priority="2" stopIfTrue="1">
      <formula>OR(AND(ISNUMBER(R20),R20&lt;2.25),AND(ISNUMBER(R20),R20&gt;2.75))</formula>
    </cfRule>
  </conditionalFormatting>
  <conditionalFormatting sqref="AC20:AC43">
    <cfRule type="expression" dxfId="21" priority="3">
      <formula>AND(ISNUMBER(F20),AC20&lt;F20)</formula>
    </cfRule>
  </conditionalFormatting>
  <conditionalFormatting sqref="AC20:AC43">
    <cfRule type="expression" dxfId="20" priority="4" stopIfTrue="1">
      <formula>AND(ISNUMBER(F20),AC20&gt;F20)</formula>
    </cfRule>
  </conditionalFormatting>
  <conditionalFormatting sqref="AD20:AD43">
    <cfRule type="expression" dxfId="19" priority="5">
      <formula>AND(ISNUMBER(F20),AD20&gt;F20)</formula>
    </cfRule>
  </conditionalFormatting>
  <conditionalFormatting sqref="AD20:AD43">
    <cfRule type="expression" dxfId="18" priority="6" stopIfTrue="1">
      <formula>AND(ISNUMBER(F20),AD20&lt;F20)</formula>
    </cfRule>
  </conditionalFormatting>
  <printOptions horizontalCentered="1" verticalCentered="1"/>
  <pageMargins left="0.25" right="0.25" top="0.5" bottom="0.5" header="0" footer="0"/>
  <pageSetup orientation="portrait"/>
  <headerFooter>
    <oddHeader>&amp;CSpreadsheet for U.S. EPA Method 201A - Determination of Filterable PM10 and PM2.5 Emissions TEST DATA SHEET</oddHeader>
    <oddFooter>&amp;CCopyright 2017 by Environmental Supply Company, Inc.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E1000"/>
  <sheetViews>
    <sheetView workbookViewId="0"/>
  </sheetViews>
  <sheetFormatPr baseColWidth="10" defaultColWidth="14.5" defaultRowHeight="15" customHeight="1"/>
  <cols>
    <col min="1" max="1" width="1" customWidth="1"/>
    <col min="2" max="8" width="6.33203125" customWidth="1"/>
    <col min="9" max="9" width="6.5" customWidth="1"/>
    <col min="10" max="11" width="6.33203125" customWidth="1"/>
    <col min="12" max="12" width="7.5" customWidth="1"/>
    <col min="13" max="16" width="6.33203125" customWidth="1"/>
    <col min="17" max="17" width="10.6640625" customWidth="1"/>
    <col min="18" max="18" width="1.1640625" customWidth="1"/>
    <col min="19" max="19" width="6.33203125" customWidth="1"/>
    <col min="20" max="20" width="1" customWidth="1"/>
    <col min="21" max="28" width="8.6640625" customWidth="1"/>
    <col min="29" max="31" width="6.33203125" customWidth="1"/>
  </cols>
  <sheetData>
    <row r="1" spans="1:31" ht="5.2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5"/>
      <c r="V1" s="5"/>
      <c r="W1" s="5"/>
      <c r="X1" s="5"/>
      <c r="Y1" s="5"/>
      <c r="Z1" s="7"/>
      <c r="AA1" s="5"/>
      <c r="AB1" s="5"/>
      <c r="AC1" s="5"/>
      <c r="AD1" s="5"/>
      <c r="AE1" s="5"/>
    </row>
    <row r="2" spans="1:31" ht="15" customHeight="1">
      <c r="A2" s="8"/>
      <c r="B2" s="9"/>
      <c r="C2" s="10" t="s">
        <v>26</v>
      </c>
      <c r="D2" s="379" t="str">
        <f>IF(ISTEXT('Pre-Test'!D2:H2),'Pre-Test'!D2:H2,"")</f>
        <v/>
      </c>
      <c r="E2" s="295"/>
      <c r="F2" s="295"/>
      <c r="G2" s="295"/>
      <c r="H2" s="296"/>
      <c r="I2" s="9"/>
      <c r="J2" s="10" t="s">
        <v>27</v>
      </c>
      <c r="K2" s="417" t="str">
        <f>IF(ISNUMBER('Run 1'!K2),'Run 1'!K2,"")</f>
        <v/>
      </c>
      <c r="L2" s="296"/>
      <c r="M2" s="9"/>
      <c r="N2" s="10" t="s">
        <v>28</v>
      </c>
      <c r="O2" s="379" t="str">
        <f>IF(ISTEXT('Run 1'!O2),'Run 1'!O2,"")</f>
        <v/>
      </c>
      <c r="P2" s="295"/>
      <c r="Q2" s="296"/>
      <c r="R2" s="251"/>
      <c r="S2" s="5"/>
      <c r="T2" s="5"/>
      <c r="U2" s="5"/>
      <c r="V2" s="5"/>
      <c r="W2" s="5"/>
      <c r="X2" s="5"/>
      <c r="Y2" s="5"/>
      <c r="Z2" s="7"/>
      <c r="AA2" s="5"/>
      <c r="AB2" s="5"/>
      <c r="AC2" s="5"/>
      <c r="AD2" s="5"/>
      <c r="AE2" s="5"/>
    </row>
    <row r="3" spans="1:31" ht="15" customHeight="1">
      <c r="A3" s="8"/>
      <c r="B3" s="9"/>
      <c r="C3" s="10" t="s">
        <v>29</v>
      </c>
      <c r="D3" s="418" t="str">
        <f>IF(ISNUMBER('Run 1'!D3),'Run 1'!D3,"")</f>
        <v/>
      </c>
      <c r="E3" s="280"/>
      <c r="F3" s="9"/>
      <c r="G3" s="9"/>
      <c r="H3" s="9"/>
      <c r="I3" s="9"/>
      <c r="J3" s="10" t="s">
        <v>30</v>
      </c>
      <c r="K3" s="417" t="str">
        <f>IF(ISNUMBER('Run 1'!K3),'Run 1'!K3,"")</f>
        <v/>
      </c>
      <c r="L3" s="296"/>
      <c r="M3" s="9"/>
      <c r="N3" s="10" t="s">
        <v>31</v>
      </c>
      <c r="O3" s="379" t="str">
        <f>IF(ISTEXT('Pre-Test'!P3),'Pre-Test'!P3,"")</f>
        <v/>
      </c>
      <c r="P3" s="295"/>
      <c r="Q3" s="296"/>
      <c r="R3" s="251"/>
      <c r="S3" s="5"/>
      <c r="T3" s="5"/>
      <c r="U3" s="5"/>
      <c r="V3" s="5"/>
      <c r="W3" s="5"/>
      <c r="X3" s="5"/>
      <c r="Y3" s="5"/>
      <c r="Z3" s="7"/>
      <c r="AA3" s="5"/>
      <c r="AB3" s="5"/>
      <c r="AC3" s="5"/>
      <c r="AD3" s="5"/>
      <c r="AE3" s="5"/>
    </row>
    <row r="4" spans="1:31" ht="9.75" customHeight="1">
      <c r="A4" s="8"/>
      <c r="B4" s="5"/>
      <c r="C4" s="10"/>
      <c r="D4" s="18"/>
      <c r="E4" s="5"/>
      <c r="F4" s="5"/>
      <c r="G4" s="5"/>
      <c r="H4" s="5"/>
      <c r="I4" s="5"/>
      <c r="J4" s="19"/>
      <c r="K4" s="5"/>
      <c r="L4" s="5"/>
      <c r="M4" s="5"/>
      <c r="N4" s="5"/>
      <c r="O4" s="5"/>
      <c r="P4" s="5"/>
      <c r="Q4" s="20"/>
      <c r="R4" s="251"/>
      <c r="S4" s="5"/>
      <c r="T4" s="5"/>
      <c r="U4" s="5"/>
      <c r="V4" s="5"/>
      <c r="W4" s="5"/>
      <c r="X4" s="5"/>
      <c r="Y4" s="5"/>
      <c r="Z4" s="7"/>
      <c r="AA4" s="5"/>
      <c r="AB4" s="5"/>
      <c r="AC4" s="5"/>
      <c r="AD4" s="5"/>
      <c r="AE4" s="5"/>
    </row>
    <row r="5" spans="1:31" ht="15" customHeight="1">
      <c r="A5" s="8"/>
      <c r="B5" s="386" t="s">
        <v>32</v>
      </c>
      <c r="C5" s="309"/>
      <c r="D5" s="309"/>
      <c r="E5" s="310"/>
      <c r="F5" s="386" t="s">
        <v>298</v>
      </c>
      <c r="G5" s="309"/>
      <c r="H5" s="309"/>
      <c r="I5" s="310"/>
      <c r="J5" s="382" t="s">
        <v>34</v>
      </c>
      <c r="K5" s="383"/>
      <c r="L5" s="383"/>
      <c r="M5" s="278"/>
      <c r="N5" s="307" t="s">
        <v>299</v>
      </c>
      <c r="O5" s="287"/>
      <c r="P5" s="287"/>
      <c r="Q5" s="288"/>
      <c r="R5" s="12"/>
      <c r="S5" s="5"/>
      <c r="T5" s="7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ht="15" customHeight="1">
      <c r="A6" s="8"/>
      <c r="B6" s="2"/>
      <c r="C6" s="23" t="s">
        <v>35</v>
      </c>
      <c r="D6" s="54" t="str">
        <f>IF(ISNUMBER(Bwse),Bwse,"-")</f>
        <v>-</v>
      </c>
      <c r="E6" s="27" t="s">
        <v>36</v>
      </c>
      <c r="F6" s="2"/>
      <c r="G6" s="23" t="s">
        <v>300</v>
      </c>
      <c r="H6" s="252" t="str">
        <f>IF(ISNUMBER(COO),COO,"-")</f>
        <v>-</v>
      </c>
      <c r="I6" s="27" t="s">
        <v>38</v>
      </c>
      <c r="J6" s="2"/>
      <c r="K6" s="23" t="s">
        <v>41</v>
      </c>
      <c r="L6" s="313" t="str">
        <f>IF(ISTEXT(MB),MB,"-")</f>
        <v>-</v>
      </c>
      <c r="M6" s="314"/>
      <c r="N6" s="291"/>
      <c r="O6" s="292"/>
      <c r="P6" s="292"/>
      <c r="Q6" s="293"/>
      <c r="R6" s="12"/>
      <c r="S6" s="5"/>
      <c r="T6" s="7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15" customHeight="1">
      <c r="A7" s="8"/>
      <c r="B7" s="8"/>
      <c r="C7" s="10" t="s">
        <v>42</v>
      </c>
      <c r="D7" s="36" t="str">
        <f>IF(ISNUMBER(Pbar_1),Pbar_1,"-")</f>
        <v>-</v>
      </c>
      <c r="E7" s="40" t="s">
        <v>43</v>
      </c>
      <c r="F7" s="8"/>
      <c r="G7" s="10" t="s">
        <v>301</v>
      </c>
      <c r="H7" s="152" t="str">
        <f>IF(ISNUMBER(OO),OO,"-")</f>
        <v>-</v>
      </c>
      <c r="I7" s="32" t="s">
        <v>38</v>
      </c>
      <c r="J7" s="8"/>
      <c r="K7" s="10" t="s">
        <v>46</v>
      </c>
      <c r="L7" s="133" t="str">
        <f>IF(ISNUMBER(Y),Y,"-")</f>
        <v>-</v>
      </c>
      <c r="M7" s="9"/>
      <c r="N7" s="154"/>
      <c r="O7" s="23" t="s">
        <v>302</v>
      </c>
      <c r="P7" s="253" t="str">
        <f>dP_1</f>
        <v>-</v>
      </c>
      <c r="Q7" s="40" t="s">
        <v>303</v>
      </c>
      <c r="R7" s="12"/>
      <c r="S7" s="5"/>
      <c r="T7" s="7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15" customHeight="1">
      <c r="A8" s="8"/>
      <c r="B8" s="8"/>
      <c r="C8" s="10" t="s">
        <v>47</v>
      </c>
      <c r="D8" s="36" t="str">
        <f>IF(ISNUMBER(Pg_1),Pg_1,"-")</f>
        <v>-</v>
      </c>
      <c r="E8" s="31" t="s">
        <v>304</v>
      </c>
      <c r="F8" s="8"/>
      <c r="G8" s="10" t="s">
        <v>305</v>
      </c>
      <c r="H8" s="36" t="str">
        <f>NN</f>
        <v>-</v>
      </c>
      <c r="I8" s="32" t="s">
        <v>38</v>
      </c>
      <c r="J8" s="8"/>
      <c r="K8" s="38" t="s">
        <v>306</v>
      </c>
      <c r="L8" s="133" t="str">
        <f>IF(ISNUMBER(dHa),dHa,"-")</f>
        <v>-</v>
      </c>
      <c r="M8" s="31" t="s">
        <v>307</v>
      </c>
      <c r="N8" s="44"/>
      <c r="O8" s="10" t="s">
        <v>308</v>
      </c>
      <c r="P8" s="49" t="str">
        <f>Tm_1</f>
        <v>-</v>
      </c>
      <c r="Q8" s="12" t="s">
        <v>149</v>
      </c>
      <c r="R8" s="12"/>
      <c r="S8" s="5"/>
      <c r="T8" s="7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ht="15" customHeight="1">
      <c r="A9" s="8"/>
      <c r="B9" s="8"/>
      <c r="C9" s="10" t="s">
        <v>54</v>
      </c>
      <c r="D9" s="36" t="str">
        <f>Ps_1</f>
        <v>-</v>
      </c>
      <c r="E9" s="40" t="s">
        <v>43</v>
      </c>
      <c r="F9" s="8"/>
      <c r="G9" s="10" t="s">
        <v>309</v>
      </c>
      <c r="H9" s="152" t="str">
        <f>Md</f>
        <v>-</v>
      </c>
      <c r="I9" s="40" t="s">
        <v>56</v>
      </c>
      <c r="J9" s="46" t="s">
        <v>66</v>
      </c>
      <c r="K9" s="133" t="str">
        <f>IF(ISNUMBER(Cpp),Cpp,"-")</f>
        <v>-</v>
      </c>
      <c r="L9" s="47" t="s">
        <v>67</v>
      </c>
      <c r="M9" s="143" t="str">
        <f>IF(OR(ISNUMBER('Pre-Test'!R11),ISTEXT('Pre-Test'!R11)),'Pre-Test'!R11,"-")</f>
        <v>-</v>
      </c>
      <c r="N9" s="44"/>
      <c r="O9" s="10" t="s">
        <v>310</v>
      </c>
      <c r="P9" s="49" t="str">
        <f>Ts_1</f>
        <v>-</v>
      </c>
      <c r="Q9" s="12" t="s">
        <v>149</v>
      </c>
      <c r="R9" s="12"/>
      <c r="S9" s="5"/>
      <c r="T9" s="7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15" customHeight="1">
      <c r="A10" s="8"/>
      <c r="B10" s="254"/>
      <c r="C10" s="255" t="s">
        <v>61</v>
      </c>
      <c r="D10" s="155" t="str">
        <f>IF(ISNUMBER(A),A,"-")</f>
        <v>-</v>
      </c>
      <c r="E10" s="256" t="s">
        <v>311</v>
      </c>
      <c r="F10" s="257"/>
      <c r="G10" s="255" t="s">
        <v>312</v>
      </c>
      <c r="H10" s="36" t="str">
        <f>IF(ISNUMBER(Bws_1),Md*(1-Bws_1)+18*Bws_1,"-")</f>
        <v>-</v>
      </c>
      <c r="I10" s="258" t="s">
        <v>56</v>
      </c>
      <c r="J10" s="46" t="s">
        <v>71</v>
      </c>
      <c r="K10" s="151" t="str">
        <f>IF(ISNUMBER(Cp),Cp,"-")</f>
        <v>-</v>
      </c>
      <c r="L10" s="47" t="s">
        <v>67</v>
      </c>
      <c r="M10" s="143" t="str">
        <f>IF(OR(ISNUMBER('Pre-Test'!R11),ISTEXT('Pre-Test'!R11)),'Pre-Test'!R11,"-")</f>
        <v>-</v>
      </c>
      <c r="N10" s="44"/>
      <c r="O10" s="10" t="s">
        <v>313</v>
      </c>
      <c r="P10" s="259" t="str">
        <f>dH_1</f>
        <v>-</v>
      </c>
      <c r="Q10" s="40" t="s">
        <v>314</v>
      </c>
      <c r="R10" s="12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ht="15" customHeight="1">
      <c r="A11" s="8"/>
      <c r="B11" s="60"/>
      <c r="C11" s="57" t="s">
        <v>140</v>
      </c>
      <c r="D11" s="58" t="str">
        <f>IF(ISNUMBER(N_1),N_1,"-")</f>
        <v>-</v>
      </c>
      <c r="E11" s="52" t="s">
        <v>141</v>
      </c>
      <c r="F11" s="323" t="s">
        <v>145</v>
      </c>
      <c r="G11" s="325"/>
      <c r="H11" s="260" t="str">
        <f>Time_1</f>
        <v>-</v>
      </c>
      <c r="I11" s="52" t="s">
        <v>146</v>
      </c>
      <c r="J11" s="60"/>
      <c r="K11" s="57" t="s">
        <v>75</v>
      </c>
      <c r="L11" s="261" t="str">
        <f>IF(ISNUMBER(Dn),Dn,"-")</f>
        <v>-</v>
      </c>
      <c r="M11" s="262" t="s">
        <v>76</v>
      </c>
      <c r="N11" s="2"/>
      <c r="O11" s="23" t="s">
        <v>315</v>
      </c>
      <c r="P11" s="253">
        <f>IF(ISNUMBER(Tstd),Tstd,"-")</f>
        <v>528</v>
      </c>
      <c r="Q11" s="4" t="s">
        <v>149</v>
      </c>
      <c r="R11" s="12"/>
      <c r="S11" s="414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15" customHeight="1">
      <c r="A12" s="8"/>
      <c r="B12" s="5"/>
      <c r="C12" s="10"/>
      <c r="D12" s="17"/>
      <c r="E12" s="5"/>
      <c r="F12" s="16"/>
      <c r="G12" s="263"/>
      <c r="H12" s="264"/>
      <c r="I12" s="5"/>
      <c r="J12" s="5"/>
      <c r="K12" s="10"/>
      <c r="L12" s="17"/>
      <c r="M12" s="222"/>
      <c r="N12" s="60"/>
      <c r="O12" s="149" t="s">
        <v>316</v>
      </c>
      <c r="P12" s="265">
        <f>IF(ISNUMBER(Pstd),Pstd,"-")</f>
        <v>29.92</v>
      </c>
      <c r="Q12" s="266" t="s">
        <v>43</v>
      </c>
      <c r="R12" s="12"/>
      <c r="S12" s="41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9" customHeight="1">
      <c r="A13" s="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12"/>
      <c r="S13" s="41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15" customHeight="1">
      <c r="A14" s="8"/>
      <c r="B14" s="387" t="s">
        <v>317</v>
      </c>
      <c r="C14" s="383"/>
      <c r="D14" s="383"/>
      <c r="E14" s="383"/>
      <c r="F14" s="278"/>
      <c r="G14" s="422" t="s">
        <v>318</v>
      </c>
      <c r="H14" s="309"/>
      <c r="I14" s="309"/>
      <c r="J14" s="309"/>
      <c r="K14" s="357"/>
      <c r="L14" s="387" t="s">
        <v>319</v>
      </c>
      <c r="M14" s="383"/>
      <c r="N14" s="383"/>
      <c r="O14" s="383"/>
      <c r="P14" s="383"/>
      <c r="Q14" s="278"/>
      <c r="R14" s="12"/>
      <c r="S14" s="416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15" customHeight="1">
      <c r="A15" s="8"/>
      <c r="B15" s="419" t="s">
        <v>320</v>
      </c>
      <c r="C15" s="310"/>
      <c r="D15" s="420"/>
      <c r="E15" s="312"/>
      <c r="F15" s="3" t="s">
        <v>321</v>
      </c>
      <c r="G15" s="419" t="s">
        <v>322</v>
      </c>
      <c r="H15" s="310"/>
      <c r="I15" s="420"/>
      <c r="J15" s="312"/>
      <c r="K15" s="4" t="s">
        <v>321</v>
      </c>
      <c r="L15" s="3"/>
      <c r="M15" s="3"/>
      <c r="N15" s="23" t="s">
        <v>323</v>
      </c>
      <c r="O15" s="421"/>
      <c r="P15" s="310"/>
      <c r="Q15" s="4" t="s">
        <v>324</v>
      </c>
      <c r="R15" s="12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15" customHeight="1">
      <c r="A16" s="8"/>
      <c r="B16" s="321" t="s">
        <v>325</v>
      </c>
      <c r="C16" s="273"/>
      <c r="D16" s="423"/>
      <c r="E16" s="273"/>
      <c r="F16" s="5" t="s">
        <v>321</v>
      </c>
      <c r="G16" s="321" t="s">
        <v>326</v>
      </c>
      <c r="H16" s="273"/>
      <c r="I16" s="423"/>
      <c r="J16" s="273"/>
      <c r="K16" s="12" t="s">
        <v>321</v>
      </c>
      <c r="L16" s="5"/>
      <c r="M16" s="5"/>
      <c r="N16" s="10" t="s">
        <v>327</v>
      </c>
      <c r="O16" s="424"/>
      <c r="P16" s="280"/>
      <c r="Q16" s="12" t="s">
        <v>324</v>
      </c>
      <c r="R16" s="12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15" customHeight="1">
      <c r="A17" s="8"/>
      <c r="B17" s="321" t="s">
        <v>328</v>
      </c>
      <c r="C17" s="273"/>
      <c r="D17" s="424"/>
      <c r="E17" s="280"/>
      <c r="F17" s="5" t="s">
        <v>329</v>
      </c>
      <c r="G17" s="321" t="s">
        <v>330</v>
      </c>
      <c r="H17" s="273"/>
      <c r="I17" s="424"/>
      <c r="J17" s="280"/>
      <c r="K17" s="12" t="s">
        <v>329</v>
      </c>
      <c r="L17" s="5"/>
      <c r="M17" s="5"/>
      <c r="N17" s="10" t="s">
        <v>331</v>
      </c>
      <c r="O17" s="425" t="str">
        <f>IF(ISNUMBER(O15),O15-O16,"-")</f>
        <v>-</v>
      </c>
      <c r="P17" s="273"/>
      <c r="Q17" s="12" t="s">
        <v>324</v>
      </c>
      <c r="R17" s="12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15" customHeight="1">
      <c r="A18" s="8"/>
      <c r="B18" s="321" t="s">
        <v>332</v>
      </c>
      <c r="C18" s="273"/>
      <c r="D18" s="425" t="str">
        <f>IF(ISNUMBER(D17),Ca_1*D17*$O$28,"-")</f>
        <v>-</v>
      </c>
      <c r="E18" s="273"/>
      <c r="F18" s="5" t="s">
        <v>321</v>
      </c>
      <c r="G18" s="321" t="s">
        <v>333</v>
      </c>
      <c r="H18" s="273"/>
      <c r="I18" s="425" t="str">
        <f>IF(ISNUMBER(I17),Ca_1*I17*$O$28,"-")</f>
        <v>-</v>
      </c>
      <c r="J18" s="273"/>
      <c r="K18" s="12" t="s">
        <v>321</v>
      </c>
      <c r="L18" s="5"/>
      <c r="M18" s="5"/>
      <c r="N18" s="10" t="s">
        <v>334</v>
      </c>
      <c r="O18" s="426" t="str">
        <f>IF(ISNUMBER(O17),0.0026673*Tstd/Pstd*O17,"-")</f>
        <v>-</v>
      </c>
      <c r="P18" s="280"/>
      <c r="Q18" s="12" t="s">
        <v>335</v>
      </c>
      <c r="R18" s="12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15" customHeight="1">
      <c r="A19" s="8"/>
      <c r="B19" s="323" t="s">
        <v>336</v>
      </c>
      <c r="C19" s="325"/>
      <c r="D19" s="326" t="str">
        <f>IF(ISNUMBER(D15),D15-D16-(IF(D18&gt;0.000001*D17*$O$28,0.000001*D17*$O$28,D18)),"-")</f>
        <v>-</v>
      </c>
      <c r="E19" s="327"/>
      <c r="F19" s="51" t="s">
        <v>321</v>
      </c>
      <c r="G19" s="323" t="s">
        <v>337</v>
      </c>
      <c r="H19" s="325"/>
      <c r="I19" s="326" t="str">
        <f>IF(ISNUMBER(I15),I15-I16-(IF(I18&gt;0.000001*I17*$O$28,0.000001*I17*$O$28,I18)),"-")</f>
        <v>-</v>
      </c>
      <c r="J19" s="327"/>
      <c r="K19" s="52" t="s">
        <v>321</v>
      </c>
      <c r="L19" s="5"/>
      <c r="M19" s="5"/>
      <c r="N19" s="10" t="s">
        <v>338</v>
      </c>
      <c r="O19" s="423"/>
      <c r="P19" s="273"/>
      <c r="Q19" s="12" t="s">
        <v>329</v>
      </c>
      <c r="R19" s="12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15" customHeight="1">
      <c r="A20" s="8"/>
      <c r="B20" s="387" t="s">
        <v>339</v>
      </c>
      <c r="C20" s="383"/>
      <c r="D20" s="383"/>
      <c r="E20" s="383"/>
      <c r="F20" s="278"/>
      <c r="G20" s="387" t="s">
        <v>340</v>
      </c>
      <c r="H20" s="383"/>
      <c r="I20" s="383"/>
      <c r="J20" s="383"/>
      <c r="K20" s="278"/>
      <c r="L20" s="8"/>
      <c r="M20" s="5"/>
      <c r="N20" s="9" t="s">
        <v>341</v>
      </c>
      <c r="O20" s="426" t="str">
        <f>IF(ISNUMBER(O19),0.0026673*Tstd/Pstd*O19,"-")</f>
        <v>-</v>
      </c>
      <c r="P20" s="280"/>
      <c r="Q20" s="12" t="s">
        <v>335</v>
      </c>
      <c r="R20" s="12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15" customHeight="1">
      <c r="A21" s="8"/>
      <c r="B21" s="419" t="s">
        <v>342</v>
      </c>
      <c r="C21" s="310"/>
      <c r="D21" s="421"/>
      <c r="E21" s="310"/>
      <c r="F21" s="4" t="s">
        <v>321</v>
      </c>
      <c r="G21" s="419" t="s">
        <v>343</v>
      </c>
      <c r="H21" s="310"/>
      <c r="I21" s="421"/>
      <c r="J21" s="310"/>
      <c r="K21" s="4" t="s">
        <v>321</v>
      </c>
      <c r="L21" s="5"/>
      <c r="M21" s="5"/>
      <c r="N21" s="9"/>
      <c r="O21" s="17"/>
      <c r="P21" s="17"/>
      <c r="Q21" s="12"/>
      <c r="R21" s="12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15" customHeight="1">
      <c r="A22" s="8"/>
      <c r="B22" s="321" t="s">
        <v>344</v>
      </c>
      <c r="C22" s="273"/>
      <c r="D22" s="424"/>
      <c r="E22" s="280"/>
      <c r="F22" s="12" t="s">
        <v>321</v>
      </c>
      <c r="G22" s="321" t="s">
        <v>345</v>
      </c>
      <c r="H22" s="273"/>
      <c r="I22" s="424"/>
      <c r="J22" s="280"/>
      <c r="K22" s="12" t="s">
        <v>321</v>
      </c>
      <c r="L22" s="5"/>
      <c r="M22" s="5"/>
      <c r="N22" s="10" t="s">
        <v>346</v>
      </c>
      <c r="O22" s="441" t="str">
        <f>IF(ISNUMBER(O20),O18+O20,"-")</f>
        <v>-</v>
      </c>
      <c r="P22" s="273"/>
      <c r="Q22" s="12" t="s">
        <v>335</v>
      </c>
      <c r="R22" s="12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15" customHeight="1">
      <c r="A23" s="8"/>
      <c r="B23" s="321" t="s">
        <v>347</v>
      </c>
      <c r="C23" s="273"/>
      <c r="D23" s="427"/>
      <c r="E23" s="296"/>
      <c r="F23" s="12" t="s">
        <v>329</v>
      </c>
      <c r="G23" s="321" t="s">
        <v>348</v>
      </c>
      <c r="H23" s="273"/>
      <c r="I23" s="427"/>
      <c r="J23" s="296"/>
      <c r="K23" s="12" t="s">
        <v>329</v>
      </c>
      <c r="L23" s="5"/>
      <c r="M23" s="5"/>
      <c r="N23" s="10" t="s">
        <v>349</v>
      </c>
      <c r="O23" s="426" t="str">
        <f>IF(ISNUMBER(Vws_1),Vws_1/(Vws_1+Vms_1),"-")</f>
        <v>-</v>
      </c>
      <c r="P23" s="280"/>
      <c r="Q23" s="12" t="s">
        <v>350</v>
      </c>
      <c r="R23" s="12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15" customHeight="1">
      <c r="A24" s="8"/>
      <c r="B24" s="321" t="s">
        <v>351</v>
      </c>
      <c r="C24" s="273"/>
      <c r="D24" s="425" t="str">
        <f>IF(ISNUMBER(D23),Ca_1*D23*$O$28,"-")</f>
        <v>-</v>
      </c>
      <c r="E24" s="273"/>
      <c r="F24" s="12" t="s">
        <v>321</v>
      </c>
      <c r="G24" s="321" t="s">
        <v>352</v>
      </c>
      <c r="H24" s="273"/>
      <c r="I24" s="425" t="str">
        <f>IF(ISNUMBER(I23),Ca_1*I23*$O$28,"-")</f>
        <v>-</v>
      </c>
      <c r="J24" s="273"/>
      <c r="K24" s="12" t="s">
        <v>321</v>
      </c>
      <c r="L24" s="51"/>
      <c r="M24" s="51"/>
      <c r="N24" s="57" t="s">
        <v>353</v>
      </c>
      <c r="O24" s="442" t="str">
        <f>IF(ISNUMBER(Bws_1),100*Bws_1,"-")</f>
        <v>-</v>
      </c>
      <c r="P24" s="327"/>
      <c r="Q24" s="52" t="s">
        <v>38</v>
      </c>
      <c r="R24" s="12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15" customHeight="1">
      <c r="A25" s="8"/>
      <c r="B25" s="323" t="s">
        <v>354</v>
      </c>
      <c r="C25" s="325"/>
      <c r="D25" s="326" t="str">
        <f>IF(ISNUMBER(D21),D21-D22-(IF(D24&gt;0.000001*D23*$O$28,0.000001*D23*$O$28,D24)),"-")</f>
        <v>-</v>
      </c>
      <c r="E25" s="327"/>
      <c r="F25" s="52" t="s">
        <v>321</v>
      </c>
      <c r="G25" s="323" t="s">
        <v>355</v>
      </c>
      <c r="H25" s="325"/>
      <c r="I25" s="326" t="str">
        <f>IF(ISNUMBER(I21),I21-I22-(IF(I24&gt;0.000001*I23*$O$28,0.000001*I23*$O$28,I24)),"-")</f>
        <v>-</v>
      </c>
      <c r="J25" s="327"/>
      <c r="K25" s="52" t="s">
        <v>321</v>
      </c>
      <c r="L25" s="444" t="s">
        <v>356</v>
      </c>
      <c r="M25" s="383"/>
      <c r="N25" s="383"/>
      <c r="O25" s="383"/>
      <c r="P25" s="383"/>
      <c r="Q25" s="278"/>
      <c r="R25" s="12"/>
      <c r="S25" s="5"/>
      <c r="T25" s="5"/>
      <c r="U25" s="5"/>
      <c r="V25" s="445"/>
      <c r="W25" s="432"/>
      <c r="X25" s="432"/>
      <c r="Y25" s="432"/>
      <c r="Z25" s="432"/>
      <c r="AA25" s="432"/>
      <c r="AB25" s="432"/>
      <c r="AC25" s="432"/>
      <c r="AD25" s="432"/>
      <c r="AE25" s="433"/>
    </row>
    <row r="26" spans="1:31" ht="15" customHeight="1">
      <c r="A26" s="8"/>
      <c r="B26" s="5"/>
      <c r="C26" s="5"/>
      <c r="D26" s="5"/>
      <c r="E26" s="5"/>
      <c r="F26" s="5"/>
      <c r="G26" s="5"/>
      <c r="H26" s="5"/>
      <c r="I26" s="5"/>
      <c r="J26" s="5"/>
      <c r="K26" s="5"/>
      <c r="L26" s="2"/>
      <c r="M26" s="3"/>
      <c r="N26" s="23" t="s">
        <v>357</v>
      </c>
      <c r="O26" s="420"/>
      <c r="P26" s="312"/>
      <c r="Q26" s="4" t="s">
        <v>321</v>
      </c>
      <c r="R26" s="12"/>
      <c r="S26" s="5"/>
      <c r="T26" s="5"/>
      <c r="U26" s="5"/>
      <c r="V26" s="363"/>
      <c r="W26" s="303"/>
      <c r="X26" s="303"/>
      <c r="Y26" s="303"/>
      <c r="Z26" s="303"/>
      <c r="AA26" s="303"/>
      <c r="AB26" s="303"/>
      <c r="AC26" s="303"/>
      <c r="AD26" s="303"/>
      <c r="AE26" s="304"/>
    </row>
    <row r="27" spans="1:31" ht="15" customHeight="1">
      <c r="A27" s="8"/>
      <c r="B27" s="431" t="s">
        <v>358</v>
      </c>
      <c r="C27" s="432"/>
      <c r="D27" s="432"/>
      <c r="E27" s="432"/>
      <c r="F27" s="432"/>
      <c r="G27" s="432"/>
      <c r="H27" s="432"/>
      <c r="I27" s="432"/>
      <c r="J27" s="433"/>
      <c r="K27" s="128"/>
      <c r="L27" s="8"/>
      <c r="M27" s="128"/>
      <c r="N27" s="10" t="s">
        <v>359</v>
      </c>
      <c r="O27" s="423"/>
      <c r="P27" s="273"/>
      <c r="Q27" s="12" t="s">
        <v>321</v>
      </c>
      <c r="R27" s="12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15" customHeight="1">
      <c r="A28" s="8"/>
      <c r="B28" s="434"/>
      <c r="C28" s="435"/>
      <c r="D28" s="435"/>
      <c r="E28" s="435"/>
      <c r="F28" s="435"/>
      <c r="G28" s="435"/>
      <c r="H28" s="435"/>
      <c r="I28" s="435"/>
      <c r="J28" s="436"/>
      <c r="K28" s="5"/>
      <c r="L28" s="8"/>
      <c r="M28" s="5"/>
      <c r="N28" s="10" t="s">
        <v>360</v>
      </c>
      <c r="O28" s="424"/>
      <c r="P28" s="280"/>
      <c r="Q28" s="12" t="s">
        <v>361</v>
      </c>
      <c r="R28" s="12"/>
      <c r="S28" s="5"/>
      <c r="T28" s="5"/>
      <c r="U28" s="5"/>
      <c r="V28" s="5"/>
      <c r="W28" s="5"/>
      <c r="X28" s="5"/>
      <c r="Y28" s="5"/>
      <c r="Z28" s="7"/>
      <c r="AA28" s="5"/>
      <c r="AB28" s="5"/>
      <c r="AC28" s="5"/>
      <c r="AD28" s="5"/>
      <c r="AE28" s="5"/>
    </row>
    <row r="29" spans="1:31" ht="15" customHeight="1">
      <c r="A29" s="8"/>
      <c r="B29" s="5"/>
      <c r="C29" s="5"/>
      <c r="D29" s="5"/>
      <c r="E29" s="5"/>
      <c r="F29" s="5"/>
      <c r="G29" s="5"/>
      <c r="H29" s="5"/>
      <c r="I29" s="5"/>
      <c r="J29" s="5"/>
      <c r="K29" s="5"/>
      <c r="L29" s="8"/>
      <c r="M29" s="5"/>
      <c r="N29" s="10" t="s">
        <v>362</v>
      </c>
      <c r="O29" s="423"/>
      <c r="P29" s="273"/>
      <c r="Q29" s="12" t="s">
        <v>329</v>
      </c>
      <c r="R29" s="12"/>
      <c r="S29" s="5"/>
      <c r="T29" s="5"/>
      <c r="U29" s="5"/>
      <c r="V29" s="5"/>
      <c r="W29" s="5"/>
      <c r="X29" s="5"/>
      <c r="Y29" s="5"/>
      <c r="Z29" s="7"/>
      <c r="AA29" s="5"/>
      <c r="AB29" s="5"/>
      <c r="AC29" s="5"/>
      <c r="AD29" s="5"/>
      <c r="AE29" s="5"/>
    </row>
    <row r="30" spans="1:31" ht="15" customHeight="1">
      <c r="A30" s="8"/>
      <c r="B30" s="10" t="s">
        <v>363</v>
      </c>
      <c r="C30" s="437" t="str">
        <f>Vm_1</f>
        <v>-</v>
      </c>
      <c r="D30" s="273"/>
      <c r="E30" s="5" t="s">
        <v>364</v>
      </c>
      <c r="F30" s="128"/>
      <c r="G30" s="5"/>
      <c r="H30" s="5"/>
      <c r="I30" s="5"/>
      <c r="J30" s="5"/>
      <c r="K30" s="5"/>
      <c r="L30" s="60"/>
      <c r="M30" s="51"/>
      <c r="N30" s="57" t="s">
        <v>365</v>
      </c>
      <c r="O30" s="443" t="str">
        <f>IF(ISNUMBER(O29),(O26-O27)/O28/O29,"-")</f>
        <v>-</v>
      </c>
      <c r="P30" s="327"/>
      <c r="Q30" s="267" t="s">
        <v>366</v>
      </c>
      <c r="R30" s="12"/>
      <c r="S30" s="5"/>
      <c r="T30" s="5"/>
      <c r="U30" s="5"/>
      <c r="V30" s="5"/>
      <c r="W30" s="5"/>
      <c r="X30" s="5"/>
      <c r="Y30" s="5"/>
      <c r="Z30" s="7"/>
      <c r="AA30" s="5"/>
      <c r="AB30" s="5"/>
      <c r="AC30" s="5"/>
      <c r="AD30" s="5"/>
      <c r="AE30" s="5"/>
    </row>
    <row r="31" spans="1:31" ht="15" customHeight="1">
      <c r="A31" s="8"/>
      <c r="B31" s="10" t="s">
        <v>367</v>
      </c>
      <c r="C31" s="394" t="str">
        <f>IF(ISNUMBER(Vm_1),Tstd/Pstd*Y*Vm_1*(Pbar_1+dH_1/13.6)/Tm_1,"-")</f>
        <v>-</v>
      </c>
      <c r="D31" s="280"/>
      <c r="E31" s="5" t="s">
        <v>368</v>
      </c>
      <c r="F31" s="5"/>
      <c r="G31" s="5"/>
      <c r="H31" s="5"/>
      <c r="I31" s="5"/>
      <c r="J31" s="5"/>
      <c r="K31" s="128"/>
      <c r="L31" s="5"/>
      <c r="M31" s="5"/>
      <c r="N31" s="5"/>
      <c r="O31" s="5"/>
      <c r="P31" s="5"/>
      <c r="Q31" s="5"/>
      <c r="R31" s="12"/>
      <c r="S31" s="5"/>
      <c r="T31" s="5"/>
      <c r="U31" s="5"/>
      <c r="V31" s="5"/>
      <c r="W31" s="5"/>
      <c r="X31" s="5"/>
      <c r="Y31" s="5"/>
      <c r="Z31" s="7"/>
      <c r="AA31" s="5"/>
      <c r="AB31" s="5"/>
      <c r="AC31" s="5"/>
      <c r="AD31" s="5"/>
      <c r="AE31" s="5"/>
    </row>
    <row r="32" spans="1:31" ht="15" customHeight="1">
      <c r="A32" s="8"/>
      <c r="B32" s="10" t="s">
        <v>369</v>
      </c>
      <c r="C32" s="437" t="str">
        <f>Vws_1</f>
        <v>-</v>
      </c>
      <c r="D32" s="273"/>
      <c r="E32" s="5" t="s">
        <v>370</v>
      </c>
      <c r="F32" s="5"/>
      <c r="G32" s="5"/>
      <c r="H32" s="5"/>
      <c r="I32" s="5"/>
      <c r="J32" s="5"/>
      <c r="K32" s="38" t="s">
        <v>371</v>
      </c>
      <c r="L32" s="447" t="str">
        <f>IF(ISNUMBER(Bws_1),-150.3162+13.4622*SQRT(Ts_1)+3861530/(Ts_1^2)+0.591123*(1-Bws_1)*OO-91.9723*Bws_1+0.0000151761*Bws_1*(Ts_1^2),"-")</f>
        <v>-</v>
      </c>
      <c r="M32" s="296"/>
      <c r="N32" s="5" t="s">
        <v>372</v>
      </c>
      <c r="O32" s="5"/>
      <c r="P32" s="5"/>
      <c r="Q32" s="5"/>
      <c r="R32" s="12"/>
      <c r="S32" s="5"/>
      <c r="T32" s="5"/>
      <c r="U32" s="5"/>
      <c r="V32" s="5"/>
      <c r="W32" s="5"/>
      <c r="X32" s="5"/>
      <c r="Y32" s="5"/>
      <c r="Z32" s="7"/>
      <c r="AA32" s="5"/>
      <c r="AB32" s="5"/>
      <c r="AC32" s="5"/>
      <c r="AD32" s="5"/>
      <c r="AE32" s="5"/>
    </row>
    <row r="33" spans="1:31" ht="15" customHeight="1">
      <c r="A33" s="8"/>
      <c r="B33" s="10" t="s">
        <v>373</v>
      </c>
      <c r="C33" s="438" t="str">
        <f>IF(ISNUMBER(Vms_1),Vms_1/Time_1,"-")</f>
        <v>-</v>
      </c>
      <c r="D33" s="280"/>
      <c r="E33" s="5" t="s">
        <v>374</v>
      </c>
      <c r="F33" s="5"/>
      <c r="G33" s="5"/>
      <c r="H33" s="5"/>
      <c r="I33" s="5"/>
      <c r="J33" s="5"/>
      <c r="K33" s="10" t="s">
        <v>375</v>
      </c>
      <c r="L33" s="394" t="str">
        <f>IF(ISNUMBER(Mw_1),1+0.0057193*(vis_1/Ps_1/(IF(ISNUMBER(D50IV_1),D50IV_1,2.5)))*SQRT(Ts_1/Mw_1),"-")</f>
        <v>-</v>
      </c>
      <c r="M33" s="280"/>
      <c r="N33" s="5" t="s">
        <v>376</v>
      </c>
      <c r="O33" s="5"/>
      <c r="P33" s="5"/>
      <c r="Q33" s="5"/>
      <c r="R33" s="12"/>
      <c r="S33" s="5"/>
      <c r="T33" s="5"/>
      <c r="U33" s="5"/>
      <c r="V33" s="5"/>
      <c r="W33" s="5"/>
      <c r="X33" s="5"/>
      <c r="Y33" s="5"/>
      <c r="Z33" s="7"/>
      <c r="AA33" s="5"/>
      <c r="AB33" s="5"/>
      <c r="AC33" s="5"/>
      <c r="AD33" s="5"/>
      <c r="AE33" s="5"/>
    </row>
    <row r="34" spans="1:31" ht="15" customHeight="1">
      <c r="A34" s="8"/>
      <c r="B34" s="10" t="s">
        <v>377</v>
      </c>
      <c r="C34" s="439" t="str">
        <f>IF(ISNUMBER(Qsst_1),Pstd/Tstd*Qsst_1*(1/(1-Bws_1))*Ts_1/Ps_1,"-")</f>
        <v>-</v>
      </c>
      <c r="D34" s="273"/>
      <c r="E34" s="5" t="s">
        <v>378</v>
      </c>
      <c r="F34" s="5"/>
      <c r="G34" s="5"/>
      <c r="H34" s="5"/>
      <c r="I34" s="128"/>
      <c r="J34" s="5"/>
      <c r="K34" s="10" t="s">
        <v>379</v>
      </c>
      <c r="L34" s="440" t="str">
        <f>IF(ISNUMBER(Mw_1),0.15625*(Ts_1/Mw_1/Ps_1)^0.2091*(vis_1/Qs_1)^0.7091,"-")</f>
        <v>-</v>
      </c>
      <c r="M34" s="280"/>
      <c r="N34" s="268" t="s">
        <v>380</v>
      </c>
      <c r="O34" s="5"/>
      <c r="P34" s="5"/>
      <c r="Q34" s="5"/>
      <c r="R34" s="12"/>
      <c r="S34" s="5"/>
      <c r="T34" s="5"/>
      <c r="U34" s="5"/>
      <c r="V34" s="5"/>
      <c r="W34" s="5"/>
      <c r="X34" s="5"/>
      <c r="Y34" s="5"/>
      <c r="Z34" s="7"/>
      <c r="AA34" s="5"/>
      <c r="AB34" s="5"/>
      <c r="AC34" s="5"/>
      <c r="AD34" s="5"/>
      <c r="AE34" s="5"/>
    </row>
    <row r="35" spans="1:31" ht="15" customHeight="1">
      <c r="A35" s="8"/>
      <c r="B35" s="10" t="s">
        <v>381</v>
      </c>
      <c r="C35" s="440" t="str">
        <f>IF(ISNUMBER(Vms_1),Pstd/Tstd*100*Ts_1*Vms_1/60/Vs_1/Time_1/An/Ps_1/(1-Bws_1),"-")</f>
        <v>-</v>
      </c>
      <c r="D35" s="280"/>
      <c r="E35" s="5" t="s">
        <v>382</v>
      </c>
      <c r="F35" s="5"/>
      <c r="G35" s="5"/>
      <c r="H35" s="5"/>
      <c r="I35" s="5"/>
      <c r="J35" s="5"/>
      <c r="K35" s="10" t="s">
        <v>383</v>
      </c>
      <c r="L35" s="440" t="str">
        <f>IF(ISNUMBER(Mw_1),IF(Nr_1&lt;3162,0.0024302*(vis_1/Qs_1)^1.1791*SQRT(1/Cf_1)*(Ts_1/Ps_1/Mw_1)^0.679,0.019723*(vis_1/Qs_1)^0.8058*SQRT(1/Cf_1)*(Ts_1/Ps_1/Mw_1)^0.3058),"-")</f>
        <v>-</v>
      </c>
      <c r="M35" s="280"/>
      <c r="N35" s="268" t="s">
        <v>384</v>
      </c>
      <c r="O35" s="5"/>
      <c r="P35" s="5"/>
      <c r="Q35" s="5"/>
      <c r="R35" s="12"/>
      <c r="S35" s="5"/>
      <c r="T35" s="5"/>
      <c r="U35" s="5"/>
      <c r="V35" s="5"/>
      <c r="W35" s="5"/>
      <c r="X35" s="5"/>
      <c r="Y35" s="5"/>
      <c r="Z35" s="7"/>
      <c r="AA35" s="5"/>
      <c r="AB35" s="5"/>
      <c r="AC35" s="5"/>
      <c r="AD35" s="5"/>
      <c r="AE35" s="5"/>
    </row>
    <row r="36" spans="1:31" ht="15" customHeight="1">
      <c r="A36" s="8"/>
      <c r="B36" s="10" t="s">
        <v>385</v>
      </c>
      <c r="C36" s="428" t="str">
        <f>IF(ISNUMBER(vis_1),864000*Ps_1*Mw_1/Ts_1*Qs_1/vis_1,"-")</f>
        <v>-</v>
      </c>
      <c r="D36" s="280"/>
      <c r="E36" s="5" t="s">
        <v>386</v>
      </c>
      <c r="F36" s="5"/>
      <c r="G36" s="5"/>
      <c r="H36" s="5"/>
      <c r="I36" s="5"/>
      <c r="J36" s="5"/>
      <c r="K36" s="10" t="s">
        <v>387</v>
      </c>
      <c r="L36" s="448" t="str">
        <f>IF(ISNUMBER(Qsw_1),(1-Bws_1)*Qsw_1,"-")</f>
        <v>-</v>
      </c>
      <c r="M36" s="280"/>
      <c r="N36" s="449" t="s">
        <v>388</v>
      </c>
      <c r="O36" s="272"/>
      <c r="P36" s="272"/>
      <c r="Q36" s="273"/>
      <c r="R36" s="12"/>
      <c r="S36" s="5"/>
      <c r="T36" s="5"/>
      <c r="U36" s="5"/>
      <c r="V36" s="5"/>
      <c r="W36" s="5"/>
      <c r="X36" s="5"/>
      <c r="Y36" s="5"/>
      <c r="Z36" s="7"/>
      <c r="AA36" s="5"/>
      <c r="AB36" s="5"/>
      <c r="AC36" s="5"/>
      <c r="AD36" s="5"/>
      <c r="AE36" s="5"/>
    </row>
    <row r="37" spans="1:31" ht="15" customHeight="1">
      <c r="A37" s="8"/>
      <c r="B37" s="10" t="s">
        <v>389</v>
      </c>
      <c r="C37" s="429" t="str">
        <f>IF(ISNUMBER(Mw_1),85.49*Cp*dPsqavg_1*SQRT(Ts_1/Ps_1/Mw_1),"-")</f>
        <v>-</v>
      </c>
      <c r="D37" s="280"/>
      <c r="E37" s="5" t="s">
        <v>390</v>
      </c>
      <c r="F37" s="5"/>
      <c r="G37" s="5"/>
      <c r="H37" s="5"/>
      <c r="I37" s="5"/>
      <c r="J37" s="5"/>
      <c r="K37" s="10" t="s">
        <v>391</v>
      </c>
      <c r="L37" s="448" t="str">
        <f>IF(ISNUMBER(Bws_1),3600*Vs_1*A/Pstd*Tstd*Ps_1/Ts_1,"-")</f>
        <v>-</v>
      </c>
      <c r="M37" s="280"/>
      <c r="N37" s="449" t="s">
        <v>392</v>
      </c>
      <c r="O37" s="272"/>
      <c r="P37" s="272"/>
      <c r="Q37" s="273"/>
      <c r="R37" s="12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15" customHeight="1">
      <c r="A38" s="8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12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15" customHeight="1">
      <c r="A39" s="8"/>
      <c r="B39" s="7"/>
      <c r="C39" s="5"/>
      <c r="D39" s="5"/>
      <c r="E39" s="378" t="s">
        <v>393</v>
      </c>
      <c r="F39" s="272"/>
      <c r="G39" s="273"/>
      <c r="H39" s="128"/>
      <c r="I39" s="5"/>
      <c r="J39" s="5"/>
      <c r="K39" s="5"/>
      <c r="L39" s="378" t="s">
        <v>394</v>
      </c>
      <c r="M39" s="272"/>
      <c r="N39" s="273"/>
      <c r="O39" s="5"/>
      <c r="P39" s="5"/>
      <c r="Q39" s="5"/>
      <c r="R39" s="12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7.25" customHeight="1">
      <c r="A40" s="8"/>
      <c r="B40" s="7"/>
      <c r="C40" s="19"/>
      <c r="D40" s="10" t="s">
        <v>395</v>
      </c>
      <c r="E40" s="430" t="str">
        <f>IF(AND(ISNUMBER(M1_1),ISNUMBER(M4_1)),(7000/453592)*(M1_1+M4_1)/Vms_1,"-")</f>
        <v>-</v>
      </c>
      <c r="F40" s="295"/>
      <c r="G40" s="296"/>
      <c r="H40" s="5" t="s">
        <v>396</v>
      </c>
      <c r="I40" s="5"/>
      <c r="J40" s="5"/>
      <c r="K40" s="10" t="s">
        <v>397</v>
      </c>
      <c r="L40" s="446" t="str">
        <f>IF(ISNUMBER(E40),Qsd_1*E40/7000,"-")</f>
        <v>-</v>
      </c>
      <c r="M40" s="295"/>
      <c r="N40" s="296"/>
      <c r="O40" s="5" t="s">
        <v>398</v>
      </c>
      <c r="P40" s="5"/>
      <c r="Q40" s="5"/>
      <c r="R40" s="12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6" customHeight="1">
      <c r="A41" s="8"/>
      <c r="B41" s="7"/>
      <c r="C41" s="19"/>
      <c r="D41" s="10"/>
      <c r="E41" s="269"/>
      <c r="F41" s="270"/>
      <c r="G41" s="270"/>
      <c r="H41" s="5"/>
      <c r="I41" s="5"/>
      <c r="J41" s="5"/>
      <c r="K41" s="10"/>
      <c r="L41" s="269"/>
      <c r="M41" s="270"/>
      <c r="N41" s="270"/>
      <c r="O41" s="5"/>
      <c r="P41" s="5"/>
      <c r="Q41" s="5"/>
      <c r="R41" s="12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15" customHeight="1">
      <c r="A42" s="8"/>
      <c r="B42" s="7"/>
      <c r="C42" s="19"/>
      <c r="D42" s="10" t="s">
        <v>399</v>
      </c>
      <c r="E42" s="430" t="str">
        <f>IF(AND(ISNUMBER(M1_1),ISNUMBER(M3_1),ISNUMBER(M4_1)),(7000/453592)*(M1_1+M3_1+M4_1)/Vms_1,"-")</f>
        <v>-</v>
      </c>
      <c r="F42" s="295"/>
      <c r="G42" s="296"/>
      <c r="H42" s="5" t="s">
        <v>396</v>
      </c>
      <c r="I42" s="5"/>
      <c r="J42" s="5"/>
      <c r="K42" s="10" t="s">
        <v>400</v>
      </c>
      <c r="L42" s="446" t="str">
        <f>IF(ISNUMBER(E42),Qsd_1*E42/7000,"-")</f>
        <v>-</v>
      </c>
      <c r="M42" s="295"/>
      <c r="N42" s="296"/>
      <c r="O42" s="5" t="s">
        <v>398</v>
      </c>
      <c r="P42" s="5"/>
      <c r="Q42" s="5"/>
      <c r="R42" s="12"/>
      <c r="S42" s="5"/>
      <c r="T42" s="5"/>
      <c r="U42" s="5"/>
      <c r="V42" s="5"/>
      <c r="W42" s="5"/>
      <c r="X42" s="5"/>
      <c r="Y42" s="5"/>
      <c r="Z42" s="7"/>
      <c r="AA42" s="5"/>
      <c r="AB42" s="5"/>
      <c r="AC42" s="5"/>
      <c r="AD42" s="5"/>
      <c r="AE42" s="5"/>
    </row>
    <row r="43" spans="1:31" ht="6" customHeight="1">
      <c r="A43" s="8"/>
      <c r="B43" s="7"/>
      <c r="C43" s="19"/>
      <c r="D43" s="10"/>
      <c r="E43" s="269"/>
      <c r="F43" s="270"/>
      <c r="G43" s="270"/>
      <c r="H43" s="5"/>
      <c r="I43" s="5"/>
      <c r="J43" s="5"/>
      <c r="K43" s="10"/>
      <c r="L43" s="269"/>
      <c r="M43" s="270"/>
      <c r="N43" s="270"/>
      <c r="O43" s="5"/>
      <c r="P43" s="5"/>
      <c r="Q43" s="5"/>
      <c r="R43" s="12"/>
      <c r="S43" s="5"/>
      <c r="T43" s="5"/>
      <c r="U43" s="5"/>
      <c r="V43" s="5"/>
      <c r="W43" s="5"/>
      <c r="X43" s="5"/>
      <c r="Y43" s="5"/>
      <c r="Z43" s="7"/>
      <c r="AA43" s="5"/>
      <c r="AB43" s="5"/>
      <c r="AC43" s="5"/>
      <c r="AD43" s="5"/>
      <c r="AE43" s="5"/>
    </row>
    <row r="44" spans="1:31" ht="15" customHeight="1">
      <c r="A44" s="8"/>
      <c r="B44" s="7"/>
      <c r="C44" s="19"/>
      <c r="D44" s="10" t="s">
        <v>401</v>
      </c>
      <c r="E44" s="430" t="str">
        <f>IF(AND(ISNUMBER(M1_1),ISNUMBER(M2_1),ISNUMBER(M3_1),ISNUMBER(M4_1)),(7000/453592)*(M1_1+M2_1+M3_1+M4_1)/Vms_1,"-")</f>
        <v>-</v>
      </c>
      <c r="F44" s="295"/>
      <c r="G44" s="296"/>
      <c r="H44" s="5" t="s">
        <v>396</v>
      </c>
      <c r="I44" s="5"/>
      <c r="J44" s="5"/>
      <c r="K44" s="10" t="s">
        <v>401</v>
      </c>
      <c r="L44" s="446" t="str">
        <f>IF(ISNUMBER(E44),Qsd_1*E44/7000,"-")</f>
        <v>-</v>
      </c>
      <c r="M44" s="295"/>
      <c r="N44" s="296"/>
      <c r="O44" s="5" t="s">
        <v>398</v>
      </c>
      <c r="P44" s="5"/>
      <c r="Q44" s="5"/>
      <c r="R44" s="12"/>
      <c r="S44" s="5"/>
      <c r="T44" s="5"/>
      <c r="U44" s="7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15" customHeight="1">
      <c r="A45" s="8"/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12"/>
      <c r="S45" s="5"/>
      <c r="T45" s="5"/>
      <c r="U45" s="7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15" customHeight="1">
      <c r="A46" s="8"/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12"/>
      <c r="S46" s="5"/>
      <c r="T46" s="5"/>
      <c r="U46" s="7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15" customHeight="1">
      <c r="A47" s="8"/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12"/>
      <c r="S47" s="5"/>
      <c r="T47" s="5"/>
      <c r="U47" s="7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9" customHeight="1">
      <c r="A48" s="8"/>
      <c r="B48" s="5"/>
      <c r="C48" s="12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12"/>
      <c r="S48" s="5"/>
      <c r="T48" s="5"/>
      <c r="U48" s="7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15" customHeight="1">
      <c r="A49" s="8"/>
      <c r="B49" s="51"/>
      <c r="C49" s="51"/>
      <c r="D49" s="51"/>
      <c r="E49" s="51"/>
      <c r="F49" s="51"/>
      <c r="G49" s="51"/>
      <c r="H49" s="51"/>
      <c r="I49" s="51"/>
      <c r="J49" s="5"/>
      <c r="K49" s="51"/>
      <c r="L49" s="51"/>
      <c r="M49" s="51"/>
      <c r="N49" s="51"/>
      <c r="O49" s="51"/>
      <c r="P49" s="51"/>
      <c r="Q49" s="51"/>
      <c r="R49" s="12"/>
      <c r="S49" s="5"/>
      <c r="T49" s="5"/>
      <c r="U49" s="7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17.25" customHeight="1">
      <c r="A50" s="8"/>
      <c r="B50" s="121"/>
      <c r="C50" s="121" t="s">
        <v>111</v>
      </c>
      <c r="D50" s="122"/>
      <c r="E50" s="122"/>
      <c r="F50" s="123"/>
      <c r="G50" s="123"/>
      <c r="H50" s="124"/>
      <c r="I50" s="124"/>
      <c r="J50" s="5"/>
      <c r="K50" s="121"/>
      <c r="L50" s="121" t="s">
        <v>112</v>
      </c>
      <c r="M50" s="122"/>
      <c r="N50" s="5"/>
      <c r="O50" s="5"/>
      <c r="P50" s="5"/>
      <c r="Q50" s="5"/>
      <c r="R50" s="12"/>
      <c r="S50" s="5"/>
      <c r="T50" s="5"/>
      <c r="U50" s="7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5" customHeight="1">
      <c r="A51" s="60"/>
      <c r="B51" s="51"/>
      <c r="C51" s="51"/>
      <c r="D51" s="51"/>
      <c r="E51" s="51"/>
      <c r="F51" s="51"/>
      <c r="G51" s="51"/>
      <c r="H51" s="125"/>
      <c r="I51" s="51"/>
      <c r="J51" s="51"/>
      <c r="K51" s="51"/>
      <c r="L51" s="126"/>
      <c r="M51" s="125"/>
      <c r="N51" s="51"/>
      <c r="O51" s="51"/>
      <c r="P51" s="51"/>
      <c r="Q51" s="51"/>
      <c r="R51" s="52"/>
      <c r="S51" s="5"/>
      <c r="T51" s="5"/>
      <c r="U51" s="7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4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7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7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15" customHeight="1">
      <c r="A54" s="5"/>
      <c r="B54" s="5"/>
      <c r="C54" s="5"/>
      <c r="D54" s="5"/>
      <c r="E54" s="5"/>
      <c r="F54" s="5"/>
      <c r="G54" s="12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7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1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7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1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7"/>
      <c r="AA56" s="5"/>
      <c r="AB56" s="5"/>
      <c r="AC56" s="5"/>
      <c r="AD56" s="5"/>
      <c r="AE56" s="5"/>
    </row>
    <row r="57" spans="1:31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7"/>
      <c r="AA57" s="5"/>
      <c r="AB57" s="5"/>
      <c r="AC57" s="5"/>
      <c r="AD57" s="5"/>
      <c r="AE57" s="5"/>
    </row>
    <row r="58" spans="1:31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7"/>
      <c r="AA58" s="5"/>
      <c r="AB58" s="5"/>
      <c r="AC58" s="5"/>
      <c r="AD58" s="5"/>
      <c r="AE58" s="5"/>
    </row>
    <row r="59" spans="1:31" ht="5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7"/>
      <c r="AA59" s="5"/>
      <c r="AB59" s="5"/>
      <c r="AC59" s="5"/>
      <c r="AD59" s="5"/>
      <c r="AE59" s="5"/>
    </row>
    <row r="60" spans="1:31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7"/>
      <c r="AA60" s="5"/>
      <c r="AB60" s="5"/>
      <c r="AC60" s="5"/>
      <c r="AD60" s="5"/>
      <c r="AE60" s="5"/>
    </row>
    <row r="61" spans="1:31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7"/>
      <c r="AA61" s="5"/>
      <c r="AB61" s="5"/>
      <c r="AC61" s="5"/>
      <c r="AD61" s="5"/>
      <c r="AE61" s="5"/>
    </row>
    <row r="62" spans="1:31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7"/>
      <c r="AA62" s="5"/>
      <c r="AB62" s="5"/>
      <c r="AC62" s="5"/>
      <c r="AD62" s="5"/>
      <c r="AE62" s="5"/>
    </row>
    <row r="63" spans="1:31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7"/>
      <c r="AA63" s="5"/>
      <c r="AB63" s="5"/>
      <c r="AC63" s="5"/>
      <c r="AD63" s="5"/>
      <c r="AE63" s="5"/>
    </row>
    <row r="64" spans="1:31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7"/>
      <c r="AA64" s="5"/>
      <c r="AB64" s="5"/>
      <c r="AC64" s="5"/>
      <c r="AD64" s="5"/>
      <c r="AE64" s="5"/>
    </row>
    <row r="65" spans="1:31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7"/>
      <c r="AA65" s="5"/>
      <c r="AB65" s="5"/>
      <c r="AC65" s="5"/>
      <c r="AD65" s="5"/>
      <c r="AE65" s="5"/>
    </row>
    <row r="66" spans="1:31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7"/>
      <c r="AA66" s="5"/>
      <c r="AB66" s="5"/>
      <c r="AC66" s="5"/>
      <c r="AD66" s="5"/>
      <c r="AE66" s="5"/>
    </row>
    <row r="67" spans="1:31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7"/>
      <c r="AA67" s="5"/>
      <c r="AB67" s="5"/>
      <c r="AC67" s="5"/>
      <c r="AD67" s="5"/>
      <c r="AE67" s="5"/>
    </row>
    <row r="68" spans="1:31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7"/>
      <c r="AA68" s="5"/>
      <c r="AB68" s="5"/>
      <c r="AC68" s="5"/>
      <c r="AD68" s="5"/>
      <c r="AE68" s="5"/>
    </row>
    <row r="69" spans="1:31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7"/>
      <c r="AA69" s="5"/>
      <c r="AB69" s="5"/>
      <c r="AC69" s="5"/>
      <c r="AD69" s="5"/>
      <c r="AE69" s="5"/>
    </row>
    <row r="70" spans="1:31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7"/>
      <c r="AA70" s="5"/>
      <c r="AB70" s="5"/>
      <c r="AC70" s="5"/>
      <c r="AD70" s="5"/>
      <c r="AE70" s="5"/>
    </row>
    <row r="71" spans="1:31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7"/>
      <c r="AA71" s="5"/>
      <c r="AB71" s="5"/>
      <c r="AC71" s="5"/>
      <c r="AD71" s="5"/>
      <c r="AE71" s="5"/>
    </row>
    <row r="72" spans="1:31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7"/>
      <c r="AA72" s="5"/>
      <c r="AB72" s="5"/>
      <c r="AC72" s="5"/>
      <c r="AD72" s="5"/>
      <c r="AE72" s="5"/>
    </row>
    <row r="73" spans="1:31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7"/>
      <c r="AA73" s="5"/>
      <c r="AB73" s="5"/>
      <c r="AC73" s="5"/>
      <c r="AD73" s="5"/>
      <c r="AE73" s="5"/>
    </row>
    <row r="74" spans="1:31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7"/>
      <c r="AA74" s="5"/>
      <c r="AB74" s="5"/>
      <c r="AC74" s="5"/>
      <c r="AD74" s="5"/>
      <c r="AE74" s="5"/>
    </row>
    <row r="75" spans="1:31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7"/>
      <c r="AA75" s="5"/>
      <c r="AB75" s="5"/>
      <c r="AC75" s="5"/>
      <c r="AD75" s="5"/>
      <c r="AE75" s="5"/>
    </row>
    <row r="76" spans="1:31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7"/>
      <c r="AA76" s="5"/>
      <c r="AB76" s="5"/>
      <c r="AC76" s="5"/>
      <c r="AD76" s="5"/>
      <c r="AE76" s="5"/>
    </row>
    <row r="77" spans="1:31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7"/>
      <c r="AA77" s="5"/>
      <c r="AB77" s="5"/>
      <c r="AC77" s="5"/>
      <c r="AD77" s="5"/>
      <c r="AE77" s="5"/>
    </row>
    <row r="78" spans="1:31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7"/>
      <c r="AA78" s="5"/>
      <c r="AB78" s="5"/>
      <c r="AC78" s="5"/>
      <c r="AD78" s="5"/>
      <c r="AE78" s="5"/>
    </row>
    <row r="79" spans="1:31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7"/>
      <c r="AA79" s="5"/>
      <c r="AB79" s="5"/>
      <c r="AC79" s="5"/>
      <c r="AD79" s="5"/>
      <c r="AE79" s="5"/>
    </row>
    <row r="80" spans="1:31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7"/>
      <c r="AA80" s="5"/>
      <c r="AB80" s="5"/>
      <c r="AC80" s="5"/>
      <c r="AD80" s="5"/>
      <c r="AE80" s="5"/>
    </row>
    <row r="81" spans="1:31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7"/>
      <c r="AA81" s="5"/>
      <c r="AB81" s="5"/>
      <c r="AC81" s="5"/>
      <c r="AD81" s="5"/>
      <c r="AE81" s="5"/>
    </row>
    <row r="82" spans="1:31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7"/>
      <c r="AA82" s="5"/>
      <c r="AB82" s="5"/>
      <c r="AC82" s="5"/>
      <c r="AD82" s="5"/>
      <c r="AE82" s="5"/>
    </row>
    <row r="83" spans="1:31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7"/>
      <c r="AA83" s="5"/>
      <c r="AB83" s="5"/>
      <c r="AC83" s="5"/>
      <c r="AD83" s="5"/>
      <c r="AE83" s="5"/>
    </row>
    <row r="84" spans="1:31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7"/>
      <c r="AA84" s="5"/>
      <c r="AB84" s="5"/>
      <c r="AC84" s="5"/>
      <c r="AD84" s="5"/>
      <c r="AE84" s="5"/>
    </row>
    <row r="85" spans="1:31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7"/>
      <c r="AA85" s="5"/>
      <c r="AB85" s="5"/>
      <c r="AC85" s="5"/>
      <c r="AD85" s="5"/>
      <c r="AE85" s="5"/>
    </row>
    <row r="86" spans="1:31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7"/>
      <c r="AA86" s="5"/>
      <c r="AB86" s="5"/>
      <c r="AC86" s="5"/>
      <c r="AD86" s="5"/>
      <c r="AE86" s="5"/>
    </row>
    <row r="87" spans="1:31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7"/>
      <c r="AA87" s="5"/>
      <c r="AB87" s="5"/>
      <c r="AC87" s="5"/>
      <c r="AD87" s="5"/>
      <c r="AE87" s="5"/>
    </row>
    <row r="88" spans="1:31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7"/>
      <c r="AA88" s="5"/>
      <c r="AB88" s="5"/>
      <c r="AC88" s="5"/>
      <c r="AD88" s="5"/>
      <c r="AE88" s="5"/>
    </row>
    <row r="89" spans="1:31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7"/>
      <c r="AA89" s="5"/>
      <c r="AB89" s="5"/>
      <c r="AC89" s="5"/>
      <c r="AD89" s="5"/>
      <c r="AE89" s="5"/>
    </row>
    <row r="90" spans="1:31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7"/>
      <c r="AA90" s="5"/>
      <c r="AB90" s="5"/>
      <c r="AC90" s="5"/>
      <c r="AD90" s="5"/>
      <c r="AE90" s="5"/>
    </row>
    <row r="91" spans="1:31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7"/>
      <c r="AA91" s="5"/>
      <c r="AB91" s="5"/>
      <c r="AC91" s="5"/>
      <c r="AD91" s="5"/>
      <c r="AE91" s="5"/>
    </row>
    <row r="92" spans="1:31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7"/>
      <c r="AA92" s="5"/>
      <c r="AB92" s="5"/>
      <c r="AC92" s="5"/>
      <c r="AD92" s="5"/>
      <c r="AE92" s="5"/>
    </row>
    <row r="93" spans="1:31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7"/>
      <c r="AA93" s="5"/>
      <c r="AB93" s="5"/>
      <c r="AC93" s="5"/>
      <c r="AD93" s="5"/>
      <c r="AE93" s="5"/>
    </row>
    <row r="94" spans="1:31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7"/>
      <c r="AA94" s="5"/>
      <c r="AB94" s="5"/>
      <c r="AC94" s="5"/>
      <c r="AD94" s="5"/>
      <c r="AE94" s="5"/>
    </row>
    <row r="95" spans="1:31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7"/>
      <c r="AA95" s="5"/>
      <c r="AB95" s="5"/>
      <c r="AC95" s="5"/>
      <c r="AD95" s="5"/>
      <c r="AE95" s="5"/>
    </row>
    <row r="96" spans="1:31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7"/>
      <c r="AA96" s="5"/>
      <c r="AB96" s="5"/>
      <c r="AC96" s="5"/>
      <c r="AD96" s="5"/>
      <c r="AE96" s="5"/>
    </row>
    <row r="97" spans="1:31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7"/>
      <c r="AA97" s="5"/>
      <c r="AB97" s="5"/>
      <c r="AC97" s="5"/>
      <c r="AD97" s="5"/>
      <c r="AE97" s="5"/>
    </row>
    <row r="98" spans="1:31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7"/>
      <c r="AA98" s="5"/>
      <c r="AB98" s="5"/>
      <c r="AC98" s="5"/>
      <c r="AD98" s="5"/>
      <c r="AE98" s="5"/>
    </row>
    <row r="99" spans="1:31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7"/>
      <c r="AA99" s="5"/>
      <c r="AB99" s="5"/>
      <c r="AC99" s="5"/>
      <c r="AD99" s="5"/>
      <c r="AE99" s="5"/>
    </row>
    <row r="100" spans="1:31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7"/>
      <c r="AA100" s="5"/>
      <c r="AB100" s="5"/>
      <c r="AC100" s="5"/>
      <c r="AD100" s="5"/>
      <c r="AE100" s="5"/>
    </row>
    <row r="101" spans="1:31" ht="1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7"/>
      <c r="AA101" s="5"/>
      <c r="AB101" s="5"/>
      <c r="AC101" s="5"/>
      <c r="AD101" s="5"/>
      <c r="AE101" s="5"/>
    </row>
    <row r="102" spans="1:31" ht="1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7"/>
      <c r="AA102" s="5"/>
      <c r="AB102" s="5"/>
      <c r="AC102" s="5"/>
      <c r="AD102" s="5"/>
      <c r="AE102" s="5"/>
    </row>
    <row r="103" spans="1:31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7"/>
      <c r="AA103" s="5"/>
      <c r="AB103" s="5"/>
      <c r="AC103" s="5"/>
      <c r="AD103" s="5"/>
      <c r="AE103" s="5"/>
    </row>
    <row r="104" spans="1:31" ht="1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7"/>
      <c r="AA104" s="5"/>
      <c r="AB104" s="5"/>
      <c r="AC104" s="5"/>
      <c r="AD104" s="5"/>
      <c r="AE104" s="5"/>
    </row>
    <row r="105" spans="1:31" ht="1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7"/>
      <c r="AA105" s="5"/>
      <c r="AB105" s="5"/>
      <c r="AC105" s="5"/>
      <c r="AD105" s="5"/>
      <c r="AE105" s="5"/>
    </row>
    <row r="106" spans="1:31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7"/>
      <c r="AA106" s="5"/>
      <c r="AB106" s="5"/>
      <c r="AC106" s="5"/>
      <c r="AD106" s="5"/>
      <c r="AE106" s="5"/>
    </row>
    <row r="107" spans="1:31" ht="1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7"/>
      <c r="AA107" s="5"/>
      <c r="AB107" s="5"/>
      <c r="AC107" s="5"/>
      <c r="AD107" s="5"/>
      <c r="AE107" s="5"/>
    </row>
    <row r="108" spans="1:31" ht="1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7"/>
      <c r="AA108" s="5"/>
      <c r="AB108" s="5"/>
      <c r="AC108" s="5"/>
      <c r="AD108" s="5"/>
      <c r="AE108" s="5"/>
    </row>
    <row r="109" spans="1:31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7"/>
      <c r="AA109" s="5"/>
      <c r="AB109" s="5"/>
      <c r="AC109" s="5"/>
      <c r="AD109" s="5"/>
      <c r="AE109" s="5"/>
    </row>
    <row r="110" spans="1:31" ht="1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7"/>
      <c r="AA110" s="5"/>
      <c r="AB110" s="5"/>
      <c r="AC110" s="5"/>
      <c r="AD110" s="5"/>
      <c r="AE110" s="5"/>
    </row>
    <row r="111" spans="1:31" ht="1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7"/>
      <c r="AA111" s="5"/>
      <c r="AB111" s="5"/>
      <c r="AC111" s="5"/>
      <c r="AD111" s="5"/>
      <c r="AE111" s="5"/>
    </row>
    <row r="112" spans="1:31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7"/>
      <c r="AA112" s="5"/>
      <c r="AB112" s="5"/>
      <c r="AC112" s="5"/>
      <c r="AD112" s="5"/>
      <c r="AE112" s="5"/>
    </row>
    <row r="113" spans="1:31" ht="1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7"/>
      <c r="AA113" s="5"/>
      <c r="AB113" s="5"/>
      <c r="AC113" s="5"/>
      <c r="AD113" s="5"/>
      <c r="AE113" s="5"/>
    </row>
    <row r="114" spans="1:31" ht="1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7"/>
      <c r="AA114" s="5"/>
      <c r="AB114" s="5"/>
      <c r="AC114" s="5"/>
      <c r="AD114" s="5"/>
      <c r="AE114" s="5"/>
    </row>
    <row r="115" spans="1:31" ht="1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7"/>
      <c r="AA115" s="5"/>
      <c r="AB115" s="5"/>
      <c r="AC115" s="5"/>
      <c r="AD115" s="5"/>
      <c r="AE115" s="5"/>
    </row>
    <row r="116" spans="1:31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7"/>
      <c r="AA116" s="5"/>
      <c r="AB116" s="5"/>
      <c r="AC116" s="5"/>
      <c r="AD116" s="5"/>
      <c r="AE116" s="5"/>
    </row>
    <row r="117" spans="1:31" ht="1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7"/>
      <c r="AA117" s="5"/>
      <c r="AB117" s="5"/>
      <c r="AC117" s="5"/>
      <c r="AD117" s="5"/>
      <c r="AE117" s="5"/>
    </row>
    <row r="118" spans="1:31" ht="1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7"/>
      <c r="AA118" s="5"/>
      <c r="AB118" s="5"/>
      <c r="AC118" s="5"/>
      <c r="AD118" s="5"/>
      <c r="AE118" s="5"/>
    </row>
    <row r="119" spans="1:31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7"/>
      <c r="AA119" s="5"/>
      <c r="AB119" s="5"/>
      <c r="AC119" s="5"/>
      <c r="AD119" s="5"/>
      <c r="AE119" s="5"/>
    </row>
    <row r="120" spans="1:31" ht="1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7"/>
      <c r="AA120" s="5"/>
      <c r="AB120" s="5"/>
      <c r="AC120" s="5"/>
      <c r="AD120" s="5"/>
      <c r="AE120" s="5"/>
    </row>
    <row r="121" spans="1:31" ht="1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7"/>
      <c r="AA121" s="5"/>
      <c r="AB121" s="5"/>
      <c r="AC121" s="5"/>
      <c r="AD121" s="5"/>
      <c r="AE121" s="5"/>
    </row>
    <row r="122" spans="1:31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7"/>
      <c r="AA122" s="5"/>
      <c r="AB122" s="5"/>
      <c r="AC122" s="5"/>
      <c r="AD122" s="5"/>
      <c r="AE122" s="5"/>
    </row>
    <row r="123" spans="1:31" ht="1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7"/>
      <c r="AA123" s="5"/>
      <c r="AB123" s="5"/>
      <c r="AC123" s="5"/>
      <c r="AD123" s="5"/>
      <c r="AE123" s="5"/>
    </row>
    <row r="124" spans="1:31" ht="1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7"/>
      <c r="AA124" s="5"/>
      <c r="AB124" s="5"/>
      <c r="AC124" s="5"/>
      <c r="AD124" s="5"/>
      <c r="AE124" s="5"/>
    </row>
    <row r="125" spans="1:31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7"/>
      <c r="AA125" s="5"/>
      <c r="AB125" s="5"/>
      <c r="AC125" s="5"/>
      <c r="AD125" s="5"/>
      <c r="AE125" s="5"/>
    </row>
    <row r="126" spans="1:31" ht="1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7"/>
      <c r="AA126" s="5"/>
      <c r="AB126" s="5"/>
      <c r="AC126" s="5"/>
      <c r="AD126" s="5"/>
      <c r="AE126" s="5"/>
    </row>
    <row r="127" spans="1:31" ht="1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7"/>
      <c r="AA127" s="5"/>
      <c r="AB127" s="5"/>
      <c r="AC127" s="5"/>
      <c r="AD127" s="5"/>
      <c r="AE127" s="5"/>
    </row>
    <row r="128" spans="1:31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7"/>
      <c r="AA128" s="5"/>
      <c r="AB128" s="5"/>
      <c r="AC128" s="5"/>
      <c r="AD128" s="5"/>
      <c r="AE128" s="5"/>
    </row>
    <row r="129" spans="1:31" ht="1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7"/>
      <c r="AA129" s="5"/>
      <c r="AB129" s="5"/>
      <c r="AC129" s="5"/>
      <c r="AD129" s="5"/>
      <c r="AE129" s="5"/>
    </row>
    <row r="130" spans="1:31" ht="1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7"/>
      <c r="AA130" s="5"/>
      <c r="AB130" s="5"/>
      <c r="AC130" s="5"/>
      <c r="AD130" s="5"/>
      <c r="AE130" s="5"/>
    </row>
    <row r="131" spans="1:31" ht="1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7"/>
      <c r="AA131" s="5"/>
      <c r="AB131" s="5"/>
      <c r="AC131" s="5"/>
      <c r="AD131" s="5"/>
      <c r="AE131" s="5"/>
    </row>
    <row r="132" spans="1:31" ht="1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7"/>
      <c r="AA132" s="5"/>
      <c r="AB132" s="5"/>
      <c r="AC132" s="5"/>
      <c r="AD132" s="5"/>
      <c r="AE132" s="5"/>
    </row>
    <row r="133" spans="1:31" ht="1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7"/>
      <c r="AA133" s="5"/>
      <c r="AB133" s="5"/>
      <c r="AC133" s="5"/>
      <c r="AD133" s="5"/>
      <c r="AE133" s="5"/>
    </row>
    <row r="134" spans="1:31" ht="1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7"/>
      <c r="AA134" s="5"/>
      <c r="AB134" s="5"/>
      <c r="AC134" s="5"/>
      <c r="AD134" s="5"/>
      <c r="AE134" s="5"/>
    </row>
    <row r="135" spans="1:31" ht="1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7"/>
      <c r="AA135" s="5"/>
      <c r="AB135" s="5"/>
      <c r="AC135" s="5"/>
      <c r="AD135" s="5"/>
      <c r="AE135" s="5"/>
    </row>
    <row r="136" spans="1:31" ht="1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7"/>
      <c r="AA136" s="5"/>
      <c r="AB136" s="5"/>
      <c r="AC136" s="5"/>
      <c r="AD136" s="5"/>
      <c r="AE136" s="5"/>
    </row>
    <row r="137" spans="1:31" ht="1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7"/>
      <c r="AA137" s="5"/>
      <c r="AB137" s="5"/>
      <c r="AC137" s="5"/>
      <c r="AD137" s="5"/>
      <c r="AE137" s="5"/>
    </row>
    <row r="138" spans="1:31" ht="1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7"/>
      <c r="AA138" s="5"/>
      <c r="AB138" s="5"/>
      <c r="AC138" s="5"/>
      <c r="AD138" s="5"/>
      <c r="AE138" s="5"/>
    </row>
    <row r="139" spans="1:31" ht="1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7"/>
      <c r="AA139" s="5"/>
      <c r="AB139" s="5"/>
      <c r="AC139" s="5"/>
      <c r="AD139" s="5"/>
      <c r="AE139" s="5"/>
    </row>
    <row r="140" spans="1:31" ht="1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7"/>
      <c r="AA140" s="5"/>
      <c r="AB140" s="5"/>
      <c r="AC140" s="5"/>
      <c r="AD140" s="5"/>
      <c r="AE140" s="5"/>
    </row>
    <row r="141" spans="1:31" ht="1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7"/>
      <c r="AA141" s="5"/>
      <c r="AB141" s="5"/>
      <c r="AC141" s="5"/>
      <c r="AD141" s="5"/>
      <c r="AE141" s="5"/>
    </row>
    <row r="142" spans="1:31" ht="1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7"/>
      <c r="AA142" s="5"/>
      <c r="AB142" s="5"/>
      <c r="AC142" s="5"/>
      <c r="AD142" s="5"/>
      <c r="AE142" s="5"/>
    </row>
    <row r="143" spans="1:31" ht="1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7"/>
      <c r="AA143" s="5"/>
      <c r="AB143" s="5"/>
      <c r="AC143" s="5"/>
      <c r="AD143" s="5"/>
      <c r="AE143" s="5"/>
    </row>
    <row r="144" spans="1:31" ht="1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7"/>
      <c r="AA144" s="5"/>
      <c r="AB144" s="5"/>
      <c r="AC144" s="5"/>
      <c r="AD144" s="5"/>
      <c r="AE144" s="5"/>
    </row>
    <row r="145" spans="1:31" ht="1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7"/>
      <c r="AA145" s="5"/>
      <c r="AB145" s="5"/>
      <c r="AC145" s="5"/>
      <c r="AD145" s="5"/>
      <c r="AE145" s="5"/>
    </row>
    <row r="146" spans="1:31" ht="1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7"/>
      <c r="AA146" s="5"/>
      <c r="AB146" s="5"/>
      <c r="AC146" s="5"/>
      <c r="AD146" s="5"/>
      <c r="AE146" s="5"/>
    </row>
    <row r="147" spans="1:31" ht="1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7"/>
      <c r="AA147" s="5"/>
      <c r="AB147" s="5"/>
      <c r="AC147" s="5"/>
      <c r="AD147" s="5"/>
      <c r="AE147" s="5"/>
    </row>
    <row r="148" spans="1:31" ht="1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7"/>
      <c r="AA148" s="5"/>
      <c r="AB148" s="5"/>
      <c r="AC148" s="5"/>
      <c r="AD148" s="5"/>
      <c r="AE148" s="5"/>
    </row>
    <row r="149" spans="1:31" ht="1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7"/>
      <c r="AA149" s="5"/>
      <c r="AB149" s="5"/>
      <c r="AC149" s="5"/>
      <c r="AD149" s="5"/>
      <c r="AE149" s="5"/>
    </row>
    <row r="150" spans="1:31" ht="1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7"/>
      <c r="AA150" s="5"/>
      <c r="AB150" s="5"/>
      <c r="AC150" s="5"/>
      <c r="AD150" s="5"/>
      <c r="AE150" s="5"/>
    </row>
    <row r="151" spans="1:31" ht="1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7"/>
      <c r="AA151" s="5"/>
      <c r="AB151" s="5"/>
      <c r="AC151" s="5"/>
      <c r="AD151" s="5"/>
      <c r="AE151" s="5"/>
    </row>
    <row r="152" spans="1:31" ht="1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7"/>
      <c r="AA152" s="5"/>
      <c r="AB152" s="5"/>
      <c r="AC152" s="5"/>
      <c r="AD152" s="5"/>
      <c r="AE152" s="5"/>
    </row>
    <row r="153" spans="1:31" ht="1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7"/>
      <c r="AA153" s="5"/>
      <c r="AB153" s="5"/>
      <c r="AC153" s="5"/>
      <c r="AD153" s="5"/>
      <c r="AE153" s="5"/>
    </row>
    <row r="154" spans="1:31" ht="1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7"/>
      <c r="AA154" s="5"/>
      <c r="AB154" s="5"/>
      <c r="AC154" s="5"/>
      <c r="AD154" s="5"/>
      <c r="AE154" s="5"/>
    </row>
    <row r="155" spans="1:31" ht="1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7"/>
      <c r="AA155" s="5"/>
      <c r="AB155" s="5"/>
      <c r="AC155" s="5"/>
      <c r="AD155" s="5"/>
      <c r="AE155" s="5"/>
    </row>
    <row r="156" spans="1:31" ht="1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7"/>
      <c r="AA156" s="5"/>
      <c r="AB156" s="5"/>
      <c r="AC156" s="5"/>
      <c r="AD156" s="5"/>
      <c r="AE156" s="5"/>
    </row>
    <row r="157" spans="1:31" ht="1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7"/>
      <c r="AA157" s="5"/>
      <c r="AB157" s="5"/>
      <c r="AC157" s="5"/>
      <c r="AD157" s="5"/>
      <c r="AE157" s="5"/>
    </row>
    <row r="158" spans="1:31" ht="1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7"/>
      <c r="AA158" s="5"/>
      <c r="AB158" s="5"/>
      <c r="AC158" s="5"/>
      <c r="AD158" s="5"/>
      <c r="AE158" s="5"/>
    </row>
    <row r="159" spans="1:31" ht="1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7"/>
      <c r="AA159" s="5"/>
      <c r="AB159" s="5"/>
      <c r="AC159" s="5"/>
      <c r="AD159" s="5"/>
      <c r="AE159" s="5"/>
    </row>
    <row r="160" spans="1:31" ht="1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7"/>
      <c r="AA160" s="5"/>
      <c r="AB160" s="5"/>
      <c r="AC160" s="5"/>
      <c r="AD160" s="5"/>
      <c r="AE160" s="5"/>
    </row>
    <row r="161" spans="1:31" ht="1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7"/>
      <c r="AA161" s="5"/>
      <c r="AB161" s="5"/>
      <c r="AC161" s="5"/>
      <c r="AD161" s="5"/>
      <c r="AE161" s="5"/>
    </row>
    <row r="162" spans="1:31" ht="1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7"/>
      <c r="AA162" s="5"/>
      <c r="AB162" s="5"/>
      <c r="AC162" s="5"/>
      <c r="AD162" s="5"/>
      <c r="AE162" s="5"/>
    </row>
    <row r="163" spans="1:31" ht="1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7"/>
      <c r="AA163" s="5"/>
      <c r="AB163" s="5"/>
      <c r="AC163" s="5"/>
      <c r="AD163" s="5"/>
      <c r="AE163" s="5"/>
    </row>
    <row r="164" spans="1:31" ht="1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7"/>
      <c r="AA164" s="5"/>
      <c r="AB164" s="5"/>
      <c r="AC164" s="5"/>
      <c r="AD164" s="5"/>
      <c r="AE164" s="5"/>
    </row>
    <row r="165" spans="1:31" ht="1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7"/>
      <c r="AA165" s="5"/>
      <c r="AB165" s="5"/>
      <c r="AC165" s="5"/>
      <c r="AD165" s="5"/>
      <c r="AE165" s="5"/>
    </row>
    <row r="166" spans="1:31" ht="1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7"/>
      <c r="AA166" s="5"/>
      <c r="AB166" s="5"/>
      <c r="AC166" s="5"/>
      <c r="AD166" s="5"/>
      <c r="AE166" s="5"/>
    </row>
    <row r="167" spans="1:31" ht="1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7"/>
      <c r="AA167" s="5"/>
      <c r="AB167" s="5"/>
      <c r="AC167" s="5"/>
      <c r="AD167" s="5"/>
      <c r="AE167" s="5"/>
    </row>
    <row r="168" spans="1:31" ht="1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7"/>
      <c r="AA168" s="5"/>
      <c r="AB168" s="5"/>
      <c r="AC168" s="5"/>
      <c r="AD168" s="5"/>
      <c r="AE168" s="5"/>
    </row>
    <row r="169" spans="1:31" ht="1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7"/>
      <c r="AA169" s="5"/>
      <c r="AB169" s="5"/>
      <c r="AC169" s="5"/>
      <c r="AD169" s="5"/>
      <c r="AE169" s="5"/>
    </row>
    <row r="170" spans="1:31" ht="1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7"/>
      <c r="AA170" s="5"/>
      <c r="AB170" s="5"/>
      <c r="AC170" s="5"/>
      <c r="AD170" s="5"/>
      <c r="AE170" s="5"/>
    </row>
    <row r="171" spans="1:31" ht="1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7"/>
      <c r="AA171" s="5"/>
      <c r="AB171" s="5"/>
      <c r="AC171" s="5"/>
      <c r="AD171" s="5"/>
      <c r="AE171" s="5"/>
    </row>
    <row r="172" spans="1:31" ht="1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7"/>
      <c r="AA172" s="5"/>
      <c r="AB172" s="5"/>
      <c r="AC172" s="5"/>
      <c r="AD172" s="5"/>
      <c r="AE172" s="5"/>
    </row>
    <row r="173" spans="1:31" ht="1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7"/>
      <c r="AA173" s="5"/>
      <c r="AB173" s="5"/>
      <c r="AC173" s="5"/>
      <c r="AD173" s="5"/>
      <c r="AE173" s="5"/>
    </row>
    <row r="174" spans="1:31" ht="1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7"/>
      <c r="AA174" s="5"/>
      <c r="AB174" s="5"/>
      <c r="AC174" s="5"/>
      <c r="AD174" s="5"/>
      <c r="AE174" s="5"/>
    </row>
    <row r="175" spans="1:31" ht="1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7"/>
      <c r="AA175" s="5"/>
      <c r="AB175" s="5"/>
      <c r="AC175" s="5"/>
      <c r="AD175" s="5"/>
      <c r="AE175" s="5"/>
    </row>
    <row r="176" spans="1:31" ht="1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7"/>
      <c r="AA176" s="5"/>
      <c r="AB176" s="5"/>
      <c r="AC176" s="5"/>
      <c r="AD176" s="5"/>
      <c r="AE176" s="5"/>
    </row>
    <row r="177" spans="1:31" ht="1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7"/>
      <c r="AA177" s="5"/>
      <c r="AB177" s="5"/>
      <c r="AC177" s="5"/>
      <c r="AD177" s="5"/>
      <c r="AE177" s="5"/>
    </row>
    <row r="178" spans="1:31" ht="1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7"/>
      <c r="AA178" s="5"/>
      <c r="AB178" s="5"/>
      <c r="AC178" s="5"/>
      <c r="AD178" s="5"/>
      <c r="AE178" s="5"/>
    </row>
    <row r="179" spans="1:31" ht="1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7"/>
      <c r="AA179" s="5"/>
      <c r="AB179" s="5"/>
      <c r="AC179" s="5"/>
      <c r="AD179" s="5"/>
      <c r="AE179" s="5"/>
    </row>
    <row r="180" spans="1:31" ht="1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7"/>
      <c r="AA180" s="5"/>
      <c r="AB180" s="5"/>
      <c r="AC180" s="5"/>
      <c r="AD180" s="5"/>
      <c r="AE180" s="5"/>
    </row>
    <row r="181" spans="1:31" ht="1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7"/>
      <c r="AA181" s="5"/>
      <c r="AB181" s="5"/>
      <c r="AC181" s="5"/>
      <c r="AD181" s="5"/>
      <c r="AE181" s="5"/>
    </row>
    <row r="182" spans="1:31" ht="1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7"/>
      <c r="AA182" s="5"/>
      <c r="AB182" s="5"/>
      <c r="AC182" s="5"/>
      <c r="AD182" s="5"/>
      <c r="AE182" s="5"/>
    </row>
    <row r="183" spans="1:31" ht="1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7"/>
      <c r="AA183" s="5"/>
      <c r="AB183" s="5"/>
      <c r="AC183" s="5"/>
      <c r="AD183" s="5"/>
      <c r="AE183" s="5"/>
    </row>
    <row r="184" spans="1:31" ht="1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7"/>
      <c r="AA184" s="5"/>
      <c r="AB184" s="5"/>
      <c r="AC184" s="5"/>
      <c r="AD184" s="5"/>
      <c r="AE184" s="5"/>
    </row>
    <row r="185" spans="1:31" ht="1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7"/>
      <c r="AA185" s="5"/>
      <c r="AB185" s="5"/>
      <c r="AC185" s="5"/>
      <c r="AD185" s="5"/>
      <c r="AE185" s="5"/>
    </row>
    <row r="186" spans="1:31" ht="1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7"/>
      <c r="AA186" s="5"/>
      <c r="AB186" s="5"/>
      <c r="AC186" s="5"/>
      <c r="AD186" s="5"/>
      <c r="AE186" s="5"/>
    </row>
    <row r="187" spans="1:31" ht="1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7"/>
      <c r="AA187" s="5"/>
      <c r="AB187" s="5"/>
      <c r="AC187" s="5"/>
      <c r="AD187" s="5"/>
      <c r="AE187" s="5"/>
    </row>
    <row r="188" spans="1:31" ht="1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7"/>
      <c r="AA188" s="5"/>
      <c r="AB188" s="5"/>
      <c r="AC188" s="5"/>
      <c r="AD188" s="5"/>
      <c r="AE188" s="5"/>
    </row>
    <row r="189" spans="1:31" ht="1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7"/>
      <c r="AA189" s="5"/>
      <c r="AB189" s="5"/>
      <c r="AC189" s="5"/>
      <c r="AD189" s="5"/>
      <c r="AE189" s="5"/>
    </row>
    <row r="190" spans="1:31" ht="1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7"/>
      <c r="AA190" s="5"/>
      <c r="AB190" s="5"/>
      <c r="AC190" s="5"/>
      <c r="AD190" s="5"/>
      <c r="AE190" s="5"/>
    </row>
    <row r="191" spans="1:31" ht="1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7"/>
      <c r="AA191" s="5"/>
      <c r="AB191" s="5"/>
      <c r="AC191" s="5"/>
      <c r="AD191" s="5"/>
      <c r="AE191" s="5"/>
    </row>
    <row r="192" spans="1:31" ht="1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7"/>
      <c r="AA192" s="5"/>
      <c r="AB192" s="5"/>
      <c r="AC192" s="5"/>
      <c r="AD192" s="5"/>
      <c r="AE192" s="5"/>
    </row>
    <row r="193" spans="1:31" ht="1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7"/>
      <c r="AA193" s="5"/>
      <c r="AB193" s="5"/>
      <c r="AC193" s="5"/>
      <c r="AD193" s="5"/>
      <c r="AE193" s="5"/>
    </row>
    <row r="194" spans="1:31" ht="1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7"/>
      <c r="AA194" s="5"/>
      <c r="AB194" s="5"/>
      <c r="AC194" s="5"/>
      <c r="AD194" s="5"/>
      <c r="AE194" s="5"/>
    </row>
    <row r="195" spans="1:31" ht="1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7"/>
      <c r="AA195" s="5"/>
      <c r="AB195" s="5"/>
      <c r="AC195" s="5"/>
      <c r="AD195" s="5"/>
      <c r="AE195" s="5"/>
    </row>
    <row r="196" spans="1:31" ht="1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7"/>
      <c r="AA196" s="5"/>
      <c r="AB196" s="5"/>
      <c r="AC196" s="5"/>
      <c r="AD196" s="5"/>
      <c r="AE196" s="5"/>
    </row>
    <row r="197" spans="1:31" ht="1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7"/>
      <c r="AA197" s="5"/>
      <c r="AB197" s="5"/>
      <c r="AC197" s="5"/>
      <c r="AD197" s="5"/>
      <c r="AE197" s="5"/>
    </row>
    <row r="198" spans="1:31" ht="1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7"/>
      <c r="AA198" s="5"/>
      <c r="AB198" s="5"/>
      <c r="AC198" s="5"/>
      <c r="AD198" s="5"/>
      <c r="AE198" s="5"/>
    </row>
    <row r="199" spans="1:31" ht="1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7"/>
      <c r="AA199" s="5"/>
      <c r="AB199" s="5"/>
      <c r="AC199" s="5"/>
      <c r="AD199" s="5"/>
      <c r="AE199" s="5"/>
    </row>
    <row r="200" spans="1:31" ht="1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7"/>
      <c r="AA200" s="5"/>
      <c r="AB200" s="5"/>
      <c r="AC200" s="5"/>
      <c r="AD200" s="5"/>
      <c r="AE200" s="5"/>
    </row>
    <row r="201" spans="1:31" ht="1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7"/>
      <c r="AA201" s="5"/>
      <c r="AB201" s="5"/>
      <c r="AC201" s="5"/>
      <c r="AD201" s="5"/>
      <c r="AE201" s="5"/>
    </row>
    <row r="202" spans="1:31" ht="1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7"/>
      <c r="AA202" s="5"/>
      <c r="AB202" s="5"/>
      <c r="AC202" s="5"/>
      <c r="AD202" s="5"/>
      <c r="AE202" s="5"/>
    </row>
    <row r="203" spans="1:31" ht="1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7"/>
      <c r="AA203" s="5"/>
      <c r="AB203" s="5"/>
      <c r="AC203" s="5"/>
      <c r="AD203" s="5"/>
      <c r="AE203" s="5"/>
    </row>
    <row r="204" spans="1:31" ht="1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7"/>
      <c r="AA204" s="5"/>
      <c r="AB204" s="5"/>
      <c r="AC204" s="5"/>
      <c r="AD204" s="5"/>
      <c r="AE204" s="5"/>
    </row>
    <row r="205" spans="1:31" ht="1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7"/>
      <c r="AA205" s="5"/>
      <c r="AB205" s="5"/>
      <c r="AC205" s="5"/>
      <c r="AD205" s="5"/>
      <c r="AE205" s="5"/>
    </row>
    <row r="206" spans="1:31" ht="1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7"/>
      <c r="AA206" s="5"/>
      <c r="AB206" s="5"/>
      <c r="AC206" s="5"/>
      <c r="AD206" s="5"/>
      <c r="AE206" s="5"/>
    </row>
    <row r="207" spans="1:31" ht="1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7"/>
      <c r="AA207" s="5"/>
      <c r="AB207" s="5"/>
      <c r="AC207" s="5"/>
      <c r="AD207" s="5"/>
      <c r="AE207" s="5"/>
    </row>
    <row r="208" spans="1:31" ht="1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7"/>
      <c r="AA208" s="5"/>
      <c r="AB208" s="5"/>
      <c r="AC208" s="5"/>
      <c r="AD208" s="5"/>
      <c r="AE208" s="5"/>
    </row>
    <row r="209" spans="1:31" ht="1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7"/>
      <c r="AA209" s="5"/>
      <c r="AB209" s="5"/>
      <c r="AC209" s="5"/>
      <c r="AD209" s="5"/>
      <c r="AE209" s="5"/>
    </row>
    <row r="210" spans="1:31" ht="1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7"/>
      <c r="AA210" s="5"/>
      <c r="AB210" s="5"/>
      <c r="AC210" s="5"/>
      <c r="AD210" s="5"/>
      <c r="AE210" s="5"/>
    </row>
    <row r="211" spans="1:31" ht="1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7"/>
      <c r="AA211" s="5"/>
      <c r="AB211" s="5"/>
      <c r="AC211" s="5"/>
      <c r="AD211" s="5"/>
      <c r="AE211" s="5"/>
    </row>
    <row r="212" spans="1:31" ht="1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7"/>
      <c r="AA212" s="5"/>
      <c r="AB212" s="5"/>
      <c r="AC212" s="5"/>
      <c r="AD212" s="5"/>
      <c r="AE212" s="5"/>
    </row>
    <row r="213" spans="1:31" ht="1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7"/>
      <c r="AA213" s="5"/>
      <c r="AB213" s="5"/>
      <c r="AC213" s="5"/>
      <c r="AD213" s="5"/>
      <c r="AE213" s="5"/>
    </row>
    <row r="214" spans="1:31" ht="1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7"/>
      <c r="AA214" s="5"/>
      <c r="AB214" s="5"/>
      <c r="AC214" s="5"/>
      <c r="AD214" s="5"/>
      <c r="AE214" s="5"/>
    </row>
    <row r="215" spans="1:31" ht="1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7"/>
      <c r="AA215" s="5"/>
      <c r="AB215" s="5"/>
      <c r="AC215" s="5"/>
      <c r="AD215" s="5"/>
      <c r="AE215" s="5"/>
    </row>
    <row r="216" spans="1:31" ht="1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7"/>
      <c r="AA216" s="5"/>
      <c r="AB216" s="5"/>
      <c r="AC216" s="5"/>
      <c r="AD216" s="5"/>
      <c r="AE216" s="5"/>
    </row>
    <row r="217" spans="1:31" ht="1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7"/>
      <c r="AA217" s="5"/>
      <c r="AB217" s="5"/>
      <c r="AC217" s="5"/>
      <c r="AD217" s="5"/>
      <c r="AE217" s="5"/>
    </row>
    <row r="218" spans="1:31" ht="1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7"/>
      <c r="AA218" s="5"/>
      <c r="AB218" s="5"/>
      <c r="AC218" s="5"/>
      <c r="AD218" s="5"/>
      <c r="AE218" s="5"/>
    </row>
    <row r="219" spans="1:31" ht="1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7"/>
      <c r="AA219" s="5"/>
      <c r="AB219" s="5"/>
      <c r="AC219" s="5"/>
      <c r="AD219" s="5"/>
      <c r="AE219" s="5"/>
    </row>
    <row r="220" spans="1:31" ht="1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7"/>
      <c r="AA220" s="5"/>
      <c r="AB220" s="5"/>
      <c r="AC220" s="5"/>
      <c r="AD220" s="5"/>
      <c r="AE220" s="5"/>
    </row>
    <row r="221" spans="1:31" ht="1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7"/>
      <c r="AA221" s="5"/>
      <c r="AB221" s="5"/>
      <c r="AC221" s="5"/>
      <c r="AD221" s="5"/>
      <c r="AE221" s="5"/>
    </row>
    <row r="222" spans="1:31" ht="1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7"/>
      <c r="AA222" s="5"/>
      <c r="AB222" s="5"/>
      <c r="AC222" s="5"/>
      <c r="AD222" s="5"/>
      <c r="AE222" s="5"/>
    </row>
    <row r="223" spans="1:31" ht="1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7"/>
      <c r="AA223" s="5"/>
      <c r="AB223" s="5"/>
      <c r="AC223" s="5"/>
      <c r="AD223" s="5"/>
      <c r="AE223" s="5"/>
    </row>
    <row r="224" spans="1:31" ht="1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7"/>
      <c r="AA224" s="5"/>
      <c r="AB224" s="5"/>
      <c r="AC224" s="5"/>
      <c r="AD224" s="5"/>
      <c r="AE224" s="5"/>
    </row>
    <row r="225" spans="1:31" ht="1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7"/>
      <c r="AA225" s="5"/>
      <c r="AB225" s="5"/>
      <c r="AC225" s="5"/>
      <c r="AD225" s="5"/>
      <c r="AE225" s="5"/>
    </row>
    <row r="226" spans="1:31" ht="1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7"/>
      <c r="AA226" s="5"/>
      <c r="AB226" s="5"/>
      <c r="AC226" s="5"/>
      <c r="AD226" s="5"/>
      <c r="AE226" s="5"/>
    </row>
    <row r="227" spans="1:31" ht="1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7"/>
      <c r="AA227" s="5"/>
      <c r="AB227" s="5"/>
      <c r="AC227" s="5"/>
      <c r="AD227" s="5"/>
      <c r="AE227" s="5"/>
    </row>
    <row r="228" spans="1:31" ht="1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7"/>
      <c r="AA228" s="5"/>
      <c r="AB228" s="5"/>
      <c r="AC228" s="5"/>
      <c r="AD228" s="5"/>
      <c r="AE228" s="5"/>
    </row>
    <row r="229" spans="1:31" ht="1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7"/>
      <c r="AA229" s="5"/>
      <c r="AB229" s="5"/>
      <c r="AC229" s="5"/>
      <c r="AD229" s="5"/>
      <c r="AE229" s="5"/>
    </row>
    <row r="230" spans="1:31" ht="1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7"/>
      <c r="AA230" s="5"/>
      <c r="AB230" s="5"/>
      <c r="AC230" s="5"/>
      <c r="AD230" s="5"/>
      <c r="AE230" s="5"/>
    </row>
    <row r="231" spans="1:31" ht="1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7"/>
      <c r="AA231" s="5"/>
      <c r="AB231" s="5"/>
      <c r="AC231" s="5"/>
      <c r="AD231" s="5"/>
      <c r="AE231" s="5"/>
    </row>
    <row r="232" spans="1:31" ht="1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7"/>
      <c r="AA232" s="5"/>
      <c r="AB232" s="5"/>
      <c r="AC232" s="5"/>
      <c r="AD232" s="5"/>
      <c r="AE232" s="5"/>
    </row>
    <row r="233" spans="1:31" ht="1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7"/>
      <c r="AA233" s="5"/>
      <c r="AB233" s="5"/>
      <c r="AC233" s="5"/>
      <c r="AD233" s="5"/>
      <c r="AE233" s="5"/>
    </row>
    <row r="234" spans="1:31" ht="1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7"/>
      <c r="AA234" s="5"/>
      <c r="AB234" s="5"/>
      <c r="AC234" s="5"/>
      <c r="AD234" s="5"/>
      <c r="AE234" s="5"/>
    </row>
    <row r="235" spans="1:31" ht="1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7"/>
      <c r="AA235" s="5"/>
      <c r="AB235" s="5"/>
      <c r="AC235" s="5"/>
      <c r="AD235" s="5"/>
      <c r="AE235" s="5"/>
    </row>
    <row r="236" spans="1:31" ht="1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7"/>
      <c r="AA236" s="5"/>
      <c r="AB236" s="5"/>
      <c r="AC236" s="5"/>
      <c r="AD236" s="5"/>
      <c r="AE236" s="5"/>
    </row>
    <row r="237" spans="1:31" ht="1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7"/>
      <c r="AA237" s="5"/>
      <c r="AB237" s="5"/>
      <c r="AC237" s="5"/>
      <c r="AD237" s="5"/>
      <c r="AE237" s="5"/>
    </row>
    <row r="238" spans="1:31" ht="1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7"/>
      <c r="AA238" s="5"/>
      <c r="AB238" s="5"/>
      <c r="AC238" s="5"/>
      <c r="AD238" s="5"/>
      <c r="AE238" s="5"/>
    </row>
    <row r="239" spans="1:31" ht="1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7"/>
      <c r="AA239" s="5"/>
      <c r="AB239" s="5"/>
      <c r="AC239" s="5"/>
      <c r="AD239" s="5"/>
      <c r="AE239" s="5"/>
    </row>
    <row r="240" spans="1:31" ht="1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7"/>
      <c r="AA240" s="5"/>
      <c r="AB240" s="5"/>
      <c r="AC240" s="5"/>
      <c r="AD240" s="5"/>
      <c r="AE240" s="5"/>
    </row>
    <row r="241" spans="1:31" ht="1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7"/>
      <c r="AA241" s="5"/>
      <c r="AB241" s="5"/>
      <c r="AC241" s="5"/>
      <c r="AD241" s="5"/>
      <c r="AE241" s="5"/>
    </row>
    <row r="242" spans="1:31" ht="1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7"/>
      <c r="AA242" s="5"/>
      <c r="AB242" s="5"/>
      <c r="AC242" s="5"/>
      <c r="AD242" s="5"/>
      <c r="AE242" s="5"/>
    </row>
    <row r="243" spans="1:31" ht="1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7"/>
      <c r="AA243" s="5"/>
      <c r="AB243" s="5"/>
      <c r="AC243" s="5"/>
      <c r="AD243" s="5"/>
      <c r="AE243" s="5"/>
    </row>
    <row r="244" spans="1:31" ht="1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7"/>
      <c r="AA244" s="5"/>
      <c r="AB244" s="5"/>
      <c r="AC244" s="5"/>
      <c r="AD244" s="5"/>
      <c r="AE244" s="5"/>
    </row>
    <row r="245" spans="1:31" ht="1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7"/>
      <c r="AA245" s="5"/>
      <c r="AB245" s="5"/>
      <c r="AC245" s="5"/>
      <c r="AD245" s="5"/>
      <c r="AE245" s="5"/>
    </row>
    <row r="246" spans="1:31" ht="1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7"/>
      <c r="AA246" s="5"/>
      <c r="AB246" s="5"/>
      <c r="AC246" s="5"/>
      <c r="AD246" s="5"/>
      <c r="AE246" s="5"/>
    </row>
    <row r="247" spans="1:31" ht="1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7"/>
      <c r="AA247" s="5"/>
      <c r="AB247" s="5"/>
      <c r="AC247" s="5"/>
      <c r="AD247" s="5"/>
      <c r="AE247" s="5"/>
    </row>
    <row r="248" spans="1:31" ht="1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7"/>
      <c r="AA248" s="5"/>
      <c r="AB248" s="5"/>
      <c r="AC248" s="5"/>
      <c r="AD248" s="5"/>
      <c r="AE248" s="5"/>
    </row>
    <row r="249" spans="1:31" ht="1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7"/>
      <c r="AA249" s="5"/>
      <c r="AB249" s="5"/>
      <c r="AC249" s="5"/>
      <c r="AD249" s="5"/>
      <c r="AE249" s="5"/>
    </row>
    <row r="250" spans="1:31" ht="1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7"/>
      <c r="AA250" s="5"/>
      <c r="AB250" s="5"/>
      <c r="AC250" s="5"/>
      <c r="AD250" s="5"/>
      <c r="AE250" s="5"/>
    </row>
    <row r="251" spans="1:31" ht="15.75" customHeight="1">
      <c r="A251" s="5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5"/>
      <c r="T251" s="5"/>
      <c r="U251" s="5"/>
      <c r="V251" s="5"/>
      <c r="W251" s="5"/>
      <c r="X251" s="5"/>
      <c r="Y251" s="5"/>
      <c r="Z251" s="7"/>
      <c r="AA251" s="5"/>
      <c r="AB251" s="5"/>
      <c r="AC251" s="5"/>
      <c r="AD251" s="5"/>
      <c r="AE251" s="5"/>
    </row>
    <row r="252" spans="1:31" ht="15.75" customHeight="1">
      <c r="A252" s="5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5"/>
      <c r="T252" s="5"/>
      <c r="U252" s="5"/>
      <c r="V252" s="5"/>
      <c r="W252" s="5"/>
      <c r="X252" s="5"/>
      <c r="Y252" s="5"/>
      <c r="Z252" s="7"/>
      <c r="AA252" s="5"/>
      <c r="AB252" s="5"/>
      <c r="AC252" s="5"/>
      <c r="AD252" s="5"/>
      <c r="AE252" s="5"/>
    </row>
    <row r="253" spans="1:31" ht="15.75" customHeight="1">
      <c r="A253" s="5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5"/>
      <c r="T253" s="5"/>
      <c r="U253" s="5"/>
      <c r="V253" s="5"/>
      <c r="W253" s="5"/>
      <c r="X253" s="5"/>
      <c r="Y253" s="5"/>
      <c r="Z253" s="7"/>
      <c r="AA253" s="5"/>
      <c r="AB253" s="5"/>
      <c r="AC253" s="5"/>
      <c r="AD253" s="5"/>
      <c r="AE253" s="5"/>
    </row>
    <row r="254" spans="1:31" ht="15.75" customHeight="1">
      <c r="A254" s="5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5"/>
      <c r="T254" s="5"/>
      <c r="U254" s="5"/>
      <c r="V254" s="5"/>
      <c r="W254" s="5"/>
      <c r="X254" s="5"/>
      <c r="Y254" s="5"/>
      <c r="Z254" s="7"/>
      <c r="AA254" s="5"/>
      <c r="AB254" s="5"/>
      <c r="AC254" s="5"/>
      <c r="AD254" s="5"/>
      <c r="AE254" s="5"/>
    </row>
    <row r="255" spans="1:31" ht="15.75" customHeight="1">
      <c r="A255" s="5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5"/>
      <c r="T255" s="5"/>
      <c r="U255" s="5"/>
      <c r="V255" s="5"/>
      <c r="W255" s="5"/>
      <c r="X255" s="5"/>
      <c r="Y255" s="5"/>
      <c r="Z255" s="7"/>
      <c r="AA255" s="5"/>
      <c r="AB255" s="5"/>
      <c r="AC255" s="5"/>
      <c r="AD255" s="5"/>
      <c r="AE255" s="5"/>
    </row>
    <row r="256" spans="1:31" ht="15.75" customHeight="1">
      <c r="A256" s="5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5"/>
      <c r="T256" s="5"/>
      <c r="U256" s="5"/>
      <c r="V256" s="5"/>
      <c r="W256" s="5"/>
      <c r="X256" s="5"/>
      <c r="Y256" s="5"/>
      <c r="Z256" s="7"/>
      <c r="AA256" s="5"/>
      <c r="AB256" s="5"/>
      <c r="AC256" s="5"/>
      <c r="AD256" s="5"/>
      <c r="AE256" s="5"/>
    </row>
    <row r="257" spans="1:31" ht="15.75" customHeight="1">
      <c r="A257" s="5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5"/>
      <c r="T257" s="5"/>
      <c r="U257" s="5"/>
      <c r="V257" s="5"/>
      <c r="W257" s="5"/>
      <c r="X257" s="5"/>
      <c r="Y257" s="5"/>
      <c r="Z257" s="7"/>
      <c r="AA257" s="5"/>
      <c r="AB257" s="5"/>
      <c r="AC257" s="5"/>
      <c r="AD257" s="5"/>
      <c r="AE257" s="5"/>
    </row>
    <row r="258" spans="1:31" ht="15.75" customHeight="1">
      <c r="A258" s="5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5"/>
      <c r="T258" s="5"/>
      <c r="U258" s="5"/>
      <c r="V258" s="5"/>
      <c r="W258" s="5"/>
      <c r="X258" s="5"/>
      <c r="Y258" s="5"/>
      <c r="Z258" s="7"/>
      <c r="AA258" s="5"/>
      <c r="AB258" s="5"/>
      <c r="AC258" s="5"/>
      <c r="AD258" s="5"/>
      <c r="AE258" s="5"/>
    </row>
    <row r="259" spans="1:31" ht="15.75" customHeight="1">
      <c r="A259" s="5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5"/>
      <c r="T259" s="5"/>
      <c r="U259" s="5"/>
      <c r="V259" s="5"/>
      <c r="W259" s="5"/>
      <c r="X259" s="5"/>
      <c r="Y259" s="5"/>
      <c r="Z259" s="7"/>
      <c r="AA259" s="5"/>
      <c r="AB259" s="5"/>
      <c r="AC259" s="5"/>
      <c r="AD259" s="5"/>
      <c r="AE259" s="5"/>
    </row>
    <row r="260" spans="1:31" ht="15.75" customHeight="1">
      <c r="A260" s="5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5"/>
      <c r="T260" s="5"/>
      <c r="U260" s="5"/>
      <c r="V260" s="5"/>
      <c r="W260" s="5"/>
      <c r="X260" s="5"/>
      <c r="Y260" s="5"/>
      <c r="Z260" s="7"/>
      <c r="AA260" s="5"/>
      <c r="AB260" s="5"/>
      <c r="AC260" s="5"/>
      <c r="AD260" s="5"/>
      <c r="AE260" s="5"/>
    </row>
    <row r="261" spans="1:31" ht="15.75" customHeight="1">
      <c r="A261" s="5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5"/>
      <c r="T261" s="5"/>
      <c r="U261" s="5"/>
      <c r="V261" s="5"/>
      <c r="W261" s="5"/>
      <c r="X261" s="5"/>
      <c r="Y261" s="5"/>
      <c r="Z261" s="7"/>
      <c r="AA261" s="5"/>
      <c r="AB261" s="5"/>
      <c r="AC261" s="5"/>
      <c r="AD261" s="5"/>
      <c r="AE261" s="5"/>
    </row>
    <row r="262" spans="1:31" ht="15.75" customHeight="1">
      <c r="A262" s="5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5"/>
      <c r="T262" s="5"/>
      <c r="U262" s="5"/>
      <c r="V262" s="5"/>
      <c r="W262" s="5"/>
      <c r="X262" s="5"/>
      <c r="Y262" s="5"/>
      <c r="Z262" s="7"/>
      <c r="AA262" s="5"/>
      <c r="AB262" s="5"/>
      <c r="AC262" s="5"/>
      <c r="AD262" s="5"/>
      <c r="AE262" s="5"/>
    </row>
    <row r="263" spans="1:31" ht="15.75" customHeight="1">
      <c r="A263" s="5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5"/>
      <c r="T263" s="5"/>
      <c r="U263" s="5"/>
      <c r="V263" s="5"/>
      <c r="W263" s="5"/>
      <c r="X263" s="5"/>
      <c r="Y263" s="5"/>
      <c r="Z263" s="7"/>
      <c r="AA263" s="5"/>
      <c r="AB263" s="5"/>
      <c r="AC263" s="5"/>
      <c r="AD263" s="5"/>
      <c r="AE263" s="5"/>
    </row>
    <row r="264" spans="1:31" ht="15.75" customHeight="1">
      <c r="A264" s="5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5"/>
      <c r="T264" s="5"/>
      <c r="U264" s="5"/>
      <c r="V264" s="5"/>
      <c r="W264" s="5"/>
      <c r="X264" s="5"/>
      <c r="Y264" s="5"/>
      <c r="Z264" s="7"/>
      <c r="AA264" s="5"/>
      <c r="AB264" s="5"/>
      <c r="AC264" s="5"/>
      <c r="AD264" s="5"/>
      <c r="AE264" s="5"/>
    </row>
    <row r="265" spans="1:31" ht="15.75" customHeight="1">
      <c r="A265" s="5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5"/>
      <c r="T265" s="5"/>
      <c r="U265" s="5"/>
      <c r="V265" s="5"/>
      <c r="W265" s="5"/>
      <c r="X265" s="5"/>
      <c r="Y265" s="5"/>
      <c r="Z265" s="7"/>
      <c r="AA265" s="5"/>
      <c r="AB265" s="5"/>
      <c r="AC265" s="5"/>
      <c r="AD265" s="5"/>
      <c r="AE265" s="5"/>
    </row>
    <row r="266" spans="1:31" ht="15.75" customHeight="1">
      <c r="A266" s="5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5"/>
      <c r="T266" s="5"/>
      <c r="U266" s="5"/>
      <c r="V266" s="5"/>
      <c r="W266" s="5"/>
      <c r="X266" s="5"/>
      <c r="Y266" s="5"/>
      <c r="Z266" s="7"/>
      <c r="AA266" s="5"/>
      <c r="AB266" s="5"/>
      <c r="AC266" s="5"/>
      <c r="AD266" s="5"/>
      <c r="AE266" s="5"/>
    </row>
    <row r="267" spans="1:31" ht="15.75" customHeight="1">
      <c r="A267" s="5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5"/>
      <c r="T267" s="5"/>
      <c r="U267" s="5"/>
      <c r="V267" s="5"/>
      <c r="W267" s="5"/>
      <c r="X267" s="5"/>
      <c r="Y267" s="5"/>
      <c r="Z267" s="7"/>
      <c r="AA267" s="5"/>
      <c r="AB267" s="5"/>
      <c r="AC267" s="5"/>
      <c r="AD267" s="5"/>
      <c r="AE267" s="5"/>
    </row>
    <row r="268" spans="1:31" ht="15.75" customHeight="1">
      <c r="A268" s="5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5"/>
      <c r="T268" s="5"/>
      <c r="U268" s="5"/>
      <c r="V268" s="5"/>
      <c r="W268" s="5"/>
      <c r="X268" s="5"/>
      <c r="Y268" s="5"/>
      <c r="Z268" s="7"/>
      <c r="AA268" s="5"/>
      <c r="AB268" s="5"/>
      <c r="AC268" s="5"/>
      <c r="AD268" s="5"/>
      <c r="AE268" s="5"/>
    </row>
    <row r="269" spans="1:31" ht="15.75" customHeight="1">
      <c r="A269" s="5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5"/>
      <c r="T269" s="5"/>
      <c r="U269" s="5"/>
      <c r="V269" s="5"/>
      <c r="W269" s="5"/>
      <c r="X269" s="5"/>
      <c r="Y269" s="5"/>
      <c r="Z269" s="7"/>
      <c r="AA269" s="5"/>
      <c r="AB269" s="5"/>
      <c r="AC269" s="5"/>
      <c r="AD269" s="5"/>
      <c r="AE269" s="5"/>
    </row>
    <row r="270" spans="1:31" ht="15.75" customHeight="1">
      <c r="A270" s="5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5"/>
      <c r="T270" s="5"/>
      <c r="U270" s="5"/>
      <c r="V270" s="5"/>
      <c r="W270" s="5"/>
      <c r="X270" s="5"/>
      <c r="Y270" s="5"/>
      <c r="Z270" s="7"/>
      <c r="AA270" s="5"/>
      <c r="AB270" s="5"/>
      <c r="AC270" s="5"/>
      <c r="AD270" s="5"/>
      <c r="AE270" s="5"/>
    </row>
    <row r="271" spans="1:31" ht="15.75" customHeight="1">
      <c r="A271" s="5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5"/>
      <c r="T271" s="5"/>
      <c r="U271" s="5"/>
      <c r="V271" s="5"/>
      <c r="W271" s="5"/>
      <c r="X271" s="5"/>
      <c r="Y271" s="5"/>
      <c r="Z271" s="7"/>
      <c r="AA271" s="5"/>
      <c r="AB271" s="5"/>
      <c r="AC271" s="5"/>
      <c r="AD271" s="5"/>
      <c r="AE271" s="5"/>
    </row>
    <row r="272" spans="1:31" ht="15.75" customHeight="1">
      <c r="A272" s="5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5"/>
      <c r="T272" s="5"/>
      <c r="U272" s="5"/>
      <c r="V272" s="5"/>
      <c r="W272" s="5"/>
      <c r="X272" s="5"/>
      <c r="Y272" s="5"/>
      <c r="Z272" s="7"/>
      <c r="AA272" s="5"/>
      <c r="AB272" s="5"/>
      <c r="AC272" s="5"/>
      <c r="AD272" s="5"/>
      <c r="AE272" s="5"/>
    </row>
    <row r="273" spans="1:31" ht="15.75" customHeight="1">
      <c r="A273" s="5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5"/>
      <c r="T273" s="5"/>
      <c r="U273" s="5"/>
      <c r="V273" s="5"/>
      <c r="W273" s="5"/>
      <c r="X273" s="5"/>
      <c r="Y273" s="5"/>
      <c r="Z273" s="7"/>
      <c r="AA273" s="5"/>
      <c r="AB273" s="5"/>
      <c r="AC273" s="5"/>
      <c r="AD273" s="5"/>
      <c r="AE273" s="5"/>
    </row>
    <row r="274" spans="1:31" ht="15.75" customHeight="1">
      <c r="A274" s="5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5"/>
      <c r="T274" s="5"/>
      <c r="U274" s="5"/>
      <c r="V274" s="5"/>
      <c r="W274" s="5"/>
      <c r="X274" s="5"/>
      <c r="Y274" s="5"/>
      <c r="Z274" s="7"/>
      <c r="AA274" s="5"/>
      <c r="AB274" s="5"/>
      <c r="AC274" s="5"/>
      <c r="AD274" s="5"/>
      <c r="AE274" s="5"/>
    </row>
    <row r="275" spans="1:31" ht="15.75" customHeight="1">
      <c r="A275" s="5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5"/>
      <c r="T275" s="5"/>
      <c r="U275" s="5"/>
      <c r="V275" s="5"/>
      <c r="W275" s="5"/>
      <c r="X275" s="5"/>
      <c r="Y275" s="5"/>
      <c r="Z275" s="7"/>
      <c r="AA275" s="5"/>
      <c r="AB275" s="5"/>
      <c r="AC275" s="5"/>
      <c r="AD275" s="5"/>
      <c r="AE275" s="5"/>
    </row>
    <row r="276" spans="1:31" ht="15.75" customHeight="1">
      <c r="A276" s="5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5"/>
      <c r="T276" s="5"/>
      <c r="U276" s="5"/>
      <c r="V276" s="5"/>
      <c r="W276" s="5"/>
      <c r="X276" s="5"/>
      <c r="Y276" s="5"/>
      <c r="Z276" s="7"/>
      <c r="AA276" s="5"/>
      <c r="AB276" s="5"/>
      <c r="AC276" s="5"/>
      <c r="AD276" s="5"/>
      <c r="AE276" s="5"/>
    </row>
    <row r="277" spans="1:31" ht="15.75" customHeight="1">
      <c r="A277" s="5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5"/>
      <c r="T277" s="5"/>
      <c r="U277" s="5"/>
      <c r="V277" s="5"/>
      <c r="W277" s="5"/>
      <c r="X277" s="5"/>
      <c r="Y277" s="5"/>
      <c r="Z277" s="7"/>
      <c r="AA277" s="5"/>
      <c r="AB277" s="5"/>
      <c r="AC277" s="5"/>
      <c r="AD277" s="5"/>
      <c r="AE277" s="5"/>
    </row>
    <row r="278" spans="1:31" ht="15.75" customHeight="1">
      <c r="A278" s="5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5"/>
      <c r="T278" s="5"/>
      <c r="U278" s="5"/>
      <c r="V278" s="5"/>
      <c r="W278" s="5"/>
      <c r="X278" s="5"/>
      <c r="Y278" s="5"/>
      <c r="Z278" s="7"/>
      <c r="AA278" s="5"/>
      <c r="AB278" s="5"/>
      <c r="AC278" s="5"/>
      <c r="AD278" s="5"/>
      <c r="AE278" s="5"/>
    </row>
    <row r="279" spans="1:31" ht="15.75" customHeight="1">
      <c r="A279" s="5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5"/>
      <c r="T279" s="5"/>
      <c r="U279" s="5"/>
      <c r="V279" s="5"/>
      <c r="W279" s="5"/>
      <c r="X279" s="5"/>
      <c r="Y279" s="5"/>
      <c r="Z279" s="7"/>
      <c r="AA279" s="5"/>
      <c r="AB279" s="5"/>
      <c r="AC279" s="5"/>
      <c r="AD279" s="5"/>
      <c r="AE279" s="5"/>
    </row>
    <row r="280" spans="1:31" ht="15.75" customHeight="1">
      <c r="A280" s="5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5"/>
      <c r="T280" s="5"/>
      <c r="U280" s="5"/>
      <c r="V280" s="5"/>
      <c r="W280" s="5"/>
      <c r="X280" s="5"/>
      <c r="Y280" s="5"/>
      <c r="Z280" s="7"/>
      <c r="AA280" s="5"/>
      <c r="AB280" s="5"/>
      <c r="AC280" s="5"/>
      <c r="AD280" s="5"/>
      <c r="AE280" s="5"/>
    </row>
    <row r="281" spans="1:31" ht="15.75" customHeight="1">
      <c r="A281" s="5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5"/>
      <c r="T281" s="5"/>
      <c r="U281" s="5"/>
      <c r="V281" s="5"/>
      <c r="W281" s="5"/>
      <c r="X281" s="5"/>
      <c r="Y281" s="5"/>
      <c r="Z281" s="7"/>
      <c r="AA281" s="5"/>
      <c r="AB281" s="5"/>
      <c r="AC281" s="5"/>
      <c r="AD281" s="5"/>
      <c r="AE281" s="5"/>
    </row>
    <row r="282" spans="1:31" ht="15.75" customHeight="1">
      <c r="A282" s="5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5"/>
      <c r="T282" s="5"/>
      <c r="U282" s="5"/>
      <c r="V282" s="5"/>
      <c r="W282" s="5"/>
      <c r="X282" s="5"/>
      <c r="Y282" s="5"/>
      <c r="Z282" s="7"/>
      <c r="AA282" s="5"/>
      <c r="AB282" s="5"/>
      <c r="AC282" s="5"/>
      <c r="AD282" s="5"/>
      <c r="AE282" s="5"/>
    </row>
    <row r="283" spans="1:31" ht="15.75" customHeight="1">
      <c r="A283" s="5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5"/>
      <c r="T283" s="5"/>
      <c r="U283" s="5"/>
      <c r="V283" s="5"/>
      <c r="W283" s="5"/>
      <c r="X283" s="5"/>
      <c r="Y283" s="5"/>
      <c r="Z283" s="7"/>
      <c r="AA283" s="5"/>
      <c r="AB283" s="5"/>
      <c r="AC283" s="5"/>
      <c r="AD283" s="5"/>
      <c r="AE283" s="5"/>
    </row>
    <row r="284" spans="1:31" ht="15.75" customHeight="1">
      <c r="A284" s="5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5"/>
      <c r="T284" s="5"/>
      <c r="U284" s="5"/>
      <c r="V284" s="5"/>
      <c r="W284" s="5"/>
      <c r="X284" s="5"/>
      <c r="Y284" s="5"/>
      <c r="Z284" s="7"/>
      <c r="AA284" s="5"/>
      <c r="AB284" s="5"/>
      <c r="AC284" s="5"/>
      <c r="AD284" s="5"/>
      <c r="AE284" s="5"/>
    </row>
    <row r="285" spans="1:31" ht="15.75" customHeight="1">
      <c r="A285" s="5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5"/>
      <c r="T285" s="5"/>
      <c r="U285" s="5"/>
      <c r="V285" s="5"/>
      <c r="W285" s="5"/>
      <c r="X285" s="5"/>
      <c r="Y285" s="5"/>
      <c r="Z285" s="7"/>
      <c r="AA285" s="5"/>
      <c r="AB285" s="5"/>
      <c r="AC285" s="5"/>
      <c r="AD285" s="5"/>
      <c r="AE285" s="5"/>
    </row>
    <row r="286" spans="1:31" ht="15.75" customHeight="1">
      <c r="A286" s="5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5"/>
      <c r="T286" s="5"/>
      <c r="U286" s="5"/>
      <c r="V286" s="5"/>
      <c r="W286" s="5"/>
      <c r="X286" s="5"/>
      <c r="Y286" s="5"/>
      <c r="Z286" s="7"/>
      <c r="AA286" s="5"/>
      <c r="AB286" s="5"/>
      <c r="AC286" s="5"/>
      <c r="AD286" s="5"/>
      <c r="AE286" s="5"/>
    </row>
    <row r="287" spans="1:31" ht="15.75" customHeight="1">
      <c r="A287" s="5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5"/>
      <c r="T287" s="5"/>
      <c r="U287" s="5"/>
      <c r="V287" s="5"/>
      <c r="W287" s="5"/>
      <c r="X287" s="5"/>
      <c r="Y287" s="5"/>
      <c r="Z287" s="7"/>
      <c r="AA287" s="5"/>
      <c r="AB287" s="5"/>
      <c r="AC287" s="5"/>
      <c r="AD287" s="5"/>
      <c r="AE287" s="5"/>
    </row>
    <row r="288" spans="1:31" ht="15.75" customHeight="1">
      <c r="A288" s="5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5"/>
      <c r="T288" s="5"/>
      <c r="U288" s="5"/>
      <c r="V288" s="5"/>
      <c r="W288" s="5"/>
      <c r="X288" s="5"/>
      <c r="Y288" s="5"/>
      <c r="Z288" s="7"/>
      <c r="AA288" s="5"/>
      <c r="AB288" s="5"/>
      <c r="AC288" s="5"/>
      <c r="AD288" s="5"/>
      <c r="AE288" s="5"/>
    </row>
    <row r="289" spans="1:31" ht="15.75" customHeight="1">
      <c r="A289" s="5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5"/>
      <c r="T289" s="5"/>
      <c r="U289" s="5"/>
      <c r="V289" s="5"/>
      <c r="W289" s="5"/>
      <c r="X289" s="5"/>
      <c r="Y289" s="5"/>
      <c r="Z289" s="7"/>
      <c r="AA289" s="5"/>
      <c r="AB289" s="5"/>
      <c r="AC289" s="5"/>
      <c r="AD289" s="5"/>
      <c r="AE289" s="5"/>
    </row>
    <row r="290" spans="1:31" ht="15.75" customHeight="1">
      <c r="A290" s="5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5"/>
      <c r="T290" s="5"/>
      <c r="U290" s="5"/>
      <c r="V290" s="5"/>
      <c r="W290" s="5"/>
      <c r="X290" s="5"/>
      <c r="Y290" s="5"/>
      <c r="Z290" s="7"/>
      <c r="AA290" s="5"/>
      <c r="AB290" s="5"/>
      <c r="AC290" s="5"/>
      <c r="AD290" s="5"/>
      <c r="AE290" s="5"/>
    </row>
    <row r="291" spans="1:31" ht="15.75" customHeight="1">
      <c r="A291" s="5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5"/>
      <c r="T291" s="5"/>
      <c r="U291" s="5"/>
      <c r="V291" s="5"/>
      <c r="W291" s="5"/>
      <c r="X291" s="5"/>
      <c r="Y291" s="5"/>
      <c r="Z291" s="7"/>
      <c r="AA291" s="5"/>
      <c r="AB291" s="5"/>
      <c r="AC291" s="5"/>
      <c r="AD291" s="5"/>
      <c r="AE291" s="5"/>
    </row>
    <row r="292" spans="1:31" ht="15.75" customHeight="1">
      <c r="A292" s="5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5"/>
      <c r="T292" s="5"/>
      <c r="U292" s="5"/>
      <c r="V292" s="5"/>
      <c r="W292" s="5"/>
      <c r="X292" s="5"/>
      <c r="Y292" s="5"/>
      <c r="Z292" s="7"/>
      <c r="AA292" s="5"/>
      <c r="AB292" s="5"/>
      <c r="AC292" s="5"/>
      <c r="AD292" s="5"/>
      <c r="AE292" s="5"/>
    </row>
    <row r="293" spans="1:31" ht="15.75" customHeight="1">
      <c r="A293" s="5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5"/>
      <c r="T293" s="5"/>
      <c r="U293" s="5"/>
      <c r="V293" s="5"/>
      <c r="W293" s="5"/>
      <c r="X293" s="5"/>
      <c r="Y293" s="5"/>
      <c r="Z293" s="7"/>
      <c r="AA293" s="5"/>
      <c r="AB293" s="5"/>
      <c r="AC293" s="5"/>
      <c r="AD293" s="5"/>
      <c r="AE293" s="5"/>
    </row>
    <row r="294" spans="1:31" ht="15.75" customHeight="1">
      <c r="A294" s="5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5"/>
      <c r="T294" s="5"/>
      <c r="U294" s="5"/>
      <c r="V294" s="5"/>
      <c r="W294" s="5"/>
      <c r="X294" s="5"/>
      <c r="Y294" s="5"/>
      <c r="Z294" s="7"/>
      <c r="AA294" s="5"/>
      <c r="AB294" s="5"/>
      <c r="AC294" s="5"/>
      <c r="AD294" s="5"/>
      <c r="AE294" s="5"/>
    </row>
    <row r="295" spans="1:31" ht="15.75" customHeight="1">
      <c r="A295" s="5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5"/>
      <c r="T295" s="5"/>
      <c r="U295" s="5"/>
      <c r="V295" s="5"/>
      <c r="W295" s="5"/>
      <c r="X295" s="5"/>
      <c r="Y295" s="5"/>
      <c r="Z295" s="7"/>
      <c r="AA295" s="5"/>
      <c r="AB295" s="5"/>
      <c r="AC295" s="5"/>
      <c r="AD295" s="5"/>
      <c r="AE295" s="5"/>
    </row>
    <row r="296" spans="1:31" ht="15.75" customHeight="1">
      <c r="A296" s="5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5"/>
      <c r="T296" s="5"/>
      <c r="U296" s="5"/>
      <c r="V296" s="5"/>
      <c r="W296" s="5"/>
      <c r="X296" s="5"/>
      <c r="Y296" s="5"/>
      <c r="Z296" s="7"/>
      <c r="AA296" s="5"/>
      <c r="AB296" s="5"/>
      <c r="AC296" s="5"/>
      <c r="AD296" s="5"/>
      <c r="AE296" s="5"/>
    </row>
    <row r="297" spans="1:31" ht="15.75" customHeight="1">
      <c r="A297" s="5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5"/>
      <c r="T297" s="5"/>
      <c r="U297" s="5"/>
      <c r="V297" s="5"/>
      <c r="W297" s="5"/>
      <c r="X297" s="5"/>
      <c r="Y297" s="5"/>
      <c r="Z297" s="7"/>
      <c r="AA297" s="5"/>
      <c r="AB297" s="5"/>
      <c r="AC297" s="5"/>
      <c r="AD297" s="5"/>
      <c r="AE297" s="5"/>
    </row>
    <row r="298" spans="1:31" ht="15.75" customHeight="1">
      <c r="A298" s="5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5"/>
      <c r="T298" s="5"/>
      <c r="U298" s="5"/>
      <c r="V298" s="5"/>
      <c r="W298" s="5"/>
      <c r="X298" s="5"/>
      <c r="Y298" s="5"/>
      <c r="Z298" s="7"/>
      <c r="AA298" s="5"/>
      <c r="AB298" s="5"/>
      <c r="AC298" s="5"/>
      <c r="AD298" s="5"/>
      <c r="AE298" s="5"/>
    </row>
    <row r="299" spans="1:31" ht="15.75" customHeight="1">
      <c r="A299" s="5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5"/>
      <c r="T299" s="5"/>
      <c r="U299" s="5"/>
      <c r="V299" s="5"/>
      <c r="W299" s="5"/>
      <c r="X299" s="5"/>
      <c r="Y299" s="5"/>
      <c r="Z299" s="7"/>
      <c r="AA299" s="5"/>
      <c r="AB299" s="5"/>
      <c r="AC299" s="5"/>
      <c r="AD299" s="5"/>
      <c r="AE299" s="5"/>
    </row>
    <row r="300" spans="1:31" ht="15.75" customHeight="1">
      <c r="A300" s="5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5"/>
      <c r="T300" s="5"/>
      <c r="U300" s="5"/>
      <c r="V300" s="5"/>
      <c r="W300" s="5"/>
      <c r="X300" s="5"/>
      <c r="Y300" s="5"/>
      <c r="Z300" s="7"/>
      <c r="AA300" s="5"/>
      <c r="AB300" s="5"/>
      <c r="AC300" s="5"/>
      <c r="AD300" s="5"/>
      <c r="AE300" s="5"/>
    </row>
    <row r="301" spans="1:31" ht="15.75" customHeight="1">
      <c r="A301" s="5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5"/>
      <c r="T301" s="5"/>
      <c r="U301" s="5"/>
      <c r="V301" s="5"/>
      <c r="W301" s="5"/>
      <c r="X301" s="5"/>
      <c r="Y301" s="5"/>
      <c r="Z301" s="7"/>
      <c r="AA301" s="5"/>
      <c r="AB301" s="5"/>
      <c r="AC301" s="5"/>
      <c r="AD301" s="5"/>
      <c r="AE301" s="5"/>
    </row>
    <row r="302" spans="1:31" ht="15.75" customHeight="1">
      <c r="A302" s="5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5"/>
      <c r="T302" s="5"/>
      <c r="U302" s="5"/>
      <c r="V302" s="5"/>
      <c r="W302" s="5"/>
      <c r="X302" s="5"/>
      <c r="Y302" s="5"/>
      <c r="Z302" s="7"/>
      <c r="AA302" s="5"/>
      <c r="AB302" s="5"/>
      <c r="AC302" s="5"/>
      <c r="AD302" s="5"/>
      <c r="AE302" s="5"/>
    </row>
    <row r="303" spans="1:31" ht="15.75" customHeight="1">
      <c r="A303" s="5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5"/>
      <c r="T303" s="5"/>
      <c r="U303" s="5"/>
      <c r="V303" s="5"/>
      <c r="W303" s="5"/>
      <c r="X303" s="5"/>
      <c r="Y303" s="5"/>
      <c r="Z303" s="7"/>
      <c r="AA303" s="5"/>
      <c r="AB303" s="5"/>
      <c r="AC303" s="5"/>
      <c r="AD303" s="5"/>
      <c r="AE303" s="5"/>
    </row>
    <row r="304" spans="1:31" ht="15.75" customHeight="1">
      <c r="A304" s="5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5"/>
      <c r="T304" s="5"/>
      <c r="U304" s="5"/>
      <c r="V304" s="5"/>
      <c r="W304" s="5"/>
      <c r="X304" s="5"/>
      <c r="Y304" s="5"/>
      <c r="Z304" s="7"/>
      <c r="AA304" s="5"/>
      <c r="AB304" s="5"/>
      <c r="AC304" s="5"/>
      <c r="AD304" s="5"/>
      <c r="AE304" s="5"/>
    </row>
    <row r="305" spans="1:31" ht="15.75" customHeight="1">
      <c r="A305" s="5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5"/>
      <c r="T305" s="5"/>
      <c r="U305" s="5"/>
      <c r="V305" s="5"/>
      <c r="W305" s="5"/>
      <c r="X305" s="5"/>
      <c r="Y305" s="5"/>
      <c r="Z305" s="7"/>
      <c r="AA305" s="5"/>
      <c r="AB305" s="5"/>
      <c r="AC305" s="5"/>
      <c r="AD305" s="5"/>
      <c r="AE305" s="5"/>
    </row>
    <row r="306" spans="1:31" ht="15.75" customHeight="1">
      <c r="A306" s="5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5"/>
      <c r="T306" s="5"/>
      <c r="U306" s="5"/>
      <c r="V306" s="5"/>
      <c r="W306" s="5"/>
      <c r="X306" s="5"/>
      <c r="Y306" s="5"/>
      <c r="Z306" s="7"/>
      <c r="AA306" s="5"/>
      <c r="AB306" s="5"/>
      <c r="AC306" s="5"/>
      <c r="AD306" s="5"/>
      <c r="AE306" s="5"/>
    </row>
    <row r="307" spans="1:31" ht="15.75" customHeight="1">
      <c r="A307" s="5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5"/>
      <c r="T307" s="5"/>
      <c r="U307" s="5"/>
      <c r="V307" s="5"/>
      <c r="W307" s="5"/>
      <c r="X307" s="5"/>
      <c r="Y307" s="5"/>
      <c r="Z307" s="7"/>
      <c r="AA307" s="5"/>
      <c r="AB307" s="5"/>
      <c r="AC307" s="5"/>
      <c r="AD307" s="5"/>
      <c r="AE307" s="5"/>
    </row>
    <row r="308" spans="1:31" ht="15.75" customHeight="1">
      <c r="A308" s="5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5"/>
      <c r="T308" s="5"/>
      <c r="U308" s="5"/>
      <c r="V308" s="5"/>
      <c r="W308" s="5"/>
      <c r="X308" s="5"/>
      <c r="Y308" s="5"/>
      <c r="Z308" s="7"/>
      <c r="AA308" s="5"/>
      <c r="AB308" s="5"/>
      <c r="AC308" s="5"/>
      <c r="AD308" s="5"/>
      <c r="AE308" s="5"/>
    </row>
    <row r="309" spans="1:31" ht="15.75" customHeight="1">
      <c r="A309" s="5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5"/>
      <c r="T309" s="5"/>
      <c r="U309" s="5"/>
      <c r="V309" s="5"/>
      <c r="W309" s="5"/>
      <c r="X309" s="5"/>
      <c r="Y309" s="5"/>
      <c r="Z309" s="7"/>
      <c r="AA309" s="5"/>
      <c r="AB309" s="5"/>
      <c r="AC309" s="5"/>
      <c r="AD309" s="5"/>
      <c r="AE309" s="5"/>
    </row>
    <row r="310" spans="1:31" ht="15.75" customHeight="1">
      <c r="A310" s="5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5"/>
      <c r="T310" s="5"/>
      <c r="U310" s="5"/>
      <c r="V310" s="5"/>
      <c r="W310" s="5"/>
      <c r="X310" s="5"/>
      <c r="Y310" s="5"/>
      <c r="Z310" s="7"/>
      <c r="AA310" s="5"/>
      <c r="AB310" s="5"/>
      <c r="AC310" s="5"/>
      <c r="AD310" s="5"/>
      <c r="AE310" s="5"/>
    </row>
    <row r="311" spans="1:31" ht="15.75" customHeight="1">
      <c r="A311" s="5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5"/>
      <c r="T311" s="5"/>
      <c r="U311" s="5"/>
      <c r="V311" s="5"/>
      <c r="W311" s="5"/>
      <c r="X311" s="5"/>
      <c r="Y311" s="5"/>
      <c r="Z311" s="7"/>
      <c r="AA311" s="5"/>
      <c r="AB311" s="5"/>
      <c r="AC311" s="5"/>
      <c r="AD311" s="5"/>
      <c r="AE311" s="5"/>
    </row>
    <row r="312" spans="1:31" ht="15.75" customHeight="1">
      <c r="A312" s="5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5"/>
      <c r="T312" s="5"/>
      <c r="U312" s="5"/>
      <c r="V312" s="5"/>
      <c r="W312" s="5"/>
      <c r="X312" s="5"/>
      <c r="Y312" s="5"/>
      <c r="Z312" s="7"/>
      <c r="AA312" s="5"/>
      <c r="AB312" s="5"/>
      <c r="AC312" s="5"/>
      <c r="AD312" s="5"/>
      <c r="AE312" s="5"/>
    </row>
    <row r="313" spans="1:31" ht="15.75" customHeight="1">
      <c r="A313" s="5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5"/>
      <c r="T313" s="5"/>
      <c r="U313" s="5"/>
      <c r="V313" s="5"/>
      <c r="W313" s="5"/>
      <c r="X313" s="5"/>
      <c r="Y313" s="5"/>
      <c r="Z313" s="7"/>
      <c r="AA313" s="5"/>
      <c r="AB313" s="5"/>
      <c r="AC313" s="5"/>
      <c r="AD313" s="5"/>
      <c r="AE313" s="5"/>
    </row>
    <row r="314" spans="1:31" ht="15.75" customHeight="1">
      <c r="A314" s="5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5"/>
      <c r="T314" s="5"/>
      <c r="U314" s="5"/>
      <c r="V314" s="5"/>
      <c r="W314" s="5"/>
      <c r="X314" s="5"/>
      <c r="Y314" s="5"/>
      <c r="Z314" s="7"/>
      <c r="AA314" s="5"/>
      <c r="AB314" s="5"/>
      <c r="AC314" s="5"/>
      <c r="AD314" s="5"/>
      <c r="AE314" s="5"/>
    </row>
    <row r="315" spans="1:31" ht="15.75" customHeight="1">
      <c r="A315" s="5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5"/>
      <c r="T315" s="5"/>
      <c r="U315" s="5"/>
      <c r="V315" s="5"/>
      <c r="W315" s="5"/>
      <c r="X315" s="5"/>
      <c r="Y315" s="5"/>
      <c r="Z315" s="7"/>
      <c r="AA315" s="5"/>
      <c r="AB315" s="5"/>
      <c r="AC315" s="5"/>
      <c r="AD315" s="5"/>
      <c r="AE315" s="5"/>
    </row>
    <row r="316" spans="1:31" ht="15.75" customHeight="1">
      <c r="A316" s="5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5"/>
      <c r="T316" s="5"/>
      <c r="U316" s="5"/>
      <c r="V316" s="5"/>
      <c r="W316" s="5"/>
      <c r="X316" s="5"/>
      <c r="Y316" s="5"/>
      <c r="Z316" s="7"/>
      <c r="AA316" s="5"/>
      <c r="AB316" s="5"/>
      <c r="AC316" s="5"/>
      <c r="AD316" s="5"/>
      <c r="AE316" s="5"/>
    </row>
    <row r="317" spans="1:31" ht="15.75" customHeight="1">
      <c r="A317" s="5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5"/>
      <c r="T317" s="5"/>
      <c r="U317" s="5"/>
      <c r="V317" s="5"/>
      <c r="W317" s="5"/>
      <c r="X317" s="5"/>
      <c r="Y317" s="5"/>
      <c r="Z317" s="7"/>
      <c r="AA317" s="5"/>
      <c r="AB317" s="5"/>
      <c r="AC317" s="5"/>
      <c r="AD317" s="5"/>
      <c r="AE317" s="5"/>
    </row>
    <row r="318" spans="1:31" ht="15.75" customHeight="1">
      <c r="A318" s="5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5"/>
      <c r="T318" s="5"/>
      <c r="U318" s="5"/>
      <c r="V318" s="5"/>
      <c r="W318" s="5"/>
      <c r="X318" s="5"/>
      <c r="Y318" s="5"/>
      <c r="Z318" s="7"/>
      <c r="AA318" s="5"/>
      <c r="AB318" s="5"/>
      <c r="AC318" s="5"/>
      <c r="AD318" s="5"/>
      <c r="AE318" s="5"/>
    </row>
    <row r="319" spans="1:31" ht="15.75" customHeight="1">
      <c r="A319" s="5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5"/>
      <c r="T319" s="5"/>
      <c r="U319" s="5"/>
      <c r="V319" s="5"/>
      <c r="W319" s="5"/>
      <c r="X319" s="5"/>
      <c r="Y319" s="5"/>
      <c r="Z319" s="7"/>
      <c r="AA319" s="5"/>
      <c r="AB319" s="5"/>
      <c r="AC319" s="5"/>
      <c r="AD319" s="5"/>
      <c r="AE319" s="5"/>
    </row>
    <row r="320" spans="1:31" ht="15.75" customHeight="1">
      <c r="A320" s="5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5"/>
      <c r="T320" s="5"/>
      <c r="U320" s="5"/>
      <c r="V320" s="5"/>
      <c r="W320" s="5"/>
      <c r="X320" s="5"/>
      <c r="Y320" s="5"/>
      <c r="Z320" s="7"/>
      <c r="AA320" s="5"/>
      <c r="AB320" s="5"/>
      <c r="AC320" s="5"/>
      <c r="AD320" s="5"/>
      <c r="AE320" s="5"/>
    </row>
    <row r="321" spans="1:31" ht="15.75" customHeight="1">
      <c r="A321" s="5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5"/>
      <c r="T321" s="5"/>
      <c r="U321" s="5"/>
      <c r="V321" s="5"/>
      <c r="W321" s="5"/>
      <c r="X321" s="5"/>
      <c r="Y321" s="5"/>
      <c r="Z321" s="7"/>
      <c r="AA321" s="5"/>
      <c r="AB321" s="5"/>
      <c r="AC321" s="5"/>
      <c r="AD321" s="5"/>
      <c r="AE321" s="5"/>
    </row>
    <row r="322" spans="1:31" ht="15.75" customHeight="1">
      <c r="A322" s="5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5"/>
      <c r="T322" s="5"/>
      <c r="U322" s="5"/>
      <c r="V322" s="5"/>
      <c r="W322" s="5"/>
      <c r="X322" s="5"/>
      <c r="Y322" s="5"/>
      <c r="Z322" s="7"/>
      <c r="AA322" s="5"/>
      <c r="AB322" s="5"/>
      <c r="AC322" s="5"/>
      <c r="AD322" s="5"/>
      <c r="AE322" s="5"/>
    </row>
    <row r="323" spans="1:31" ht="15.75" customHeight="1">
      <c r="A323" s="5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5"/>
      <c r="T323" s="5"/>
      <c r="U323" s="5"/>
      <c r="V323" s="5"/>
      <c r="W323" s="5"/>
      <c r="X323" s="5"/>
      <c r="Y323" s="5"/>
      <c r="Z323" s="7"/>
      <c r="AA323" s="5"/>
      <c r="AB323" s="5"/>
      <c r="AC323" s="5"/>
      <c r="AD323" s="5"/>
      <c r="AE323" s="5"/>
    </row>
    <row r="324" spans="1:31" ht="15.75" customHeight="1">
      <c r="A324" s="5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5"/>
      <c r="T324" s="5"/>
      <c r="U324" s="5"/>
      <c r="V324" s="5"/>
      <c r="W324" s="5"/>
      <c r="X324" s="5"/>
      <c r="Y324" s="5"/>
      <c r="Z324" s="7"/>
      <c r="AA324" s="5"/>
      <c r="AB324" s="5"/>
      <c r="AC324" s="5"/>
      <c r="AD324" s="5"/>
      <c r="AE324" s="5"/>
    </row>
    <row r="325" spans="1:31" ht="15.75" customHeight="1">
      <c r="A325" s="5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5"/>
      <c r="T325" s="5"/>
      <c r="U325" s="5"/>
      <c r="V325" s="5"/>
      <c r="W325" s="5"/>
      <c r="X325" s="5"/>
      <c r="Y325" s="5"/>
      <c r="Z325" s="7"/>
      <c r="AA325" s="5"/>
      <c r="AB325" s="5"/>
      <c r="AC325" s="5"/>
      <c r="AD325" s="5"/>
      <c r="AE325" s="5"/>
    </row>
    <row r="326" spans="1:31" ht="15.75" customHeight="1">
      <c r="A326" s="5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5"/>
      <c r="T326" s="5"/>
      <c r="U326" s="5"/>
      <c r="V326" s="5"/>
      <c r="W326" s="5"/>
      <c r="X326" s="5"/>
      <c r="Y326" s="5"/>
      <c r="Z326" s="7"/>
      <c r="AA326" s="5"/>
      <c r="AB326" s="5"/>
      <c r="AC326" s="5"/>
      <c r="AD326" s="5"/>
      <c r="AE326" s="5"/>
    </row>
    <row r="327" spans="1:31" ht="15.75" customHeight="1">
      <c r="A327" s="5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5"/>
      <c r="T327" s="5"/>
      <c r="U327" s="5"/>
      <c r="V327" s="5"/>
      <c r="W327" s="5"/>
      <c r="X327" s="5"/>
      <c r="Y327" s="5"/>
      <c r="Z327" s="7"/>
      <c r="AA327" s="5"/>
      <c r="AB327" s="5"/>
      <c r="AC327" s="5"/>
      <c r="AD327" s="5"/>
      <c r="AE327" s="5"/>
    </row>
    <row r="328" spans="1:31" ht="15.75" customHeight="1">
      <c r="A328" s="5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5"/>
      <c r="T328" s="5"/>
      <c r="U328" s="5"/>
      <c r="V328" s="5"/>
      <c r="W328" s="5"/>
      <c r="X328" s="5"/>
      <c r="Y328" s="5"/>
      <c r="Z328" s="7"/>
      <c r="AA328" s="5"/>
      <c r="AB328" s="5"/>
      <c r="AC328" s="5"/>
      <c r="AD328" s="5"/>
      <c r="AE328" s="5"/>
    </row>
    <row r="329" spans="1:31" ht="15.75" customHeight="1">
      <c r="A329" s="5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5"/>
      <c r="T329" s="5"/>
      <c r="U329" s="5"/>
      <c r="V329" s="5"/>
      <c r="W329" s="5"/>
      <c r="X329" s="5"/>
      <c r="Y329" s="5"/>
      <c r="Z329" s="7"/>
      <c r="AA329" s="5"/>
      <c r="AB329" s="5"/>
      <c r="AC329" s="5"/>
      <c r="AD329" s="5"/>
      <c r="AE329" s="5"/>
    </row>
    <row r="330" spans="1:31" ht="15.75" customHeight="1">
      <c r="A330" s="5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5"/>
      <c r="T330" s="5"/>
      <c r="U330" s="5"/>
      <c r="V330" s="5"/>
      <c r="W330" s="5"/>
      <c r="X330" s="5"/>
      <c r="Y330" s="5"/>
      <c r="Z330" s="7"/>
      <c r="AA330" s="5"/>
      <c r="AB330" s="5"/>
      <c r="AC330" s="5"/>
      <c r="AD330" s="5"/>
      <c r="AE330" s="5"/>
    </row>
    <row r="331" spans="1:31" ht="15.75" customHeight="1">
      <c r="A331" s="5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5"/>
      <c r="T331" s="5"/>
      <c r="U331" s="5"/>
      <c r="V331" s="5"/>
      <c r="W331" s="5"/>
      <c r="X331" s="5"/>
      <c r="Y331" s="5"/>
      <c r="Z331" s="7"/>
      <c r="AA331" s="5"/>
      <c r="AB331" s="5"/>
      <c r="AC331" s="5"/>
      <c r="AD331" s="5"/>
      <c r="AE331" s="5"/>
    </row>
    <row r="332" spans="1:31" ht="15.75" customHeight="1">
      <c r="A332" s="5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5"/>
      <c r="T332" s="5"/>
      <c r="U332" s="5"/>
      <c r="V332" s="5"/>
      <c r="W332" s="5"/>
      <c r="X332" s="5"/>
      <c r="Y332" s="5"/>
      <c r="Z332" s="7"/>
      <c r="AA332" s="5"/>
      <c r="AB332" s="5"/>
      <c r="AC332" s="5"/>
      <c r="AD332" s="5"/>
      <c r="AE332" s="5"/>
    </row>
    <row r="333" spans="1:31" ht="15.75" customHeight="1">
      <c r="A333" s="5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5"/>
      <c r="T333" s="5"/>
      <c r="U333" s="5"/>
      <c r="V333" s="5"/>
      <c r="W333" s="5"/>
      <c r="X333" s="5"/>
      <c r="Y333" s="5"/>
      <c r="Z333" s="7"/>
      <c r="AA333" s="5"/>
      <c r="AB333" s="5"/>
      <c r="AC333" s="5"/>
      <c r="AD333" s="5"/>
      <c r="AE333" s="5"/>
    </row>
    <row r="334" spans="1:31" ht="15.75" customHeight="1">
      <c r="A334" s="5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5"/>
      <c r="T334" s="5"/>
      <c r="U334" s="5"/>
      <c r="V334" s="5"/>
      <c r="W334" s="5"/>
      <c r="X334" s="5"/>
      <c r="Y334" s="5"/>
      <c r="Z334" s="7"/>
      <c r="AA334" s="5"/>
      <c r="AB334" s="5"/>
      <c r="AC334" s="5"/>
      <c r="AD334" s="5"/>
      <c r="AE334" s="5"/>
    </row>
    <row r="335" spans="1:31" ht="15.75" customHeight="1">
      <c r="A335" s="5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5"/>
      <c r="T335" s="5"/>
      <c r="U335" s="5"/>
      <c r="V335" s="5"/>
      <c r="W335" s="5"/>
      <c r="X335" s="5"/>
      <c r="Y335" s="5"/>
      <c r="Z335" s="7"/>
      <c r="AA335" s="5"/>
      <c r="AB335" s="5"/>
      <c r="AC335" s="5"/>
      <c r="AD335" s="5"/>
      <c r="AE335" s="5"/>
    </row>
    <row r="336" spans="1:31" ht="15.75" customHeight="1">
      <c r="A336" s="5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5"/>
      <c r="T336" s="5"/>
      <c r="U336" s="5"/>
      <c r="V336" s="5"/>
      <c r="W336" s="5"/>
      <c r="X336" s="5"/>
      <c r="Y336" s="5"/>
      <c r="Z336" s="7"/>
      <c r="AA336" s="5"/>
      <c r="AB336" s="5"/>
      <c r="AC336" s="5"/>
      <c r="AD336" s="5"/>
      <c r="AE336" s="5"/>
    </row>
    <row r="337" spans="1:31" ht="15.75" customHeight="1">
      <c r="A337" s="5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5"/>
      <c r="T337" s="5"/>
      <c r="U337" s="5"/>
      <c r="V337" s="5"/>
      <c r="W337" s="5"/>
      <c r="X337" s="5"/>
      <c r="Y337" s="5"/>
      <c r="Z337" s="7"/>
      <c r="AA337" s="5"/>
      <c r="AB337" s="5"/>
      <c r="AC337" s="5"/>
      <c r="AD337" s="5"/>
      <c r="AE337" s="5"/>
    </row>
    <row r="338" spans="1:31" ht="15.75" customHeight="1">
      <c r="A338" s="5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5"/>
      <c r="T338" s="5"/>
      <c r="U338" s="5"/>
      <c r="V338" s="5"/>
      <c r="W338" s="5"/>
      <c r="X338" s="5"/>
      <c r="Y338" s="5"/>
      <c r="Z338" s="7"/>
      <c r="AA338" s="5"/>
      <c r="AB338" s="5"/>
      <c r="AC338" s="5"/>
      <c r="AD338" s="5"/>
      <c r="AE338" s="5"/>
    </row>
    <row r="339" spans="1:31" ht="15.75" customHeight="1">
      <c r="A339" s="5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5"/>
      <c r="T339" s="5"/>
      <c r="U339" s="5"/>
      <c r="V339" s="5"/>
      <c r="W339" s="5"/>
      <c r="X339" s="5"/>
      <c r="Y339" s="5"/>
      <c r="Z339" s="7"/>
      <c r="AA339" s="5"/>
      <c r="AB339" s="5"/>
      <c r="AC339" s="5"/>
      <c r="AD339" s="5"/>
      <c r="AE339" s="5"/>
    </row>
    <row r="340" spans="1:31" ht="15.75" customHeight="1">
      <c r="A340" s="5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5"/>
      <c r="T340" s="5"/>
      <c r="U340" s="5"/>
      <c r="V340" s="5"/>
      <c r="W340" s="5"/>
      <c r="X340" s="5"/>
      <c r="Y340" s="5"/>
      <c r="Z340" s="7"/>
      <c r="AA340" s="5"/>
      <c r="AB340" s="5"/>
      <c r="AC340" s="5"/>
      <c r="AD340" s="5"/>
      <c r="AE340" s="5"/>
    </row>
    <row r="341" spans="1:31" ht="15.75" customHeight="1">
      <c r="A341" s="5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5"/>
      <c r="T341" s="5"/>
      <c r="U341" s="5"/>
      <c r="V341" s="5"/>
      <c r="W341" s="5"/>
      <c r="X341" s="5"/>
      <c r="Y341" s="5"/>
      <c r="Z341" s="7"/>
      <c r="AA341" s="5"/>
      <c r="AB341" s="5"/>
      <c r="AC341" s="5"/>
      <c r="AD341" s="5"/>
      <c r="AE341" s="5"/>
    </row>
    <row r="342" spans="1:31" ht="15.75" customHeight="1">
      <c r="A342" s="5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5"/>
      <c r="T342" s="5"/>
      <c r="U342" s="5"/>
      <c r="V342" s="5"/>
      <c r="W342" s="5"/>
      <c r="X342" s="5"/>
      <c r="Y342" s="5"/>
      <c r="Z342" s="7"/>
      <c r="AA342" s="5"/>
      <c r="AB342" s="5"/>
      <c r="AC342" s="5"/>
      <c r="AD342" s="5"/>
      <c r="AE342" s="5"/>
    </row>
    <row r="343" spans="1:31" ht="15.75" customHeight="1">
      <c r="A343" s="5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5"/>
      <c r="T343" s="5"/>
      <c r="U343" s="5"/>
      <c r="V343" s="5"/>
      <c r="W343" s="5"/>
      <c r="X343" s="5"/>
      <c r="Y343" s="5"/>
      <c r="Z343" s="7"/>
      <c r="AA343" s="5"/>
      <c r="AB343" s="5"/>
      <c r="AC343" s="5"/>
      <c r="AD343" s="5"/>
      <c r="AE343" s="5"/>
    </row>
    <row r="344" spans="1:31" ht="15.75" customHeight="1">
      <c r="A344" s="5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5"/>
      <c r="T344" s="5"/>
      <c r="U344" s="5"/>
      <c r="V344" s="5"/>
      <c r="W344" s="5"/>
      <c r="X344" s="5"/>
      <c r="Y344" s="5"/>
      <c r="Z344" s="7"/>
      <c r="AA344" s="5"/>
      <c r="AB344" s="5"/>
      <c r="AC344" s="5"/>
      <c r="AD344" s="5"/>
      <c r="AE344" s="5"/>
    </row>
    <row r="345" spans="1:31" ht="15.75" customHeight="1">
      <c r="A345" s="5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5"/>
      <c r="T345" s="5"/>
      <c r="U345" s="5"/>
      <c r="V345" s="5"/>
      <c r="W345" s="5"/>
      <c r="X345" s="5"/>
      <c r="Y345" s="5"/>
      <c r="Z345" s="7"/>
      <c r="AA345" s="5"/>
      <c r="AB345" s="5"/>
      <c r="AC345" s="5"/>
      <c r="AD345" s="5"/>
      <c r="AE345" s="5"/>
    </row>
    <row r="346" spans="1:31" ht="15.75" customHeight="1">
      <c r="A346" s="5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5"/>
      <c r="T346" s="5"/>
      <c r="U346" s="5"/>
      <c r="V346" s="5"/>
      <c r="W346" s="5"/>
      <c r="X346" s="5"/>
      <c r="Y346" s="5"/>
      <c r="Z346" s="7"/>
      <c r="AA346" s="5"/>
      <c r="AB346" s="5"/>
      <c r="AC346" s="5"/>
      <c r="AD346" s="5"/>
      <c r="AE346" s="5"/>
    </row>
    <row r="347" spans="1:31" ht="15.75" customHeight="1">
      <c r="A347" s="5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5"/>
      <c r="T347" s="5"/>
      <c r="U347" s="5"/>
      <c r="V347" s="5"/>
      <c r="W347" s="5"/>
      <c r="X347" s="5"/>
      <c r="Y347" s="5"/>
      <c r="Z347" s="7"/>
      <c r="AA347" s="5"/>
      <c r="AB347" s="5"/>
      <c r="AC347" s="5"/>
      <c r="AD347" s="5"/>
      <c r="AE347" s="5"/>
    </row>
    <row r="348" spans="1:31" ht="15.75" customHeight="1">
      <c r="A348" s="5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5"/>
      <c r="T348" s="5"/>
      <c r="U348" s="5"/>
      <c r="V348" s="5"/>
      <c r="W348" s="5"/>
      <c r="X348" s="5"/>
      <c r="Y348" s="5"/>
      <c r="Z348" s="7"/>
      <c r="AA348" s="5"/>
      <c r="AB348" s="5"/>
      <c r="AC348" s="5"/>
      <c r="AD348" s="5"/>
      <c r="AE348" s="5"/>
    </row>
    <row r="349" spans="1:31" ht="15.75" customHeight="1">
      <c r="A349" s="5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5"/>
      <c r="T349" s="5"/>
      <c r="U349" s="5"/>
      <c r="V349" s="5"/>
      <c r="W349" s="5"/>
      <c r="X349" s="5"/>
      <c r="Y349" s="5"/>
      <c r="Z349" s="7"/>
      <c r="AA349" s="5"/>
      <c r="AB349" s="5"/>
      <c r="AC349" s="5"/>
      <c r="AD349" s="5"/>
      <c r="AE349" s="5"/>
    </row>
    <row r="350" spans="1:31" ht="15.75" customHeight="1">
      <c r="A350" s="5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5"/>
      <c r="T350" s="5"/>
      <c r="U350" s="5"/>
      <c r="V350" s="5"/>
      <c r="W350" s="5"/>
      <c r="X350" s="5"/>
      <c r="Y350" s="5"/>
      <c r="Z350" s="7"/>
      <c r="AA350" s="5"/>
      <c r="AB350" s="5"/>
      <c r="AC350" s="5"/>
      <c r="AD350" s="5"/>
      <c r="AE350" s="5"/>
    </row>
    <row r="351" spans="1:31" ht="15.75" customHeight="1">
      <c r="A351" s="5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5"/>
      <c r="T351" s="5"/>
      <c r="U351" s="5"/>
      <c r="V351" s="5"/>
      <c r="W351" s="5"/>
      <c r="X351" s="5"/>
      <c r="Y351" s="5"/>
      <c r="Z351" s="7"/>
      <c r="AA351" s="5"/>
      <c r="AB351" s="5"/>
      <c r="AC351" s="5"/>
      <c r="AD351" s="5"/>
      <c r="AE351" s="5"/>
    </row>
    <row r="352" spans="1:31" ht="15.75" customHeight="1">
      <c r="A352" s="5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5"/>
      <c r="T352" s="5"/>
      <c r="U352" s="5"/>
      <c r="V352" s="5"/>
      <c r="W352" s="5"/>
      <c r="X352" s="5"/>
      <c r="Y352" s="5"/>
      <c r="Z352" s="7"/>
      <c r="AA352" s="5"/>
      <c r="AB352" s="5"/>
      <c r="AC352" s="5"/>
      <c r="AD352" s="5"/>
      <c r="AE352" s="5"/>
    </row>
    <row r="353" spans="1:31" ht="15.75" customHeight="1">
      <c r="A353" s="5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5"/>
      <c r="T353" s="5"/>
      <c r="U353" s="5"/>
      <c r="V353" s="5"/>
      <c r="W353" s="5"/>
      <c r="X353" s="5"/>
      <c r="Y353" s="5"/>
      <c r="Z353" s="7"/>
      <c r="AA353" s="5"/>
      <c r="AB353" s="5"/>
      <c r="AC353" s="5"/>
      <c r="AD353" s="5"/>
      <c r="AE353" s="5"/>
    </row>
    <row r="354" spans="1:31" ht="15.75" customHeight="1">
      <c r="A354" s="5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5"/>
      <c r="T354" s="5"/>
      <c r="U354" s="5"/>
      <c r="V354" s="5"/>
      <c r="W354" s="5"/>
      <c r="X354" s="5"/>
      <c r="Y354" s="5"/>
      <c r="Z354" s="7"/>
      <c r="AA354" s="5"/>
      <c r="AB354" s="5"/>
      <c r="AC354" s="5"/>
      <c r="AD354" s="5"/>
      <c r="AE354" s="5"/>
    </row>
    <row r="355" spans="1:31" ht="15.75" customHeight="1">
      <c r="A355" s="5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5"/>
      <c r="T355" s="5"/>
      <c r="U355" s="5"/>
      <c r="V355" s="5"/>
      <c r="W355" s="5"/>
      <c r="X355" s="5"/>
      <c r="Y355" s="5"/>
      <c r="Z355" s="7"/>
      <c r="AA355" s="5"/>
      <c r="AB355" s="5"/>
      <c r="AC355" s="5"/>
      <c r="AD355" s="5"/>
      <c r="AE355" s="5"/>
    </row>
    <row r="356" spans="1:31" ht="15.75" customHeight="1">
      <c r="A356" s="5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5"/>
      <c r="T356" s="5"/>
      <c r="U356" s="5"/>
      <c r="V356" s="5"/>
      <c r="W356" s="5"/>
      <c r="X356" s="5"/>
      <c r="Y356" s="5"/>
      <c r="Z356" s="7"/>
      <c r="AA356" s="5"/>
      <c r="AB356" s="5"/>
      <c r="AC356" s="5"/>
      <c r="AD356" s="5"/>
      <c r="AE356" s="5"/>
    </row>
    <row r="357" spans="1:31" ht="15.75" customHeight="1">
      <c r="A357" s="5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5"/>
      <c r="T357" s="5"/>
      <c r="U357" s="5"/>
      <c r="V357" s="5"/>
      <c r="W357" s="5"/>
      <c r="X357" s="5"/>
      <c r="Y357" s="5"/>
      <c r="Z357" s="7"/>
      <c r="AA357" s="5"/>
      <c r="AB357" s="5"/>
      <c r="AC357" s="5"/>
      <c r="AD357" s="5"/>
      <c r="AE357" s="5"/>
    </row>
    <row r="358" spans="1:31" ht="15.75" customHeight="1">
      <c r="A358" s="5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5"/>
      <c r="T358" s="5"/>
      <c r="U358" s="5"/>
      <c r="V358" s="5"/>
      <c r="W358" s="5"/>
      <c r="X358" s="5"/>
      <c r="Y358" s="5"/>
      <c r="Z358" s="7"/>
      <c r="AA358" s="5"/>
      <c r="AB358" s="5"/>
      <c r="AC358" s="5"/>
      <c r="AD358" s="5"/>
      <c r="AE358" s="5"/>
    </row>
    <row r="359" spans="1:31" ht="15.75" customHeight="1">
      <c r="A359" s="5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5"/>
      <c r="T359" s="5"/>
      <c r="U359" s="5"/>
      <c r="V359" s="5"/>
      <c r="W359" s="5"/>
      <c r="X359" s="5"/>
      <c r="Y359" s="5"/>
      <c r="Z359" s="7"/>
      <c r="AA359" s="5"/>
      <c r="AB359" s="5"/>
      <c r="AC359" s="5"/>
      <c r="AD359" s="5"/>
      <c r="AE359" s="5"/>
    </row>
    <row r="360" spans="1:31" ht="15.75" customHeight="1">
      <c r="A360" s="5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5"/>
      <c r="T360" s="5"/>
      <c r="U360" s="5"/>
      <c r="V360" s="5"/>
      <c r="W360" s="5"/>
      <c r="X360" s="5"/>
      <c r="Y360" s="5"/>
      <c r="Z360" s="7"/>
      <c r="AA360" s="5"/>
      <c r="AB360" s="5"/>
      <c r="AC360" s="5"/>
      <c r="AD360" s="5"/>
      <c r="AE360" s="5"/>
    </row>
    <row r="361" spans="1:31" ht="15.75" customHeight="1">
      <c r="A361" s="5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5"/>
      <c r="T361" s="5"/>
      <c r="U361" s="5"/>
      <c r="V361" s="5"/>
      <c r="W361" s="5"/>
      <c r="X361" s="5"/>
      <c r="Y361" s="5"/>
      <c r="Z361" s="7"/>
      <c r="AA361" s="5"/>
      <c r="AB361" s="5"/>
      <c r="AC361" s="5"/>
      <c r="AD361" s="5"/>
      <c r="AE361" s="5"/>
    </row>
    <row r="362" spans="1:31" ht="15.75" customHeight="1">
      <c r="A362" s="5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5"/>
      <c r="T362" s="5"/>
      <c r="U362" s="5"/>
      <c r="V362" s="5"/>
      <c r="W362" s="5"/>
      <c r="X362" s="5"/>
      <c r="Y362" s="5"/>
      <c r="Z362" s="7"/>
      <c r="AA362" s="5"/>
      <c r="AB362" s="5"/>
      <c r="AC362" s="5"/>
      <c r="AD362" s="5"/>
      <c r="AE362" s="5"/>
    </row>
    <row r="363" spans="1:31" ht="15.75" customHeight="1">
      <c r="A363" s="5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5"/>
      <c r="T363" s="5"/>
      <c r="U363" s="5"/>
      <c r="V363" s="5"/>
      <c r="W363" s="5"/>
      <c r="X363" s="5"/>
      <c r="Y363" s="5"/>
      <c r="Z363" s="7"/>
      <c r="AA363" s="5"/>
      <c r="AB363" s="5"/>
      <c r="AC363" s="5"/>
      <c r="AD363" s="5"/>
      <c r="AE363" s="5"/>
    </row>
    <row r="364" spans="1:31" ht="15.75" customHeight="1">
      <c r="A364" s="5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5"/>
      <c r="T364" s="5"/>
      <c r="U364" s="5"/>
      <c r="V364" s="5"/>
      <c r="W364" s="5"/>
      <c r="X364" s="5"/>
      <c r="Y364" s="5"/>
      <c r="Z364" s="7"/>
      <c r="AA364" s="5"/>
      <c r="AB364" s="5"/>
      <c r="AC364" s="5"/>
      <c r="AD364" s="5"/>
      <c r="AE364" s="5"/>
    </row>
    <row r="365" spans="1:31" ht="15.75" customHeight="1">
      <c r="A365" s="5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5"/>
      <c r="T365" s="5"/>
      <c r="U365" s="5"/>
      <c r="V365" s="5"/>
      <c r="W365" s="5"/>
      <c r="X365" s="5"/>
      <c r="Y365" s="5"/>
      <c r="Z365" s="7"/>
      <c r="AA365" s="5"/>
      <c r="AB365" s="5"/>
      <c r="AC365" s="5"/>
      <c r="AD365" s="5"/>
      <c r="AE365" s="5"/>
    </row>
    <row r="366" spans="1:31" ht="15.75" customHeight="1">
      <c r="A366" s="5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5"/>
      <c r="T366" s="5"/>
      <c r="U366" s="5"/>
      <c r="V366" s="5"/>
      <c r="W366" s="5"/>
      <c r="X366" s="5"/>
      <c r="Y366" s="5"/>
      <c r="Z366" s="7"/>
      <c r="AA366" s="5"/>
      <c r="AB366" s="5"/>
      <c r="AC366" s="5"/>
      <c r="AD366" s="5"/>
      <c r="AE366" s="5"/>
    </row>
    <row r="367" spans="1:31" ht="15.75" customHeight="1">
      <c r="A367" s="5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5"/>
      <c r="T367" s="5"/>
      <c r="U367" s="5"/>
      <c r="V367" s="5"/>
      <c r="W367" s="5"/>
      <c r="X367" s="5"/>
      <c r="Y367" s="5"/>
      <c r="Z367" s="7"/>
      <c r="AA367" s="5"/>
      <c r="AB367" s="5"/>
      <c r="AC367" s="5"/>
      <c r="AD367" s="5"/>
      <c r="AE367" s="5"/>
    </row>
    <row r="368" spans="1:31" ht="15.75" customHeight="1">
      <c r="A368" s="5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5"/>
      <c r="T368" s="5"/>
      <c r="U368" s="5"/>
      <c r="V368" s="5"/>
      <c r="W368" s="5"/>
      <c r="X368" s="5"/>
      <c r="Y368" s="5"/>
      <c r="Z368" s="7"/>
      <c r="AA368" s="5"/>
      <c r="AB368" s="5"/>
      <c r="AC368" s="5"/>
      <c r="AD368" s="5"/>
      <c r="AE368" s="5"/>
    </row>
    <row r="369" spans="1:31" ht="15.75" customHeight="1">
      <c r="A369" s="5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5"/>
      <c r="T369" s="5"/>
      <c r="U369" s="5"/>
      <c r="V369" s="5"/>
      <c r="W369" s="5"/>
      <c r="X369" s="5"/>
      <c r="Y369" s="5"/>
      <c r="Z369" s="7"/>
      <c r="AA369" s="5"/>
      <c r="AB369" s="5"/>
      <c r="AC369" s="5"/>
      <c r="AD369" s="5"/>
      <c r="AE369" s="5"/>
    </row>
    <row r="370" spans="1:31" ht="15.75" customHeight="1">
      <c r="A370" s="5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5"/>
      <c r="T370" s="5"/>
      <c r="U370" s="5"/>
      <c r="V370" s="5"/>
      <c r="W370" s="5"/>
      <c r="X370" s="5"/>
      <c r="Y370" s="5"/>
      <c r="Z370" s="7"/>
      <c r="AA370" s="5"/>
      <c r="AB370" s="5"/>
      <c r="AC370" s="5"/>
      <c r="AD370" s="5"/>
      <c r="AE370" s="5"/>
    </row>
    <row r="371" spans="1:31" ht="15.75" customHeight="1">
      <c r="A371" s="5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5"/>
      <c r="T371" s="5"/>
      <c r="U371" s="5"/>
      <c r="V371" s="5"/>
      <c r="W371" s="5"/>
      <c r="X371" s="5"/>
      <c r="Y371" s="5"/>
      <c r="Z371" s="7"/>
      <c r="AA371" s="5"/>
      <c r="AB371" s="5"/>
      <c r="AC371" s="5"/>
      <c r="AD371" s="5"/>
      <c r="AE371" s="5"/>
    </row>
    <row r="372" spans="1:31" ht="15.75" customHeight="1">
      <c r="A372" s="5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5"/>
      <c r="T372" s="5"/>
      <c r="U372" s="5"/>
      <c r="V372" s="5"/>
      <c r="W372" s="5"/>
      <c r="X372" s="5"/>
      <c r="Y372" s="5"/>
      <c r="Z372" s="7"/>
      <c r="AA372" s="5"/>
      <c r="AB372" s="5"/>
      <c r="AC372" s="5"/>
      <c r="AD372" s="5"/>
      <c r="AE372" s="5"/>
    </row>
    <row r="373" spans="1:31" ht="15.75" customHeight="1">
      <c r="A373" s="5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5"/>
      <c r="T373" s="5"/>
      <c r="U373" s="5"/>
      <c r="V373" s="5"/>
      <c r="W373" s="5"/>
      <c r="X373" s="5"/>
      <c r="Y373" s="5"/>
      <c r="Z373" s="7"/>
      <c r="AA373" s="5"/>
      <c r="AB373" s="5"/>
      <c r="AC373" s="5"/>
      <c r="AD373" s="5"/>
      <c r="AE373" s="5"/>
    </row>
    <row r="374" spans="1:31" ht="15.75" customHeight="1">
      <c r="A374" s="5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5"/>
      <c r="T374" s="5"/>
      <c r="U374" s="5"/>
      <c r="V374" s="5"/>
      <c r="W374" s="5"/>
      <c r="X374" s="5"/>
      <c r="Y374" s="5"/>
      <c r="Z374" s="7"/>
      <c r="AA374" s="5"/>
      <c r="AB374" s="5"/>
      <c r="AC374" s="5"/>
      <c r="AD374" s="5"/>
      <c r="AE374" s="5"/>
    </row>
    <row r="375" spans="1:31" ht="15.75" customHeight="1">
      <c r="A375" s="5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5"/>
      <c r="T375" s="5"/>
      <c r="U375" s="5"/>
      <c r="V375" s="5"/>
      <c r="W375" s="5"/>
      <c r="X375" s="5"/>
      <c r="Y375" s="5"/>
      <c r="Z375" s="7"/>
      <c r="AA375" s="5"/>
      <c r="AB375" s="5"/>
      <c r="AC375" s="5"/>
      <c r="AD375" s="5"/>
      <c r="AE375" s="5"/>
    </row>
    <row r="376" spans="1:31" ht="15.75" customHeight="1">
      <c r="A376" s="5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5"/>
      <c r="T376" s="5"/>
      <c r="U376" s="5"/>
      <c r="V376" s="5"/>
      <c r="W376" s="5"/>
      <c r="X376" s="5"/>
      <c r="Y376" s="5"/>
      <c r="Z376" s="7"/>
      <c r="AA376" s="5"/>
      <c r="AB376" s="5"/>
      <c r="AC376" s="5"/>
      <c r="AD376" s="5"/>
      <c r="AE376" s="5"/>
    </row>
    <row r="377" spans="1:31" ht="15.75" customHeight="1">
      <c r="A377" s="5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5"/>
      <c r="T377" s="5"/>
      <c r="U377" s="5"/>
      <c r="V377" s="5"/>
      <c r="W377" s="5"/>
      <c r="X377" s="5"/>
      <c r="Y377" s="5"/>
      <c r="Z377" s="7"/>
      <c r="AA377" s="5"/>
      <c r="AB377" s="5"/>
      <c r="AC377" s="5"/>
      <c r="AD377" s="5"/>
      <c r="AE377" s="5"/>
    </row>
    <row r="378" spans="1:31" ht="15.75" customHeight="1">
      <c r="A378" s="5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5"/>
      <c r="T378" s="5"/>
      <c r="U378" s="5"/>
      <c r="V378" s="5"/>
      <c r="W378" s="5"/>
      <c r="X378" s="5"/>
      <c r="Y378" s="5"/>
      <c r="Z378" s="7"/>
      <c r="AA378" s="5"/>
      <c r="AB378" s="5"/>
      <c r="AC378" s="5"/>
      <c r="AD378" s="5"/>
      <c r="AE378" s="5"/>
    </row>
    <row r="379" spans="1:31" ht="15.75" customHeight="1">
      <c r="A379" s="5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5"/>
      <c r="T379" s="5"/>
      <c r="U379" s="5"/>
      <c r="V379" s="5"/>
      <c r="W379" s="5"/>
      <c r="X379" s="5"/>
      <c r="Y379" s="5"/>
      <c r="Z379" s="7"/>
      <c r="AA379" s="5"/>
      <c r="AB379" s="5"/>
      <c r="AC379" s="5"/>
      <c r="AD379" s="5"/>
      <c r="AE379" s="5"/>
    </row>
    <row r="380" spans="1:31" ht="15.75" customHeight="1">
      <c r="A380" s="5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5"/>
      <c r="T380" s="5"/>
      <c r="U380" s="5"/>
      <c r="V380" s="5"/>
      <c r="W380" s="5"/>
      <c r="X380" s="5"/>
      <c r="Y380" s="5"/>
      <c r="Z380" s="7"/>
      <c r="AA380" s="5"/>
      <c r="AB380" s="5"/>
      <c r="AC380" s="5"/>
      <c r="AD380" s="5"/>
      <c r="AE380" s="5"/>
    </row>
    <row r="381" spans="1:31" ht="15.75" customHeight="1">
      <c r="A381" s="5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5"/>
      <c r="T381" s="5"/>
      <c r="U381" s="5"/>
      <c r="V381" s="5"/>
      <c r="W381" s="5"/>
      <c r="X381" s="5"/>
      <c r="Y381" s="5"/>
      <c r="Z381" s="7"/>
      <c r="AA381" s="5"/>
      <c r="AB381" s="5"/>
      <c r="AC381" s="5"/>
      <c r="AD381" s="5"/>
      <c r="AE381" s="5"/>
    </row>
    <row r="382" spans="1:31" ht="15.75" customHeight="1">
      <c r="A382" s="5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5"/>
      <c r="T382" s="5"/>
      <c r="U382" s="5"/>
      <c r="V382" s="5"/>
      <c r="W382" s="5"/>
      <c r="X382" s="5"/>
      <c r="Y382" s="5"/>
      <c r="Z382" s="7"/>
      <c r="AA382" s="5"/>
      <c r="AB382" s="5"/>
      <c r="AC382" s="5"/>
      <c r="AD382" s="5"/>
      <c r="AE382" s="5"/>
    </row>
    <row r="383" spans="1:31" ht="15.75" customHeight="1">
      <c r="A383" s="5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5"/>
      <c r="T383" s="5"/>
      <c r="U383" s="5"/>
      <c r="V383" s="5"/>
      <c r="W383" s="5"/>
      <c r="X383" s="5"/>
      <c r="Y383" s="5"/>
      <c r="Z383" s="7"/>
      <c r="AA383" s="5"/>
      <c r="AB383" s="5"/>
      <c r="AC383" s="5"/>
      <c r="AD383" s="5"/>
      <c r="AE383" s="5"/>
    </row>
    <row r="384" spans="1:31" ht="15.75" customHeight="1">
      <c r="A384" s="5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5"/>
      <c r="T384" s="5"/>
      <c r="U384" s="5"/>
      <c r="V384" s="5"/>
      <c r="W384" s="5"/>
      <c r="X384" s="5"/>
      <c r="Y384" s="5"/>
      <c r="Z384" s="7"/>
      <c r="AA384" s="5"/>
      <c r="AB384" s="5"/>
      <c r="AC384" s="5"/>
      <c r="AD384" s="5"/>
      <c r="AE384" s="5"/>
    </row>
    <row r="385" spans="1:31" ht="15.75" customHeight="1">
      <c r="A385" s="5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5"/>
      <c r="T385" s="5"/>
      <c r="U385" s="5"/>
      <c r="V385" s="5"/>
      <c r="W385" s="5"/>
      <c r="X385" s="5"/>
      <c r="Y385" s="5"/>
      <c r="Z385" s="7"/>
      <c r="AA385" s="5"/>
      <c r="AB385" s="5"/>
      <c r="AC385" s="5"/>
      <c r="AD385" s="5"/>
      <c r="AE385" s="5"/>
    </row>
    <row r="386" spans="1:31" ht="15.75" customHeight="1">
      <c r="A386" s="5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5"/>
      <c r="T386" s="5"/>
      <c r="U386" s="5"/>
      <c r="V386" s="5"/>
      <c r="W386" s="5"/>
      <c r="X386" s="5"/>
      <c r="Y386" s="5"/>
      <c r="Z386" s="7"/>
      <c r="AA386" s="5"/>
      <c r="AB386" s="5"/>
      <c r="AC386" s="5"/>
      <c r="AD386" s="5"/>
      <c r="AE386" s="5"/>
    </row>
    <row r="387" spans="1:31" ht="15.75" customHeight="1">
      <c r="A387" s="5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5"/>
      <c r="T387" s="5"/>
      <c r="U387" s="5"/>
      <c r="V387" s="5"/>
      <c r="W387" s="5"/>
      <c r="X387" s="5"/>
      <c r="Y387" s="5"/>
      <c r="Z387" s="7"/>
      <c r="AA387" s="5"/>
      <c r="AB387" s="5"/>
      <c r="AC387" s="5"/>
      <c r="AD387" s="5"/>
      <c r="AE387" s="5"/>
    </row>
    <row r="388" spans="1:31" ht="15.75" customHeight="1">
      <c r="A388" s="5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5"/>
      <c r="T388" s="5"/>
      <c r="U388" s="5"/>
      <c r="V388" s="5"/>
      <c r="W388" s="5"/>
      <c r="X388" s="5"/>
      <c r="Y388" s="5"/>
      <c r="Z388" s="7"/>
      <c r="AA388" s="5"/>
      <c r="AB388" s="5"/>
      <c r="AC388" s="5"/>
      <c r="AD388" s="5"/>
      <c r="AE388" s="5"/>
    </row>
    <row r="389" spans="1:31" ht="15.75" customHeight="1">
      <c r="A389" s="5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5"/>
      <c r="T389" s="5"/>
      <c r="U389" s="5"/>
      <c r="V389" s="5"/>
      <c r="W389" s="5"/>
      <c r="X389" s="5"/>
      <c r="Y389" s="5"/>
      <c r="Z389" s="7"/>
      <c r="AA389" s="5"/>
      <c r="AB389" s="5"/>
      <c r="AC389" s="5"/>
      <c r="AD389" s="5"/>
      <c r="AE389" s="5"/>
    </row>
    <row r="390" spans="1:31" ht="15.75" customHeight="1">
      <c r="A390" s="5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5"/>
      <c r="T390" s="5"/>
      <c r="U390" s="5"/>
      <c r="V390" s="5"/>
      <c r="W390" s="5"/>
      <c r="X390" s="5"/>
      <c r="Y390" s="5"/>
      <c r="Z390" s="7"/>
      <c r="AA390" s="5"/>
      <c r="AB390" s="5"/>
      <c r="AC390" s="5"/>
      <c r="AD390" s="5"/>
      <c r="AE390" s="5"/>
    </row>
    <row r="391" spans="1:31" ht="15.75" customHeight="1">
      <c r="A391" s="5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5"/>
      <c r="T391" s="5"/>
      <c r="U391" s="5"/>
      <c r="V391" s="5"/>
      <c r="W391" s="5"/>
      <c r="X391" s="5"/>
      <c r="Y391" s="5"/>
      <c r="Z391" s="7"/>
      <c r="AA391" s="5"/>
      <c r="AB391" s="5"/>
      <c r="AC391" s="5"/>
      <c r="AD391" s="5"/>
      <c r="AE391" s="5"/>
    </row>
    <row r="392" spans="1:31" ht="15.75" customHeight="1">
      <c r="A392" s="5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5"/>
      <c r="T392" s="5"/>
      <c r="U392" s="5"/>
      <c r="V392" s="5"/>
      <c r="W392" s="5"/>
      <c r="X392" s="5"/>
      <c r="Y392" s="5"/>
      <c r="Z392" s="7"/>
      <c r="AA392" s="5"/>
      <c r="AB392" s="5"/>
      <c r="AC392" s="5"/>
      <c r="AD392" s="5"/>
      <c r="AE392" s="5"/>
    </row>
    <row r="393" spans="1:31" ht="15.75" customHeight="1">
      <c r="A393" s="5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5"/>
      <c r="T393" s="5"/>
      <c r="U393" s="5"/>
      <c r="V393" s="5"/>
      <c r="W393" s="5"/>
      <c r="X393" s="5"/>
      <c r="Y393" s="5"/>
      <c r="Z393" s="7"/>
      <c r="AA393" s="5"/>
      <c r="AB393" s="5"/>
      <c r="AC393" s="5"/>
      <c r="AD393" s="5"/>
      <c r="AE393" s="5"/>
    </row>
    <row r="394" spans="1:31" ht="15.75" customHeight="1">
      <c r="A394" s="5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5"/>
      <c r="T394" s="5"/>
      <c r="U394" s="5"/>
      <c r="V394" s="5"/>
      <c r="W394" s="5"/>
      <c r="X394" s="5"/>
      <c r="Y394" s="5"/>
      <c r="Z394" s="7"/>
      <c r="AA394" s="5"/>
      <c r="AB394" s="5"/>
      <c r="AC394" s="5"/>
      <c r="AD394" s="5"/>
      <c r="AE394" s="5"/>
    </row>
    <row r="395" spans="1:31" ht="15.75" customHeight="1">
      <c r="A395" s="5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5"/>
      <c r="T395" s="5"/>
      <c r="U395" s="5"/>
      <c r="V395" s="5"/>
      <c r="W395" s="5"/>
      <c r="X395" s="5"/>
      <c r="Y395" s="5"/>
      <c r="Z395" s="7"/>
      <c r="AA395" s="5"/>
      <c r="AB395" s="5"/>
      <c r="AC395" s="5"/>
      <c r="AD395" s="5"/>
      <c r="AE395" s="5"/>
    </row>
    <row r="396" spans="1:31" ht="15.75" customHeight="1">
      <c r="A396" s="5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5"/>
      <c r="T396" s="5"/>
      <c r="U396" s="5"/>
      <c r="V396" s="5"/>
      <c r="W396" s="5"/>
      <c r="X396" s="5"/>
      <c r="Y396" s="5"/>
      <c r="Z396" s="7"/>
      <c r="AA396" s="5"/>
      <c r="AB396" s="5"/>
      <c r="AC396" s="5"/>
      <c r="AD396" s="5"/>
      <c r="AE396" s="5"/>
    </row>
    <row r="397" spans="1:31" ht="15.75" customHeight="1">
      <c r="A397" s="5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5"/>
      <c r="T397" s="5"/>
      <c r="U397" s="5"/>
      <c r="V397" s="5"/>
      <c r="W397" s="5"/>
      <c r="X397" s="5"/>
      <c r="Y397" s="5"/>
      <c r="Z397" s="7"/>
      <c r="AA397" s="5"/>
      <c r="AB397" s="5"/>
      <c r="AC397" s="5"/>
      <c r="AD397" s="5"/>
      <c r="AE397" s="5"/>
    </row>
    <row r="398" spans="1:31" ht="15.75" customHeight="1">
      <c r="A398" s="5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5"/>
      <c r="T398" s="5"/>
      <c r="U398" s="5"/>
      <c r="V398" s="5"/>
      <c r="W398" s="5"/>
      <c r="X398" s="5"/>
      <c r="Y398" s="5"/>
      <c r="Z398" s="7"/>
      <c r="AA398" s="5"/>
      <c r="AB398" s="5"/>
      <c r="AC398" s="5"/>
      <c r="AD398" s="5"/>
      <c r="AE398" s="5"/>
    </row>
    <row r="399" spans="1:31" ht="15.75" customHeight="1">
      <c r="A399" s="5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5"/>
      <c r="T399" s="5"/>
      <c r="U399" s="5"/>
      <c r="V399" s="5"/>
      <c r="W399" s="5"/>
      <c r="X399" s="5"/>
      <c r="Y399" s="5"/>
      <c r="Z399" s="7"/>
      <c r="AA399" s="5"/>
      <c r="AB399" s="5"/>
      <c r="AC399" s="5"/>
      <c r="AD399" s="5"/>
      <c r="AE399" s="5"/>
    </row>
    <row r="400" spans="1:31" ht="15.75" customHeight="1">
      <c r="A400" s="5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5"/>
      <c r="T400" s="5"/>
      <c r="U400" s="5"/>
      <c r="V400" s="5"/>
      <c r="W400" s="5"/>
      <c r="X400" s="5"/>
      <c r="Y400" s="5"/>
      <c r="Z400" s="7"/>
      <c r="AA400" s="5"/>
      <c r="AB400" s="5"/>
      <c r="AC400" s="5"/>
      <c r="AD400" s="5"/>
      <c r="AE400" s="5"/>
    </row>
    <row r="401" spans="1:31" ht="15.75" customHeight="1">
      <c r="A401" s="5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5"/>
      <c r="T401" s="5"/>
      <c r="U401" s="5"/>
      <c r="V401" s="5"/>
      <c r="W401" s="5"/>
      <c r="X401" s="5"/>
      <c r="Y401" s="5"/>
      <c r="Z401" s="7"/>
      <c r="AA401" s="5"/>
      <c r="AB401" s="5"/>
      <c r="AC401" s="5"/>
      <c r="AD401" s="5"/>
      <c r="AE401" s="5"/>
    </row>
    <row r="402" spans="1:31" ht="15.75" customHeight="1">
      <c r="A402" s="5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5"/>
      <c r="T402" s="5"/>
      <c r="U402" s="5"/>
      <c r="V402" s="5"/>
      <c r="W402" s="5"/>
      <c r="X402" s="5"/>
      <c r="Y402" s="5"/>
      <c r="Z402" s="7"/>
      <c r="AA402" s="5"/>
      <c r="AB402" s="5"/>
      <c r="AC402" s="5"/>
      <c r="AD402" s="5"/>
      <c r="AE402" s="5"/>
    </row>
    <row r="403" spans="1:31" ht="15.75" customHeight="1">
      <c r="A403" s="5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5"/>
      <c r="T403" s="5"/>
      <c r="U403" s="5"/>
      <c r="V403" s="5"/>
      <c r="W403" s="5"/>
      <c r="X403" s="5"/>
      <c r="Y403" s="5"/>
      <c r="Z403" s="7"/>
      <c r="AA403" s="5"/>
      <c r="AB403" s="5"/>
      <c r="AC403" s="5"/>
      <c r="AD403" s="5"/>
      <c r="AE403" s="5"/>
    </row>
    <row r="404" spans="1:31" ht="15.75" customHeight="1">
      <c r="A404" s="5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5"/>
      <c r="T404" s="5"/>
      <c r="U404" s="5"/>
      <c r="V404" s="5"/>
      <c r="W404" s="5"/>
      <c r="X404" s="5"/>
      <c r="Y404" s="5"/>
      <c r="Z404" s="7"/>
      <c r="AA404" s="5"/>
      <c r="AB404" s="5"/>
      <c r="AC404" s="5"/>
      <c r="AD404" s="5"/>
      <c r="AE404" s="5"/>
    </row>
    <row r="405" spans="1:31" ht="15.75" customHeight="1">
      <c r="A405" s="5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5"/>
      <c r="T405" s="5"/>
      <c r="U405" s="5"/>
      <c r="V405" s="5"/>
      <c r="W405" s="5"/>
      <c r="X405" s="5"/>
      <c r="Y405" s="5"/>
      <c r="Z405" s="7"/>
      <c r="AA405" s="5"/>
      <c r="AB405" s="5"/>
      <c r="AC405" s="5"/>
      <c r="AD405" s="5"/>
      <c r="AE405" s="5"/>
    </row>
    <row r="406" spans="1:31" ht="15.75" customHeight="1">
      <c r="A406" s="5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5"/>
      <c r="T406" s="5"/>
      <c r="U406" s="5"/>
      <c r="V406" s="5"/>
      <c r="W406" s="5"/>
      <c r="X406" s="5"/>
      <c r="Y406" s="5"/>
      <c r="Z406" s="7"/>
      <c r="AA406" s="5"/>
      <c r="AB406" s="5"/>
      <c r="AC406" s="5"/>
      <c r="AD406" s="5"/>
      <c r="AE406" s="5"/>
    </row>
    <row r="407" spans="1:31" ht="15.75" customHeight="1">
      <c r="A407" s="5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5"/>
      <c r="T407" s="5"/>
      <c r="U407" s="5"/>
      <c r="V407" s="5"/>
      <c r="W407" s="5"/>
      <c r="X407" s="5"/>
      <c r="Y407" s="5"/>
      <c r="Z407" s="7"/>
      <c r="AA407" s="5"/>
      <c r="AB407" s="5"/>
      <c r="AC407" s="5"/>
      <c r="AD407" s="5"/>
      <c r="AE407" s="5"/>
    </row>
    <row r="408" spans="1:31" ht="15.75" customHeight="1">
      <c r="A408" s="5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5"/>
      <c r="T408" s="5"/>
      <c r="U408" s="5"/>
      <c r="V408" s="5"/>
      <c r="W408" s="5"/>
      <c r="X408" s="5"/>
      <c r="Y408" s="5"/>
      <c r="Z408" s="7"/>
      <c r="AA408" s="5"/>
      <c r="AB408" s="5"/>
      <c r="AC408" s="5"/>
      <c r="AD408" s="5"/>
      <c r="AE408" s="5"/>
    </row>
    <row r="409" spans="1:31" ht="15.75" customHeight="1">
      <c r="A409" s="5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5"/>
      <c r="T409" s="5"/>
      <c r="U409" s="5"/>
      <c r="V409" s="5"/>
      <c r="W409" s="5"/>
      <c r="X409" s="5"/>
      <c r="Y409" s="5"/>
      <c r="Z409" s="7"/>
      <c r="AA409" s="5"/>
      <c r="AB409" s="5"/>
      <c r="AC409" s="5"/>
      <c r="AD409" s="5"/>
      <c r="AE409" s="5"/>
    </row>
    <row r="410" spans="1:31" ht="15.75" customHeight="1">
      <c r="A410" s="5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5"/>
      <c r="T410" s="5"/>
      <c r="U410" s="5"/>
      <c r="V410" s="5"/>
      <c r="W410" s="5"/>
      <c r="X410" s="5"/>
      <c r="Y410" s="5"/>
      <c r="Z410" s="7"/>
      <c r="AA410" s="5"/>
      <c r="AB410" s="5"/>
      <c r="AC410" s="5"/>
      <c r="AD410" s="5"/>
      <c r="AE410" s="5"/>
    </row>
    <row r="411" spans="1:31" ht="15.75" customHeight="1">
      <c r="A411" s="5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5"/>
      <c r="T411" s="5"/>
      <c r="U411" s="5"/>
      <c r="V411" s="5"/>
      <c r="W411" s="5"/>
      <c r="X411" s="5"/>
      <c r="Y411" s="5"/>
      <c r="Z411" s="7"/>
      <c r="AA411" s="5"/>
      <c r="AB411" s="5"/>
      <c r="AC411" s="5"/>
      <c r="AD411" s="5"/>
      <c r="AE411" s="5"/>
    </row>
    <row r="412" spans="1:31" ht="15.75" customHeight="1">
      <c r="A412" s="5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5"/>
      <c r="T412" s="5"/>
      <c r="U412" s="5"/>
      <c r="V412" s="5"/>
      <c r="W412" s="5"/>
      <c r="X412" s="5"/>
      <c r="Y412" s="5"/>
      <c r="Z412" s="7"/>
      <c r="AA412" s="5"/>
      <c r="AB412" s="5"/>
      <c r="AC412" s="5"/>
      <c r="AD412" s="5"/>
      <c r="AE412" s="5"/>
    </row>
    <row r="413" spans="1:31" ht="15.75" customHeight="1">
      <c r="A413" s="5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5"/>
      <c r="T413" s="5"/>
      <c r="U413" s="5"/>
      <c r="V413" s="5"/>
      <c r="W413" s="5"/>
      <c r="X413" s="5"/>
      <c r="Y413" s="5"/>
      <c r="Z413" s="7"/>
      <c r="AA413" s="5"/>
      <c r="AB413" s="5"/>
      <c r="AC413" s="5"/>
      <c r="AD413" s="5"/>
      <c r="AE413" s="5"/>
    </row>
    <row r="414" spans="1:31" ht="15.75" customHeight="1">
      <c r="A414" s="5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5"/>
      <c r="T414" s="5"/>
      <c r="U414" s="5"/>
      <c r="V414" s="5"/>
      <c r="W414" s="5"/>
      <c r="X414" s="5"/>
      <c r="Y414" s="5"/>
      <c r="Z414" s="7"/>
      <c r="AA414" s="5"/>
      <c r="AB414" s="5"/>
      <c r="AC414" s="5"/>
      <c r="AD414" s="5"/>
      <c r="AE414" s="5"/>
    </row>
    <row r="415" spans="1:31" ht="15.75" customHeight="1">
      <c r="A415" s="5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5"/>
      <c r="T415" s="5"/>
      <c r="U415" s="5"/>
      <c r="V415" s="5"/>
      <c r="W415" s="5"/>
      <c r="X415" s="5"/>
      <c r="Y415" s="5"/>
      <c r="Z415" s="7"/>
      <c r="AA415" s="5"/>
      <c r="AB415" s="5"/>
      <c r="AC415" s="5"/>
      <c r="AD415" s="5"/>
      <c r="AE415" s="5"/>
    </row>
    <row r="416" spans="1:31" ht="15.75" customHeight="1">
      <c r="A416" s="5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5"/>
      <c r="T416" s="5"/>
      <c r="U416" s="5"/>
      <c r="V416" s="5"/>
      <c r="W416" s="5"/>
      <c r="X416" s="5"/>
      <c r="Y416" s="5"/>
      <c r="Z416" s="7"/>
      <c r="AA416" s="5"/>
      <c r="AB416" s="5"/>
      <c r="AC416" s="5"/>
      <c r="AD416" s="5"/>
      <c r="AE416" s="5"/>
    </row>
    <row r="417" spans="1:31" ht="15.75" customHeight="1">
      <c r="A417" s="5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5"/>
      <c r="T417" s="5"/>
      <c r="U417" s="5"/>
      <c r="V417" s="5"/>
      <c r="W417" s="5"/>
      <c r="X417" s="5"/>
      <c r="Y417" s="5"/>
      <c r="Z417" s="7"/>
      <c r="AA417" s="5"/>
      <c r="AB417" s="5"/>
      <c r="AC417" s="5"/>
      <c r="AD417" s="5"/>
      <c r="AE417" s="5"/>
    </row>
    <row r="418" spans="1:31" ht="15.75" customHeight="1">
      <c r="A418" s="5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5"/>
      <c r="T418" s="5"/>
      <c r="U418" s="5"/>
      <c r="V418" s="5"/>
      <c r="W418" s="5"/>
      <c r="X418" s="5"/>
      <c r="Y418" s="5"/>
      <c r="Z418" s="7"/>
      <c r="AA418" s="5"/>
      <c r="AB418" s="5"/>
      <c r="AC418" s="5"/>
      <c r="AD418" s="5"/>
      <c r="AE418" s="5"/>
    </row>
    <row r="419" spans="1:31" ht="15.75" customHeight="1">
      <c r="A419" s="5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5"/>
      <c r="T419" s="5"/>
      <c r="U419" s="5"/>
      <c r="V419" s="5"/>
      <c r="W419" s="5"/>
      <c r="X419" s="5"/>
      <c r="Y419" s="5"/>
      <c r="Z419" s="7"/>
      <c r="AA419" s="5"/>
      <c r="AB419" s="5"/>
      <c r="AC419" s="5"/>
      <c r="AD419" s="5"/>
      <c r="AE419" s="5"/>
    </row>
    <row r="420" spans="1:31" ht="15.75" customHeight="1">
      <c r="A420" s="5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5"/>
      <c r="T420" s="5"/>
      <c r="U420" s="5"/>
      <c r="V420" s="5"/>
      <c r="W420" s="5"/>
      <c r="X420" s="5"/>
      <c r="Y420" s="5"/>
      <c r="Z420" s="7"/>
      <c r="AA420" s="5"/>
      <c r="AB420" s="5"/>
      <c r="AC420" s="5"/>
      <c r="AD420" s="5"/>
      <c r="AE420" s="5"/>
    </row>
    <row r="421" spans="1:31" ht="15.75" customHeight="1">
      <c r="A421" s="5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5"/>
      <c r="T421" s="5"/>
      <c r="U421" s="5"/>
      <c r="V421" s="5"/>
      <c r="W421" s="5"/>
      <c r="X421" s="5"/>
      <c r="Y421" s="5"/>
      <c r="Z421" s="7"/>
      <c r="AA421" s="5"/>
      <c r="AB421" s="5"/>
      <c r="AC421" s="5"/>
      <c r="AD421" s="5"/>
      <c r="AE421" s="5"/>
    </row>
    <row r="422" spans="1:31" ht="15.75" customHeight="1">
      <c r="A422" s="5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5"/>
      <c r="T422" s="5"/>
      <c r="U422" s="5"/>
      <c r="V422" s="5"/>
      <c r="W422" s="5"/>
      <c r="X422" s="5"/>
      <c r="Y422" s="5"/>
      <c r="Z422" s="7"/>
      <c r="AA422" s="5"/>
      <c r="AB422" s="5"/>
      <c r="AC422" s="5"/>
      <c r="AD422" s="5"/>
      <c r="AE422" s="5"/>
    </row>
    <row r="423" spans="1:31" ht="15.75" customHeight="1">
      <c r="A423" s="5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5"/>
      <c r="T423" s="5"/>
      <c r="U423" s="5"/>
      <c r="V423" s="5"/>
      <c r="W423" s="5"/>
      <c r="X423" s="5"/>
      <c r="Y423" s="5"/>
      <c r="Z423" s="7"/>
      <c r="AA423" s="5"/>
      <c r="AB423" s="5"/>
      <c r="AC423" s="5"/>
      <c r="AD423" s="5"/>
      <c r="AE423" s="5"/>
    </row>
    <row r="424" spans="1:31" ht="15.75" customHeight="1">
      <c r="A424" s="5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5"/>
      <c r="T424" s="5"/>
      <c r="U424" s="5"/>
      <c r="V424" s="5"/>
      <c r="W424" s="5"/>
      <c r="X424" s="5"/>
      <c r="Y424" s="5"/>
      <c r="Z424" s="7"/>
      <c r="AA424" s="5"/>
      <c r="AB424" s="5"/>
      <c r="AC424" s="5"/>
      <c r="AD424" s="5"/>
      <c r="AE424" s="5"/>
    </row>
    <row r="425" spans="1:31" ht="15.75" customHeight="1">
      <c r="A425" s="5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5"/>
      <c r="T425" s="5"/>
      <c r="U425" s="5"/>
      <c r="V425" s="5"/>
      <c r="W425" s="5"/>
      <c r="X425" s="5"/>
      <c r="Y425" s="5"/>
      <c r="Z425" s="7"/>
      <c r="AA425" s="5"/>
      <c r="AB425" s="5"/>
      <c r="AC425" s="5"/>
      <c r="AD425" s="5"/>
      <c r="AE425" s="5"/>
    </row>
    <row r="426" spans="1:31" ht="15.75" customHeight="1">
      <c r="A426" s="5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5"/>
      <c r="T426" s="5"/>
      <c r="U426" s="5"/>
      <c r="V426" s="5"/>
      <c r="W426" s="5"/>
      <c r="X426" s="5"/>
      <c r="Y426" s="5"/>
      <c r="Z426" s="7"/>
      <c r="AA426" s="5"/>
      <c r="AB426" s="5"/>
      <c r="AC426" s="5"/>
      <c r="AD426" s="5"/>
      <c r="AE426" s="5"/>
    </row>
    <row r="427" spans="1:31" ht="15.75" customHeight="1">
      <c r="A427" s="5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5"/>
      <c r="T427" s="5"/>
      <c r="U427" s="5"/>
      <c r="V427" s="5"/>
      <c r="W427" s="5"/>
      <c r="X427" s="5"/>
      <c r="Y427" s="5"/>
      <c r="Z427" s="7"/>
      <c r="AA427" s="5"/>
      <c r="AB427" s="5"/>
      <c r="AC427" s="5"/>
      <c r="AD427" s="5"/>
      <c r="AE427" s="5"/>
    </row>
    <row r="428" spans="1:31" ht="15.75" customHeight="1">
      <c r="A428" s="5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5"/>
      <c r="T428" s="5"/>
      <c r="U428" s="5"/>
      <c r="V428" s="5"/>
      <c r="W428" s="5"/>
      <c r="X428" s="5"/>
      <c r="Y428" s="5"/>
      <c r="Z428" s="7"/>
      <c r="AA428" s="5"/>
      <c r="AB428" s="5"/>
      <c r="AC428" s="5"/>
      <c r="AD428" s="5"/>
      <c r="AE428" s="5"/>
    </row>
    <row r="429" spans="1:31" ht="15.75" customHeight="1">
      <c r="A429" s="5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5"/>
      <c r="T429" s="5"/>
      <c r="U429" s="5"/>
      <c r="V429" s="5"/>
      <c r="W429" s="5"/>
      <c r="X429" s="5"/>
      <c r="Y429" s="5"/>
      <c r="Z429" s="7"/>
      <c r="AA429" s="5"/>
      <c r="AB429" s="5"/>
      <c r="AC429" s="5"/>
      <c r="AD429" s="5"/>
      <c r="AE429" s="5"/>
    </row>
    <row r="430" spans="1:31" ht="15.75" customHeight="1">
      <c r="A430" s="5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5"/>
      <c r="T430" s="5"/>
      <c r="U430" s="5"/>
      <c r="V430" s="5"/>
      <c r="W430" s="5"/>
      <c r="X430" s="5"/>
      <c r="Y430" s="5"/>
      <c r="Z430" s="7"/>
      <c r="AA430" s="5"/>
      <c r="AB430" s="5"/>
      <c r="AC430" s="5"/>
      <c r="AD430" s="5"/>
      <c r="AE430" s="5"/>
    </row>
    <row r="431" spans="1:31" ht="15.75" customHeight="1">
      <c r="A431" s="5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5"/>
      <c r="T431" s="5"/>
      <c r="U431" s="5"/>
      <c r="V431" s="5"/>
      <c r="W431" s="5"/>
      <c r="X431" s="5"/>
      <c r="Y431" s="5"/>
      <c r="Z431" s="7"/>
      <c r="AA431" s="5"/>
      <c r="AB431" s="5"/>
      <c r="AC431" s="5"/>
      <c r="AD431" s="5"/>
      <c r="AE431" s="5"/>
    </row>
    <row r="432" spans="1:31" ht="15.75" customHeight="1">
      <c r="A432" s="5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5"/>
      <c r="T432" s="5"/>
      <c r="U432" s="5"/>
      <c r="V432" s="5"/>
      <c r="W432" s="5"/>
      <c r="X432" s="5"/>
      <c r="Y432" s="5"/>
      <c r="Z432" s="7"/>
      <c r="AA432" s="5"/>
      <c r="AB432" s="5"/>
      <c r="AC432" s="5"/>
      <c r="AD432" s="5"/>
      <c r="AE432" s="5"/>
    </row>
    <row r="433" spans="1:31" ht="15.75" customHeight="1">
      <c r="A433" s="5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5"/>
      <c r="T433" s="5"/>
      <c r="U433" s="5"/>
      <c r="V433" s="5"/>
      <c r="W433" s="5"/>
      <c r="X433" s="5"/>
      <c r="Y433" s="5"/>
      <c r="Z433" s="7"/>
      <c r="AA433" s="5"/>
      <c r="AB433" s="5"/>
      <c r="AC433" s="5"/>
      <c r="AD433" s="5"/>
      <c r="AE433" s="5"/>
    </row>
    <row r="434" spans="1:31" ht="15.75" customHeight="1">
      <c r="A434" s="5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5"/>
      <c r="T434" s="5"/>
      <c r="U434" s="5"/>
      <c r="V434" s="5"/>
      <c r="W434" s="5"/>
      <c r="X434" s="5"/>
      <c r="Y434" s="5"/>
      <c r="Z434" s="7"/>
      <c r="AA434" s="5"/>
      <c r="AB434" s="5"/>
      <c r="AC434" s="5"/>
      <c r="AD434" s="5"/>
      <c r="AE434" s="5"/>
    </row>
    <row r="435" spans="1:31" ht="15.75" customHeight="1">
      <c r="A435" s="5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5"/>
      <c r="T435" s="5"/>
      <c r="U435" s="5"/>
      <c r="V435" s="5"/>
      <c r="W435" s="5"/>
      <c r="X435" s="5"/>
      <c r="Y435" s="5"/>
      <c r="Z435" s="7"/>
      <c r="AA435" s="5"/>
      <c r="AB435" s="5"/>
      <c r="AC435" s="5"/>
      <c r="AD435" s="5"/>
      <c r="AE435" s="5"/>
    </row>
    <row r="436" spans="1:31" ht="15.75" customHeight="1">
      <c r="A436" s="5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5"/>
      <c r="T436" s="5"/>
      <c r="U436" s="5"/>
      <c r="V436" s="5"/>
      <c r="W436" s="5"/>
      <c r="X436" s="5"/>
      <c r="Y436" s="5"/>
      <c r="Z436" s="7"/>
      <c r="AA436" s="5"/>
      <c r="AB436" s="5"/>
      <c r="AC436" s="5"/>
      <c r="AD436" s="5"/>
      <c r="AE436" s="5"/>
    </row>
    <row r="437" spans="1:31" ht="15.75" customHeight="1">
      <c r="A437" s="5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5"/>
      <c r="T437" s="5"/>
      <c r="U437" s="5"/>
      <c r="V437" s="5"/>
      <c r="W437" s="5"/>
      <c r="X437" s="5"/>
      <c r="Y437" s="5"/>
      <c r="Z437" s="7"/>
      <c r="AA437" s="5"/>
      <c r="AB437" s="5"/>
      <c r="AC437" s="5"/>
      <c r="AD437" s="5"/>
      <c r="AE437" s="5"/>
    </row>
    <row r="438" spans="1:31" ht="15.75" customHeight="1">
      <c r="A438" s="5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5"/>
      <c r="T438" s="5"/>
      <c r="U438" s="5"/>
      <c r="V438" s="5"/>
      <c r="W438" s="5"/>
      <c r="X438" s="5"/>
      <c r="Y438" s="5"/>
      <c r="Z438" s="7"/>
      <c r="AA438" s="5"/>
      <c r="AB438" s="5"/>
      <c r="AC438" s="5"/>
      <c r="AD438" s="5"/>
      <c r="AE438" s="5"/>
    </row>
    <row r="439" spans="1:31" ht="15.75" customHeight="1">
      <c r="A439" s="5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5"/>
      <c r="T439" s="5"/>
      <c r="U439" s="5"/>
      <c r="V439" s="5"/>
      <c r="W439" s="5"/>
      <c r="X439" s="5"/>
      <c r="Y439" s="5"/>
      <c r="Z439" s="7"/>
      <c r="AA439" s="5"/>
      <c r="AB439" s="5"/>
      <c r="AC439" s="5"/>
      <c r="AD439" s="5"/>
      <c r="AE439" s="5"/>
    </row>
    <row r="440" spans="1:31" ht="15.75" customHeight="1">
      <c r="A440" s="5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5"/>
      <c r="T440" s="5"/>
      <c r="U440" s="5"/>
      <c r="V440" s="5"/>
      <c r="W440" s="5"/>
      <c r="X440" s="5"/>
      <c r="Y440" s="5"/>
      <c r="Z440" s="7"/>
      <c r="AA440" s="5"/>
      <c r="AB440" s="5"/>
      <c r="AC440" s="5"/>
      <c r="AD440" s="5"/>
      <c r="AE440" s="5"/>
    </row>
    <row r="441" spans="1:31" ht="15.75" customHeight="1">
      <c r="A441" s="5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5"/>
      <c r="T441" s="5"/>
      <c r="U441" s="5"/>
      <c r="V441" s="5"/>
      <c r="W441" s="5"/>
      <c r="X441" s="5"/>
      <c r="Y441" s="5"/>
      <c r="Z441" s="7"/>
      <c r="AA441" s="5"/>
      <c r="AB441" s="5"/>
      <c r="AC441" s="5"/>
      <c r="AD441" s="5"/>
      <c r="AE441" s="5"/>
    </row>
    <row r="442" spans="1:31" ht="15.75" customHeight="1">
      <c r="A442" s="5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5"/>
      <c r="T442" s="5"/>
      <c r="U442" s="5"/>
      <c r="V442" s="5"/>
      <c r="W442" s="5"/>
      <c r="X442" s="5"/>
      <c r="Y442" s="5"/>
      <c r="Z442" s="7"/>
      <c r="AA442" s="5"/>
      <c r="AB442" s="5"/>
      <c r="AC442" s="5"/>
      <c r="AD442" s="5"/>
      <c r="AE442" s="5"/>
    </row>
    <row r="443" spans="1:31" ht="15.75" customHeight="1">
      <c r="A443" s="5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5"/>
      <c r="T443" s="5"/>
      <c r="U443" s="5"/>
      <c r="V443" s="5"/>
      <c r="W443" s="5"/>
      <c r="X443" s="5"/>
      <c r="Y443" s="5"/>
      <c r="Z443" s="7"/>
      <c r="AA443" s="5"/>
      <c r="AB443" s="5"/>
      <c r="AC443" s="5"/>
      <c r="AD443" s="5"/>
      <c r="AE443" s="5"/>
    </row>
    <row r="444" spans="1:31" ht="15.75" customHeight="1">
      <c r="A444" s="5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5"/>
      <c r="T444" s="5"/>
      <c r="U444" s="5"/>
      <c r="V444" s="5"/>
      <c r="W444" s="5"/>
      <c r="X444" s="5"/>
      <c r="Y444" s="5"/>
      <c r="Z444" s="7"/>
      <c r="AA444" s="5"/>
      <c r="AB444" s="5"/>
      <c r="AC444" s="5"/>
      <c r="AD444" s="5"/>
      <c r="AE444" s="5"/>
    </row>
    <row r="445" spans="1:31" ht="15.75" customHeight="1">
      <c r="A445" s="5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5"/>
      <c r="T445" s="5"/>
      <c r="U445" s="5"/>
      <c r="V445" s="5"/>
      <c r="W445" s="5"/>
      <c r="X445" s="5"/>
      <c r="Y445" s="5"/>
      <c r="Z445" s="7"/>
      <c r="AA445" s="5"/>
      <c r="AB445" s="5"/>
      <c r="AC445" s="5"/>
      <c r="AD445" s="5"/>
      <c r="AE445" s="5"/>
    </row>
    <row r="446" spans="1:31" ht="15.75" customHeight="1">
      <c r="A446" s="5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5"/>
      <c r="T446" s="5"/>
      <c r="U446" s="5"/>
      <c r="V446" s="5"/>
      <c r="W446" s="5"/>
      <c r="X446" s="5"/>
      <c r="Y446" s="5"/>
      <c r="Z446" s="7"/>
      <c r="AA446" s="5"/>
      <c r="AB446" s="5"/>
      <c r="AC446" s="5"/>
      <c r="AD446" s="5"/>
      <c r="AE446" s="5"/>
    </row>
    <row r="447" spans="1:31" ht="15.75" customHeight="1">
      <c r="A447" s="5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5"/>
      <c r="T447" s="5"/>
      <c r="U447" s="5"/>
      <c r="V447" s="5"/>
      <c r="W447" s="5"/>
      <c r="X447" s="5"/>
      <c r="Y447" s="5"/>
      <c r="Z447" s="7"/>
      <c r="AA447" s="5"/>
      <c r="AB447" s="5"/>
      <c r="AC447" s="5"/>
      <c r="AD447" s="5"/>
      <c r="AE447" s="5"/>
    </row>
    <row r="448" spans="1:31" ht="15.75" customHeight="1">
      <c r="A448" s="5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5"/>
      <c r="T448" s="5"/>
      <c r="U448" s="5"/>
      <c r="V448" s="5"/>
      <c r="W448" s="5"/>
      <c r="X448" s="5"/>
      <c r="Y448" s="5"/>
      <c r="Z448" s="7"/>
      <c r="AA448" s="5"/>
      <c r="AB448" s="5"/>
      <c r="AC448" s="5"/>
      <c r="AD448" s="5"/>
      <c r="AE448" s="5"/>
    </row>
    <row r="449" spans="1:31" ht="15.75" customHeight="1">
      <c r="A449" s="5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5"/>
      <c r="T449" s="5"/>
      <c r="U449" s="5"/>
      <c r="V449" s="5"/>
      <c r="W449" s="5"/>
      <c r="X449" s="5"/>
      <c r="Y449" s="5"/>
      <c r="Z449" s="7"/>
      <c r="AA449" s="5"/>
      <c r="AB449" s="5"/>
      <c r="AC449" s="5"/>
      <c r="AD449" s="5"/>
      <c r="AE449" s="5"/>
    </row>
    <row r="450" spans="1:31" ht="15.75" customHeight="1">
      <c r="A450" s="5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5"/>
      <c r="T450" s="5"/>
      <c r="U450" s="5"/>
      <c r="V450" s="5"/>
      <c r="W450" s="5"/>
      <c r="X450" s="5"/>
      <c r="Y450" s="5"/>
      <c r="Z450" s="7"/>
      <c r="AA450" s="5"/>
      <c r="AB450" s="5"/>
      <c r="AC450" s="5"/>
      <c r="AD450" s="5"/>
      <c r="AE450" s="5"/>
    </row>
    <row r="451" spans="1:31" ht="15.75" customHeight="1">
      <c r="A451" s="5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5"/>
      <c r="T451" s="5"/>
      <c r="U451" s="5"/>
      <c r="V451" s="5"/>
      <c r="W451" s="5"/>
      <c r="X451" s="5"/>
      <c r="Y451" s="5"/>
      <c r="Z451" s="7"/>
      <c r="AA451" s="5"/>
      <c r="AB451" s="5"/>
      <c r="AC451" s="5"/>
      <c r="AD451" s="5"/>
      <c r="AE451" s="5"/>
    </row>
    <row r="452" spans="1:31" ht="15.75" customHeight="1">
      <c r="A452" s="5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5"/>
      <c r="T452" s="5"/>
      <c r="U452" s="5"/>
      <c r="V452" s="5"/>
      <c r="W452" s="5"/>
      <c r="X452" s="5"/>
      <c r="Y452" s="5"/>
      <c r="Z452" s="7"/>
      <c r="AA452" s="5"/>
      <c r="AB452" s="5"/>
      <c r="AC452" s="5"/>
      <c r="AD452" s="5"/>
      <c r="AE452" s="5"/>
    </row>
    <row r="453" spans="1:31" ht="15.75" customHeight="1">
      <c r="A453" s="5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5"/>
      <c r="T453" s="5"/>
      <c r="U453" s="5"/>
      <c r="V453" s="5"/>
      <c r="W453" s="5"/>
      <c r="X453" s="5"/>
      <c r="Y453" s="5"/>
      <c r="Z453" s="7"/>
      <c r="AA453" s="5"/>
      <c r="AB453" s="5"/>
      <c r="AC453" s="5"/>
      <c r="AD453" s="5"/>
      <c r="AE453" s="5"/>
    </row>
    <row r="454" spans="1:31" ht="15.75" customHeight="1">
      <c r="A454" s="5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5"/>
      <c r="T454" s="5"/>
      <c r="U454" s="5"/>
      <c r="V454" s="5"/>
      <c r="W454" s="5"/>
      <c r="X454" s="5"/>
      <c r="Y454" s="5"/>
      <c r="Z454" s="7"/>
      <c r="AA454" s="5"/>
      <c r="AB454" s="5"/>
      <c r="AC454" s="5"/>
      <c r="AD454" s="5"/>
      <c r="AE454" s="5"/>
    </row>
    <row r="455" spans="1:31" ht="15.75" customHeight="1">
      <c r="A455" s="5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5"/>
      <c r="T455" s="5"/>
      <c r="U455" s="5"/>
      <c r="V455" s="5"/>
      <c r="W455" s="5"/>
      <c r="X455" s="5"/>
      <c r="Y455" s="5"/>
      <c r="Z455" s="7"/>
      <c r="AA455" s="5"/>
      <c r="AB455" s="5"/>
      <c r="AC455" s="5"/>
      <c r="AD455" s="5"/>
      <c r="AE455" s="5"/>
    </row>
    <row r="456" spans="1:31" ht="15.75" customHeight="1">
      <c r="A456" s="5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5"/>
      <c r="T456" s="5"/>
      <c r="U456" s="5"/>
      <c r="V456" s="5"/>
      <c r="W456" s="5"/>
      <c r="X456" s="5"/>
      <c r="Y456" s="5"/>
      <c r="Z456" s="7"/>
      <c r="AA456" s="5"/>
      <c r="AB456" s="5"/>
      <c r="AC456" s="5"/>
      <c r="AD456" s="5"/>
      <c r="AE456" s="5"/>
    </row>
    <row r="457" spans="1:31" ht="15.75" customHeight="1">
      <c r="A457" s="5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5"/>
      <c r="T457" s="5"/>
      <c r="U457" s="5"/>
      <c r="V457" s="5"/>
      <c r="W457" s="5"/>
      <c r="X457" s="5"/>
      <c r="Y457" s="5"/>
      <c r="Z457" s="7"/>
      <c r="AA457" s="5"/>
      <c r="AB457" s="5"/>
      <c r="AC457" s="5"/>
      <c r="AD457" s="5"/>
      <c r="AE457" s="5"/>
    </row>
    <row r="458" spans="1:31" ht="15.75" customHeight="1">
      <c r="A458" s="5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5"/>
      <c r="T458" s="5"/>
      <c r="U458" s="5"/>
      <c r="V458" s="5"/>
      <c r="W458" s="5"/>
      <c r="X458" s="5"/>
      <c r="Y458" s="5"/>
      <c r="Z458" s="7"/>
      <c r="AA458" s="5"/>
      <c r="AB458" s="5"/>
      <c r="AC458" s="5"/>
      <c r="AD458" s="5"/>
      <c r="AE458" s="5"/>
    </row>
    <row r="459" spans="1:31" ht="15.75" customHeight="1">
      <c r="A459" s="5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5"/>
      <c r="T459" s="5"/>
      <c r="U459" s="5"/>
      <c r="V459" s="5"/>
      <c r="W459" s="5"/>
      <c r="X459" s="5"/>
      <c r="Y459" s="5"/>
      <c r="Z459" s="7"/>
      <c r="AA459" s="5"/>
      <c r="AB459" s="5"/>
      <c r="AC459" s="5"/>
      <c r="AD459" s="5"/>
      <c r="AE459" s="5"/>
    </row>
    <row r="460" spans="1:31" ht="15.75" customHeight="1">
      <c r="A460" s="5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5"/>
      <c r="T460" s="5"/>
      <c r="U460" s="5"/>
      <c r="V460" s="5"/>
      <c r="W460" s="5"/>
      <c r="X460" s="5"/>
      <c r="Y460" s="5"/>
      <c r="Z460" s="7"/>
      <c r="AA460" s="5"/>
      <c r="AB460" s="5"/>
      <c r="AC460" s="5"/>
      <c r="AD460" s="5"/>
      <c r="AE460" s="5"/>
    </row>
    <row r="461" spans="1:31" ht="15.75" customHeight="1">
      <c r="A461" s="5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5"/>
      <c r="T461" s="5"/>
      <c r="U461" s="5"/>
      <c r="V461" s="5"/>
      <c r="W461" s="5"/>
      <c r="X461" s="5"/>
      <c r="Y461" s="5"/>
      <c r="Z461" s="7"/>
      <c r="AA461" s="5"/>
      <c r="AB461" s="5"/>
      <c r="AC461" s="5"/>
      <c r="AD461" s="5"/>
      <c r="AE461" s="5"/>
    </row>
    <row r="462" spans="1:31" ht="15.75" customHeight="1">
      <c r="A462" s="5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5"/>
      <c r="T462" s="5"/>
      <c r="U462" s="5"/>
      <c r="V462" s="5"/>
      <c r="W462" s="5"/>
      <c r="X462" s="5"/>
      <c r="Y462" s="5"/>
      <c r="Z462" s="7"/>
      <c r="AA462" s="5"/>
      <c r="AB462" s="5"/>
      <c r="AC462" s="5"/>
      <c r="AD462" s="5"/>
      <c r="AE462" s="5"/>
    </row>
    <row r="463" spans="1:31" ht="15.75" customHeight="1">
      <c r="A463" s="5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5"/>
      <c r="T463" s="5"/>
      <c r="U463" s="5"/>
      <c r="V463" s="5"/>
      <c r="W463" s="5"/>
      <c r="X463" s="5"/>
      <c r="Y463" s="5"/>
      <c r="Z463" s="7"/>
      <c r="AA463" s="5"/>
      <c r="AB463" s="5"/>
      <c r="AC463" s="5"/>
      <c r="AD463" s="5"/>
      <c r="AE463" s="5"/>
    </row>
    <row r="464" spans="1:31" ht="15.75" customHeight="1">
      <c r="A464" s="5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5"/>
      <c r="T464" s="5"/>
      <c r="U464" s="5"/>
      <c r="V464" s="5"/>
      <c r="W464" s="5"/>
      <c r="X464" s="5"/>
      <c r="Y464" s="5"/>
      <c r="Z464" s="7"/>
      <c r="AA464" s="5"/>
      <c r="AB464" s="5"/>
      <c r="AC464" s="5"/>
      <c r="AD464" s="5"/>
      <c r="AE464" s="5"/>
    </row>
    <row r="465" spans="1:31" ht="15.75" customHeight="1">
      <c r="A465" s="5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5"/>
      <c r="T465" s="5"/>
      <c r="U465" s="5"/>
      <c r="V465" s="5"/>
      <c r="W465" s="5"/>
      <c r="X465" s="5"/>
      <c r="Y465" s="5"/>
      <c r="Z465" s="7"/>
      <c r="AA465" s="5"/>
      <c r="AB465" s="5"/>
      <c r="AC465" s="5"/>
      <c r="AD465" s="5"/>
      <c r="AE465" s="5"/>
    </row>
    <row r="466" spans="1:31" ht="15.75" customHeight="1">
      <c r="A466" s="5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5"/>
      <c r="T466" s="5"/>
      <c r="U466" s="5"/>
      <c r="V466" s="5"/>
      <c r="W466" s="5"/>
      <c r="X466" s="5"/>
      <c r="Y466" s="5"/>
      <c r="Z466" s="7"/>
      <c r="AA466" s="5"/>
      <c r="AB466" s="5"/>
      <c r="AC466" s="5"/>
      <c r="AD466" s="5"/>
      <c r="AE466" s="5"/>
    </row>
    <row r="467" spans="1:31" ht="15.75" customHeight="1">
      <c r="A467" s="5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5"/>
      <c r="T467" s="5"/>
      <c r="U467" s="5"/>
      <c r="V467" s="5"/>
      <c r="W467" s="5"/>
      <c r="X467" s="5"/>
      <c r="Y467" s="5"/>
      <c r="Z467" s="7"/>
      <c r="AA467" s="5"/>
      <c r="AB467" s="5"/>
      <c r="AC467" s="5"/>
      <c r="AD467" s="5"/>
      <c r="AE467" s="5"/>
    </row>
    <row r="468" spans="1:31" ht="15.75" customHeight="1">
      <c r="A468" s="5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5"/>
      <c r="T468" s="5"/>
      <c r="U468" s="5"/>
      <c r="V468" s="5"/>
      <c r="W468" s="5"/>
      <c r="X468" s="5"/>
      <c r="Y468" s="5"/>
      <c r="Z468" s="7"/>
      <c r="AA468" s="5"/>
      <c r="AB468" s="5"/>
      <c r="AC468" s="5"/>
      <c r="AD468" s="5"/>
      <c r="AE468" s="5"/>
    </row>
    <row r="469" spans="1:31" ht="15.75" customHeight="1">
      <c r="A469" s="5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5"/>
      <c r="T469" s="5"/>
      <c r="U469" s="5"/>
      <c r="V469" s="5"/>
      <c r="W469" s="5"/>
      <c r="X469" s="5"/>
      <c r="Y469" s="5"/>
      <c r="Z469" s="7"/>
      <c r="AA469" s="5"/>
      <c r="AB469" s="5"/>
      <c r="AC469" s="5"/>
      <c r="AD469" s="5"/>
      <c r="AE469" s="5"/>
    </row>
    <row r="470" spans="1:31" ht="15.75" customHeight="1">
      <c r="A470" s="5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5"/>
      <c r="T470" s="5"/>
      <c r="U470" s="5"/>
      <c r="V470" s="5"/>
      <c r="W470" s="5"/>
      <c r="X470" s="5"/>
      <c r="Y470" s="5"/>
      <c r="Z470" s="7"/>
      <c r="AA470" s="5"/>
      <c r="AB470" s="5"/>
      <c r="AC470" s="5"/>
      <c r="AD470" s="5"/>
      <c r="AE470" s="5"/>
    </row>
    <row r="471" spans="1:31" ht="15.75" customHeight="1">
      <c r="A471" s="5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5"/>
      <c r="T471" s="5"/>
      <c r="U471" s="5"/>
      <c r="V471" s="5"/>
      <c r="W471" s="5"/>
      <c r="X471" s="5"/>
      <c r="Y471" s="5"/>
      <c r="Z471" s="7"/>
      <c r="AA471" s="5"/>
      <c r="AB471" s="5"/>
      <c r="AC471" s="5"/>
      <c r="AD471" s="5"/>
      <c r="AE471" s="5"/>
    </row>
    <row r="472" spans="1:31" ht="15.75" customHeight="1">
      <c r="A472" s="5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5"/>
      <c r="T472" s="5"/>
      <c r="U472" s="5"/>
      <c r="V472" s="5"/>
      <c r="W472" s="5"/>
      <c r="X472" s="5"/>
      <c r="Y472" s="5"/>
      <c r="Z472" s="7"/>
      <c r="AA472" s="5"/>
      <c r="AB472" s="5"/>
      <c r="AC472" s="5"/>
      <c r="AD472" s="5"/>
      <c r="AE472" s="5"/>
    </row>
    <row r="473" spans="1:31" ht="15.75" customHeight="1">
      <c r="A473" s="5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5"/>
      <c r="T473" s="5"/>
      <c r="U473" s="5"/>
      <c r="V473" s="5"/>
      <c r="W473" s="5"/>
      <c r="X473" s="5"/>
      <c r="Y473" s="5"/>
      <c r="Z473" s="7"/>
      <c r="AA473" s="5"/>
      <c r="AB473" s="5"/>
      <c r="AC473" s="5"/>
      <c r="AD473" s="5"/>
      <c r="AE473" s="5"/>
    </row>
    <row r="474" spans="1:31" ht="15.75" customHeight="1">
      <c r="A474" s="5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5"/>
      <c r="T474" s="5"/>
      <c r="U474" s="5"/>
      <c r="V474" s="5"/>
      <c r="W474" s="5"/>
      <c r="X474" s="5"/>
      <c r="Y474" s="5"/>
      <c r="Z474" s="7"/>
      <c r="AA474" s="5"/>
      <c r="AB474" s="5"/>
      <c r="AC474" s="5"/>
      <c r="AD474" s="5"/>
      <c r="AE474" s="5"/>
    </row>
    <row r="475" spans="1:31" ht="15.75" customHeight="1">
      <c r="A475" s="5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5"/>
      <c r="T475" s="5"/>
      <c r="U475" s="5"/>
      <c r="V475" s="5"/>
      <c r="W475" s="5"/>
      <c r="X475" s="5"/>
      <c r="Y475" s="5"/>
      <c r="Z475" s="7"/>
      <c r="AA475" s="5"/>
      <c r="AB475" s="5"/>
      <c r="AC475" s="5"/>
      <c r="AD475" s="5"/>
      <c r="AE475" s="5"/>
    </row>
    <row r="476" spans="1:31" ht="15.75" customHeight="1">
      <c r="A476" s="5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5"/>
      <c r="T476" s="5"/>
      <c r="U476" s="5"/>
      <c r="V476" s="5"/>
      <c r="W476" s="5"/>
      <c r="X476" s="5"/>
      <c r="Y476" s="5"/>
      <c r="Z476" s="7"/>
      <c r="AA476" s="5"/>
      <c r="AB476" s="5"/>
      <c r="AC476" s="5"/>
      <c r="AD476" s="5"/>
      <c r="AE476" s="5"/>
    </row>
    <row r="477" spans="1:31" ht="15.75" customHeight="1">
      <c r="A477" s="5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5"/>
      <c r="T477" s="5"/>
      <c r="U477" s="5"/>
      <c r="V477" s="5"/>
      <c r="W477" s="5"/>
      <c r="X477" s="5"/>
      <c r="Y477" s="5"/>
      <c r="Z477" s="7"/>
      <c r="AA477" s="5"/>
      <c r="AB477" s="5"/>
      <c r="AC477" s="5"/>
      <c r="AD477" s="5"/>
      <c r="AE477" s="5"/>
    </row>
    <row r="478" spans="1:31" ht="15.75" customHeight="1">
      <c r="A478" s="5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5"/>
      <c r="T478" s="5"/>
      <c r="U478" s="5"/>
      <c r="V478" s="5"/>
      <c r="W478" s="5"/>
      <c r="X478" s="5"/>
      <c r="Y478" s="5"/>
      <c r="Z478" s="7"/>
      <c r="AA478" s="5"/>
      <c r="AB478" s="5"/>
      <c r="AC478" s="5"/>
      <c r="AD478" s="5"/>
      <c r="AE478" s="5"/>
    </row>
    <row r="479" spans="1:31" ht="15.75" customHeight="1">
      <c r="A479" s="5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5"/>
      <c r="T479" s="5"/>
      <c r="U479" s="5"/>
      <c r="V479" s="5"/>
      <c r="W479" s="5"/>
      <c r="X479" s="5"/>
      <c r="Y479" s="5"/>
      <c r="Z479" s="7"/>
      <c r="AA479" s="5"/>
      <c r="AB479" s="5"/>
      <c r="AC479" s="5"/>
      <c r="AD479" s="5"/>
      <c r="AE479" s="5"/>
    </row>
    <row r="480" spans="1:31" ht="15.75" customHeight="1">
      <c r="A480" s="5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5"/>
      <c r="T480" s="5"/>
      <c r="U480" s="5"/>
      <c r="V480" s="5"/>
      <c r="W480" s="5"/>
      <c r="X480" s="5"/>
      <c r="Y480" s="5"/>
      <c r="Z480" s="7"/>
      <c r="AA480" s="5"/>
      <c r="AB480" s="5"/>
      <c r="AC480" s="5"/>
      <c r="AD480" s="5"/>
      <c r="AE480" s="5"/>
    </row>
    <row r="481" spans="1:31" ht="15.75" customHeight="1">
      <c r="A481" s="5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5"/>
      <c r="T481" s="5"/>
      <c r="U481" s="5"/>
      <c r="V481" s="5"/>
      <c r="W481" s="5"/>
      <c r="X481" s="5"/>
      <c r="Y481" s="5"/>
      <c r="Z481" s="7"/>
      <c r="AA481" s="5"/>
      <c r="AB481" s="5"/>
      <c r="AC481" s="5"/>
      <c r="AD481" s="5"/>
      <c r="AE481" s="5"/>
    </row>
    <row r="482" spans="1:31" ht="15.75" customHeight="1">
      <c r="A482" s="5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5"/>
      <c r="T482" s="5"/>
      <c r="U482" s="5"/>
      <c r="V482" s="5"/>
      <c r="W482" s="5"/>
      <c r="X482" s="5"/>
      <c r="Y482" s="5"/>
      <c r="Z482" s="7"/>
      <c r="AA482" s="5"/>
      <c r="AB482" s="5"/>
      <c r="AC482" s="5"/>
      <c r="AD482" s="5"/>
      <c r="AE482" s="5"/>
    </row>
    <row r="483" spans="1:31" ht="15.75" customHeight="1">
      <c r="A483" s="5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5"/>
      <c r="T483" s="5"/>
      <c r="U483" s="5"/>
      <c r="V483" s="5"/>
      <c r="W483" s="5"/>
      <c r="X483" s="5"/>
      <c r="Y483" s="5"/>
      <c r="Z483" s="7"/>
      <c r="AA483" s="5"/>
      <c r="AB483" s="5"/>
      <c r="AC483" s="5"/>
      <c r="AD483" s="5"/>
      <c r="AE483" s="5"/>
    </row>
    <row r="484" spans="1:31" ht="15.75" customHeight="1">
      <c r="A484" s="5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5"/>
      <c r="T484" s="5"/>
      <c r="U484" s="5"/>
      <c r="V484" s="5"/>
      <c r="W484" s="5"/>
      <c r="X484" s="5"/>
      <c r="Y484" s="5"/>
      <c r="Z484" s="7"/>
      <c r="AA484" s="5"/>
      <c r="AB484" s="5"/>
      <c r="AC484" s="5"/>
      <c r="AD484" s="5"/>
      <c r="AE484" s="5"/>
    </row>
    <row r="485" spans="1:31" ht="15.75" customHeight="1">
      <c r="A485" s="5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5"/>
      <c r="T485" s="5"/>
      <c r="U485" s="5"/>
      <c r="V485" s="5"/>
      <c r="W485" s="5"/>
      <c r="X485" s="5"/>
      <c r="Y485" s="5"/>
      <c r="Z485" s="7"/>
      <c r="AA485" s="5"/>
      <c r="AB485" s="5"/>
      <c r="AC485" s="5"/>
      <c r="AD485" s="5"/>
      <c r="AE485" s="5"/>
    </row>
    <row r="486" spans="1:31" ht="15.75" customHeight="1">
      <c r="A486" s="5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5"/>
      <c r="T486" s="5"/>
      <c r="U486" s="5"/>
      <c r="V486" s="5"/>
      <c r="W486" s="5"/>
      <c r="X486" s="5"/>
      <c r="Y486" s="5"/>
      <c r="Z486" s="7"/>
      <c r="AA486" s="5"/>
      <c r="AB486" s="5"/>
      <c r="AC486" s="5"/>
      <c r="AD486" s="5"/>
      <c r="AE486" s="5"/>
    </row>
    <row r="487" spans="1:31" ht="15.75" customHeight="1">
      <c r="A487" s="5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5"/>
      <c r="T487" s="5"/>
      <c r="U487" s="5"/>
      <c r="V487" s="5"/>
      <c r="W487" s="5"/>
      <c r="X487" s="5"/>
      <c r="Y487" s="5"/>
      <c r="Z487" s="7"/>
      <c r="AA487" s="5"/>
      <c r="AB487" s="5"/>
      <c r="AC487" s="5"/>
      <c r="AD487" s="5"/>
      <c r="AE487" s="5"/>
    </row>
    <row r="488" spans="1:31" ht="15.75" customHeight="1">
      <c r="A488" s="5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5"/>
      <c r="T488" s="5"/>
      <c r="U488" s="5"/>
      <c r="V488" s="5"/>
      <c r="W488" s="5"/>
      <c r="X488" s="5"/>
      <c r="Y488" s="5"/>
      <c r="Z488" s="7"/>
      <c r="AA488" s="5"/>
      <c r="AB488" s="5"/>
      <c r="AC488" s="5"/>
      <c r="AD488" s="5"/>
      <c r="AE488" s="5"/>
    </row>
    <row r="489" spans="1:31" ht="15.75" customHeight="1">
      <c r="A489" s="5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5"/>
      <c r="T489" s="5"/>
      <c r="U489" s="5"/>
      <c r="V489" s="5"/>
      <c r="W489" s="5"/>
      <c r="X489" s="5"/>
      <c r="Y489" s="5"/>
      <c r="Z489" s="7"/>
      <c r="AA489" s="5"/>
      <c r="AB489" s="5"/>
      <c r="AC489" s="5"/>
      <c r="AD489" s="5"/>
      <c r="AE489" s="5"/>
    </row>
    <row r="490" spans="1:31" ht="15.75" customHeight="1">
      <c r="A490" s="5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5"/>
      <c r="T490" s="5"/>
      <c r="U490" s="5"/>
      <c r="V490" s="5"/>
      <c r="W490" s="5"/>
      <c r="X490" s="5"/>
      <c r="Y490" s="5"/>
      <c r="Z490" s="7"/>
      <c r="AA490" s="5"/>
      <c r="AB490" s="5"/>
      <c r="AC490" s="5"/>
      <c r="AD490" s="5"/>
      <c r="AE490" s="5"/>
    </row>
    <row r="491" spans="1:31" ht="15.75" customHeight="1">
      <c r="A491" s="5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5"/>
      <c r="T491" s="5"/>
      <c r="U491" s="5"/>
      <c r="V491" s="5"/>
      <c r="W491" s="5"/>
      <c r="X491" s="5"/>
      <c r="Y491" s="5"/>
      <c r="Z491" s="7"/>
      <c r="AA491" s="5"/>
      <c r="AB491" s="5"/>
      <c r="AC491" s="5"/>
      <c r="AD491" s="5"/>
      <c r="AE491" s="5"/>
    </row>
    <row r="492" spans="1:31" ht="15.75" customHeight="1">
      <c r="A492" s="5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5"/>
      <c r="T492" s="5"/>
      <c r="U492" s="5"/>
      <c r="V492" s="5"/>
      <c r="W492" s="5"/>
      <c r="X492" s="5"/>
      <c r="Y492" s="5"/>
      <c r="Z492" s="7"/>
      <c r="AA492" s="5"/>
      <c r="AB492" s="5"/>
      <c r="AC492" s="5"/>
      <c r="AD492" s="5"/>
      <c r="AE492" s="5"/>
    </row>
    <row r="493" spans="1:31" ht="15.75" customHeight="1">
      <c r="A493" s="5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5"/>
      <c r="T493" s="5"/>
      <c r="U493" s="5"/>
      <c r="V493" s="5"/>
      <c r="W493" s="5"/>
      <c r="X493" s="5"/>
      <c r="Y493" s="5"/>
      <c r="Z493" s="7"/>
      <c r="AA493" s="5"/>
      <c r="AB493" s="5"/>
      <c r="AC493" s="5"/>
      <c r="AD493" s="5"/>
      <c r="AE493" s="5"/>
    </row>
    <row r="494" spans="1:31" ht="15.75" customHeight="1">
      <c r="A494" s="5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5"/>
      <c r="T494" s="5"/>
      <c r="U494" s="5"/>
      <c r="V494" s="5"/>
      <c r="W494" s="5"/>
      <c r="X494" s="5"/>
      <c r="Y494" s="5"/>
      <c r="Z494" s="7"/>
      <c r="AA494" s="5"/>
      <c r="AB494" s="5"/>
      <c r="AC494" s="5"/>
      <c r="AD494" s="5"/>
      <c r="AE494" s="5"/>
    </row>
    <row r="495" spans="1:31" ht="15.75" customHeight="1">
      <c r="A495" s="5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5"/>
      <c r="T495" s="5"/>
      <c r="U495" s="5"/>
      <c r="V495" s="5"/>
      <c r="W495" s="5"/>
      <c r="X495" s="5"/>
      <c r="Y495" s="5"/>
      <c r="Z495" s="7"/>
      <c r="AA495" s="5"/>
      <c r="AB495" s="5"/>
      <c r="AC495" s="5"/>
      <c r="AD495" s="5"/>
      <c r="AE495" s="5"/>
    </row>
    <row r="496" spans="1:31" ht="15.75" customHeight="1">
      <c r="A496" s="5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5"/>
      <c r="T496" s="5"/>
      <c r="U496" s="5"/>
      <c r="V496" s="5"/>
      <c r="W496" s="5"/>
      <c r="X496" s="5"/>
      <c r="Y496" s="5"/>
      <c r="Z496" s="7"/>
      <c r="AA496" s="5"/>
      <c r="AB496" s="5"/>
      <c r="AC496" s="5"/>
      <c r="AD496" s="5"/>
      <c r="AE496" s="5"/>
    </row>
    <row r="497" spans="1:31" ht="15.75" customHeight="1">
      <c r="A497" s="5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5"/>
      <c r="T497" s="5"/>
      <c r="U497" s="5"/>
      <c r="V497" s="5"/>
      <c r="W497" s="5"/>
      <c r="X497" s="5"/>
      <c r="Y497" s="5"/>
      <c r="Z497" s="7"/>
      <c r="AA497" s="5"/>
      <c r="AB497" s="5"/>
      <c r="AC497" s="5"/>
      <c r="AD497" s="5"/>
      <c r="AE497" s="5"/>
    </row>
    <row r="498" spans="1:31" ht="15.75" customHeight="1">
      <c r="A498" s="5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5"/>
      <c r="T498" s="5"/>
      <c r="U498" s="5"/>
      <c r="V498" s="5"/>
      <c r="W498" s="5"/>
      <c r="X498" s="5"/>
      <c r="Y498" s="5"/>
      <c r="Z498" s="7"/>
      <c r="AA498" s="5"/>
      <c r="AB498" s="5"/>
      <c r="AC498" s="5"/>
      <c r="AD498" s="5"/>
      <c r="AE498" s="5"/>
    </row>
    <row r="499" spans="1:31" ht="15.75" customHeight="1">
      <c r="A499" s="5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5"/>
      <c r="T499" s="5"/>
      <c r="U499" s="5"/>
      <c r="V499" s="5"/>
      <c r="W499" s="5"/>
      <c r="X499" s="5"/>
      <c r="Y499" s="5"/>
      <c r="Z499" s="7"/>
      <c r="AA499" s="5"/>
      <c r="AB499" s="5"/>
      <c r="AC499" s="5"/>
      <c r="AD499" s="5"/>
      <c r="AE499" s="5"/>
    </row>
    <row r="500" spans="1:31" ht="15.75" customHeight="1">
      <c r="A500" s="5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5"/>
      <c r="T500" s="5"/>
      <c r="U500" s="5"/>
      <c r="V500" s="5"/>
      <c r="W500" s="5"/>
      <c r="X500" s="5"/>
      <c r="Y500" s="5"/>
      <c r="Z500" s="7"/>
      <c r="AA500" s="5"/>
      <c r="AB500" s="5"/>
      <c r="AC500" s="5"/>
      <c r="AD500" s="5"/>
      <c r="AE500" s="5"/>
    </row>
    <row r="501" spans="1:31" ht="15.75" customHeight="1">
      <c r="A501" s="5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5"/>
      <c r="T501" s="5"/>
      <c r="U501" s="5"/>
      <c r="V501" s="5"/>
      <c r="W501" s="5"/>
      <c r="X501" s="5"/>
      <c r="Y501" s="5"/>
      <c r="Z501" s="7"/>
      <c r="AA501" s="5"/>
      <c r="AB501" s="5"/>
      <c r="AC501" s="5"/>
      <c r="AD501" s="5"/>
      <c r="AE501" s="5"/>
    </row>
    <row r="502" spans="1:31" ht="15.75" customHeight="1">
      <c r="A502" s="5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5"/>
      <c r="T502" s="5"/>
      <c r="U502" s="5"/>
      <c r="V502" s="5"/>
      <c r="W502" s="5"/>
      <c r="X502" s="5"/>
      <c r="Y502" s="5"/>
      <c r="Z502" s="7"/>
      <c r="AA502" s="5"/>
      <c r="AB502" s="5"/>
      <c r="AC502" s="5"/>
      <c r="AD502" s="5"/>
      <c r="AE502" s="5"/>
    </row>
    <row r="503" spans="1:31" ht="15.75" customHeight="1">
      <c r="A503" s="5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5"/>
      <c r="T503" s="5"/>
      <c r="U503" s="5"/>
      <c r="V503" s="5"/>
      <c r="W503" s="5"/>
      <c r="X503" s="5"/>
      <c r="Y503" s="5"/>
      <c r="Z503" s="7"/>
      <c r="AA503" s="5"/>
      <c r="AB503" s="5"/>
      <c r="AC503" s="5"/>
      <c r="AD503" s="5"/>
      <c r="AE503" s="5"/>
    </row>
    <row r="504" spans="1:31" ht="15.75" customHeight="1">
      <c r="A504" s="5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5"/>
      <c r="T504" s="5"/>
      <c r="U504" s="5"/>
      <c r="V504" s="5"/>
      <c r="W504" s="5"/>
      <c r="X504" s="5"/>
      <c r="Y504" s="5"/>
      <c r="Z504" s="7"/>
      <c r="AA504" s="5"/>
      <c r="AB504" s="5"/>
      <c r="AC504" s="5"/>
      <c r="AD504" s="5"/>
      <c r="AE504" s="5"/>
    </row>
    <row r="505" spans="1:31" ht="15.75" customHeight="1">
      <c r="A505" s="5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5"/>
      <c r="T505" s="5"/>
      <c r="U505" s="5"/>
      <c r="V505" s="5"/>
      <c r="W505" s="5"/>
      <c r="X505" s="5"/>
      <c r="Y505" s="5"/>
      <c r="Z505" s="7"/>
      <c r="AA505" s="5"/>
      <c r="AB505" s="5"/>
      <c r="AC505" s="5"/>
      <c r="AD505" s="5"/>
      <c r="AE505" s="5"/>
    </row>
    <row r="506" spans="1:31" ht="15.75" customHeight="1">
      <c r="A506" s="5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5"/>
      <c r="T506" s="5"/>
      <c r="U506" s="5"/>
      <c r="V506" s="5"/>
      <c r="W506" s="5"/>
      <c r="X506" s="5"/>
      <c r="Y506" s="5"/>
      <c r="Z506" s="7"/>
      <c r="AA506" s="5"/>
      <c r="AB506" s="5"/>
      <c r="AC506" s="5"/>
      <c r="AD506" s="5"/>
      <c r="AE506" s="5"/>
    </row>
    <row r="507" spans="1:31" ht="15.75" customHeight="1">
      <c r="A507" s="5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5"/>
      <c r="T507" s="5"/>
      <c r="U507" s="5"/>
      <c r="V507" s="5"/>
      <c r="W507" s="5"/>
      <c r="X507" s="5"/>
      <c r="Y507" s="5"/>
      <c r="Z507" s="7"/>
      <c r="AA507" s="5"/>
      <c r="AB507" s="5"/>
      <c r="AC507" s="5"/>
      <c r="AD507" s="5"/>
      <c r="AE507" s="5"/>
    </row>
    <row r="508" spans="1:31" ht="15.75" customHeight="1">
      <c r="A508" s="5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5"/>
      <c r="T508" s="5"/>
      <c r="U508" s="5"/>
      <c r="V508" s="5"/>
      <c r="W508" s="5"/>
      <c r="X508" s="5"/>
      <c r="Y508" s="5"/>
      <c r="Z508" s="7"/>
      <c r="AA508" s="5"/>
      <c r="AB508" s="5"/>
      <c r="AC508" s="5"/>
      <c r="AD508" s="5"/>
      <c r="AE508" s="5"/>
    </row>
    <row r="509" spans="1:31" ht="15.75" customHeight="1">
      <c r="A509" s="5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5"/>
      <c r="T509" s="5"/>
      <c r="U509" s="5"/>
      <c r="V509" s="5"/>
      <c r="W509" s="5"/>
      <c r="X509" s="5"/>
      <c r="Y509" s="5"/>
      <c r="Z509" s="7"/>
      <c r="AA509" s="5"/>
      <c r="AB509" s="5"/>
      <c r="AC509" s="5"/>
      <c r="AD509" s="5"/>
      <c r="AE509" s="5"/>
    </row>
    <row r="510" spans="1:31" ht="15.75" customHeight="1">
      <c r="A510" s="5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5"/>
      <c r="T510" s="5"/>
      <c r="U510" s="5"/>
      <c r="V510" s="5"/>
      <c r="W510" s="5"/>
      <c r="X510" s="5"/>
      <c r="Y510" s="5"/>
      <c r="Z510" s="7"/>
      <c r="AA510" s="5"/>
      <c r="AB510" s="5"/>
      <c r="AC510" s="5"/>
      <c r="AD510" s="5"/>
      <c r="AE510" s="5"/>
    </row>
    <row r="511" spans="1:31" ht="15.75" customHeight="1">
      <c r="A511" s="5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5"/>
      <c r="T511" s="5"/>
      <c r="U511" s="5"/>
      <c r="V511" s="5"/>
      <c r="W511" s="5"/>
      <c r="X511" s="5"/>
      <c r="Y511" s="5"/>
      <c r="Z511" s="7"/>
      <c r="AA511" s="5"/>
      <c r="AB511" s="5"/>
      <c r="AC511" s="5"/>
      <c r="AD511" s="5"/>
      <c r="AE511" s="5"/>
    </row>
    <row r="512" spans="1:31" ht="15.75" customHeight="1">
      <c r="A512" s="5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5"/>
      <c r="T512" s="5"/>
      <c r="U512" s="5"/>
      <c r="V512" s="5"/>
      <c r="W512" s="5"/>
      <c r="X512" s="5"/>
      <c r="Y512" s="5"/>
      <c r="Z512" s="7"/>
      <c r="AA512" s="5"/>
      <c r="AB512" s="5"/>
      <c r="AC512" s="5"/>
      <c r="AD512" s="5"/>
      <c r="AE512" s="5"/>
    </row>
    <row r="513" spans="1:31" ht="15.75" customHeight="1">
      <c r="A513" s="5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5"/>
      <c r="T513" s="5"/>
      <c r="U513" s="5"/>
      <c r="V513" s="5"/>
      <c r="W513" s="5"/>
      <c r="X513" s="5"/>
      <c r="Y513" s="5"/>
      <c r="Z513" s="7"/>
      <c r="AA513" s="5"/>
      <c r="AB513" s="5"/>
      <c r="AC513" s="5"/>
      <c r="AD513" s="5"/>
      <c r="AE513" s="5"/>
    </row>
    <row r="514" spans="1:31" ht="15.75" customHeight="1">
      <c r="A514" s="5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5"/>
      <c r="T514" s="5"/>
      <c r="U514" s="5"/>
      <c r="V514" s="5"/>
      <c r="W514" s="5"/>
      <c r="X514" s="5"/>
      <c r="Y514" s="5"/>
      <c r="Z514" s="7"/>
      <c r="AA514" s="5"/>
      <c r="AB514" s="5"/>
      <c r="AC514" s="5"/>
      <c r="AD514" s="5"/>
      <c r="AE514" s="5"/>
    </row>
    <row r="515" spans="1:31" ht="15.75" customHeight="1">
      <c r="A515" s="5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5"/>
      <c r="T515" s="5"/>
      <c r="U515" s="5"/>
      <c r="V515" s="5"/>
      <c r="W515" s="5"/>
      <c r="X515" s="5"/>
      <c r="Y515" s="5"/>
      <c r="Z515" s="7"/>
      <c r="AA515" s="5"/>
      <c r="AB515" s="5"/>
      <c r="AC515" s="5"/>
      <c r="AD515" s="5"/>
      <c r="AE515" s="5"/>
    </row>
    <row r="516" spans="1:31" ht="15.75" customHeight="1">
      <c r="A516" s="5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5"/>
      <c r="T516" s="5"/>
      <c r="U516" s="5"/>
      <c r="V516" s="5"/>
      <c r="W516" s="5"/>
      <c r="X516" s="5"/>
      <c r="Y516" s="5"/>
      <c r="Z516" s="7"/>
      <c r="AA516" s="5"/>
      <c r="AB516" s="5"/>
      <c r="AC516" s="5"/>
      <c r="AD516" s="5"/>
      <c r="AE516" s="5"/>
    </row>
    <row r="517" spans="1:31" ht="15.75" customHeight="1">
      <c r="A517" s="5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5"/>
      <c r="T517" s="5"/>
      <c r="U517" s="5"/>
      <c r="V517" s="5"/>
      <c r="W517" s="5"/>
      <c r="X517" s="5"/>
      <c r="Y517" s="5"/>
      <c r="Z517" s="7"/>
      <c r="AA517" s="5"/>
      <c r="AB517" s="5"/>
      <c r="AC517" s="5"/>
      <c r="AD517" s="5"/>
      <c r="AE517" s="5"/>
    </row>
    <row r="518" spans="1:31" ht="15.75" customHeight="1">
      <c r="A518" s="5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5"/>
      <c r="T518" s="5"/>
      <c r="U518" s="5"/>
      <c r="V518" s="5"/>
      <c r="W518" s="5"/>
      <c r="X518" s="5"/>
      <c r="Y518" s="5"/>
      <c r="Z518" s="7"/>
      <c r="AA518" s="5"/>
      <c r="AB518" s="5"/>
      <c r="AC518" s="5"/>
      <c r="AD518" s="5"/>
      <c r="AE518" s="5"/>
    </row>
    <row r="519" spans="1:31" ht="15.75" customHeight="1">
      <c r="A519" s="5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5"/>
      <c r="T519" s="5"/>
      <c r="U519" s="5"/>
      <c r="V519" s="5"/>
      <c r="W519" s="5"/>
      <c r="X519" s="5"/>
      <c r="Y519" s="5"/>
      <c r="Z519" s="7"/>
      <c r="AA519" s="5"/>
      <c r="AB519" s="5"/>
      <c r="AC519" s="5"/>
      <c r="AD519" s="5"/>
      <c r="AE519" s="5"/>
    </row>
    <row r="520" spans="1:31" ht="15.75" customHeight="1">
      <c r="A520" s="5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5"/>
      <c r="T520" s="5"/>
      <c r="U520" s="5"/>
      <c r="V520" s="5"/>
      <c r="W520" s="5"/>
      <c r="X520" s="5"/>
      <c r="Y520" s="5"/>
      <c r="Z520" s="7"/>
      <c r="AA520" s="5"/>
      <c r="AB520" s="5"/>
      <c r="AC520" s="5"/>
      <c r="AD520" s="5"/>
      <c r="AE520" s="5"/>
    </row>
    <row r="521" spans="1:31" ht="15.75" customHeight="1">
      <c r="A521" s="5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5"/>
      <c r="T521" s="5"/>
      <c r="U521" s="5"/>
      <c r="V521" s="5"/>
      <c r="W521" s="5"/>
      <c r="X521" s="5"/>
      <c r="Y521" s="5"/>
      <c r="Z521" s="7"/>
      <c r="AA521" s="5"/>
      <c r="AB521" s="5"/>
      <c r="AC521" s="5"/>
      <c r="AD521" s="5"/>
      <c r="AE521" s="5"/>
    </row>
    <row r="522" spans="1:31" ht="15.75" customHeight="1">
      <c r="A522" s="5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5"/>
      <c r="T522" s="5"/>
      <c r="U522" s="5"/>
      <c r="V522" s="5"/>
      <c r="W522" s="5"/>
      <c r="X522" s="5"/>
      <c r="Y522" s="5"/>
      <c r="Z522" s="7"/>
      <c r="AA522" s="5"/>
      <c r="AB522" s="5"/>
      <c r="AC522" s="5"/>
      <c r="AD522" s="5"/>
      <c r="AE522" s="5"/>
    </row>
    <row r="523" spans="1:31" ht="15.75" customHeight="1">
      <c r="A523" s="5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5"/>
      <c r="T523" s="5"/>
      <c r="U523" s="5"/>
      <c r="V523" s="5"/>
      <c r="W523" s="5"/>
      <c r="X523" s="5"/>
      <c r="Y523" s="5"/>
      <c r="Z523" s="7"/>
      <c r="AA523" s="5"/>
      <c r="AB523" s="5"/>
      <c r="AC523" s="5"/>
      <c r="AD523" s="5"/>
      <c r="AE523" s="5"/>
    </row>
    <row r="524" spans="1:31" ht="15.75" customHeight="1">
      <c r="A524" s="5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5"/>
      <c r="T524" s="5"/>
      <c r="U524" s="5"/>
      <c r="V524" s="5"/>
      <c r="W524" s="5"/>
      <c r="X524" s="5"/>
      <c r="Y524" s="5"/>
      <c r="Z524" s="7"/>
      <c r="AA524" s="5"/>
      <c r="AB524" s="5"/>
      <c r="AC524" s="5"/>
      <c r="AD524" s="5"/>
      <c r="AE524" s="5"/>
    </row>
    <row r="525" spans="1:31" ht="15.75" customHeight="1">
      <c r="A525" s="5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5"/>
      <c r="T525" s="5"/>
      <c r="U525" s="5"/>
      <c r="V525" s="5"/>
      <c r="W525" s="5"/>
      <c r="X525" s="5"/>
      <c r="Y525" s="5"/>
      <c r="Z525" s="7"/>
      <c r="AA525" s="5"/>
      <c r="AB525" s="5"/>
      <c r="AC525" s="5"/>
      <c r="AD525" s="5"/>
      <c r="AE525" s="5"/>
    </row>
    <row r="526" spans="1:31" ht="15.75" customHeight="1">
      <c r="A526" s="5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5"/>
      <c r="T526" s="5"/>
      <c r="U526" s="5"/>
      <c r="V526" s="5"/>
      <c r="W526" s="5"/>
      <c r="X526" s="5"/>
      <c r="Y526" s="5"/>
      <c r="Z526" s="7"/>
      <c r="AA526" s="5"/>
      <c r="AB526" s="5"/>
      <c r="AC526" s="5"/>
      <c r="AD526" s="5"/>
      <c r="AE526" s="5"/>
    </row>
    <row r="527" spans="1:31" ht="15.75" customHeight="1">
      <c r="A527" s="5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5"/>
      <c r="T527" s="5"/>
      <c r="U527" s="5"/>
      <c r="V527" s="5"/>
      <c r="W527" s="5"/>
      <c r="X527" s="5"/>
      <c r="Y527" s="5"/>
      <c r="Z527" s="7"/>
      <c r="AA527" s="5"/>
      <c r="AB527" s="5"/>
      <c r="AC527" s="5"/>
      <c r="AD527" s="5"/>
      <c r="AE527" s="5"/>
    </row>
    <row r="528" spans="1:31" ht="15.75" customHeight="1">
      <c r="A528" s="5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5"/>
      <c r="T528" s="5"/>
      <c r="U528" s="5"/>
      <c r="V528" s="5"/>
      <c r="W528" s="5"/>
      <c r="X528" s="5"/>
      <c r="Y528" s="5"/>
      <c r="Z528" s="7"/>
      <c r="AA528" s="5"/>
      <c r="AB528" s="5"/>
      <c r="AC528" s="5"/>
      <c r="AD528" s="5"/>
      <c r="AE528" s="5"/>
    </row>
    <row r="529" spans="1:31" ht="15.75" customHeight="1">
      <c r="A529" s="5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5"/>
      <c r="T529" s="5"/>
      <c r="U529" s="5"/>
      <c r="V529" s="5"/>
      <c r="W529" s="5"/>
      <c r="X529" s="5"/>
      <c r="Y529" s="5"/>
      <c r="Z529" s="7"/>
      <c r="AA529" s="5"/>
      <c r="AB529" s="5"/>
      <c r="AC529" s="5"/>
      <c r="AD529" s="5"/>
      <c r="AE529" s="5"/>
    </row>
    <row r="530" spans="1:31" ht="15.75" customHeight="1">
      <c r="A530" s="5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5"/>
      <c r="T530" s="5"/>
      <c r="U530" s="5"/>
      <c r="V530" s="5"/>
      <c r="W530" s="5"/>
      <c r="X530" s="5"/>
      <c r="Y530" s="5"/>
      <c r="Z530" s="7"/>
      <c r="AA530" s="5"/>
      <c r="AB530" s="5"/>
      <c r="AC530" s="5"/>
      <c r="AD530" s="5"/>
      <c r="AE530" s="5"/>
    </row>
    <row r="531" spans="1:31" ht="15.75" customHeight="1">
      <c r="A531" s="5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5"/>
      <c r="T531" s="5"/>
      <c r="U531" s="5"/>
      <c r="V531" s="5"/>
      <c r="W531" s="5"/>
      <c r="X531" s="5"/>
      <c r="Y531" s="5"/>
      <c r="Z531" s="7"/>
      <c r="AA531" s="5"/>
      <c r="AB531" s="5"/>
      <c r="AC531" s="5"/>
      <c r="AD531" s="5"/>
      <c r="AE531" s="5"/>
    </row>
    <row r="532" spans="1:31" ht="15.75" customHeight="1">
      <c r="A532" s="5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5"/>
      <c r="T532" s="5"/>
      <c r="U532" s="5"/>
      <c r="V532" s="5"/>
      <c r="W532" s="5"/>
      <c r="X532" s="5"/>
      <c r="Y532" s="5"/>
      <c r="Z532" s="7"/>
      <c r="AA532" s="5"/>
      <c r="AB532" s="5"/>
      <c r="AC532" s="5"/>
      <c r="AD532" s="5"/>
      <c r="AE532" s="5"/>
    </row>
    <row r="533" spans="1:31" ht="15.75" customHeight="1">
      <c r="A533" s="5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5"/>
      <c r="T533" s="5"/>
      <c r="U533" s="5"/>
      <c r="V533" s="5"/>
      <c r="W533" s="5"/>
      <c r="X533" s="5"/>
      <c r="Y533" s="5"/>
      <c r="Z533" s="7"/>
      <c r="AA533" s="5"/>
      <c r="AB533" s="5"/>
      <c r="AC533" s="5"/>
      <c r="AD533" s="5"/>
      <c r="AE533" s="5"/>
    </row>
    <row r="534" spans="1:31" ht="15.75" customHeight="1">
      <c r="A534" s="5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5"/>
      <c r="T534" s="5"/>
      <c r="U534" s="5"/>
      <c r="V534" s="5"/>
      <c r="W534" s="5"/>
      <c r="X534" s="5"/>
      <c r="Y534" s="5"/>
      <c r="Z534" s="7"/>
      <c r="AA534" s="5"/>
      <c r="AB534" s="5"/>
      <c r="AC534" s="5"/>
      <c r="AD534" s="5"/>
      <c r="AE534" s="5"/>
    </row>
    <row r="535" spans="1:31" ht="15.75" customHeight="1">
      <c r="A535" s="5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5"/>
      <c r="T535" s="5"/>
      <c r="U535" s="5"/>
      <c r="V535" s="5"/>
      <c r="W535" s="5"/>
      <c r="X535" s="5"/>
      <c r="Y535" s="5"/>
      <c r="Z535" s="7"/>
      <c r="AA535" s="5"/>
      <c r="AB535" s="5"/>
      <c r="AC535" s="5"/>
      <c r="AD535" s="5"/>
      <c r="AE535" s="5"/>
    </row>
    <row r="536" spans="1:31" ht="15.75" customHeight="1">
      <c r="A536" s="5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5"/>
      <c r="T536" s="5"/>
      <c r="U536" s="5"/>
      <c r="V536" s="5"/>
      <c r="W536" s="5"/>
      <c r="X536" s="5"/>
      <c r="Y536" s="5"/>
      <c r="Z536" s="7"/>
      <c r="AA536" s="5"/>
      <c r="AB536" s="5"/>
      <c r="AC536" s="5"/>
      <c r="AD536" s="5"/>
      <c r="AE536" s="5"/>
    </row>
    <row r="537" spans="1:31" ht="15.75" customHeight="1">
      <c r="A537" s="5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5"/>
      <c r="T537" s="5"/>
      <c r="U537" s="5"/>
      <c r="V537" s="5"/>
      <c r="W537" s="5"/>
      <c r="X537" s="5"/>
      <c r="Y537" s="5"/>
      <c r="Z537" s="7"/>
      <c r="AA537" s="5"/>
      <c r="AB537" s="5"/>
      <c r="AC537" s="5"/>
      <c r="AD537" s="5"/>
      <c r="AE537" s="5"/>
    </row>
    <row r="538" spans="1:31" ht="15.75" customHeight="1">
      <c r="A538" s="5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5"/>
      <c r="T538" s="5"/>
      <c r="U538" s="5"/>
      <c r="V538" s="5"/>
      <c r="W538" s="5"/>
      <c r="X538" s="5"/>
      <c r="Y538" s="5"/>
      <c r="Z538" s="7"/>
      <c r="AA538" s="5"/>
      <c r="AB538" s="5"/>
      <c r="AC538" s="5"/>
      <c r="AD538" s="5"/>
      <c r="AE538" s="5"/>
    </row>
    <row r="539" spans="1:31" ht="15.75" customHeight="1">
      <c r="A539" s="5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5"/>
      <c r="T539" s="5"/>
      <c r="U539" s="5"/>
      <c r="V539" s="5"/>
      <c r="W539" s="5"/>
      <c r="X539" s="5"/>
      <c r="Y539" s="5"/>
      <c r="Z539" s="7"/>
      <c r="AA539" s="5"/>
      <c r="AB539" s="5"/>
      <c r="AC539" s="5"/>
      <c r="AD539" s="5"/>
      <c r="AE539" s="5"/>
    </row>
    <row r="540" spans="1:31" ht="15.75" customHeight="1">
      <c r="A540" s="5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5"/>
      <c r="T540" s="5"/>
      <c r="U540" s="5"/>
      <c r="V540" s="5"/>
      <c r="W540" s="5"/>
      <c r="X540" s="5"/>
      <c r="Y540" s="5"/>
      <c r="Z540" s="7"/>
      <c r="AA540" s="5"/>
      <c r="AB540" s="5"/>
      <c r="AC540" s="5"/>
      <c r="AD540" s="5"/>
      <c r="AE540" s="5"/>
    </row>
    <row r="541" spans="1:31" ht="15.75" customHeight="1">
      <c r="A541" s="5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5"/>
      <c r="T541" s="5"/>
      <c r="U541" s="5"/>
      <c r="V541" s="5"/>
      <c r="W541" s="5"/>
      <c r="X541" s="5"/>
      <c r="Y541" s="5"/>
      <c r="Z541" s="7"/>
      <c r="AA541" s="5"/>
      <c r="AB541" s="5"/>
      <c r="AC541" s="5"/>
      <c r="AD541" s="5"/>
      <c r="AE541" s="5"/>
    </row>
    <row r="542" spans="1:31" ht="15.75" customHeight="1">
      <c r="A542" s="5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5"/>
      <c r="T542" s="5"/>
      <c r="U542" s="5"/>
      <c r="V542" s="5"/>
      <c r="W542" s="5"/>
      <c r="X542" s="5"/>
      <c r="Y542" s="5"/>
      <c r="Z542" s="7"/>
      <c r="AA542" s="5"/>
      <c r="AB542" s="5"/>
      <c r="AC542" s="5"/>
      <c r="AD542" s="5"/>
      <c r="AE542" s="5"/>
    </row>
    <row r="543" spans="1:31" ht="15.75" customHeight="1">
      <c r="A543" s="5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5"/>
      <c r="T543" s="5"/>
      <c r="U543" s="5"/>
      <c r="V543" s="5"/>
      <c r="W543" s="5"/>
      <c r="X543" s="5"/>
      <c r="Y543" s="5"/>
      <c r="Z543" s="7"/>
      <c r="AA543" s="5"/>
      <c r="AB543" s="5"/>
      <c r="AC543" s="5"/>
      <c r="AD543" s="5"/>
      <c r="AE543" s="5"/>
    </row>
    <row r="544" spans="1:31" ht="15.75" customHeight="1">
      <c r="A544" s="5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5"/>
      <c r="T544" s="5"/>
      <c r="U544" s="5"/>
      <c r="V544" s="5"/>
      <c r="W544" s="5"/>
      <c r="X544" s="5"/>
      <c r="Y544" s="5"/>
      <c r="Z544" s="7"/>
      <c r="AA544" s="5"/>
      <c r="AB544" s="5"/>
      <c r="AC544" s="5"/>
      <c r="AD544" s="5"/>
      <c r="AE544" s="5"/>
    </row>
    <row r="545" spans="1:31" ht="15.75" customHeight="1">
      <c r="A545" s="5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5"/>
      <c r="T545" s="5"/>
      <c r="U545" s="5"/>
      <c r="V545" s="5"/>
      <c r="W545" s="5"/>
      <c r="X545" s="5"/>
      <c r="Y545" s="5"/>
      <c r="Z545" s="7"/>
      <c r="AA545" s="5"/>
      <c r="AB545" s="5"/>
      <c r="AC545" s="5"/>
      <c r="AD545" s="5"/>
      <c r="AE545" s="5"/>
    </row>
    <row r="546" spans="1:31" ht="15.75" customHeight="1">
      <c r="A546" s="5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5"/>
      <c r="T546" s="5"/>
      <c r="U546" s="5"/>
      <c r="V546" s="5"/>
      <c r="W546" s="5"/>
      <c r="X546" s="5"/>
      <c r="Y546" s="5"/>
      <c r="Z546" s="7"/>
      <c r="AA546" s="5"/>
      <c r="AB546" s="5"/>
      <c r="AC546" s="5"/>
      <c r="AD546" s="5"/>
      <c r="AE546" s="5"/>
    </row>
    <row r="547" spans="1:31" ht="15.75" customHeight="1">
      <c r="A547" s="5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5"/>
      <c r="T547" s="5"/>
      <c r="U547" s="5"/>
      <c r="V547" s="5"/>
      <c r="W547" s="5"/>
      <c r="X547" s="5"/>
      <c r="Y547" s="5"/>
      <c r="Z547" s="7"/>
      <c r="AA547" s="5"/>
      <c r="AB547" s="5"/>
      <c r="AC547" s="5"/>
      <c r="AD547" s="5"/>
      <c r="AE547" s="5"/>
    </row>
    <row r="548" spans="1:31" ht="15.75" customHeight="1">
      <c r="A548" s="5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5"/>
      <c r="T548" s="5"/>
      <c r="U548" s="5"/>
      <c r="V548" s="5"/>
      <c r="W548" s="5"/>
      <c r="X548" s="5"/>
      <c r="Y548" s="5"/>
      <c r="Z548" s="7"/>
      <c r="AA548" s="5"/>
      <c r="AB548" s="5"/>
      <c r="AC548" s="5"/>
      <c r="AD548" s="5"/>
      <c r="AE548" s="5"/>
    </row>
    <row r="549" spans="1:31" ht="15.75" customHeight="1">
      <c r="A549" s="5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5"/>
      <c r="T549" s="5"/>
      <c r="U549" s="5"/>
      <c r="V549" s="5"/>
      <c r="W549" s="5"/>
      <c r="X549" s="5"/>
      <c r="Y549" s="5"/>
      <c r="Z549" s="7"/>
      <c r="AA549" s="5"/>
      <c r="AB549" s="5"/>
      <c r="AC549" s="5"/>
      <c r="AD549" s="5"/>
      <c r="AE549" s="5"/>
    </row>
    <row r="550" spans="1:31" ht="15.75" customHeight="1">
      <c r="A550" s="5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5"/>
      <c r="T550" s="5"/>
      <c r="U550" s="5"/>
      <c r="V550" s="5"/>
      <c r="W550" s="5"/>
      <c r="X550" s="5"/>
      <c r="Y550" s="5"/>
      <c r="Z550" s="7"/>
      <c r="AA550" s="5"/>
      <c r="AB550" s="5"/>
      <c r="AC550" s="5"/>
      <c r="AD550" s="5"/>
      <c r="AE550" s="5"/>
    </row>
    <row r="551" spans="1:31" ht="15.75" customHeight="1">
      <c r="A551" s="5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5"/>
      <c r="T551" s="5"/>
      <c r="U551" s="5"/>
      <c r="V551" s="5"/>
      <c r="W551" s="5"/>
      <c r="X551" s="5"/>
      <c r="Y551" s="5"/>
      <c r="Z551" s="7"/>
      <c r="AA551" s="5"/>
      <c r="AB551" s="5"/>
      <c r="AC551" s="5"/>
      <c r="AD551" s="5"/>
      <c r="AE551" s="5"/>
    </row>
    <row r="552" spans="1:31" ht="15.75" customHeight="1">
      <c r="A552" s="5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5"/>
      <c r="T552" s="5"/>
      <c r="U552" s="5"/>
      <c r="V552" s="5"/>
      <c r="W552" s="5"/>
      <c r="X552" s="5"/>
      <c r="Y552" s="5"/>
      <c r="Z552" s="7"/>
      <c r="AA552" s="5"/>
      <c r="AB552" s="5"/>
      <c r="AC552" s="5"/>
      <c r="AD552" s="5"/>
      <c r="AE552" s="5"/>
    </row>
    <row r="553" spans="1:31" ht="15.75" customHeight="1">
      <c r="A553" s="5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5"/>
      <c r="T553" s="5"/>
      <c r="U553" s="5"/>
      <c r="V553" s="5"/>
      <c r="W553" s="5"/>
      <c r="X553" s="5"/>
      <c r="Y553" s="5"/>
      <c r="Z553" s="7"/>
      <c r="AA553" s="5"/>
      <c r="AB553" s="5"/>
      <c r="AC553" s="5"/>
      <c r="AD553" s="5"/>
      <c r="AE553" s="5"/>
    </row>
    <row r="554" spans="1:31" ht="15.75" customHeight="1">
      <c r="A554" s="5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5"/>
      <c r="T554" s="5"/>
      <c r="U554" s="5"/>
      <c r="V554" s="5"/>
      <c r="W554" s="5"/>
      <c r="X554" s="5"/>
      <c r="Y554" s="5"/>
      <c r="Z554" s="7"/>
      <c r="AA554" s="5"/>
      <c r="AB554" s="5"/>
      <c r="AC554" s="5"/>
      <c r="AD554" s="5"/>
      <c r="AE554" s="5"/>
    </row>
    <row r="555" spans="1:31" ht="15.75" customHeight="1">
      <c r="A555" s="5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5"/>
      <c r="T555" s="5"/>
      <c r="U555" s="5"/>
      <c r="V555" s="5"/>
      <c r="W555" s="5"/>
      <c r="X555" s="5"/>
      <c r="Y555" s="5"/>
      <c r="Z555" s="7"/>
      <c r="AA555" s="5"/>
      <c r="AB555" s="5"/>
      <c r="AC555" s="5"/>
      <c r="AD555" s="5"/>
      <c r="AE555" s="5"/>
    </row>
    <row r="556" spans="1:31" ht="15.75" customHeight="1">
      <c r="A556" s="5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5"/>
      <c r="T556" s="5"/>
      <c r="U556" s="5"/>
      <c r="V556" s="5"/>
      <c r="W556" s="5"/>
      <c r="X556" s="5"/>
      <c r="Y556" s="5"/>
      <c r="Z556" s="7"/>
      <c r="AA556" s="5"/>
      <c r="AB556" s="5"/>
      <c r="AC556" s="5"/>
      <c r="AD556" s="5"/>
      <c r="AE556" s="5"/>
    </row>
    <row r="557" spans="1:31" ht="15.75" customHeight="1">
      <c r="A557" s="5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5"/>
      <c r="T557" s="5"/>
      <c r="U557" s="5"/>
      <c r="V557" s="5"/>
      <c r="W557" s="5"/>
      <c r="X557" s="5"/>
      <c r="Y557" s="5"/>
      <c r="Z557" s="7"/>
      <c r="AA557" s="5"/>
      <c r="AB557" s="5"/>
      <c r="AC557" s="5"/>
      <c r="AD557" s="5"/>
      <c r="AE557" s="5"/>
    </row>
    <row r="558" spans="1:31" ht="15.75" customHeight="1">
      <c r="A558" s="5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5"/>
      <c r="T558" s="5"/>
      <c r="U558" s="5"/>
      <c r="V558" s="5"/>
      <c r="W558" s="5"/>
      <c r="X558" s="5"/>
      <c r="Y558" s="5"/>
      <c r="Z558" s="7"/>
      <c r="AA558" s="5"/>
      <c r="AB558" s="5"/>
      <c r="AC558" s="5"/>
      <c r="AD558" s="5"/>
      <c r="AE558" s="5"/>
    </row>
    <row r="559" spans="1:31" ht="15.75" customHeight="1">
      <c r="A559" s="5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5"/>
      <c r="T559" s="5"/>
      <c r="U559" s="5"/>
      <c r="V559" s="5"/>
      <c r="W559" s="5"/>
      <c r="X559" s="5"/>
      <c r="Y559" s="5"/>
      <c r="Z559" s="7"/>
      <c r="AA559" s="5"/>
      <c r="AB559" s="5"/>
      <c r="AC559" s="5"/>
      <c r="AD559" s="5"/>
      <c r="AE559" s="5"/>
    </row>
    <row r="560" spans="1:31" ht="15.75" customHeight="1">
      <c r="A560" s="5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5"/>
      <c r="T560" s="5"/>
      <c r="U560" s="5"/>
      <c r="V560" s="5"/>
      <c r="W560" s="5"/>
      <c r="X560" s="5"/>
      <c r="Y560" s="5"/>
      <c r="Z560" s="7"/>
      <c r="AA560" s="5"/>
      <c r="AB560" s="5"/>
      <c r="AC560" s="5"/>
      <c r="AD560" s="5"/>
      <c r="AE560" s="5"/>
    </row>
    <row r="561" spans="1:31" ht="15.75" customHeight="1">
      <c r="A561" s="5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5"/>
      <c r="T561" s="5"/>
      <c r="U561" s="5"/>
      <c r="V561" s="5"/>
      <c r="W561" s="5"/>
      <c r="X561" s="5"/>
      <c r="Y561" s="5"/>
      <c r="Z561" s="7"/>
      <c r="AA561" s="5"/>
      <c r="AB561" s="5"/>
      <c r="AC561" s="5"/>
      <c r="AD561" s="5"/>
      <c r="AE561" s="5"/>
    </row>
    <row r="562" spans="1:31" ht="15.75" customHeight="1">
      <c r="A562" s="5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5"/>
      <c r="T562" s="5"/>
      <c r="U562" s="5"/>
      <c r="V562" s="5"/>
      <c r="W562" s="5"/>
      <c r="X562" s="5"/>
      <c r="Y562" s="5"/>
      <c r="Z562" s="7"/>
      <c r="AA562" s="5"/>
      <c r="AB562" s="5"/>
      <c r="AC562" s="5"/>
      <c r="AD562" s="5"/>
      <c r="AE562" s="5"/>
    </row>
    <row r="563" spans="1:31" ht="15.75" customHeight="1">
      <c r="A563" s="5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5"/>
      <c r="T563" s="5"/>
      <c r="U563" s="5"/>
      <c r="V563" s="5"/>
      <c r="W563" s="5"/>
      <c r="X563" s="5"/>
      <c r="Y563" s="5"/>
      <c r="Z563" s="7"/>
      <c r="AA563" s="5"/>
      <c r="AB563" s="5"/>
      <c r="AC563" s="5"/>
      <c r="AD563" s="5"/>
      <c r="AE563" s="5"/>
    </row>
    <row r="564" spans="1:31" ht="15.75" customHeight="1">
      <c r="A564" s="5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5"/>
      <c r="T564" s="5"/>
      <c r="U564" s="5"/>
      <c r="V564" s="5"/>
      <c r="W564" s="5"/>
      <c r="X564" s="5"/>
      <c r="Y564" s="5"/>
      <c r="Z564" s="7"/>
      <c r="AA564" s="5"/>
      <c r="AB564" s="5"/>
      <c r="AC564" s="5"/>
      <c r="AD564" s="5"/>
      <c r="AE564" s="5"/>
    </row>
    <row r="565" spans="1:31" ht="15.75" customHeight="1">
      <c r="A565" s="5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5"/>
      <c r="T565" s="5"/>
      <c r="U565" s="5"/>
      <c r="V565" s="5"/>
      <c r="W565" s="5"/>
      <c r="X565" s="5"/>
      <c r="Y565" s="5"/>
      <c r="Z565" s="7"/>
      <c r="AA565" s="5"/>
      <c r="AB565" s="5"/>
      <c r="AC565" s="5"/>
      <c r="AD565" s="5"/>
      <c r="AE565" s="5"/>
    </row>
    <row r="566" spans="1:31" ht="15.75" customHeight="1">
      <c r="A566" s="5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5"/>
      <c r="T566" s="5"/>
      <c r="U566" s="5"/>
      <c r="V566" s="5"/>
      <c r="W566" s="5"/>
      <c r="X566" s="5"/>
      <c r="Y566" s="5"/>
      <c r="Z566" s="7"/>
      <c r="AA566" s="5"/>
      <c r="AB566" s="5"/>
      <c r="AC566" s="5"/>
      <c r="AD566" s="5"/>
      <c r="AE566" s="5"/>
    </row>
    <row r="567" spans="1:31" ht="15.75" customHeight="1">
      <c r="A567" s="5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5"/>
      <c r="T567" s="5"/>
      <c r="U567" s="5"/>
      <c r="V567" s="5"/>
      <c r="W567" s="5"/>
      <c r="X567" s="5"/>
      <c r="Y567" s="5"/>
      <c r="Z567" s="7"/>
      <c r="AA567" s="5"/>
      <c r="AB567" s="5"/>
      <c r="AC567" s="5"/>
      <c r="AD567" s="5"/>
      <c r="AE567" s="5"/>
    </row>
    <row r="568" spans="1:31" ht="15.75" customHeight="1">
      <c r="A568" s="5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5"/>
      <c r="T568" s="5"/>
      <c r="U568" s="5"/>
      <c r="V568" s="5"/>
      <c r="W568" s="5"/>
      <c r="X568" s="5"/>
      <c r="Y568" s="5"/>
      <c r="Z568" s="7"/>
      <c r="AA568" s="5"/>
      <c r="AB568" s="5"/>
      <c r="AC568" s="5"/>
      <c r="AD568" s="5"/>
      <c r="AE568" s="5"/>
    </row>
    <row r="569" spans="1:31" ht="15.75" customHeight="1">
      <c r="A569" s="5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5"/>
      <c r="T569" s="5"/>
      <c r="U569" s="5"/>
      <c r="V569" s="5"/>
      <c r="W569" s="5"/>
      <c r="X569" s="5"/>
      <c r="Y569" s="5"/>
      <c r="Z569" s="7"/>
      <c r="AA569" s="5"/>
      <c r="AB569" s="5"/>
      <c r="AC569" s="5"/>
      <c r="AD569" s="5"/>
      <c r="AE569" s="5"/>
    </row>
    <row r="570" spans="1:31" ht="15.75" customHeight="1">
      <c r="A570" s="5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5"/>
      <c r="T570" s="5"/>
      <c r="U570" s="5"/>
      <c r="V570" s="5"/>
      <c r="W570" s="5"/>
      <c r="X570" s="5"/>
      <c r="Y570" s="5"/>
      <c r="Z570" s="7"/>
      <c r="AA570" s="5"/>
      <c r="AB570" s="5"/>
      <c r="AC570" s="5"/>
      <c r="AD570" s="5"/>
      <c r="AE570" s="5"/>
    </row>
    <row r="571" spans="1:31" ht="15.75" customHeight="1">
      <c r="A571" s="5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5"/>
      <c r="T571" s="5"/>
      <c r="U571" s="5"/>
      <c r="V571" s="5"/>
      <c r="W571" s="5"/>
      <c r="X571" s="5"/>
      <c r="Y571" s="5"/>
      <c r="Z571" s="7"/>
      <c r="AA571" s="5"/>
      <c r="AB571" s="5"/>
      <c r="AC571" s="5"/>
      <c r="AD571" s="5"/>
      <c r="AE571" s="5"/>
    </row>
    <row r="572" spans="1:31" ht="15.75" customHeight="1">
      <c r="A572" s="5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5"/>
      <c r="T572" s="5"/>
      <c r="U572" s="5"/>
      <c r="V572" s="5"/>
      <c r="W572" s="5"/>
      <c r="X572" s="5"/>
      <c r="Y572" s="5"/>
      <c r="Z572" s="7"/>
      <c r="AA572" s="5"/>
      <c r="AB572" s="5"/>
      <c r="AC572" s="5"/>
      <c r="AD572" s="5"/>
      <c r="AE572" s="5"/>
    </row>
    <row r="573" spans="1:31" ht="15.75" customHeight="1">
      <c r="A573" s="5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5"/>
      <c r="T573" s="5"/>
      <c r="U573" s="5"/>
      <c r="V573" s="5"/>
      <c r="W573" s="5"/>
      <c r="X573" s="5"/>
      <c r="Y573" s="5"/>
      <c r="Z573" s="7"/>
      <c r="AA573" s="5"/>
      <c r="AB573" s="5"/>
      <c r="AC573" s="5"/>
      <c r="AD573" s="5"/>
      <c r="AE573" s="5"/>
    </row>
    <row r="574" spans="1:31" ht="15.75" customHeight="1">
      <c r="A574" s="5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5"/>
      <c r="T574" s="5"/>
      <c r="U574" s="5"/>
      <c r="V574" s="5"/>
      <c r="W574" s="5"/>
      <c r="X574" s="5"/>
      <c r="Y574" s="5"/>
      <c r="Z574" s="7"/>
      <c r="AA574" s="5"/>
      <c r="AB574" s="5"/>
      <c r="AC574" s="5"/>
      <c r="AD574" s="5"/>
      <c r="AE574" s="5"/>
    </row>
    <row r="575" spans="1:31" ht="15.75" customHeight="1">
      <c r="A575" s="5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5"/>
      <c r="T575" s="5"/>
      <c r="U575" s="5"/>
      <c r="V575" s="5"/>
      <c r="W575" s="5"/>
      <c r="X575" s="5"/>
      <c r="Y575" s="5"/>
      <c r="Z575" s="7"/>
      <c r="AA575" s="5"/>
      <c r="AB575" s="5"/>
      <c r="AC575" s="5"/>
      <c r="AD575" s="5"/>
      <c r="AE575" s="5"/>
    </row>
    <row r="576" spans="1:31" ht="15.75" customHeight="1">
      <c r="A576" s="5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5"/>
      <c r="T576" s="5"/>
      <c r="U576" s="5"/>
      <c r="V576" s="5"/>
      <c r="W576" s="5"/>
      <c r="X576" s="5"/>
      <c r="Y576" s="5"/>
      <c r="Z576" s="7"/>
      <c r="AA576" s="5"/>
      <c r="AB576" s="5"/>
      <c r="AC576" s="5"/>
      <c r="AD576" s="5"/>
      <c r="AE576" s="5"/>
    </row>
    <row r="577" spans="1:31" ht="15.75" customHeight="1">
      <c r="A577" s="5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5"/>
      <c r="T577" s="5"/>
      <c r="U577" s="5"/>
      <c r="V577" s="5"/>
      <c r="W577" s="5"/>
      <c r="X577" s="5"/>
      <c r="Y577" s="5"/>
      <c r="Z577" s="7"/>
      <c r="AA577" s="5"/>
      <c r="AB577" s="5"/>
      <c r="AC577" s="5"/>
      <c r="AD577" s="5"/>
      <c r="AE577" s="5"/>
    </row>
    <row r="578" spans="1:31" ht="15.75" customHeight="1">
      <c r="A578" s="5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5"/>
      <c r="T578" s="5"/>
      <c r="U578" s="5"/>
      <c r="V578" s="5"/>
      <c r="W578" s="5"/>
      <c r="X578" s="5"/>
      <c r="Y578" s="5"/>
      <c r="Z578" s="7"/>
      <c r="AA578" s="5"/>
      <c r="AB578" s="5"/>
      <c r="AC578" s="5"/>
      <c r="AD578" s="5"/>
      <c r="AE578" s="5"/>
    </row>
    <row r="579" spans="1:31" ht="15.75" customHeight="1">
      <c r="A579" s="5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5"/>
      <c r="T579" s="5"/>
      <c r="U579" s="5"/>
      <c r="V579" s="5"/>
      <c r="W579" s="5"/>
      <c r="X579" s="5"/>
      <c r="Y579" s="5"/>
      <c r="Z579" s="7"/>
      <c r="AA579" s="5"/>
      <c r="AB579" s="5"/>
      <c r="AC579" s="5"/>
      <c r="AD579" s="5"/>
      <c r="AE579" s="5"/>
    </row>
    <row r="580" spans="1:31" ht="15.75" customHeight="1">
      <c r="A580" s="5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5"/>
      <c r="T580" s="5"/>
      <c r="U580" s="5"/>
      <c r="V580" s="5"/>
      <c r="W580" s="5"/>
      <c r="X580" s="5"/>
      <c r="Y580" s="5"/>
      <c r="Z580" s="7"/>
      <c r="AA580" s="5"/>
      <c r="AB580" s="5"/>
      <c r="AC580" s="5"/>
      <c r="AD580" s="5"/>
      <c r="AE580" s="5"/>
    </row>
    <row r="581" spans="1:31" ht="15.75" customHeight="1">
      <c r="A581" s="5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5"/>
      <c r="T581" s="5"/>
      <c r="U581" s="5"/>
      <c r="V581" s="5"/>
      <c r="W581" s="5"/>
      <c r="X581" s="5"/>
      <c r="Y581" s="5"/>
      <c r="Z581" s="7"/>
      <c r="AA581" s="5"/>
      <c r="AB581" s="5"/>
      <c r="AC581" s="5"/>
      <c r="AD581" s="5"/>
      <c r="AE581" s="5"/>
    </row>
    <row r="582" spans="1:31" ht="15.75" customHeight="1">
      <c r="A582" s="5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5"/>
      <c r="T582" s="5"/>
      <c r="U582" s="5"/>
      <c r="V582" s="5"/>
      <c r="W582" s="5"/>
      <c r="X582" s="5"/>
      <c r="Y582" s="5"/>
      <c r="Z582" s="7"/>
      <c r="AA582" s="5"/>
      <c r="AB582" s="5"/>
      <c r="AC582" s="5"/>
      <c r="AD582" s="5"/>
      <c r="AE582" s="5"/>
    </row>
    <row r="583" spans="1:31" ht="15.75" customHeight="1">
      <c r="A583" s="5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5"/>
      <c r="T583" s="5"/>
      <c r="U583" s="5"/>
      <c r="V583" s="5"/>
      <c r="W583" s="5"/>
      <c r="X583" s="5"/>
      <c r="Y583" s="5"/>
      <c r="Z583" s="7"/>
      <c r="AA583" s="5"/>
      <c r="AB583" s="5"/>
      <c r="AC583" s="5"/>
      <c r="AD583" s="5"/>
      <c r="AE583" s="5"/>
    </row>
    <row r="584" spans="1:31" ht="15.75" customHeight="1">
      <c r="A584" s="5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5"/>
      <c r="T584" s="5"/>
      <c r="U584" s="5"/>
      <c r="V584" s="5"/>
      <c r="W584" s="5"/>
      <c r="X584" s="5"/>
      <c r="Y584" s="5"/>
      <c r="Z584" s="7"/>
      <c r="AA584" s="5"/>
      <c r="AB584" s="5"/>
      <c r="AC584" s="5"/>
      <c r="AD584" s="5"/>
      <c r="AE584" s="5"/>
    </row>
    <row r="585" spans="1:31" ht="15.75" customHeight="1">
      <c r="A585" s="5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5"/>
      <c r="T585" s="5"/>
      <c r="U585" s="5"/>
      <c r="V585" s="5"/>
      <c r="W585" s="5"/>
      <c r="X585" s="5"/>
      <c r="Y585" s="5"/>
      <c r="Z585" s="7"/>
      <c r="AA585" s="5"/>
      <c r="AB585" s="5"/>
      <c r="AC585" s="5"/>
      <c r="AD585" s="5"/>
      <c r="AE585" s="5"/>
    </row>
    <row r="586" spans="1:31" ht="15.75" customHeight="1">
      <c r="A586" s="5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5"/>
      <c r="T586" s="5"/>
      <c r="U586" s="5"/>
      <c r="V586" s="5"/>
      <c r="W586" s="5"/>
      <c r="X586" s="5"/>
      <c r="Y586" s="5"/>
      <c r="Z586" s="7"/>
      <c r="AA586" s="5"/>
      <c r="AB586" s="5"/>
      <c r="AC586" s="5"/>
      <c r="AD586" s="5"/>
      <c r="AE586" s="5"/>
    </row>
    <row r="587" spans="1:31" ht="15.75" customHeight="1">
      <c r="A587" s="5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5"/>
      <c r="T587" s="5"/>
      <c r="U587" s="5"/>
      <c r="V587" s="5"/>
      <c r="W587" s="5"/>
      <c r="X587" s="5"/>
      <c r="Y587" s="5"/>
      <c r="Z587" s="7"/>
      <c r="AA587" s="5"/>
      <c r="AB587" s="5"/>
      <c r="AC587" s="5"/>
      <c r="AD587" s="5"/>
      <c r="AE587" s="5"/>
    </row>
    <row r="588" spans="1:31" ht="15.75" customHeight="1">
      <c r="A588" s="5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5"/>
      <c r="T588" s="5"/>
      <c r="U588" s="5"/>
      <c r="V588" s="5"/>
      <c r="W588" s="5"/>
      <c r="X588" s="5"/>
      <c r="Y588" s="5"/>
      <c r="Z588" s="7"/>
      <c r="AA588" s="5"/>
      <c r="AB588" s="5"/>
      <c r="AC588" s="5"/>
      <c r="AD588" s="5"/>
      <c r="AE588" s="5"/>
    </row>
    <row r="589" spans="1:31" ht="15.75" customHeight="1">
      <c r="A589" s="5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5"/>
      <c r="T589" s="5"/>
      <c r="U589" s="5"/>
      <c r="V589" s="5"/>
      <c r="W589" s="5"/>
      <c r="X589" s="5"/>
      <c r="Y589" s="5"/>
      <c r="Z589" s="7"/>
      <c r="AA589" s="5"/>
      <c r="AB589" s="5"/>
      <c r="AC589" s="5"/>
      <c r="AD589" s="5"/>
      <c r="AE589" s="5"/>
    </row>
    <row r="590" spans="1:31" ht="15.75" customHeight="1">
      <c r="A590" s="5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5"/>
      <c r="T590" s="5"/>
      <c r="U590" s="5"/>
      <c r="V590" s="5"/>
      <c r="W590" s="5"/>
      <c r="X590" s="5"/>
      <c r="Y590" s="5"/>
      <c r="Z590" s="7"/>
      <c r="AA590" s="5"/>
      <c r="AB590" s="5"/>
      <c r="AC590" s="5"/>
      <c r="AD590" s="5"/>
      <c r="AE590" s="5"/>
    </row>
    <row r="591" spans="1:31" ht="15.75" customHeight="1">
      <c r="A591" s="5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5"/>
      <c r="T591" s="5"/>
      <c r="U591" s="5"/>
      <c r="V591" s="5"/>
      <c r="W591" s="5"/>
      <c r="X591" s="5"/>
      <c r="Y591" s="5"/>
      <c r="Z591" s="7"/>
      <c r="AA591" s="5"/>
      <c r="AB591" s="5"/>
      <c r="AC591" s="5"/>
      <c r="AD591" s="5"/>
      <c r="AE591" s="5"/>
    </row>
    <row r="592" spans="1:31" ht="15.75" customHeight="1">
      <c r="A592" s="5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5"/>
      <c r="T592" s="5"/>
      <c r="U592" s="5"/>
      <c r="V592" s="5"/>
      <c r="W592" s="5"/>
      <c r="X592" s="5"/>
      <c r="Y592" s="5"/>
      <c r="Z592" s="7"/>
      <c r="AA592" s="5"/>
      <c r="AB592" s="5"/>
      <c r="AC592" s="5"/>
      <c r="AD592" s="5"/>
      <c r="AE592" s="5"/>
    </row>
    <row r="593" spans="1:31" ht="15.75" customHeight="1">
      <c r="A593" s="5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5"/>
      <c r="T593" s="5"/>
      <c r="U593" s="5"/>
      <c r="V593" s="5"/>
      <c r="W593" s="5"/>
      <c r="X593" s="5"/>
      <c r="Y593" s="5"/>
      <c r="Z593" s="7"/>
      <c r="AA593" s="5"/>
      <c r="AB593" s="5"/>
      <c r="AC593" s="5"/>
      <c r="AD593" s="5"/>
      <c r="AE593" s="5"/>
    </row>
    <row r="594" spans="1:31" ht="15.75" customHeight="1">
      <c r="A594" s="5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5"/>
      <c r="T594" s="5"/>
      <c r="U594" s="5"/>
      <c r="V594" s="5"/>
      <c r="W594" s="5"/>
      <c r="X594" s="5"/>
      <c r="Y594" s="5"/>
      <c r="Z594" s="7"/>
      <c r="AA594" s="5"/>
      <c r="AB594" s="5"/>
      <c r="AC594" s="5"/>
      <c r="AD594" s="5"/>
      <c r="AE594" s="5"/>
    </row>
    <row r="595" spans="1:31" ht="15.75" customHeight="1">
      <c r="A595" s="5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5"/>
      <c r="T595" s="5"/>
      <c r="U595" s="5"/>
      <c r="V595" s="5"/>
      <c r="W595" s="5"/>
      <c r="X595" s="5"/>
      <c r="Y595" s="5"/>
      <c r="Z595" s="7"/>
      <c r="AA595" s="5"/>
      <c r="AB595" s="5"/>
      <c r="AC595" s="5"/>
      <c r="AD595" s="5"/>
      <c r="AE595" s="5"/>
    </row>
    <row r="596" spans="1:31" ht="15.75" customHeight="1">
      <c r="A596" s="5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5"/>
      <c r="T596" s="5"/>
      <c r="U596" s="5"/>
      <c r="V596" s="5"/>
      <c r="W596" s="5"/>
      <c r="X596" s="5"/>
      <c r="Y596" s="5"/>
      <c r="Z596" s="7"/>
      <c r="AA596" s="5"/>
      <c r="AB596" s="5"/>
      <c r="AC596" s="5"/>
      <c r="AD596" s="5"/>
      <c r="AE596" s="5"/>
    </row>
    <row r="597" spans="1:31" ht="15.75" customHeight="1">
      <c r="A597" s="5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5"/>
      <c r="T597" s="5"/>
      <c r="U597" s="5"/>
      <c r="V597" s="5"/>
      <c r="W597" s="5"/>
      <c r="X597" s="5"/>
      <c r="Y597" s="5"/>
      <c r="Z597" s="7"/>
      <c r="AA597" s="5"/>
      <c r="AB597" s="5"/>
      <c r="AC597" s="5"/>
      <c r="AD597" s="5"/>
      <c r="AE597" s="5"/>
    </row>
    <row r="598" spans="1:31" ht="15.75" customHeight="1">
      <c r="A598" s="5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5"/>
      <c r="T598" s="5"/>
      <c r="U598" s="5"/>
      <c r="V598" s="5"/>
      <c r="W598" s="5"/>
      <c r="X598" s="5"/>
      <c r="Y598" s="5"/>
      <c r="Z598" s="7"/>
      <c r="AA598" s="5"/>
      <c r="AB598" s="5"/>
      <c r="AC598" s="5"/>
      <c r="AD598" s="5"/>
      <c r="AE598" s="5"/>
    </row>
    <row r="599" spans="1:31" ht="15.75" customHeight="1">
      <c r="A599" s="5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5"/>
      <c r="T599" s="5"/>
      <c r="U599" s="5"/>
      <c r="V599" s="5"/>
      <c r="W599" s="5"/>
      <c r="X599" s="5"/>
      <c r="Y599" s="5"/>
      <c r="Z599" s="7"/>
      <c r="AA599" s="5"/>
      <c r="AB599" s="5"/>
      <c r="AC599" s="5"/>
      <c r="AD599" s="5"/>
      <c r="AE599" s="5"/>
    </row>
    <row r="600" spans="1:31" ht="15.75" customHeight="1">
      <c r="A600" s="5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5"/>
      <c r="T600" s="5"/>
      <c r="U600" s="5"/>
      <c r="V600" s="5"/>
      <c r="W600" s="5"/>
      <c r="X600" s="5"/>
      <c r="Y600" s="5"/>
      <c r="Z600" s="7"/>
      <c r="AA600" s="5"/>
      <c r="AB600" s="5"/>
      <c r="AC600" s="5"/>
      <c r="AD600" s="5"/>
      <c r="AE600" s="5"/>
    </row>
    <row r="601" spans="1:31" ht="15.75" customHeight="1">
      <c r="A601" s="5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5"/>
      <c r="T601" s="5"/>
      <c r="U601" s="5"/>
      <c r="V601" s="5"/>
      <c r="W601" s="5"/>
      <c r="X601" s="5"/>
      <c r="Y601" s="5"/>
      <c r="Z601" s="7"/>
      <c r="AA601" s="5"/>
      <c r="AB601" s="5"/>
      <c r="AC601" s="5"/>
      <c r="AD601" s="5"/>
      <c r="AE601" s="5"/>
    </row>
    <row r="602" spans="1:31" ht="15.75" customHeight="1">
      <c r="A602" s="5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5"/>
      <c r="T602" s="5"/>
      <c r="U602" s="5"/>
      <c r="V602" s="5"/>
      <c r="W602" s="5"/>
      <c r="X602" s="5"/>
      <c r="Y602" s="5"/>
      <c r="Z602" s="7"/>
      <c r="AA602" s="5"/>
      <c r="AB602" s="5"/>
      <c r="AC602" s="5"/>
      <c r="AD602" s="5"/>
      <c r="AE602" s="5"/>
    </row>
    <row r="603" spans="1:31" ht="15.75" customHeight="1">
      <c r="A603" s="5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5"/>
      <c r="T603" s="5"/>
      <c r="U603" s="5"/>
      <c r="V603" s="5"/>
      <c r="W603" s="5"/>
      <c r="X603" s="5"/>
      <c r="Y603" s="5"/>
      <c r="Z603" s="7"/>
      <c r="AA603" s="5"/>
      <c r="AB603" s="5"/>
      <c r="AC603" s="5"/>
      <c r="AD603" s="5"/>
      <c r="AE603" s="5"/>
    </row>
    <row r="604" spans="1:31" ht="15.75" customHeight="1">
      <c r="A604" s="5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5"/>
      <c r="T604" s="5"/>
      <c r="U604" s="5"/>
      <c r="V604" s="5"/>
      <c r="W604" s="5"/>
      <c r="X604" s="5"/>
      <c r="Y604" s="5"/>
      <c r="Z604" s="7"/>
      <c r="AA604" s="5"/>
      <c r="AB604" s="5"/>
      <c r="AC604" s="5"/>
      <c r="AD604" s="5"/>
      <c r="AE604" s="5"/>
    </row>
    <row r="605" spans="1:31" ht="15.75" customHeight="1">
      <c r="A605" s="5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5"/>
      <c r="T605" s="5"/>
      <c r="U605" s="5"/>
      <c r="V605" s="5"/>
      <c r="W605" s="5"/>
      <c r="X605" s="5"/>
      <c r="Y605" s="5"/>
      <c r="Z605" s="7"/>
      <c r="AA605" s="5"/>
      <c r="AB605" s="5"/>
      <c r="AC605" s="5"/>
      <c r="AD605" s="5"/>
      <c r="AE605" s="5"/>
    </row>
    <row r="606" spans="1:31" ht="15.75" customHeight="1">
      <c r="A606" s="5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5"/>
      <c r="T606" s="5"/>
      <c r="U606" s="5"/>
      <c r="V606" s="5"/>
      <c r="W606" s="5"/>
      <c r="X606" s="5"/>
      <c r="Y606" s="5"/>
      <c r="Z606" s="7"/>
      <c r="AA606" s="5"/>
      <c r="AB606" s="5"/>
      <c r="AC606" s="5"/>
      <c r="AD606" s="5"/>
      <c r="AE606" s="5"/>
    </row>
    <row r="607" spans="1:31" ht="15.75" customHeight="1">
      <c r="A607" s="5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5"/>
      <c r="T607" s="5"/>
      <c r="U607" s="5"/>
      <c r="V607" s="5"/>
      <c r="W607" s="5"/>
      <c r="X607" s="5"/>
      <c r="Y607" s="5"/>
      <c r="Z607" s="7"/>
      <c r="AA607" s="5"/>
      <c r="AB607" s="5"/>
      <c r="AC607" s="5"/>
      <c r="AD607" s="5"/>
      <c r="AE607" s="5"/>
    </row>
    <row r="608" spans="1:31" ht="15.75" customHeight="1">
      <c r="A608" s="5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5"/>
      <c r="T608" s="5"/>
      <c r="U608" s="5"/>
      <c r="V608" s="5"/>
      <c r="W608" s="5"/>
      <c r="X608" s="5"/>
      <c r="Y608" s="5"/>
      <c r="Z608" s="7"/>
      <c r="AA608" s="5"/>
      <c r="AB608" s="5"/>
      <c r="AC608" s="5"/>
      <c r="AD608" s="5"/>
      <c r="AE608" s="5"/>
    </row>
    <row r="609" spans="1:31" ht="15.75" customHeight="1">
      <c r="A609" s="5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5"/>
      <c r="T609" s="5"/>
      <c r="U609" s="5"/>
      <c r="V609" s="5"/>
      <c r="W609" s="5"/>
      <c r="X609" s="5"/>
      <c r="Y609" s="5"/>
      <c r="Z609" s="7"/>
      <c r="AA609" s="5"/>
      <c r="AB609" s="5"/>
      <c r="AC609" s="5"/>
      <c r="AD609" s="5"/>
      <c r="AE609" s="5"/>
    </row>
    <row r="610" spans="1:31" ht="15.75" customHeight="1">
      <c r="A610" s="5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5"/>
      <c r="T610" s="5"/>
      <c r="U610" s="5"/>
      <c r="V610" s="5"/>
      <c r="W610" s="5"/>
      <c r="X610" s="5"/>
      <c r="Y610" s="5"/>
      <c r="Z610" s="7"/>
      <c r="AA610" s="5"/>
      <c r="AB610" s="5"/>
      <c r="AC610" s="5"/>
      <c r="AD610" s="5"/>
      <c r="AE610" s="5"/>
    </row>
    <row r="611" spans="1:31" ht="15.75" customHeight="1">
      <c r="A611" s="5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5"/>
      <c r="T611" s="5"/>
      <c r="U611" s="5"/>
      <c r="V611" s="5"/>
      <c r="W611" s="5"/>
      <c r="X611" s="5"/>
      <c r="Y611" s="5"/>
      <c r="Z611" s="7"/>
      <c r="AA611" s="5"/>
      <c r="AB611" s="5"/>
      <c r="AC611" s="5"/>
      <c r="AD611" s="5"/>
      <c r="AE611" s="5"/>
    </row>
    <row r="612" spans="1:31" ht="15.75" customHeight="1">
      <c r="A612" s="5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5"/>
      <c r="T612" s="5"/>
      <c r="U612" s="5"/>
      <c r="V612" s="5"/>
      <c r="W612" s="5"/>
      <c r="X612" s="5"/>
      <c r="Y612" s="5"/>
      <c r="Z612" s="7"/>
      <c r="AA612" s="5"/>
      <c r="AB612" s="5"/>
      <c r="AC612" s="5"/>
      <c r="AD612" s="5"/>
      <c r="AE612" s="5"/>
    </row>
    <row r="613" spans="1:31" ht="15.75" customHeight="1">
      <c r="A613" s="5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5"/>
      <c r="T613" s="5"/>
      <c r="U613" s="5"/>
      <c r="V613" s="5"/>
      <c r="W613" s="5"/>
      <c r="X613" s="5"/>
      <c r="Y613" s="5"/>
      <c r="Z613" s="7"/>
      <c r="AA613" s="5"/>
      <c r="AB613" s="5"/>
      <c r="AC613" s="5"/>
      <c r="AD613" s="5"/>
      <c r="AE613" s="5"/>
    </row>
    <row r="614" spans="1:31" ht="15.75" customHeight="1">
      <c r="A614" s="5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5"/>
      <c r="T614" s="5"/>
      <c r="U614" s="5"/>
      <c r="V614" s="5"/>
      <c r="W614" s="5"/>
      <c r="X614" s="5"/>
      <c r="Y614" s="5"/>
      <c r="Z614" s="7"/>
      <c r="AA614" s="5"/>
      <c r="AB614" s="5"/>
      <c r="AC614" s="5"/>
      <c r="AD614" s="5"/>
      <c r="AE614" s="5"/>
    </row>
    <row r="615" spans="1:31" ht="15.75" customHeight="1">
      <c r="A615" s="5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5"/>
      <c r="T615" s="5"/>
      <c r="U615" s="5"/>
      <c r="V615" s="5"/>
      <c r="W615" s="5"/>
      <c r="X615" s="5"/>
      <c r="Y615" s="5"/>
      <c r="Z615" s="7"/>
      <c r="AA615" s="5"/>
      <c r="AB615" s="5"/>
      <c r="AC615" s="5"/>
      <c r="AD615" s="5"/>
      <c r="AE615" s="5"/>
    </row>
    <row r="616" spans="1:31" ht="15.75" customHeight="1">
      <c r="A616" s="5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5"/>
      <c r="T616" s="5"/>
      <c r="U616" s="5"/>
      <c r="V616" s="5"/>
      <c r="W616" s="5"/>
      <c r="X616" s="5"/>
      <c r="Y616" s="5"/>
      <c r="Z616" s="7"/>
      <c r="AA616" s="5"/>
      <c r="AB616" s="5"/>
      <c r="AC616" s="5"/>
      <c r="AD616" s="5"/>
      <c r="AE616" s="5"/>
    </row>
    <row r="617" spans="1:31" ht="15.75" customHeight="1">
      <c r="A617" s="5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5"/>
      <c r="T617" s="5"/>
      <c r="U617" s="5"/>
      <c r="V617" s="5"/>
      <c r="W617" s="5"/>
      <c r="X617" s="5"/>
      <c r="Y617" s="5"/>
      <c r="Z617" s="7"/>
      <c r="AA617" s="5"/>
      <c r="AB617" s="5"/>
      <c r="AC617" s="5"/>
      <c r="AD617" s="5"/>
      <c r="AE617" s="5"/>
    </row>
    <row r="618" spans="1:31" ht="15.75" customHeight="1">
      <c r="A618" s="5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5"/>
      <c r="T618" s="5"/>
      <c r="U618" s="5"/>
      <c r="V618" s="5"/>
      <c r="W618" s="5"/>
      <c r="X618" s="5"/>
      <c r="Y618" s="5"/>
      <c r="Z618" s="7"/>
      <c r="AA618" s="5"/>
      <c r="AB618" s="5"/>
      <c r="AC618" s="5"/>
      <c r="AD618" s="5"/>
      <c r="AE618" s="5"/>
    </row>
    <row r="619" spans="1:31" ht="15.75" customHeight="1">
      <c r="A619" s="5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5"/>
      <c r="T619" s="5"/>
      <c r="U619" s="5"/>
      <c r="V619" s="5"/>
      <c r="W619" s="5"/>
      <c r="X619" s="5"/>
      <c r="Y619" s="5"/>
      <c r="Z619" s="7"/>
      <c r="AA619" s="5"/>
      <c r="AB619" s="5"/>
      <c r="AC619" s="5"/>
      <c r="AD619" s="5"/>
      <c r="AE619" s="5"/>
    </row>
    <row r="620" spans="1:31" ht="15.75" customHeight="1">
      <c r="A620" s="5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5"/>
      <c r="T620" s="5"/>
      <c r="U620" s="5"/>
      <c r="V620" s="5"/>
      <c r="W620" s="5"/>
      <c r="X620" s="5"/>
      <c r="Y620" s="5"/>
      <c r="Z620" s="7"/>
      <c r="AA620" s="5"/>
      <c r="AB620" s="5"/>
      <c r="AC620" s="5"/>
      <c r="AD620" s="5"/>
      <c r="AE620" s="5"/>
    </row>
    <row r="621" spans="1:31" ht="15.75" customHeight="1">
      <c r="A621" s="5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5"/>
      <c r="T621" s="5"/>
      <c r="U621" s="5"/>
      <c r="V621" s="5"/>
      <c r="W621" s="5"/>
      <c r="X621" s="5"/>
      <c r="Y621" s="5"/>
      <c r="Z621" s="7"/>
      <c r="AA621" s="5"/>
      <c r="AB621" s="5"/>
      <c r="AC621" s="5"/>
      <c r="AD621" s="5"/>
      <c r="AE621" s="5"/>
    </row>
    <row r="622" spans="1:31" ht="15.75" customHeight="1">
      <c r="A622" s="5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5"/>
      <c r="T622" s="5"/>
      <c r="U622" s="5"/>
      <c r="V622" s="5"/>
      <c r="W622" s="5"/>
      <c r="X622" s="5"/>
      <c r="Y622" s="5"/>
      <c r="Z622" s="7"/>
      <c r="AA622" s="5"/>
      <c r="AB622" s="5"/>
      <c r="AC622" s="5"/>
      <c r="AD622" s="5"/>
      <c r="AE622" s="5"/>
    </row>
    <row r="623" spans="1:31" ht="15.75" customHeight="1">
      <c r="A623" s="5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5"/>
      <c r="T623" s="5"/>
      <c r="U623" s="5"/>
      <c r="V623" s="5"/>
      <c r="W623" s="5"/>
      <c r="X623" s="5"/>
      <c r="Y623" s="5"/>
      <c r="Z623" s="7"/>
      <c r="AA623" s="5"/>
      <c r="AB623" s="5"/>
      <c r="AC623" s="5"/>
      <c r="AD623" s="5"/>
      <c r="AE623" s="5"/>
    </row>
    <row r="624" spans="1:31" ht="15.75" customHeight="1">
      <c r="A624" s="5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5"/>
      <c r="T624" s="5"/>
      <c r="U624" s="5"/>
      <c r="V624" s="5"/>
      <c r="W624" s="5"/>
      <c r="X624" s="5"/>
      <c r="Y624" s="5"/>
      <c r="Z624" s="7"/>
      <c r="AA624" s="5"/>
      <c r="AB624" s="5"/>
      <c r="AC624" s="5"/>
      <c r="AD624" s="5"/>
      <c r="AE624" s="5"/>
    </row>
    <row r="625" spans="1:31" ht="15.75" customHeight="1">
      <c r="A625" s="5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5"/>
      <c r="T625" s="5"/>
      <c r="U625" s="5"/>
      <c r="V625" s="5"/>
      <c r="W625" s="5"/>
      <c r="X625" s="5"/>
      <c r="Y625" s="5"/>
      <c r="Z625" s="7"/>
      <c r="AA625" s="5"/>
      <c r="AB625" s="5"/>
      <c r="AC625" s="5"/>
      <c r="AD625" s="5"/>
      <c r="AE625" s="5"/>
    </row>
    <row r="626" spans="1:31" ht="15.75" customHeight="1">
      <c r="A626" s="5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5"/>
      <c r="T626" s="5"/>
      <c r="U626" s="5"/>
      <c r="V626" s="5"/>
      <c r="W626" s="5"/>
      <c r="X626" s="5"/>
      <c r="Y626" s="5"/>
      <c r="Z626" s="7"/>
      <c r="AA626" s="5"/>
      <c r="AB626" s="5"/>
      <c r="AC626" s="5"/>
      <c r="AD626" s="5"/>
      <c r="AE626" s="5"/>
    </row>
    <row r="627" spans="1:31" ht="15.75" customHeight="1">
      <c r="A627" s="5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5"/>
      <c r="T627" s="5"/>
      <c r="U627" s="5"/>
      <c r="V627" s="5"/>
      <c r="W627" s="5"/>
      <c r="X627" s="5"/>
      <c r="Y627" s="5"/>
      <c r="Z627" s="7"/>
      <c r="AA627" s="5"/>
      <c r="AB627" s="5"/>
      <c r="AC627" s="5"/>
      <c r="AD627" s="5"/>
      <c r="AE627" s="5"/>
    </row>
    <row r="628" spans="1:31" ht="15.75" customHeight="1">
      <c r="A628" s="5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5"/>
      <c r="T628" s="5"/>
      <c r="U628" s="5"/>
      <c r="V628" s="5"/>
      <c r="W628" s="5"/>
      <c r="X628" s="5"/>
      <c r="Y628" s="5"/>
      <c r="Z628" s="7"/>
      <c r="AA628" s="5"/>
      <c r="AB628" s="5"/>
      <c r="AC628" s="5"/>
      <c r="AD628" s="5"/>
      <c r="AE628" s="5"/>
    </row>
    <row r="629" spans="1:31" ht="15.75" customHeight="1">
      <c r="A629" s="5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5"/>
      <c r="T629" s="5"/>
      <c r="U629" s="5"/>
      <c r="V629" s="5"/>
      <c r="W629" s="5"/>
      <c r="X629" s="5"/>
      <c r="Y629" s="5"/>
      <c r="Z629" s="7"/>
      <c r="AA629" s="5"/>
      <c r="AB629" s="5"/>
      <c r="AC629" s="5"/>
      <c r="AD629" s="5"/>
      <c r="AE629" s="5"/>
    </row>
    <row r="630" spans="1:31" ht="15.75" customHeight="1">
      <c r="A630" s="5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5"/>
      <c r="T630" s="5"/>
      <c r="U630" s="5"/>
      <c r="V630" s="5"/>
      <c r="W630" s="5"/>
      <c r="X630" s="5"/>
      <c r="Y630" s="5"/>
      <c r="Z630" s="7"/>
      <c r="AA630" s="5"/>
      <c r="AB630" s="5"/>
      <c r="AC630" s="5"/>
      <c r="AD630" s="5"/>
      <c r="AE630" s="5"/>
    </row>
    <row r="631" spans="1:31" ht="15.75" customHeight="1">
      <c r="A631" s="5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5"/>
      <c r="T631" s="5"/>
      <c r="U631" s="5"/>
      <c r="V631" s="5"/>
      <c r="W631" s="5"/>
      <c r="X631" s="5"/>
      <c r="Y631" s="5"/>
      <c r="Z631" s="7"/>
      <c r="AA631" s="5"/>
      <c r="AB631" s="5"/>
      <c r="AC631" s="5"/>
      <c r="AD631" s="5"/>
      <c r="AE631" s="5"/>
    </row>
    <row r="632" spans="1:31" ht="15.75" customHeight="1">
      <c r="A632" s="5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5"/>
      <c r="T632" s="5"/>
      <c r="U632" s="5"/>
      <c r="V632" s="5"/>
      <c r="W632" s="5"/>
      <c r="X632" s="5"/>
      <c r="Y632" s="5"/>
      <c r="Z632" s="7"/>
      <c r="AA632" s="5"/>
      <c r="AB632" s="5"/>
      <c r="AC632" s="5"/>
      <c r="AD632" s="5"/>
      <c r="AE632" s="5"/>
    </row>
    <row r="633" spans="1:31" ht="15.75" customHeight="1">
      <c r="A633" s="5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5"/>
      <c r="T633" s="5"/>
      <c r="U633" s="5"/>
      <c r="V633" s="5"/>
      <c r="W633" s="5"/>
      <c r="X633" s="5"/>
      <c r="Y633" s="5"/>
      <c r="Z633" s="7"/>
      <c r="AA633" s="5"/>
      <c r="AB633" s="5"/>
      <c r="AC633" s="5"/>
      <c r="AD633" s="5"/>
      <c r="AE633" s="5"/>
    </row>
    <row r="634" spans="1:31" ht="15.75" customHeight="1">
      <c r="A634" s="5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5"/>
      <c r="T634" s="5"/>
      <c r="U634" s="5"/>
      <c r="V634" s="5"/>
      <c r="W634" s="5"/>
      <c r="X634" s="5"/>
      <c r="Y634" s="5"/>
      <c r="Z634" s="7"/>
      <c r="AA634" s="5"/>
      <c r="AB634" s="5"/>
      <c r="AC634" s="5"/>
      <c r="AD634" s="5"/>
      <c r="AE634" s="5"/>
    </row>
    <row r="635" spans="1:31" ht="15.75" customHeight="1">
      <c r="A635" s="5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5"/>
      <c r="T635" s="5"/>
      <c r="U635" s="5"/>
      <c r="V635" s="5"/>
      <c r="W635" s="5"/>
      <c r="X635" s="5"/>
      <c r="Y635" s="5"/>
      <c r="Z635" s="7"/>
      <c r="AA635" s="5"/>
      <c r="AB635" s="5"/>
      <c r="AC635" s="5"/>
      <c r="AD635" s="5"/>
      <c r="AE635" s="5"/>
    </row>
    <row r="636" spans="1:31" ht="15.75" customHeight="1">
      <c r="A636" s="5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5"/>
      <c r="T636" s="5"/>
      <c r="U636" s="5"/>
      <c r="V636" s="5"/>
      <c r="W636" s="5"/>
      <c r="X636" s="5"/>
      <c r="Y636" s="5"/>
      <c r="Z636" s="7"/>
      <c r="AA636" s="5"/>
      <c r="AB636" s="5"/>
      <c r="AC636" s="5"/>
      <c r="AD636" s="5"/>
      <c r="AE636" s="5"/>
    </row>
    <row r="637" spans="1:31" ht="15.75" customHeight="1">
      <c r="A637" s="5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5"/>
      <c r="T637" s="5"/>
      <c r="U637" s="5"/>
      <c r="V637" s="5"/>
      <c r="W637" s="5"/>
      <c r="X637" s="5"/>
      <c r="Y637" s="5"/>
      <c r="Z637" s="7"/>
      <c r="AA637" s="5"/>
      <c r="AB637" s="5"/>
      <c r="AC637" s="5"/>
      <c r="AD637" s="5"/>
      <c r="AE637" s="5"/>
    </row>
    <row r="638" spans="1:31" ht="15.75" customHeight="1">
      <c r="A638" s="5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5"/>
      <c r="T638" s="5"/>
      <c r="U638" s="5"/>
      <c r="V638" s="5"/>
      <c r="W638" s="5"/>
      <c r="X638" s="5"/>
      <c r="Y638" s="5"/>
      <c r="Z638" s="7"/>
      <c r="AA638" s="5"/>
      <c r="AB638" s="5"/>
      <c r="AC638" s="5"/>
      <c r="AD638" s="5"/>
      <c r="AE638" s="5"/>
    </row>
    <row r="639" spans="1:31" ht="15.75" customHeight="1">
      <c r="A639" s="5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5"/>
      <c r="T639" s="5"/>
      <c r="U639" s="5"/>
      <c r="V639" s="5"/>
      <c r="W639" s="5"/>
      <c r="X639" s="5"/>
      <c r="Y639" s="5"/>
      <c r="Z639" s="7"/>
      <c r="AA639" s="5"/>
      <c r="AB639" s="5"/>
      <c r="AC639" s="5"/>
      <c r="AD639" s="5"/>
      <c r="AE639" s="5"/>
    </row>
    <row r="640" spans="1:31" ht="15.75" customHeight="1">
      <c r="A640" s="5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5"/>
      <c r="T640" s="5"/>
      <c r="U640" s="5"/>
      <c r="V640" s="5"/>
      <c r="W640" s="5"/>
      <c r="X640" s="5"/>
      <c r="Y640" s="5"/>
      <c r="Z640" s="7"/>
      <c r="AA640" s="5"/>
      <c r="AB640" s="5"/>
      <c r="AC640" s="5"/>
      <c r="AD640" s="5"/>
      <c r="AE640" s="5"/>
    </row>
    <row r="641" spans="1:31" ht="15.75" customHeight="1">
      <c r="A641" s="5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5"/>
      <c r="T641" s="5"/>
      <c r="U641" s="5"/>
      <c r="V641" s="5"/>
      <c r="W641" s="5"/>
      <c r="X641" s="5"/>
      <c r="Y641" s="5"/>
      <c r="Z641" s="7"/>
      <c r="AA641" s="5"/>
      <c r="AB641" s="5"/>
      <c r="AC641" s="5"/>
      <c r="AD641" s="5"/>
      <c r="AE641" s="5"/>
    </row>
    <row r="642" spans="1:31" ht="15.75" customHeight="1">
      <c r="A642" s="5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5"/>
      <c r="T642" s="5"/>
      <c r="U642" s="5"/>
      <c r="V642" s="5"/>
      <c r="W642" s="5"/>
      <c r="X642" s="5"/>
      <c r="Y642" s="5"/>
      <c r="Z642" s="7"/>
      <c r="AA642" s="5"/>
      <c r="AB642" s="5"/>
      <c r="AC642" s="5"/>
      <c r="AD642" s="5"/>
      <c r="AE642" s="5"/>
    </row>
    <row r="643" spans="1:31" ht="15.75" customHeight="1">
      <c r="A643" s="5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5"/>
      <c r="T643" s="5"/>
      <c r="U643" s="5"/>
      <c r="V643" s="5"/>
      <c r="W643" s="5"/>
      <c r="X643" s="5"/>
      <c r="Y643" s="5"/>
      <c r="Z643" s="7"/>
      <c r="AA643" s="5"/>
      <c r="AB643" s="5"/>
      <c r="AC643" s="5"/>
      <c r="AD643" s="5"/>
      <c r="AE643" s="5"/>
    </row>
    <row r="644" spans="1:31" ht="15.75" customHeight="1">
      <c r="A644" s="5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5"/>
      <c r="T644" s="5"/>
      <c r="U644" s="5"/>
      <c r="V644" s="5"/>
      <c r="W644" s="5"/>
      <c r="X644" s="5"/>
      <c r="Y644" s="5"/>
      <c r="Z644" s="7"/>
      <c r="AA644" s="5"/>
      <c r="AB644" s="5"/>
      <c r="AC644" s="5"/>
      <c r="AD644" s="5"/>
      <c r="AE644" s="5"/>
    </row>
    <row r="645" spans="1:31" ht="15.75" customHeight="1">
      <c r="A645" s="5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5"/>
      <c r="T645" s="5"/>
      <c r="U645" s="5"/>
      <c r="V645" s="5"/>
      <c r="W645" s="5"/>
      <c r="X645" s="5"/>
      <c r="Y645" s="5"/>
      <c r="Z645" s="7"/>
      <c r="AA645" s="5"/>
      <c r="AB645" s="5"/>
      <c r="AC645" s="5"/>
      <c r="AD645" s="5"/>
      <c r="AE645" s="5"/>
    </row>
    <row r="646" spans="1:31" ht="15.75" customHeight="1">
      <c r="A646" s="5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5"/>
      <c r="T646" s="5"/>
      <c r="U646" s="5"/>
      <c r="V646" s="5"/>
      <c r="W646" s="5"/>
      <c r="X646" s="5"/>
      <c r="Y646" s="5"/>
      <c r="Z646" s="7"/>
      <c r="AA646" s="5"/>
      <c r="AB646" s="5"/>
      <c r="AC646" s="5"/>
      <c r="AD646" s="5"/>
      <c r="AE646" s="5"/>
    </row>
    <row r="647" spans="1:31" ht="15.75" customHeight="1">
      <c r="A647" s="5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5"/>
      <c r="T647" s="5"/>
      <c r="U647" s="5"/>
      <c r="V647" s="5"/>
      <c r="W647" s="5"/>
      <c r="X647" s="5"/>
      <c r="Y647" s="5"/>
      <c r="Z647" s="7"/>
      <c r="AA647" s="5"/>
      <c r="AB647" s="5"/>
      <c r="AC647" s="5"/>
      <c r="AD647" s="5"/>
      <c r="AE647" s="5"/>
    </row>
    <row r="648" spans="1:31" ht="15.75" customHeight="1">
      <c r="A648" s="5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5"/>
      <c r="T648" s="5"/>
      <c r="U648" s="5"/>
      <c r="V648" s="5"/>
      <c r="W648" s="5"/>
      <c r="X648" s="5"/>
      <c r="Y648" s="5"/>
      <c r="Z648" s="7"/>
      <c r="AA648" s="5"/>
      <c r="AB648" s="5"/>
      <c r="AC648" s="5"/>
      <c r="AD648" s="5"/>
      <c r="AE648" s="5"/>
    </row>
    <row r="649" spans="1:31" ht="15.75" customHeight="1">
      <c r="A649" s="5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5"/>
      <c r="T649" s="5"/>
      <c r="U649" s="5"/>
      <c r="V649" s="5"/>
      <c r="W649" s="5"/>
      <c r="X649" s="5"/>
      <c r="Y649" s="5"/>
      <c r="Z649" s="7"/>
      <c r="AA649" s="5"/>
      <c r="AB649" s="5"/>
      <c r="AC649" s="5"/>
      <c r="AD649" s="5"/>
      <c r="AE649" s="5"/>
    </row>
    <row r="650" spans="1:31" ht="15.75" customHeight="1">
      <c r="A650" s="5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5"/>
      <c r="T650" s="5"/>
      <c r="U650" s="5"/>
      <c r="V650" s="5"/>
      <c r="W650" s="5"/>
      <c r="X650" s="5"/>
      <c r="Y650" s="5"/>
      <c r="Z650" s="7"/>
      <c r="AA650" s="5"/>
      <c r="AB650" s="5"/>
      <c r="AC650" s="5"/>
      <c r="AD650" s="5"/>
      <c r="AE650" s="5"/>
    </row>
    <row r="651" spans="1:31" ht="15.75" customHeight="1">
      <c r="A651" s="5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5"/>
      <c r="T651" s="5"/>
      <c r="U651" s="5"/>
      <c r="V651" s="5"/>
      <c r="W651" s="5"/>
      <c r="X651" s="5"/>
      <c r="Y651" s="5"/>
      <c r="Z651" s="7"/>
      <c r="AA651" s="5"/>
      <c r="AB651" s="5"/>
      <c r="AC651" s="5"/>
      <c r="AD651" s="5"/>
      <c r="AE651" s="5"/>
    </row>
    <row r="652" spans="1:31" ht="15.75" customHeight="1">
      <c r="A652" s="5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5"/>
      <c r="T652" s="5"/>
      <c r="U652" s="5"/>
      <c r="V652" s="5"/>
      <c r="W652" s="5"/>
      <c r="X652" s="5"/>
      <c r="Y652" s="5"/>
      <c r="Z652" s="7"/>
      <c r="AA652" s="5"/>
      <c r="AB652" s="5"/>
      <c r="AC652" s="5"/>
      <c r="AD652" s="5"/>
      <c r="AE652" s="5"/>
    </row>
    <row r="653" spans="1:31" ht="15.75" customHeight="1">
      <c r="A653" s="5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5"/>
      <c r="T653" s="5"/>
      <c r="U653" s="5"/>
      <c r="V653" s="5"/>
      <c r="W653" s="5"/>
      <c r="X653" s="5"/>
      <c r="Y653" s="5"/>
      <c r="Z653" s="7"/>
      <c r="AA653" s="5"/>
      <c r="AB653" s="5"/>
      <c r="AC653" s="5"/>
      <c r="AD653" s="5"/>
      <c r="AE653" s="5"/>
    </row>
    <row r="654" spans="1:31" ht="15.75" customHeight="1">
      <c r="A654" s="5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5"/>
      <c r="T654" s="5"/>
      <c r="U654" s="5"/>
      <c r="V654" s="5"/>
      <c r="W654" s="5"/>
      <c r="X654" s="5"/>
      <c r="Y654" s="5"/>
      <c r="Z654" s="7"/>
      <c r="AA654" s="5"/>
      <c r="AB654" s="5"/>
      <c r="AC654" s="5"/>
      <c r="AD654" s="5"/>
      <c r="AE654" s="5"/>
    </row>
    <row r="655" spans="1:31" ht="15.75" customHeight="1">
      <c r="A655" s="5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5"/>
      <c r="T655" s="5"/>
      <c r="U655" s="5"/>
      <c r="V655" s="5"/>
      <c r="W655" s="5"/>
      <c r="X655" s="5"/>
      <c r="Y655" s="5"/>
      <c r="Z655" s="7"/>
      <c r="AA655" s="5"/>
      <c r="AB655" s="5"/>
      <c r="AC655" s="5"/>
      <c r="AD655" s="5"/>
      <c r="AE655" s="5"/>
    </row>
    <row r="656" spans="1:31" ht="15.75" customHeight="1">
      <c r="A656" s="5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5"/>
      <c r="T656" s="5"/>
      <c r="U656" s="5"/>
      <c r="V656" s="5"/>
      <c r="W656" s="5"/>
      <c r="X656" s="5"/>
      <c r="Y656" s="5"/>
      <c r="Z656" s="7"/>
      <c r="AA656" s="5"/>
      <c r="AB656" s="5"/>
      <c r="AC656" s="5"/>
      <c r="AD656" s="5"/>
      <c r="AE656" s="5"/>
    </row>
    <row r="657" spans="1:31" ht="15.75" customHeight="1">
      <c r="A657" s="5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5"/>
      <c r="T657" s="5"/>
      <c r="U657" s="5"/>
      <c r="V657" s="5"/>
      <c r="W657" s="5"/>
      <c r="X657" s="5"/>
      <c r="Y657" s="5"/>
      <c r="Z657" s="7"/>
      <c r="AA657" s="5"/>
      <c r="AB657" s="5"/>
      <c r="AC657" s="5"/>
      <c r="AD657" s="5"/>
      <c r="AE657" s="5"/>
    </row>
    <row r="658" spans="1:31" ht="15.75" customHeight="1">
      <c r="A658" s="5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5"/>
      <c r="T658" s="5"/>
      <c r="U658" s="5"/>
      <c r="V658" s="5"/>
      <c r="W658" s="5"/>
      <c r="X658" s="5"/>
      <c r="Y658" s="5"/>
      <c r="Z658" s="7"/>
      <c r="AA658" s="5"/>
      <c r="AB658" s="5"/>
      <c r="AC658" s="5"/>
      <c r="AD658" s="5"/>
      <c r="AE658" s="5"/>
    </row>
    <row r="659" spans="1:31" ht="15.75" customHeight="1">
      <c r="A659" s="5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5"/>
      <c r="T659" s="5"/>
      <c r="U659" s="5"/>
      <c r="V659" s="5"/>
      <c r="W659" s="5"/>
      <c r="X659" s="5"/>
      <c r="Y659" s="5"/>
      <c r="Z659" s="7"/>
      <c r="AA659" s="5"/>
      <c r="AB659" s="5"/>
      <c r="AC659" s="5"/>
      <c r="AD659" s="5"/>
      <c r="AE659" s="5"/>
    </row>
    <row r="660" spans="1:31" ht="15.75" customHeight="1">
      <c r="A660" s="5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5"/>
      <c r="T660" s="5"/>
      <c r="U660" s="5"/>
      <c r="V660" s="5"/>
      <c r="W660" s="5"/>
      <c r="X660" s="5"/>
      <c r="Y660" s="5"/>
      <c r="Z660" s="7"/>
      <c r="AA660" s="5"/>
      <c r="AB660" s="5"/>
      <c r="AC660" s="5"/>
      <c r="AD660" s="5"/>
      <c r="AE660" s="5"/>
    </row>
    <row r="661" spans="1:31" ht="15.75" customHeight="1">
      <c r="A661" s="5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5"/>
      <c r="T661" s="5"/>
      <c r="U661" s="5"/>
      <c r="V661" s="5"/>
      <c r="W661" s="5"/>
      <c r="X661" s="5"/>
      <c r="Y661" s="5"/>
      <c r="Z661" s="7"/>
      <c r="AA661" s="5"/>
      <c r="AB661" s="5"/>
      <c r="AC661" s="5"/>
      <c r="AD661" s="5"/>
      <c r="AE661" s="5"/>
    </row>
    <row r="662" spans="1:31" ht="15.75" customHeight="1">
      <c r="A662" s="5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5"/>
      <c r="T662" s="5"/>
      <c r="U662" s="5"/>
      <c r="V662" s="5"/>
      <c r="W662" s="5"/>
      <c r="X662" s="5"/>
      <c r="Y662" s="5"/>
      <c r="Z662" s="7"/>
      <c r="AA662" s="5"/>
      <c r="AB662" s="5"/>
      <c r="AC662" s="5"/>
      <c r="AD662" s="5"/>
      <c r="AE662" s="5"/>
    </row>
    <row r="663" spans="1:31" ht="15.75" customHeight="1">
      <c r="A663" s="5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5"/>
      <c r="T663" s="5"/>
      <c r="U663" s="5"/>
      <c r="V663" s="5"/>
      <c r="W663" s="5"/>
      <c r="X663" s="5"/>
      <c r="Y663" s="5"/>
      <c r="Z663" s="7"/>
      <c r="AA663" s="5"/>
      <c r="AB663" s="5"/>
      <c r="AC663" s="5"/>
      <c r="AD663" s="5"/>
      <c r="AE663" s="5"/>
    </row>
    <row r="664" spans="1:31" ht="15.75" customHeight="1">
      <c r="A664" s="5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5"/>
      <c r="T664" s="5"/>
      <c r="U664" s="5"/>
      <c r="V664" s="5"/>
      <c r="W664" s="5"/>
      <c r="X664" s="5"/>
      <c r="Y664" s="5"/>
      <c r="Z664" s="7"/>
      <c r="AA664" s="5"/>
      <c r="AB664" s="5"/>
      <c r="AC664" s="5"/>
      <c r="AD664" s="5"/>
      <c r="AE664" s="5"/>
    </row>
    <row r="665" spans="1:31" ht="15.75" customHeight="1">
      <c r="A665" s="5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5"/>
      <c r="T665" s="5"/>
      <c r="U665" s="5"/>
      <c r="V665" s="5"/>
      <c r="W665" s="5"/>
      <c r="X665" s="5"/>
      <c r="Y665" s="5"/>
      <c r="Z665" s="7"/>
      <c r="AA665" s="5"/>
      <c r="AB665" s="5"/>
      <c r="AC665" s="5"/>
      <c r="AD665" s="5"/>
      <c r="AE665" s="5"/>
    </row>
    <row r="666" spans="1:31" ht="15.75" customHeight="1">
      <c r="A666" s="5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5"/>
      <c r="T666" s="5"/>
      <c r="U666" s="5"/>
      <c r="V666" s="5"/>
      <c r="W666" s="5"/>
      <c r="X666" s="5"/>
      <c r="Y666" s="5"/>
      <c r="Z666" s="7"/>
      <c r="AA666" s="5"/>
      <c r="AB666" s="5"/>
      <c r="AC666" s="5"/>
      <c r="AD666" s="5"/>
      <c r="AE666" s="5"/>
    </row>
    <row r="667" spans="1:31" ht="15.75" customHeight="1">
      <c r="A667" s="5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5"/>
      <c r="T667" s="5"/>
      <c r="U667" s="5"/>
      <c r="V667" s="5"/>
      <c r="W667" s="5"/>
      <c r="X667" s="5"/>
      <c r="Y667" s="5"/>
      <c r="Z667" s="7"/>
      <c r="AA667" s="5"/>
      <c r="AB667" s="5"/>
      <c r="AC667" s="5"/>
      <c r="AD667" s="5"/>
      <c r="AE667" s="5"/>
    </row>
    <row r="668" spans="1:31" ht="15.75" customHeight="1">
      <c r="A668" s="5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5"/>
      <c r="T668" s="5"/>
      <c r="U668" s="5"/>
      <c r="V668" s="5"/>
      <c r="W668" s="5"/>
      <c r="X668" s="5"/>
      <c r="Y668" s="5"/>
      <c r="Z668" s="7"/>
      <c r="AA668" s="5"/>
      <c r="AB668" s="5"/>
      <c r="AC668" s="5"/>
      <c r="AD668" s="5"/>
      <c r="AE668" s="5"/>
    </row>
    <row r="669" spans="1:31" ht="15.75" customHeight="1">
      <c r="A669" s="5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5"/>
      <c r="T669" s="5"/>
      <c r="U669" s="5"/>
      <c r="V669" s="5"/>
      <c r="W669" s="5"/>
      <c r="X669" s="5"/>
      <c r="Y669" s="5"/>
      <c r="Z669" s="7"/>
      <c r="AA669" s="5"/>
      <c r="AB669" s="5"/>
      <c r="AC669" s="5"/>
      <c r="AD669" s="5"/>
      <c r="AE669" s="5"/>
    </row>
    <row r="670" spans="1:31" ht="15.75" customHeight="1">
      <c r="A670" s="5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5"/>
      <c r="T670" s="5"/>
      <c r="U670" s="5"/>
      <c r="V670" s="5"/>
      <c r="W670" s="5"/>
      <c r="X670" s="5"/>
      <c r="Y670" s="5"/>
      <c r="Z670" s="7"/>
      <c r="AA670" s="5"/>
      <c r="AB670" s="5"/>
      <c r="AC670" s="5"/>
      <c r="AD670" s="5"/>
      <c r="AE670" s="5"/>
    </row>
    <row r="671" spans="1:31" ht="15.75" customHeight="1">
      <c r="A671" s="5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5"/>
      <c r="T671" s="5"/>
      <c r="U671" s="5"/>
      <c r="V671" s="5"/>
      <c r="W671" s="5"/>
      <c r="X671" s="5"/>
      <c r="Y671" s="5"/>
      <c r="Z671" s="7"/>
      <c r="AA671" s="5"/>
      <c r="AB671" s="5"/>
      <c r="AC671" s="5"/>
      <c r="AD671" s="5"/>
      <c r="AE671" s="5"/>
    </row>
    <row r="672" spans="1:31" ht="15.75" customHeight="1">
      <c r="A672" s="5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5"/>
      <c r="T672" s="5"/>
      <c r="U672" s="5"/>
      <c r="V672" s="5"/>
      <c r="W672" s="5"/>
      <c r="X672" s="5"/>
      <c r="Y672" s="5"/>
      <c r="Z672" s="7"/>
      <c r="AA672" s="5"/>
      <c r="AB672" s="5"/>
      <c r="AC672" s="5"/>
      <c r="AD672" s="5"/>
      <c r="AE672" s="5"/>
    </row>
    <row r="673" spans="1:31" ht="15.75" customHeight="1">
      <c r="A673" s="5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5"/>
      <c r="T673" s="5"/>
      <c r="U673" s="5"/>
      <c r="V673" s="5"/>
      <c r="W673" s="5"/>
      <c r="X673" s="5"/>
      <c r="Y673" s="5"/>
      <c r="Z673" s="7"/>
      <c r="AA673" s="5"/>
      <c r="AB673" s="5"/>
      <c r="AC673" s="5"/>
      <c r="AD673" s="5"/>
      <c r="AE673" s="5"/>
    </row>
    <row r="674" spans="1:31" ht="15.75" customHeight="1">
      <c r="A674" s="5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5"/>
      <c r="T674" s="5"/>
      <c r="U674" s="5"/>
      <c r="V674" s="5"/>
      <c r="W674" s="5"/>
      <c r="X674" s="5"/>
      <c r="Y674" s="5"/>
      <c r="Z674" s="7"/>
      <c r="AA674" s="5"/>
      <c r="AB674" s="5"/>
      <c r="AC674" s="5"/>
      <c r="AD674" s="5"/>
      <c r="AE674" s="5"/>
    </row>
    <row r="675" spans="1:31" ht="15.75" customHeight="1">
      <c r="A675" s="5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5"/>
      <c r="T675" s="5"/>
      <c r="U675" s="5"/>
      <c r="V675" s="5"/>
      <c r="W675" s="5"/>
      <c r="X675" s="5"/>
      <c r="Y675" s="5"/>
      <c r="Z675" s="7"/>
      <c r="AA675" s="5"/>
      <c r="AB675" s="5"/>
      <c r="AC675" s="5"/>
      <c r="AD675" s="5"/>
      <c r="AE675" s="5"/>
    </row>
    <row r="676" spans="1:31" ht="15.75" customHeight="1">
      <c r="A676" s="5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5"/>
      <c r="T676" s="5"/>
      <c r="U676" s="5"/>
      <c r="V676" s="5"/>
      <c r="W676" s="5"/>
      <c r="X676" s="5"/>
      <c r="Y676" s="5"/>
      <c r="Z676" s="7"/>
      <c r="AA676" s="5"/>
      <c r="AB676" s="5"/>
      <c r="AC676" s="5"/>
      <c r="AD676" s="5"/>
      <c r="AE676" s="5"/>
    </row>
    <row r="677" spans="1:31" ht="15.75" customHeight="1">
      <c r="A677" s="5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5"/>
      <c r="T677" s="5"/>
      <c r="U677" s="5"/>
      <c r="V677" s="5"/>
      <c r="W677" s="5"/>
      <c r="X677" s="5"/>
      <c r="Y677" s="5"/>
      <c r="Z677" s="7"/>
      <c r="AA677" s="5"/>
      <c r="AB677" s="5"/>
      <c r="AC677" s="5"/>
      <c r="AD677" s="5"/>
      <c r="AE677" s="5"/>
    </row>
    <row r="678" spans="1:31" ht="15.75" customHeight="1">
      <c r="A678" s="5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5"/>
      <c r="T678" s="5"/>
      <c r="U678" s="5"/>
      <c r="V678" s="5"/>
      <c r="W678" s="5"/>
      <c r="X678" s="5"/>
      <c r="Y678" s="5"/>
      <c r="Z678" s="7"/>
      <c r="AA678" s="5"/>
      <c r="AB678" s="5"/>
      <c r="AC678" s="5"/>
      <c r="AD678" s="5"/>
      <c r="AE678" s="5"/>
    </row>
    <row r="679" spans="1:31" ht="15.75" customHeight="1">
      <c r="A679" s="5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5"/>
      <c r="T679" s="5"/>
      <c r="U679" s="5"/>
      <c r="V679" s="5"/>
      <c r="W679" s="5"/>
      <c r="X679" s="5"/>
      <c r="Y679" s="5"/>
      <c r="Z679" s="7"/>
      <c r="AA679" s="5"/>
      <c r="AB679" s="5"/>
      <c r="AC679" s="5"/>
      <c r="AD679" s="5"/>
      <c r="AE679" s="5"/>
    </row>
    <row r="680" spans="1:31" ht="15.75" customHeight="1">
      <c r="A680" s="5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5"/>
      <c r="T680" s="5"/>
      <c r="U680" s="5"/>
      <c r="V680" s="5"/>
      <c r="W680" s="5"/>
      <c r="X680" s="5"/>
      <c r="Y680" s="5"/>
      <c r="Z680" s="7"/>
      <c r="AA680" s="5"/>
      <c r="AB680" s="5"/>
      <c r="AC680" s="5"/>
      <c r="AD680" s="5"/>
      <c r="AE680" s="5"/>
    </row>
    <row r="681" spans="1:31" ht="15.75" customHeight="1">
      <c r="A681" s="5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5"/>
      <c r="T681" s="5"/>
      <c r="U681" s="5"/>
      <c r="V681" s="5"/>
      <c r="W681" s="5"/>
      <c r="X681" s="5"/>
      <c r="Y681" s="5"/>
      <c r="Z681" s="7"/>
      <c r="AA681" s="5"/>
      <c r="AB681" s="5"/>
      <c r="AC681" s="5"/>
      <c r="AD681" s="5"/>
      <c r="AE681" s="5"/>
    </row>
    <row r="682" spans="1:31" ht="15.75" customHeight="1">
      <c r="A682" s="5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5"/>
      <c r="T682" s="5"/>
      <c r="U682" s="5"/>
      <c r="V682" s="5"/>
      <c r="W682" s="5"/>
      <c r="X682" s="5"/>
      <c r="Y682" s="5"/>
      <c r="Z682" s="7"/>
      <c r="AA682" s="5"/>
      <c r="AB682" s="5"/>
      <c r="AC682" s="5"/>
      <c r="AD682" s="5"/>
      <c r="AE682" s="5"/>
    </row>
    <row r="683" spans="1:31" ht="15.75" customHeight="1">
      <c r="A683" s="5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5"/>
      <c r="T683" s="5"/>
      <c r="U683" s="5"/>
      <c r="V683" s="5"/>
      <c r="W683" s="5"/>
      <c r="X683" s="5"/>
      <c r="Y683" s="5"/>
      <c r="Z683" s="7"/>
      <c r="AA683" s="5"/>
      <c r="AB683" s="5"/>
      <c r="AC683" s="5"/>
      <c r="AD683" s="5"/>
      <c r="AE683" s="5"/>
    </row>
    <row r="684" spans="1:31" ht="15.75" customHeight="1">
      <c r="A684" s="5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5"/>
      <c r="T684" s="5"/>
      <c r="U684" s="5"/>
      <c r="V684" s="5"/>
      <c r="W684" s="5"/>
      <c r="X684" s="5"/>
      <c r="Y684" s="5"/>
      <c r="Z684" s="7"/>
      <c r="AA684" s="5"/>
      <c r="AB684" s="5"/>
      <c r="AC684" s="5"/>
      <c r="AD684" s="5"/>
      <c r="AE684" s="5"/>
    </row>
    <row r="685" spans="1:31" ht="15.75" customHeight="1">
      <c r="A685" s="5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5"/>
      <c r="T685" s="5"/>
      <c r="U685" s="5"/>
      <c r="V685" s="5"/>
      <c r="W685" s="5"/>
      <c r="X685" s="5"/>
      <c r="Y685" s="5"/>
      <c r="Z685" s="7"/>
      <c r="AA685" s="5"/>
      <c r="AB685" s="5"/>
      <c r="AC685" s="5"/>
      <c r="AD685" s="5"/>
      <c r="AE685" s="5"/>
    </row>
    <row r="686" spans="1:31" ht="15.75" customHeight="1">
      <c r="A686" s="5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5"/>
      <c r="T686" s="5"/>
      <c r="U686" s="5"/>
      <c r="V686" s="5"/>
      <c r="W686" s="5"/>
      <c r="X686" s="5"/>
      <c r="Y686" s="5"/>
      <c r="Z686" s="7"/>
      <c r="AA686" s="5"/>
      <c r="AB686" s="5"/>
      <c r="AC686" s="5"/>
      <c r="AD686" s="5"/>
      <c r="AE686" s="5"/>
    </row>
    <row r="687" spans="1:31" ht="15.75" customHeight="1">
      <c r="A687" s="5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5"/>
      <c r="T687" s="5"/>
      <c r="U687" s="5"/>
      <c r="V687" s="5"/>
      <c r="W687" s="5"/>
      <c r="X687" s="5"/>
      <c r="Y687" s="5"/>
      <c r="Z687" s="7"/>
      <c r="AA687" s="5"/>
      <c r="AB687" s="5"/>
      <c r="AC687" s="5"/>
      <c r="AD687" s="5"/>
      <c r="AE687" s="5"/>
    </row>
    <row r="688" spans="1:31" ht="15.75" customHeight="1">
      <c r="A688" s="5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5"/>
      <c r="T688" s="5"/>
      <c r="U688" s="5"/>
      <c r="V688" s="5"/>
      <c r="W688" s="5"/>
      <c r="X688" s="5"/>
      <c r="Y688" s="5"/>
      <c r="Z688" s="7"/>
      <c r="AA688" s="5"/>
      <c r="AB688" s="5"/>
      <c r="AC688" s="5"/>
      <c r="AD688" s="5"/>
      <c r="AE688" s="5"/>
    </row>
    <row r="689" spans="1:31" ht="15.75" customHeight="1">
      <c r="A689" s="5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5"/>
      <c r="T689" s="5"/>
      <c r="U689" s="5"/>
      <c r="V689" s="5"/>
      <c r="W689" s="5"/>
      <c r="X689" s="5"/>
      <c r="Y689" s="5"/>
      <c r="Z689" s="7"/>
      <c r="AA689" s="5"/>
      <c r="AB689" s="5"/>
      <c r="AC689" s="5"/>
      <c r="AD689" s="5"/>
      <c r="AE689" s="5"/>
    </row>
    <row r="690" spans="1:31" ht="15.75" customHeight="1">
      <c r="A690" s="5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5"/>
      <c r="T690" s="5"/>
      <c r="U690" s="5"/>
      <c r="V690" s="5"/>
      <c r="W690" s="5"/>
      <c r="X690" s="5"/>
      <c r="Y690" s="5"/>
      <c r="Z690" s="7"/>
      <c r="AA690" s="5"/>
      <c r="AB690" s="5"/>
      <c r="AC690" s="5"/>
      <c r="AD690" s="5"/>
      <c r="AE690" s="5"/>
    </row>
    <row r="691" spans="1:31" ht="15.75" customHeight="1">
      <c r="A691" s="5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5"/>
      <c r="T691" s="5"/>
      <c r="U691" s="5"/>
      <c r="V691" s="5"/>
      <c r="W691" s="5"/>
      <c r="X691" s="5"/>
      <c r="Y691" s="5"/>
      <c r="Z691" s="7"/>
      <c r="AA691" s="5"/>
      <c r="AB691" s="5"/>
      <c r="AC691" s="5"/>
      <c r="AD691" s="5"/>
      <c r="AE691" s="5"/>
    </row>
    <row r="692" spans="1:31" ht="15.75" customHeight="1">
      <c r="A692" s="5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5"/>
      <c r="T692" s="5"/>
      <c r="U692" s="5"/>
      <c r="V692" s="5"/>
      <c r="W692" s="5"/>
      <c r="X692" s="5"/>
      <c r="Y692" s="5"/>
      <c r="Z692" s="7"/>
      <c r="AA692" s="5"/>
      <c r="AB692" s="5"/>
      <c r="AC692" s="5"/>
      <c r="AD692" s="5"/>
      <c r="AE692" s="5"/>
    </row>
    <row r="693" spans="1:31" ht="15.75" customHeight="1">
      <c r="A693" s="5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5"/>
      <c r="T693" s="5"/>
      <c r="U693" s="5"/>
      <c r="V693" s="5"/>
      <c r="W693" s="5"/>
      <c r="X693" s="5"/>
      <c r="Y693" s="5"/>
      <c r="Z693" s="7"/>
      <c r="AA693" s="5"/>
      <c r="AB693" s="5"/>
      <c r="AC693" s="5"/>
      <c r="AD693" s="5"/>
      <c r="AE693" s="5"/>
    </row>
    <row r="694" spans="1:31" ht="15.75" customHeight="1">
      <c r="A694" s="5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5"/>
      <c r="T694" s="5"/>
      <c r="U694" s="5"/>
      <c r="V694" s="5"/>
      <c r="W694" s="5"/>
      <c r="X694" s="5"/>
      <c r="Y694" s="5"/>
      <c r="Z694" s="7"/>
      <c r="AA694" s="5"/>
      <c r="AB694" s="5"/>
      <c r="AC694" s="5"/>
      <c r="AD694" s="5"/>
      <c r="AE694" s="5"/>
    </row>
    <row r="695" spans="1:31" ht="15.75" customHeight="1">
      <c r="A695" s="5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5"/>
      <c r="T695" s="5"/>
      <c r="U695" s="5"/>
      <c r="V695" s="5"/>
      <c r="W695" s="5"/>
      <c r="X695" s="5"/>
      <c r="Y695" s="5"/>
      <c r="Z695" s="7"/>
      <c r="AA695" s="5"/>
      <c r="AB695" s="5"/>
      <c r="AC695" s="5"/>
      <c r="AD695" s="5"/>
      <c r="AE695" s="5"/>
    </row>
    <row r="696" spans="1:31" ht="15.75" customHeight="1">
      <c r="A696" s="5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5"/>
      <c r="T696" s="5"/>
      <c r="U696" s="5"/>
      <c r="V696" s="5"/>
      <c r="W696" s="5"/>
      <c r="X696" s="5"/>
      <c r="Y696" s="5"/>
      <c r="Z696" s="7"/>
      <c r="AA696" s="5"/>
      <c r="AB696" s="5"/>
      <c r="AC696" s="5"/>
      <c r="AD696" s="5"/>
      <c r="AE696" s="5"/>
    </row>
    <row r="697" spans="1:31" ht="15.75" customHeight="1">
      <c r="A697" s="5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5"/>
      <c r="T697" s="5"/>
      <c r="U697" s="5"/>
      <c r="V697" s="5"/>
      <c r="W697" s="5"/>
      <c r="X697" s="5"/>
      <c r="Y697" s="5"/>
      <c r="Z697" s="7"/>
      <c r="AA697" s="5"/>
      <c r="AB697" s="5"/>
      <c r="AC697" s="5"/>
      <c r="AD697" s="5"/>
      <c r="AE697" s="5"/>
    </row>
    <row r="698" spans="1:31" ht="15.75" customHeight="1">
      <c r="A698" s="5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5"/>
      <c r="T698" s="5"/>
      <c r="U698" s="5"/>
      <c r="V698" s="5"/>
      <c r="W698" s="5"/>
      <c r="X698" s="5"/>
      <c r="Y698" s="5"/>
      <c r="Z698" s="7"/>
      <c r="AA698" s="5"/>
      <c r="AB698" s="5"/>
      <c r="AC698" s="5"/>
      <c r="AD698" s="5"/>
      <c r="AE698" s="5"/>
    </row>
    <row r="699" spans="1:31" ht="15.75" customHeight="1">
      <c r="A699" s="5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5"/>
      <c r="T699" s="5"/>
      <c r="U699" s="5"/>
      <c r="V699" s="5"/>
      <c r="W699" s="5"/>
      <c r="X699" s="5"/>
      <c r="Y699" s="5"/>
      <c r="Z699" s="7"/>
      <c r="AA699" s="5"/>
      <c r="AB699" s="5"/>
      <c r="AC699" s="5"/>
      <c r="AD699" s="5"/>
      <c r="AE699" s="5"/>
    </row>
    <row r="700" spans="1:31" ht="15.75" customHeight="1">
      <c r="A700" s="5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5"/>
      <c r="T700" s="5"/>
      <c r="U700" s="5"/>
      <c r="V700" s="5"/>
      <c r="W700" s="5"/>
      <c r="X700" s="5"/>
      <c r="Y700" s="5"/>
      <c r="Z700" s="7"/>
      <c r="AA700" s="5"/>
      <c r="AB700" s="5"/>
      <c r="AC700" s="5"/>
      <c r="AD700" s="5"/>
      <c r="AE700" s="5"/>
    </row>
    <row r="701" spans="1:31" ht="15.75" customHeight="1">
      <c r="A701" s="5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5"/>
      <c r="T701" s="5"/>
      <c r="U701" s="5"/>
      <c r="V701" s="5"/>
      <c r="W701" s="5"/>
      <c r="X701" s="5"/>
      <c r="Y701" s="5"/>
      <c r="Z701" s="7"/>
      <c r="AA701" s="5"/>
      <c r="AB701" s="5"/>
      <c r="AC701" s="5"/>
      <c r="AD701" s="5"/>
      <c r="AE701" s="5"/>
    </row>
    <row r="702" spans="1:31" ht="15.75" customHeight="1">
      <c r="A702" s="5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5"/>
      <c r="T702" s="5"/>
      <c r="U702" s="5"/>
      <c r="V702" s="5"/>
      <c r="W702" s="5"/>
      <c r="X702" s="5"/>
      <c r="Y702" s="5"/>
      <c r="Z702" s="7"/>
      <c r="AA702" s="5"/>
      <c r="AB702" s="5"/>
      <c r="AC702" s="5"/>
      <c r="AD702" s="5"/>
      <c r="AE702" s="5"/>
    </row>
    <row r="703" spans="1:31" ht="15.75" customHeight="1">
      <c r="A703" s="5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5"/>
      <c r="T703" s="5"/>
      <c r="U703" s="5"/>
      <c r="V703" s="5"/>
      <c r="W703" s="5"/>
      <c r="X703" s="5"/>
      <c r="Y703" s="5"/>
      <c r="Z703" s="7"/>
      <c r="AA703" s="5"/>
      <c r="AB703" s="5"/>
      <c r="AC703" s="5"/>
      <c r="AD703" s="5"/>
      <c r="AE703" s="5"/>
    </row>
    <row r="704" spans="1:31" ht="15.75" customHeight="1">
      <c r="A704" s="5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5"/>
      <c r="T704" s="5"/>
      <c r="U704" s="5"/>
      <c r="V704" s="5"/>
      <c r="W704" s="5"/>
      <c r="X704" s="5"/>
      <c r="Y704" s="5"/>
      <c r="Z704" s="7"/>
      <c r="AA704" s="5"/>
      <c r="AB704" s="5"/>
      <c r="AC704" s="5"/>
      <c r="AD704" s="5"/>
      <c r="AE704" s="5"/>
    </row>
    <row r="705" spans="1:31" ht="15.75" customHeight="1">
      <c r="A705" s="5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5"/>
      <c r="T705" s="5"/>
      <c r="U705" s="5"/>
      <c r="V705" s="5"/>
      <c r="W705" s="5"/>
      <c r="X705" s="5"/>
      <c r="Y705" s="5"/>
      <c r="Z705" s="7"/>
      <c r="AA705" s="5"/>
      <c r="AB705" s="5"/>
      <c r="AC705" s="5"/>
      <c r="AD705" s="5"/>
      <c r="AE705" s="5"/>
    </row>
    <row r="706" spans="1:31" ht="15.75" customHeight="1">
      <c r="A706" s="5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5"/>
      <c r="T706" s="5"/>
      <c r="U706" s="5"/>
      <c r="V706" s="5"/>
      <c r="W706" s="5"/>
      <c r="X706" s="5"/>
      <c r="Y706" s="5"/>
      <c r="Z706" s="7"/>
      <c r="AA706" s="5"/>
      <c r="AB706" s="5"/>
      <c r="AC706" s="5"/>
      <c r="AD706" s="5"/>
      <c r="AE706" s="5"/>
    </row>
    <row r="707" spans="1:31" ht="15.75" customHeight="1">
      <c r="A707" s="5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5"/>
      <c r="T707" s="5"/>
      <c r="U707" s="5"/>
      <c r="V707" s="5"/>
      <c r="W707" s="5"/>
      <c r="X707" s="5"/>
      <c r="Y707" s="5"/>
      <c r="Z707" s="7"/>
      <c r="AA707" s="5"/>
      <c r="AB707" s="5"/>
      <c r="AC707" s="5"/>
      <c r="AD707" s="5"/>
      <c r="AE707" s="5"/>
    </row>
    <row r="708" spans="1:31" ht="15.75" customHeight="1">
      <c r="A708" s="5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5"/>
      <c r="T708" s="5"/>
      <c r="U708" s="5"/>
      <c r="V708" s="5"/>
      <c r="W708" s="5"/>
      <c r="X708" s="5"/>
      <c r="Y708" s="5"/>
      <c r="Z708" s="7"/>
      <c r="AA708" s="5"/>
      <c r="AB708" s="5"/>
      <c r="AC708" s="5"/>
      <c r="AD708" s="5"/>
      <c r="AE708" s="5"/>
    </row>
    <row r="709" spans="1:31" ht="15.75" customHeight="1">
      <c r="A709" s="5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5"/>
      <c r="T709" s="5"/>
      <c r="U709" s="5"/>
      <c r="V709" s="5"/>
      <c r="W709" s="5"/>
      <c r="X709" s="5"/>
      <c r="Y709" s="5"/>
      <c r="Z709" s="7"/>
      <c r="AA709" s="5"/>
      <c r="AB709" s="5"/>
      <c r="AC709" s="5"/>
      <c r="AD709" s="5"/>
      <c r="AE709" s="5"/>
    </row>
    <row r="710" spans="1:31" ht="15.75" customHeight="1">
      <c r="A710" s="5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5"/>
      <c r="T710" s="5"/>
      <c r="U710" s="5"/>
      <c r="V710" s="5"/>
      <c r="W710" s="5"/>
      <c r="X710" s="5"/>
      <c r="Y710" s="5"/>
      <c r="Z710" s="7"/>
      <c r="AA710" s="5"/>
      <c r="AB710" s="5"/>
      <c r="AC710" s="5"/>
      <c r="AD710" s="5"/>
      <c r="AE710" s="5"/>
    </row>
    <row r="711" spans="1:31" ht="15.75" customHeight="1">
      <c r="A711" s="5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5"/>
      <c r="T711" s="5"/>
      <c r="U711" s="5"/>
      <c r="V711" s="5"/>
      <c r="W711" s="5"/>
      <c r="X711" s="5"/>
      <c r="Y711" s="5"/>
      <c r="Z711" s="7"/>
      <c r="AA711" s="5"/>
      <c r="AB711" s="5"/>
      <c r="AC711" s="5"/>
      <c r="AD711" s="5"/>
      <c r="AE711" s="5"/>
    </row>
    <row r="712" spans="1:31" ht="15.75" customHeight="1">
      <c r="A712" s="5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5"/>
      <c r="T712" s="5"/>
      <c r="U712" s="5"/>
      <c r="V712" s="5"/>
      <c r="W712" s="5"/>
      <c r="X712" s="5"/>
      <c r="Y712" s="5"/>
      <c r="Z712" s="7"/>
      <c r="AA712" s="5"/>
      <c r="AB712" s="5"/>
      <c r="AC712" s="5"/>
      <c r="AD712" s="5"/>
      <c r="AE712" s="5"/>
    </row>
    <row r="713" spans="1:31" ht="15.75" customHeight="1">
      <c r="A713" s="5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5"/>
      <c r="T713" s="5"/>
      <c r="U713" s="5"/>
      <c r="V713" s="5"/>
      <c r="W713" s="5"/>
      <c r="X713" s="5"/>
      <c r="Y713" s="5"/>
      <c r="Z713" s="7"/>
      <c r="AA713" s="5"/>
      <c r="AB713" s="5"/>
      <c r="AC713" s="5"/>
      <c r="AD713" s="5"/>
      <c r="AE713" s="5"/>
    </row>
    <row r="714" spans="1:31" ht="15.75" customHeight="1">
      <c r="A714" s="5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5"/>
      <c r="T714" s="5"/>
      <c r="U714" s="5"/>
      <c r="V714" s="5"/>
      <c r="W714" s="5"/>
      <c r="X714" s="5"/>
      <c r="Y714" s="5"/>
      <c r="Z714" s="7"/>
      <c r="AA714" s="5"/>
      <c r="AB714" s="5"/>
      <c r="AC714" s="5"/>
      <c r="AD714" s="5"/>
      <c r="AE714" s="5"/>
    </row>
    <row r="715" spans="1:31" ht="15.75" customHeight="1">
      <c r="A715" s="5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5"/>
      <c r="T715" s="5"/>
      <c r="U715" s="5"/>
      <c r="V715" s="5"/>
      <c r="W715" s="5"/>
      <c r="X715" s="5"/>
      <c r="Y715" s="5"/>
      <c r="Z715" s="7"/>
      <c r="AA715" s="5"/>
      <c r="AB715" s="5"/>
      <c r="AC715" s="5"/>
      <c r="AD715" s="5"/>
      <c r="AE715" s="5"/>
    </row>
    <row r="716" spans="1:31" ht="15.75" customHeight="1">
      <c r="A716" s="5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5"/>
      <c r="T716" s="5"/>
      <c r="U716" s="5"/>
      <c r="V716" s="5"/>
      <c r="W716" s="5"/>
      <c r="X716" s="5"/>
      <c r="Y716" s="5"/>
      <c r="Z716" s="7"/>
      <c r="AA716" s="5"/>
      <c r="AB716" s="5"/>
      <c r="AC716" s="5"/>
      <c r="AD716" s="5"/>
      <c r="AE716" s="5"/>
    </row>
    <row r="717" spans="1:31" ht="15.75" customHeight="1">
      <c r="A717" s="5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5"/>
      <c r="T717" s="5"/>
      <c r="U717" s="5"/>
      <c r="V717" s="5"/>
      <c r="W717" s="5"/>
      <c r="X717" s="5"/>
      <c r="Y717" s="5"/>
      <c r="Z717" s="7"/>
      <c r="AA717" s="5"/>
      <c r="AB717" s="5"/>
      <c r="AC717" s="5"/>
      <c r="AD717" s="5"/>
      <c r="AE717" s="5"/>
    </row>
    <row r="718" spans="1:31" ht="15.75" customHeight="1">
      <c r="A718" s="5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5"/>
      <c r="T718" s="5"/>
      <c r="U718" s="5"/>
      <c r="V718" s="5"/>
      <c r="W718" s="5"/>
      <c r="X718" s="5"/>
      <c r="Y718" s="5"/>
      <c r="Z718" s="7"/>
      <c r="AA718" s="5"/>
      <c r="AB718" s="5"/>
      <c r="AC718" s="5"/>
      <c r="AD718" s="5"/>
      <c r="AE718" s="5"/>
    </row>
    <row r="719" spans="1:31" ht="15.75" customHeight="1">
      <c r="A719" s="5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5"/>
      <c r="T719" s="5"/>
      <c r="U719" s="5"/>
      <c r="V719" s="5"/>
      <c r="W719" s="5"/>
      <c r="X719" s="5"/>
      <c r="Y719" s="5"/>
      <c r="Z719" s="7"/>
      <c r="AA719" s="5"/>
      <c r="AB719" s="5"/>
      <c r="AC719" s="5"/>
      <c r="AD719" s="5"/>
      <c r="AE719" s="5"/>
    </row>
    <row r="720" spans="1:31" ht="15.75" customHeight="1">
      <c r="A720" s="5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5"/>
      <c r="T720" s="5"/>
      <c r="U720" s="5"/>
      <c r="V720" s="5"/>
      <c r="W720" s="5"/>
      <c r="X720" s="5"/>
      <c r="Y720" s="5"/>
      <c r="Z720" s="7"/>
      <c r="AA720" s="5"/>
      <c r="AB720" s="5"/>
      <c r="AC720" s="5"/>
      <c r="AD720" s="5"/>
      <c r="AE720" s="5"/>
    </row>
    <row r="721" spans="1:31" ht="15.75" customHeight="1">
      <c r="A721" s="5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5"/>
      <c r="T721" s="5"/>
      <c r="U721" s="5"/>
      <c r="V721" s="5"/>
      <c r="W721" s="5"/>
      <c r="X721" s="5"/>
      <c r="Y721" s="5"/>
      <c r="Z721" s="7"/>
      <c r="AA721" s="5"/>
      <c r="AB721" s="5"/>
      <c r="AC721" s="5"/>
      <c r="AD721" s="5"/>
      <c r="AE721" s="5"/>
    </row>
    <row r="722" spans="1:31" ht="15.75" customHeight="1">
      <c r="A722" s="5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5"/>
      <c r="T722" s="5"/>
      <c r="U722" s="5"/>
      <c r="V722" s="5"/>
      <c r="W722" s="5"/>
      <c r="X722" s="5"/>
      <c r="Y722" s="5"/>
      <c r="Z722" s="7"/>
      <c r="AA722" s="5"/>
      <c r="AB722" s="5"/>
      <c r="AC722" s="5"/>
      <c r="AD722" s="5"/>
      <c r="AE722" s="5"/>
    </row>
    <row r="723" spans="1:31" ht="15.75" customHeight="1">
      <c r="A723" s="5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5"/>
      <c r="T723" s="5"/>
      <c r="U723" s="5"/>
      <c r="V723" s="5"/>
      <c r="W723" s="5"/>
      <c r="X723" s="5"/>
      <c r="Y723" s="5"/>
      <c r="Z723" s="7"/>
      <c r="AA723" s="5"/>
      <c r="AB723" s="5"/>
      <c r="AC723" s="5"/>
      <c r="AD723" s="5"/>
      <c r="AE723" s="5"/>
    </row>
    <row r="724" spans="1:31" ht="15.75" customHeight="1">
      <c r="A724" s="5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5"/>
      <c r="T724" s="5"/>
      <c r="U724" s="5"/>
      <c r="V724" s="5"/>
      <c r="W724" s="5"/>
      <c r="X724" s="5"/>
      <c r="Y724" s="5"/>
      <c r="Z724" s="7"/>
      <c r="AA724" s="5"/>
      <c r="AB724" s="5"/>
      <c r="AC724" s="5"/>
      <c r="AD724" s="5"/>
      <c r="AE724" s="5"/>
    </row>
    <row r="725" spans="1:31" ht="15.75" customHeight="1">
      <c r="A725" s="5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5"/>
      <c r="T725" s="5"/>
      <c r="U725" s="5"/>
      <c r="V725" s="5"/>
      <c r="W725" s="5"/>
      <c r="X725" s="5"/>
      <c r="Y725" s="5"/>
      <c r="Z725" s="7"/>
      <c r="AA725" s="5"/>
      <c r="AB725" s="5"/>
      <c r="AC725" s="5"/>
      <c r="AD725" s="5"/>
      <c r="AE725" s="5"/>
    </row>
    <row r="726" spans="1:31" ht="15.75" customHeight="1">
      <c r="A726" s="5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5"/>
      <c r="T726" s="5"/>
      <c r="U726" s="5"/>
      <c r="V726" s="5"/>
      <c r="W726" s="5"/>
      <c r="X726" s="5"/>
      <c r="Y726" s="5"/>
      <c r="Z726" s="7"/>
      <c r="AA726" s="5"/>
      <c r="AB726" s="5"/>
      <c r="AC726" s="5"/>
      <c r="AD726" s="5"/>
      <c r="AE726" s="5"/>
    </row>
    <row r="727" spans="1:31" ht="15.75" customHeight="1">
      <c r="A727" s="5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5"/>
      <c r="T727" s="5"/>
      <c r="U727" s="5"/>
      <c r="V727" s="5"/>
      <c r="W727" s="5"/>
      <c r="X727" s="5"/>
      <c r="Y727" s="5"/>
      <c r="Z727" s="7"/>
      <c r="AA727" s="5"/>
      <c r="AB727" s="5"/>
      <c r="AC727" s="5"/>
      <c r="AD727" s="5"/>
      <c r="AE727" s="5"/>
    </row>
    <row r="728" spans="1:31" ht="15.75" customHeight="1">
      <c r="A728" s="5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5"/>
      <c r="T728" s="5"/>
      <c r="U728" s="5"/>
      <c r="V728" s="5"/>
      <c r="W728" s="5"/>
      <c r="X728" s="5"/>
      <c r="Y728" s="5"/>
      <c r="Z728" s="7"/>
      <c r="AA728" s="5"/>
      <c r="AB728" s="5"/>
      <c r="AC728" s="5"/>
      <c r="AD728" s="5"/>
      <c r="AE728" s="5"/>
    </row>
    <row r="729" spans="1:31" ht="15.75" customHeight="1">
      <c r="A729" s="5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5"/>
      <c r="T729" s="5"/>
      <c r="U729" s="5"/>
      <c r="V729" s="5"/>
      <c r="W729" s="5"/>
      <c r="X729" s="5"/>
      <c r="Y729" s="5"/>
      <c r="Z729" s="7"/>
      <c r="AA729" s="5"/>
      <c r="AB729" s="5"/>
      <c r="AC729" s="5"/>
      <c r="AD729" s="5"/>
      <c r="AE729" s="5"/>
    </row>
    <row r="730" spans="1:31" ht="15.75" customHeight="1">
      <c r="A730" s="5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5"/>
      <c r="T730" s="5"/>
      <c r="U730" s="5"/>
      <c r="V730" s="5"/>
      <c r="W730" s="5"/>
      <c r="X730" s="5"/>
      <c r="Y730" s="5"/>
      <c r="Z730" s="7"/>
      <c r="AA730" s="5"/>
      <c r="AB730" s="5"/>
      <c r="AC730" s="5"/>
      <c r="AD730" s="5"/>
      <c r="AE730" s="5"/>
    </row>
    <row r="731" spans="1:31" ht="15.75" customHeight="1">
      <c r="A731" s="5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5"/>
      <c r="T731" s="5"/>
      <c r="U731" s="5"/>
      <c r="V731" s="5"/>
      <c r="W731" s="5"/>
      <c r="X731" s="5"/>
      <c r="Y731" s="5"/>
      <c r="Z731" s="7"/>
      <c r="AA731" s="5"/>
      <c r="AB731" s="5"/>
      <c r="AC731" s="5"/>
      <c r="AD731" s="5"/>
      <c r="AE731" s="5"/>
    </row>
    <row r="732" spans="1:31" ht="15.75" customHeight="1">
      <c r="A732" s="5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5"/>
      <c r="T732" s="5"/>
      <c r="U732" s="5"/>
      <c r="V732" s="5"/>
      <c r="W732" s="5"/>
      <c r="X732" s="5"/>
      <c r="Y732" s="5"/>
      <c r="Z732" s="7"/>
      <c r="AA732" s="5"/>
      <c r="AB732" s="5"/>
      <c r="AC732" s="5"/>
      <c r="AD732" s="5"/>
      <c r="AE732" s="5"/>
    </row>
    <row r="733" spans="1:31" ht="15.75" customHeight="1">
      <c r="A733" s="5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5"/>
      <c r="T733" s="5"/>
      <c r="U733" s="5"/>
      <c r="V733" s="5"/>
      <c r="W733" s="5"/>
      <c r="X733" s="5"/>
      <c r="Y733" s="5"/>
      <c r="Z733" s="7"/>
      <c r="AA733" s="5"/>
      <c r="AB733" s="5"/>
      <c r="AC733" s="5"/>
      <c r="AD733" s="5"/>
      <c r="AE733" s="5"/>
    </row>
    <row r="734" spans="1:31" ht="15.75" customHeight="1">
      <c r="A734" s="5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5"/>
      <c r="T734" s="5"/>
      <c r="U734" s="5"/>
      <c r="V734" s="5"/>
      <c r="W734" s="5"/>
      <c r="X734" s="5"/>
      <c r="Y734" s="5"/>
      <c r="Z734" s="7"/>
      <c r="AA734" s="5"/>
      <c r="AB734" s="5"/>
      <c r="AC734" s="5"/>
      <c r="AD734" s="5"/>
      <c r="AE734" s="5"/>
    </row>
    <row r="735" spans="1:31" ht="15.75" customHeight="1">
      <c r="A735" s="5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5"/>
      <c r="T735" s="5"/>
      <c r="U735" s="5"/>
      <c r="V735" s="5"/>
      <c r="W735" s="5"/>
      <c r="X735" s="5"/>
      <c r="Y735" s="5"/>
      <c r="Z735" s="7"/>
      <c r="AA735" s="5"/>
      <c r="AB735" s="5"/>
      <c r="AC735" s="5"/>
      <c r="AD735" s="5"/>
      <c r="AE735" s="5"/>
    </row>
    <row r="736" spans="1:31" ht="15.75" customHeight="1">
      <c r="A736" s="5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5"/>
      <c r="T736" s="5"/>
      <c r="U736" s="5"/>
      <c r="V736" s="5"/>
      <c r="W736" s="5"/>
      <c r="X736" s="5"/>
      <c r="Y736" s="5"/>
      <c r="Z736" s="7"/>
      <c r="AA736" s="5"/>
      <c r="AB736" s="5"/>
      <c r="AC736" s="5"/>
      <c r="AD736" s="5"/>
      <c r="AE736" s="5"/>
    </row>
    <row r="737" spans="1:31" ht="15.75" customHeight="1">
      <c r="A737" s="5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5"/>
      <c r="T737" s="5"/>
      <c r="U737" s="5"/>
      <c r="V737" s="5"/>
      <c r="W737" s="5"/>
      <c r="X737" s="5"/>
      <c r="Y737" s="5"/>
      <c r="Z737" s="7"/>
      <c r="AA737" s="5"/>
      <c r="AB737" s="5"/>
      <c r="AC737" s="5"/>
      <c r="AD737" s="5"/>
      <c r="AE737" s="5"/>
    </row>
    <row r="738" spans="1:31" ht="15.75" customHeight="1">
      <c r="A738" s="5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5"/>
      <c r="T738" s="5"/>
      <c r="U738" s="5"/>
      <c r="V738" s="5"/>
      <c r="W738" s="5"/>
      <c r="X738" s="5"/>
      <c r="Y738" s="5"/>
      <c r="Z738" s="7"/>
      <c r="AA738" s="5"/>
      <c r="AB738" s="5"/>
      <c r="AC738" s="5"/>
      <c r="AD738" s="5"/>
      <c r="AE738" s="5"/>
    </row>
    <row r="739" spans="1:31" ht="15.75" customHeight="1">
      <c r="A739" s="5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5"/>
      <c r="T739" s="5"/>
      <c r="U739" s="5"/>
      <c r="V739" s="5"/>
      <c r="W739" s="5"/>
      <c r="X739" s="5"/>
      <c r="Y739" s="5"/>
      <c r="Z739" s="7"/>
      <c r="AA739" s="5"/>
      <c r="AB739" s="5"/>
      <c r="AC739" s="5"/>
      <c r="AD739" s="5"/>
      <c r="AE739" s="5"/>
    </row>
    <row r="740" spans="1:31" ht="15.75" customHeight="1">
      <c r="A740" s="5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5"/>
      <c r="T740" s="5"/>
      <c r="U740" s="5"/>
      <c r="V740" s="5"/>
      <c r="W740" s="5"/>
      <c r="X740" s="5"/>
      <c r="Y740" s="5"/>
      <c r="Z740" s="7"/>
      <c r="AA740" s="5"/>
      <c r="AB740" s="5"/>
      <c r="AC740" s="5"/>
      <c r="AD740" s="5"/>
      <c r="AE740" s="5"/>
    </row>
    <row r="741" spans="1:31" ht="15.75" customHeight="1">
      <c r="A741" s="5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5"/>
      <c r="T741" s="5"/>
      <c r="U741" s="5"/>
      <c r="V741" s="5"/>
      <c r="W741" s="5"/>
      <c r="X741" s="5"/>
      <c r="Y741" s="5"/>
      <c r="Z741" s="7"/>
      <c r="AA741" s="5"/>
      <c r="AB741" s="5"/>
      <c r="AC741" s="5"/>
      <c r="AD741" s="5"/>
      <c r="AE741" s="5"/>
    </row>
    <row r="742" spans="1:31" ht="15.75" customHeight="1">
      <c r="A742" s="5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5"/>
      <c r="T742" s="5"/>
      <c r="U742" s="5"/>
      <c r="V742" s="5"/>
      <c r="W742" s="5"/>
      <c r="X742" s="5"/>
      <c r="Y742" s="5"/>
      <c r="Z742" s="7"/>
      <c r="AA742" s="5"/>
      <c r="AB742" s="5"/>
      <c r="AC742" s="5"/>
      <c r="AD742" s="5"/>
      <c r="AE742" s="5"/>
    </row>
    <row r="743" spans="1:31" ht="15.75" customHeight="1">
      <c r="A743" s="5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5"/>
      <c r="T743" s="5"/>
      <c r="U743" s="5"/>
      <c r="V743" s="5"/>
      <c r="W743" s="5"/>
      <c r="X743" s="5"/>
      <c r="Y743" s="5"/>
      <c r="Z743" s="7"/>
      <c r="AA743" s="5"/>
      <c r="AB743" s="5"/>
      <c r="AC743" s="5"/>
      <c r="AD743" s="5"/>
      <c r="AE743" s="5"/>
    </row>
    <row r="744" spans="1:31" ht="15.75" customHeight="1">
      <c r="A744" s="5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5"/>
      <c r="T744" s="5"/>
      <c r="U744" s="5"/>
      <c r="V744" s="5"/>
      <c r="W744" s="5"/>
      <c r="X744" s="5"/>
      <c r="Y744" s="5"/>
      <c r="Z744" s="7"/>
      <c r="AA744" s="5"/>
      <c r="AB744" s="5"/>
      <c r="AC744" s="5"/>
      <c r="AD744" s="5"/>
      <c r="AE744" s="5"/>
    </row>
    <row r="745" spans="1:31" ht="15.75" customHeight="1">
      <c r="A745" s="5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5"/>
      <c r="T745" s="5"/>
      <c r="U745" s="5"/>
      <c r="V745" s="5"/>
      <c r="W745" s="5"/>
      <c r="X745" s="5"/>
      <c r="Y745" s="5"/>
      <c r="Z745" s="7"/>
      <c r="AA745" s="5"/>
      <c r="AB745" s="5"/>
      <c r="AC745" s="5"/>
      <c r="AD745" s="5"/>
      <c r="AE745" s="5"/>
    </row>
    <row r="746" spans="1:31" ht="15.75" customHeight="1">
      <c r="A746" s="5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5"/>
      <c r="T746" s="5"/>
      <c r="U746" s="5"/>
      <c r="V746" s="5"/>
      <c r="W746" s="5"/>
      <c r="X746" s="5"/>
      <c r="Y746" s="5"/>
      <c r="Z746" s="7"/>
      <c r="AA746" s="5"/>
      <c r="AB746" s="5"/>
      <c r="AC746" s="5"/>
      <c r="AD746" s="5"/>
      <c r="AE746" s="5"/>
    </row>
    <row r="747" spans="1:31" ht="15.75" customHeight="1">
      <c r="A747" s="5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5"/>
      <c r="T747" s="5"/>
      <c r="U747" s="5"/>
      <c r="V747" s="5"/>
      <c r="W747" s="5"/>
      <c r="X747" s="5"/>
      <c r="Y747" s="5"/>
      <c r="Z747" s="7"/>
      <c r="AA747" s="5"/>
      <c r="AB747" s="5"/>
      <c r="AC747" s="5"/>
      <c r="AD747" s="5"/>
      <c r="AE747" s="5"/>
    </row>
    <row r="748" spans="1:31" ht="15.75" customHeight="1">
      <c r="A748" s="5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5"/>
      <c r="T748" s="5"/>
      <c r="U748" s="5"/>
      <c r="V748" s="5"/>
      <c r="W748" s="5"/>
      <c r="X748" s="5"/>
      <c r="Y748" s="5"/>
      <c r="Z748" s="7"/>
      <c r="AA748" s="5"/>
      <c r="AB748" s="5"/>
      <c r="AC748" s="5"/>
      <c r="AD748" s="5"/>
      <c r="AE748" s="5"/>
    </row>
    <row r="749" spans="1:31" ht="15.75" customHeight="1">
      <c r="A749" s="5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5"/>
      <c r="T749" s="5"/>
      <c r="U749" s="5"/>
      <c r="V749" s="5"/>
      <c r="W749" s="5"/>
      <c r="X749" s="5"/>
      <c r="Y749" s="5"/>
      <c r="Z749" s="7"/>
      <c r="AA749" s="5"/>
      <c r="AB749" s="5"/>
      <c r="AC749" s="5"/>
      <c r="AD749" s="5"/>
      <c r="AE749" s="5"/>
    </row>
    <row r="750" spans="1:31" ht="15.75" customHeight="1">
      <c r="A750" s="5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5"/>
      <c r="T750" s="5"/>
      <c r="U750" s="5"/>
      <c r="V750" s="5"/>
      <c r="W750" s="5"/>
      <c r="X750" s="5"/>
      <c r="Y750" s="5"/>
      <c r="Z750" s="7"/>
      <c r="AA750" s="5"/>
      <c r="AB750" s="5"/>
      <c r="AC750" s="5"/>
      <c r="AD750" s="5"/>
      <c r="AE750" s="5"/>
    </row>
    <row r="751" spans="1:31" ht="15.75" customHeight="1">
      <c r="A751" s="5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5"/>
      <c r="T751" s="5"/>
      <c r="U751" s="5"/>
      <c r="V751" s="5"/>
      <c r="W751" s="5"/>
      <c r="X751" s="5"/>
      <c r="Y751" s="5"/>
      <c r="Z751" s="7"/>
      <c r="AA751" s="5"/>
      <c r="AB751" s="5"/>
      <c r="AC751" s="5"/>
      <c r="AD751" s="5"/>
      <c r="AE751" s="5"/>
    </row>
    <row r="752" spans="1:31" ht="15.75" customHeight="1">
      <c r="A752" s="5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5"/>
      <c r="T752" s="5"/>
      <c r="U752" s="5"/>
      <c r="V752" s="5"/>
      <c r="W752" s="5"/>
      <c r="X752" s="5"/>
      <c r="Y752" s="5"/>
      <c r="Z752" s="7"/>
      <c r="AA752" s="5"/>
      <c r="AB752" s="5"/>
      <c r="AC752" s="5"/>
      <c r="AD752" s="5"/>
      <c r="AE752" s="5"/>
    </row>
    <row r="753" spans="1:31" ht="15.75" customHeight="1">
      <c r="A753" s="5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5"/>
      <c r="T753" s="5"/>
      <c r="U753" s="5"/>
      <c r="V753" s="5"/>
      <c r="W753" s="5"/>
      <c r="X753" s="5"/>
      <c r="Y753" s="5"/>
      <c r="Z753" s="7"/>
      <c r="AA753" s="5"/>
      <c r="AB753" s="5"/>
      <c r="AC753" s="5"/>
      <c r="AD753" s="5"/>
      <c r="AE753" s="5"/>
    </row>
    <row r="754" spans="1:31" ht="15.75" customHeight="1">
      <c r="A754" s="5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5"/>
      <c r="T754" s="5"/>
      <c r="U754" s="5"/>
      <c r="V754" s="5"/>
      <c r="W754" s="5"/>
      <c r="X754" s="5"/>
      <c r="Y754" s="5"/>
      <c r="Z754" s="7"/>
      <c r="AA754" s="5"/>
      <c r="AB754" s="5"/>
      <c r="AC754" s="5"/>
      <c r="AD754" s="5"/>
      <c r="AE754" s="5"/>
    </row>
    <row r="755" spans="1:31" ht="15.75" customHeight="1">
      <c r="A755" s="5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5"/>
      <c r="T755" s="5"/>
      <c r="U755" s="5"/>
      <c r="V755" s="5"/>
      <c r="W755" s="5"/>
      <c r="X755" s="5"/>
      <c r="Y755" s="5"/>
      <c r="Z755" s="7"/>
      <c r="AA755" s="5"/>
      <c r="AB755" s="5"/>
      <c r="AC755" s="5"/>
      <c r="AD755" s="5"/>
      <c r="AE755" s="5"/>
    </row>
    <row r="756" spans="1:31" ht="15.75" customHeight="1">
      <c r="A756" s="5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5"/>
      <c r="T756" s="5"/>
      <c r="U756" s="5"/>
      <c r="V756" s="5"/>
      <c r="W756" s="5"/>
      <c r="X756" s="5"/>
      <c r="Y756" s="5"/>
      <c r="Z756" s="7"/>
      <c r="AA756" s="5"/>
      <c r="AB756" s="5"/>
      <c r="AC756" s="5"/>
      <c r="AD756" s="5"/>
      <c r="AE756" s="5"/>
    </row>
    <row r="757" spans="1:31" ht="15.75" customHeight="1">
      <c r="A757" s="5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5"/>
      <c r="T757" s="5"/>
      <c r="U757" s="5"/>
      <c r="V757" s="5"/>
      <c r="W757" s="5"/>
      <c r="X757" s="5"/>
      <c r="Y757" s="5"/>
      <c r="Z757" s="7"/>
      <c r="AA757" s="5"/>
      <c r="AB757" s="5"/>
      <c r="AC757" s="5"/>
      <c r="AD757" s="5"/>
      <c r="AE757" s="5"/>
    </row>
    <row r="758" spans="1:31" ht="15.75" customHeight="1">
      <c r="A758" s="5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5"/>
      <c r="T758" s="5"/>
      <c r="U758" s="5"/>
      <c r="V758" s="5"/>
      <c r="W758" s="5"/>
      <c r="X758" s="5"/>
      <c r="Y758" s="5"/>
      <c r="Z758" s="7"/>
      <c r="AA758" s="5"/>
      <c r="AB758" s="5"/>
      <c r="AC758" s="5"/>
      <c r="AD758" s="5"/>
      <c r="AE758" s="5"/>
    </row>
    <row r="759" spans="1:31" ht="15.75" customHeight="1">
      <c r="A759" s="5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5"/>
      <c r="T759" s="5"/>
      <c r="U759" s="5"/>
      <c r="V759" s="5"/>
      <c r="W759" s="5"/>
      <c r="X759" s="5"/>
      <c r="Y759" s="5"/>
      <c r="Z759" s="7"/>
      <c r="AA759" s="5"/>
      <c r="AB759" s="5"/>
      <c r="AC759" s="5"/>
      <c r="AD759" s="5"/>
      <c r="AE759" s="5"/>
    </row>
    <row r="760" spans="1:31" ht="15.75" customHeight="1">
      <c r="A760" s="5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5"/>
      <c r="T760" s="5"/>
      <c r="U760" s="5"/>
      <c r="V760" s="5"/>
      <c r="W760" s="5"/>
      <c r="X760" s="5"/>
      <c r="Y760" s="5"/>
      <c r="Z760" s="7"/>
      <c r="AA760" s="5"/>
      <c r="AB760" s="5"/>
      <c r="AC760" s="5"/>
      <c r="AD760" s="5"/>
      <c r="AE760" s="5"/>
    </row>
    <row r="761" spans="1:31" ht="15.75" customHeight="1">
      <c r="A761" s="5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5"/>
      <c r="T761" s="5"/>
      <c r="U761" s="5"/>
      <c r="V761" s="5"/>
      <c r="W761" s="5"/>
      <c r="X761" s="5"/>
      <c r="Y761" s="5"/>
      <c r="Z761" s="7"/>
      <c r="AA761" s="5"/>
      <c r="AB761" s="5"/>
      <c r="AC761" s="5"/>
      <c r="AD761" s="5"/>
      <c r="AE761" s="5"/>
    </row>
    <row r="762" spans="1:31" ht="15.75" customHeight="1">
      <c r="A762" s="5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5"/>
      <c r="T762" s="5"/>
      <c r="U762" s="5"/>
      <c r="V762" s="5"/>
      <c r="W762" s="5"/>
      <c r="X762" s="5"/>
      <c r="Y762" s="5"/>
      <c r="Z762" s="7"/>
      <c r="AA762" s="5"/>
      <c r="AB762" s="5"/>
      <c r="AC762" s="5"/>
      <c r="AD762" s="5"/>
      <c r="AE762" s="5"/>
    </row>
    <row r="763" spans="1:31" ht="15.75" customHeight="1">
      <c r="A763" s="5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5"/>
      <c r="T763" s="5"/>
      <c r="U763" s="5"/>
      <c r="V763" s="5"/>
      <c r="W763" s="5"/>
      <c r="X763" s="5"/>
      <c r="Y763" s="5"/>
      <c r="Z763" s="7"/>
      <c r="AA763" s="5"/>
      <c r="AB763" s="5"/>
      <c r="AC763" s="5"/>
      <c r="AD763" s="5"/>
      <c r="AE763" s="5"/>
    </row>
    <row r="764" spans="1:31" ht="15.75" customHeight="1">
      <c r="A764" s="5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5"/>
      <c r="T764" s="5"/>
      <c r="U764" s="5"/>
      <c r="V764" s="5"/>
      <c r="W764" s="5"/>
      <c r="X764" s="5"/>
      <c r="Y764" s="5"/>
      <c r="Z764" s="7"/>
      <c r="AA764" s="5"/>
      <c r="AB764" s="5"/>
      <c r="AC764" s="5"/>
      <c r="AD764" s="5"/>
      <c r="AE764" s="5"/>
    </row>
    <row r="765" spans="1:31" ht="15.75" customHeight="1">
      <c r="A765" s="5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5"/>
      <c r="T765" s="5"/>
      <c r="U765" s="5"/>
      <c r="V765" s="5"/>
      <c r="W765" s="5"/>
      <c r="X765" s="5"/>
      <c r="Y765" s="5"/>
      <c r="Z765" s="7"/>
      <c r="AA765" s="5"/>
      <c r="AB765" s="5"/>
      <c r="AC765" s="5"/>
      <c r="AD765" s="5"/>
      <c r="AE765" s="5"/>
    </row>
    <row r="766" spans="1:31" ht="15.75" customHeight="1">
      <c r="A766" s="5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5"/>
      <c r="T766" s="5"/>
      <c r="U766" s="5"/>
      <c r="V766" s="5"/>
      <c r="W766" s="5"/>
      <c r="X766" s="5"/>
      <c r="Y766" s="5"/>
      <c r="Z766" s="7"/>
      <c r="AA766" s="5"/>
      <c r="AB766" s="5"/>
      <c r="AC766" s="5"/>
      <c r="AD766" s="5"/>
      <c r="AE766" s="5"/>
    </row>
    <row r="767" spans="1:31" ht="15.75" customHeight="1">
      <c r="A767" s="5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5"/>
      <c r="T767" s="5"/>
      <c r="U767" s="5"/>
      <c r="V767" s="5"/>
      <c r="W767" s="5"/>
      <c r="X767" s="5"/>
      <c r="Y767" s="5"/>
      <c r="Z767" s="7"/>
      <c r="AA767" s="5"/>
      <c r="AB767" s="5"/>
      <c r="AC767" s="5"/>
      <c r="AD767" s="5"/>
      <c r="AE767" s="5"/>
    </row>
    <row r="768" spans="1:31" ht="15.75" customHeight="1">
      <c r="A768" s="5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5"/>
      <c r="T768" s="5"/>
      <c r="U768" s="5"/>
      <c r="V768" s="5"/>
      <c r="W768" s="5"/>
      <c r="X768" s="5"/>
      <c r="Y768" s="5"/>
      <c r="Z768" s="7"/>
      <c r="AA768" s="5"/>
      <c r="AB768" s="5"/>
      <c r="AC768" s="5"/>
      <c r="AD768" s="5"/>
      <c r="AE768" s="5"/>
    </row>
    <row r="769" spans="1:31" ht="15.75" customHeight="1">
      <c r="A769" s="5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5"/>
      <c r="T769" s="5"/>
      <c r="U769" s="5"/>
      <c r="V769" s="5"/>
      <c r="W769" s="5"/>
      <c r="X769" s="5"/>
      <c r="Y769" s="5"/>
      <c r="Z769" s="7"/>
      <c r="AA769" s="5"/>
      <c r="AB769" s="5"/>
      <c r="AC769" s="5"/>
      <c r="AD769" s="5"/>
      <c r="AE769" s="5"/>
    </row>
    <row r="770" spans="1:31" ht="15.75" customHeight="1">
      <c r="A770" s="5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5"/>
      <c r="T770" s="5"/>
      <c r="U770" s="5"/>
      <c r="V770" s="5"/>
      <c r="W770" s="5"/>
      <c r="X770" s="5"/>
      <c r="Y770" s="5"/>
      <c r="Z770" s="7"/>
      <c r="AA770" s="5"/>
      <c r="AB770" s="5"/>
      <c r="AC770" s="5"/>
      <c r="AD770" s="5"/>
      <c r="AE770" s="5"/>
    </row>
    <row r="771" spans="1:31" ht="15.75" customHeight="1">
      <c r="A771" s="5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5"/>
      <c r="T771" s="5"/>
      <c r="U771" s="5"/>
      <c r="V771" s="5"/>
      <c r="W771" s="5"/>
      <c r="X771" s="5"/>
      <c r="Y771" s="5"/>
      <c r="Z771" s="7"/>
      <c r="AA771" s="5"/>
      <c r="AB771" s="5"/>
      <c r="AC771" s="5"/>
      <c r="AD771" s="5"/>
      <c r="AE771" s="5"/>
    </row>
    <row r="772" spans="1:31" ht="15.75" customHeight="1">
      <c r="A772" s="5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5"/>
      <c r="T772" s="5"/>
      <c r="U772" s="5"/>
      <c r="V772" s="5"/>
      <c r="W772" s="5"/>
      <c r="X772" s="5"/>
      <c r="Y772" s="5"/>
      <c r="Z772" s="7"/>
      <c r="AA772" s="5"/>
      <c r="AB772" s="5"/>
      <c r="AC772" s="5"/>
      <c r="AD772" s="5"/>
      <c r="AE772" s="5"/>
    </row>
    <row r="773" spans="1:31" ht="15.75" customHeight="1">
      <c r="A773" s="5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5"/>
      <c r="T773" s="5"/>
      <c r="U773" s="5"/>
      <c r="V773" s="5"/>
      <c r="W773" s="5"/>
      <c r="X773" s="5"/>
      <c r="Y773" s="5"/>
      <c r="Z773" s="7"/>
      <c r="AA773" s="5"/>
      <c r="AB773" s="5"/>
      <c r="AC773" s="5"/>
      <c r="AD773" s="5"/>
      <c r="AE773" s="5"/>
    </row>
    <row r="774" spans="1:31" ht="15.75" customHeight="1">
      <c r="A774" s="5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5"/>
      <c r="T774" s="5"/>
      <c r="U774" s="5"/>
      <c r="V774" s="5"/>
      <c r="W774" s="5"/>
      <c r="X774" s="5"/>
      <c r="Y774" s="5"/>
      <c r="Z774" s="7"/>
      <c r="AA774" s="5"/>
      <c r="AB774" s="5"/>
      <c r="AC774" s="5"/>
      <c r="AD774" s="5"/>
      <c r="AE774" s="5"/>
    </row>
    <row r="775" spans="1:31" ht="15.75" customHeight="1">
      <c r="A775" s="5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5"/>
      <c r="T775" s="5"/>
      <c r="U775" s="5"/>
      <c r="V775" s="5"/>
      <c r="W775" s="5"/>
      <c r="X775" s="5"/>
      <c r="Y775" s="5"/>
      <c r="Z775" s="7"/>
      <c r="AA775" s="5"/>
      <c r="AB775" s="5"/>
      <c r="AC775" s="5"/>
      <c r="AD775" s="5"/>
      <c r="AE775" s="5"/>
    </row>
    <row r="776" spans="1:31" ht="15.75" customHeight="1">
      <c r="A776" s="5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5"/>
      <c r="T776" s="5"/>
      <c r="U776" s="5"/>
      <c r="V776" s="5"/>
      <c r="W776" s="5"/>
      <c r="X776" s="5"/>
      <c r="Y776" s="5"/>
      <c r="Z776" s="7"/>
      <c r="AA776" s="5"/>
      <c r="AB776" s="5"/>
      <c r="AC776" s="5"/>
      <c r="AD776" s="5"/>
      <c r="AE776" s="5"/>
    </row>
    <row r="777" spans="1:31" ht="15.75" customHeight="1">
      <c r="A777" s="5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5"/>
      <c r="T777" s="5"/>
      <c r="U777" s="5"/>
      <c r="V777" s="5"/>
      <c r="W777" s="5"/>
      <c r="X777" s="5"/>
      <c r="Y777" s="5"/>
      <c r="Z777" s="7"/>
      <c r="AA777" s="5"/>
      <c r="AB777" s="5"/>
      <c r="AC777" s="5"/>
      <c r="AD777" s="5"/>
      <c r="AE777" s="5"/>
    </row>
    <row r="778" spans="1:31" ht="15.75" customHeight="1">
      <c r="A778" s="5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5"/>
      <c r="T778" s="5"/>
      <c r="U778" s="5"/>
      <c r="V778" s="5"/>
      <c r="W778" s="5"/>
      <c r="X778" s="5"/>
      <c r="Y778" s="5"/>
      <c r="Z778" s="7"/>
      <c r="AA778" s="5"/>
      <c r="AB778" s="5"/>
      <c r="AC778" s="5"/>
      <c r="AD778" s="5"/>
      <c r="AE778" s="5"/>
    </row>
    <row r="779" spans="1:31" ht="15.75" customHeight="1">
      <c r="A779" s="5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5"/>
      <c r="T779" s="5"/>
      <c r="U779" s="5"/>
      <c r="V779" s="5"/>
      <c r="W779" s="5"/>
      <c r="X779" s="5"/>
      <c r="Y779" s="5"/>
      <c r="Z779" s="7"/>
      <c r="AA779" s="5"/>
      <c r="AB779" s="5"/>
      <c r="AC779" s="5"/>
      <c r="AD779" s="5"/>
      <c r="AE779" s="5"/>
    </row>
    <row r="780" spans="1:31" ht="15.75" customHeight="1">
      <c r="A780" s="5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5"/>
      <c r="T780" s="5"/>
      <c r="U780" s="5"/>
      <c r="V780" s="5"/>
      <c r="W780" s="5"/>
      <c r="X780" s="5"/>
      <c r="Y780" s="5"/>
      <c r="Z780" s="7"/>
      <c r="AA780" s="5"/>
      <c r="AB780" s="5"/>
      <c r="AC780" s="5"/>
      <c r="AD780" s="5"/>
      <c r="AE780" s="5"/>
    </row>
    <row r="781" spans="1:31" ht="15.75" customHeight="1">
      <c r="A781" s="5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5"/>
      <c r="T781" s="5"/>
      <c r="U781" s="5"/>
      <c r="V781" s="5"/>
      <c r="W781" s="5"/>
      <c r="X781" s="5"/>
      <c r="Y781" s="5"/>
      <c r="Z781" s="7"/>
      <c r="AA781" s="5"/>
      <c r="AB781" s="5"/>
      <c r="AC781" s="5"/>
      <c r="AD781" s="5"/>
      <c r="AE781" s="5"/>
    </row>
    <row r="782" spans="1:31" ht="15.75" customHeight="1">
      <c r="A782" s="5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5"/>
      <c r="T782" s="5"/>
      <c r="U782" s="5"/>
      <c r="V782" s="5"/>
      <c r="W782" s="5"/>
      <c r="X782" s="5"/>
      <c r="Y782" s="5"/>
      <c r="Z782" s="7"/>
      <c r="AA782" s="5"/>
      <c r="AB782" s="5"/>
      <c r="AC782" s="5"/>
      <c r="AD782" s="5"/>
      <c r="AE782" s="5"/>
    </row>
    <row r="783" spans="1:31" ht="15.75" customHeight="1">
      <c r="A783" s="5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5"/>
      <c r="T783" s="5"/>
      <c r="U783" s="5"/>
      <c r="V783" s="5"/>
      <c r="W783" s="5"/>
      <c r="X783" s="5"/>
      <c r="Y783" s="5"/>
      <c r="Z783" s="7"/>
      <c r="AA783" s="5"/>
      <c r="AB783" s="5"/>
      <c r="AC783" s="5"/>
      <c r="AD783" s="5"/>
      <c r="AE783" s="5"/>
    </row>
    <row r="784" spans="1:31" ht="15.75" customHeight="1">
      <c r="A784" s="5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5"/>
      <c r="T784" s="5"/>
      <c r="U784" s="5"/>
      <c r="V784" s="5"/>
      <c r="W784" s="5"/>
      <c r="X784" s="5"/>
      <c r="Y784" s="5"/>
      <c r="Z784" s="7"/>
      <c r="AA784" s="5"/>
      <c r="AB784" s="5"/>
      <c r="AC784" s="5"/>
      <c r="AD784" s="5"/>
      <c r="AE784" s="5"/>
    </row>
    <row r="785" spans="1:31" ht="15.75" customHeight="1">
      <c r="A785" s="5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5"/>
      <c r="T785" s="5"/>
      <c r="U785" s="5"/>
      <c r="V785" s="5"/>
      <c r="W785" s="5"/>
      <c r="X785" s="5"/>
      <c r="Y785" s="5"/>
      <c r="Z785" s="7"/>
      <c r="AA785" s="5"/>
      <c r="AB785" s="5"/>
      <c r="AC785" s="5"/>
      <c r="AD785" s="5"/>
      <c r="AE785" s="5"/>
    </row>
    <row r="786" spans="1:31" ht="15.75" customHeight="1">
      <c r="A786" s="5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5"/>
      <c r="T786" s="5"/>
      <c r="U786" s="5"/>
      <c r="V786" s="5"/>
      <c r="W786" s="5"/>
      <c r="X786" s="5"/>
      <c r="Y786" s="5"/>
      <c r="Z786" s="7"/>
      <c r="AA786" s="5"/>
      <c r="AB786" s="5"/>
      <c r="AC786" s="5"/>
      <c r="AD786" s="5"/>
      <c r="AE786" s="5"/>
    </row>
    <row r="787" spans="1:31" ht="15.75" customHeight="1">
      <c r="A787" s="5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5"/>
      <c r="T787" s="5"/>
      <c r="U787" s="5"/>
      <c r="V787" s="5"/>
      <c r="W787" s="5"/>
      <c r="X787" s="5"/>
      <c r="Y787" s="5"/>
      <c r="Z787" s="7"/>
      <c r="AA787" s="5"/>
      <c r="AB787" s="5"/>
      <c r="AC787" s="5"/>
      <c r="AD787" s="5"/>
      <c r="AE787" s="5"/>
    </row>
    <row r="788" spans="1:31" ht="15.75" customHeight="1">
      <c r="A788" s="5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5"/>
      <c r="T788" s="5"/>
      <c r="U788" s="5"/>
      <c r="V788" s="5"/>
      <c r="W788" s="5"/>
      <c r="X788" s="5"/>
      <c r="Y788" s="5"/>
      <c r="Z788" s="7"/>
      <c r="AA788" s="5"/>
      <c r="AB788" s="5"/>
      <c r="AC788" s="5"/>
      <c r="AD788" s="5"/>
      <c r="AE788" s="5"/>
    </row>
    <row r="789" spans="1:31" ht="15.75" customHeight="1">
      <c r="A789" s="5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5"/>
      <c r="T789" s="5"/>
      <c r="U789" s="5"/>
      <c r="V789" s="5"/>
      <c r="W789" s="5"/>
      <c r="X789" s="5"/>
      <c r="Y789" s="5"/>
      <c r="Z789" s="7"/>
      <c r="AA789" s="5"/>
      <c r="AB789" s="5"/>
      <c r="AC789" s="5"/>
      <c r="AD789" s="5"/>
      <c r="AE789" s="5"/>
    </row>
    <row r="790" spans="1:31" ht="15.75" customHeight="1">
      <c r="A790" s="5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5"/>
      <c r="T790" s="5"/>
      <c r="U790" s="5"/>
      <c r="V790" s="5"/>
      <c r="W790" s="5"/>
      <c r="X790" s="5"/>
      <c r="Y790" s="5"/>
      <c r="Z790" s="7"/>
      <c r="AA790" s="5"/>
      <c r="AB790" s="5"/>
      <c r="AC790" s="5"/>
      <c r="AD790" s="5"/>
      <c r="AE790" s="5"/>
    </row>
    <row r="791" spans="1:31" ht="15.75" customHeight="1">
      <c r="A791" s="5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5"/>
      <c r="T791" s="5"/>
      <c r="U791" s="5"/>
      <c r="V791" s="5"/>
      <c r="W791" s="5"/>
      <c r="X791" s="5"/>
      <c r="Y791" s="5"/>
      <c r="Z791" s="7"/>
      <c r="AA791" s="5"/>
      <c r="AB791" s="5"/>
      <c r="AC791" s="5"/>
      <c r="AD791" s="5"/>
      <c r="AE791" s="5"/>
    </row>
    <row r="792" spans="1:31" ht="15.75" customHeight="1">
      <c r="A792" s="5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5"/>
      <c r="T792" s="5"/>
      <c r="U792" s="5"/>
      <c r="V792" s="5"/>
      <c r="W792" s="5"/>
      <c r="X792" s="5"/>
      <c r="Y792" s="5"/>
      <c r="Z792" s="7"/>
      <c r="AA792" s="5"/>
      <c r="AB792" s="5"/>
      <c r="AC792" s="5"/>
      <c r="AD792" s="5"/>
      <c r="AE792" s="5"/>
    </row>
    <row r="793" spans="1:31" ht="15.75" customHeight="1">
      <c r="A793" s="5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5"/>
      <c r="T793" s="5"/>
      <c r="U793" s="5"/>
      <c r="V793" s="5"/>
      <c r="W793" s="5"/>
      <c r="X793" s="5"/>
      <c r="Y793" s="5"/>
      <c r="Z793" s="7"/>
      <c r="AA793" s="5"/>
      <c r="AB793" s="5"/>
      <c r="AC793" s="5"/>
      <c r="AD793" s="5"/>
      <c r="AE793" s="5"/>
    </row>
    <row r="794" spans="1:31" ht="15.75" customHeight="1">
      <c r="A794" s="5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5"/>
      <c r="T794" s="5"/>
      <c r="U794" s="5"/>
      <c r="V794" s="5"/>
      <c r="W794" s="5"/>
      <c r="X794" s="5"/>
      <c r="Y794" s="5"/>
      <c r="Z794" s="7"/>
      <c r="AA794" s="5"/>
      <c r="AB794" s="5"/>
      <c r="AC794" s="5"/>
      <c r="AD794" s="5"/>
      <c r="AE794" s="5"/>
    </row>
    <row r="795" spans="1:31" ht="15.75" customHeight="1">
      <c r="A795" s="5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5"/>
      <c r="T795" s="5"/>
      <c r="U795" s="5"/>
      <c r="V795" s="5"/>
      <c r="W795" s="5"/>
      <c r="X795" s="5"/>
      <c r="Y795" s="5"/>
      <c r="Z795" s="7"/>
      <c r="AA795" s="5"/>
      <c r="AB795" s="5"/>
      <c r="AC795" s="5"/>
      <c r="AD795" s="5"/>
      <c r="AE795" s="5"/>
    </row>
    <row r="796" spans="1:31" ht="15.75" customHeight="1">
      <c r="A796" s="5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5"/>
      <c r="T796" s="5"/>
      <c r="U796" s="5"/>
      <c r="V796" s="5"/>
      <c r="W796" s="5"/>
      <c r="X796" s="5"/>
      <c r="Y796" s="5"/>
      <c r="Z796" s="7"/>
      <c r="AA796" s="5"/>
      <c r="AB796" s="5"/>
      <c r="AC796" s="5"/>
      <c r="AD796" s="5"/>
      <c r="AE796" s="5"/>
    </row>
    <row r="797" spans="1:31" ht="15.75" customHeight="1">
      <c r="A797" s="5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5"/>
      <c r="T797" s="5"/>
      <c r="U797" s="5"/>
      <c r="V797" s="5"/>
      <c r="W797" s="5"/>
      <c r="X797" s="5"/>
      <c r="Y797" s="5"/>
      <c r="Z797" s="7"/>
      <c r="AA797" s="5"/>
      <c r="AB797" s="5"/>
      <c r="AC797" s="5"/>
      <c r="AD797" s="5"/>
      <c r="AE797" s="5"/>
    </row>
    <row r="798" spans="1:31" ht="15.75" customHeight="1">
      <c r="A798" s="5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5"/>
      <c r="T798" s="5"/>
      <c r="U798" s="5"/>
      <c r="V798" s="5"/>
      <c r="W798" s="5"/>
      <c r="X798" s="5"/>
      <c r="Y798" s="5"/>
      <c r="Z798" s="7"/>
      <c r="AA798" s="5"/>
      <c r="AB798" s="5"/>
      <c r="AC798" s="5"/>
      <c r="AD798" s="5"/>
      <c r="AE798" s="5"/>
    </row>
    <row r="799" spans="1:31" ht="15.75" customHeight="1">
      <c r="A799" s="5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5"/>
      <c r="T799" s="5"/>
      <c r="U799" s="5"/>
      <c r="V799" s="5"/>
      <c r="W799" s="5"/>
      <c r="X799" s="5"/>
      <c r="Y799" s="5"/>
      <c r="Z799" s="7"/>
      <c r="AA799" s="5"/>
      <c r="AB799" s="5"/>
      <c r="AC799" s="5"/>
      <c r="AD799" s="5"/>
      <c r="AE799" s="5"/>
    </row>
    <row r="800" spans="1:31" ht="15.75" customHeight="1">
      <c r="A800" s="5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5"/>
      <c r="T800" s="5"/>
      <c r="U800" s="5"/>
      <c r="V800" s="5"/>
      <c r="W800" s="5"/>
      <c r="X800" s="5"/>
      <c r="Y800" s="5"/>
      <c r="Z800" s="7"/>
      <c r="AA800" s="5"/>
      <c r="AB800" s="5"/>
      <c r="AC800" s="5"/>
      <c r="AD800" s="5"/>
      <c r="AE800" s="5"/>
    </row>
    <row r="801" spans="1:31" ht="15.75" customHeight="1">
      <c r="A801" s="5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5"/>
      <c r="T801" s="5"/>
      <c r="U801" s="5"/>
      <c r="V801" s="5"/>
      <c r="W801" s="5"/>
      <c r="X801" s="5"/>
      <c r="Y801" s="5"/>
      <c r="Z801" s="7"/>
      <c r="AA801" s="5"/>
      <c r="AB801" s="5"/>
      <c r="AC801" s="5"/>
      <c r="AD801" s="5"/>
      <c r="AE801" s="5"/>
    </row>
    <row r="802" spans="1:31" ht="15.75" customHeight="1">
      <c r="A802" s="5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5"/>
      <c r="T802" s="5"/>
      <c r="U802" s="5"/>
      <c r="V802" s="5"/>
      <c r="W802" s="5"/>
      <c r="X802" s="5"/>
      <c r="Y802" s="5"/>
      <c r="Z802" s="7"/>
      <c r="AA802" s="5"/>
      <c r="AB802" s="5"/>
      <c r="AC802" s="5"/>
      <c r="AD802" s="5"/>
      <c r="AE802" s="5"/>
    </row>
    <row r="803" spans="1:31" ht="15.75" customHeight="1">
      <c r="A803" s="5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5"/>
      <c r="T803" s="5"/>
      <c r="U803" s="5"/>
      <c r="V803" s="5"/>
      <c r="W803" s="5"/>
      <c r="X803" s="5"/>
      <c r="Y803" s="5"/>
      <c r="Z803" s="7"/>
      <c r="AA803" s="5"/>
      <c r="AB803" s="5"/>
      <c r="AC803" s="5"/>
      <c r="AD803" s="5"/>
      <c r="AE803" s="5"/>
    </row>
    <row r="804" spans="1:31" ht="15.75" customHeight="1">
      <c r="A804" s="5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5"/>
      <c r="T804" s="5"/>
      <c r="U804" s="5"/>
      <c r="V804" s="5"/>
      <c r="W804" s="5"/>
      <c r="X804" s="5"/>
      <c r="Y804" s="5"/>
      <c r="Z804" s="7"/>
      <c r="AA804" s="5"/>
      <c r="AB804" s="5"/>
      <c r="AC804" s="5"/>
      <c r="AD804" s="5"/>
      <c r="AE804" s="5"/>
    </row>
    <row r="805" spans="1:31" ht="15.75" customHeight="1">
      <c r="A805" s="5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5"/>
      <c r="T805" s="5"/>
      <c r="U805" s="5"/>
      <c r="V805" s="5"/>
      <c r="W805" s="5"/>
      <c r="X805" s="5"/>
      <c r="Y805" s="5"/>
      <c r="Z805" s="7"/>
      <c r="AA805" s="5"/>
      <c r="AB805" s="5"/>
      <c r="AC805" s="5"/>
      <c r="AD805" s="5"/>
      <c r="AE805" s="5"/>
    </row>
    <row r="806" spans="1:31" ht="15.75" customHeight="1">
      <c r="A806" s="5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5"/>
      <c r="T806" s="5"/>
      <c r="U806" s="5"/>
      <c r="V806" s="5"/>
      <c r="W806" s="5"/>
      <c r="X806" s="5"/>
      <c r="Y806" s="5"/>
      <c r="Z806" s="7"/>
      <c r="AA806" s="5"/>
      <c r="AB806" s="5"/>
      <c r="AC806" s="5"/>
      <c r="AD806" s="5"/>
      <c r="AE806" s="5"/>
    </row>
    <row r="807" spans="1:31" ht="15.75" customHeight="1">
      <c r="A807" s="5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5"/>
      <c r="T807" s="5"/>
      <c r="U807" s="5"/>
      <c r="V807" s="5"/>
      <c r="W807" s="5"/>
      <c r="X807" s="5"/>
      <c r="Y807" s="5"/>
      <c r="Z807" s="7"/>
      <c r="AA807" s="5"/>
      <c r="AB807" s="5"/>
      <c r="AC807" s="5"/>
      <c r="AD807" s="5"/>
      <c r="AE807" s="5"/>
    </row>
    <row r="808" spans="1:31" ht="15.75" customHeight="1">
      <c r="A808" s="5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5"/>
      <c r="T808" s="5"/>
      <c r="U808" s="5"/>
      <c r="V808" s="5"/>
      <c r="W808" s="5"/>
      <c r="X808" s="5"/>
      <c r="Y808" s="5"/>
      <c r="Z808" s="7"/>
      <c r="AA808" s="5"/>
      <c r="AB808" s="5"/>
      <c r="AC808" s="5"/>
      <c r="AD808" s="5"/>
      <c r="AE808" s="5"/>
    </row>
    <row r="809" spans="1:31" ht="15.75" customHeight="1">
      <c r="A809" s="5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5"/>
      <c r="T809" s="5"/>
      <c r="U809" s="5"/>
      <c r="V809" s="5"/>
      <c r="W809" s="5"/>
      <c r="X809" s="5"/>
      <c r="Y809" s="5"/>
      <c r="Z809" s="7"/>
      <c r="AA809" s="5"/>
      <c r="AB809" s="5"/>
      <c r="AC809" s="5"/>
      <c r="AD809" s="5"/>
      <c r="AE809" s="5"/>
    </row>
    <row r="810" spans="1:31" ht="15.75" customHeight="1">
      <c r="A810" s="5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5"/>
      <c r="T810" s="5"/>
      <c r="U810" s="5"/>
      <c r="V810" s="5"/>
      <c r="W810" s="5"/>
      <c r="X810" s="5"/>
      <c r="Y810" s="5"/>
      <c r="Z810" s="7"/>
      <c r="AA810" s="5"/>
      <c r="AB810" s="5"/>
      <c r="AC810" s="5"/>
      <c r="AD810" s="5"/>
      <c r="AE810" s="5"/>
    </row>
    <row r="811" spans="1:31" ht="15.75" customHeight="1">
      <c r="A811" s="5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5"/>
      <c r="T811" s="5"/>
      <c r="U811" s="5"/>
      <c r="V811" s="5"/>
      <c r="W811" s="5"/>
      <c r="X811" s="5"/>
      <c r="Y811" s="5"/>
      <c r="Z811" s="7"/>
      <c r="AA811" s="5"/>
      <c r="AB811" s="5"/>
      <c r="AC811" s="5"/>
      <c r="AD811" s="5"/>
      <c r="AE811" s="5"/>
    </row>
    <row r="812" spans="1:31" ht="15.75" customHeight="1">
      <c r="A812" s="5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5"/>
      <c r="T812" s="5"/>
      <c r="U812" s="5"/>
      <c r="V812" s="5"/>
      <c r="W812" s="5"/>
      <c r="X812" s="5"/>
      <c r="Y812" s="5"/>
      <c r="Z812" s="7"/>
      <c r="AA812" s="5"/>
      <c r="AB812" s="5"/>
      <c r="AC812" s="5"/>
      <c r="AD812" s="5"/>
      <c r="AE812" s="5"/>
    </row>
    <row r="813" spans="1:31" ht="15.75" customHeight="1">
      <c r="A813" s="5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5"/>
      <c r="T813" s="5"/>
      <c r="U813" s="5"/>
      <c r="V813" s="5"/>
      <c r="W813" s="5"/>
      <c r="X813" s="5"/>
      <c r="Y813" s="5"/>
      <c r="Z813" s="7"/>
      <c r="AA813" s="5"/>
      <c r="AB813" s="5"/>
      <c r="AC813" s="5"/>
      <c r="AD813" s="5"/>
      <c r="AE813" s="5"/>
    </row>
    <row r="814" spans="1:31" ht="15.75" customHeight="1">
      <c r="A814" s="5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5"/>
      <c r="T814" s="5"/>
      <c r="U814" s="5"/>
      <c r="V814" s="5"/>
      <c r="W814" s="5"/>
      <c r="X814" s="5"/>
      <c r="Y814" s="5"/>
      <c r="Z814" s="7"/>
      <c r="AA814" s="5"/>
      <c r="AB814" s="5"/>
      <c r="AC814" s="5"/>
      <c r="AD814" s="5"/>
      <c r="AE814" s="5"/>
    </row>
    <row r="815" spans="1:31" ht="15.75" customHeight="1">
      <c r="A815" s="5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5"/>
      <c r="T815" s="5"/>
      <c r="U815" s="5"/>
      <c r="V815" s="5"/>
      <c r="W815" s="5"/>
      <c r="X815" s="5"/>
      <c r="Y815" s="5"/>
      <c r="Z815" s="7"/>
      <c r="AA815" s="5"/>
      <c r="AB815" s="5"/>
      <c r="AC815" s="5"/>
      <c r="AD815" s="5"/>
      <c r="AE815" s="5"/>
    </row>
    <row r="816" spans="1:31" ht="15.75" customHeight="1">
      <c r="A816" s="5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5"/>
      <c r="T816" s="5"/>
      <c r="U816" s="5"/>
      <c r="V816" s="5"/>
      <c r="W816" s="5"/>
      <c r="X816" s="5"/>
      <c r="Y816" s="5"/>
      <c r="Z816" s="7"/>
      <c r="AA816" s="5"/>
      <c r="AB816" s="5"/>
      <c r="AC816" s="5"/>
      <c r="AD816" s="5"/>
      <c r="AE816" s="5"/>
    </row>
    <row r="817" spans="1:31" ht="15.75" customHeight="1">
      <c r="A817" s="5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5"/>
      <c r="T817" s="5"/>
      <c r="U817" s="5"/>
      <c r="V817" s="5"/>
      <c r="W817" s="5"/>
      <c r="X817" s="5"/>
      <c r="Y817" s="5"/>
      <c r="Z817" s="7"/>
      <c r="AA817" s="5"/>
      <c r="AB817" s="5"/>
      <c r="AC817" s="5"/>
      <c r="AD817" s="5"/>
      <c r="AE817" s="5"/>
    </row>
    <row r="818" spans="1:31" ht="15.75" customHeight="1">
      <c r="A818" s="5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5"/>
      <c r="T818" s="5"/>
      <c r="U818" s="5"/>
      <c r="V818" s="5"/>
      <c r="W818" s="5"/>
      <c r="X818" s="5"/>
      <c r="Y818" s="5"/>
      <c r="Z818" s="7"/>
      <c r="AA818" s="5"/>
      <c r="AB818" s="5"/>
      <c r="AC818" s="5"/>
      <c r="AD818" s="5"/>
      <c r="AE818" s="5"/>
    </row>
    <row r="819" spans="1:31" ht="15.75" customHeight="1">
      <c r="A819" s="5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5"/>
      <c r="T819" s="5"/>
      <c r="U819" s="5"/>
      <c r="V819" s="5"/>
      <c r="W819" s="5"/>
      <c r="X819" s="5"/>
      <c r="Y819" s="5"/>
      <c r="Z819" s="7"/>
      <c r="AA819" s="5"/>
      <c r="AB819" s="5"/>
      <c r="AC819" s="5"/>
      <c r="AD819" s="5"/>
      <c r="AE819" s="5"/>
    </row>
    <row r="820" spans="1:31" ht="15.75" customHeight="1">
      <c r="A820" s="5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5"/>
      <c r="T820" s="5"/>
      <c r="U820" s="5"/>
      <c r="V820" s="5"/>
      <c r="W820" s="5"/>
      <c r="X820" s="5"/>
      <c r="Y820" s="5"/>
      <c r="Z820" s="7"/>
      <c r="AA820" s="5"/>
      <c r="AB820" s="5"/>
      <c r="AC820" s="5"/>
      <c r="AD820" s="5"/>
      <c r="AE820" s="5"/>
    </row>
    <row r="821" spans="1:31" ht="15.75" customHeight="1">
      <c r="A821" s="5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5"/>
      <c r="T821" s="5"/>
      <c r="U821" s="5"/>
      <c r="V821" s="5"/>
      <c r="W821" s="5"/>
      <c r="X821" s="5"/>
      <c r="Y821" s="5"/>
      <c r="Z821" s="7"/>
      <c r="AA821" s="5"/>
      <c r="AB821" s="5"/>
      <c r="AC821" s="5"/>
      <c r="AD821" s="5"/>
      <c r="AE821" s="5"/>
    </row>
    <row r="822" spans="1:31" ht="15.75" customHeight="1">
      <c r="A822" s="5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5"/>
      <c r="T822" s="5"/>
      <c r="U822" s="5"/>
      <c r="V822" s="5"/>
      <c r="W822" s="5"/>
      <c r="X822" s="5"/>
      <c r="Y822" s="5"/>
      <c r="Z822" s="7"/>
      <c r="AA822" s="5"/>
      <c r="AB822" s="5"/>
      <c r="AC822" s="5"/>
      <c r="AD822" s="5"/>
      <c r="AE822" s="5"/>
    </row>
    <row r="823" spans="1:31" ht="15.75" customHeight="1">
      <c r="A823" s="5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5"/>
      <c r="T823" s="5"/>
      <c r="U823" s="5"/>
      <c r="V823" s="5"/>
      <c r="W823" s="5"/>
      <c r="X823" s="5"/>
      <c r="Y823" s="5"/>
      <c r="Z823" s="7"/>
      <c r="AA823" s="5"/>
      <c r="AB823" s="5"/>
      <c r="AC823" s="5"/>
      <c r="AD823" s="5"/>
      <c r="AE823" s="5"/>
    </row>
    <row r="824" spans="1:31" ht="15.75" customHeight="1">
      <c r="A824" s="5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5"/>
      <c r="T824" s="5"/>
      <c r="U824" s="5"/>
      <c r="V824" s="5"/>
      <c r="W824" s="5"/>
      <c r="X824" s="5"/>
      <c r="Y824" s="5"/>
      <c r="Z824" s="7"/>
      <c r="AA824" s="5"/>
      <c r="AB824" s="5"/>
      <c r="AC824" s="5"/>
      <c r="AD824" s="5"/>
      <c r="AE824" s="5"/>
    </row>
    <row r="825" spans="1:31" ht="15.75" customHeight="1">
      <c r="A825" s="5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5"/>
      <c r="T825" s="5"/>
      <c r="U825" s="5"/>
      <c r="V825" s="5"/>
      <c r="W825" s="5"/>
      <c r="X825" s="5"/>
      <c r="Y825" s="5"/>
      <c r="Z825" s="7"/>
      <c r="AA825" s="5"/>
      <c r="AB825" s="5"/>
      <c r="AC825" s="5"/>
      <c r="AD825" s="5"/>
      <c r="AE825" s="5"/>
    </row>
    <row r="826" spans="1:31" ht="15.75" customHeight="1">
      <c r="A826" s="5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5"/>
      <c r="T826" s="5"/>
      <c r="U826" s="5"/>
      <c r="V826" s="5"/>
      <c r="W826" s="5"/>
      <c r="X826" s="5"/>
      <c r="Y826" s="5"/>
      <c r="Z826" s="7"/>
      <c r="AA826" s="5"/>
      <c r="AB826" s="5"/>
      <c r="AC826" s="5"/>
      <c r="AD826" s="5"/>
      <c r="AE826" s="5"/>
    </row>
    <row r="827" spans="1:31" ht="15.75" customHeight="1">
      <c r="A827" s="5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5"/>
      <c r="T827" s="5"/>
      <c r="U827" s="5"/>
      <c r="V827" s="5"/>
      <c r="W827" s="5"/>
      <c r="X827" s="5"/>
      <c r="Y827" s="5"/>
      <c r="Z827" s="7"/>
      <c r="AA827" s="5"/>
      <c r="AB827" s="5"/>
      <c r="AC827" s="5"/>
      <c r="AD827" s="5"/>
      <c r="AE827" s="5"/>
    </row>
    <row r="828" spans="1:31" ht="15.75" customHeight="1">
      <c r="A828" s="5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5"/>
      <c r="T828" s="5"/>
      <c r="U828" s="5"/>
      <c r="V828" s="5"/>
      <c r="W828" s="5"/>
      <c r="X828" s="5"/>
      <c r="Y828" s="5"/>
      <c r="Z828" s="7"/>
      <c r="AA828" s="5"/>
      <c r="AB828" s="5"/>
      <c r="AC828" s="5"/>
      <c r="AD828" s="5"/>
      <c r="AE828" s="5"/>
    </row>
    <row r="829" spans="1:31" ht="15.75" customHeight="1">
      <c r="A829" s="5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5"/>
      <c r="T829" s="5"/>
      <c r="U829" s="5"/>
      <c r="V829" s="5"/>
      <c r="W829" s="5"/>
      <c r="X829" s="5"/>
      <c r="Y829" s="5"/>
      <c r="Z829" s="7"/>
      <c r="AA829" s="5"/>
      <c r="AB829" s="5"/>
      <c r="AC829" s="5"/>
      <c r="AD829" s="5"/>
      <c r="AE829" s="5"/>
    </row>
    <row r="830" spans="1:31" ht="15.75" customHeight="1">
      <c r="A830" s="5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5"/>
      <c r="T830" s="5"/>
      <c r="U830" s="5"/>
      <c r="V830" s="5"/>
      <c r="W830" s="5"/>
      <c r="X830" s="5"/>
      <c r="Y830" s="5"/>
      <c r="Z830" s="7"/>
      <c r="AA830" s="5"/>
      <c r="AB830" s="5"/>
      <c r="AC830" s="5"/>
      <c r="AD830" s="5"/>
      <c r="AE830" s="5"/>
    </row>
    <row r="831" spans="1:31" ht="15.75" customHeight="1">
      <c r="A831" s="5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5"/>
      <c r="T831" s="5"/>
      <c r="U831" s="5"/>
      <c r="V831" s="5"/>
      <c r="W831" s="5"/>
      <c r="X831" s="5"/>
      <c r="Y831" s="5"/>
      <c r="Z831" s="7"/>
      <c r="AA831" s="5"/>
      <c r="AB831" s="5"/>
      <c r="AC831" s="5"/>
      <c r="AD831" s="5"/>
      <c r="AE831" s="5"/>
    </row>
    <row r="832" spans="1:31" ht="15.75" customHeight="1">
      <c r="A832" s="5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5"/>
      <c r="T832" s="5"/>
      <c r="U832" s="5"/>
      <c r="V832" s="5"/>
      <c r="W832" s="5"/>
      <c r="X832" s="5"/>
      <c r="Y832" s="5"/>
      <c r="Z832" s="7"/>
      <c r="AA832" s="5"/>
      <c r="AB832" s="5"/>
      <c r="AC832" s="5"/>
      <c r="AD832" s="5"/>
      <c r="AE832" s="5"/>
    </row>
    <row r="833" spans="1:31" ht="15.75" customHeight="1">
      <c r="A833" s="5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5"/>
      <c r="T833" s="5"/>
      <c r="U833" s="5"/>
      <c r="V833" s="5"/>
      <c r="W833" s="5"/>
      <c r="X833" s="5"/>
      <c r="Y833" s="5"/>
      <c r="Z833" s="7"/>
      <c r="AA833" s="5"/>
      <c r="AB833" s="5"/>
      <c r="AC833" s="5"/>
      <c r="AD833" s="5"/>
      <c r="AE833" s="5"/>
    </row>
    <row r="834" spans="1:31" ht="15.75" customHeight="1">
      <c r="A834" s="5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5"/>
      <c r="T834" s="5"/>
      <c r="U834" s="5"/>
      <c r="V834" s="5"/>
      <c r="W834" s="5"/>
      <c r="X834" s="5"/>
      <c r="Y834" s="5"/>
      <c r="Z834" s="7"/>
      <c r="AA834" s="5"/>
      <c r="AB834" s="5"/>
      <c r="AC834" s="5"/>
      <c r="AD834" s="5"/>
      <c r="AE834" s="5"/>
    </row>
    <row r="835" spans="1:31" ht="15.75" customHeight="1">
      <c r="A835" s="5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5"/>
      <c r="T835" s="5"/>
      <c r="U835" s="5"/>
      <c r="V835" s="5"/>
      <c r="W835" s="5"/>
      <c r="X835" s="5"/>
      <c r="Y835" s="5"/>
      <c r="Z835" s="7"/>
      <c r="AA835" s="5"/>
      <c r="AB835" s="5"/>
      <c r="AC835" s="5"/>
      <c r="AD835" s="5"/>
      <c r="AE835" s="5"/>
    </row>
    <row r="836" spans="1:31" ht="15.75" customHeight="1">
      <c r="A836" s="5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5"/>
      <c r="T836" s="5"/>
      <c r="U836" s="5"/>
      <c r="V836" s="5"/>
      <c r="W836" s="5"/>
      <c r="X836" s="5"/>
      <c r="Y836" s="5"/>
      <c r="Z836" s="7"/>
      <c r="AA836" s="5"/>
      <c r="AB836" s="5"/>
      <c r="AC836" s="5"/>
      <c r="AD836" s="5"/>
      <c r="AE836" s="5"/>
    </row>
    <row r="837" spans="1:31" ht="15.75" customHeight="1">
      <c r="A837" s="5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5"/>
      <c r="T837" s="5"/>
      <c r="U837" s="5"/>
      <c r="V837" s="5"/>
      <c r="W837" s="5"/>
      <c r="X837" s="5"/>
      <c r="Y837" s="5"/>
      <c r="Z837" s="7"/>
      <c r="AA837" s="5"/>
      <c r="AB837" s="5"/>
      <c r="AC837" s="5"/>
      <c r="AD837" s="5"/>
      <c r="AE837" s="5"/>
    </row>
    <row r="838" spans="1:31" ht="15.75" customHeight="1">
      <c r="A838" s="5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5"/>
      <c r="T838" s="5"/>
      <c r="U838" s="5"/>
      <c r="V838" s="5"/>
      <c r="W838" s="5"/>
      <c r="X838" s="5"/>
      <c r="Y838" s="5"/>
      <c r="Z838" s="7"/>
      <c r="AA838" s="5"/>
      <c r="AB838" s="5"/>
      <c r="AC838" s="5"/>
      <c r="AD838" s="5"/>
      <c r="AE838" s="5"/>
    </row>
    <row r="839" spans="1:31" ht="15.75" customHeight="1">
      <c r="A839" s="5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5"/>
      <c r="T839" s="5"/>
      <c r="U839" s="5"/>
      <c r="V839" s="5"/>
      <c r="W839" s="5"/>
      <c r="X839" s="5"/>
      <c r="Y839" s="5"/>
      <c r="Z839" s="7"/>
      <c r="AA839" s="5"/>
      <c r="AB839" s="5"/>
      <c r="AC839" s="5"/>
      <c r="AD839" s="5"/>
      <c r="AE839" s="5"/>
    </row>
    <row r="840" spans="1:31" ht="15.75" customHeight="1">
      <c r="A840" s="5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5"/>
      <c r="T840" s="5"/>
      <c r="U840" s="5"/>
      <c r="V840" s="5"/>
      <c r="W840" s="5"/>
      <c r="X840" s="5"/>
      <c r="Y840" s="5"/>
      <c r="Z840" s="7"/>
      <c r="AA840" s="5"/>
      <c r="AB840" s="5"/>
      <c r="AC840" s="5"/>
      <c r="AD840" s="5"/>
      <c r="AE840" s="5"/>
    </row>
    <row r="841" spans="1:31" ht="15.75" customHeight="1">
      <c r="A841" s="5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5"/>
      <c r="T841" s="5"/>
      <c r="U841" s="5"/>
      <c r="V841" s="5"/>
      <c r="W841" s="5"/>
      <c r="X841" s="5"/>
      <c r="Y841" s="5"/>
      <c r="Z841" s="7"/>
      <c r="AA841" s="5"/>
      <c r="AB841" s="5"/>
      <c r="AC841" s="5"/>
      <c r="AD841" s="5"/>
      <c r="AE841" s="5"/>
    </row>
    <row r="842" spans="1:31" ht="15.75" customHeight="1">
      <c r="A842" s="5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5"/>
      <c r="T842" s="5"/>
      <c r="U842" s="5"/>
      <c r="V842" s="5"/>
      <c r="W842" s="5"/>
      <c r="X842" s="5"/>
      <c r="Y842" s="5"/>
      <c r="Z842" s="7"/>
      <c r="AA842" s="5"/>
      <c r="AB842" s="5"/>
      <c r="AC842" s="5"/>
      <c r="AD842" s="5"/>
      <c r="AE842" s="5"/>
    </row>
    <row r="843" spans="1:31" ht="15.75" customHeight="1">
      <c r="A843" s="5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5"/>
      <c r="T843" s="5"/>
      <c r="U843" s="5"/>
      <c r="V843" s="5"/>
      <c r="W843" s="5"/>
      <c r="X843" s="5"/>
      <c r="Y843" s="5"/>
      <c r="Z843" s="7"/>
      <c r="AA843" s="5"/>
      <c r="AB843" s="5"/>
      <c r="AC843" s="5"/>
      <c r="AD843" s="5"/>
      <c r="AE843" s="5"/>
    </row>
    <row r="844" spans="1:31" ht="15.75" customHeight="1">
      <c r="A844" s="5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5"/>
      <c r="T844" s="5"/>
      <c r="U844" s="5"/>
      <c r="V844" s="5"/>
      <c r="W844" s="5"/>
      <c r="X844" s="5"/>
      <c r="Y844" s="5"/>
      <c r="Z844" s="7"/>
      <c r="AA844" s="5"/>
      <c r="AB844" s="5"/>
      <c r="AC844" s="5"/>
      <c r="AD844" s="5"/>
      <c r="AE844" s="5"/>
    </row>
    <row r="845" spans="1:31" ht="15.75" customHeight="1">
      <c r="A845" s="5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5"/>
      <c r="T845" s="5"/>
      <c r="U845" s="5"/>
      <c r="V845" s="5"/>
      <c r="W845" s="5"/>
      <c r="X845" s="5"/>
      <c r="Y845" s="5"/>
      <c r="Z845" s="7"/>
      <c r="AA845" s="5"/>
      <c r="AB845" s="5"/>
      <c r="AC845" s="5"/>
      <c r="AD845" s="5"/>
      <c r="AE845" s="5"/>
    </row>
    <row r="846" spans="1:31" ht="15.75" customHeight="1">
      <c r="A846" s="5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5"/>
      <c r="T846" s="5"/>
      <c r="U846" s="5"/>
      <c r="V846" s="5"/>
      <c r="W846" s="5"/>
      <c r="X846" s="5"/>
      <c r="Y846" s="5"/>
      <c r="Z846" s="7"/>
      <c r="AA846" s="5"/>
      <c r="AB846" s="5"/>
      <c r="AC846" s="5"/>
      <c r="AD846" s="5"/>
      <c r="AE846" s="5"/>
    </row>
    <row r="847" spans="1:31" ht="15.75" customHeight="1">
      <c r="A847" s="5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5"/>
      <c r="T847" s="5"/>
      <c r="U847" s="5"/>
      <c r="V847" s="5"/>
      <c r="W847" s="5"/>
      <c r="X847" s="5"/>
      <c r="Y847" s="5"/>
      <c r="Z847" s="7"/>
      <c r="AA847" s="5"/>
      <c r="AB847" s="5"/>
      <c r="AC847" s="5"/>
      <c r="AD847" s="5"/>
      <c r="AE847" s="5"/>
    </row>
    <row r="848" spans="1:31" ht="15.75" customHeight="1">
      <c r="A848" s="5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5"/>
      <c r="T848" s="5"/>
      <c r="U848" s="5"/>
      <c r="V848" s="5"/>
      <c r="W848" s="5"/>
      <c r="X848" s="5"/>
      <c r="Y848" s="5"/>
      <c r="Z848" s="7"/>
      <c r="AA848" s="5"/>
      <c r="AB848" s="5"/>
      <c r="AC848" s="5"/>
      <c r="AD848" s="5"/>
      <c r="AE848" s="5"/>
    </row>
    <row r="849" spans="1:31" ht="15.75" customHeight="1">
      <c r="A849" s="5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5"/>
      <c r="T849" s="5"/>
      <c r="U849" s="5"/>
      <c r="V849" s="5"/>
      <c r="W849" s="5"/>
      <c r="X849" s="5"/>
      <c r="Y849" s="5"/>
      <c r="Z849" s="7"/>
      <c r="AA849" s="5"/>
      <c r="AB849" s="5"/>
      <c r="AC849" s="5"/>
      <c r="AD849" s="5"/>
      <c r="AE849" s="5"/>
    </row>
    <row r="850" spans="1:31" ht="15.75" customHeight="1">
      <c r="A850" s="5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5"/>
      <c r="T850" s="5"/>
      <c r="U850" s="5"/>
      <c r="V850" s="5"/>
      <c r="W850" s="5"/>
      <c r="X850" s="5"/>
      <c r="Y850" s="5"/>
      <c r="Z850" s="7"/>
      <c r="AA850" s="5"/>
      <c r="AB850" s="5"/>
      <c r="AC850" s="5"/>
      <c r="AD850" s="5"/>
      <c r="AE850" s="5"/>
    </row>
    <row r="851" spans="1:31" ht="15.75" customHeight="1">
      <c r="A851" s="5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5"/>
      <c r="T851" s="5"/>
      <c r="U851" s="5"/>
      <c r="V851" s="5"/>
      <c r="W851" s="5"/>
      <c r="X851" s="5"/>
      <c r="Y851" s="5"/>
      <c r="Z851" s="7"/>
      <c r="AA851" s="5"/>
      <c r="AB851" s="5"/>
      <c r="AC851" s="5"/>
      <c r="AD851" s="5"/>
      <c r="AE851" s="5"/>
    </row>
    <row r="852" spans="1:31" ht="15.75" customHeight="1">
      <c r="A852" s="5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5"/>
      <c r="T852" s="5"/>
      <c r="U852" s="5"/>
      <c r="V852" s="5"/>
      <c r="W852" s="5"/>
      <c r="X852" s="5"/>
      <c r="Y852" s="5"/>
      <c r="Z852" s="7"/>
      <c r="AA852" s="5"/>
      <c r="AB852" s="5"/>
      <c r="AC852" s="5"/>
      <c r="AD852" s="5"/>
      <c r="AE852" s="5"/>
    </row>
    <row r="853" spans="1:31" ht="15.75" customHeight="1">
      <c r="A853" s="5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5"/>
      <c r="T853" s="5"/>
      <c r="U853" s="5"/>
      <c r="V853" s="5"/>
      <c r="W853" s="5"/>
      <c r="X853" s="5"/>
      <c r="Y853" s="5"/>
      <c r="Z853" s="7"/>
      <c r="AA853" s="5"/>
      <c r="AB853" s="5"/>
      <c r="AC853" s="5"/>
      <c r="AD853" s="5"/>
      <c r="AE853" s="5"/>
    </row>
    <row r="854" spans="1:31" ht="15.75" customHeight="1">
      <c r="A854" s="5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5"/>
      <c r="T854" s="5"/>
      <c r="U854" s="5"/>
      <c r="V854" s="5"/>
      <c r="W854" s="5"/>
      <c r="X854" s="5"/>
      <c r="Y854" s="5"/>
      <c r="Z854" s="7"/>
      <c r="AA854" s="5"/>
      <c r="AB854" s="5"/>
      <c r="AC854" s="5"/>
      <c r="AD854" s="5"/>
      <c r="AE854" s="5"/>
    </row>
    <row r="855" spans="1:31" ht="15.75" customHeight="1">
      <c r="A855" s="5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5"/>
      <c r="T855" s="5"/>
      <c r="U855" s="5"/>
      <c r="V855" s="5"/>
      <c r="W855" s="5"/>
      <c r="X855" s="5"/>
      <c r="Y855" s="5"/>
      <c r="Z855" s="7"/>
      <c r="AA855" s="5"/>
      <c r="AB855" s="5"/>
      <c r="AC855" s="5"/>
      <c r="AD855" s="5"/>
      <c r="AE855" s="5"/>
    </row>
    <row r="856" spans="1:31" ht="15.75" customHeight="1">
      <c r="A856" s="5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5"/>
      <c r="T856" s="5"/>
      <c r="U856" s="5"/>
      <c r="V856" s="5"/>
      <c r="W856" s="5"/>
      <c r="X856" s="5"/>
      <c r="Y856" s="5"/>
      <c r="Z856" s="7"/>
      <c r="AA856" s="5"/>
      <c r="AB856" s="5"/>
      <c r="AC856" s="5"/>
      <c r="AD856" s="5"/>
      <c r="AE856" s="5"/>
    </row>
    <row r="857" spans="1:31" ht="15.75" customHeight="1">
      <c r="A857" s="5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5"/>
      <c r="T857" s="5"/>
      <c r="U857" s="5"/>
      <c r="V857" s="5"/>
      <c r="W857" s="5"/>
      <c r="X857" s="5"/>
      <c r="Y857" s="5"/>
      <c r="Z857" s="7"/>
      <c r="AA857" s="5"/>
      <c r="AB857" s="5"/>
      <c r="AC857" s="5"/>
      <c r="AD857" s="5"/>
      <c r="AE857" s="5"/>
    </row>
    <row r="858" spans="1:31" ht="15.75" customHeight="1">
      <c r="A858" s="5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5"/>
      <c r="T858" s="5"/>
      <c r="U858" s="5"/>
      <c r="V858" s="5"/>
      <c r="W858" s="5"/>
      <c r="X858" s="5"/>
      <c r="Y858" s="5"/>
      <c r="Z858" s="7"/>
      <c r="AA858" s="5"/>
      <c r="AB858" s="5"/>
      <c r="AC858" s="5"/>
      <c r="AD858" s="5"/>
      <c r="AE858" s="5"/>
    </row>
    <row r="859" spans="1:31" ht="15.75" customHeight="1">
      <c r="A859" s="5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5"/>
      <c r="T859" s="5"/>
      <c r="U859" s="5"/>
      <c r="V859" s="5"/>
      <c r="W859" s="5"/>
      <c r="X859" s="5"/>
      <c r="Y859" s="5"/>
      <c r="Z859" s="7"/>
      <c r="AA859" s="5"/>
      <c r="AB859" s="5"/>
      <c r="AC859" s="5"/>
      <c r="AD859" s="5"/>
      <c r="AE859" s="5"/>
    </row>
    <row r="860" spans="1:31" ht="15.75" customHeight="1">
      <c r="A860" s="5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5"/>
      <c r="T860" s="5"/>
      <c r="U860" s="5"/>
      <c r="V860" s="5"/>
      <c r="W860" s="5"/>
      <c r="X860" s="5"/>
      <c r="Y860" s="5"/>
      <c r="Z860" s="7"/>
      <c r="AA860" s="5"/>
      <c r="AB860" s="5"/>
      <c r="AC860" s="5"/>
      <c r="AD860" s="5"/>
      <c r="AE860" s="5"/>
    </row>
    <row r="861" spans="1:31" ht="15.75" customHeight="1">
      <c r="A861" s="5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5"/>
      <c r="T861" s="5"/>
      <c r="U861" s="5"/>
      <c r="V861" s="5"/>
      <c r="W861" s="5"/>
      <c r="X861" s="5"/>
      <c r="Y861" s="5"/>
      <c r="Z861" s="7"/>
      <c r="AA861" s="5"/>
      <c r="AB861" s="5"/>
      <c r="AC861" s="5"/>
      <c r="AD861" s="5"/>
      <c r="AE861" s="5"/>
    </row>
    <row r="862" spans="1:31" ht="15.75" customHeight="1">
      <c r="A862" s="5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5"/>
      <c r="T862" s="5"/>
      <c r="U862" s="5"/>
      <c r="V862" s="5"/>
      <c r="W862" s="5"/>
      <c r="X862" s="5"/>
      <c r="Y862" s="5"/>
      <c r="Z862" s="7"/>
      <c r="AA862" s="5"/>
      <c r="AB862" s="5"/>
      <c r="AC862" s="5"/>
      <c r="AD862" s="5"/>
      <c r="AE862" s="5"/>
    </row>
    <row r="863" spans="1:31" ht="15.75" customHeight="1">
      <c r="A863" s="5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5"/>
      <c r="T863" s="5"/>
      <c r="U863" s="5"/>
      <c r="V863" s="5"/>
      <c r="W863" s="5"/>
      <c r="X863" s="5"/>
      <c r="Y863" s="5"/>
      <c r="Z863" s="7"/>
      <c r="AA863" s="5"/>
      <c r="AB863" s="5"/>
      <c r="AC863" s="5"/>
      <c r="AD863" s="5"/>
      <c r="AE863" s="5"/>
    </row>
    <row r="864" spans="1:31" ht="15.75" customHeight="1">
      <c r="A864" s="5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5"/>
      <c r="T864" s="5"/>
      <c r="U864" s="5"/>
      <c r="V864" s="5"/>
      <c r="W864" s="5"/>
      <c r="X864" s="5"/>
      <c r="Y864" s="5"/>
      <c r="Z864" s="7"/>
      <c r="AA864" s="5"/>
      <c r="AB864" s="5"/>
      <c r="AC864" s="5"/>
      <c r="AD864" s="5"/>
      <c r="AE864" s="5"/>
    </row>
    <row r="865" spans="1:31" ht="15.75" customHeight="1">
      <c r="A865" s="5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5"/>
      <c r="T865" s="5"/>
      <c r="U865" s="5"/>
      <c r="V865" s="5"/>
      <c r="W865" s="5"/>
      <c r="X865" s="5"/>
      <c r="Y865" s="5"/>
      <c r="Z865" s="7"/>
      <c r="AA865" s="5"/>
      <c r="AB865" s="5"/>
      <c r="AC865" s="5"/>
      <c r="AD865" s="5"/>
      <c r="AE865" s="5"/>
    </row>
    <row r="866" spans="1:31" ht="15.75" customHeight="1">
      <c r="A866" s="5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5"/>
      <c r="T866" s="5"/>
      <c r="U866" s="5"/>
      <c r="V866" s="5"/>
      <c r="W866" s="5"/>
      <c r="X866" s="5"/>
      <c r="Y866" s="5"/>
      <c r="Z866" s="7"/>
      <c r="AA866" s="5"/>
      <c r="AB866" s="5"/>
      <c r="AC866" s="5"/>
      <c r="AD866" s="5"/>
      <c r="AE866" s="5"/>
    </row>
    <row r="867" spans="1:31" ht="15.75" customHeight="1">
      <c r="A867" s="5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5"/>
      <c r="T867" s="5"/>
      <c r="U867" s="5"/>
      <c r="V867" s="5"/>
      <c r="W867" s="5"/>
      <c r="X867" s="5"/>
      <c r="Y867" s="5"/>
      <c r="Z867" s="7"/>
      <c r="AA867" s="5"/>
      <c r="AB867" s="5"/>
      <c r="AC867" s="5"/>
      <c r="AD867" s="5"/>
      <c r="AE867" s="5"/>
    </row>
    <row r="868" spans="1:31" ht="15.75" customHeight="1">
      <c r="A868" s="5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5"/>
      <c r="T868" s="5"/>
      <c r="U868" s="5"/>
      <c r="V868" s="5"/>
      <c r="W868" s="5"/>
      <c r="X868" s="5"/>
      <c r="Y868" s="5"/>
      <c r="Z868" s="7"/>
      <c r="AA868" s="5"/>
      <c r="AB868" s="5"/>
      <c r="AC868" s="5"/>
      <c r="AD868" s="5"/>
      <c r="AE868" s="5"/>
    </row>
    <row r="869" spans="1:31" ht="15.75" customHeight="1">
      <c r="A869" s="5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5"/>
      <c r="T869" s="5"/>
      <c r="U869" s="5"/>
      <c r="V869" s="5"/>
      <c r="W869" s="5"/>
      <c r="X869" s="5"/>
      <c r="Y869" s="5"/>
      <c r="Z869" s="7"/>
      <c r="AA869" s="5"/>
      <c r="AB869" s="5"/>
      <c r="AC869" s="5"/>
      <c r="AD869" s="5"/>
      <c r="AE869" s="5"/>
    </row>
    <row r="870" spans="1:31" ht="15.75" customHeight="1">
      <c r="A870" s="5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5"/>
      <c r="T870" s="5"/>
      <c r="U870" s="5"/>
      <c r="V870" s="5"/>
      <c r="W870" s="5"/>
      <c r="X870" s="5"/>
      <c r="Y870" s="5"/>
      <c r="Z870" s="7"/>
      <c r="AA870" s="5"/>
      <c r="AB870" s="5"/>
      <c r="AC870" s="5"/>
      <c r="AD870" s="5"/>
      <c r="AE870" s="5"/>
    </row>
    <row r="871" spans="1:31" ht="15.75" customHeight="1">
      <c r="A871" s="5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5"/>
      <c r="T871" s="5"/>
      <c r="U871" s="5"/>
      <c r="V871" s="5"/>
      <c r="W871" s="5"/>
      <c r="X871" s="5"/>
      <c r="Y871" s="5"/>
      <c r="Z871" s="7"/>
      <c r="AA871" s="5"/>
      <c r="AB871" s="5"/>
      <c r="AC871" s="5"/>
      <c r="AD871" s="5"/>
      <c r="AE871" s="5"/>
    </row>
    <row r="872" spans="1:31" ht="15.75" customHeight="1">
      <c r="A872" s="5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5"/>
      <c r="T872" s="5"/>
      <c r="U872" s="5"/>
      <c r="V872" s="5"/>
      <c r="W872" s="5"/>
      <c r="X872" s="5"/>
      <c r="Y872" s="5"/>
      <c r="Z872" s="7"/>
      <c r="AA872" s="5"/>
      <c r="AB872" s="5"/>
      <c r="AC872" s="5"/>
      <c r="AD872" s="5"/>
      <c r="AE872" s="5"/>
    </row>
    <row r="873" spans="1:31" ht="15.75" customHeight="1">
      <c r="A873" s="5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5"/>
      <c r="T873" s="5"/>
      <c r="U873" s="5"/>
      <c r="V873" s="5"/>
      <c r="W873" s="5"/>
      <c r="X873" s="5"/>
      <c r="Y873" s="5"/>
      <c r="Z873" s="7"/>
      <c r="AA873" s="5"/>
      <c r="AB873" s="5"/>
      <c r="AC873" s="5"/>
      <c r="AD873" s="5"/>
      <c r="AE873" s="5"/>
    </row>
    <row r="874" spans="1:31" ht="15.75" customHeight="1">
      <c r="A874" s="5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5"/>
      <c r="T874" s="5"/>
      <c r="U874" s="5"/>
      <c r="V874" s="5"/>
      <c r="W874" s="5"/>
      <c r="X874" s="5"/>
      <c r="Y874" s="5"/>
      <c r="Z874" s="7"/>
      <c r="AA874" s="5"/>
      <c r="AB874" s="5"/>
      <c r="AC874" s="5"/>
      <c r="AD874" s="5"/>
      <c r="AE874" s="5"/>
    </row>
    <row r="875" spans="1:31" ht="15.75" customHeight="1">
      <c r="A875" s="5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5"/>
      <c r="T875" s="5"/>
      <c r="U875" s="5"/>
      <c r="V875" s="5"/>
      <c r="W875" s="5"/>
      <c r="X875" s="5"/>
      <c r="Y875" s="5"/>
      <c r="Z875" s="7"/>
      <c r="AA875" s="5"/>
      <c r="AB875" s="5"/>
      <c r="AC875" s="5"/>
      <c r="AD875" s="5"/>
      <c r="AE875" s="5"/>
    </row>
    <row r="876" spans="1:31" ht="15.75" customHeight="1">
      <c r="A876" s="5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5"/>
      <c r="T876" s="5"/>
      <c r="U876" s="5"/>
      <c r="V876" s="5"/>
      <c r="W876" s="5"/>
      <c r="X876" s="5"/>
      <c r="Y876" s="5"/>
      <c r="Z876" s="7"/>
      <c r="AA876" s="5"/>
      <c r="AB876" s="5"/>
      <c r="AC876" s="5"/>
      <c r="AD876" s="5"/>
      <c r="AE876" s="5"/>
    </row>
    <row r="877" spans="1:31" ht="15.75" customHeight="1">
      <c r="A877" s="5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5"/>
      <c r="T877" s="5"/>
      <c r="U877" s="5"/>
      <c r="V877" s="5"/>
      <c r="W877" s="5"/>
      <c r="X877" s="5"/>
      <c r="Y877" s="5"/>
      <c r="Z877" s="7"/>
      <c r="AA877" s="5"/>
      <c r="AB877" s="5"/>
      <c r="AC877" s="5"/>
      <c r="AD877" s="5"/>
      <c r="AE877" s="5"/>
    </row>
    <row r="878" spans="1:31" ht="15.75" customHeight="1">
      <c r="A878" s="5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5"/>
      <c r="T878" s="5"/>
      <c r="U878" s="5"/>
      <c r="V878" s="5"/>
      <c r="W878" s="5"/>
      <c r="X878" s="5"/>
      <c r="Y878" s="5"/>
      <c r="Z878" s="7"/>
      <c r="AA878" s="5"/>
      <c r="AB878" s="5"/>
      <c r="AC878" s="5"/>
      <c r="AD878" s="5"/>
      <c r="AE878" s="5"/>
    </row>
    <row r="879" spans="1:31" ht="15.75" customHeight="1">
      <c r="A879" s="5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5"/>
      <c r="T879" s="5"/>
      <c r="U879" s="5"/>
      <c r="V879" s="5"/>
      <c r="W879" s="5"/>
      <c r="X879" s="5"/>
      <c r="Y879" s="5"/>
      <c r="Z879" s="7"/>
      <c r="AA879" s="5"/>
      <c r="AB879" s="5"/>
      <c r="AC879" s="5"/>
      <c r="AD879" s="5"/>
      <c r="AE879" s="5"/>
    </row>
    <row r="880" spans="1:31" ht="15.75" customHeight="1">
      <c r="A880" s="5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5"/>
      <c r="T880" s="5"/>
      <c r="U880" s="5"/>
      <c r="V880" s="5"/>
      <c r="W880" s="5"/>
      <c r="X880" s="5"/>
      <c r="Y880" s="5"/>
      <c r="Z880" s="7"/>
      <c r="AA880" s="5"/>
      <c r="AB880" s="5"/>
      <c r="AC880" s="5"/>
      <c r="AD880" s="5"/>
      <c r="AE880" s="5"/>
    </row>
    <row r="881" spans="1:31" ht="15.75" customHeight="1">
      <c r="A881" s="5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5"/>
      <c r="T881" s="5"/>
      <c r="U881" s="5"/>
      <c r="V881" s="5"/>
      <c r="W881" s="5"/>
      <c r="X881" s="5"/>
      <c r="Y881" s="5"/>
      <c r="Z881" s="7"/>
      <c r="AA881" s="5"/>
      <c r="AB881" s="5"/>
      <c r="AC881" s="5"/>
      <c r="AD881" s="5"/>
      <c r="AE881" s="5"/>
    </row>
    <row r="882" spans="1:31" ht="15.75" customHeight="1">
      <c r="A882" s="5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5"/>
      <c r="T882" s="5"/>
      <c r="U882" s="5"/>
      <c r="V882" s="5"/>
      <c r="W882" s="5"/>
      <c r="X882" s="5"/>
      <c r="Y882" s="5"/>
      <c r="Z882" s="7"/>
      <c r="AA882" s="5"/>
      <c r="AB882" s="5"/>
      <c r="AC882" s="5"/>
      <c r="AD882" s="5"/>
      <c r="AE882" s="5"/>
    </row>
    <row r="883" spans="1:31" ht="15.75" customHeight="1">
      <c r="A883" s="5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5"/>
      <c r="T883" s="5"/>
      <c r="U883" s="5"/>
      <c r="V883" s="5"/>
      <c r="W883" s="5"/>
      <c r="X883" s="5"/>
      <c r="Y883" s="5"/>
      <c r="Z883" s="7"/>
      <c r="AA883" s="5"/>
      <c r="AB883" s="5"/>
      <c r="AC883" s="5"/>
      <c r="AD883" s="5"/>
      <c r="AE883" s="5"/>
    </row>
    <row r="884" spans="1:31" ht="15.75" customHeight="1">
      <c r="A884" s="5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5"/>
      <c r="T884" s="5"/>
      <c r="U884" s="5"/>
      <c r="V884" s="5"/>
      <c r="W884" s="5"/>
      <c r="X884" s="5"/>
      <c r="Y884" s="5"/>
      <c r="Z884" s="7"/>
      <c r="AA884" s="5"/>
      <c r="AB884" s="5"/>
      <c r="AC884" s="5"/>
      <c r="AD884" s="5"/>
      <c r="AE884" s="5"/>
    </row>
    <row r="885" spans="1:31" ht="15.75" customHeight="1">
      <c r="A885" s="5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5"/>
      <c r="T885" s="5"/>
      <c r="U885" s="5"/>
      <c r="V885" s="5"/>
      <c r="W885" s="5"/>
      <c r="X885" s="5"/>
      <c r="Y885" s="5"/>
      <c r="Z885" s="7"/>
      <c r="AA885" s="5"/>
      <c r="AB885" s="5"/>
      <c r="AC885" s="5"/>
      <c r="AD885" s="5"/>
      <c r="AE885" s="5"/>
    </row>
    <row r="886" spans="1:31" ht="15.75" customHeight="1">
      <c r="A886" s="5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5"/>
      <c r="T886" s="5"/>
      <c r="U886" s="5"/>
      <c r="V886" s="5"/>
      <c r="W886" s="5"/>
      <c r="X886" s="5"/>
      <c r="Y886" s="5"/>
      <c r="Z886" s="7"/>
      <c r="AA886" s="5"/>
      <c r="AB886" s="5"/>
      <c r="AC886" s="5"/>
      <c r="AD886" s="5"/>
      <c r="AE886" s="5"/>
    </row>
    <row r="887" spans="1:31" ht="15.75" customHeight="1">
      <c r="A887" s="5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5"/>
      <c r="T887" s="5"/>
      <c r="U887" s="5"/>
      <c r="V887" s="5"/>
      <c r="W887" s="5"/>
      <c r="X887" s="5"/>
      <c r="Y887" s="5"/>
      <c r="Z887" s="7"/>
      <c r="AA887" s="5"/>
      <c r="AB887" s="5"/>
      <c r="AC887" s="5"/>
      <c r="AD887" s="5"/>
      <c r="AE887" s="5"/>
    </row>
    <row r="888" spans="1:31" ht="15.75" customHeight="1">
      <c r="A888" s="5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5"/>
      <c r="T888" s="5"/>
      <c r="U888" s="5"/>
      <c r="V888" s="5"/>
      <c r="W888" s="5"/>
      <c r="X888" s="5"/>
      <c r="Y888" s="5"/>
      <c r="Z888" s="7"/>
      <c r="AA888" s="5"/>
      <c r="AB888" s="5"/>
      <c r="AC888" s="5"/>
      <c r="AD888" s="5"/>
      <c r="AE888" s="5"/>
    </row>
    <row r="889" spans="1:31" ht="15.75" customHeight="1">
      <c r="A889" s="5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5"/>
      <c r="T889" s="5"/>
      <c r="U889" s="5"/>
      <c r="V889" s="5"/>
      <c r="W889" s="5"/>
      <c r="X889" s="5"/>
      <c r="Y889" s="5"/>
      <c r="Z889" s="7"/>
      <c r="AA889" s="5"/>
      <c r="AB889" s="5"/>
      <c r="AC889" s="5"/>
      <c r="AD889" s="5"/>
      <c r="AE889" s="5"/>
    </row>
    <row r="890" spans="1:31" ht="15.75" customHeight="1">
      <c r="A890" s="5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5"/>
      <c r="T890" s="5"/>
      <c r="U890" s="5"/>
      <c r="V890" s="5"/>
      <c r="W890" s="5"/>
      <c r="X890" s="5"/>
      <c r="Y890" s="5"/>
      <c r="Z890" s="7"/>
      <c r="AA890" s="5"/>
      <c r="AB890" s="5"/>
      <c r="AC890" s="5"/>
      <c r="AD890" s="5"/>
      <c r="AE890" s="5"/>
    </row>
    <row r="891" spans="1:31" ht="15.75" customHeight="1">
      <c r="A891" s="5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5"/>
      <c r="T891" s="5"/>
      <c r="U891" s="5"/>
      <c r="V891" s="5"/>
      <c r="W891" s="5"/>
      <c r="X891" s="5"/>
      <c r="Y891" s="5"/>
      <c r="Z891" s="7"/>
      <c r="AA891" s="5"/>
      <c r="AB891" s="5"/>
      <c r="AC891" s="5"/>
      <c r="AD891" s="5"/>
      <c r="AE891" s="5"/>
    </row>
    <row r="892" spans="1:31" ht="15.75" customHeight="1">
      <c r="A892" s="5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5"/>
      <c r="T892" s="5"/>
      <c r="U892" s="5"/>
      <c r="V892" s="5"/>
      <c r="W892" s="5"/>
      <c r="X892" s="5"/>
      <c r="Y892" s="5"/>
      <c r="Z892" s="7"/>
      <c r="AA892" s="5"/>
      <c r="AB892" s="5"/>
      <c r="AC892" s="5"/>
      <c r="AD892" s="5"/>
      <c r="AE892" s="5"/>
    </row>
    <row r="893" spans="1:31" ht="15.75" customHeight="1">
      <c r="A893" s="5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5"/>
      <c r="T893" s="5"/>
      <c r="U893" s="5"/>
      <c r="V893" s="5"/>
      <c r="W893" s="5"/>
      <c r="X893" s="5"/>
      <c r="Y893" s="5"/>
      <c r="Z893" s="7"/>
      <c r="AA893" s="5"/>
      <c r="AB893" s="5"/>
      <c r="AC893" s="5"/>
      <c r="AD893" s="5"/>
      <c r="AE893" s="5"/>
    </row>
    <row r="894" spans="1:31" ht="15.75" customHeight="1">
      <c r="A894" s="5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5"/>
      <c r="T894" s="5"/>
      <c r="U894" s="5"/>
      <c r="V894" s="5"/>
      <c r="W894" s="5"/>
      <c r="X894" s="5"/>
      <c r="Y894" s="5"/>
      <c r="Z894" s="7"/>
      <c r="AA894" s="5"/>
      <c r="AB894" s="5"/>
      <c r="AC894" s="5"/>
      <c r="AD894" s="5"/>
      <c r="AE894" s="5"/>
    </row>
    <row r="895" spans="1:31" ht="15.75" customHeight="1">
      <c r="A895" s="5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5"/>
      <c r="T895" s="5"/>
      <c r="U895" s="5"/>
      <c r="V895" s="5"/>
      <c r="W895" s="5"/>
      <c r="X895" s="5"/>
      <c r="Y895" s="5"/>
      <c r="Z895" s="7"/>
      <c r="AA895" s="5"/>
      <c r="AB895" s="5"/>
      <c r="AC895" s="5"/>
      <c r="AD895" s="5"/>
      <c r="AE895" s="5"/>
    </row>
    <row r="896" spans="1:31" ht="15.75" customHeight="1">
      <c r="A896" s="5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5"/>
      <c r="T896" s="5"/>
      <c r="U896" s="5"/>
      <c r="V896" s="5"/>
      <c r="W896" s="5"/>
      <c r="X896" s="5"/>
      <c r="Y896" s="5"/>
      <c r="Z896" s="7"/>
      <c r="AA896" s="5"/>
      <c r="AB896" s="5"/>
      <c r="AC896" s="5"/>
      <c r="AD896" s="5"/>
      <c r="AE896" s="5"/>
    </row>
    <row r="897" spans="1:31" ht="15.75" customHeight="1">
      <c r="A897" s="5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5"/>
      <c r="T897" s="5"/>
      <c r="U897" s="5"/>
      <c r="V897" s="5"/>
      <c r="W897" s="5"/>
      <c r="X897" s="5"/>
      <c r="Y897" s="5"/>
      <c r="Z897" s="7"/>
      <c r="AA897" s="5"/>
      <c r="AB897" s="5"/>
      <c r="AC897" s="5"/>
      <c r="AD897" s="5"/>
      <c r="AE897" s="5"/>
    </row>
    <row r="898" spans="1:31" ht="15.75" customHeight="1">
      <c r="A898" s="5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5"/>
      <c r="T898" s="5"/>
      <c r="U898" s="5"/>
      <c r="V898" s="5"/>
      <c r="W898" s="5"/>
      <c r="X898" s="5"/>
      <c r="Y898" s="5"/>
      <c r="Z898" s="7"/>
      <c r="AA898" s="5"/>
      <c r="AB898" s="5"/>
      <c r="AC898" s="5"/>
      <c r="AD898" s="5"/>
      <c r="AE898" s="5"/>
    </row>
    <row r="899" spans="1:31" ht="15.75" customHeight="1">
      <c r="A899" s="5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5"/>
      <c r="T899" s="5"/>
      <c r="U899" s="5"/>
      <c r="V899" s="5"/>
      <c r="W899" s="5"/>
      <c r="X899" s="5"/>
      <c r="Y899" s="5"/>
      <c r="Z899" s="7"/>
      <c r="AA899" s="5"/>
      <c r="AB899" s="5"/>
      <c r="AC899" s="5"/>
      <c r="AD899" s="5"/>
      <c r="AE899" s="5"/>
    </row>
    <row r="900" spans="1:31" ht="15.75" customHeight="1">
      <c r="A900" s="5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5"/>
      <c r="T900" s="5"/>
      <c r="U900" s="5"/>
      <c r="V900" s="5"/>
      <c r="W900" s="5"/>
      <c r="X900" s="5"/>
      <c r="Y900" s="5"/>
      <c r="Z900" s="7"/>
      <c r="AA900" s="5"/>
      <c r="AB900" s="5"/>
      <c r="AC900" s="5"/>
      <c r="AD900" s="5"/>
      <c r="AE900" s="5"/>
    </row>
    <row r="901" spans="1:31" ht="15.75" customHeight="1">
      <c r="A901" s="5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5"/>
      <c r="T901" s="5"/>
      <c r="U901" s="5"/>
      <c r="V901" s="5"/>
      <c r="W901" s="5"/>
      <c r="X901" s="5"/>
      <c r="Y901" s="5"/>
      <c r="Z901" s="7"/>
      <c r="AA901" s="5"/>
      <c r="AB901" s="5"/>
      <c r="AC901" s="5"/>
      <c r="AD901" s="5"/>
      <c r="AE901" s="5"/>
    </row>
    <row r="902" spans="1:31" ht="15.75" customHeight="1">
      <c r="A902" s="5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5"/>
      <c r="T902" s="5"/>
      <c r="U902" s="5"/>
      <c r="V902" s="5"/>
      <c r="W902" s="5"/>
      <c r="X902" s="5"/>
      <c r="Y902" s="5"/>
      <c r="Z902" s="7"/>
      <c r="AA902" s="5"/>
      <c r="AB902" s="5"/>
      <c r="AC902" s="5"/>
      <c r="AD902" s="5"/>
      <c r="AE902" s="5"/>
    </row>
    <row r="903" spans="1:31" ht="15.75" customHeight="1">
      <c r="A903" s="5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5"/>
      <c r="T903" s="5"/>
      <c r="U903" s="5"/>
      <c r="V903" s="5"/>
      <c r="W903" s="5"/>
      <c r="X903" s="5"/>
      <c r="Y903" s="5"/>
      <c r="Z903" s="7"/>
      <c r="AA903" s="5"/>
      <c r="AB903" s="5"/>
      <c r="AC903" s="5"/>
      <c r="AD903" s="5"/>
      <c r="AE903" s="5"/>
    </row>
    <row r="904" spans="1:31" ht="15.75" customHeight="1">
      <c r="A904" s="5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5"/>
      <c r="T904" s="5"/>
      <c r="U904" s="5"/>
      <c r="V904" s="5"/>
      <c r="W904" s="5"/>
      <c r="X904" s="5"/>
      <c r="Y904" s="5"/>
      <c r="Z904" s="7"/>
      <c r="AA904" s="5"/>
      <c r="AB904" s="5"/>
      <c r="AC904" s="5"/>
      <c r="AD904" s="5"/>
      <c r="AE904" s="5"/>
    </row>
    <row r="905" spans="1:31" ht="15.75" customHeight="1">
      <c r="A905" s="5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5"/>
      <c r="T905" s="5"/>
      <c r="U905" s="5"/>
      <c r="V905" s="5"/>
      <c r="W905" s="5"/>
      <c r="X905" s="5"/>
      <c r="Y905" s="5"/>
      <c r="Z905" s="7"/>
      <c r="AA905" s="5"/>
      <c r="AB905" s="5"/>
      <c r="AC905" s="5"/>
      <c r="AD905" s="5"/>
      <c r="AE905" s="5"/>
    </row>
    <row r="906" spans="1:31" ht="15.75" customHeight="1">
      <c r="A906" s="5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5"/>
      <c r="T906" s="5"/>
      <c r="U906" s="5"/>
      <c r="V906" s="5"/>
      <c r="W906" s="5"/>
      <c r="X906" s="5"/>
      <c r="Y906" s="5"/>
      <c r="Z906" s="7"/>
      <c r="AA906" s="5"/>
      <c r="AB906" s="5"/>
      <c r="AC906" s="5"/>
      <c r="AD906" s="5"/>
      <c r="AE906" s="5"/>
    </row>
    <row r="907" spans="1:31" ht="15.75" customHeight="1">
      <c r="A907" s="5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5"/>
      <c r="T907" s="5"/>
      <c r="U907" s="5"/>
      <c r="V907" s="5"/>
      <c r="W907" s="5"/>
      <c r="X907" s="5"/>
      <c r="Y907" s="5"/>
      <c r="Z907" s="7"/>
      <c r="AA907" s="5"/>
      <c r="AB907" s="5"/>
      <c r="AC907" s="5"/>
      <c r="AD907" s="5"/>
      <c r="AE907" s="5"/>
    </row>
    <row r="908" spans="1:31" ht="15.75" customHeight="1">
      <c r="A908" s="5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5"/>
      <c r="T908" s="5"/>
      <c r="U908" s="5"/>
      <c r="V908" s="5"/>
      <c r="W908" s="5"/>
      <c r="X908" s="5"/>
      <c r="Y908" s="5"/>
      <c r="Z908" s="7"/>
      <c r="AA908" s="5"/>
      <c r="AB908" s="5"/>
      <c r="AC908" s="5"/>
      <c r="AD908" s="5"/>
      <c r="AE908" s="5"/>
    </row>
    <row r="909" spans="1:31" ht="15.75" customHeight="1">
      <c r="A909" s="5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5"/>
      <c r="T909" s="5"/>
      <c r="U909" s="5"/>
      <c r="V909" s="5"/>
      <c r="W909" s="5"/>
      <c r="X909" s="5"/>
      <c r="Y909" s="5"/>
      <c r="Z909" s="7"/>
      <c r="AA909" s="5"/>
      <c r="AB909" s="5"/>
      <c r="AC909" s="5"/>
      <c r="AD909" s="5"/>
      <c r="AE909" s="5"/>
    </row>
    <row r="910" spans="1:31" ht="15.75" customHeight="1">
      <c r="A910" s="5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5"/>
      <c r="T910" s="5"/>
      <c r="U910" s="5"/>
      <c r="V910" s="5"/>
      <c r="W910" s="5"/>
      <c r="X910" s="5"/>
      <c r="Y910" s="5"/>
      <c r="Z910" s="7"/>
      <c r="AA910" s="5"/>
      <c r="AB910" s="5"/>
      <c r="AC910" s="5"/>
      <c r="AD910" s="5"/>
      <c r="AE910" s="5"/>
    </row>
    <row r="911" spans="1:31" ht="15.75" customHeight="1">
      <c r="A911" s="5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5"/>
      <c r="T911" s="5"/>
      <c r="U911" s="5"/>
      <c r="V911" s="5"/>
      <c r="W911" s="5"/>
      <c r="X911" s="5"/>
      <c r="Y911" s="5"/>
      <c r="Z911" s="7"/>
      <c r="AA911" s="5"/>
      <c r="AB911" s="5"/>
      <c r="AC911" s="5"/>
      <c r="AD911" s="5"/>
      <c r="AE911" s="5"/>
    </row>
    <row r="912" spans="1:31" ht="15.75" customHeight="1">
      <c r="A912" s="5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5"/>
      <c r="T912" s="5"/>
      <c r="U912" s="5"/>
      <c r="V912" s="5"/>
      <c r="W912" s="5"/>
      <c r="X912" s="5"/>
      <c r="Y912" s="5"/>
      <c r="Z912" s="7"/>
      <c r="AA912" s="5"/>
      <c r="AB912" s="5"/>
      <c r="AC912" s="5"/>
      <c r="AD912" s="5"/>
      <c r="AE912" s="5"/>
    </row>
    <row r="913" spans="1:31" ht="15.75" customHeight="1">
      <c r="A913" s="5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5"/>
      <c r="T913" s="5"/>
      <c r="U913" s="5"/>
      <c r="V913" s="5"/>
      <c r="W913" s="5"/>
      <c r="X913" s="5"/>
      <c r="Y913" s="5"/>
      <c r="Z913" s="7"/>
      <c r="AA913" s="5"/>
      <c r="AB913" s="5"/>
      <c r="AC913" s="5"/>
      <c r="AD913" s="5"/>
      <c r="AE913" s="5"/>
    </row>
    <row r="914" spans="1:31" ht="15.75" customHeight="1">
      <c r="A914" s="5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5"/>
      <c r="T914" s="5"/>
      <c r="U914" s="5"/>
      <c r="V914" s="5"/>
      <c r="W914" s="5"/>
      <c r="X914" s="5"/>
      <c r="Y914" s="5"/>
      <c r="Z914" s="7"/>
      <c r="AA914" s="5"/>
      <c r="AB914" s="5"/>
      <c r="AC914" s="5"/>
      <c r="AD914" s="5"/>
      <c r="AE914" s="5"/>
    </row>
    <row r="915" spans="1:31" ht="15.75" customHeight="1">
      <c r="A915" s="5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5"/>
      <c r="T915" s="5"/>
      <c r="U915" s="5"/>
      <c r="V915" s="5"/>
      <c r="W915" s="5"/>
      <c r="X915" s="5"/>
      <c r="Y915" s="5"/>
      <c r="Z915" s="7"/>
      <c r="AA915" s="5"/>
      <c r="AB915" s="5"/>
      <c r="AC915" s="5"/>
      <c r="AD915" s="5"/>
      <c r="AE915" s="5"/>
    </row>
    <row r="916" spans="1:31" ht="15.75" customHeight="1">
      <c r="A916" s="5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5"/>
      <c r="T916" s="5"/>
      <c r="U916" s="5"/>
      <c r="V916" s="5"/>
      <c r="W916" s="5"/>
      <c r="X916" s="5"/>
      <c r="Y916" s="5"/>
      <c r="Z916" s="7"/>
      <c r="AA916" s="5"/>
      <c r="AB916" s="5"/>
      <c r="AC916" s="5"/>
      <c r="AD916" s="5"/>
      <c r="AE916" s="5"/>
    </row>
    <row r="917" spans="1:31" ht="15.75" customHeight="1">
      <c r="A917" s="5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5"/>
      <c r="T917" s="5"/>
      <c r="U917" s="5"/>
      <c r="V917" s="5"/>
      <c r="W917" s="5"/>
      <c r="X917" s="5"/>
      <c r="Y917" s="5"/>
      <c r="Z917" s="7"/>
      <c r="AA917" s="5"/>
      <c r="AB917" s="5"/>
      <c r="AC917" s="5"/>
      <c r="AD917" s="5"/>
      <c r="AE917" s="5"/>
    </row>
    <row r="918" spans="1:31" ht="15.75" customHeight="1">
      <c r="A918" s="5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5"/>
      <c r="T918" s="5"/>
      <c r="U918" s="5"/>
      <c r="V918" s="5"/>
      <c r="W918" s="5"/>
      <c r="X918" s="5"/>
      <c r="Y918" s="5"/>
      <c r="Z918" s="7"/>
      <c r="AA918" s="5"/>
      <c r="AB918" s="5"/>
      <c r="AC918" s="5"/>
      <c r="AD918" s="5"/>
      <c r="AE918" s="5"/>
    </row>
    <row r="919" spans="1:31" ht="15.75" customHeight="1">
      <c r="A919" s="5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5"/>
      <c r="T919" s="5"/>
      <c r="U919" s="5"/>
      <c r="V919" s="5"/>
      <c r="W919" s="5"/>
      <c r="X919" s="5"/>
      <c r="Y919" s="5"/>
      <c r="Z919" s="7"/>
      <c r="AA919" s="5"/>
      <c r="AB919" s="5"/>
      <c r="AC919" s="5"/>
      <c r="AD919" s="5"/>
      <c r="AE919" s="5"/>
    </row>
    <row r="920" spans="1:31" ht="15.75" customHeight="1">
      <c r="A920" s="5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5"/>
      <c r="T920" s="5"/>
      <c r="U920" s="5"/>
      <c r="V920" s="5"/>
      <c r="W920" s="5"/>
      <c r="X920" s="5"/>
      <c r="Y920" s="5"/>
      <c r="Z920" s="7"/>
      <c r="AA920" s="5"/>
      <c r="AB920" s="5"/>
      <c r="AC920" s="5"/>
      <c r="AD920" s="5"/>
      <c r="AE920" s="5"/>
    </row>
    <row r="921" spans="1:31" ht="15.75" customHeight="1">
      <c r="A921" s="5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5"/>
      <c r="T921" s="5"/>
      <c r="U921" s="5"/>
      <c r="V921" s="5"/>
      <c r="W921" s="5"/>
      <c r="X921" s="5"/>
      <c r="Y921" s="5"/>
      <c r="Z921" s="7"/>
      <c r="AA921" s="5"/>
      <c r="AB921" s="5"/>
      <c r="AC921" s="5"/>
      <c r="AD921" s="5"/>
      <c r="AE921" s="5"/>
    </row>
    <row r="922" spans="1:31" ht="15.75" customHeight="1">
      <c r="A922" s="5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5"/>
      <c r="T922" s="5"/>
      <c r="U922" s="5"/>
      <c r="V922" s="5"/>
      <c r="W922" s="5"/>
      <c r="X922" s="5"/>
      <c r="Y922" s="5"/>
      <c r="Z922" s="7"/>
      <c r="AA922" s="5"/>
      <c r="AB922" s="5"/>
      <c r="AC922" s="5"/>
      <c r="AD922" s="5"/>
      <c r="AE922" s="5"/>
    </row>
    <row r="923" spans="1:31" ht="15.75" customHeight="1">
      <c r="A923" s="5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5"/>
      <c r="T923" s="5"/>
      <c r="U923" s="5"/>
      <c r="V923" s="5"/>
      <c r="W923" s="5"/>
      <c r="X923" s="5"/>
      <c r="Y923" s="5"/>
      <c r="Z923" s="7"/>
      <c r="AA923" s="5"/>
      <c r="AB923" s="5"/>
      <c r="AC923" s="5"/>
      <c r="AD923" s="5"/>
      <c r="AE923" s="5"/>
    </row>
    <row r="924" spans="1:31" ht="15.75" customHeight="1">
      <c r="A924" s="5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5"/>
      <c r="T924" s="5"/>
      <c r="U924" s="5"/>
      <c r="V924" s="5"/>
      <c r="W924" s="5"/>
      <c r="X924" s="5"/>
      <c r="Y924" s="5"/>
      <c r="Z924" s="7"/>
      <c r="AA924" s="5"/>
      <c r="AB924" s="5"/>
      <c r="AC924" s="5"/>
      <c r="AD924" s="5"/>
      <c r="AE924" s="5"/>
    </row>
    <row r="925" spans="1:31" ht="15.75" customHeight="1">
      <c r="A925" s="5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5"/>
      <c r="T925" s="5"/>
      <c r="U925" s="5"/>
      <c r="V925" s="5"/>
      <c r="W925" s="5"/>
      <c r="X925" s="5"/>
      <c r="Y925" s="5"/>
      <c r="Z925" s="7"/>
      <c r="AA925" s="5"/>
      <c r="AB925" s="5"/>
      <c r="AC925" s="5"/>
      <c r="AD925" s="5"/>
      <c r="AE925" s="5"/>
    </row>
    <row r="926" spans="1:31" ht="15.75" customHeight="1">
      <c r="A926" s="5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5"/>
      <c r="T926" s="5"/>
      <c r="U926" s="5"/>
      <c r="V926" s="5"/>
      <c r="W926" s="5"/>
      <c r="X926" s="5"/>
      <c r="Y926" s="5"/>
      <c r="Z926" s="7"/>
      <c r="AA926" s="5"/>
      <c r="AB926" s="5"/>
      <c r="AC926" s="5"/>
      <c r="AD926" s="5"/>
      <c r="AE926" s="5"/>
    </row>
    <row r="927" spans="1:31" ht="15.75" customHeight="1">
      <c r="A927" s="5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5"/>
      <c r="T927" s="5"/>
      <c r="U927" s="5"/>
      <c r="V927" s="5"/>
      <c r="W927" s="5"/>
      <c r="X927" s="5"/>
      <c r="Y927" s="5"/>
      <c r="Z927" s="7"/>
      <c r="AA927" s="5"/>
      <c r="AB927" s="5"/>
      <c r="AC927" s="5"/>
      <c r="AD927" s="5"/>
      <c r="AE927" s="5"/>
    </row>
    <row r="928" spans="1:31" ht="15.75" customHeight="1">
      <c r="A928" s="5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5"/>
      <c r="T928" s="5"/>
      <c r="U928" s="5"/>
      <c r="V928" s="5"/>
      <c r="W928" s="5"/>
      <c r="X928" s="5"/>
      <c r="Y928" s="5"/>
      <c r="Z928" s="7"/>
      <c r="AA928" s="5"/>
      <c r="AB928" s="5"/>
      <c r="AC928" s="5"/>
      <c r="AD928" s="5"/>
      <c r="AE928" s="5"/>
    </row>
    <row r="929" spans="1:31" ht="15.75" customHeight="1">
      <c r="A929" s="5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5"/>
      <c r="T929" s="5"/>
      <c r="U929" s="5"/>
      <c r="V929" s="5"/>
      <c r="W929" s="5"/>
      <c r="X929" s="5"/>
      <c r="Y929" s="5"/>
      <c r="Z929" s="7"/>
      <c r="AA929" s="5"/>
      <c r="AB929" s="5"/>
      <c r="AC929" s="5"/>
      <c r="AD929" s="5"/>
      <c r="AE929" s="5"/>
    </row>
    <row r="930" spans="1:31" ht="15.75" customHeight="1">
      <c r="A930" s="5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5"/>
      <c r="T930" s="5"/>
      <c r="U930" s="5"/>
      <c r="V930" s="5"/>
      <c r="W930" s="5"/>
      <c r="X930" s="5"/>
      <c r="Y930" s="5"/>
      <c r="Z930" s="7"/>
      <c r="AA930" s="5"/>
      <c r="AB930" s="5"/>
      <c r="AC930" s="5"/>
      <c r="AD930" s="5"/>
      <c r="AE930" s="5"/>
    </row>
    <row r="931" spans="1:31" ht="15.75" customHeight="1">
      <c r="A931" s="5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5"/>
      <c r="T931" s="5"/>
      <c r="U931" s="5"/>
      <c r="V931" s="5"/>
      <c r="W931" s="5"/>
      <c r="X931" s="5"/>
      <c r="Y931" s="5"/>
      <c r="Z931" s="7"/>
      <c r="AA931" s="5"/>
      <c r="AB931" s="5"/>
      <c r="AC931" s="5"/>
      <c r="AD931" s="5"/>
      <c r="AE931" s="5"/>
    </row>
    <row r="932" spans="1:31" ht="15.75" customHeight="1">
      <c r="A932" s="5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5"/>
      <c r="T932" s="5"/>
      <c r="U932" s="5"/>
      <c r="V932" s="5"/>
      <c r="W932" s="5"/>
      <c r="X932" s="5"/>
      <c r="Y932" s="5"/>
      <c r="Z932" s="7"/>
      <c r="AA932" s="5"/>
      <c r="AB932" s="5"/>
      <c r="AC932" s="5"/>
      <c r="AD932" s="5"/>
      <c r="AE932" s="5"/>
    </row>
    <row r="933" spans="1:31" ht="15.75" customHeight="1">
      <c r="A933" s="5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5"/>
      <c r="T933" s="5"/>
      <c r="U933" s="5"/>
      <c r="V933" s="5"/>
      <c r="W933" s="5"/>
      <c r="X933" s="5"/>
      <c r="Y933" s="5"/>
      <c r="Z933" s="7"/>
      <c r="AA933" s="5"/>
      <c r="AB933" s="5"/>
      <c r="AC933" s="5"/>
      <c r="AD933" s="5"/>
      <c r="AE933" s="5"/>
    </row>
    <row r="934" spans="1:31" ht="15.75" customHeight="1">
      <c r="A934" s="5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5"/>
      <c r="T934" s="5"/>
      <c r="U934" s="5"/>
      <c r="V934" s="5"/>
      <c r="W934" s="5"/>
      <c r="X934" s="5"/>
      <c r="Y934" s="5"/>
      <c r="Z934" s="7"/>
      <c r="AA934" s="5"/>
      <c r="AB934" s="5"/>
      <c r="AC934" s="5"/>
      <c r="AD934" s="5"/>
      <c r="AE934" s="5"/>
    </row>
    <row r="935" spans="1:31" ht="15.75" customHeight="1">
      <c r="A935" s="5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5"/>
      <c r="T935" s="5"/>
      <c r="U935" s="5"/>
      <c r="V935" s="5"/>
      <c r="W935" s="5"/>
      <c r="X935" s="5"/>
      <c r="Y935" s="5"/>
      <c r="Z935" s="7"/>
      <c r="AA935" s="5"/>
      <c r="AB935" s="5"/>
      <c r="AC935" s="5"/>
      <c r="AD935" s="5"/>
      <c r="AE935" s="5"/>
    </row>
    <row r="936" spans="1:31" ht="15.75" customHeight="1">
      <c r="A936" s="5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5"/>
      <c r="T936" s="5"/>
      <c r="U936" s="5"/>
      <c r="V936" s="5"/>
      <c r="W936" s="5"/>
      <c r="X936" s="5"/>
      <c r="Y936" s="5"/>
      <c r="Z936" s="7"/>
      <c r="AA936" s="5"/>
      <c r="AB936" s="5"/>
      <c r="AC936" s="5"/>
      <c r="AD936" s="5"/>
      <c r="AE936" s="5"/>
    </row>
    <row r="937" spans="1:31" ht="15.75" customHeight="1">
      <c r="A937" s="5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5"/>
      <c r="T937" s="5"/>
      <c r="U937" s="5"/>
      <c r="V937" s="5"/>
      <c r="W937" s="5"/>
      <c r="X937" s="5"/>
      <c r="Y937" s="5"/>
      <c r="Z937" s="7"/>
      <c r="AA937" s="5"/>
      <c r="AB937" s="5"/>
      <c r="AC937" s="5"/>
      <c r="AD937" s="5"/>
      <c r="AE937" s="5"/>
    </row>
    <row r="938" spans="1:31" ht="15.75" customHeight="1">
      <c r="A938" s="5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5"/>
      <c r="T938" s="5"/>
      <c r="U938" s="5"/>
      <c r="V938" s="5"/>
      <c r="W938" s="5"/>
      <c r="X938" s="5"/>
      <c r="Y938" s="5"/>
      <c r="Z938" s="7"/>
      <c r="AA938" s="5"/>
      <c r="AB938" s="5"/>
      <c r="AC938" s="5"/>
      <c r="AD938" s="5"/>
      <c r="AE938" s="5"/>
    </row>
    <row r="939" spans="1:31" ht="15.75" customHeight="1">
      <c r="A939" s="5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5"/>
      <c r="T939" s="5"/>
      <c r="U939" s="5"/>
      <c r="V939" s="5"/>
      <c r="W939" s="5"/>
      <c r="X939" s="5"/>
      <c r="Y939" s="5"/>
      <c r="Z939" s="7"/>
      <c r="AA939" s="5"/>
      <c r="AB939" s="5"/>
      <c r="AC939" s="5"/>
      <c r="AD939" s="5"/>
      <c r="AE939" s="5"/>
    </row>
    <row r="940" spans="1:31" ht="15.75" customHeight="1">
      <c r="A940" s="5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5"/>
      <c r="T940" s="5"/>
      <c r="U940" s="5"/>
      <c r="V940" s="5"/>
      <c r="W940" s="5"/>
      <c r="X940" s="5"/>
      <c r="Y940" s="5"/>
      <c r="Z940" s="7"/>
      <c r="AA940" s="5"/>
      <c r="AB940" s="5"/>
      <c r="AC940" s="5"/>
      <c r="AD940" s="5"/>
      <c r="AE940" s="5"/>
    </row>
    <row r="941" spans="1:31" ht="15.75" customHeight="1">
      <c r="A941" s="5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5"/>
      <c r="T941" s="5"/>
      <c r="U941" s="5"/>
      <c r="V941" s="5"/>
      <c r="W941" s="5"/>
      <c r="X941" s="5"/>
      <c r="Y941" s="5"/>
      <c r="Z941" s="7"/>
      <c r="AA941" s="5"/>
      <c r="AB941" s="5"/>
      <c r="AC941" s="5"/>
      <c r="AD941" s="5"/>
      <c r="AE941" s="5"/>
    </row>
    <row r="942" spans="1:31" ht="15.75" customHeight="1">
      <c r="A942" s="5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5"/>
      <c r="T942" s="5"/>
      <c r="U942" s="5"/>
      <c r="V942" s="5"/>
      <c r="W942" s="5"/>
      <c r="X942" s="5"/>
      <c r="Y942" s="5"/>
      <c r="Z942" s="7"/>
      <c r="AA942" s="5"/>
      <c r="AB942" s="5"/>
      <c r="AC942" s="5"/>
      <c r="AD942" s="5"/>
      <c r="AE942" s="5"/>
    </row>
    <row r="943" spans="1:31" ht="15.75" customHeight="1">
      <c r="A943" s="5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5"/>
      <c r="T943" s="5"/>
      <c r="U943" s="5"/>
      <c r="V943" s="5"/>
      <c r="W943" s="5"/>
      <c r="X943" s="5"/>
      <c r="Y943" s="5"/>
      <c r="Z943" s="7"/>
      <c r="AA943" s="5"/>
      <c r="AB943" s="5"/>
      <c r="AC943" s="5"/>
      <c r="AD943" s="5"/>
      <c r="AE943" s="5"/>
    </row>
    <row r="944" spans="1:31" ht="15.75" customHeight="1">
      <c r="A944" s="5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5"/>
      <c r="T944" s="5"/>
      <c r="U944" s="5"/>
      <c r="V944" s="5"/>
      <c r="W944" s="5"/>
      <c r="X944" s="5"/>
      <c r="Y944" s="5"/>
      <c r="Z944" s="7"/>
      <c r="AA944" s="5"/>
      <c r="AB944" s="5"/>
      <c r="AC944" s="5"/>
      <c r="AD944" s="5"/>
      <c r="AE944" s="5"/>
    </row>
    <row r="945" spans="1:31" ht="15.75" customHeight="1">
      <c r="A945" s="5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5"/>
      <c r="T945" s="5"/>
      <c r="U945" s="5"/>
      <c r="V945" s="5"/>
      <c r="W945" s="5"/>
      <c r="X945" s="5"/>
      <c r="Y945" s="5"/>
      <c r="Z945" s="7"/>
      <c r="AA945" s="5"/>
      <c r="AB945" s="5"/>
      <c r="AC945" s="5"/>
      <c r="AD945" s="5"/>
      <c r="AE945" s="5"/>
    </row>
    <row r="946" spans="1:31" ht="15.75" customHeight="1">
      <c r="A946" s="5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5"/>
      <c r="T946" s="5"/>
      <c r="U946" s="5"/>
      <c r="V946" s="5"/>
      <c r="W946" s="5"/>
      <c r="X946" s="5"/>
      <c r="Y946" s="5"/>
      <c r="Z946" s="7"/>
      <c r="AA946" s="5"/>
      <c r="AB946" s="5"/>
      <c r="AC946" s="5"/>
      <c r="AD946" s="5"/>
      <c r="AE946" s="5"/>
    </row>
    <row r="947" spans="1:31" ht="15.75" customHeight="1">
      <c r="A947" s="5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5"/>
      <c r="T947" s="5"/>
      <c r="U947" s="5"/>
      <c r="V947" s="5"/>
      <c r="W947" s="5"/>
      <c r="X947" s="5"/>
      <c r="Y947" s="5"/>
      <c r="Z947" s="7"/>
      <c r="AA947" s="5"/>
      <c r="AB947" s="5"/>
      <c r="AC947" s="5"/>
      <c r="AD947" s="5"/>
      <c r="AE947" s="5"/>
    </row>
    <row r="948" spans="1:31" ht="15.75" customHeight="1">
      <c r="A948" s="5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5"/>
      <c r="T948" s="5"/>
      <c r="U948" s="5"/>
      <c r="V948" s="5"/>
      <c r="W948" s="5"/>
      <c r="X948" s="5"/>
      <c r="Y948" s="5"/>
      <c r="Z948" s="7"/>
      <c r="AA948" s="5"/>
      <c r="AB948" s="5"/>
      <c r="AC948" s="5"/>
      <c r="AD948" s="5"/>
      <c r="AE948" s="5"/>
    </row>
    <row r="949" spans="1:31" ht="15.75" customHeight="1">
      <c r="A949" s="5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5"/>
      <c r="T949" s="5"/>
      <c r="U949" s="5"/>
      <c r="V949" s="5"/>
      <c r="W949" s="5"/>
      <c r="X949" s="5"/>
      <c r="Y949" s="5"/>
      <c r="Z949" s="7"/>
      <c r="AA949" s="5"/>
      <c r="AB949" s="5"/>
      <c r="AC949" s="5"/>
      <c r="AD949" s="5"/>
      <c r="AE949" s="5"/>
    </row>
    <row r="950" spans="1:31" ht="15.75" customHeight="1">
      <c r="A950" s="5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5"/>
      <c r="T950" s="5"/>
      <c r="U950" s="5"/>
      <c r="V950" s="5"/>
      <c r="W950" s="5"/>
      <c r="X950" s="5"/>
      <c r="Y950" s="5"/>
      <c r="Z950" s="7"/>
      <c r="AA950" s="5"/>
      <c r="AB950" s="5"/>
      <c r="AC950" s="5"/>
      <c r="AD950" s="5"/>
      <c r="AE950" s="5"/>
    </row>
    <row r="951" spans="1:31" ht="15.75" customHeight="1">
      <c r="A951" s="5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5"/>
      <c r="T951" s="5"/>
      <c r="U951" s="5"/>
      <c r="V951" s="5"/>
      <c r="W951" s="5"/>
      <c r="X951" s="5"/>
      <c r="Y951" s="5"/>
      <c r="Z951" s="7"/>
      <c r="AA951" s="5"/>
      <c r="AB951" s="5"/>
      <c r="AC951" s="5"/>
      <c r="AD951" s="5"/>
      <c r="AE951" s="5"/>
    </row>
    <row r="952" spans="1:31" ht="15.75" customHeight="1">
      <c r="A952" s="5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5"/>
      <c r="T952" s="5"/>
      <c r="U952" s="5"/>
      <c r="V952" s="5"/>
      <c r="W952" s="5"/>
      <c r="X952" s="5"/>
      <c r="Y952" s="5"/>
      <c r="Z952" s="7"/>
      <c r="AA952" s="5"/>
      <c r="AB952" s="5"/>
      <c r="AC952" s="5"/>
      <c r="AD952" s="5"/>
      <c r="AE952" s="5"/>
    </row>
    <row r="953" spans="1:31" ht="15.75" customHeight="1">
      <c r="A953" s="5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5"/>
      <c r="T953" s="5"/>
      <c r="U953" s="5"/>
      <c r="V953" s="5"/>
      <c r="W953" s="5"/>
      <c r="X953" s="5"/>
      <c r="Y953" s="5"/>
      <c r="Z953" s="7"/>
      <c r="AA953" s="5"/>
      <c r="AB953" s="5"/>
      <c r="AC953" s="5"/>
      <c r="AD953" s="5"/>
      <c r="AE953" s="5"/>
    </row>
    <row r="954" spans="1:31" ht="15.75" customHeight="1">
      <c r="A954" s="5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5"/>
      <c r="T954" s="5"/>
      <c r="U954" s="5"/>
      <c r="V954" s="5"/>
      <c r="W954" s="5"/>
      <c r="X954" s="5"/>
      <c r="Y954" s="5"/>
      <c r="Z954" s="7"/>
      <c r="AA954" s="5"/>
      <c r="AB954" s="5"/>
      <c r="AC954" s="5"/>
      <c r="AD954" s="5"/>
      <c r="AE954" s="5"/>
    </row>
    <row r="955" spans="1:31" ht="15.75" customHeight="1">
      <c r="A955" s="5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5"/>
      <c r="T955" s="5"/>
      <c r="U955" s="5"/>
      <c r="V955" s="5"/>
      <c r="W955" s="5"/>
      <c r="X955" s="5"/>
      <c r="Y955" s="5"/>
      <c r="Z955" s="7"/>
      <c r="AA955" s="5"/>
      <c r="AB955" s="5"/>
      <c r="AC955" s="5"/>
      <c r="AD955" s="5"/>
      <c r="AE955" s="5"/>
    </row>
    <row r="956" spans="1:31" ht="15.75" customHeight="1">
      <c r="A956" s="5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5"/>
      <c r="T956" s="5"/>
      <c r="U956" s="5"/>
      <c r="V956" s="5"/>
      <c r="W956" s="5"/>
      <c r="X956" s="5"/>
      <c r="Y956" s="5"/>
      <c r="Z956" s="7"/>
      <c r="AA956" s="5"/>
      <c r="AB956" s="5"/>
      <c r="AC956" s="5"/>
      <c r="AD956" s="5"/>
      <c r="AE956" s="5"/>
    </row>
    <row r="957" spans="1:31" ht="15.75" customHeight="1">
      <c r="A957" s="5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5"/>
      <c r="T957" s="5"/>
      <c r="U957" s="5"/>
      <c r="V957" s="5"/>
      <c r="W957" s="5"/>
      <c r="X957" s="5"/>
      <c r="Y957" s="5"/>
      <c r="Z957" s="7"/>
      <c r="AA957" s="5"/>
      <c r="AB957" s="5"/>
      <c r="AC957" s="5"/>
      <c r="AD957" s="5"/>
      <c r="AE957" s="5"/>
    </row>
    <row r="958" spans="1:31" ht="15.75" customHeight="1">
      <c r="A958" s="5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5"/>
      <c r="T958" s="5"/>
      <c r="U958" s="5"/>
      <c r="V958" s="5"/>
      <c r="W958" s="5"/>
      <c r="X958" s="5"/>
      <c r="Y958" s="5"/>
      <c r="Z958" s="7"/>
      <c r="AA958" s="5"/>
      <c r="AB958" s="5"/>
      <c r="AC958" s="5"/>
      <c r="AD958" s="5"/>
      <c r="AE958" s="5"/>
    </row>
    <row r="959" spans="1:31" ht="15.75" customHeight="1">
      <c r="A959" s="5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5"/>
      <c r="T959" s="5"/>
      <c r="U959" s="5"/>
      <c r="V959" s="5"/>
      <c r="W959" s="5"/>
      <c r="X959" s="5"/>
      <c r="Y959" s="5"/>
      <c r="Z959" s="7"/>
      <c r="AA959" s="5"/>
      <c r="AB959" s="5"/>
      <c r="AC959" s="5"/>
      <c r="AD959" s="5"/>
      <c r="AE959" s="5"/>
    </row>
    <row r="960" spans="1:31" ht="15.75" customHeight="1">
      <c r="A960" s="5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5"/>
      <c r="T960" s="5"/>
      <c r="U960" s="5"/>
      <c r="V960" s="5"/>
      <c r="W960" s="5"/>
      <c r="X960" s="5"/>
      <c r="Y960" s="5"/>
      <c r="Z960" s="7"/>
      <c r="AA960" s="5"/>
      <c r="AB960" s="5"/>
      <c r="AC960" s="5"/>
      <c r="AD960" s="5"/>
      <c r="AE960" s="5"/>
    </row>
    <row r="961" spans="1:31" ht="15.75" customHeight="1">
      <c r="A961" s="5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5"/>
      <c r="T961" s="5"/>
      <c r="U961" s="5"/>
      <c r="V961" s="5"/>
      <c r="W961" s="5"/>
      <c r="X961" s="5"/>
      <c r="Y961" s="5"/>
      <c r="Z961" s="7"/>
      <c r="AA961" s="5"/>
      <c r="AB961" s="5"/>
      <c r="AC961" s="5"/>
      <c r="AD961" s="5"/>
      <c r="AE961" s="5"/>
    </row>
    <row r="962" spans="1:31" ht="15.75" customHeight="1">
      <c r="A962" s="5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5"/>
      <c r="T962" s="5"/>
      <c r="U962" s="5"/>
      <c r="V962" s="5"/>
      <c r="W962" s="5"/>
      <c r="X962" s="5"/>
      <c r="Y962" s="5"/>
      <c r="Z962" s="7"/>
      <c r="AA962" s="5"/>
      <c r="AB962" s="5"/>
      <c r="AC962" s="5"/>
      <c r="AD962" s="5"/>
      <c r="AE962" s="5"/>
    </row>
    <row r="963" spans="1:31" ht="15.75" customHeight="1">
      <c r="A963" s="5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5"/>
      <c r="T963" s="5"/>
      <c r="U963" s="5"/>
      <c r="V963" s="5"/>
      <c r="W963" s="5"/>
      <c r="X963" s="5"/>
      <c r="Y963" s="5"/>
      <c r="Z963" s="7"/>
      <c r="AA963" s="5"/>
      <c r="AB963" s="5"/>
      <c r="AC963" s="5"/>
      <c r="AD963" s="5"/>
      <c r="AE963" s="5"/>
    </row>
    <row r="964" spans="1:31" ht="15.75" customHeight="1">
      <c r="A964" s="5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5"/>
      <c r="T964" s="5"/>
      <c r="U964" s="5"/>
      <c r="V964" s="5"/>
      <c r="W964" s="5"/>
      <c r="X964" s="5"/>
      <c r="Y964" s="5"/>
      <c r="Z964" s="7"/>
      <c r="AA964" s="5"/>
      <c r="AB964" s="5"/>
      <c r="AC964" s="5"/>
      <c r="AD964" s="5"/>
      <c r="AE964" s="5"/>
    </row>
    <row r="965" spans="1:31" ht="15.75" customHeight="1">
      <c r="A965" s="5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5"/>
      <c r="T965" s="5"/>
      <c r="U965" s="5"/>
      <c r="V965" s="5"/>
      <c r="W965" s="5"/>
      <c r="X965" s="5"/>
      <c r="Y965" s="5"/>
      <c r="Z965" s="7"/>
      <c r="AA965" s="5"/>
      <c r="AB965" s="5"/>
      <c r="AC965" s="5"/>
      <c r="AD965" s="5"/>
      <c r="AE965" s="5"/>
    </row>
    <row r="966" spans="1:31" ht="15.75" customHeight="1">
      <c r="A966" s="5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5"/>
      <c r="T966" s="5"/>
      <c r="U966" s="5"/>
      <c r="V966" s="5"/>
      <c r="W966" s="5"/>
      <c r="X966" s="5"/>
      <c r="Y966" s="5"/>
      <c r="Z966" s="7"/>
      <c r="AA966" s="5"/>
      <c r="AB966" s="5"/>
      <c r="AC966" s="5"/>
      <c r="AD966" s="5"/>
      <c r="AE966" s="5"/>
    </row>
    <row r="967" spans="1:31" ht="15.75" customHeight="1">
      <c r="A967" s="5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5"/>
      <c r="T967" s="5"/>
      <c r="U967" s="5"/>
      <c r="V967" s="5"/>
      <c r="W967" s="5"/>
      <c r="X967" s="5"/>
      <c r="Y967" s="5"/>
      <c r="Z967" s="7"/>
      <c r="AA967" s="5"/>
      <c r="AB967" s="5"/>
      <c r="AC967" s="5"/>
      <c r="AD967" s="5"/>
      <c r="AE967" s="5"/>
    </row>
    <row r="968" spans="1:31" ht="15.75" customHeight="1">
      <c r="A968" s="5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5"/>
      <c r="T968" s="5"/>
      <c r="U968" s="5"/>
      <c r="V968" s="5"/>
      <c r="W968" s="5"/>
      <c r="X968" s="5"/>
      <c r="Y968" s="5"/>
      <c r="Z968" s="7"/>
      <c r="AA968" s="5"/>
      <c r="AB968" s="5"/>
      <c r="AC968" s="5"/>
      <c r="AD968" s="5"/>
      <c r="AE968" s="5"/>
    </row>
    <row r="969" spans="1:31" ht="15.75" customHeight="1">
      <c r="A969" s="5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5"/>
      <c r="T969" s="5"/>
      <c r="U969" s="5"/>
      <c r="V969" s="5"/>
      <c r="W969" s="5"/>
      <c r="X969" s="5"/>
      <c r="Y969" s="5"/>
      <c r="Z969" s="7"/>
      <c r="AA969" s="5"/>
      <c r="AB969" s="5"/>
      <c r="AC969" s="5"/>
      <c r="AD969" s="5"/>
      <c r="AE969" s="5"/>
    </row>
    <row r="970" spans="1:31" ht="15.75" customHeight="1">
      <c r="A970" s="5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5"/>
      <c r="T970" s="5"/>
      <c r="U970" s="5"/>
      <c r="V970" s="5"/>
      <c r="W970" s="5"/>
      <c r="X970" s="5"/>
      <c r="Y970" s="5"/>
      <c r="Z970" s="7"/>
      <c r="AA970" s="5"/>
      <c r="AB970" s="5"/>
      <c r="AC970" s="5"/>
      <c r="AD970" s="5"/>
      <c r="AE970" s="5"/>
    </row>
    <row r="971" spans="1:31" ht="15.75" customHeight="1">
      <c r="A971" s="5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5"/>
      <c r="T971" s="5"/>
      <c r="U971" s="5"/>
      <c r="V971" s="5"/>
      <c r="W971" s="5"/>
      <c r="X971" s="5"/>
      <c r="Y971" s="5"/>
      <c r="Z971" s="7"/>
      <c r="AA971" s="5"/>
      <c r="AB971" s="5"/>
      <c r="AC971" s="5"/>
      <c r="AD971" s="5"/>
      <c r="AE971" s="5"/>
    </row>
    <row r="972" spans="1:31" ht="15.75" customHeight="1">
      <c r="A972" s="5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5"/>
      <c r="T972" s="5"/>
      <c r="U972" s="5"/>
      <c r="V972" s="5"/>
      <c r="W972" s="5"/>
      <c r="X972" s="5"/>
      <c r="Y972" s="5"/>
      <c r="Z972" s="7"/>
      <c r="AA972" s="5"/>
      <c r="AB972" s="5"/>
      <c r="AC972" s="5"/>
      <c r="AD972" s="5"/>
      <c r="AE972" s="5"/>
    </row>
    <row r="973" spans="1:31" ht="15.75" customHeight="1">
      <c r="A973" s="5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5"/>
      <c r="T973" s="5"/>
      <c r="U973" s="5"/>
      <c r="V973" s="5"/>
      <c r="W973" s="5"/>
      <c r="X973" s="5"/>
      <c r="Y973" s="5"/>
      <c r="Z973" s="7"/>
      <c r="AA973" s="5"/>
      <c r="AB973" s="5"/>
      <c r="AC973" s="5"/>
      <c r="AD973" s="5"/>
      <c r="AE973" s="5"/>
    </row>
    <row r="974" spans="1:31" ht="15.75" customHeight="1">
      <c r="A974" s="5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5"/>
      <c r="T974" s="5"/>
      <c r="U974" s="5"/>
      <c r="V974" s="5"/>
      <c r="W974" s="5"/>
      <c r="X974" s="5"/>
      <c r="Y974" s="5"/>
      <c r="Z974" s="7"/>
      <c r="AA974" s="5"/>
      <c r="AB974" s="5"/>
      <c r="AC974" s="5"/>
      <c r="AD974" s="5"/>
      <c r="AE974" s="5"/>
    </row>
    <row r="975" spans="1:31" ht="15.75" customHeight="1">
      <c r="A975" s="5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5"/>
      <c r="T975" s="5"/>
      <c r="U975" s="5"/>
      <c r="V975" s="5"/>
      <c r="W975" s="5"/>
      <c r="X975" s="5"/>
      <c r="Y975" s="5"/>
      <c r="Z975" s="7"/>
      <c r="AA975" s="5"/>
      <c r="AB975" s="5"/>
      <c r="AC975" s="5"/>
      <c r="AD975" s="5"/>
      <c r="AE975" s="5"/>
    </row>
    <row r="976" spans="1:31" ht="15.75" customHeight="1">
      <c r="A976" s="5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5"/>
      <c r="T976" s="5"/>
      <c r="U976" s="5"/>
      <c r="V976" s="5"/>
      <c r="W976" s="5"/>
      <c r="X976" s="5"/>
      <c r="Y976" s="5"/>
      <c r="Z976" s="7"/>
      <c r="AA976" s="5"/>
      <c r="AB976" s="5"/>
      <c r="AC976" s="5"/>
      <c r="AD976" s="5"/>
      <c r="AE976" s="5"/>
    </row>
    <row r="977" spans="1:31" ht="15.75" customHeight="1">
      <c r="A977" s="5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5"/>
      <c r="T977" s="5"/>
      <c r="U977" s="5"/>
      <c r="V977" s="5"/>
      <c r="W977" s="5"/>
      <c r="X977" s="5"/>
      <c r="Y977" s="5"/>
      <c r="Z977" s="7"/>
      <c r="AA977" s="5"/>
      <c r="AB977" s="5"/>
      <c r="AC977" s="5"/>
      <c r="AD977" s="5"/>
      <c r="AE977" s="5"/>
    </row>
    <row r="978" spans="1:31" ht="15.75" customHeight="1">
      <c r="A978" s="5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5"/>
      <c r="T978" s="5"/>
      <c r="U978" s="5"/>
      <c r="V978" s="5"/>
      <c r="W978" s="5"/>
      <c r="X978" s="5"/>
      <c r="Y978" s="5"/>
      <c r="Z978" s="7"/>
      <c r="AA978" s="5"/>
      <c r="AB978" s="5"/>
      <c r="AC978" s="5"/>
      <c r="AD978" s="5"/>
      <c r="AE978" s="5"/>
    </row>
    <row r="979" spans="1:31" ht="15.75" customHeight="1">
      <c r="A979" s="5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5"/>
      <c r="T979" s="5"/>
      <c r="U979" s="5"/>
      <c r="V979" s="5"/>
      <c r="W979" s="5"/>
      <c r="X979" s="5"/>
      <c r="Y979" s="5"/>
      <c r="Z979" s="7"/>
      <c r="AA979" s="5"/>
      <c r="AB979" s="5"/>
      <c r="AC979" s="5"/>
      <c r="AD979" s="5"/>
      <c r="AE979" s="5"/>
    </row>
    <row r="980" spans="1:31" ht="15.75" customHeight="1">
      <c r="A980" s="5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5"/>
      <c r="T980" s="5"/>
      <c r="U980" s="5"/>
      <c r="V980" s="5"/>
      <c r="W980" s="5"/>
      <c r="X980" s="5"/>
      <c r="Y980" s="5"/>
      <c r="Z980" s="7"/>
      <c r="AA980" s="5"/>
      <c r="AB980" s="5"/>
      <c r="AC980" s="5"/>
      <c r="AD980" s="5"/>
      <c r="AE980" s="5"/>
    </row>
    <row r="981" spans="1:31" ht="15.75" customHeight="1">
      <c r="A981" s="5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5"/>
      <c r="T981" s="5"/>
      <c r="U981" s="5"/>
      <c r="V981" s="5"/>
      <c r="W981" s="5"/>
      <c r="X981" s="5"/>
      <c r="Y981" s="5"/>
      <c r="Z981" s="7"/>
      <c r="AA981" s="5"/>
      <c r="AB981" s="5"/>
      <c r="AC981" s="5"/>
      <c r="AD981" s="5"/>
      <c r="AE981" s="5"/>
    </row>
    <row r="982" spans="1:31" ht="15.75" customHeight="1">
      <c r="A982" s="5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5"/>
      <c r="T982" s="5"/>
      <c r="U982" s="5"/>
      <c r="V982" s="5"/>
      <c r="W982" s="5"/>
      <c r="X982" s="5"/>
      <c r="Y982" s="5"/>
      <c r="Z982" s="7"/>
      <c r="AA982" s="5"/>
      <c r="AB982" s="5"/>
      <c r="AC982" s="5"/>
      <c r="AD982" s="5"/>
      <c r="AE982" s="5"/>
    </row>
    <row r="983" spans="1:31" ht="15.75" customHeight="1">
      <c r="A983" s="5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5"/>
      <c r="T983" s="5"/>
      <c r="U983" s="5"/>
      <c r="V983" s="5"/>
      <c r="W983" s="5"/>
      <c r="X983" s="5"/>
      <c r="Y983" s="5"/>
      <c r="Z983" s="7"/>
      <c r="AA983" s="5"/>
      <c r="AB983" s="5"/>
      <c r="AC983" s="5"/>
      <c r="AD983" s="5"/>
      <c r="AE983" s="5"/>
    </row>
    <row r="984" spans="1:31" ht="15.75" customHeight="1">
      <c r="A984" s="5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5"/>
      <c r="T984" s="5"/>
      <c r="U984" s="5"/>
      <c r="V984" s="5"/>
      <c r="W984" s="5"/>
      <c r="X984" s="5"/>
      <c r="Y984" s="5"/>
      <c r="Z984" s="7"/>
      <c r="AA984" s="5"/>
      <c r="AB984" s="5"/>
      <c r="AC984" s="5"/>
      <c r="AD984" s="5"/>
      <c r="AE984" s="5"/>
    </row>
    <row r="985" spans="1:31" ht="15.75" customHeight="1">
      <c r="A985" s="5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5"/>
      <c r="T985" s="5"/>
      <c r="U985" s="5"/>
      <c r="V985" s="5"/>
      <c r="W985" s="5"/>
      <c r="X985" s="5"/>
      <c r="Y985" s="5"/>
      <c r="Z985" s="7"/>
      <c r="AA985" s="5"/>
      <c r="AB985" s="5"/>
      <c r="AC985" s="5"/>
      <c r="AD985" s="5"/>
      <c r="AE985" s="5"/>
    </row>
    <row r="986" spans="1:31" ht="15.75" customHeight="1">
      <c r="A986" s="5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5"/>
      <c r="T986" s="5"/>
      <c r="U986" s="5"/>
      <c r="V986" s="5"/>
      <c r="W986" s="5"/>
      <c r="X986" s="5"/>
      <c r="Y986" s="5"/>
      <c r="Z986" s="7"/>
      <c r="AA986" s="5"/>
      <c r="AB986" s="5"/>
      <c r="AC986" s="5"/>
      <c r="AD986" s="5"/>
      <c r="AE986" s="5"/>
    </row>
    <row r="987" spans="1:31" ht="15.75" customHeight="1">
      <c r="A987" s="5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5"/>
      <c r="T987" s="5"/>
      <c r="U987" s="5"/>
      <c r="V987" s="5"/>
      <c r="W987" s="5"/>
      <c r="X987" s="5"/>
      <c r="Y987" s="5"/>
      <c r="Z987" s="7"/>
      <c r="AA987" s="5"/>
      <c r="AB987" s="5"/>
      <c r="AC987" s="5"/>
      <c r="AD987" s="5"/>
      <c r="AE987" s="5"/>
    </row>
    <row r="988" spans="1:31" ht="15.75" customHeight="1">
      <c r="A988" s="5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5"/>
      <c r="T988" s="5"/>
      <c r="U988" s="5"/>
      <c r="V988" s="5"/>
      <c r="W988" s="5"/>
      <c r="X988" s="5"/>
      <c r="Y988" s="5"/>
      <c r="Z988" s="7"/>
      <c r="AA988" s="5"/>
      <c r="AB988" s="5"/>
      <c r="AC988" s="5"/>
      <c r="AD988" s="5"/>
      <c r="AE988" s="5"/>
    </row>
    <row r="989" spans="1:31" ht="15.75" customHeight="1">
      <c r="A989" s="5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5"/>
      <c r="T989" s="5"/>
      <c r="U989" s="5"/>
      <c r="V989" s="5"/>
      <c r="W989" s="5"/>
      <c r="X989" s="5"/>
      <c r="Y989" s="5"/>
      <c r="Z989" s="7"/>
      <c r="AA989" s="5"/>
      <c r="AB989" s="5"/>
      <c r="AC989" s="5"/>
      <c r="AD989" s="5"/>
      <c r="AE989" s="5"/>
    </row>
    <row r="990" spans="1:31" ht="15.75" customHeight="1">
      <c r="A990" s="5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5"/>
      <c r="T990" s="5"/>
      <c r="U990" s="5"/>
      <c r="V990" s="5"/>
      <c r="W990" s="5"/>
      <c r="X990" s="5"/>
      <c r="Y990" s="5"/>
      <c r="Z990" s="7"/>
      <c r="AA990" s="5"/>
      <c r="AB990" s="5"/>
      <c r="AC990" s="5"/>
      <c r="AD990" s="5"/>
      <c r="AE990" s="5"/>
    </row>
    <row r="991" spans="1:31" ht="15.75" customHeight="1">
      <c r="A991" s="5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5"/>
      <c r="T991" s="5"/>
      <c r="U991" s="5"/>
      <c r="V991" s="5"/>
      <c r="W991" s="5"/>
      <c r="X991" s="5"/>
      <c r="Y991" s="5"/>
      <c r="Z991" s="7"/>
      <c r="AA991" s="5"/>
      <c r="AB991" s="5"/>
      <c r="AC991" s="5"/>
      <c r="AD991" s="5"/>
      <c r="AE991" s="5"/>
    </row>
    <row r="992" spans="1:31" ht="15.75" customHeight="1">
      <c r="A992" s="5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5"/>
      <c r="T992" s="5"/>
      <c r="U992" s="5"/>
      <c r="V992" s="5"/>
      <c r="W992" s="5"/>
      <c r="X992" s="5"/>
      <c r="Y992" s="5"/>
      <c r="Z992" s="7"/>
      <c r="AA992" s="5"/>
      <c r="AB992" s="5"/>
      <c r="AC992" s="5"/>
      <c r="AD992" s="5"/>
      <c r="AE992" s="5"/>
    </row>
    <row r="993" spans="1:31" ht="15.75" customHeight="1">
      <c r="A993" s="5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5"/>
      <c r="T993" s="5"/>
      <c r="U993" s="5"/>
      <c r="V993" s="5"/>
      <c r="W993" s="5"/>
      <c r="X993" s="5"/>
      <c r="Y993" s="5"/>
      <c r="Z993" s="7"/>
      <c r="AA993" s="5"/>
      <c r="AB993" s="5"/>
      <c r="AC993" s="5"/>
      <c r="AD993" s="5"/>
      <c r="AE993" s="5"/>
    </row>
    <row r="994" spans="1:31" ht="15.75" customHeight="1">
      <c r="A994" s="5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5"/>
      <c r="T994" s="5"/>
      <c r="U994" s="5"/>
      <c r="V994" s="5"/>
      <c r="W994" s="5"/>
      <c r="X994" s="5"/>
      <c r="Y994" s="5"/>
      <c r="Z994" s="7"/>
      <c r="AA994" s="5"/>
      <c r="AB994" s="5"/>
      <c r="AC994" s="5"/>
      <c r="AD994" s="5"/>
      <c r="AE994" s="5"/>
    </row>
    <row r="995" spans="1:31" ht="15.75" customHeight="1">
      <c r="A995" s="5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5"/>
      <c r="T995" s="5"/>
      <c r="U995" s="5"/>
      <c r="V995" s="5"/>
      <c r="W995" s="5"/>
      <c r="X995" s="5"/>
      <c r="Y995" s="5"/>
      <c r="Z995" s="7"/>
      <c r="AA995" s="5"/>
      <c r="AB995" s="5"/>
      <c r="AC995" s="5"/>
      <c r="AD995" s="5"/>
      <c r="AE995" s="5"/>
    </row>
    <row r="996" spans="1:31" ht="15.75" customHeight="1">
      <c r="A996" s="5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5"/>
      <c r="T996" s="5"/>
      <c r="U996" s="5"/>
      <c r="V996" s="5"/>
      <c r="W996" s="5"/>
      <c r="X996" s="5"/>
      <c r="Y996" s="5"/>
      <c r="Z996" s="7"/>
      <c r="AA996" s="5"/>
      <c r="AB996" s="5"/>
      <c r="AC996" s="5"/>
      <c r="AD996" s="5"/>
      <c r="AE996" s="5"/>
    </row>
    <row r="997" spans="1:31" ht="15.75" customHeight="1">
      <c r="A997" s="5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5"/>
      <c r="T997" s="5"/>
      <c r="U997" s="5"/>
      <c r="V997" s="5"/>
      <c r="W997" s="5"/>
      <c r="X997" s="5"/>
      <c r="Y997" s="5"/>
      <c r="Z997" s="7"/>
      <c r="AA997" s="5"/>
      <c r="AB997" s="5"/>
      <c r="AC997" s="5"/>
      <c r="AD997" s="5"/>
      <c r="AE997" s="5"/>
    </row>
    <row r="998" spans="1:31" ht="15.75" customHeight="1">
      <c r="A998" s="5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5"/>
      <c r="T998" s="5"/>
      <c r="U998" s="5"/>
      <c r="V998" s="5"/>
      <c r="W998" s="5"/>
      <c r="X998" s="5"/>
      <c r="Y998" s="5"/>
      <c r="Z998" s="7"/>
      <c r="AA998" s="5"/>
      <c r="AB998" s="5"/>
      <c r="AC998" s="5"/>
      <c r="AD998" s="5"/>
      <c r="AE998" s="5"/>
    </row>
    <row r="999" spans="1:31" ht="15.75" customHeight="1">
      <c r="A999" s="5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5"/>
      <c r="T999" s="5"/>
      <c r="U999" s="5"/>
      <c r="V999" s="5"/>
      <c r="W999" s="5"/>
      <c r="X999" s="5"/>
      <c r="Y999" s="5"/>
      <c r="Z999" s="7"/>
      <c r="AA999" s="5"/>
      <c r="AB999" s="5"/>
      <c r="AC999" s="5"/>
      <c r="AD999" s="5"/>
      <c r="AE999" s="5"/>
    </row>
    <row r="1000" spans="1:31" ht="15.75" customHeight="1">
      <c r="A1000" s="5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5"/>
      <c r="T1000" s="5"/>
      <c r="U1000" s="5"/>
      <c r="V1000" s="5"/>
      <c r="W1000" s="5"/>
      <c r="X1000" s="5"/>
      <c r="Y1000" s="5"/>
      <c r="Z1000" s="7"/>
      <c r="AA1000" s="5"/>
      <c r="AB1000" s="5"/>
      <c r="AC1000" s="5"/>
      <c r="AD1000" s="5"/>
      <c r="AE1000" s="5"/>
    </row>
  </sheetData>
  <mergeCells count="99">
    <mergeCell ref="L42:N42"/>
    <mergeCell ref="L44:N44"/>
    <mergeCell ref="L32:M32"/>
    <mergeCell ref="L35:M35"/>
    <mergeCell ref="L36:M36"/>
    <mergeCell ref="N36:Q36"/>
    <mergeCell ref="L37:M37"/>
    <mergeCell ref="N37:Q37"/>
    <mergeCell ref="L39:N39"/>
    <mergeCell ref="V25:AE26"/>
    <mergeCell ref="O26:P26"/>
    <mergeCell ref="L33:M33"/>
    <mergeCell ref="L34:M34"/>
    <mergeCell ref="L40:N40"/>
    <mergeCell ref="O27:P27"/>
    <mergeCell ref="O28:P28"/>
    <mergeCell ref="O29:P29"/>
    <mergeCell ref="O30:P30"/>
    <mergeCell ref="B25:C25"/>
    <mergeCell ref="D25:E25"/>
    <mergeCell ref="I25:J25"/>
    <mergeCell ref="L25:Q25"/>
    <mergeCell ref="O22:P22"/>
    <mergeCell ref="G23:H23"/>
    <mergeCell ref="G24:H24"/>
    <mergeCell ref="G25:H25"/>
    <mergeCell ref="O23:P23"/>
    <mergeCell ref="O24:P24"/>
    <mergeCell ref="B21:C21"/>
    <mergeCell ref="D21:E21"/>
    <mergeCell ref="G21:H21"/>
    <mergeCell ref="I21:J21"/>
    <mergeCell ref="D22:E22"/>
    <mergeCell ref="D19:E19"/>
    <mergeCell ref="G19:H19"/>
    <mergeCell ref="I19:J19"/>
    <mergeCell ref="O19:P19"/>
    <mergeCell ref="B20:F20"/>
    <mergeCell ref="G20:K20"/>
    <mergeCell ref="O20:P20"/>
    <mergeCell ref="B19:C19"/>
    <mergeCell ref="E39:G39"/>
    <mergeCell ref="E40:G40"/>
    <mergeCell ref="E42:G42"/>
    <mergeCell ref="E44:G44"/>
    <mergeCell ref="B27:J28"/>
    <mergeCell ref="C30:D30"/>
    <mergeCell ref="C31:D31"/>
    <mergeCell ref="C32:D32"/>
    <mergeCell ref="C33:D33"/>
    <mergeCell ref="C34:D34"/>
    <mergeCell ref="C35:D35"/>
    <mergeCell ref="B24:C24"/>
    <mergeCell ref="D24:E24"/>
    <mergeCell ref="I24:J24"/>
    <mergeCell ref="C36:D36"/>
    <mergeCell ref="C37:D37"/>
    <mergeCell ref="G22:H22"/>
    <mergeCell ref="I22:J22"/>
    <mergeCell ref="B22:C22"/>
    <mergeCell ref="B23:C23"/>
    <mergeCell ref="D23:E23"/>
    <mergeCell ref="I23:J23"/>
    <mergeCell ref="B18:C18"/>
    <mergeCell ref="D18:E18"/>
    <mergeCell ref="G18:H18"/>
    <mergeCell ref="I18:J18"/>
    <mergeCell ref="O18:P18"/>
    <mergeCell ref="B17:C17"/>
    <mergeCell ref="D17:E17"/>
    <mergeCell ref="O17:P17"/>
    <mergeCell ref="G17:H17"/>
    <mergeCell ref="I17:J17"/>
    <mergeCell ref="B16:C16"/>
    <mergeCell ref="D16:E16"/>
    <mergeCell ref="G16:H16"/>
    <mergeCell ref="I16:J16"/>
    <mergeCell ref="O16:P16"/>
    <mergeCell ref="G15:H15"/>
    <mergeCell ref="I15:J15"/>
    <mergeCell ref="O15:P15"/>
    <mergeCell ref="F5:I5"/>
    <mergeCell ref="J5:M5"/>
    <mergeCell ref="F11:G11"/>
    <mergeCell ref="B14:F14"/>
    <mergeCell ref="G14:K14"/>
    <mergeCell ref="B15:C15"/>
    <mergeCell ref="D15:E15"/>
    <mergeCell ref="N5:Q6"/>
    <mergeCell ref="L6:M6"/>
    <mergeCell ref="S11:S14"/>
    <mergeCell ref="L14:Q14"/>
    <mergeCell ref="D2:H2"/>
    <mergeCell ref="K2:L2"/>
    <mergeCell ref="O2:Q2"/>
    <mergeCell ref="D3:E3"/>
    <mergeCell ref="K3:L3"/>
    <mergeCell ref="O3:Q3"/>
    <mergeCell ref="B5:E5"/>
  </mergeCells>
  <conditionalFormatting sqref="C35:D35">
    <cfRule type="expression" dxfId="17" priority="1" stopIfTrue="1">
      <formula>AND(ISNUMBER($C$35),$C$35&lt;80)</formula>
    </cfRule>
  </conditionalFormatting>
  <conditionalFormatting sqref="C35:D35">
    <cfRule type="expression" dxfId="16" priority="2" stopIfTrue="1">
      <formula>AND(ISNUMBER($C$35),$C$35&gt;120)</formula>
    </cfRule>
  </conditionalFormatting>
  <conditionalFormatting sqref="L35:M35">
    <cfRule type="expression" dxfId="15" priority="3" stopIfTrue="1">
      <formula>AND(ISNUMBER($L$35),$L$35&lt;2.25)</formula>
    </cfRule>
  </conditionalFormatting>
  <conditionalFormatting sqref="L35:M35">
    <cfRule type="expression" dxfId="14" priority="4" stopIfTrue="1">
      <formula>AND(ISNUMBER($L$35),$L$35&gt;2.75)</formula>
    </cfRule>
  </conditionalFormatting>
  <conditionalFormatting sqref="L34:M34">
    <cfRule type="expression" dxfId="13" priority="5" stopIfTrue="1">
      <formula>AND(ISNUMBER($L$34),$L$34&lt;9)</formula>
    </cfRule>
  </conditionalFormatting>
  <conditionalFormatting sqref="L34:M34">
    <cfRule type="expression" dxfId="12" priority="6" stopIfTrue="1">
      <formula>AND(ISNUMBER($L$34),$L$34&gt;11)</formula>
    </cfRule>
  </conditionalFormatting>
  <printOptions horizontalCentered="1" verticalCentered="1"/>
  <pageMargins left="0.25" right="0.25" top="0.75" bottom="0.5" header="0" footer="0"/>
  <pageSetup orientation="portrait"/>
  <headerFooter>
    <oddHeader>&amp;CSpreadsheet for U.S. EPA Method 201A - Determination of Filterable PM10 and PM2.5 Emissions TEST RESULTS and DATA ANALYSIS SHEET</oddHeader>
    <oddFooter>&amp;CCopyright 2017 by Environmental Supply Company, Inc.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E1000"/>
  <sheetViews>
    <sheetView tabSelected="1" workbookViewId="0"/>
  </sheetViews>
  <sheetFormatPr baseColWidth="10" defaultColWidth="14.5" defaultRowHeight="15" customHeight="1"/>
  <cols>
    <col min="1" max="1" width="1" customWidth="1"/>
    <col min="2" max="8" width="6.33203125" customWidth="1"/>
    <col min="9" max="9" width="6.5" customWidth="1"/>
    <col min="10" max="11" width="6.33203125" customWidth="1"/>
    <col min="12" max="12" width="7.5" customWidth="1"/>
    <col min="13" max="16" width="6.33203125" customWidth="1"/>
    <col min="17" max="17" width="10.6640625" customWidth="1"/>
    <col min="18" max="18" width="1.1640625" customWidth="1"/>
    <col min="19" max="19" width="6.33203125" customWidth="1"/>
    <col min="20" max="20" width="1" customWidth="1"/>
    <col min="21" max="28" width="8.6640625" customWidth="1"/>
    <col min="29" max="31" width="6.33203125" customWidth="1"/>
  </cols>
  <sheetData>
    <row r="1" spans="1:31" ht="5.2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5"/>
      <c r="V1" s="5"/>
      <c r="W1" s="5"/>
      <c r="X1" s="5"/>
      <c r="Y1" s="5"/>
      <c r="Z1" s="7"/>
      <c r="AA1" s="5"/>
      <c r="AB1" s="5"/>
      <c r="AC1" s="5"/>
      <c r="AD1" s="5"/>
      <c r="AE1" s="5"/>
    </row>
    <row r="2" spans="1:31" ht="15" customHeight="1">
      <c r="A2" s="8"/>
      <c r="B2" s="9"/>
      <c r="C2" s="10" t="s">
        <v>26</v>
      </c>
      <c r="D2" s="379" t="str">
        <f>IF(ISTEXT('Pre-Test'!D2:H2),'Pre-Test'!D2:H2,"")</f>
        <v/>
      </c>
      <c r="E2" s="295"/>
      <c r="F2" s="295"/>
      <c r="G2" s="295"/>
      <c r="H2" s="296"/>
      <c r="I2" s="9"/>
      <c r="J2" s="10" t="s">
        <v>27</v>
      </c>
      <c r="K2" s="417" t="str">
        <f>IF(ISNUMBER('Run 2'!K2),'Run 2'!K2,"")</f>
        <v/>
      </c>
      <c r="L2" s="296"/>
      <c r="M2" s="9"/>
      <c r="N2" s="10" t="s">
        <v>28</v>
      </c>
      <c r="O2" s="450" t="str">
        <f>IF(ISTEXT('Run 2'!O2),'Run 2'!O2,"")</f>
        <v/>
      </c>
      <c r="P2" s="295"/>
      <c r="Q2" s="296"/>
      <c r="R2" s="251"/>
      <c r="S2" s="5"/>
      <c r="T2" s="5"/>
      <c r="U2" s="5"/>
      <c r="V2" s="5"/>
      <c r="W2" s="5"/>
      <c r="X2" s="5"/>
      <c r="Y2" s="5"/>
      <c r="Z2" s="7"/>
      <c r="AA2" s="5"/>
      <c r="AB2" s="5"/>
      <c r="AC2" s="5"/>
      <c r="AD2" s="5"/>
      <c r="AE2" s="5"/>
    </row>
    <row r="3" spans="1:31" ht="15" customHeight="1">
      <c r="A3" s="8"/>
      <c r="B3" s="9"/>
      <c r="C3" s="10" t="s">
        <v>29</v>
      </c>
      <c r="D3" s="418" t="str">
        <f>IF(ISNUMBER('Run 2'!D3),'Run 2'!D3,"")</f>
        <v/>
      </c>
      <c r="E3" s="280"/>
      <c r="F3" s="9"/>
      <c r="G3" s="9"/>
      <c r="H3" s="9"/>
      <c r="I3" s="9"/>
      <c r="J3" s="10" t="s">
        <v>30</v>
      </c>
      <c r="K3" s="417" t="str">
        <f>IF(ISNUMBER('Run 2'!K3),'Run 2'!K3,"")</f>
        <v/>
      </c>
      <c r="L3" s="296"/>
      <c r="M3" s="9"/>
      <c r="N3" s="10" t="s">
        <v>31</v>
      </c>
      <c r="O3" s="451" t="str">
        <f>IF(ISTEXT('Pre-Test'!P3),'Pre-Test'!P3,"")</f>
        <v/>
      </c>
      <c r="P3" s="452"/>
      <c r="Q3" s="280"/>
      <c r="R3" s="251"/>
      <c r="S3" s="5"/>
      <c r="T3" s="5"/>
      <c r="U3" s="5"/>
      <c r="V3" s="5"/>
      <c r="W3" s="5"/>
      <c r="X3" s="5"/>
      <c r="Y3" s="5"/>
      <c r="Z3" s="7"/>
      <c r="AA3" s="5"/>
      <c r="AB3" s="5"/>
      <c r="AC3" s="5"/>
      <c r="AD3" s="5"/>
      <c r="AE3" s="5"/>
    </row>
    <row r="4" spans="1:31" ht="9.75" customHeight="1">
      <c r="A4" s="8"/>
      <c r="B4" s="5"/>
      <c r="C4" s="10"/>
      <c r="D4" s="18"/>
      <c r="E4" s="5"/>
      <c r="F4" s="5"/>
      <c r="G4" s="5"/>
      <c r="H4" s="5"/>
      <c r="I4" s="5"/>
      <c r="J4" s="19"/>
      <c r="K4" s="5"/>
      <c r="L4" s="5"/>
      <c r="M4" s="5"/>
      <c r="N4" s="5"/>
      <c r="O4" s="5"/>
      <c r="P4" s="5"/>
      <c r="Q4" s="20"/>
      <c r="R4" s="251"/>
      <c r="S4" s="5"/>
      <c r="T4" s="5"/>
      <c r="U4" s="5"/>
      <c r="V4" s="5"/>
      <c r="W4" s="5"/>
      <c r="X4" s="5"/>
      <c r="Y4" s="5"/>
      <c r="Z4" s="7"/>
      <c r="AA4" s="5"/>
      <c r="AB4" s="5"/>
      <c r="AC4" s="5"/>
      <c r="AD4" s="5"/>
      <c r="AE4" s="5"/>
    </row>
    <row r="5" spans="1:31" ht="15" customHeight="1">
      <c r="A5" s="8"/>
      <c r="B5" s="386" t="s">
        <v>32</v>
      </c>
      <c r="C5" s="309"/>
      <c r="D5" s="309"/>
      <c r="E5" s="310"/>
      <c r="F5" s="386" t="s">
        <v>298</v>
      </c>
      <c r="G5" s="309"/>
      <c r="H5" s="309"/>
      <c r="I5" s="310"/>
      <c r="J5" s="382" t="s">
        <v>34</v>
      </c>
      <c r="K5" s="383"/>
      <c r="L5" s="383"/>
      <c r="M5" s="278"/>
      <c r="N5" s="307" t="s">
        <v>299</v>
      </c>
      <c r="O5" s="287"/>
      <c r="P5" s="287"/>
      <c r="Q5" s="288"/>
      <c r="R5" s="12"/>
      <c r="S5" s="5"/>
      <c r="T5" s="7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ht="15" customHeight="1">
      <c r="A6" s="8"/>
      <c r="B6" s="2"/>
      <c r="C6" s="23" t="s">
        <v>35</v>
      </c>
      <c r="D6" s="54" t="str">
        <f>IF(ISNUMBER(Bwse),Bwse,"-")</f>
        <v>-</v>
      </c>
      <c r="E6" s="27" t="s">
        <v>36</v>
      </c>
      <c r="F6" s="2"/>
      <c r="G6" s="23" t="s">
        <v>300</v>
      </c>
      <c r="H6" s="252" t="str">
        <f>IF(ISNUMBER(COO),COO,"-")</f>
        <v>-</v>
      </c>
      <c r="I6" s="27" t="s">
        <v>38</v>
      </c>
      <c r="J6" s="2"/>
      <c r="K6" s="23" t="s">
        <v>41</v>
      </c>
      <c r="L6" s="313" t="str">
        <f>IF(ISTEXT(MB),MB,"-")</f>
        <v>-</v>
      </c>
      <c r="M6" s="314"/>
      <c r="N6" s="291"/>
      <c r="O6" s="292"/>
      <c r="P6" s="292"/>
      <c r="Q6" s="293"/>
      <c r="R6" s="12"/>
      <c r="S6" s="5"/>
      <c r="T6" s="7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15" customHeight="1">
      <c r="A7" s="8"/>
      <c r="B7" s="8"/>
      <c r="C7" s="10" t="s">
        <v>42</v>
      </c>
      <c r="D7" s="36" t="str">
        <f>IF(ISNUMBER(Pbar_2),Pbar_2,"-")</f>
        <v>-</v>
      </c>
      <c r="E7" s="40" t="s">
        <v>43</v>
      </c>
      <c r="F7" s="8"/>
      <c r="G7" s="10" t="s">
        <v>301</v>
      </c>
      <c r="H7" s="152" t="str">
        <f>IF(ISNUMBER(OO),OO,"-")</f>
        <v>-</v>
      </c>
      <c r="I7" s="32" t="s">
        <v>38</v>
      </c>
      <c r="J7" s="8"/>
      <c r="K7" s="10" t="s">
        <v>46</v>
      </c>
      <c r="L7" s="133" t="str">
        <f>IF(ISNUMBER(Y),Y,"-")</f>
        <v>-</v>
      </c>
      <c r="M7" s="9"/>
      <c r="N7" s="154"/>
      <c r="O7" s="23" t="s">
        <v>402</v>
      </c>
      <c r="P7" s="253" t="str">
        <f>dP_2</f>
        <v>-</v>
      </c>
      <c r="Q7" s="40" t="s">
        <v>403</v>
      </c>
      <c r="R7" s="12"/>
      <c r="S7" s="5"/>
      <c r="T7" s="7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15" customHeight="1">
      <c r="A8" s="8"/>
      <c r="B8" s="8"/>
      <c r="C8" s="10" t="s">
        <v>47</v>
      </c>
      <c r="D8" s="36" t="str">
        <f>IF(ISNUMBER(Pg_2),Pg_2,"-")</f>
        <v>-</v>
      </c>
      <c r="E8" s="31" t="s">
        <v>404</v>
      </c>
      <c r="F8" s="8"/>
      <c r="G8" s="10" t="s">
        <v>305</v>
      </c>
      <c r="H8" s="36" t="str">
        <f>NN</f>
        <v>-</v>
      </c>
      <c r="I8" s="32" t="s">
        <v>38</v>
      </c>
      <c r="J8" s="8"/>
      <c r="K8" s="38" t="s">
        <v>405</v>
      </c>
      <c r="L8" s="133" t="str">
        <f>IF(ISNUMBER(dHa),dHa,"-")</f>
        <v>-</v>
      </c>
      <c r="M8" s="31" t="s">
        <v>406</v>
      </c>
      <c r="N8" s="44"/>
      <c r="O8" s="10" t="s">
        <v>407</v>
      </c>
      <c r="P8" s="49" t="str">
        <f>Tm_2</f>
        <v>-</v>
      </c>
      <c r="Q8" s="12" t="s">
        <v>149</v>
      </c>
      <c r="R8" s="12"/>
      <c r="S8" s="5"/>
      <c r="T8" s="7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ht="15" customHeight="1">
      <c r="A9" s="8"/>
      <c r="B9" s="8"/>
      <c r="C9" s="10" t="s">
        <v>54</v>
      </c>
      <c r="D9" s="36" t="str">
        <f>Ps_2</f>
        <v>-</v>
      </c>
      <c r="E9" s="40" t="s">
        <v>43</v>
      </c>
      <c r="F9" s="8"/>
      <c r="G9" s="10" t="s">
        <v>309</v>
      </c>
      <c r="H9" s="152" t="str">
        <f>Md</f>
        <v>-</v>
      </c>
      <c r="I9" s="40" t="s">
        <v>56</v>
      </c>
      <c r="J9" s="46" t="s">
        <v>66</v>
      </c>
      <c r="K9" s="133" t="str">
        <f>IF(ISNUMBER(Cpp),Cpp,"-")</f>
        <v>-</v>
      </c>
      <c r="L9" s="47" t="s">
        <v>67</v>
      </c>
      <c r="M9" s="143" t="str">
        <f>IF(OR(ISNUMBER('Pre-Test'!R11),ISTEXT('Pre-Test'!R11)),'Pre-Test'!R11,"-")</f>
        <v>-</v>
      </c>
      <c r="N9" s="44"/>
      <c r="O9" s="10" t="s">
        <v>408</v>
      </c>
      <c r="P9" s="49" t="str">
        <f>Ts_2</f>
        <v>-</v>
      </c>
      <c r="Q9" s="12" t="s">
        <v>149</v>
      </c>
      <c r="R9" s="12"/>
      <c r="S9" s="5"/>
      <c r="T9" s="7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15" customHeight="1">
      <c r="A10" s="8"/>
      <c r="B10" s="254"/>
      <c r="C10" s="255" t="s">
        <v>61</v>
      </c>
      <c r="D10" s="155" t="str">
        <f>IF(ISNUMBER(A),A,"-")</f>
        <v>-</v>
      </c>
      <c r="E10" s="256" t="s">
        <v>409</v>
      </c>
      <c r="F10" s="257"/>
      <c r="G10" s="255" t="s">
        <v>312</v>
      </c>
      <c r="H10" s="36" t="str">
        <f>IF(ISNUMBER(Bws_2),Md*(1-Bws_2)+18*Bws_2,"-")</f>
        <v>-</v>
      </c>
      <c r="I10" s="258" t="s">
        <v>56</v>
      </c>
      <c r="J10" s="46" t="s">
        <v>71</v>
      </c>
      <c r="K10" s="151" t="str">
        <f>IF(ISNUMBER(Cp),Cp,"-")</f>
        <v>-</v>
      </c>
      <c r="L10" s="47" t="s">
        <v>67</v>
      </c>
      <c r="M10" s="143" t="str">
        <f>IF(OR(ISNUMBER('Pre-Test'!R11),ISTEXT('Pre-Test'!R11)),'Pre-Test'!R11,"-")</f>
        <v>-</v>
      </c>
      <c r="N10" s="44"/>
      <c r="O10" s="10" t="s">
        <v>410</v>
      </c>
      <c r="P10" s="259" t="str">
        <f>dH_2</f>
        <v>-</v>
      </c>
      <c r="Q10" s="40" t="s">
        <v>411</v>
      </c>
      <c r="R10" s="12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ht="15" customHeight="1">
      <c r="A11" s="8"/>
      <c r="B11" s="60"/>
      <c r="C11" s="57" t="s">
        <v>140</v>
      </c>
      <c r="D11" s="58" t="str">
        <f>IF(ISNUMBER(N),N,"-")</f>
        <v>-</v>
      </c>
      <c r="E11" s="52" t="s">
        <v>141</v>
      </c>
      <c r="F11" s="323" t="s">
        <v>145</v>
      </c>
      <c r="G11" s="325"/>
      <c r="H11" s="260" t="str">
        <f>Time_2</f>
        <v>-</v>
      </c>
      <c r="I11" s="52" t="s">
        <v>146</v>
      </c>
      <c r="J11" s="60"/>
      <c r="K11" s="57" t="s">
        <v>75</v>
      </c>
      <c r="L11" s="261" t="str">
        <f>IF(ISNUMBER(Dn),Dn,"-")</f>
        <v>-</v>
      </c>
      <c r="M11" s="262" t="s">
        <v>76</v>
      </c>
      <c r="N11" s="2"/>
      <c r="O11" s="23" t="s">
        <v>412</v>
      </c>
      <c r="P11" s="253">
        <f>IF(ISNUMBER(Tstd),Tstd,"-")</f>
        <v>528</v>
      </c>
      <c r="Q11" s="4" t="s">
        <v>149</v>
      </c>
      <c r="R11" s="12"/>
      <c r="S11" s="414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15" customHeight="1">
      <c r="A12" s="8"/>
      <c r="B12" s="5"/>
      <c r="C12" s="10"/>
      <c r="D12" s="17"/>
      <c r="E12" s="5"/>
      <c r="F12" s="16"/>
      <c r="G12" s="263"/>
      <c r="H12" s="264"/>
      <c r="I12" s="5"/>
      <c r="J12" s="5"/>
      <c r="K12" s="10"/>
      <c r="L12" s="17"/>
      <c r="M12" s="222"/>
      <c r="N12" s="60"/>
      <c r="O12" s="149" t="s">
        <v>413</v>
      </c>
      <c r="P12" s="265">
        <f>IF(ISNUMBER(Pstd),Pstd,"-")</f>
        <v>29.92</v>
      </c>
      <c r="Q12" s="266" t="s">
        <v>43</v>
      </c>
      <c r="R12" s="12"/>
      <c r="S12" s="41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9" customHeight="1">
      <c r="A13" s="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12"/>
      <c r="S13" s="41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15" customHeight="1">
      <c r="A14" s="8"/>
      <c r="B14" s="387" t="s">
        <v>414</v>
      </c>
      <c r="C14" s="383"/>
      <c r="D14" s="383"/>
      <c r="E14" s="383"/>
      <c r="F14" s="278"/>
      <c r="G14" s="422" t="s">
        <v>415</v>
      </c>
      <c r="H14" s="309"/>
      <c r="I14" s="309"/>
      <c r="J14" s="309"/>
      <c r="K14" s="357"/>
      <c r="L14" s="387" t="s">
        <v>319</v>
      </c>
      <c r="M14" s="383"/>
      <c r="N14" s="383"/>
      <c r="O14" s="383"/>
      <c r="P14" s="383"/>
      <c r="Q14" s="278"/>
      <c r="R14" s="12"/>
      <c r="S14" s="416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15" customHeight="1">
      <c r="A15" s="8"/>
      <c r="B15" s="419" t="s">
        <v>320</v>
      </c>
      <c r="C15" s="310"/>
      <c r="D15" s="420"/>
      <c r="E15" s="312"/>
      <c r="F15" s="3" t="s">
        <v>321</v>
      </c>
      <c r="G15" s="419" t="s">
        <v>322</v>
      </c>
      <c r="H15" s="310"/>
      <c r="I15" s="420"/>
      <c r="J15" s="312"/>
      <c r="K15" s="4" t="s">
        <v>321</v>
      </c>
      <c r="L15" s="3"/>
      <c r="M15" s="3"/>
      <c r="N15" s="23" t="s">
        <v>323</v>
      </c>
      <c r="O15" s="421"/>
      <c r="P15" s="310"/>
      <c r="Q15" s="4" t="s">
        <v>324</v>
      </c>
      <c r="R15" s="12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15" customHeight="1">
      <c r="A16" s="8"/>
      <c r="B16" s="321" t="s">
        <v>325</v>
      </c>
      <c r="C16" s="273"/>
      <c r="D16" s="423"/>
      <c r="E16" s="273"/>
      <c r="F16" s="5" t="s">
        <v>321</v>
      </c>
      <c r="G16" s="321" t="s">
        <v>326</v>
      </c>
      <c r="H16" s="273"/>
      <c r="I16" s="423"/>
      <c r="J16" s="273"/>
      <c r="K16" s="12" t="s">
        <v>321</v>
      </c>
      <c r="L16" s="5"/>
      <c r="M16" s="5"/>
      <c r="N16" s="10" t="s">
        <v>327</v>
      </c>
      <c r="O16" s="424"/>
      <c r="P16" s="280"/>
      <c r="Q16" s="12" t="s">
        <v>324</v>
      </c>
      <c r="R16" s="12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15" customHeight="1">
      <c r="A17" s="8"/>
      <c r="B17" s="321" t="s">
        <v>416</v>
      </c>
      <c r="C17" s="273"/>
      <c r="D17" s="424"/>
      <c r="E17" s="280"/>
      <c r="F17" s="5" t="s">
        <v>329</v>
      </c>
      <c r="G17" s="321" t="s">
        <v>417</v>
      </c>
      <c r="H17" s="273"/>
      <c r="I17" s="424"/>
      <c r="J17" s="280"/>
      <c r="K17" s="12" t="s">
        <v>329</v>
      </c>
      <c r="L17" s="5"/>
      <c r="M17" s="5"/>
      <c r="N17" s="10" t="s">
        <v>418</v>
      </c>
      <c r="O17" s="425" t="str">
        <f>IF(ISNUMBER(O15),O15-O16,"-")</f>
        <v>-</v>
      </c>
      <c r="P17" s="273"/>
      <c r="Q17" s="12" t="s">
        <v>324</v>
      </c>
      <c r="R17" s="12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15" customHeight="1">
      <c r="A18" s="8"/>
      <c r="B18" s="321" t="s">
        <v>419</v>
      </c>
      <c r="C18" s="273"/>
      <c r="D18" s="425" t="str">
        <f>IF(ISNUMBER(D17),Ca_2*D17*$O$28,"-")</f>
        <v>-</v>
      </c>
      <c r="E18" s="273"/>
      <c r="F18" s="5" t="s">
        <v>321</v>
      </c>
      <c r="G18" s="321" t="s">
        <v>420</v>
      </c>
      <c r="H18" s="273"/>
      <c r="I18" s="425" t="str">
        <f>IF(ISNUMBER(I17),Ca_2*I17*$O$28,"-")</f>
        <v>-</v>
      </c>
      <c r="J18" s="273"/>
      <c r="K18" s="12" t="s">
        <v>321</v>
      </c>
      <c r="L18" s="5"/>
      <c r="M18" s="5"/>
      <c r="N18" s="10" t="s">
        <v>421</v>
      </c>
      <c r="O18" s="426" t="str">
        <f>IF(ISNUMBER(O17),0.0026673*Tstd/Pstd*O17,"-")</f>
        <v>-</v>
      </c>
      <c r="P18" s="280"/>
      <c r="Q18" s="12" t="s">
        <v>335</v>
      </c>
      <c r="R18" s="12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15" customHeight="1">
      <c r="A19" s="8"/>
      <c r="B19" s="323" t="s">
        <v>422</v>
      </c>
      <c r="C19" s="325"/>
      <c r="D19" s="326" t="str">
        <f>IF(ISNUMBER(D15),D15-D16-(IF(D18&gt;0.000001*D17*$O$28,0.000001*D17*$O$28,D18)),"-")</f>
        <v>-</v>
      </c>
      <c r="E19" s="327"/>
      <c r="F19" s="51" t="s">
        <v>321</v>
      </c>
      <c r="G19" s="323" t="s">
        <v>423</v>
      </c>
      <c r="H19" s="325"/>
      <c r="I19" s="326" t="str">
        <f>IF(ISNUMBER(I15),I15-I16-(IF(I18&gt;0.000001*I17*$O$28,0.000001*I17*$O$28,I18)),"-")</f>
        <v>-</v>
      </c>
      <c r="J19" s="327"/>
      <c r="K19" s="52" t="s">
        <v>321</v>
      </c>
      <c r="L19" s="5"/>
      <c r="M19" s="5"/>
      <c r="N19" s="10" t="s">
        <v>338</v>
      </c>
      <c r="O19" s="423"/>
      <c r="P19" s="273"/>
      <c r="Q19" s="12" t="s">
        <v>329</v>
      </c>
      <c r="R19" s="12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15" customHeight="1">
      <c r="A20" s="8"/>
      <c r="B20" s="387" t="s">
        <v>424</v>
      </c>
      <c r="C20" s="383"/>
      <c r="D20" s="383"/>
      <c r="E20" s="383"/>
      <c r="F20" s="278"/>
      <c r="G20" s="387" t="s">
        <v>425</v>
      </c>
      <c r="H20" s="383"/>
      <c r="I20" s="383"/>
      <c r="J20" s="383"/>
      <c r="K20" s="278"/>
      <c r="L20" s="8"/>
      <c r="M20" s="5"/>
      <c r="N20" s="9" t="s">
        <v>426</v>
      </c>
      <c r="O20" s="426" t="str">
        <f>IF(ISNUMBER(O19),0.0026673*Tstd/Pstd*O19,"-")</f>
        <v>-</v>
      </c>
      <c r="P20" s="280"/>
      <c r="Q20" s="12" t="s">
        <v>335</v>
      </c>
      <c r="R20" s="12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15" customHeight="1">
      <c r="A21" s="8"/>
      <c r="B21" s="419" t="s">
        <v>342</v>
      </c>
      <c r="C21" s="310"/>
      <c r="D21" s="421"/>
      <c r="E21" s="310"/>
      <c r="F21" s="4" t="s">
        <v>321</v>
      </c>
      <c r="G21" s="419" t="s">
        <v>343</v>
      </c>
      <c r="H21" s="310"/>
      <c r="I21" s="421"/>
      <c r="J21" s="310"/>
      <c r="K21" s="4" t="s">
        <v>321</v>
      </c>
      <c r="L21" s="5"/>
      <c r="M21" s="5"/>
      <c r="N21" s="9"/>
      <c r="O21" s="17"/>
      <c r="P21" s="17"/>
      <c r="Q21" s="12"/>
      <c r="R21" s="12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15" customHeight="1">
      <c r="A22" s="8"/>
      <c r="B22" s="321" t="s">
        <v>344</v>
      </c>
      <c r="C22" s="273"/>
      <c r="D22" s="424"/>
      <c r="E22" s="280"/>
      <c r="F22" s="12" t="s">
        <v>321</v>
      </c>
      <c r="G22" s="321" t="s">
        <v>345</v>
      </c>
      <c r="H22" s="273"/>
      <c r="I22" s="424"/>
      <c r="J22" s="280"/>
      <c r="K22" s="12" t="s">
        <v>321</v>
      </c>
      <c r="L22" s="5"/>
      <c r="M22" s="5"/>
      <c r="N22" s="10" t="s">
        <v>427</v>
      </c>
      <c r="O22" s="441" t="str">
        <f>IF(ISNUMBER(O20),O18+O20,"-")</f>
        <v>-</v>
      </c>
      <c r="P22" s="273"/>
      <c r="Q22" s="12" t="s">
        <v>335</v>
      </c>
      <c r="R22" s="12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15" customHeight="1">
      <c r="A23" s="8"/>
      <c r="B23" s="321" t="s">
        <v>428</v>
      </c>
      <c r="C23" s="273"/>
      <c r="D23" s="427"/>
      <c r="E23" s="296"/>
      <c r="F23" s="12" t="s">
        <v>329</v>
      </c>
      <c r="G23" s="321" t="s">
        <v>429</v>
      </c>
      <c r="H23" s="273"/>
      <c r="I23" s="427"/>
      <c r="J23" s="296"/>
      <c r="K23" s="12" t="s">
        <v>329</v>
      </c>
      <c r="L23" s="5"/>
      <c r="M23" s="5"/>
      <c r="N23" s="10" t="s">
        <v>430</v>
      </c>
      <c r="O23" s="426" t="str">
        <f>IF(ISNUMBER(Vws_2),Vws_2/(Vws_2+Vms_2),"-")</f>
        <v>-</v>
      </c>
      <c r="P23" s="280"/>
      <c r="Q23" s="12" t="s">
        <v>431</v>
      </c>
      <c r="R23" s="12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15" customHeight="1">
      <c r="A24" s="8"/>
      <c r="B24" s="321" t="s">
        <v>432</v>
      </c>
      <c r="C24" s="273"/>
      <c r="D24" s="425" t="str">
        <f>IF(ISNUMBER(D23),Ca_2*D23*$O$28,"-")</f>
        <v>-</v>
      </c>
      <c r="E24" s="273"/>
      <c r="F24" s="12" t="s">
        <v>321</v>
      </c>
      <c r="G24" s="321" t="s">
        <v>433</v>
      </c>
      <c r="H24" s="273"/>
      <c r="I24" s="425" t="str">
        <f>IF(ISNUMBER(I23),Ca_2*I23*$O$28,"-")</f>
        <v>-</v>
      </c>
      <c r="J24" s="273"/>
      <c r="K24" s="12" t="s">
        <v>321</v>
      </c>
      <c r="L24" s="51"/>
      <c r="M24" s="51"/>
      <c r="N24" s="57" t="s">
        <v>434</v>
      </c>
      <c r="O24" s="442" t="str">
        <f>IF(ISNUMBER(Bws_2),100*Bws_2,"-")</f>
        <v>-</v>
      </c>
      <c r="P24" s="327"/>
      <c r="Q24" s="52" t="s">
        <v>38</v>
      </c>
      <c r="R24" s="12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15" customHeight="1">
      <c r="A25" s="8"/>
      <c r="B25" s="323" t="s">
        <v>435</v>
      </c>
      <c r="C25" s="325"/>
      <c r="D25" s="326" t="str">
        <f>IF(ISNUMBER(D21),D21-D22-(IF(D24&gt;0.000001*D23*$O$28,0.000001*D23*$O$28,D24)),"-")</f>
        <v>-</v>
      </c>
      <c r="E25" s="327"/>
      <c r="F25" s="52" t="s">
        <v>321</v>
      </c>
      <c r="G25" s="323" t="s">
        <v>436</v>
      </c>
      <c r="H25" s="325"/>
      <c r="I25" s="326" t="str">
        <f>IF(ISNUMBER(I21),I21-I22-(IF(I24&gt;0.000001*I23*$O$28,0.000001*I23*$O$28,I24)),"-")</f>
        <v>-</v>
      </c>
      <c r="J25" s="327"/>
      <c r="K25" s="52" t="s">
        <v>321</v>
      </c>
      <c r="L25" s="444" t="s">
        <v>356</v>
      </c>
      <c r="M25" s="383"/>
      <c r="N25" s="383"/>
      <c r="O25" s="383"/>
      <c r="P25" s="383"/>
      <c r="Q25" s="278"/>
      <c r="R25" s="12"/>
      <c r="S25" s="5"/>
      <c r="T25" s="5"/>
      <c r="U25" s="5"/>
      <c r="V25" s="445"/>
      <c r="W25" s="432"/>
      <c r="X25" s="432"/>
      <c r="Y25" s="432"/>
      <c r="Z25" s="432"/>
      <c r="AA25" s="432"/>
      <c r="AB25" s="432"/>
      <c r="AC25" s="432"/>
      <c r="AD25" s="432"/>
      <c r="AE25" s="433"/>
    </row>
    <row r="26" spans="1:31" ht="15" customHeight="1">
      <c r="A26" s="8"/>
      <c r="B26" s="5"/>
      <c r="C26" s="5"/>
      <c r="D26" s="5"/>
      <c r="E26" s="5"/>
      <c r="F26" s="5"/>
      <c r="G26" s="5"/>
      <c r="H26" s="5"/>
      <c r="I26" s="5"/>
      <c r="J26" s="5"/>
      <c r="K26" s="5"/>
      <c r="L26" s="2"/>
      <c r="M26" s="3"/>
      <c r="N26" s="23" t="s">
        <v>357</v>
      </c>
      <c r="O26" s="420"/>
      <c r="P26" s="312"/>
      <c r="Q26" s="4" t="s">
        <v>321</v>
      </c>
      <c r="R26" s="12"/>
      <c r="S26" s="5"/>
      <c r="T26" s="5"/>
      <c r="U26" s="5"/>
      <c r="V26" s="363"/>
      <c r="W26" s="303"/>
      <c r="X26" s="303"/>
      <c r="Y26" s="303"/>
      <c r="Z26" s="303"/>
      <c r="AA26" s="303"/>
      <c r="AB26" s="303"/>
      <c r="AC26" s="303"/>
      <c r="AD26" s="303"/>
      <c r="AE26" s="304"/>
    </row>
    <row r="27" spans="1:31" ht="15" customHeight="1">
      <c r="A27" s="8"/>
      <c r="B27" s="431" t="s">
        <v>358</v>
      </c>
      <c r="C27" s="432"/>
      <c r="D27" s="432"/>
      <c r="E27" s="432"/>
      <c r="F27" s="432"/>
      <c r="G27" s="432"/>
      <c r="H27" s="432"/>
      <c r="I27" s="432"/>
      <c r="J27" s="433"/>
      <c r="K27" s="128"/>
      <c r="L27" s="8"/>
      <c r="M27" s="128"/>
      <c r="N27" s="10" t="s">
        <v>359</v>
      </c>
      <c r="O27" s="423"/>
      <c r="P27" s="273"/>
      <c r="Q27" s="12" t="s">
        <v>321</v>
      </c>
      <c r="R27" s="12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15" customHeight="1">
      <c r="A28" s="8"/>
      <c r="B28" s="434"/>
      <c r="C28" s="435"/>
      <c r="D28" s="435"/>
      <c r="E28" s="435"/>
      <c r="F28" s="435"/>
      <c r="G28" s="435"/>
      <c r="H28" s="435"/>
      <c r="I28" s="435"/>
      <c r="J28" s="436"/>
      <c r="K28" s="5"/>
      <c r="L28" s="8"/>
      <c r="M28" s="5"/>
      <c r="N28" s="10" t="s">
        <v>437</v>
      </c>
      <c r="O28" s="424"/>
      <c r="P28" s="280"/>
      <c r="Q28" s="12" t="s">
        <v>361</v>
      </c>
      <c r="R28" s="12"/>
      <c r="S28" s="5"/>
      <c r="T28" s="5"/>
      <c r="U28" s="5"/>
      <c r="V28" s="5"/>
      <c r="W28" s="5"/>
      <c r="X28" s="5"/>
      <c r="Y28" s="5"/>
      <c r="Z28" s="7"/>
      <c r="AA28" s="5"/>
      <c r="AB28" s="5"/>
      <c r="AC28" s="5"/>
      <c r="AD28" s="5"/>
      <c r="AE28" s="5"/>
    </row>
    <row r="29" spans="1:31" ht="15" customHeight="1">
      <c r="A29" s="8"/>
      <c r="B29" s="5"/>
      <c r="C29" s="5"/>
      <c r="D29" s="5"/>
      <c r="E29" s="5"/>
      <c r="F29" s="5"/>
      <c r="G29" s="5"/>
      <c r="H29" s="5"/>
      <c r="I29" s="5"/>
      <c r="J29" s="5"/>
      <c r="K29" s="5"/>
      <c r="L29" s="8"/>
      <c r="M29" s="5"/>
      <c r="N29" s="10" t="s">
        <v>438</v>
      </c>
      <c r="O29" s="423"/>
      <c r="P29" s="273"/>
      <c r="Q29" s="12" t="s">
        <v>329</v>
      </c>
      <c r="R29" s="12"/>
      <c r="S29" s="5"/>
      <c r="T29" s="5"/>
      <c r="U29" s="5"/>
      <c r="V29" s="5"/>
      <c r="W29" s="5"/>
      <c r="X29" s="5"/>
      <c r="Y29" s="5"/>
      <c r="Z29" s="7"/>
      <c r="AA29" s="5"/>
      <c r="AB29" s="5"/>
      <c r="AC29" s="5"/>
      <c r="AD29" s="5"/>
      <c r="AE29" s="5"/>
    </row>
    <row r="30" spans="1:31" ht="15" customHeight="1">
      <c r="A30" s="8"/>
      <c r="B30" s="10" t="s">
        <v>439</v>
      </c>
      <c r="C30" s="437" t="str">
        <f>Vm_2</f>
        <v>-</v>
      </c>
      <c r="D30" s="273"/>
      <c r="E30" s="5" t="s">
        <v>364</v>
      </c>
      <c r="F30" s="128"/>
      <c r="G30" s="5"/>
      <c r="H30" s="5"/>
      <c r="I30" s="5"/>
      <c r="J30" s="5"/>
      <c r="K30" s="5"/>
      <c r="L30" s="60"/>
      <c r="M30" s="51"/>
      <c r="N30" s="57" t="s">
        <v>440</v>
      </c>
      <c r="O30" s="443" t="str">
        <f>IF(ISNUMBER(O29),(O26-O27)/O28/O29,"-")</f>
        <v>-</v>
      </c>
      <c r="P30" s="327"/>
      <c r="Q30" s="267" t="s">
        <v>441</v>
      </c>
      <c r="R30" s="12"/>
      <c r="S30" s="5"/>
      <c r="T30" s="5"/>
      <c r="U30" s="5"/>
      <c r="V30" s="5"/>
      <c r="W30" s="5"/>
      <c r="X30" s="5"/>
      <c r="Y30" s="5"/>
      <c r="Z30" s="7"/>
      <c r="AA30" s="5"/>
      <c r="AB30" s="5"/>
      <c r="AC30" s="5"/>
      <c r="AD30" s="5"/>
      <c r="AE30" s="5"/>
    </row>
    <row r="31" spans="1:31" ht="15" customHeight="1">
      <c r="A31" s="8"/>
      <c r="B31" s="10" t="s">
        <v>442</v>
      </c>
      <c r="C31" s="394" t="str">
        <f>IF(ISNUMBER(Vm_2),Tstd/Pstd*Y*Vm_2*(Pbar_2+dH_2/13.6)/Tm_2,"-")</f>
        <v>-</v>
      </c>
      <c r="D31" s="280"/>
      <c r="E31" s="5" t="s">
        <v>368</v>
      </c>
      <c r="F31" s="5"/>
      <c r="G31" s="5"/>
      <c r="H31" s="5"/>
      <c r="I31" s="5"/>
      <c r="J31" s="5"/>
      <c r="K31" s="128"/>
      <c r="L31" s="5"/>
      <c r="M31" s="5"/>
      <c r="N31" s="5"/>
      <c r="O31" s="5"/>
      <c r="P31" s="5"/>
      <c r="Q31" s="5"/>
      <c r="R31" s="12"/>
      <c r="S31" s="5"/>
      <c r="T31" s="5"/>
      <c r="U31" s="5"/>
      <c r="V31" s="5"/>
      <c r="W31" s="5"/>
      <c r="X31" s="5"/>
      <c r="Y31" s="5"/>
      <c r="Z31" s="7"/>
      <c r="AA31" s="5"/>
      <c r="AB31" s="5"/>
      <c r="AC31" s="5"/>
      <c r="AD31" s="5"/>
      <c r="AE31" s="5"/>
    </row>
    <row r="32" spans="1:31" ht="15" customHeight="1">
      <c r="A32" s="8"/>
      <c r="B32" s="10" t="s">
        <v>443</v>
      </c>
      <c r="C32" s="437" t="str">
        <f>Vws_2</f>
        <v>-</v>
      </c>
      <c r="D32" s="273"/>
      <c r="E32" s="5" t="s">
        <v>370</v>
      </c>
      <c r="F32" s="5"/>
      <c r="G32" s="5"/>
      <c r="H32" s="5"/>
      <c r="I32" s="5"/>
      <c r="J32" s="5"/>
      <c r="K32" s="38" t="s">
        <v>444</v>
      </c>
      <c r="L32" s="447" t="str">
        <f>IF(ISNUMBER(Bws_2),-150.3162+13.4622*SQRT(Ts_2)+3861530/(Ts_2^2)+0.591123*(1-Bws_2)*OO-91.9723*Bws_2+0.0000151761*Bws_2*(Ts_2^2),"-")</f>
        <v>-</v>
      </c>
      <c r="M32" s="296"/>
      <c r="N32" s="5" t="s">
        <v>372</v>
      </c>
      <c r="O32" s="5"/>
      <c r="P32" s="5"/>
      <c r="Q32" s="5"/>
      <c r="R32" s="12"/>
      <c r="S32" s="5"/>
      <c r="T32" s="5"/>
      <c r="U32" s="5"/>
      <c r="V32" s="5"/>
      <c r="W32" s="5"/>
      <c r="X32" s="5"/>
      <c r="Y32" s="5"/>
      <c r="Z32" s="7"/>
      <c r="AA32" s="5"/>
      <c r="AB32" s="5"/>
      <c r="AC32" s="5"/>
      <c r="AD32" s="5"/>
      <c r="AE32" s="5"/>
    </row>
    <row r="33" spans="1:31" ht="15" customHeight="1">
      <c r="A33" s="8"/>
      <c r="B33" s="10" t="s">
        <v>445</v>
      </c>
      <c r="C33" s="438" t="str">
        <f>IF(ISNUMBER(Vms_2),Vms_2/Time_2,"-")</f>
        <v>-</v>
      </c>
      <c r="D33" s="280"/>
      <c r="E33" s="5" t="s">
        <v>374</v>
      </c>
      <c r="F33" s="5"/>
      <c r="G33" s="5"/>
      <c r="H33" s="5"/>
      <c r="I33" s="5"/>
      <c r="J33" s="5"/>
      <c r="K33" s="10" t="s">
        <v>446</v>
      </c>
      <c r="L33" s="394" t="str">
        <f>IF(ISNUMBER(Mw_2),1+0.0057193*(vis_2/Ps_2/(IF(ISNUMBER(D50IV_2),D50IV_2,2.5)))*SQRT(Ts_2/Mw_2),"-")</f>
        <v>-</v>
      </c>
      <c r="M33" s="280"/>
      <c r="N33" s="5" t="s">
        <v>376</v>
      </c>
      <c r="O33" s="5"/>
      <c r="P33" s="5"/>
      <c r="Q33" s="5"/>
      <c r="R33" s="12"/>
      <c r="S33" s="5"/>
      <c r="T33" s="5"/>
      <c r="U33" s="5"/>
      <c r="V33" s="5"/>
      <c r="W33" s="5"/>
      <c r="X33" s="5"/>
      <c r="Y33" s="5"/>
      <c r="Z33" s="7"/>
      <c r="AA33" s="5"/>
      <c r="AB33" s="5"/>
      <c r="AC33" s="5"/>
      <c r="AD33" s="5"/>
      <c r="AE33" s="5"/>
    </row>
    <row r="34" spans="1:31" ht="15" customHeight="1">
      <c r="A34" s="8"/>
      <c r="B34" s="10" t="s">
        <v>447</v>
      </c>
      <c r="C34" s="439" t="str">
        <f>IF(ISNUMBER(Qsst_2),Pstd/Tstd*Qsst_2*(1/(1-Bws_2))*Ts_2/Ps_2,"-")</f>
        <v>-</v>
      </c>
      <c r="D34" s="273"/>
      <c r="E34" s="5" t="s">
        <v>378</v>
      </c>
      <c r="F34" s="5"/>
      <c r="G34" s="5"/>
      <c r="H34" s="5"/>
      <c r="I34" s="128"/>
      <c r="J34" s="5"/>
      <c r="K34" s="10" t="s">
        <v>448</v>
      </c>
      <c r="L34" s="440" t="str">
        <f>IF(ISNUMBER(Mw_2),0.15625*(Ts_2/Mw_2/Ps_2)^0.2091*(vis_2/Qs_2)^0.7091,"-")</f>
        <v>-</v>
      </c>
      <c r="M34" s="280"/>
      <c r="N34" s="268" t="s">
        <v>449</v>
      </c>
      <c r="O34" s="5"/>
      <c r="P34" s="5"/>
      <c r="Q34" s="5"/>
      <c r="R34" s="12"/>
      <c r="S34" s="5"/>
      <c r="T34" s="5"/>
      <c r="U34" s="5"/>
      <c r="V34" s="5"/>
      <c r="W34" s="5"/>
      <c r="X34" s="5"/>
      <c r="Y34" s="5"/>
      <c r="Z34" s="7"/>
      <c r="AA34" s="5"/>
      <c r="AB34" s="5"/>
      <c r="AC34" s="5"/>
      <c r="AD34" s="5"/>
      <c r="AE34" s="5"/>
    </row>
    <row r="35" spans="1:31" ht="15" customHeight="1">
      <c r="A35" s="8"/>
      <c r="B35" s="10" t="s">
        <v>381</v>
      </c>
      <c r="C35" s="440" t="str">
        <f>IF(ISNUMBER(Vms_2),Pstd/Tstd*100*Ts_2*Vms_2/60/Vs_2/Time_2/An/Ps_2/(1-Bws_2),"-")</f>
        <v>-</v>
      </c>
      <c r="D35" s="280"/>
      <c r="E35" s="5" t="s">
        <v>382</v>
      </c>
      <c r="F35" s="5"/>
      <c r="G35" s="5"/>
      <c r="H35" s="5"/>
      <c r="I35" s="5"/>
      <c r="J35" s="5"/>
      <c r="K35" s="10" t="s">
        <v>450</v>
      </c>
      <c r="L35" s="440" t="str">
        <f>IF(ISNUMBER(Mw_2),IF(Nr_2&lt;3162,0.0024302*(vis_2/Qs_2)^1.1791*SQRT(1/Cf_2)*(Ts_2/Ps_2/Mw_2)^0.679,0.019723*(vis_2/Qs_2)^0.8058*SQRT(1/Cf_2)*(Ts_2/Ps_2/Mw_2)^0.3058),"-")</f>
        <v>-</v>
      </c>
      <c r="M35" s="280"/>
      <c r="N35" s="268" t="s">
        <v>451</v>
      </c>
      <c r="O35" s="5"/>
      <c r="P35" s="5"/>
      <c r="Q35" s="5"/>
      <c r="R35" s="12"/>
      <c r="S35" s="5"/>
      <c r="T35" s="5"/>
      <c r="U35" s="5"/>
      <c r="V35" s="5"/>
      <c r="W35" s="5"/>
      <c r="X35" s="5"/>
      <c r="Y35" s="5"/>
      <c r="Z35" s="7"/>
      <c r="AA35" s="5"/>
      <c r="AB35" s="5"/>
      <c r="AC35" s="5"/>
      <c r="AD35" s="5"/>
      <c r="AE35" s="5"/>
    </row>
    <row r="36" spans="1:31" ht="15" customHeight="1">
      <c r="A36" s="8"/>
      <c r="B36" s="10" t="s">
        <v>452</v>
      </c>
      <c r="C36" s="428" t="str">
        <f>IF(ISNUMBER(vis_2),864000*Ps_2*Mw_2/Ts_2*Qs_2/vis_2,"-")</f>
        <v>-</v>
      </c>
      <c r="D36" s="280"/>
      <c r="E36" s="5" t="s">
        <v>386</v>
      </c>
      <c r="F36" s="5"/>
      <c r="G36" s="5"/>
      <c r="H36" s="5"/>
      <c r="I36" s="5"/>
      <c r="J36" s="5"/>
      <c r="K36" s="10" t="s">
        <v>453</v>
      </c>
      <c r="L36" s="448" t="str">
        <f>IF(ISNUMBER(Qsw_2),(1-Bws_2)*Qsw_2,"-")</f>
        <v>-</v>
      </c>
      <c r="M36" s="280"/>
      <c r="N36" s="449" t="s">
        <v>388</v>
      </c>
      <c r="O36" s="272"/>
      <c r="P36" s="272"/>
      <c r="Q36" s="273"/>
      <c r="R36" s="12"/>
      <c r="S36" s="5"/>
      <c r="T36" s="5"/>
      <c r="U36" s="5"/>
      <c r="V36" s="5"/>
      <c r="W36" s="5"/>
      <c r="X36" s="5"/>
      <c r="Y36" s="5"/>
      <c r="Z36" s="7"/>
      <c r="AA36" s="5"/>
      <c r="AB36" s="5"/>
      <c r="AC36" s="5"/>
      <c r="AD36" s="5"/>
      <c r="AE36" s="5"/>
    </row>
    <row r="37" spans="1:31" ht="15" customHeight="1">
      <c r="A37" s="8"/>
      <c r="B37" s="10" t="s">
        <v>454</v>
      </c>
      <c r="C37" s="429" t="str">
        <f>IF(ISNUMBER(Mw_2),85.49*Cp*dPsqavg_2*SQRT(Ts_2/Ps_2/Mw_2),"-")</f>
        <v>-</v>
      </c>
      <c r="D37" s="280"/>
      <c r="E37" s="5" t="s">
        <v>390</v>
      </c>
      <c r="F37" s="5"/>
      <c r="G37" s="5"/>
      <c r="H37" s="5"/>
      <c r="I37" s="5"/>
      <c r="J37" s="5"/>
      <c r="K37" s="10" t="s">
        <v>455</v>
      </c>
      <c r="L37" s="448" t="str">
        <f>IF(ISNUMBER(Bws_2),3600*Vs_2*A/Pstd*Tstd*Ps_2/Ts_2,"-")</f>
        <v>-</v>
      </c>
      <c r="M37" s="280"/>
      <c r="N37" s="449" t="s">
        <v>392</v>
      </c>
      <c r="O37" s="272"/>
      <c r="P37" s="272"/>
      <c r="Q37" s="273"/>
      <c r="R37" s="12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15" customHeight="1">
      <c r="A38" s="8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12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15" customHeight="1">
      <c r="A39" s="8"/>
      <c r="B39" s="7"/>
      <c r="C39" s="5"/>
      <c r="D39" s="5"/>
      <c r="E39" s="378" t="s">
        <v>393</v>
      </c>
      <c r="F39" s="272"/>
      <c r="G39" s="273"/>
      <c r="H39" s="128"/>
      <c r="I39" s="5"/>
      <c r="J39" s="5"/>
      <c r="K39" s="5"/>
      <c r="L39" s="378" t="s">
        <v>394</v>
      </c>
      <c r="M39" s="272"/>
      <c r="N39" s="273"/>
      <c r="O39" s="5"/>
      <c r="P39" s="5"/>
      <c r="Q39" s="5"/>
      <c r="R39" s="12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7.25" customHeight="1">
      <c r="A40" s="8"/>
      <c r="B40" s="7"/>
      <c r="C40" s="19"/>
      <c r="D40" s="10" t="s">
        <v>456</v>
      </c>
      <c r="E40" s="430" t="str">
        <f>IF(AND(ISNUMBER(M1_2),ISNUMBER(M4_2)),(7000/453592)*(M1_2+M4_2)/Vms_2,"-")</f>
        <v>-</v>
      </c>
      <c r="F40" s="295"/>
      <c r="G40" s="296"/>
      <c r="H40" s="5" t="s">
        <v>396</v>
      </c>
      <c r="I40" s="5"/>
      <c r="J40" s="5"/>
      <c r="K40" s="10" t="s">
        <v>457</v>
      </c>
      <c r="L40" s="446" t="str">
        <f>IF(ISNUMBER(E40),Qsd_2*E40/7000,"-")</f>
        <v>-</v>
      </c>
      <c r="M40" s="295"/>
      <c r="N40" s="296"/>
      <c r="O40" s="5" t="s">
        <v>398</v>
      </c>
      <c r="P40" s="5"/>
      <c r="Q40" s="5"/>
      <c r="R40" s="12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6" customHeight="1">
      <c r="A41" s="8"/>
      <c r="B41" s="7"/>
      <c r="C41" s="19"/>
      <c r="D41" s="10"/>
      <c r="E41" s="269"/>
      <c r="F41" s="270"/>
      <c r="G41" s="270"/>
      <c r="H41" s="5"/>
      <c r="I41" s="5"/>
      <c r="J41" s="5"/>
      <c r="K41" s="10"/>
      <c r="L41" s="269"/>
      <c r="M41" s="270"/>
      <c r="N41" s="270"/>
      <c r="O41" s="5"/>
      <c r="P41" s="5"/>
      <c r="Q41" s="5"/>
      <c r="R41" s="12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15" customHeight="1">
      <c r="A42" s="8"/>
      <c r="B42" s="7"/>
      <c r="C42" s="19"/>
      <c r="D42" s="10" t="s">
        <v>458</v>
      </c>
      <c r="E42" s="430" t="str">
        <f>IF(AND(ISNUMBER(M1_2),ISNUMBER(M3_2),ISNUMBER(M4_2)),(7000/453592)*(M1_2+M3_2+M4_2)/Vms_2,"-")</f>
        <v>-</v>
      </c>
      <c r="F42" s="295"/>
      <c r="G42" s="296"/>
      <c r="H42" s="5" t="s">
        <v>396</v>
      </c>
      <c r="I42" s="5"/>
      <c r="J42" s="5"/>
      <c r="K42" s="10" t="s">
        <v>459</v>
      </c>
      <c r="L42" s="446" t="str">
        <f>IF(ISNUMBER(E42),Qsd_2*E42/7000,"-")</f>
        <v>-</v>
      </c>
      <c r="M42" s="295"/>
      <c r="N42" s="296"/>
      <c r="O42" s="5" t="s">
        <v>398</v>
      </c>
      <c r="P42" s="5"/>
      <c r="Q42" s="5"/>
      <c r="R42" s="12"/>
      <c r="S42" s="5"/>
      <c r="T42" s="5"/>
      <c r="U42" s="5"/>
      <c r="V42" s="5"/>
      <c r="W42" s="5"/>
      <c r="X42" s="5"/>
      <c r="Y42" s="5"/>
      <c r="Z42" s="7"/>
      <c r="AA42" s="5"/>
      <c r="AB42" s="5"/>
      <c r="AC42" s="5"/>
      <c r="AD42" s="5"/>
      <c r="AE42" s="5"/>
    </row>
    <row r="43" spans="1:31" ht="6" customHeight="1">
      <c r="A43" s="8"/>
      <c r="B43" s="7"/>
      <c r="C43" s="19"/>
      <c r="D43" s="10"/>
      <c r="E43" s="269"/>
      <c r="F43" s="270"/>
      <c r="G43" s="270"/>
      <c r="H43" s="5"/>
      <c r="I43" s="5"/>
      <c r="J43" s="5"/>
      <c r="K43" s="10"/>
      <c r="L43" s="269"/>
      <c r="M43" s="270"/>
      <c r="N43" s="270"/>
      <c r="O43" s="5"/>
      <c r="P43" s="5"/>
      <c r="Q43" s="5"/>
      <c r="R43" s="12"/>
      <c r="S43" s="5"/>
      <c r="T43" s="5"/>
      <c r="U43" s="5"/>
      <c r="V43" s="5"/>
      <c r="W43" s="5"/>
      <c r="X43" s="5"/>
      <c r="Y43" s="5"/>
      <c r="Z43" s="7"/>
      <c r="AA43" s="5"/>
      <c r="AB43" s="5"/>
      <c r="AC43" s="5"/>
      <c r="AD43" s="5"/>
      <c r="AE43" s="5"/>
    </row>
    <row r="44" spans="1:31" ht="15" customHeight="1">
      <c r="A44" s="8"/>
      <c r="B44" s="7"/>
      <c r="C44" s="19"/>
      <c r="D44" s="10" t="s">
        <v>401</v>
      </c>
      <c r="E44" s="430" t="str">
        <f>IF(AND(ISNUMBER(M1_2),ISNUMBER(M2_2),ISNUMBER(M3_2),ISNUMBER(M4_2)),(7000/453592)*(M1_2+M2_2+M3_2+M4_2)/Vms_2,"-")</f>
        <v>-</v>
      </c>
      <c r="F44" s="295"/>
      <c r="G44" s="296"/>
      <c r="H44" s="5" t="s">
        <v>396</v>
      </c>
      <c r="I44" s="5"/>
      <c r="J44" s="5"/>
      <c r="K44" s="10" t="s">
        <v>401</v>
      </c>
      <c r="L44" s="446" t="str">
        <f>IF(ISNUMBER(E44),Qsd_2*E44/7000,"-")</f>
        <v>-</v>
      </c>
      <c r="M44" s="295"/>
      <c r="N44" s="296"/>
      <c r="O44" s="5" t="s">
        <v>398</v>
      </c>
      <c r="P44" s="5"/>
      <c r="Q44" s="5"/>
      <c r="R44" s="12"/>
      <c r="S44" s="5"/>
      <c r="T44" s="5"/>
      <c r="U44" s="7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15" customHeight="1">
      <c r="A45" s="8"/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12"/>
      <c r="S45" s="5"/>
      <c r="T45" s="5"/>
      <c r="U45" s="7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15" customHeight="1">
      <c r="A46" s="8"/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12"/>
      <c r="S46" s="5"/>
      <c r="T46" s="5"/>
      <c r="U46" s="7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15" customHeight="1">
      <c r="A47" s="8"/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12"/>
      <c r="S47" s="5"/>
      <c r="T47" s="5"/>
      <c r="U47" s="7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9" customHeight="1">
      <c r="A48" s="8"/>
      <c r="B48" s="5"/>
      <c r="C48" s="12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12"/>
      <c r="S48" s="5"/>
      <c r="T48" s="5"/>
      <c r="U48" s="7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15" customHeight="1">
      <c r="A49" s="8"/>
      <c r="B49" s="51"/>
      <c r="C49" s="51"/>
      <c r="D49" s="51"/>
      <c r="E49" s="51"/>
      <c r="F49" s="51"/>
      <c r="G49" s="51"/>
      <c r="H49" s="51"/>
      <c r="I49" s="51"/>
      <c r="J49" s="5"/>
      <c r="K49" s="51"/>
      <c r="L49" s="51"/>
      <c r="M49" s="51"/>
      <c r="N49" s="51"/>
      <c r="O49" s="51"/>
      <c r="P49" s="51"/>
      <c r="Q49" s="51"/>
      <c r="R49" s="12"/>
      <c r="S49" s="5"/>
      <c r="T49" s="5"/>
      <c r="U49" s="7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17.25" customHeight="1">
      <c r="A50" s="8"/>
      <c r="B50" s="121"/>
      <c r="C50" s="121" t="s">
        <v>111</v>
      </c>
      <c r="D50" s="122"/>
      <c r="E50" s="122"/>
      <c r="F50" s="123"/>
      <c r="G50" s="123"/>
      <c r="H50" s="124"/>
      <c r="I50" s="124"/>
      <c r="J50" s="5"/>
      <c r="K50" s="121"/>
      <c r="L50" s="121" t="s">
        <v>112</v>
      </c>
      <c r="M50" s="122"/>
      <c r="N50" s="5"/>
      <c r="O50" s="5"/>
      <c r="P50" s="5"/>
      <c r="Q50" s="5"/>
      <c r="R50" s="12"/>
      <c r="S50" s="5"/>
      <c r="T50" s="5"/>
      <c r="U50" s="7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5" customHeight="1">
      <c r="A51" s="60"/>
      <c r="B51" s="51"/>
      <c r="C51" s="51"/>
      <c r="D51" s="51"/>
      <c r="E51" s="51"/>
      <c r="F51" s="51"/>
      <c r="G51" s="51"/>
      <c r="H51" s="125"/>
      <c r="I51" s="51"/>
      <c r="J51" s="51"/>
      <c r="K51" s="51"/>
      <c r="L51" s="126"/>
      <c r="M51" s="125"/>
      <c r="N51" s="51"/>
      <c r="O51" s="51"/>
      <c r="P51" s="51"/>
      <c r="Q51" s="51"/>
      <c r="R51" s="52"/>
      <c r="S51" s="5"/>
      <c r="T51" s="5"/>
      <c r="U51" s="7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4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7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7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15" customHeight="1">
      <c r="A54" s="5"/>
      <c r="B54" s="5"/>
      <c r="C54" s="5"/>
      <c r="D54" s="5"/>
      <c r="E54" s="5"/>
      <c r="F54" s="5"/>
      <c r="G54" s="12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7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1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7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1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7"/>
      <c r="AA56" s="5"/>
      <c r="AB56" s="5"/>
      <c r="AC56" s="5"/>
      <c r="AD56" s="5"/>
      <c r="AE56" s="5"/>
    </row>
    <row r="57" spans="1:31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7"/>
      <c r="AA57" s="5"/>
      <c r="AB57" s="5"/>
      <c r="AC57" s="5"/>
      <c r="AD57" s="5"/>
      <c r="AE57" s="5"/>
    </row>
    <row r="58" spans="1:31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7"/>
      <c r="AA58" s="5"/>
      <c r="AB58" s="5"/>
      <c r="AC58" s="5"/>
      <c r="AD58" s="5"/>
      <c r="AE58" s="5"/>
    </row>
    <row r="59" spans="1:31" ht="5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7"/>
      <c r="AA59" s="5"/>
      <c r="AB59" s="5"/>
      <c r="AC59" s="5"/>
      <c r="AD59" s="5"/>
      <c r="AE59" s="5"/>
    </row>
    <row r="60" spans="1:31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7"/>
      <c r="AA60" s="5"/>
      <c r="AB60" s="5"/>
      <c r="AC60" s="5"/>
      <c r="AD60" s="5"/>
      <c r="AE60" s="5"/>
    </row>
    <row r="61" spans="1:31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7"/>
      <c r="AA61" s="5"/>
      <c r="AB61" s="5"/>
      <c r="AC61" s="5"/>
      <c r="AD61" s="5"/>
      <c r="AE61" s="5"/>
    </row>
    <row r="62" spans="1:31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7"/>
      <c r="AA62" s="5"/>
      <c r="AB62" s="5"/>
      <c r="AC62" s="5"/>
      <c r="AD62" s="5"/>
      <c r="AE62" s="5"/>
    </row>
    <row r="63" spans="1:31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7"/>
      <c r="AA63" s="5"/>
      <c r="AB63" s="5"/>
      <c r="AC63" s="5"/>
      <c r="AD63" s="5"/>
      <c r="AE63" s="5"/>
    </row>
    <row r="64" spans="1:31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7"/>
      <c r="AA64" s="5"/>
      <c r="AB64" s="5"/>
      <c r="AC64" s="5"/>
      <c r="AD64" s="5"/>
      <c r="AE64" s="5"/>
    </row>
    <row r="65" spans="1:31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7"/>
      <c r="AA65" s="5"/>
      <c r="AB65" s="5"/>
      <c r="AC65" s="5"/>
      <c r="AD65" s="5"/>
      <c r="AE65" s="5"/>
    </row>
    <row r="66" spans="1:31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7"/>
      <c r="AA66" s="5"/>
      <c r="AB66" s="5"/>
      <c r="AC66" s="5"/>
      <c r="AD66" s="5"/>
      <c r="AE66" s="5"/>
    </row>
    <row r="67" spans="1:31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7"/>
      <c r="AA67" s="5"/>
      <c r="AB67" s="5"/>
      <c r="AC67" s="5"/>
      <c r="AD67" s="5"/>
      <c r="AE67" s="5"/>
    </row>
    <row r="68" spans="1:31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7"/>
      <c r="AA68" s="5"/>
      <c r="AB68" s="5"/>
      <c r="AC68" s="5"/>
      <c r="AD68" s="5"/>
      <c r="AE68" s="5"/>
    </row>
    <row r="69" spans="1:31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7"/>
      <c r="AA69" s="5"/>
      <c r="AB69" s="5"/>
      <c r="AC69" s="5"/>
      <c r="AD69" s="5"/>
      <c r="AE69" s="5"/>
    </row>
    <row r="70" spans="1:31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7"/>
      <c r="AA70" s="5"/>
      <c r="AB70" s="5"/>
      <c r="AC70" s="5"/>
      <c r="AD70" s="5"/>
      <c r="AE70" s="5"/>
    </row>
    <row r="71" spans="1:31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7"/>
      <c r="AA71" s="5"/>
      <c r="AB71" s="5"/>
      <c r="AC71" s="5"/>
      <c r="AD71" s="5"/>
      <c r="AE71" s="5"/>
    </row>
    <row r="72" spans="1:31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7"/>
      <c r="AA72" s="5"/>
      <c r="AB72" s="5"/>
      <c r="AC72" s="5"/>
      <c r="AD72" s="5"/>
      <c r="AE72" s="5"/>
    </row>
    <row r="73" spans="1:31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7"/>
      <c r="AA73" s="5"/>
      <c r="AB73" s="5"/>
      <c r="AC73" s="5"/>
      <c r="AD73" s="5"/>
      <c r="AE73" s="5"/>
    </row>
    <row r="74" spans="1:31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7"/>
      <c r="AA74" s="5"/>
      <c r="AB74" s="5"/>
      <c r="AC74" s="5"/>
      <c r="AD74" s="5"/>
      <c r="AE74" s="5"/>
    </row>
    <row r="75" spans="1:31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7"/>
      <c r="AA75" s="5"/>
      <c r="AB75" s="5"/>
      <c r="AC75" s="5"/>
      <c r="AD75" s="5"/>
      <c r="AE75" s="5"/>
    </row>
    <row r="76" spans="1:31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7"/>
      <c r="AA76" s="5"/>
      <c r="AB76" s="5"/>
      <c r="AC76" s="5"/>
      <c r="AD76" s="5"/>
      <c r="AE76" s="5"/>
    </row>
    <row r="77" spans="1:31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7"/>
      <c r="AA77" s="5"/>
      <c r="AB77" s="5"/>
      <c r="AC77" s="5"/>
      <c r="AD77" s="5"/>
      <c r="AE77" s="5"/>
    </row>
    <row r="78" spans="1:31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7"/>
      <c r="AA78" s="5"/>
      <c r="AB78" s="5"/>
      <c r="AC78" s="5"/>
      <c r="AD78" s="5"/>
      <c r="AE78" s="5"/>
    </row>
    <row r="79" spans="1:31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7"/>
      <c r="AA79" s="5"/>
      <c r="AB79" s="5"/>
      <c r="AC79" s="5"/>
      <c r="AD79" s="5"/>
      <c r="AE79" s="5"/>
    </row>
    <row r="80" spans="1:31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7"/>
      <c r="AA80" s="5"/>
      <c r="AB80" s="5"/>
      <c r="AC80" s="5"/>
      <c r="AD80" s="5"/>
      <c r="AE80" s="5"/>
    </row>
    <row r="81" spans="1:31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7"/>
      <c r="AA81" s="5"/>
      <c r="AB81" s="5"/>
      <c r="AC81" s="5"/>
      <c r="AD81" s="5"/>
      <c r="AE81" s="5"/>
    </row>
    <row r="82" spans="1:31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7"/>
      <c r="AA82" s="5"/>
      <c r="AB82" s="5"/>
      <c r="AC82" s="5"/>
      <c r="AD82" s="5"/>
      <c r="AE82" s="5"/>
    </row>
    <row r="83" spans="1:31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7"/>
      <c r="AA83" s="5"/>
      <c r="AB83" s="5"/>
      <c r="AC83" s="5"/>
      <c r="AD83" s="5"/>
      <c r="AE83" s="5"/>
    </row>
    <row r="84" spans="1:31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7"/>
      <c r="AA84" s="5"/>
      <c r="AB84" s="5"/>
      <c r="AC84" s="5"/>
      <c r="AD84" s="5"/>
      <c r="AE84" s="5"/>
    </row>
    <row r="85" spans="1:31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7"/>
      <c r="AA85" s="5"/>
      <c r="AB85" s="5"/>
      <c r="AC85" s="5"/>
      <c r="AD85" s="5"/>
      <c r="AE85" s="5"/>
    </row>
    <row r="86" spans="1:31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7"/>
      <c r="AA86" s="5"/>
      <c r="AB86" s="5"/>
      <c r="AC86" s="5"/>
      <c r="AD86" s="5"/>
      <c r="AE86" s="5"/>
    </row>
    <row r="87" spans="1:31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7"/>
      <c r="AA87" s="5"/>
      <c r="AB87" s="5"/>
      <c r="AC87" s="5"/>
      <c r="AD87" s="5"/>
      <c r="AE87" s="5"/>
    </row>
    <row r="88" spans="1:31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7"/>
      <c r="AA88" s="5"/>
      <c r="AB88" s="5"/>
      <c r="AC88" s="5"/>
      <c r="AD88" s="5"/>
      <c r="AE88" s="5"/>
    </row>
    <row r="89" spans="1:31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7"/>
      <c r="AA89" s="5"/>
      <c r="AB89" s="5"/>
      <c r="AC89" s="5"/>
      <c r="AD89" s="5"/>
      <c r="AE89" s="5"/>
    </row>
    <row r="90" spans="1:31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7"/>
      <c r="AA90" s="5"/>
      <c r="AB90" s="5"/>
      <c r="AC90" s="5"/>
      <c r="AD90" s="5"/>
      <c r="AE90" s="5"/>
    </row>
    <row r="91" spans="1:31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7"/>
      <c r="AA91" s="5"/>
      <c r="AB91" s="5"/>
      <c r="AC91" s="5"/>
      <c r="AD91" s="5"/>
      <c r="AE91" s="5"/>
    </row>
    <row r="92" spans="1:31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7"/>
      <c r="AA92" s="5"/>
      <c r="AB92" s="5"/>
      <c r="AC92" s="5"/>
      <c r="AD92" s="5"/>
      <c r="AE92" s="5"/>
    </row>
    <row r="93" spans="1:31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7"/>
      <c r="AA93" s="5"/>
      <c r="AB93" s="5"/>
      <c r="AC93" s="5"/>
      <c r="AD93" s="5"/>
      <c r="AE93" s="5"/>
    </row>
    <row r="94" spans="1:31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7"/>
      <c r="AA94" s="5"/>
      <c r="AB94" s="5"/>
      <c r="AC94" s="5"/>
      <c r="AD94" s="5"/>
      <c r="AE94" s="5"/>
    </row>
    <row r="95" spans="1:31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7"/>
      <c r="AA95" s="5"/>
      <c r="AB95" s="5"/>
      <c r="AC95" s="5"/>
      <c r="AD95" s="5"/>
      <c r="AE95" s="5"/>
    </row>
    <row r="96" spans="1:31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7"/>
      <c r="AA96" s="5"/>
      <c r="AB96" s="5"/>
      <c r="AC96" s="5"/>
      <c r="AD96" s="5"/>
      <c r="AE96" s="5"/>
    </row>
    <row r="97" spans="1:31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7"/>
      <c r="AA97" s="5"/>
      <c r="AB97" s="5"/>
      <c r="AC97" s="5"/>
      <c r="AD97" s="5"/>
      <c r="AE97" s="5"/>
    </row>
    <row r="98" spans="1:31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7"/>
      <c r="AA98" s="5"/>
      <c r="AB98" s="5"/>
      <c r="AC98" s="5"/>
      <c r="AD98" s="5"/>
      <c r="AE98" s="5"/>
    </row>
    <row r="99" spans="1:31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7"/>
      <c r="AA99" s="5"/>
      <c r="AB99" s="5"/>
      <c r="AC99" s="5"/>
      <c r="AD99" s="5"/>
      <c r="AE99" s="5"/>
    </row>
    <row r="100" spans="1:31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7"/>
      <c r="AA100" s="5"/>
      <c r="AB100" s="5"/>
      <c r="AC100" s="5"/>
      <c r="AD100" s="5"/>
      <c r="AE100" s="5"/>
    </row>
    <row r="101" spans="1:31" ht="1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7"/>
      <c r="AA101" s="5"/>
      <c r="AB101" s="5"/>
      <c r="AC101" s="5"/>
      <c r="AD101" s="5"/>
      <c r="AE101" s="5"/>
    </row>
    <row r="102" spans="1:31" ht="1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7"/>
      <c r="AA102" s="5"/>
      <c r="AB102" s="5"/>
      <c r="AC102" s="5"/>
      <c r="AD102" s="5"/>
      <c r="AE102" s="5"/>
    </row>
    <row r="103" spans="1:31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7"/>
      <c r="AA103" s="5"/>
      <c r="AB103" s="5"/>
      <c r="AC103" s="5"/>
      <c r="AD103" s="5"/>
      <c r="AE103" s="5"/>
    </row>
    <row r="104" spans="1:31" ht="1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7"/>
      <c r="AA104" s="5"/>
      <c r="AB104" s="5"/>
      <c r="AC104" s="5"/>
      <c r="AD104" s="5"/>
      <c r="AE104" s="5"/>
    </row>
    <row r="105" spans="1:31" ht="1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7"/>
      <c r="AA105" s="5"/>
      <c r="AB105" s="5"/>
      <c r="AC105" s="5"/>
      <c r="AD105" s="5"/>
      <c r="AE105" s="5"/>
    </row>
    <row r="106" spans="1:31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7"/>
      <c r="AA106" s="5"/>
      <c r="AB106" s="5"/>
      <c r="AC106" s="5"/>
      <c r="AD106" s="5"/>
      <c r="AE106" s="5"/>
    </row>
    <row r="107" spans="1:31" ht="1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7"/>
      <c r="AA107" s="5"/>
      <c r="AB107" s="5"/>
      <c r="AC107" s="5"/>
      <c r="AD107" s="5"/>
      <c r="AE107" s="5"/>
    </row>
    <row r="108" spans="1:31" ht="1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7"/>
      <c r="AA108" s="5"/>
      <c r="AB108" s="5"/>
      <c r="AC108" s="5"/>
      <c r="AD108" s="5"/>
      <c r="AE108" s="5"/>
    </row>
    <row r="109" spans="1:31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7"/>
      <c r="AA109" s="5"/>
      <c r="AB109" s="5"/>
      <c r="AC109" s="5"/>
      <c r="AD109" s="5"/>
      <c r="AE109" s="5"/>
    </row>
    <row r="110" spans="1:31" ht="1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7"/>
      <c r="AA110" s="5"/>
      <c r="AB110" s="5"/>
      <c r="AC110" s="5"/>
      <c r="AD110" s="5"/>
      <c r="AE110" s="5"/>
    </row>
    <row r="111" spans="1:31" ht="1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7"/>
      <c r="AA111" s="5"/>
      <c r="AB111" s="5"/>
      <c r="AC111" s="5"/>
      <c r="AD111" s="5"/>
      <c r="AE111" s="5"/>
    </row>
    <row r="112" spans="1:31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7"/>
      <c r="AA112" s="5"/>
      <c r="AB112" s="5"/>
      <c r="AC112" s="5"/>
      <c r="AD112" s="5"/>
      <c r="AE112" s="5"/>
    </row>
    <row r="113" spans="1:31" ht="1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7"/>
      <c r="AA113" s="5"/>
      <c r="AB113" s="5"/>
      <c r="AC113" s="5"/>
      <c r="AD113" s="5"/>
      <c r="AE113" s="5"/>
    </row>
    <row r="114" spans="1:31" ht="1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7"/>
      <c r="AA114" s="5"/>
      <c r="AB114" s="5"/>
      <c r="AC114" s="5"/>
      <c r="AD114" s="5"/>
      <c r="AE114" s="5"/>
    </row>
    <row r="115" spans="1:31" ht="1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7"/>
      <c r="AA115" s="5"/>
      <c r="AB115" s="5"/>
      <c r="AC115" s="5"/>
      <c r="AD115" s="5"/>
      <c r="AE115" s="5"/>
    </row>
    <row r="116" spans="1:31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7"/>
      <c r="AA116" s="5"/>
      <c r="AB116" s="5"/>
      <c r="AC116" s="5"/>
      <c r="AD116" s="5"/>
      <c r="AE116" s="5"/>
    </row>
    <row r="117" spans="1:31" ht="1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7"/>
      <c r="AA117" s="5"/>
      <c r="AB117" s="5"/>
      <c r="AC117" s="5"/>
      <c r="AD117" s="5"/>
      <c r="AE117" s="5"/>
    </row>
    <row r="118" spans="1:31" ht="1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7"/>
      <c r="AA118" s="5"/>
      <c r="AB118" s="5"/>
      <c r="AC118" s="5"/>
      <c r="AD118" s="5"/>
      <c r="AE118" s="5"/>
    </row>
    <row r="119" spans="1:31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7"/>
      <c r="AA119" s="5"/>
      <c r="AB119" s="5"/>
      <c r="AC119" s="5"/>
      <c r="AD119" s="5"/>
      <c r="AE119" s="5"/>
    </row>
    <row r="120" spans="1:31" ht="1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7"/>
      <c r="AA120" s="5"/>
      <c r="AB120" s="5"/>
      <c r="AC120" s="5"/>
      <c r="AD120" s="5"/>
      <c r="AE120" s="5"/>
    </row>
    <row r="121" spans="1:31" ht="1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7"/>
      <c r="AA121" s="5"/>
      <c r="AB121" s="5"/>
      <c r="AC121" s="5"/>
      <c r="AD121" s="5"/>
      <c r="AE121" s="5"/>
    </row>
    <row r="122" spans="1:31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7"/>
      <c r="AA122" s="5"/>
      <c r="AB122" s="5"/>
      <c r="AC122" s="5"/>
      <c r="AD122" s="5"/>
      <c r="AE122" s="5"/>
    </row>
    <row r="123" spans="1:31" ht="1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7"/>
      <c r="AA123" s="5"/>
      <c r="AB123" s="5"/>
      <c r="AC123" s="5"/>
      <c r="AD123" s="5"/>
      <c r="AE123" s="5"/>
    </row>
    <row r="124" spans="1:31" ht="1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7"/>
      <c r="AA124" s="5"/>
      <c r="AB124" s="5"/>
      <c r="AC124" s="5"/>
      <c r="AD124" s="5"/>
      <c r="AE124" s="5"/>
    </row>
    <row r="125" spans="1:31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7"/>
      <c r="AA125" s="5"/>
      <c r="AB125" s="5"/>
      <c r="AC125" s="5"/>
      <c r="AD125" s="5"/>
      <c r="AE125" s="5"/>
    </row>
    <row r="126" spans="1:31" ht="1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7"/>
      <c r="AA126" s="5"/>
      <c r="AB126" s="5"/>
      <c r="AC126" s="5"/>
      <c r="AD126" s="5"/>
      <c r="AE126" s="5"/>
    </row>
    <row r="127" spans="1:31" ht="1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7"/>
      <c r="AA127" s="5"/>
      <c r="AB127" s="5"/>
      <c r="AC127" s="5"/>
      <c r="AD127" s="5"/>
      <c r="AE127" s="5"/>
    </row>
    <row r="128" spans="1:31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7"/>
      <c r="AA128" s="5"/>
      <c r="AB128" s="5"/>
      <c r="AC128" s="5"/>
      <c r="AD128" s="5"/>
      <c r="AE128" s="5"/>
    </row>
    <row r="129" spans="1:31" ht="1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7"/>
      <c r="AA129" s="5"/>
      <c r="AB129" s="5"/>
      <c r="AC129" s="5"/>
      <c r="AD129" s="5"/>
      <c r="AE129" s="5"/>
    </row>
    <row r="130" spans="1:31" ht="1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7"/>
      <c r="AA130" s="5"/>
      <c r="AB130" s="5"/>
      <c r="AC130" s="5"/>
      <c r="AD130" s="5"/>
      <c r="AE130" s="5"/>
    </row>
    <row r="131" spans="1:31" ht="1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7"/>
      <c r="AA131" s="5"/>
      <c r="AB131" s="5"/>
      <c r="AC131" s="5"/>
      <c r="AD131" s="5"/>
      <c r="AE131" s="5"/>
    </row>
    <row r="132" spans="1:31" ht="1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7"/>
      <c r="AA132" s="5"/>
      <c r="AB132" s="5"/>
      <c r="AC132" s="5"/>
      <c r="AD132" s="5"/>
      <c r="AE132" s="5"/>
    </row>
    <row r="133" spans="1:31" ht="1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7"/>
      <c r="AA133" s="5"/>
      <c r="AB133" s="5"/>
      <c r="AC133" s="5"/>
      <c r="AD133" s="5"/>
      <c r="AE133" s="5"/>
    </row>
    <row r="134" spans="1:31" ht="1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7"/>
      <c r="AA134" s="5"/>
      <c r="AB134" s="5"/>
      <c r="AC134" s="5"/>
      <c r="AD134" s="5"/>
      <c r="AE134" s="5"/>
    </row>
    <row r="135" spans="1:31" ht="1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7"/>
      <c r="AA135" s="5"/>
      <c r="AB135" s="5"/>
      <c r="AC135" s="5"/>
      <c r="AD135" s="5"/>
      <c r="AE135" s="5"/>
    </row>
    <row r="136" spans="1:31" ht="1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7"/>
      <c r="AA136" s="5"/>
      <c r="AB136" s="5"/>
      <c r="AC136" s="5"/>
      <c r="AD136" s="5"/>
      <c r="AE136" s="5"/>
    </row>
    <row r="137" spans="1:31" ht="1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7"/>
      <c r="AA137" s="5"/>
      <c r="AB137" s="5"/>
      <c r="AC137" s="5"/>
      <c r="AD137" s="5"/>
      <c r="AE137" s="5"/>
    </row>
    <row r="138" spans="1:31" ht="1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7"/>
      <c r="AA138" s="5"/>
      <c r="AB138" s="5"/>
      <c r="AC138" s="5"/>
      <c r="AD138" s="5"/>
      <c r="AE138" s="5"/>
    </row>
    <row r="139" spans="1:31" ht="1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7"/>
      <c r="AA139" s="5"/>
      <c r="AB139" s="5"/>
      <c r="AC139" s="5"/>
      <c r="AD139" s="5"/>
      <c r="AE139" s="5"/>
    </row>
    <row r="140" spans="1:31" ht="1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7"/>
      <c r="AA140" s="5"/>
      <c r="AB140" s="5"/>
      <c r="AC140" s="5"/>
      <c r="AD140" s="5"/>
      <c r="AE140" s="5"/>
    </row>
    <row r="141" spans="1:31" ht="1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7"/>
      <c r="AA141" s="5"/>
      <c r="AB141" s="5"/>
      <c r="AC141" s="5"/>
      <c r="AD141" s="5"/>
      <c r="AE141" s="5"/>
    </row>
    <row r="142" spans="1:31" ht="1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7"/>
      <c r="AA142" s="5"/>
      <c r="AB142" s="5"/>
      <c r="AC142" s="5"/>
      <c r="AD142" s="5"/>
      <c r="AE142" s="5"/>
    </row>
    <row r="143" spans="1:31" ht="1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7"/>
      <c r="AA143" s="5"/>
      <c r="AB143" s="5"/>
      <c r="AC143" s="5"/>
      <c r="AD143" s="5"/>
      <c r="AE143" s="5"/>
    </row>
    <row r="144" spans="1:31" ht="1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7"/>
      <c r="AA144" s="5"/>
      <c r="AB144" s="5"/>
      <c r="AC144" s="5"/>
      <c r="AD144" s="5"/>
      <c r="AE144" s="5"/>
    </row>
    <row r="145" spans="1:31" ht="1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7"/>
      <c r="AA145" s="5"/>
      <c r="AB145" s="5"/>
      <c r="AC145" s="5"/>
      <c r="AD145" s="5"/>
      <c r="AE145" s="5"/>
    </row>
    <row r="146" spans="1:31" ht="1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7"/>
      <c r="AA146" s="5"/>
      <c r="AB146" s="5"/>
      <c r="AC146" s="5"/>
      <c r="AD146" s="5"/>
      <c r="AE146" s="5"/>
    </row>
    <row r="147" spans="1:31" ht="1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7"/>
      <c r="AA147" s="5"/>
      <c r="AB147" s="5"/>
      <c r="AC147" s="5"/>
      <c r="AD147" s="5"/>
      <c r="AE147" s="5"/>
    </row>
    <row r="148" spans="1:31" ht="1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7"/>
      <c r="AA148" s="5"/>
      <c r="AB148" s="5"/>
      <c r="AC148" s="5"/>
      <c r="AD148" s="5"/>
      <c r="AE148" s="5"/>
    </row>
    <row r="149" spans="1:31" ht="1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7"/>
      <c r="AA149" s="5"/>
      <c r="AB149" s="5"/>
      <c r="AC149" s="5"/>
      <c r="AD149" s="5"/>
      <c r="AE149" s="5"/>
    </row>
    <row r="150" spans="1:31" ht="1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7"/>
      <c r="AA150" s="5"/>
      <c r="AB150" s="5"/>
      <c r="AC150" s="5"/>
      <c r="AD150" s="5"/>
      <c r="AE150" s="5"/>
    </row>
    <row r="151" spans="1:31" ht="1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7"/>
      <c r="AA151" s="5"/>
      <c r="AB151" s="5"/>
      <c r="AC151" s="5"/>
      <c r="AD151" s="5"/>
      <c r="AE151" s="5"/>
    </row>
    <row r="152" spans="1:31" ht="1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7"/>
      <c r="AA152" s="5"/>
      <c r="AB152" s="5"/>
      <c r="AC152" s="5"/>
      <c r="AD152" s="5"/>
      <c r="AE152" s="5"/>
    </row>
    <row r="153" spans="1:31" ht="1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7"/>
      <c r="AA153" s="5"/>
      <c r="AB153" s="5"/>
      <c r="AC153" s="5"/>
      <c r="AD153" s="5"/>
      <c r="AE153" s="5"/>
    </row>
    <row r="154" spans="1:31" ht="1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7"/>
      <c r="AA154" s="5"/>
      <c r="AB154" s="5"/>
      <c r="AC154" s="5"/>
      <c r="AD154" s="5"/>
      <c r="AE154" s="5"/>
    </row>
    <row r="155" spans="1:31" ht="1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7"/>
      <c r="AA155" s="5"/>
      <c r="AB155" s="5"/>
      <c r="AC155" s="5"/>
      <c r="AD155" s="5"/>
      <c r="AE155" s="5"/>
    </row>
    <row r="156" spans="1:31" ht="1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7"/>
      <c r="AA156" s="5"/>
      <c r="AB156" s="5"/>
      <c r="AC156" s="5"/>
      <c r="AD156" s="5"/>
      <c r="AE156" s="5"/>
    </row>
    <row r="157" spans="1:31" ht="1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7"/>
      <c r="AA157" s="5"/>
      <c r="AB157" s="5"/>
      <c r="AC157" s="5"/>
      <c r="AD157" s="5"/>
      <c r="AE157" s="5"/>
    </row>
    <row r="158" spans="1:31" ht="1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7"/>
      <c r="AA158" s="5"/>
      <c r="AB158" s="5"/>
      <c r="AC158" s="5"/>
      <c r="AD158" s="5"/>
      <c r="AE158" s="5"/>
    </row>
    <row r="159" spans="1:31" ht="1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7"/>
      <c r="AA159" s="5"/>
      <c r="AB159" s="5"/>
      <c r="AC159" s="5"/>
      <c r="AD159" s="5"/>
      <c r="AE159" s="5"/>
    </row>
    <row r="160" spans="1:31" ht="1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7"/>
      <c r="AA160" s="5"/>
      <c r="AB160" s="5"/>
      <c r="AC160" s="5"/>
      <c r="AD160" s="5"/>
      <c r="AE160" s="5"/>
    </row>
    <row r="161" spans="1:31" ht="1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7"/>
      <c r="AA161" s="5"/>
      <c r="AB161" s="5"/>
      <c r="AC161" s="5"/>
      <c r="AD161" s="5"/>
      <c r="AE161" s="5"/>
    </row>
    <row r="162" spans="1:31" ht="1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7"/>
      <c r="AA162" s="5"/>
      <c r="AB162" s="5"/>
      <c r="AC162" s="5"/>
      <c r="AD162" s="5"/>
      <c r="AE162" s="5"/>
    </row>
    <row r="163" spans="1:31" ht="1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7"/>
      <c r="AA163" s="5"/>
      <c r="AB163" s="5"/>
      <c r="AC163" s="5"/>
      <c r="AD163" s="5"/>
      <c r="AE163" s="5"/>
    </row>
    <row r="164" spans="1:31" ht="1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7"/>
      <c r="AA164" s="5"/>
      <c r="AB164" s="5"/>
      <c r="AC164" s="5"/>
      <c r="AD164" s="5"/>
      <c r="AE164" s="5"/>
    </row>
    <row r="165" spans="1:31" ht="1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7"/>
      <c r="AA165" s="5"/>
      <c r="AB165" s="5"/>
      <c r="AC165" s="5"/>
      <c r="AD165" s="5"/>
      <c r="AE165" s="5"/>
    </row>
    <row r="166" spans="1:31" ht="1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7"/>
      <c r="AA166" s="5"/>
      <c r="AB166" s="5"/>
      <c r="AC166" s="5"/>
      <c r="AD166" s="5"/>
      <c r="AE166" s="5"/>
    </row>
    <row r="167" spans="1:31" ht="1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7"/>
      <c r="AA167" s="5"/>
      <c r="AB167" s="5"/>
      <c r="AC167" s="5"/>
      <c r="AD167" s="5"/>
      <c r="AE167" s="5"/>
    </row>
    <row r="168" spans="1:31" ht="1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7"/>
      <c r="AA168" s="5"/>
      <c r="AB168" s="5"/>
      <c r="AC168" s="5"/>
      <c r="AD168" s="5"/>
      <c r="AE168" s="5"/>
    </row>
    <row r="169" spans="1:31" ht="1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7"/>
      <c r="AA169" s="5"/>
      <c r="AB169" s="5"/>
      <c r="AC169" s="5"/>
      <c r="AD169" s="5"/>
      <c r="AE169" s="5"/>
    </row>
    <row r="170" spans="1:31" ht="1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7"/>
      <c r="AA170" s="5"/>
      <c r="AB170" s="5"/>
      <c r="AC170" s="5"/>
      <c r="AD170" s="5"/>
      <c r="AE170" s="5"/>
    </row>
    <row r="171" spans="1:31" ht="1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7"/>
      <c r="AA171" s="5"/>
      <c r="AB171" s="5"/>
      <c r="AC171" s="5"/>
      <c r="AD171" s="5"/>
      <c r="AE171" s="5"/>
    </row>
    <row r="172" spans="1:31" ht="1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7"/>
      <c r="AA172" s="5"/>
      <c r="AB172" s="5"/>
      <c r="AC172" s="5"/>
      <c r="AD172" s="5"/>
      <c r="AE172" s="5"/>
    </row>
    <row r="173" spans="1:31" ht="1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7"/>
      <c r="AA173" s="5"/>
      <c r="AB173" s="5"/>
      <c r="AC173" s="5"/>
      <c r="AD173" s="5"/>
      <c r="AE173" s="5"/>
    </row>
    <row r="174" spans="1:31" ht="1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7"/>
      <c r="AA174" s="5"/>
      <c r="AB174" s="5"/>
      <c r="AC174" s="5"/>
      <c r="AD174" s="5"/>
      <c r="AE174" s="5"/>
    </row>
    <row r="175" spans="1:31" ht="1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7"/>
      <c r="AA175" s="5"/>
      <c r="AB175" s="5"/>
      <c r="AC175" s="5"/>
      <c r="AD175" s="5"/>
      <c r="AE175" s="5"/>
    </row>
    <row r="176" spans="1:31" ht="1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7"/>
      <c r="AA176" s="5"/>
      <c r="AB176" s="5"/>
      <c r="AC176" s="5"/>
      <c r="AD176" s="5"/>
      <c r="AE176" s="5"/>
    </row>
    <row r="177" spans="1:31" ht="1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7"/>
      <c r="AA177" s="5"/>
      <c r="AB177" s="5"/>
      <c r="AC177" s="5"/>
      <c r="AD177" s="5"/>
      <c r="AE177" s="5"/>
    </row>
    <row r="178" spans="1:31" ht="1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7"/>
      <c r="AA178" s="5"/>
      <c r="AB178" s="5"/>
      <c r="AC178" s="5"/>
      <c r="AD178" s="5"/>
      <c r="AE178" s="5"/>
    </row>
    <row r="179" spans="1:31" ht="1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7"/>
      <c r="AA179" s="5"/>
      <c r="AB179" s="5"/>
      <c r="AC179" s="5"/>
      <c r="AD179" s="5"/>
      <c r="AE179" s="5"/>
    </row>
    <row r="180" spans="1:31" ht="1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7"/>
      <c r="AA180" s="5"/>
      <c r="AB180" s="5"/>
      <c r="AC180" s="5"/>
      <c r="AD180" s="5"/>
      <c r="AE180" s="5"/>
    </row>
    <row r="181" spans="1:31" ht="1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7"/>
      <c r="AA181" s="5"/>
      <c r="AB181" s="5"/>
      <c r="AC181" s="5"/>
      <c r="AD181" s="5"/>
      <c r="AE181" s="5"/>
    </row>
    <row r="182" spans="1:31" ht="1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7"/>
      <c r="AA182" s="5"/>
      <c r="AB182" s="5"/>
      <c r="AC182" s="5"/>
      <c r="AD182" s="5"/>
      <c r="AE182" s="5"/>
    </row>
    <row r="183" spans="1:31" ht="1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7"/>
      <c r="AA183" s="5"/>
      <c r="AB183" s="5"/>
      <c r="AC183" s="5"/>
      <c r="AD183" s="5"/>
      <c r="AE183" s="5"/>
    </row>
    <row r="184" spans="1:31" ht="1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7"/>
      <c r="AA184" s="5"/>
      <c r="AB184" s="5"/>
      <c r="AC184" s="5"/>
      <c r="AD184" s="5"/>
      <c r="AE184" s="5"/>
    </row>
    <row r="185" spans="1:31" ht="1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7"/>
      <c r="AA185" s="5"/>
      <c r="AB185" s="5"/>
      <c r="AC185" s="5"/>
      <c r="AD185" s="5"/>
      <c r="AE185" s="5"/>
    </row>
    <row r="186" spans="1:31" ht="1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7"/>
      <c r="AA186" s="5"/>
      <c r="AB186" s="5"/>
      <c r="AC186" s="5"/>
      <c r="AD186" s="5"/>
      <c r="AE186" s="5"/>
    </row>
    <row r="187" spans="1:31" ht="1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7"/>
      <c r="AA187" s="5"/>
      <c r="AB187" s="5"/>
      <c r="AC187" s="5"/>
      <c r="AD187" s="5"/>
      <c r="AE187" s="5"/>
    </row>
    <row r="188" spans="1:31" ht="1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7"/>
      <c r="AA188" s="5"/>
      <c r="AB188" s="5"/>
      <c r="AC188" s="5"/>
      <c r="AD188" s="5"/>
      <c r="AE188" s="5"/>
    </row>
    <row r="189" spans="1:31" ht="1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7"/>
      <c r="AA189" s="5"/>
      <c r="AB189" s="5"/>
      <c r="AC189" s="5"/>
      <c r="AD189" s="5"/>
      <c r="AE189" s="5"/>
    </row>
    <row r="190" spans="1:31" ht="1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7"/>
      <c r="AA190" s="5"/>
      <c r="AB190" s="5"/>
      <c r="AC190" s="5"/>
      <c r="AD190" s="5"/>
      <c r="AE190" s="5"/>
    </row>
    <row r="191" spans="1:31" ht="1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7"/>
      <c r="AA191" s="5"/>
      <c r="AB191" s="5"/>
      <c r="AC191" s="5"/>
      <c r="AD191" s="5"/>
      <c r="AE191" s="5"/>
    </row>
    <row r="192" spans="1:31" ht="1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7"/>
      <c r="AA192" s="5"/>
      <c r="AB192" s="5"/>
      <c r="AC192" s="5"/>
      <c r="AD192" s="5"/>
      <c r="AE192" s="5"/>
    </row>
    <row r="193" spans="1:31" ht="1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7"/>
      <c r="AA193" s="5"/>
      <c r="AB193" s="5"/>
      <c r="AC193" s="5"/>
      <c r="AD193" s="5"/>
      <c r="AE193" s="5"/>
    </row>
    <row r="194" spans="1:31" ht="1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7"/>
      <c r="AA194" s="5"/>
      <c r="AB194" s="5"/>
      <c r="AC194" s="5"/>
      <c r="AD194" s="5"/>
      <c r="AE194" s="5"/>
    </row>
    <row r="195" spans="1:31" ht="1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7"/>
      <c r="AA195" s="5"/>
      <c r="AB195" s="5"/>
      <c r="AC195" s="5"/>
      <c r="AD195" s="5"/>
      <c r="AE195" s="5"/>
    </row>
    <row r="196" spans="1:31" ht="1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7"/>
      <c r="AA196" s="5"/>
      <c r="AB196" s="5"/>
      <c r="AC196" s="5"/>
      <c r="AD196" s="5"/>
      <c r="AE196" s="5"/>
    </row>
    <row r="197" spans="1:31" ht="1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7"/>
      <c r="AA197" s="5"/>
      <c r="AB197" s="5"/>
      <c r="AC197" s="5"/>
      <c r="AD197" s="5"/>
      <c r="AE197" s="5"/>
    </row>
    <row r="198" spans="1:31" ht="1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7"/>
      <c r="AA198" s="5"/>
      <c r="AB198" s="5"/>
      <c r="AC198" s="5"/>
      <c r="AD198" s="5"/>
      <c r="AE198" s="5"/>
    </row>
    <row r="199" spans="1:31" ht="1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7"/>
      <c r="AA199" s="5"/>
      <c r="AB199" s="5"/>
      <c r="AC199" s="5"/>
      <c r="AD199" s="5"/>
      <c r="AE199" s="5"/>
    </row>
    <row r="200" spans="1:31" ht="1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7"/>
      <c r="AA200" s="5"/>
      <c r="AB200" s="5"/>
      <c r="AC200" s="5"/>
      <c r="AD200" s="5"/>
      <c r="AE200" s="5"/>
    </row>
    <row r="201" spans="1:31" ht="1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7"/>
      <c r="AA201" s="5"/>
      <c r="AB201" s="5"/>
      <c r="AC201" s="5"/>
      <c r="AD201" s="5"/>
      <c r="AE201" s="5"/>
    </row>
    <row r="202" spans="1:31" ht="1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7"/>
      <c r="AA202" s="5"/>
      <c r="AB202" s="5"/>
      <c r="AC202" s="5"/>
      <c r="AD202" s="5"/>
      <c r="AE202" s="5"/>
    </row>
    <row r="203" spans="1:31" ht="1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7"/>
      <c r="AA203" s="5"/>
      <c r="AB203" s="5"/>
      <c r="AC203" s="5"/>
      <c r="AD203" s="5"/>
      <c r="AE203" s="5"/>
    </row>
    <row r="204" spans="1:31" ht="1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7"/>
      <c r="AA204" s="5"/>
      <c r="AB204" s="5"/>
      <c r="AC204" s="5"/>
      <c r="AD204" s="5"/>
      <c r="AE204" s="5"/>
    </row>
    <row r="205" spans="1:31" ht="1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7"/>
      <c r="AA205" s="5"/>
      <c r="AB205" s="5"/>
      <c r="AC205" s="5"/>
      <c r="AD205" s="5"/>
      <c r="AE205" s="5"/>
    </row>
    <row r="206" spans="1:31" ht="1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7"/>
      <c r="AA206" s="5"/>
      <c r="AB206" s="5"/>
      <c r="AC206" s="5"/>
      <c r="AD206" s="5"/>
      <c r="AE206" s="5"/>
    </row>
    <row r="207" spans="1:31" ht="1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7"/>
      <c r="AA207" s="5"/>
      <c r="AB207" s="5"/>
      <c r="AC207" s="5"/>
      <c r="AD207" s="5"/>
      <c r="AE207" s="5"/>
    </row>
    <row r="208" spans="1:31" ht="1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7"/>
      <c r="AA208" s="5"/>
      <c r="AB208" s="5"/>
      <c r="AC208" s="5"/>
      <c r="AD208" s="5"/>
      <c r="AE208" s="5"/>
    </row>
    <row r="209" spans="1:31" ht="1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7"/>
      <c r="AA209" s="5"/>
      <c r="AB209" s="5"/>
      <c r="AC209" s="5"/>
      <c r="AD209" s="5"/>
      <c r="AE209" s="5"/>
    </row>
    <row r="210" spans="1:31" ht="1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7"/>
      <c r="AA210" s="5"/>
      <c r="AB210" s="5"/>
      <c r="AC210" s="5"/>
      <c r="AD210" s="5"/>
      <c r="AE210" s="5"/>
    </row>
    <row r="211" spans="1:31" ht="1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7"/>
      <c r="AA211" s="5"/>
      <c r="AB211" s="5"/>
      <c r="AC211" s="5"/>
      <c r="AD211" s="5"/>
      <c r="AE211" s="5"/>
    </row>
    <row r="212" spans="1:31" ht="1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7"/>
      <c r="AA212" s="5"/>
      <c r="AB212" s="5"/>
      <c r="AC212" s="5"/>
      <c r="AD212" s="5"/>
      <c r="AE212" s="5"/>
    </row>
    <row r="213" spans="1:31" ht="1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7"/>
      <c r="AA213" s="5"/>
      <c r="AB213" s="5"/>
      <c r="AC213" s="5"/>
      <c r="AD213" s="5"/>
      <c r="AE213" s="5"/>
    </row>
    <row r="214" spans="1:31" ht="1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7"/>
      <c r="AA214" s="5"/>
      <c r="AB214" s="5"/>
      <c r="AC214" s="5"/>
      <c r="AD214" s="5"/>
      <c r="AE214" s="5"/>
    </row>
    <row r="215" spans="1:31" ht="1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7"/>
      <c r="AA215" s="5"/>
      <c r="AB215" s="5"/>
      <c r="AC215" s="5"/>
      <c r="AD215" s="5"/>
      <c r="AE215" s="5"/>
    </row>
    <row r="216" spans="1:31" ht="1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7"/>
      <c r="AA216" s="5"/>
      <c r="AB216" s="5"/>
      <c r="AC216" s="5"/>
      <c r="AD216" s="5"/>
      <c r="AE216" s="5"/>
    </row>
    <row r="217" spans="1:31" ht="1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7"/>
      <c r="AA217" s="5"/>
      <c r="AB217" s="5"/>
      <c r="AC217" s="5"/>
      <c r="AD217" s="5"/>
      <c r="AE217" s="5"/>
    </row>
    <row r="218" spans="1:31" ht="1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7"/>
      <c r="AA218" s="5"/>
      <c r="AB218" s="5"/>
      <c r="AC218" s="5"/>
      <c r="AD218" s="5"/>
      <c r="AE218" s="5"/>
    </row>
    <row r="219" spans="1:31" ht="1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7"/>
      <c r="AA219" s="5"/>
      <c r="AB219" s="5"/>
      <c r="AC219" s="5"/>
      <c r="AD219" s="5"/>
      <c r="AE219" s="5"/>
    </row>
    <row r="220" spans="1:31" ht="1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7"/>
      <c r="AA220" s="5"/>
      <c r="AB220" s="5"/>
      <c r="AC220" s="5"/>
      <c r="AD220" s="5"/>
      <c r="AE220" s="5"/>
    </row>
    <row r="221" spans="1:31" ht="1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7"/>
      <c r="AA221" s="5"/>
      <c r="AB221" s="5"/>
      <c r="AC221" s="5"/>
      <c r="AD221" s="5"/>
      <c r="AE221" s="5"/>
    </row>
    <row r="222" spans="1:31" ht="1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7"/>
      <c r="AA222" s="5"/>
      <c r="AB222" s="5"/>
      <c r="AC222" s="5"/>
      <c r="AD222" s="5"/>
      <c r="AE222" s="5"/>
    </row>
    <row r="223" spans="1:31" ht="1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7"/>
      <c r="AA223" s="5"/>
      <c r="AB223" s="5"/>
      <c r="AC223" s="5"/>
      <c r="AD223" s="5"/>
      <c r="AE223" s="5"/>
    </row>
    <row r="224" spans="1:31" ht="1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7"/>
      <c r="AA224" s="5"/>
      <c r="AB224" s="5"/>
      <c r="AC224" s="5"/>
      <c r="AD224" s="5"/>
      <c r="AE224" s="5"/>
    </row>
    <row r="225" spans="1:31" ht="1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7"/>
      <c r="AA225" s="5"/>
      <c r="AB225" s="5"/>
      <c r="AC225" s="5"/>
      <c r="AD225" s="5"/>
      <c r="AE225" s="5"/>
    </row>
    <row r="226" spans="1:31" ht="1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7"/>
      <c r="AA226" s="5"/>
      <c r="AB226" s="5"/>
      <c r="AC226" s="5"/>
      <c r="AD226" s="5"/>
      <c r="AE226" s="5"/>
    </row>
    <row r="227" spans="1:31" ht="1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7"/>
      <c r="AA227" s="5"/>
      <c r="AB227" s="5"/>
      <c r="AC227" s="5"/>
      <c r="AD227" s="5"/>
      <c r="AE227" s="5"/>
    </row>
    <row r="228" spans="1:31" ht="1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7"/>
      <c r="AA228" s="5"/>
      <c r="AB228" s="5"/>
      <c r="AC228" s="5"/>
      <c r="AD228" s="5"/>
      <c r="AE228" s="5"/>
    </row>
    <row r="229" spans="1:31" ht="1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7"/>
      <c r="AA229" s="5"/>
      <c r="AB229" s="5"/>
      <c r="AC229" s="5"/>
      <c r="AD229" s="5"/>
      <c r="AE229" s="5"/>
    </row>
    <row r="230" spans="1:31" ht="1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7"/>
      <c r="AA230" s="5"/>
      <c r="AB230" s="5"/>
      <c r="AC230" s="5"/>
      <c r="AD230" s="5"/>
      <c r="AE230" s="5"/>
    </row>
    <row r="231" spans="1:31" ht="1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7"/>
      <c r="AA231" s="5"/>
      <c r="AB231" s="5"/>
      <c r="AC231" s="5"/>
      <c r="AD231" s="5"/>
      <c r="AE231" s="5"/>
    </row>
    <row r="232" spans="1:31" ht="1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7"/>
      <c r="AA232" s="5"/>
      <c r="AB232" s="5"/>
      <c r="AC232" s="5"/>
      <c r="AD232" s="5"/>
      <c r="AE232" s="5"/>
    </row>
    <row r="233" spans="1:31" ht="1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7"/>
      <c r="AA233" s="5"/>
      <c r="AB233" s="5"/>
      <c r="AC233" s="5"/>
      <c r="AD233" s="5"/>
      <c r="AE233" s="5"/>
    </row>
    <row r="234" spans="1:31" ht="1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7"/>
      <c r="AA234" s="5"/>
      <c r="AB234" s="5"/>
      <c r="AC234" s="5"/>
      <c r="AD234" s="5"/>
      <c r="AE234" s="5"/>
    </row>
    <row r="235" spans="1:31" ht="1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7"/>
      <c r="AA235" s="5"/>
      <c r="AB235" s="5"/>
      <c r="AC235" s="5"/>
      <c r="AD235" s="5"/>
      <c r="AE235" s="5"/>
    </row>
    <row r="236" spans="1:31" ht="1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7"/>
      <c r="AA236" s="5"/>
      <c r="AB236" s="5"/>
      <c r="AC236" s="5"/>
      <c r="AD236" s="5"/>
      <c r="AE236" s="5"/>
    </row>
    <row r="237" spans="1:31" ht="1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7"/>
      <c r="AA237" s="5"/>
      <c r="AB237" s="5"/>
      <c r="AC237" s="5"/>
      <c r="AD237" s="5"/>
      <c r="AE237" s="5"/>
    </row>
    <row r="238" spans="1:31" ht="1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7"/>
      <c r="AA238" s="5"/>
      <c r="AB238" s="5"/>
      <c r="AC238" s="5"/>
      <c r="AD238" s="5"/>
      <c r="AE238" s="5"/>
    </row>
    <row r="239" spans="1:31" ht="1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7"/>
      <c r="AA239" s="5"/>
      <c r="AB239" s="5"/>
      <c r="AC239" s="5"/>
      <c r="AD239" s="5"/>
      <c r="AE239" s="5"/>
    </row>
    <row r="240" spans="1:31" ht="1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7"/>
      <c r="AA240" s="5"/>
      <c r="AB240" s="5"/>
      <c r="AC240" s="5"/>
      <c r="AD240" s="5"/>
      <c r="AE240" s="5"/>
    </row>
    <row r="241" spans="1:31" ht="1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7"/>
      <c r="AA241" s="5"/>
      <c r="AB241" s="5"/>
      <c r="AC241" s="5"/>
      <c r="AD241" s="5"/>
      <c r="AE241" s="5"/>
    </row>
    <row r="242" spans="1:31" ht="1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7"/>
      <c r="AA242" s="5"/>
      <c r="AB242" s="5"/>
      <c r="AC242" s="5"/>
      <c r="AD242" s="5"/>
      <c r="AE242" s="5"/>
    </row>
    <row r="243" spans="1:31" ht="1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7"/>
      <c r="AA243" s="5"/>
      <c r="AB243" s="5"/>
      <c r="AC243" s="5"/>
      <c r="AD243" s="5"/>
      <c r="AE243" s="5"/>
    </row>
    <row r="244" spans="1:31" ht="1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7"/>
      <c r="AA244" s="5"/>
      <c r="AB244" s="5"/>
      <c r="AC244" s="5"/>
      <c r="AD244" s="5"/>
      <c r="AE244" s="5"/>
    </row>
    <row r="245" spans="1:31" ht="1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7"/>
      <c r="AA245" s="5"/>
      <c r="AB245" s="5"/>
      <c r="AC245" s="5"/>
      <c r="AD245" s="5"/>
      <c r="AE245" s="5"/>
    </row>
    <row r="246" spans="1:31" ht="1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7"/>
      <c r="AA246" s="5"/>
      <c r="AB246" s="5"/>
      <c r="AC246" s="5"/>
      <c r="AD246" s="5"/>
      <c r="AE246" s="5"/>
    </row>
    <row r="247" spans="1:31" ht="1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7"/>
      <c r="AA247" s="5"/>
      <c r="AB247" s="5"/>
      <c r="AC247" s="5"/>
      <c r="AD247" s="5"/>
      <c r="AE247" s="5"/>
    </row>
    <row r="248" spans="1:31" ht="1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7"/>
      <c r="AA248" s="5"/>
      <c r="AB248" s="5"/>
      <c r="AC248" s="5"/>
      <c r="AD248" s="5"/>
      <c r="AE248" s="5"/>
    </row>
    <row r="249" spans="1:31" ht="1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7"/>
      <c r="AA249" s="5"/>
      <c r="AB249" s="5"/>
      <c r="AC249" s="5"/>
      <c r="AD249" s="5"/>
      <c r="AE249" s="5"/>
    </row>
    <row r="250" spans="1:31" ht="1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7"/>
      <c r="AA250" s="5"/>
      <c r="AB250" s="5"/>
      <c r="AC250" s="5"/>
      <c r="AD250" s="5"/>
      <c r="AE250" s="5"/>
    </row>
    <row r="251" spans="1:31" ht="15.75" customHeight="1">
      <c r="A251" s="5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5"/>
      <c r="T251" s="5"/>
      <c r="U251" s="5"/>
      <c r="V251" s="5"/>
      <c r="W251" s="5"/>
      <c r="X251" s="5"/>
      <c r="Y251" s="5"/>
      <c r="Z251" s="7"/>
      <c r="AA251" s="5"/>
      <c r="AB251" s="5"/>
      <c r="AC251" s="5"/>
      <c r="AD251" s="5"/>
      <c r="AE251" s="5"/>
    </row>
    <row r="252" spans="1:31" ht="15.75" customHeight="1">
      <c r="A252" s="5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5"/>
      <c r="T252" s="5"/>
      <c r="U252" s="5"/>
      <c r="V252" s="5"/>
      <c r="W252" s="5"/>
      <c r="X252" s="5"/>
      <c r="Y252" s="5"/>
      <c r="Z252" s="7"/>
      <c r="AA252" s="5"/>
      <c r="AB252" s="5"/>
      <c r="AC252" s="5"/>
      <c r="AD252" s="5"/>
      <c r="AE252" s="5"/>
    </row>
    <row r="253" spans="1:31" ht="15.75" customHeight="1">
      <c r="A253" s="5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5"/>
      <c r="T253" s="5"/>
      <c r="U253" s="5"/>
      <c r="V253" s="5"/>
      <c r="W253" s="5"/>
      <c r="X253" s="5"/>
      <c r="Y253" s="5"/>
      <c r="Z253" s="7"/>
      <c r="AA253" s="5"/>
      <c r="AB253" s="5"/>
      <c r="AC253" s="5"/>
      <c r="AD253" s="5"/>
      <c r="AE253" s="5"/>
    </row>
    <row r="254" spans="1:31" ht="15.75" customHeight="1">
      <c r="A254" s="5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5"/>
      <c r="T254" s="5"/>
      <c r="U254" s="5"/>
      <c r="V254" s="5"/>
      <c r="W254" s="5"/>
      <c r="X254" s="5"/>
      <c r="Y254" s="5"/>
      <c r="Z254" s="7"/>
      <c r="AA254" s="5"/>
      <c r="AB254" s="5"/>
      <c r="AC254" s="5"/>
      <c r="AD254" s="5"/>
      <c r="AE254" s="5"/>
    </row>
    <row r="255" spans="1:31" ht="15.75" customHeight="1">
      <c r="A255" s="5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5"/>
      <c r="T255" s="5"/>
      <c r="U255" s="5"/>
      <c r="V255" s="5"/>
      <c r="W255" s="5"/>
      <c r="X255" s="5"/>
      <c r="Y255" s="5"/>
      <c r="Z255" s="7"/>
      <c r="AA255" s="5"/>
      <c r="AB255" s="5"/>
      <c r="AC255" s="5"/>
      <c r="AD255" s="5"/>
      <c r="AE255" s="5"/>
    </row>
    <row r="256" spans="1:31" ht="15.75" customHeight="1">
      <c r="A256" s="5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5"/>
      <c r="T256" s="5"/>
      <c r="U256" s="5"/>
      <c r="V256" s="5"/>
      <c r="W256" s="5"/>
      <c r="X256" s="5"/>
      <c r="Y256" s="5"/>
      <c r="Z256" s="7"/>
      <c r="AA256" s="5"/>
      <c r="AB256" s="5"/>
      <c r="AC256" s="5"/>
      <c r="AD256" s="5"/>
      <c r="AE256" s="5"/>
    </row>
    <row r="257" spans="1:31" ht="15.75" customHeight="1">
      <c r="A257" s="5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5"/>
      <c r="T257" s="5"/>
      <c r="U257" s="5"/>
      <c r="V257" s="5"/>
      <c r="W257" s="5"/>
      <c r="X257" s="5"/>
      <c r="Y257" s="5"/>
      <c r="Z257" s="7"/>
      <c r="AA257" s="5"/>
      <c r="AB257" s="5"/>
      <c r="AC257" s="5"/>
      <c r="AD257" s="5"/>
      <c r="AE257" s="5"/>
    </row>
    <row r="258" spans="1:31" ht="15.75" customHeight="1">
      <c r="A258" s="5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5"/>
      <c r="T258" s="5"/>
      <c r="U258" s="5"/>
      <c r="V258" s="5"/>
      <c r="W258" s="5"/>
      <c r="X258" s="5"/>
      <c r="Y258" s="5"/>
      <c r="Z258" s="7"/>
      <c r="AA258" s="5"/>
      <c r="AB258" s="5"/>
      <c r="AC258" s="5"/>
      <c r="AD258" s="5"/>
      <c r="AE258" s="5"/>
    </row>
    <row r="259" spans="1:31" ht="15.75" customHeight="1">
      <c r="A259" s="5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5"/>
      <c r="T259" s="5"/>
      <c r="U259" s="5"/>
      <c r="V259" s="5"/>
      <c r="W259" s="5"/>
      <c r="X259" s="5"/>
      <c r="Y259" s="5"/>
      <c r="Z259" s="7"/>
      <c r="AA259" s="5"/>
      <c r="AB259" s="5"/>
      <c r="AC259" s="5"/>
      <c r="AD259" s="5"/>
      <c r="AE259" s="5"/>
    </row>
    <row r="260" spans="1:31" ht="15.75" customHeight="1">
      <c r="A260" s="5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5"/>
      <c r="T260" s="5"/>
      <c r="U260" s="5"/>
      <c r="V260" s="5"/>
      <c r="W260" s="5"/>
      <c r="X260" s="5"/>
      <c r="Y260" s="5"/>
      <c r="Z260" s="7"/>
      <c r="AA260" s="5"/>
      <c r="AB260" s="5"/>
      <c r="AC260" s="5"/>
      <c r="AD260" s="5"/>
      <c r="AE260" s="5"/>
    </row>
    <row r="261" spans="1:31" ht="15.75" customHeight="1">
      <c r="A261" s="5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5"/>
      <c r="T261" s="5"/>
      <c r="U261" s="5"/>
      <c r="V261" s="5"/>
      <c r="W261" s="5"/>
      <c r="X261" s="5"/>
      <c r="Y261" s="5"/>
      <c r="Z261" s="7"/>
      <c r="AA261" s="5"/>
      <c r="AB261" s="5"/>
      <c r="AC261" s="5"/>
      <c r="AD261" s="5"/>
      <c r="AE261" s="5"/>
    </row>
    <row r="262" spans="1:31" ht="15.75" customHeight="1">
      <c r="A262" s="5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5"/>
      <c r="T262" s="5"/>
      <c r="U262" s="5"/>
      <c r="V262" s="5"/>
      <c r="W262" s="5"/>
      <c r="X262" s="5"/>
      <c r="Y262" s="5"/>
      <c r="Z262" s="7"/>
      <c r="AA262" s="5"/>
      <c r="AB262" s="5"/>
      <c r="AC262" s="5"/>
      <c r="AD262" s="5"/>
      <c r="AE262" s="5"/>
    </row>
    <row r="263" spans="1:31" ht="15.75" customHeight="1">
      <c r="A263" s="5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5"/>
      <c r="T263" s="5"/>
      <c r="U263" s="5"/>
      <c r="V263" s="5"/>
      <c r="W263" s="5"/>
      <c r="X263" s="5"/>
      <c r="Y263" s="5"/>
      <c r="Z263" s="7"/>
      <c r="AA263" s="5"/>
      <c r="AB263" s="5"/>
      <c r="AC263" s="5"/>
      <c r="AD263" s="5"/>
      <c r="AE263" s="5"/>
    </row>
    <row r="264" spans="1:31" ht="15.75" customHeight="1">
      <c r="A264" s="5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5"/>
      <c r="T264" s="5"/>
      <c r="U264" s="5"/>
      <c r="V264" s="5"/>
      <c r="W264" s="5"/>
      <c r="X264" s="5"/>
      <c r="Y264" s="5"/>
      <c r="Z264" s="7"/>
      <c r="AA264" s="5"/>
      <c r="AB264" s="5"/>
      <c r="AC264" s="5"/>
      <c r="AD264" s="5"/>
      <c r="AE264" s="5"/>
    </row>
    <row r="265" spans="1:31" ht="15.75" customHeight="1">
      <c r="A265" s="5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5"/>
      <c r="T265" s="5"/>
      <c r="U265" s="5"/>
      <c r="V265" s="5"/>
      <c r="W265" s="5"/>
      <c r="X265" s="5"/>
      <c r="Y265" s="5"/>
      <c r="Z265" s="7"/>
      <c r="AA265" s="5"/>
      <c r="AB265" s="5"/>
      <c r="AC265" s="5"/>
      <c r="AD265" s="5"/>
      <c r="AE265" s="5"/>
    </row>
    <row r="266" spans="1:31" ht="15.75" customHeight="1">
      <c r="A266" s="5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5"/>
      <c r="T266" s="5"/>
      <c r="U266" s="5"/>
      <c r="V266" s="5"/>
      <c r="W266" s="5"/>
      <c r="X266" s="5"/>
      <c r="Y266" s="5"/>
      <c r="Z266" s="7"/>
      <c r="AA266" s="5"/>
      <c r="AB266" s="5"/>
      <c r="AC266" s="5"/>
      <c r="AD266" s="5"/>
      <c r="AE266" s="5"/>
    </row>
    <row r="267" spans="1:31" ht="15.75" customHeight="1">
      <c r="A267" s="5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5"/>
      <c r="T267" s="5"/>
      <c r="U267" s="5"/>
      <c r="V267" s="5"/>
      <c r="W267" s="5"/>
      <c r="X267" s="5"/>
      <c r="Y267" s="5"/>
      <c r="Z267" s="7"/>
      <c r="AA267" s="5"/>
      <c r="AB267" s="5"/>
      <c r="AC267" s="5"/>
      <c r="AD267" s="5"/>
      <c r="AE267" s="5"/>
    </row>
    <row r="268" spans="1:31" ht="15.75" customHeight="1">
      <c r="A268" s="5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5"/>
      <c r="T268" s="5"/>
      <c r="U268" s="5"/>
      <c r="V268" s="5"/>
      <c r="W268" s="5"/>
      <c r="X268" s="5"/>
      <c r="Y268" s="5"/>
      <c r="Z268" s="7"/>
      <c r="AA268" s="5"/>
      <c r="AB268" s="5"/>
      <c r="AC268" s="5"/>
      <c r="AD268" s="5"/>
      <c r="AE268" s="5"/>
    </row>
    <row r="269" spans="1:31" ht="15.75" customHeight="1">
      <c r="A269" s="5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5"/>
      <c r="T269" s="5"/>
      <c r="U269" s="5"/>
      <c r="V269" s="5"/>
      <c r="W269" s="5"/>
      <c r="X269" s="5"/>
      <c r="Y269" s="5"/>
      <c r="Z269" s="7"/>
      <c r="AA269" s="5"/>
      <c r="AB269" s="5"/>
      <c r="AC269" s="5"/>
      <c r="AD269" s="5"/>
      <c r="AE269" s="5"/>
    </row>
    <row r="270" spans="1:31" ht="15.75" customHeight="1">
      <c r="A270" s="5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5"/>
      <c r="T270" s="5"/>
      <c r="U270" s="5"/>
      <c r="V270" s="5"/>
      <c r="W270" s="5"/>
      <c r="X270" s="5"/>
      <c r="Y270" s="5"/>
      <c r="Z270" s="7"/>
      <c r="AA270" s="5"/>
      <c r="AB270" s="5"/>
      <c r="AC270" s="5"/>
      <c r="AD270" s="5"/>
      <c r="AE270" s="5"/>
    </row>
    <row r="271" spans="1:31" ht="15.75" customHeight="1">
      <c r="A271" s="5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5"/>
      <c r="T271" s="5"/>
      <c r="U271" s="5"/>
      <c r="V271" s="5"/>
      <c r="W271" s="5"/>
      <c r="X271" s="5"/>
      <c r="Y271" s="5"/>
      <c r="Z271" s="7"/>
      <c r="AA271" s="5"/>
      <c r="AB271" s="5"/>
      <c r="AC271" s="5"/>
      <c r="AD271" s="5"/>
      <c r="AE271" s="5"/>
    </row>
    <row r="272" spans="1:31" ht="15.75" customHeight="1">
      <c r="A272" s="5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5"/>
      <c r="T272" s="5"/>
      <c r="U272" s="5"/>
      <c r="V272" s="5"/>
      <c r="W272" s="5"/>
      <c r="X272" s="5"/>
      <c r="Y272" s="5"/>
      <c r="Z272" s="7"/>
      <c r="AA272" s="5"/>
      <c r="AB272" s="5"/>
      <c r="AC272" s="5"/>
      <c r="AD272" s="5"/>
      <c r="AE272" s="5"/>
    </row>
    <row r="273" spans="1:31" ht="15.75" customHeight="1">
      <c r="A273" s="5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5"/>
      <c r="T273" s="5"/>
      <c r="U273" s="5"/>
      <c r="V273" s="5"/>
      <c r="W273" s="5"/>
      <c r="X273" s="5"/>
      <c r="Y273" s="5"/>
      <c r="Z273" s="7"/>
      <c r="AA273" s="5"/>
      <c r="AB273" s="5"/>
      <c r="AC273" s="5"/>
      <c r="AD273" s="5"/>
      <c r="AE273" s="5"/>
    </row>
    <row r="274" spans="1:31" ht="15.75" customHeight="1">
      <c r="A274" s="5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5"/>
      <c r="T274" s="5"/>
      <c r="U274" s="5"/>
      <c r="V274" s="5"/>
      <c r="W274" s="5"/>
      <c r="X274" s="5"/>
      <c r="Y274" s="5"/>
      <c r="Z274" s="7"/>
      <c r="AA274" s="5"/>
      <c r="AB274" s="5"/>
      <c r="AC274" s="5"/>
      <c r="AD274" s="5"/>
      <c r="AE274" s="5"/>
    </row>
    <row r="275" spans="1:31" ht="15.75" customHeight="1">
      <c r="A275" s="5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5"/>
      <c r="T275" s="5"/>
      <c r="U275" s="5"/>
      <c r="V275" s="5"/>
      <c r="W275" s="5"/>
      <c r="X275" s="5"/>
      <c r="Y275" s="5"/>
      <c r="Z275" s="7"/>
      <c r="AA275" s="5"/>
      <c r="AB275" s="5"/>
      <c r="AC275" s="5"/>
      <c r="AD275" s="5"/>
      <c r="AE275" s="5"/>
    </row>
    <row r="276" spans="1:31" ht="15.75" customHeight="1">
      <c r="A276" s="5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5"/>
      <c r="T276" s="5"/>
      <c r="U276" s="5"/>
      <c r="V276" s="5"/>
      <c r="W276" s="5"/>
      <c r="X276" s="5"/>
      <c r="Y276" s="5"/>
      <c r="Z276" s="7"/>
      <c r="AA276" s="5"/>
      <c r="AB276" s="5"/>
      <c r="AC276" s="5"/>
      <c r="AD276" s="5"/>
      <c r="AE276" s="5"/>
    </row>
    <row r="277" spans="1:31" ht="15.75" customHeight="1">
      <c r="A277" s="5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5"/>
      <c r="T277" s="5"/>
      <c r="U277" s="5"/>
      <c r="V277" s="5"/>
      <c r="W277" s="5"/>
      <c r="X277" s="5"/>
      <c r="Y277" s="5"/>
      <c r="Z277" s="7"/>
      <c r="AA277" s="5"/>
      <c r="AB277" s="5"/>
      <c r="AC277" s="5"/>
      <c r="AD277" s="5"/>
      <c r="AE277" s="5"/>
    </row>
    <row r="278" spans="1:31" ht="15.75" customHeight="1">
      <c r="A278" s="5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5"/>
      <c r="T278" s="5"/>
      <c r="U278" s="5"/>
      <c r="V278" s="5"/>
      <c r="W278" s="5"/>
      <c r="X278" s="5"/>
      <c r="Y278" s="5"/>
      <c r="Z278" s="7"/>
      <c r="AA278" s="5"/>
      <c r="AB278" s="5"/>
      <c r="AC278" s="5"/>
      <c r="AD278" s="5"/>
      <c r="AE278" s="5"/>
    </row>
    <row r="279" spans="1:31" ht="15.75" customHeight="1">
      <c r="A279" s="5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5"/>
      <c r="T279" s="5"/>
      <c r="U279" s="5"/>
      <c r="V279" s="5"/>
      <c r="W279" s="5"/>
      <c r="X279" s="5"/>
      <c r="Y279" s="5"/>
      <c r="Z279" s="7"/>
      <c r="AA279" s="5"/>
      <c r="AB279" s="5"/>
      <c r="AC279" s="5"/>
      <c r="AD279" s="5"/>
      <c r="AE279" s="5"/>
    </row>
    <row r="280" spans="1:31" ht="15.75" customHeight="1">
      <c r="A280" s="5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5"/>
      <c r="T280" s="5"/>
      <c r="U280" s="5"/>
      <c r="V280" s="5"/>
      <c r="W280" s="5"/>
      <c r="X280" s="5"/>
      <c r="Y280" s="5"/>
      <c r="Z280" s="7"/>
      <c r="AA280" s="5"/>
      <c r="AB280" s="5"/>
      <c r="AC280" s="5"/>
      <c r="AD280" s="5"/>
      <c r="AE280" s="5"/>
    </row>
    <row r="281" spans="1:31" ht="15.75" customHeight="1">
      <c r="A281" s="5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5"/>
      <c r="T281" s="5"/>
      <c r="U281" s="5"/>
      <c r="V281" s="5"/>
      <c r="W281" s="5"/>
      <c r="X281" s="5"/>
      <c r="Y281" s="5"/>
      <c r="Z281" s="7"/>
      <c r="AA281" s="5"/>
      <c r="AB281" s="5"/>
      <c r="AC281" s="5"/>
      <c r="AD281" s="5"/>
      <c r="AE281" s="5"/>
    </row>
    <row r="282" spans="1:31" ht="15.75" customHeight="1">
      <c r="A282" s="5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5"/>
      <c r="T282" s="5"/>
      <c r="U282" s="5"/>
      <c r="V282" s="5"/>
      <c r="W282" s="5"/>
      <c r="X282" s="5"/>
      <c r="Y282" s="5"/>
      <c r="Z282" s="7"/>
      <c r="AA282" s="5"/>
      <c r="AB282" s="5"/>
      <c r="AC282" s="5"/>
      <c r="AD282" s="5"/>
      <c r="AE282" s="5"/>
    </row>
    <row r="283" spans="1:31" ht="15.75" customHeight="1">
      <c r="A283" s="5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5"/>
      <c r="T283" s="5"/>
      <c r="U283" s="5"/>
      <c r="V283" s="5"/>
      <c r="W283" s="5"/>
      <c r="X283" s="5"/>
      <c r="Y283" s="5"/>
      <c r="Z283" s="7"/>
      <c r="AA283" s="5"/>
      <c r="AB283" s="5"/>
      <c r="AC283" s="5"/>
      <c r="AD283" s="5"/>
      <c r="AE283" s="5"/>
    </row>
    <row r="284" spans="1:31" ht="15.75" customHeight="1">
      <c r="A284" s="5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5"/>
      <c r="T284" s="5"/>
      <c r="U284" s="5"/>
      <c r="V284" s="5"/>
      <c r="W284" s="5"/>
      <c r="X284" s="5"/>
      <c r="Y284" s="5"/>
      <c r="Z284" s="7"/>
      <c r="AA284" s="5"/>
      <c r="AB284" s="5"/>
      <c r="AC284" s="5"/>
      <c r="AD284" s="5"/>
      <c r="AE284" s="5"/>
    </row>
    <row r="285" spans="1:31" ht="15.75" customHeight="1">
      <c r="A285" s="5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5"/>
      <c r="T285" s="5"/>
      <c r="U285" s="5"/>
      <c r="V285" s="5"/>
      <c r="W285" s="5"/>
      <c r="X285" s="5"/>
      <c r="Y285" s="5"/>
      <c r="Z285" s="7"/>
      <c r="AA285" s="5"/>
      <c r="AB285" s="5"/>
      <c r="AC285" s="5"/>
      <c r="AD285" s="5"/>
      <c r="AE285" s="5"/>
    </row>
    <row r="286" spans="1:31" ht="15.75" customHeight="1">
      <c r="A286" s="5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5"/>
      <c r="T286" s="5"/>
      <c r="U286" s="5"/>
      <c r="V286" s="5"/>
      <c r="W286" s="5"/>
      <c r="X286" s="5"/>
      <c r="Y286" s="5"/>
      <c r="Z286" s="7"/>
      <c r="AA286" s="5"/>
      <c r="AB286" s="5"/>
      <c r="AC286" s="5"/>
      <c r="AD286" s="5"/>
      <c r="AE286" s="5"/>
    </row>
    <row r="287" spans="1:31" ht="15.75" customHeight="1">
      <c r="A287" s="5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5"/>
      <c r="T287" s="5"/>
      <c r="U287" s="5"/>
      <c r="V287" s="5"/>
      <c r="W287" s="5"/>
      <c r="X287" s="5"/>
      <c r="Y287" s="5"/>
      <c r="Z287" s="7"/>
      <c r="AA287" s="5"/>
      <c r="AB287" s="5"/>
      <c r="AC287" s="5"/>
      <c r="AD287" s="5"/>
      <c r="AE287" s="5"/>
    </row>
    <row r="288" spans="1:31" ht="15.75" customHeight="1">
      <c r="A288" s="5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5"/>
      <c r="T288" s="5"/>
      <c r="U288" s="5"/>
      <c r="V288" s="5"/>
      <c r="W288" s="5"/>
      <c r="X288" s="5"/>
      <c r="Y288" s="5"/>
      <c r="Z288" s="7"/>
      <c r="AA288" s="5"/>
      <c r="AB288" s="5"/>
      <c r="AC288" s="5"/>
      <c r="AD288" s="5"/>
      <c r="AE288" s="5"/>
    </row>
    <row r="289" spans="1:31" ht="15.75" customHeight="1">
      <c r="A289" s="5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5"/>
      <c r="T289" s="5"/>
      <c r="U289" s="5"/>
      <c r="V289" s="5"/>
      <c r="W289" s="5"/>
      <c r="X289" s="5"/>
      <c r="Y289" s="5"/>
      <c r="Z289" s="7"/>
      <c r="AA289" s="5"/>
      <c r="AB289" s="5"/>
      <c r="AC289" s="5"/>
      <c r="AD289" s="5"/>
      <c r="AE289" s="5"/>
    </row>
    <row r="290" spans="1:31" ht="15.75" customHeight="1">
      <c r="A290" s="5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5"/>
      <c r="T290" s="5"/>
      <c r="U290" s="5"/>
      <c r="V290" s="5"/>
      <c r="W290" s="5"/>
      <c r="X290" s="5"/>
      <c r="Y290" s="5"/>
      <c r="Z290" s="7"/>
      <c r="AA290" s="5"/>
      <c r="AB290" s="5"/>
      <c r="AC290" s="5"/>
      <c r="AD290" s="5"/>
      <c r="AE290" s="5"/>
    </row>
    <row r="291" spans="1:31" ht="15.75" customHeight="1">
      <c r="A291" s="5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5"/>
      <c r="T291" s="5"/>
      <c r="U291" s="5"/>
      <c r="V291" s="5"/>
      <c r="W291" s="5"/>
      <c r="X291" s="5"/>
      <c r="Y291" s="5"/>
      <c r="Z291" s="7"/>
      <c r="AA291" s="5"/>
      <c r="AB291" s="5"/>
      <c r="AC291" s="5"/>
      <c r="AD291" s="5"/>
      <c r="AE291" s="5"/>
    </row>
    <row r="292" spans="1:31" ht="15.75" customHeight="1">
      <c r="A292" s="5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5"/>
      <c r="T292" s="5"/>
      <c r="U292" s="5"/>
      <c r="V292" s="5"/>
      <c r="W292" s="5"/>
      <c r="X292" s="5"/>
      <c r="Y292" s="5"/>
      <c r="Z292" s="7"/>
      <c r="AA292" s="5"/>
      <c r="AB292" s="5"/>
      <c r="AC292" s="5"/>
      <c r="AD292" s="5"/>
      <c r="AE292" s="5"/>
    </row>
    <row r="293" spans="1:31" ht="15.75" customHeight="1">
      <c r="A293" s="5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5"/>
      <c r="T293" s="5"/>
      <c r="U293" s="5"/>
      <c r="V293" s="5"/>
      <c r="W293" s="5"/>
      <c r="X293" s="5"/>
      <c r="Y293" s="5"/>
      <c r="Z293" s="7"/>
      <c r="AA293" s="5"/>
      <c r="AB293" s="5"/>
      <c r="AC293" s="5"/>
      <c r="AD293" s="5"/>
      <c r="AE293" s="5"/>
    </row>
    <row r="294" spans="1:31" ht="15.75" customHeight="1">
      <c r="A294" s="5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5"/>
      <c r="T294" s="5"/>
      <c r="U294" s="5"/>
      <c r="V294" s="5"/>
      <c r="W294" s="5"/>
      <c r="X294" s="5"/>
      <c r="Y294" s="5"/>
      <c r="Z294" s="7"/>
      <c r="AA294" s="5"/>
      <c r="AB294" s="5"/>
      <c r="AC294" s="5"/>
      <c r="AD294" s="5"/>
      <c r="AE294" s="5"/>
    </row>
    <row r="295" spans="1:31" ht="15.75" customHeight="1">
      <c r="A295" s="5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5"/>
      <c r="T295" s="5"/>
      <c r="U295" s="5"/>
      <c r="V295" s="5"/>
      <c r="W295" s="5"/>
      <c r="X295" s="5"/>
      <c r="Y295" s="5"/>
      <c r="Z295" s="7"/>
      <c r="AA295" s="5"/>
      <c r="AB295" s="5"/>
      <c r="AC295" s="5"/>
      <c r="AD295" s="5"/>
      <c r="AE295" s="5"/>
    </row>
    <row r="296" spans="1:31" ht="15.75" customHeight="1">
      <c r="A296" s="5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5"/>
      <c r="T296" s="5"/>
      <c r="U296" s="5"/>
      <c r="V296" s="5"/>
      <c r="W296" s="5"/>
      <c r="X296" s="5"/>
      <c r="Y296" s="5"/>
      <c r="Z296" s="7"/>
      <c r="AA296" s="5"/>
      <c r="AB296" s="5"/>
      <c r="AC296" s="5"/>
      <c r="AD296" s="5"/>
      <c r="AE296" s="5"/>
    </row>
    <row r="297" spans="1:31" ht="15.75" customHeight="1">
      <c r="A297" s="5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5"/>
      <c r="T297" s="5"/>
      <c r="U297" s="5"/>
      <c r="V297" s="5"/>
      <c r="W297" s="5"/>
      <c r="X297" s="5"/>
      <c r="Y297" s="5"/>
      <c r="Z297" s="7"/>
      <c r="AA297" s="5"/>
      <c r="AB297" s="5"/>
      <c r="AC297" s="5"/>
      <c r="AD297" s="5"/>
      <c r="AE297" s="5"/>
    </row>
    <row r="298" spans="1:31" ht="15.75" customHeight="1">
      <c r="A298" s="5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5"/>
      <c r="T298" s="5"/>
      <c r="U298" s="5"/>
      <c r="V298" s="5"/>
      <c r="W298" s="5"/>
      <c r="X298" s="5"/>
      <c r="Y298" s="5"/>
      <c r="Z298" s="7"/>
      <c r="AA298" s="5"/>
      <c r="AB298" s="5"/>
      <c r="AC298" s="5"/>
      <c r="AD298" s="5"/>
      <c r="AE298" s="5"/>
    </row>
    <row r="299" spans="1:31" ht="15.75" customHeight="1">
      <c r="A299" s="5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5"/>
      <c r="T299" s="5"/>
      <c r="U299" s="5"/>
      <c r="V299" s="5"/>
      <c r="W299" s="5"/>
      <c r="X299" s="5"/>
      <c r="Y299" s="5"/>
      <c r="Z299" s="7"/>
      <c r="AA299" s="5"/>
      <c r="AB299" s="5"/>
      <c r="AC299" s="5"/>
      <c r="AD299" s="5"/>
      <c r="AE299" s="5"/>
    </row>
    <row r="300" spans="1:31" ht="15.75" customHeight="1">
      <c r="A300" s="5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5"/>
      <c r="T300" s="5"/>
      <c r="U300" s="5"/>
      <c r="V300" s="5"/>
      <c r="W300" s="5"/>
      <c r="X300" s="5"/>
      <c r="Y300" s="5"/>
      <c r="Z300" s="7"/>
      <c r="AA300" s="5"/>
      <c r="AB300" s="5"/>
      <c r="AC300" s="5"/>
      <c r="AD300" s="5"/>
      <c r="AE300" s="5"/>
    </row>
    <row r="301" spans="1:31" ht="15.75" customHeight="1">
      <c r="A301" s="5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5"/>
      <c r="T301" s="5"/>
      <c r="U301" s="5"/>
      <c r="V301" s="5"/>
      <c r="W301" s="5"/>
      <c r="X301" s="5"/>
      <c r="Y301" s="5"/>
      <c r="Z301" s="7"/>
      <c r="AA301" s="5"/>
      <c r="AB301" s="5"/>
      <c r="AC301" s="5"/>
      <c r="AD301" s="5"/>
      <c r="AE301" s="5"/>
    </row>
    <row r="302" spans="1:31" ht="15.75" customHeight="1">
      <c r="A302" s="5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5"/>
      <c r="T302" s="5"/>
      <c r="U302" s="5"/>
      <c r="V302" s="5"/>
      <c r="W302" s="5"/>
      <c r="X302" s="5"/>
      <c r="Y302" s="5"/>
      <c r="Z302" s="7"/>
      <c r="AA302" s="5"/>
      <c r="AB302" s="5"/>
      <c r="AC302" s="5"/>
      <c r="AD302" s="5"/>
      <c r="AE302" s="5"/>
    </row>
    <row r="303" spans="1:31" ht="15.75" customHeight="1">
      <c r="A303" s="5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5"/>
      <c r="T303" s="5"/>
      <c r="U303" s="5"/>
      <c r="V303" s="5"/>
      <c r="W303" s="5"/>
      <c r="X303" s="5"/>
      <c r="Y303" s="5"/>
      <c r="Z303" s="7"/>
      <c r="AA303" s="5"/>
      <c r="AB303" s="5"/>
      <c r="AC303" s="5"/>
      <c r="AD303" s="5"/>
      <c r="AE303" s="5"/>
    </row>
    <row r="304" spans="1:31" ht="15.75" customHeight="1">
      <c r="A304" s="5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5"/>
      <c r="T304" s="5"/>
      <c r="U304" s="5"/>
      <c r="V304" s="5"/>
      <c r="W304" s="5"/>
      <c r="X304" s="5"/>
      <c r="Y304" s="5"/>
      <c r="Z304" s="7"/>
      <c r="AA304" s="5"/>
      <c r="AB304" s="5"/>
      <c r="AC304" s="5"/>
      <c r="AD304" s="5"/>
      <c r="AE304" s="5"/>
    </row>
    <row r="305" spans="1:31" ht="15.75" customHeight="1">
      <c r="A305" s="5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5"/>
      <c r="T305" s="5"/>
      <c r="U305" s="5"/>
      <c r="V305" s="5"/>
      <c r="W305" s="5"/>
      <c r="X305" s="5"/>
      <c r="Y305" s="5"/>
      <c r="Z305" s="7"/>
      <c r="AA305" s="5"/>
      <c r="AB305" s="5"/>
      <c r="AC305" s="5"/>
      <c r="AD305" s="5"/>
      <c r="AE305" s="5"/>
    </row>
    <row r="306" spans="1:31" ht="15.75" customHeight="1">
      <c r="A306" s="5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5"/>
      <c r="T306" s="5"/>
      <c r="U306" s="5"/>
      <c r="V306" s="5"/>
      <c r="W306" s="5"/>
      <c r="X306" s="5"/>
      <c r="Y306" s="5"/>
      <c r="Z306" s="7"/>
      <c r="AA306" s="5"/>
      <c r="AB306" s="5"/>
      <c r="AC306" s="5"/>
      <c r="AD306" s="5"/>
      <c r="AE306" s="5"/>
    </row>
    <row r="307" spans="1:31" ht="15.75" customHeight="1">
      <c r="A307" s="5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5"/>
      <c r="T307" s="5"/>
      <c r="U307" s="5"/>
      <c r="V307" s="5"/>
      <c r="W307" s="5"/>
      <c r="X307" s="5"/>
      <c r="Y307" s="5"/>
      <c r="Z307" s="7"/>
      <c r="AA307" s="5"/>
      <c r="AB307" s="5"/>
      <c r="AC307" s="5"/>
      <c r="AD307" s="5"/>
      <c r="AE307" s="5"/>
    </row>
    <row r="308" spans="1:31" ht="15.75" customHeight="1">
      <c r="A308" s="5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5"/>
      <c r="T308" s="5"/>
      <c r="U308" s="5"/>
      <c r="V308" s="5"/>
      <c r="W308" s="5"/>
      <c r="X308" s="5"/>
      <c r="Y308" s="5"/>
      <c r="Z308" s="7"/>
      <c r="AA308" s="5"/>
      <c r="AB308" s="5"/>
      <c r="AC308" s="5"/>
      <c r="AD308" s="5"/>
      <c r="AE308" s="5"/>
    </row>
    <row r="309" spans="1:31" ht="15.75" customHeight="1">
      <c r="A309" s="5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5"/>
      <c r="T309" s="5"/>
      <c r="U309" s="5"/>
      <c r="V309" s="5"/>
      <c r="W309" s="5"/>
      <c r="X309" s="5"/>
      <c r="Y309" s="5"/>
      <c r="Z309" s="7"/>
      <c r="AA309" s="5"/>
      <c r="AB309" s="5"/>
      <c r="AC309" s="5"/>
      <c r="AD309" s="5"/>
      <c r="AE309" s="5"/>
    </row>
    <row r="310" spans="1:31" ht="15.75" customHeight="1">
      <c r="A310" s="5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5"/>
      <c r="T310" s="5"/>
      <c r="U310" s="5"/>
      <c r="V310" s="5"/>
      <c r="W310" s="5"/>
      <c r="X310" s="5"/>
      <c r="Y310" s="5"/>
      <c r="Z310" s="7"/>
      <c r="AA310" s="5"/>
      <c r="AB310" s="5"/>
      <c r="AC310" s="5"/>
      <c r="AD310" s="5"/>
      <c r="AE310" s="5"/>
    </row>
    <row r="311" spans="1:31" ht="15.75" customHeight="1">
      <c r="A311" s="5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5"/>
      <c r="T311" s="5"/>
      <c r="U311" s="5"/>
      <c r="V311" s="5"/>
      <c r="W311" s="5"/>
      <c r="X311" s="5"/>
      <c r="Y311" s="5"/>
      <c r="Z311" s="7"/>
      <c r="AA311" s="5"/>
      <c r="AB311" s="5"/>
      <c r="AC311" s="5"/>
      <c r="AD311" s="5"/>
      <c r="AE311" s="5"/>
    </row>
    <row r="312" spans="1:31" ht="15.75" customHeight="1">
      <c r="A312" s="5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5"/>
      <c r="T312" s="5"/>
      <c r="U312" s="5"/>
      <c r="V312" s="5"/>
      <c r="W312" s="5"/>
      <c r="X312" s="5"/>
      <c r="Y312" s="5"/>
      <c r="Z312" s="7"/>
      <c r="AA312" s="5"/>
      <c r="AB312" s="5"/>
      <c r="AC312" s="5"/>
      <c r="AD312" s="5"/>
      <c r="AE312" s="5"/>
    </row>
    <row r="313" spans="1:31" ht="15.75" customHeight="1">
      <c r="A313" s="5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5"/>
      <c r="T313" s="5"/>
      <c r="U313" s="5"/>
      <c r="V313" s="5"/>
      <c r="W313" s="5"/>
      <c r="X313" s="5"/>
      <c r="Y313" s="5"/>
      <c r="Z313" s="7"/>
      <c r="AA313" s="5"/>
      <c r="AB313" s="5"/>
      <c r="AC313" s="5"/>
      <c r="AD313" s="5"/>
      <c r="AE313" s="5"/>
    </row>
    <row r="314" spans="1:31" ht="15.75" customHeight="1">
      <c r="A314" s="5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5"/>
      <c r="T314" s="5"/>
      <c r="U314" s="5"/>
      <c r="V314" s="5"/>
      <c r="W314" s="5"/>
      <c r="X314" s="5"/>
      <c r="Y314" s="5"/>
      <c r="Z314" s="7"/>
      <c r="AA314" s="5"/>
      <c r="AB314" s="5"/>
      <c r="AC314" s="5"/>
      <c r="AD314" s="5"/>
      <c r="AE314" s="5"/>
    </row>
    <row r="315" spans="1:31" ht="15.75" customHeight="1">
      <c r="A315" s="5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5"/>
      <c r="T315" s="5"/>
      <c r="U315" s="5"/>
      <c r="V315" s="5"/>
      <c r="W315" s="5"/>
      <c r="X315" s="5"/>
      <c r="Y315" s="5"/>
      <c r="Z315" s="7"/>
      <c r="AA315" s="5"/>
      <c r="AB315" s="5"/>
      <c r="AC315" s="5"/>
      <c r="AD315" s="5"/>
      <c r="AE315" s="5"/>
    </row>
    <row r="316" spans="1:31" ht="15.75" customHeight="1">
      <c r="A316" s="5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5"/>
      <c r="T316" s="5"/>
      <c r="U316" s="5"/>
      <c r="V316" s="5"/>
      <c r="W316" s="5"/>
      <c r="X316" s="5"/>
      <c r="Y316" s="5"/>
      <c r="Z316" s="7"/>
      <c r="AA316" s="5"/>
      <c r="AB316" s="5"/>
      <c r="AC316" s="5"/>
      <c r="AD316" s="5"/>
      <c r="AE316" s="5"/>
    </row>
    <row r="317" spans="1:31" ht="15.75" customHeight="1">
      <c r="A317" s="5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5"/>
      <c r="T317" s="5"/>
      <c r="U317" s="5"/>
      <c r="V317" s="5"/>
      <c r="W317" s="5"/>
      <c r="X317" s="5"/>
      <c r="Y317" s="5"/>
      <c r="Z317" s="7"/>
      <c r="AA317" s="5"/>
      <c r="AB317" s="5"/>
      <c r="AC317" s="5"/>
      <c r="AD317" s="5"/>
      <c r="AE317" s="5"/>
    </row>
    <row r="318" spans="1:31" ht="15.75" customHeight="1">
      <c r="A318" s="5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5"/>
      <c r="T318" s="5"/>
      <c r="U318" s="5"/>
      <c r="V318" s="5"/>
      <c r="W318" s="5"/>
      <c r="X318" s="5"/>
      <c r="Y318" s="5"/>
      <c r="Z318" s="7"/>
      <c r="AA318" s="5"/>
      <c r="AB318" s="5"/>
      <c r="AC318" s="5"/>
      <c r="AD318" s="5"/>
      <c r="AE318" s="5"/>
    </row>
    <row r="319" spans="1:31" ht="15.75" customHeight="1">
      <c r="A319" s="5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5"/>
      <c r="T319" s="5"/>
      <c r="U319" s="5"/>
      <c r="V319" s="5"/>
      <c r="W319" s="5"/>
      <c r="X319" s="5"/>
      <c r="Y319" s="5"/>
      <c r="Z319" s="7"/>
      <c r="AA319" s="5"/>
      <c r="AB319" s="5"/>
      <c r="AC319" s="5"/>
      <c r="AD319" s="5"/>
      <c r="AE319" s="5"/>
    </row>
    <row r="320" spans="1:31" ht="15.75" customHeight="1">
      <c r="A320" s="5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5"/>
      <c r="T320" s="5"/>
      <c r="U320" s="5"/>
      <c r="V320" s="5"/>
      <c r="W320" s="5"/>
      <c r="X320" s="5"/>
      <c r="Y320" s="5"/>
      <c r="Z320" s="7"/>
      <c r="AA320" s="5"/>
      <c r="AB320" s="5"/>
      <c r="AC320" s="5"/>
      <c r="AD320" s="5"/>
      <c r="AE320" s="5"/>
    </row>
    <row r="321" spans="1:31" ht="15.75" customHeight="1">
      <c r="A321" s="5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5"/>
      <c r="T321" s="5"/>
      <c r="U321" s="5"/>
      <c r="V321" s="5"/>
      <c r="W321" s="5"/>
      <c r="X321" s="5"/>
      <c r="Y321" s="5"/>
      <c r="Z321" s="7"/>
      <c r="AA321" s="5"/>
      <c r="AB321" s="5"/>
      <c r="AC321" s="5"/>
      <c r="AD321" s="5"/>
      <c r="AE321" s="5"/>
    </row>
    <row r="322" spans="1:31" ht="15.75" customHeight="1">
      <c r="A322" s="5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5"/>
      <c r="T322" s="5"/>
      <c r="U322" s="5"/>
      <c r="V322" s="5"/>
      <c r="W322" s="5"/>
      <c r="X322" s="5"/>
      <c r="Y322" s="5"/>
      <c r="Z322" s="7"/>
      <c r="AA322" s="5"/>
      <c r="AB322" s="5"/>
      <c r="AC322" s="5"/>
      <c r="AD322" s="5"/>
      <c r="AE322" s="5"/>
    </row>
    <row r="323" spans="1:31" ht="15.75" customHeight="1">
      <c r="A323" s="5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5"/>
      <c r="T323" s="5"/>
      <c r="U323" s="5"/>
      <c r="V323" s="5"/>
      <c r="W323" s="5"/>
      <c r="X323" s="5"/>
      <c r="Y323" s="5"/>
      <c r="Z323" s="7"/>
      <c r="AA323" s="5"/>
      <c r="AB323" s="5"/>
      <c r="AC323" s="5"/>
      <c r="AD323" s="5"/>
      <c r="AE323" s="5"/>
    </row>
    <row r="324" spans="1:31" ht="15.75" customHeight="1">
      <c r="A324" s="5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5"/>
      <c r="T324" s="5"/>
      <c r="U324" s="5"/>
      <c r="V324" s="5"/>
      <c r="W324" s="5"/>
      <c r="X324" s="5"/>
      <c r="Y324" s="5"/>
      <c r="Z324" s="7"/>
      <c r="AA324" s="5"/>
      <c r="AB324" s="5"/>
      <c r="AC324" s="5"/>
      <c r="AD324" s="5"/>
      <c r="AE324" s="5"/>
    </row>
    <row r="325" spans="1:31" ht="15.75" customHeight="1">
      <c r="A325" s="5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5"/>
      <c r="T325" s="5"/>
      <c r="U325" s="5"/>
      <c r="V325" s="5"/>
      <c r="W325" s="5"/>
      <c r="X325" s="5"/>
      <c r="Y325" s="5"/>
      <c r="Z325" s="7"/>
      <c r="AA325" s="5"/>
      <c r="AB325" s="5"/>
      <c r="AC325" s="5"/>
      <c r="AD325" s="5"/>
      <c r="AE325" s="5"/>
    </row>
    <row r="326" spans="1:31" ht="15.75" customHeight="1">
      <c r="A326" s="5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5"/>
      <c r="T326" s="5"/>
      <c r="U326" s="5"/>
      <c r="V326" s="5"/>
      <c r="W326" s="5"/>
      <c r="X326" s="5"/>
      <c r="Y326" s="5"/>
      <c r="Z326" s="7"/>
      <c r="AA326" s="5"/>
      <c r="AB326" s="5"/>
      <c r="AC326" s="5"/>
      <c r="AD326" s="5"/>
      <c r="AE326" s="5"/>
    </row>
    <row r="327" spans="1:31" ht="15.75" customHeight="1">
      <c r="A327" s="5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5"/>
      <c r="T327" s="5"/>
      <c r="U327" s="5"/>
      <c r="V327" s="5"/>
      <c r="W327" s="5"/>
      <c r="X327" s="5"/>
      <c r="Y327" s="5"/>
      <c r="Z327" s="7"/>
      <c r="AA327" s="5"/>
      <c r="AB327" s="5"/>
      <c r="AC327" s="5"/>
      <c r="AD327" s="5"/>
      <c r="AE327" s="5"/>
    </row>
    <row r="328" spans="1:31" ht="15.75" customHeight="1">
      <c r="A328" s="5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5"/>
      <c r="T328" s="5"/>
      <c r="U328" s="5"/>
      <c r="V328" s="5"/>
      <c r="W328" s="5"/>
      <c r="X328" s="5"/>
      <c r="Y328" s="5"/>
      <c r="Z328" s="7"/>
      <c r="AA328" s="5"/>
      <c r="AB328" s="5"/>
      <c r="AC328" s="5"/>
      <c r="AD328" s="5"/>
      <c r="AE328" s="5"/>
    </row>
    <row r="329" spans="1:31" ht="15.75" customHeight="1">
      <c r="A329" s="5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5"/>
      <c r="T329" s="5"/>
      <c r="U329" s="5"/>
      <c r="V329" s="5"/>
      <c r="W329" s="5"/>
      <c r="X329" s="5"/>
      <c r="Y329" s="5"/>
      <c r="Z329" s="7"/>
      <c r="AA329" s="5"/>
      <c r="AB329" s="5"/>
      <c r="AC329" s="5"/>
      <c r="AD329" s="5"/>
      <c r="AE329" s="5"/>
    </row>
    <row r="330" spans="1:31" ht="15.75" customHeight="1">
      <c r="A330" s="5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5"/>
      <c r="T330" s="5"/>
      <c r="U330" s="5"/>
      <c r="V330" s="5"/>
      <c r="W330" s="5"/>
      <c r="X330" s="5"/>
      <c r="Y330" s="5"/>
      <c r="Z330" s="7"/>
      <c r="AA330" s="5"/>
      <c r="AB330" s="5"/>
      <c r="AC330" s="5"/>
      <c r="AD330" s="5"/>
      <c r="AE330" s="5"/>
    </row>
    <row r="331" spans="1:31" ht="15.75" customHeight="1">
      <c r="A331" s="5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5"/>
      <c r="T331" s="5"/>
      <c r="U331" s="5"/>
      <c r="V331" s="5"/>
      <c r="W331" s="5"/>
      <c r="X331" s="5"/>
      <c r="Y331" s="5"/>
      <c r="Z331" s="7"/>
      <c r="AA331" s="5"/>
      <c r="AB331" s="5"/>
      <c r="AC331" s="5"/>
      <c r="AD331" s="5"/>
      <c r="AE331" s="5"/>
    </row>
    <row r="332" spans="1:31" ht="15.75" customHeight="1">
      <c r="A332" s="5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5"/>
      <c r="T332" s="5"/>
      <c r="U332" s="5"/>
      <c r="V332" s="5"/>
      <c r="W332" s="5"/>
      <c r="X332" s="5"/>
      <c r="Y332" s="5"/>
      <c r="Z332" s="7"/>
      <c r="AA332" s="5"/>
      <c r="AB332" s="5"/>
      <c r="AC332" s="5"/>
      <c r="AD332" s="5"/>
      <c r="AE332" s="5"/>
    </row>
    <row r="333" spans="1:31" ht="15.75" customHeight="1">
      <c r="A333" s="5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5"/>
      <c r="T333" s="5"/>
      <c r="U333" s="5"/>
      <c r="V333" s="5"/>
      <c r="W333" s="5"/>
      <c r="X333" s="5"/>
      <c r="Y333" s="5"/>
      <c r="Z333" s="7"/>
      <c r="AA333" s="5"/>
      <c r="AB333" s="5"/>
      <c r="AC333" s="5"/>
      <c r="AD333" s="5"/>
      <c r="AE333" s="5"/>
    </row>
    <row r="334" spans="1:31" ht="15.75" customHeight="1">
      <c r="A334" s="5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5"/>
      <c r="T334" s="5"/>
      <c r="U334" s="5"/>
      <c r="V334" s="5"/>
      <c r="W334" s="5"/>
      <c r="X334" s="5"/>
      <c r="Y334" s="5"/>
      <c r="Z334" s="7"/>
      <c r="AA334" s="5"/>
      <c r="AB334" s="5"/>
      <c r="AC334" s="5"/>
      <c r="AD334" s="5"/>
      <c r="AE334" s="5"/>
    </row>
    <row r="335" spans="1:31" ht="15.75" customHeight="1">
      <c r="A335" s="5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5"/>
      <c r="T335" s="5"/>
      <c r="U335" s="5"/>
      <c r="V335" s="5"/>
      <c r="W335" s="5"/>
      <c r="X335" s="5"/>
      <c r="Y335" s="5"/>
      <c r="Z335" s="7"/>
      <c r="AA335" s="5"/>
      <c r="AB335" s="5"/>
      <c r="AC335" s="5"/>
      <c r="AD335" s="5"/>
      <c r="AE335" s="5"/>
    </row>
    <row r="336" spans="1:31" ht="15.75" customHeight="1">
      <c r="A336" s="5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5"/>
      <c r="T336" s="5"/>
      <c r="U336" s="5"/>
      <c r="V336" s="5"/>
      <c r="W336" s="5"/>
      <c r="X336" s="5"/>
      <c r="Y336" s="5"/>
      <c r="Z336" s="7"/>
      <c r="AA336" s="5"/>
      <c r="AB336" s="5"/>
      <c r="AC336" s="5"/>
      <c r="AD336" s="5"/>
      <c r="AE336" s="5"/>
    </row>
    <row r="337" spans="1:31" ht="15.75" customHeight="1">
      <c r="A337" s="5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5"/>
      <c r="T337" s="5"/>
      <c r="U337" s="5"/>
      <c r="V337" s="5"/>
      <c r="W337" s="5"/>
      <c r="X337" s="5"/>
      <c r="Y337" s="5"/>
      <c r="Z337" s="7"/>
      <c r="AA337" s="5"/>
      <c r="AB337" s="5"/>
      <c r="AC337" s="5"/>
      <c r="AD337" s="5"/>
      <c r="AE337" s="5"/>
    </row>
    <row r="338" spans="1:31" ht="15.75" customHeight="1">
      <c r="A338" s="5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5"/>
      <c r="T338" s="5"/>
      <c r="U338" s="5"/>
      <c r="V338" s="5"/>
      <c r="W338" s="5"/>
      <c r="X338" s="5"/>
      <c r="Y338" s="5"/>
      <c r="Z338" s="7"/>
      <c r="AA338" s="5"/>
      <c r="AB338" s="5"/>
      <c r="AC338" s="5"/>
      <c r="AD338" s="5"/>
      <c r="AE338" s="5"/>
    </row>
    <row r="339" spans="1:31" ht="15.75" customHeight="1">
      <c r="A339" s="5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5"/>
      <c r="T339" s="5"/>
      <c r="U339" s="5"/>
      <c r="V339" s="5"/>
      <c r="W339" s="5"/>
      <c r="X339" s="5"/>
      <c r="Y339" s="5"/>
      <c r="Z339" s="7"/>
      <c r="AA339" s="5"/>
      <c r="AB339" s="5"/>
      <c r="AC339" s="5"/>
      <c r="AD339" s="5"/>
      <c r="AE339" s="5"/>
    </row>
    <row r="340" spans="1:31" ht="15.75" customHeight="1">
      <c r="A340" s="5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5"/>
      <c r="T340" s="5"/>
      <c r="U340" s="5"/>
      <c r="V340" s="5"/>
      <c r="W340" s="5"/>
      <c r="X340" s="5"/>
      <c r="Y340" s="5"/>
      <c r="Z340" s="7"/>
      <c r="AA340" s="5"/>
      <c r="AB340" s="5"/>
      <c r="AC340" s="5"/>
      <c r="AD340" s="5"/>
      <c r="AE340" s="5"/>
    </row>
    <row r="341" spans="1:31" ht="15.75" customHeight="1">
      <c r="A341" s="5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5"/>
      <c r="T341" s="5"/>
      <c r="U341" s="5"/>
      <c r="V341" s="5"/>
      <c r="W341" s="5"/>
      <c r="X341" s="5"/>
      <c r="Y341" s="5"/>
      <c r="Z341" s="7"/>
      <c r="AA341" s="5"/>
      <c r="AB341" s="5"/>
      <c r="AC341" s="5"/>
      <c r="AD341" s="5"/>
      <c r="AE341" s="5"/>
    </row>
    <row r="342" spans="1:31" ht="15.75" customHeight="1">
      <c r="A342" s="5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5"/>
      <c r="T342" s="5"/>
      <c r="U342" s="5"/>
      <c r="V342" s="5"/>
      <c r="W342" s="5"/>
      <c r="X342" s="5"/>
      <c r="Y342" s="5"/>
      <c r="Z342" s="7"/>
      <c r="AA342" s="5"/>
      <c r="AB342" s="5"/>
      <c r="AC342" s="5"/>
      <c r="AD342" s="5"/>
      <c r="AE342" s="5"/>
    </row>
    <row r="343" spans="1:31" ht="15.75" customHeight="1">
      <c r="A343" s="5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5"/>
      <c r="T343" s="5"/>
      <c r="U343" s="5"/>
      <c r="V343" s="5"/>
      <c r="W343" s="5"/>
      <c r="X343" s="5"/>
      <c r="Y343" s="5"/>
      <c r="Z343" s="7"/>
      <c r="AA343" s="5"/>
      <c r="AB343" s="5"/>
      <c r="AC343" s="5"/>
      <c r="AD343" s="5"/>
      <c r="AE343" s="5"/>
    </row>
    <row r="344" spans="1:31" ht="15.75" customHeight="1">
      <c r="A344" s="5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5"/>
      <c r="T344" s="5"/>
      <c r="U344" s="5"/>
      <c r="V344" s="5"/>
      <c r="W344" s="5"/>
      <c r="X344" s="5"/>
      <c r="Y344" s="5"/>
      <c r="Z344" s="7"/>
      <c r="AA344" s="5"/>
      <c r="AB344" s="5"/>
      <c r="AC344" s="5"/>
      <c r="AD344" s="5"/>
      <c r="AE344" s="5"/>
    </row>
    <row r="345" spans="1:31" ht="15.75" customHeight="1">
      <c r="A345" s="5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5"/>
      <c r="T345" s="5"/>
      <c r="U345" s="5"/>
      <c r="V345" s="5"/>
      <c r="W345" s="5"/>
      <c r="X345" s="5"/>
      <c r="Y345" s="5"/>
      <c r="Z345" s="7"/>
      <c r="AA345" s="5"/>
      <c r="AB345" s="5"/>
      <c r="AC345" s="5"/>
      <c r="AD345" s="5"/>
      <c r="AE345" s="5"/>
    </row>
    <row r="346" spans="1:31" ht="15.75" customHeight="1">
      <c r="A346" s="5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5"/>
      <c r="T346" s="5"/>
      <c r="U346" s="5"/>
      <c r="V346" s="5"/>
      <c r="W346" s="5"/>
      <c r="X346" s="5"/>
      <c r="Y346" s="5"/>
      <c r="Z346" s="7"/>
      <c r="AA346" s="5"/>
      <c r="AB346" s="5"/>
      <c r="AC346" s="5"/>
      <c r="AD346" s="5"/>
      <c r="AE346" s="5"/>
    </row>
    <row r="347" spans="1:31" ht="15.75" customHeight="1">
      <c r="A347" s="5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5"/>
      <c r="T347" s="5"/>
      <c r="U347" s="5"/>
      <c r="V347" s="5"/>
      <c r="W347" s="5"/>
      <c r="X347" s="5"/>
      <c r="Y347" s="5"/>
      <c r="Z347" s="7"/>
      <c r="AA347" s="5"/>
      <c r="AB347" s="5"/>
      <c r="AC347" s="5"/>
      <c r="AD347" s="5"/>
      <c r="AE347" s="5"/>
    </row>
    <row r="348" spans="1:31" ht="15.75" customHeight="1">
      <c r="A348" s="5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5"/>
      <c r="T348" s="5"/>
      <c r="U348" s="5"/>
      <c r="V348" s="5"/>
      <c r="W348" s="5"/>
      <c r="X348" s="5"/>
      <c r="Y348" s="5"/>
      <c r="Z348" s="7"/>
      <c r="AA348" s="5"/>
      <c r="AB348" s="5"/>
      <c r="AC348" s="5"/>
      <c r="AD348" s="5"/>
      <c r="AE348" s="5"/>
    </row>
    <row r="349" spans="1:31" ht="15.75" customHeight="1">
      <c r="A349" s="5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5"/>
      <c r="T349" s="5"/>
      <c r="U349" s="5"/>
      <c r="V349" s="5"/>
      <c r="W349" s="5"/>
      <c r="X349" s="5"/>
      <c r="Y349" s="5"/>
      <c r="Z349" s="7"/>
      <c r="AA349" s="5"/>
      <c r="AB349" s="5"/>
      <c r="AC349" s="5"/>
      <c r="AD349" s="5"/>
      <c r="AE349" s="5"/>
    </row>
    <row r="350" spans="1:31" ht="15.75" customHeight="1">
      <c r="A350" s="5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5"/>
      <c r="T350" s="5"/>
      <c r="U350" s="5"/>
      <c r="V350" s="5"/>
      <c r="W350" s="5"/>
      <c r="X350" s="5"/>
      <c r="Y350" s="5"/>
      <c r="Z350" s="7"/>
      <c r="AA350" s="5"/>
      <c r="AB350" s="5"/>
      <c r="AC350" s="5"/>
      <c r="AD350" s="5"/>
      <c r="AE350" s="5"/>
    </row>
    <row r="351" spans="1:31" ht="15.75" customHeight="1">
      <c r="A351" s="5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5"/>
      <c r="T351" s="5"/>
      <c r="U351" s="5"/>
      <c r="V351" s="5"/>
      <c r="W351" s="5"/>
      <c r="X351" s="5"/>
      <c r="Y351" s="5"/>
      <c r="Z351" s="7"/>
      <c r="AA351" s="5"/>
      <c r="AB351" s="5"/>
      <c r="AC351" s="5"/>
      <c r="AD351" s="5"/>
      <c r="AE351" s="5"/>
    </row>
    <row r="352" spans="1:31" ht="15.75" customHeight="1">
      <c r="A352" s="5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5"/>
      <c r="T352" s="5"/>
      <c r="U352" s="5"/>
      <c r="V352" s="5"/>
      <c r="W352" s="5"/>
      <c r="X352" s="5"/>
      <c r="Y352" s="5"/>
      <c r="Z352" s="7"/>
      <c r="AA352" s="5"/>
      <c r="AB352" s="5"/>
      <c r="AC352" s="5"/>
      <c r="AD352" s="5"/>
      <c r="AE352" s="5"/>
    </row>
    <row r="353" spans="1:31" ht="15.75" customHeight="1">
      <c r="A353" s="5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5"/>
      <c r="T353" s="5"/>
      <c r="U353" s="5"/>
      <c r="V353" s="5"/>
      <c r="W353" s="5"/>
      <c r="X353" s="5"/>
      <c r="Y353" s="5"/>
      <c r="Z353" s="7"/>
      <c r="AA353" s="5"/>
      <c r="AB353" s="5"/>
      <c r="AC353" s="5"/>
      <c r="AD353" s="5"/>
      <c r="AE353" s="5"/>
    </row>
    <row r="354" spans="1:31" ht="15.75" customHeight="1">
      <c r="A354" s="5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5"/>
      <c r="T354" s="5"/>
      <c r="U354" s="5"/>
      <c r="V354" s="5"/>
      <c r="W354" s="5"/>
      <c r="X354" s="5"/>
      <c r="Y354" s="5"/>
      <c r="Z354" s="7"/>
      <c r="AA354" s="5"/>
      <c r="AB354" s="5"/>
      <c r="AC354" s="5"/>
      <c r="AD354" s="5"/>
      <c r="AE354" s="5"/>
    </row>
    <row r="355" spans="1:31" ht="15.75" customHeight="1">
      <c r="A355" s="5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5"/>
      <c r="T355" s="5"/>
      <c r="U355" s="5"/>
      <c r="V355" s="5"/>
      <c r="W355" s="5"/>
      <c r="X355" s="5"/>
      <c r="Y355" s="5"/>
      <c r="Z355" s="7"/>
      <c r="AA355" s="5"/>
      <c r="AB355" s="5"/>
      <c r="AC355" s="5"/>
      <c r="AD355" s="5"/>
      <c r="AE355" s="5"/>
    </row>
    <row r="356" spans="1:31" ht="15.75" customHeight="1">
      <c r="A356" s="5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5"/>
      <c r="T356" s="5"/>
      <c r="U356" s="5"/>
      <c r="V356" s="5"/>
      <c r="W356" s="5"/>
      <c r="X356" s="5"/>
      <c r="Y356" s="5"/>
      <c r="Z356" s="7"/>
      <c r="AA356" s="5"/>
      <c r="AB356" s="5"/>
      <c r="AC356" s="5"/>
      <c r="AD356" s="5"/>
      <c r="AE356" s="5"/>
    </row>
    <row r="357" spans="1:31" ht="15.75" customHeight="1">
      <c r="A357" s="5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5"/>
      <c r="T357" s="5"/>
      <c r="U357" s="5"/>
      <c r="V357" s="5"/>
      <c r="W357" s="5"/>
      <c r="X357" s="5"/>
      <c r="Y357" s="5"/>
      <c r="Z357" s="7"/>
      <c r="AA357" s="5"/>
      <c r="AB357" s="5"/>
      <c r="AC357" s="5"/>
      <c r="AD357" s="5"/>
      <c r="AE357" s="5"/>
    </row>
    <row r="358" spans="1:31" ht="15.75" customHeight="1">
      <c r="A358" s="5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5"/>
      <c r="T358" s="5"/>
      <c r="U358" s="5"/>
      <c r="V358" s="5"/>
      <c r="W358" s="5"/>
      <c r="X358" s="5"/>
      <c r="Y358" s="5"/>
      <c r="Z358" s="7"/>
      <c r="AA358" s="5"/>
      <c r="AB358" s="5"/>
      <c r="AC358" s="5"/>
      <c r="AD358" s="5"/>
      <c r="AE358" s="5"/>
    </row>
    <row r="359" spans="1:31" ht="15.75" customHeight="1">
      <c r="A359" s="5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5"/>
      <c r="T359" s="5"/>
      <c r="U359" s="5"/>
      <c r="V359" s="5"/>
      <c r="W359" s="5"/>
      <c r="X359" s="5"/>
      <c r="Y359" s="5"/>
      <c r="Z359" s="7"/>
      <c r="AA359" s="5"/>
      <c r="AB359" s="5"/>
      <c r="AC359" s="5"/>
      <c r="AD359" s="5"/>
      <c r="AE359" s="5"/>
    </row>
    <row r="360" spans="1:31" ht="15.75" customHeight="1">
      <c r="A360" s="5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5"/>
      <c r="T360" s="5"/>
      <c r="U360" s="5"/>
      <c r="V360" s="5"/>
      <c r="W360" s="5"/>
      <c r="X360" s="5"/>
      <c r="Y360" s="5"/>
      <c r="Z360" s="7"/>
      <c r="AA360" s="5"/>
      <c r="AB360" s="5"/>
      <c r="AC360" s="5"/>
      <c r="AD360" s="5"/>
      <c r="AE360" s="5"/>
    </row>
    <row r="361" spans="1:31" ht="15.75" customHeight="1">
      <c r="A361" s="5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5"/>
      <c r="T361" s="5"/>
      <c r="U361" s="5"/>
      <c r="V361" s="5"/>
      <c r="W361" s="5"/>
      <c r="X361" s="5"/>
      <c r="Y361" s="5"/>
      <c r="Z361" s="7"/>
      <c r="AA361" s="5"/>
      <c r="AB361" s="5"/>
      <c r="AC361" s="5"/>
      <c r="AD361" s="5"/>
      <c r="AE361" s="5"/>
    </row>
    <row r="362" spans="1:31" ht="15.75" customHeight="1">
      <c r="A362" s="5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5"/>
      <c r="T362" s="5"/>
      <c r="U362" s="5"/>
      <c r="V362" s="5"/>
      <c r="W362" s="5"/>
      <c r="X362" s="5"/>
      <c r="Y362" s="5"/>
      <c r="Z362" s="7"/>
      <c r="AA362" s="5"/>
      <c r="AB362" s="5"/>
      <c r="AC362" s="5"/>
      <c r="AD362" s="5"/>
      <c r="AE362" s="5"/>
    </row>
    <row r="363" spans="1:31" ht="15.75" customHeight="1">
      <c r="A363" s="5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5"/>
      <c r="T363" s="5"/>
      <c r="U363" s="5"/>
      <c r="V363" s="5"/>
      <c r="W363" s="5"/>
      <c r="X363" s="5"/>
      <c r="Y363" s="5"/>
      <c r="Z363" s="7"/>
      <c r="AA363" s="5"/>
      <c r="AB363" s="5"/>
      <c r="AC363" s="5"/>
      <c r="AD363" s="5"/>
      <c r="AE363" s="5"/>
    </row>
    <row r="364" spans="1:31" ht="15.75" customHeight="1">
      <c r="A364" s="5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5"/>
      <c r="T364" s="5"/>
      <c r="U364" s="5"/>
      <c r="V364" s="5"/>
      <c r="W364" s="5"/>
      <c r="X364" s="5"/>
      <c r="Y364" s="5"/>
      <c r="Z364" s="7"/>
      <c r="AA364" s="5"/>
      <c r="AB364" s="5"/>
      <c r="AC364" s="5"/>
      <c r="AD364" s="5"/>
      <c r="AE364" s="5"/>
    </row>
    <row r="365" spans="1:31" ht="15.75" customHeight="1">
      <c r="A365" s="5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5"/>
      <c r="T365" s="5"/>
      <c r="U365" s="5"/>
      <c r="V365" s="5"/>
      <c r="W365" s="5"/>
      <c r="X365" s="5"/>
      <c r="Y365" s="5"/>
      <c r="Z365" s="7"/>
      <c r="AA365" s="5"/>
      <c r="AB365" s="5"/>
      <c r="AC365" s="5"/>
      <c r="AD365" s="5"/>
      <c r="AE365" s="5"/>
    </row>
    <row r="366" spans="1:31" ht="15.75" customHeight="1">
      <c r="A366" s="5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5"/>
      <c r="T366" s="5"/>
      <c r="U366" s="5"/>
      <c r="V366" s="5"/>
      <c r="W366" s="5"/>
      <c r="X366" s="5"/>
      <c r="Y366" s="5"/>
      <c r="Z366" s="7"/>
      <c r="AA366" s="5"/>
      <c r="AB366" s="5"/>
      <c r="AC366" s="5"/>
      <c r="AD366" s="5"/>
      <c r="AE366" s="5"/>
    </row>
    <row r="367" spans="1:31" ht="15.75" customHeight="1">
      <c r="A367" s="5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5"/>
      <c r="T367" s="5"/>
      <c r="U367" s="5"/>
      <c r="V367" s="5"/>
      <c r="W367" s="5"/>
      <c r="X367" s="5"/>
      <c r="Y367" s="5"/>
      <c r="Z367" s="7"/>
      <c r="AA367" s="5"/>
      <c r="AB367" s="5"/>
      <c r="AC367" s="5"/>
      <c r="AD367" s="5"/>
      <c r="AE367" s="5"/>
    </row>
    <row r="368" spans="1:31" ht="15.75" customHeight="1">
      <c r="A368" s="5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5"/>
      <c r="T368" s="5"/>
      <c r="U368" s="5"/>
      <c r="V368" s="5"/>
      <c r="W368" s="5"/>
      <c r="X368" s="5"/>
      <c r="Y368" s="5"/>
      <c r="Z368" s="7"/>
      <c r="AA368" s="5"/>
      <c r="AB368" s="5"/>
      <c r="AC368" s="5"/>
      <c r="AD368" s="5"/>
      <c r="AE368" s="5"/>
    </row>
    <row r="369" spans="1:31" ht="15.75" customHeight="1">
      <c r="A369" s="5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5"/>
      <c r="T369" s="5"/>
      <c r="U369" s="5"/>
      <c r="V369" s="5"/>
      <c r="W369" s="5"/>
      <c r="X369" s="5"/>
      <c r="Y369" s="5"/>
      <c r="Z369" s="7"/>
      <c r="AA369" s="5"/>
      <c r="AB369" s="5"/>
      <c r="AC369" s="5"/>
      <c r="AD369" s="5"/>
      <c r="AE369" s="5"/>
    </row>
    <row r="370" spans="1:31" ht="15.75" customHeight="1">
      <c r="A370" s="5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5"/>
      <c r="T370" s="5"/>
      <c r="U370" s="5"/>
      <c r="V370" s="5"/>
      <c r="W370" s="5"/>
      <c r="X370" s="5"/>
      <c r="Y370" s="5"/>
      <c r="Z370" s="7"/>
      <c r="AA370" s="5"/>
      <c r="AB370" s="5"/>
      <c r="AC370" s="5"/>
      <c r="AD370" s="5"/>
      <c r="AE370" s="5"/>
    </row>
    <row r="371" spans="1:31" ht="15.75" customHeight="1">
      <c r="A371" s="5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5"/>
      <c r="T371" s="5"/>
      <c r="U371" s="5"/>
      <c r="V371" s="5"/>
      <c r="W371" s="5"/>
      <c r="X371" s="5"/>
      <c r="Y371" s="5"/>
      <c r="Z371" s="7"/>
      <c r="AA371" s="5"/>
      <c r="AB371" s="5"/>
      <c r="AC371" s="5"/>
      <c r="AD371" s="5"/>
      <c r="AE371" s="5"/>
    </row>
    <row r="372" spans="1:31" ht="15.75" customHeight="1">
      <c r="A372" s="5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5"/>
      <c r="T372" s="5"/>
      <c r="U372" s="5"/>
      <c r="V372" s="5"/>
      <c r="W372" s="5"/>
      <c r="X372" s="5"/>
      <c r="Y372" s="5"/>
      <c r="Z372" s="7"/>
      <c r="AA372" s="5"/>
      <c r="AB372" s="5"/>
      <c r="AC372" s="5"/>
      <c r="AD372" s="5"/>
      <c r="AE372" s="5"/>
    </row>
    <row r="373" spans="1:31" ht="15.75" customHeight="1">
      <c r="A373" s="5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5"/>
      <c r="T373" s="5"/>
      <c r="U373" s="5"/>
      <c r="V373" s="5"/>
      <c r="W373" s="5"/>
      <c r="X373" s="5"/>
      <c r="Y373" s="5"/>
      <c r="Z373" s="7"/>
      <c r="AA373" s="5"/>
      <c r="AB373" s="5"/>
      <c r="AC373" s="5"/>
      <c r="AD373" s="5"/>
      <c r="AE373" s="5"/>
    </row>
    <row r="374" spans="1:31" ht="15.75" customHeight="1">
      <c r="A374" s="5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5"/>
      <c r="T374" s="5"/>
      <c r="U374" s="5"/>
      <c r="V374" s="5"/>
      <c r="W374" s="5"/>
      <c r="X374" s="5"/>
      <c r="Y374" s="5"/>
      <c r="Z374" s="7"/>
      <c r="AA374" s="5"/>
      <c r="AB374" s="5"/>
      <c r="AC374" s="5"/>
      <c r="AD374" s="5"/>
      <c r="AE374" s="5"/>
    </row>
    <row r="375" spans="1:31" ht="15.75" customHeight="1">
      <c r="A375" s="5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5"/>
      <c r="T375" s="5"/>
      <c r="U375" s="5"/>
      <c r="V375" s="5"/>
      <c r="W375" s="5"/>
      <c r="X375" s="5"/>
      <c r="Y375" s="5"/>
      <c r="Z375" s="7"/>
      <c r="AA375" s="5"/>
      <c r="AB375" s="5"/>
      <c r="AC375" s="5"/>
      <c r="AD375" s="5"/>
      <c r="AE375" s="5"/>
    </row>
    <row r="376" spans="1:31" ht="15.75" customHeight="1">
      <c r="A376" s="5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5"/>
      <c r="T376" s="5"/>
      <c r="U376" s="5"/>
      <c r="V376" s="5"/>
      <c r="W376" s="5"/>
      <c r="X376" s="5"/>
      <c r="Y376" s="5"/>
      <c r="Z376" s="7"/>
      <c r="AA376" s="5"/>
      <c r="AB376" s="5"/>
      <c r="AC376" s="5"/>
      <c r="AD376" s="5"/>
      <c r="AE376" s="5"/>
    </row>
    <row r="377" spans="1:31" ht="15.75" customHeight="1">
      <c r="A377" s="5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5"/>
      <c r="T377" s="5"/>
      <c r="U377" s="5"/>
      <c r="V377" s="5"/>
      <c r="W377" s="5"/>
      <c r="X377" s="5"/>
      <c r="Y377" s="5"/>
      <c r="Z377" s="7"/>
      <c r="AA377" s="5"/>
      <c r="AB377" s="5"/>
      <c r="AC377" s="5"/>
      <c r="AD377" s="5"/>
      <c r="AE377" s="5"/>
    </row>
    <row r="378" spans="1:31" ht="15.75" customHeight="1">
      <c r="A378" s="5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5"/>
      <c r="T378" s="5"/>
      <c r="U378" s="5"/>
      <c r="V378" s="5"/>
      <c r="W378" s="5"/>
      <c r="X378" s="5"/>
      <c r="Y378" s="5"/>
      <c r="Z378" s="7"/>
      <c r="AA378" s="5"/>
      <c r="AB378" s="5"/>
      <c r="AC378" s="5"/>
      <c r="AD378" s="5"/>
      <c r="AE378" s="5"/>
    </row>
    <row r="379" spans="1:31" ht="15.75" customHeight="1">
      <c r="A379" s="5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5"/>
      <c r="T379" s="5"/>
      <c r="U379" s="5"/>
      <c r="V379" s="5"/>
      <c r="W379" s="5"/>
      <c r="X379" s="5"/>
      <c r="Y379" s="5"/>
      <c r="Z379" s="7"/>
      <c r="AA379" s="5"/>
      <c r="AB379" s="5"/>
      <c r="AC379" s="5"/>
      <c r="AD379" s="5"/>
      <c r="AE379" s="5"/>
    </row>
    <row r="380" spans="1:31" ht="15.75" customHeight="1">
      <c r="A380" s="5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5"/>
      <c r="T380" s="5"/>
      <c r="U380" s="5"/>
      <c r="V380" s="5"/>
      <c r="W380" s="5"/>
      <c r="X380" s="5"/>
      <c r="Y380" s="5"/>
      <c r="Z380" s="7"/>
      <c r="AA380" s="5"/>
      <c r="AB380" s="5"/>
      <c r="AC380" s="5"/>
      <c r="AD380" s="5"/>
      <c r="AE380" s="5"/>
    </row>
    <row r="381" spans="1:31" ht="15.75" customHeight="1">
      <c r="A381" s="5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5"/>
      <c r="T381" s="5"/>
      <c r="U381" s="5"/>
      <c r="V381" s="5"/>
      <c r="W381" s="5"/>
      <c r="X381" s="5"/>
      <c r="Y381" s="5"/>
      <c r="Z381" s="7"/>
      <c r="AA381" s="5"/>
      <c r="AB381" s="5"/>
      <c r="AC381" s="5"/>
      <c r="AD381" s="5"/>
      <c r="AE381" s="5"/>
    </row>
    <row r="382" spans="1:31" ht="15.75" customHeight="1">
      <c r="A382" s="5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5"/>
      <c r="T382" s="5"/>
      <c r="U382" s="5"/>
      <c r="V382" s="5"/>
      <c r="W382" s="5"/>
      <c r="X382" s="5"/>
      <c r="Y382" s="5"/>
      <c r="Z382" s="7"/>
      <c r="AA382" s="5"/>
      <c r="AB382" s="5"/>
      <c r="AC382" s="5"/>
      <c r="AD382" s="5"/>
      <c r="AE382" s="5"/>
    </row>
    <row r="383" spans="1:31" ht="15.75" customHeight="1">
      <c r="A383" s="5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5"/>
      <c r="T383" s="5"/>
      <c r="U383" s="5"/>
      <c r="V383" s="5"/>
      <c r="W383" s="5"/>
      <c r="X383" s="5"/>
      <c r="Y383" s="5"/>
      <c r="Z383" s="7"/>
      <c r="AA383" s="5"/>
      <c r="AB383" s="5"/>
      <c r="AC383" s="5"/>
      <c r="AD383" s="5"/>
      <c r="AE383" s="5"/>
    </row>
    <row r="384" spans="1:31" ht="15.75" customHeight="1">
      <c r="A384" s="5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5"/>
      <c r="T384" s="5"/>
      <c r="U384" s="5"/>
      <c r="V384" s="5"/>
      <c r="W384" s="5"/>
      <c r="X384" s="5"/>
      <c r="Y384" s="5"/>
      <c r="Z384" s="7"/>
      <c r="AA384" s="5"/>
      <c r="AB384" s="5"/>
      <c r="AC384" s="5"/>
      <c r="AD384" s="5"/>
      <c r="AE384" s="5"/>
    </row>
    <row r="385" spans="1:31" ht="15.75" customHeight="1">
      <c r="A385" s="5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5"/>
      <c r="T385" s="5"/>
      <c r="U385" s="5"/>
      <c r="V385" s="5"/>
      <c r="W385" s="5"/>
      <c r="X385" s="5"/>
      <c r="Y385" s="5"/>
      <c r="Z385" s="7"/>
      <c r="AA385" s="5"/>
      <c r="AB385" s="5"/>
      <c r="AC385" s="5"/>
      <c r="AD385" s="5"/>
      <c r="AE385" s="5"/>
    </row>
    <row r="386" spans="1:31" ht="15.75" customHeight="1">
      <c r="A386" s="5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5"/>
      <c r="T386" s="5"/>
      <c r="U386" s="5"/>
      <c r="V386" s="5"/>
      <c r="W386" s="5"/>
      <c r="X386" s="5"/>
      <c r="Y386" s="5"/>
      <c r="Z386" s="7"/>
      <c r="AA386" s="5"/>
      <c r="AB386" s="5"/>
      <c r="AC386" s="5"/>
      <c r="AD386" s="5"/>
      <c r="AE386" s="5"/>
    </row>
    <row r="387" spans="1:31" ht="15.75" customHeight="1">
      <c r="A387" s="5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5"/>
      <c r="T387" s="5"/>
      <c r="U387" s="5"/>
      <c r="V387" s="5"/>
      <c r="W387" s="5"/>
      <c r="X387" s="5"/>
      <c r="Y387" s="5"/>
      <c r="Z387" s="7"/>
      <c r="AA387" s="5"/>
      <c r="AB387" s="5"/>
      <c r="AC387" s="5"/>
      <c r="AD387" s="5"/>
      <c r="AE387" s="5"/>
    </row>
    <row r="388" spans="1:31" ht="15.75" customHeight="1">
      <c r="A388" s="5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5"/>
      <c r="T388" s="5"/>
      <c r="U388" s="5"/>
      <c r="V388" s="5"/>
      <c r="W388" s="5"/>
      <c r="X388" s="5"/>
      <c r="Y388" s="5"/>
      <c r="Z388" s="7"/>
      <c r="AA388" s="5"/>
      <c r="AB388" s="5"/>
      <c r="AC388" s="5"/>
      <c r="AD388" s="5"/>
      <c r="AE388" s="5"/>
    </row>
    <row r="389" spans="1:31" ht="15.75" customHeight="1">
      <c r="A389" s="5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5"/>
      <c r="T389" s="5"/>
      <c r="U389" s="5"/>
      <c r="V389" s="5"/>
      <c r="W389" s="5"/>
      <c r="X389" s="5"/>
      <c r="Y389" s="5"/>
      <c r="Z389" s="7"/>
      <c r="AA389" s="5"/>
      <c r="AB389" s="5"/>
      <c r="AC389" s="5"/>
      <c r="AD389" s="5"/>
      <c r="AE389" s="5"/>
    </row>
    <row r="390" spans="1:31" ht="15.75" customHeight="1">
      <c r="A390" s="5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5"/>
      <c r="T390" s="5"/>
      <c r="U390" s="5"/>
      <c r="V390" s="5"/>
      <c r="W390" s="5"/>
      <c r="X390" s="5"/>
      <c r="Y390" s="5"/>
      <c r="Z390" s="7"/>
      <c r="AA390" s="5"/>
      <c r="AB390" s="5"/>
      <c r="AC390" s="5"/>
      <c r="AD390" s="5"/>
      <c r="AE390" s="5"/>
    </row>
    <row r="391" spans="1:31" ht="15.75" customHeight="1">
      <c r="A391" s="5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5"/>
      <c r="T391" s="5"/>
      <c r="U391" s="5"/>
      <c r="V391" s="5"/>
      <c r="W391" s="5"/>
      <c r="X391" s="5"/>
      <c r="Y391" s="5"/>
      <c r="Z391" s="7"/>
      <c r="AA391" s="5"/>
      <c r="AB391" s="5"/>
      <c r="AC391" s="5"/>
      <c r="AD391" s="5"/>
      <c r="AE391" s="5"/>
    </row>
    <row r="392" spans="1:31" ht="15.75" customHeight="1">
      <c r="A392" s="5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5"/>
      <c r="T392" s="5"/>
      <c r="U392" s="5"/>
      <c r="V392" s="5"/>
      <c r="W392" s="5"/>
      <c r="X392" s="5"/>
      <c r="Y392" s="5"/>
      <c r="Z392" s="7"/>
      <c r="AA392" s="5"/>
      <c r="AB392" s="5"/>
      <c r="AC392" s="5"/>
      <c r="AD392" s="5"/>
      <c r="AE392" s="5"/>
    </row>
    <row r="393" spans="1:31" ht="15.75" customHeight="1">
      <c r="A393" s="5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5"/>
      <c r="T393" s="5"/>
      <c r="U393" s="5"/>
      <c r="V393" s="5"/>
      <c r="W393" s="5"/>
      <c r="X393" s="5"/>
      <c r="Y393" s="5"/>
      <c r="Z393" s="7"/>
      <c r="AA393" s="5"/>
      <c r="AB393" s="5"/>
      <c r="AC393" s="5"/>
      <c r="AD393" s="5"/>
      <c r="AE393" s="5"/>
    </row>
    <row r="394" spans="1:31" ht="15.75" customHeight="1">
      <c r="A394" s="5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5"/>
      <c r="T394" s="5"/>
      <c r="U394" s="5"/>
      <c r="V394" s="5"/>
      <c r="W394" s="5"/>
      <c r="X394" s="5"/>
      <c r="Y394" s="5"/>
      <c r="Z394" s="7"/>
      <c r="AA394" s="5"/>
      <c r="AB394" s="5"/>
      <c r="AC394" s="5"/>
      <c r="AD394" s="5"/>
      <c r="AE394" s="5"/>
    </row>
    <row r="395" spans="1:31" ht="15.75" customHeight="1">
      <c r="A395" s="5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5"/>
      <c r="T395" s="5"/>
      <c r="U395" s="5"/>
      <c r="V395" s="5"/>
      <c r="W395" s="5"/>
      <c r="X395" s="5"/>
      <c r="Y395" s="5"/>
      <c r="Z395" s="7"/>
      <c r="AA395" s="5"/>
      <c r="AB395" s="5"/>
      <c r="AC395" s="5"/>
      <c r="AD395" s="5"/>
      <c r="AE395" s="5"/>
    </row>
    <row r="396" spans="1:31" ht="15.75" customHeight="1">
      <c r="A396" s="5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5"/>
      <c r="T396" s="5"/>
      <c r="U396" s="5"/>
      <c r="V396" s="5"/>
      <c r="W396" s="5"/>
      <c r="X396" s="5"/>
      <c r="Y396" s="5"/>
      <c r="Z396" s="7"/>
      <c r="AA396" s="5"/>
      <c r="AB396" s="5"/>
      <c r="AC396" s="5"/>
      <c r="AD396" s="5"/>
      <c r="AE396" s="5"/>
    </row>
    <row r="397" spans="1:31" ht="15.75" customHeight="1">
      <c r="A397" s="5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5"/>
      <c r="T397" s="5"/>
      <c r="U397" s="5"/>
      <c r="V397" s="5"/>
      <c r="W397" s="5"/>
      <c r="X397" s="5"/>
      <c r="Y397" s="5"/>
      <c r="Z397" s="7"/>
      <c r="AA397" s="5"/>
      <c r="AB397" s="5"/>
      <c r="AC397" s="5"/>
      <c r="AD397" s="5"/>
      <c r="AE397" s="5"/>
    </row>
    <row r="398" spans="1:31" ht="15.75" customHeight="1">
      <c r="A398" s="5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5"/>
      <c r="T398" s="5"/>
      <c r="U398" s="5"/>
      <c r="V398" s="5"/>
      <c r="W398" s="5"/>
      <c r="X398" s="5"/>
      <c r="Y398" s="5"/>
      <c r="Z398" s="7"/>
      <c r="AA398" s="5"/>
      <c r="AB398" s="5"/>
      <c r="AC398" s="5"/>
      <c r="AD398" s="5"/>
      <c r="AE398" s="5"/>
    </row>
    <row r="399" spans="1:31" ht="15.75" customHeight="1">
      <c r="A399" s="5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5"/>
      <c r="T399" s="5"/>
      <c r="U399" s="5"/>
      <c r="V399" s="5"/>
      <c r="W399" s="5"/>
      <c r="X399" s="5"/>
      <c r="Y399" s="5"/>
      <c r="Z399" s="7"/>
      <c r="AA399" s="5"/>
      <c r="AB399" s="5"/>
      <c r="AC399" s="5"/>
      <c r="AD399" s="5"/>
      <c r="AE399" s="5"/>
    </row>
    <row r="400" spans="1:31" ht="15.75" customHeight="1">
      <c r="A400" s="5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5"/>
      <c r="T400" s="5"/>
      <c r="U400" s="5"/>
      <c r="V400" s="5"/>
      <c r="W400" s="5"/>
      <c r="X400" s="5"/>
      <c r="Y400" s="5"/>
      <c r="Z400" s="7"/>
      <c r="AA400" s="5"/>
      <c r="AB400" s="5"/>
      <c r="AC400" s="5"/>
      <c r="AD400" s="5"/>
      <c r="AE400" s="5"/>
    </row>
    <row r="401" spans="1:31" ht="15.75" customHeight="1">
      <c r="A401" s="5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5"/>
      <c r="T401" s="5"/>
      <c r="U401" s="5"/>
      <c r="V401" s="5"/>
      <c r="W401" s="5"/>
      <c r="X401" s="5"/>
      <c r="Y401" s="5"/>
      <c r="Z401" s="7"/>
      <c r="AA401" s="5"/>
      <c r="AB401" s="5"/>
      <c r="AC401" s="5"/>
      <c r="AD401" s="5"/>
      <c r="AE401" s="5"/>
    </row>
    <row r="402" spans="1:31" ht="15.75" customHeight="1">
      <c r="A402" s="5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5"/>
      <c r="T402" s="5"/>
      <c r="U402" s="5"/>
      <c r="V402" s="5"/>
      <c r="W402" s="5"/>
      <c r="X402" s="5"/>
      <c r="Y402" s="5"/>
      <c r="Z402" s="7"/>
      <c r="AA402" s="5"/>
      <c r="AB402" s="5"/>
      <c r="AC402" s="5"/>
      <c r="AD402" s="5"/>
      <c r="AE402" s="5"/>
    </row>
    <row r="403" spans="1:31" ht="15.75" customHeight="1">
      <c r="A403" s="5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5"/>
      <c r="T403" s="5"/>
      <c r="U403" s="5"/>
      <c r="V403" s="5"/>
      <c r="W403" s="5"/>
      <c r="X403" s="5"/>
      <c r="Y403" s="5"/>
      <c r="Z403" s="7"/>
      <c r="AA403" s="5"/>
      <c r="AB403" s="5"/>
      <c r="AC403" s="5"/>
      <c r="AD403" s="5"/>
      <c r="AE403" s="5"/>
    </row>
    <row r="404" spans="1:31" ht="15.75" customHeight="1">
      <c r="A404" s="5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5"/>
      <c r="T404" s="5"/>
      <c r="U404" s="5"/>
      <c r="V404" s="5"/>
      <c r="W404" s="5"/>
      <c r="X404" s="5"/>
      <c r="Y404" s="5"/>
      <c r="Z404" s="7"/>
      <c r="AA404" s="5"/>
      <c r="AB404" s="5"/>
      <c r="AC404" s="5"/>
      <c r="AD404" s="5"/>
      <c r="AE404" s="5"/>
    </row>
    <row r="405" spans="1:31" ht="15.75" customHeight="1">
      <c r="A405" s="5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5"/>
      <c r="T405" s="5"/>
      <c r="U405" s="5"/>
      <c r="V405" s="5"/>
      <c r="W405" s="5"/>
      <c r="X405" s="5"/>
      <c r="Y405" s="5"/>
      <c r="Z405" s="7"/>
      <c r="AA405" s="5"/>
      <c r="AB405" s="5"/>
      <c r="AC405" s="5"/>
      <c r="AD405" s="5"/>
      <c r="AE405" s="5"/>
    </row>
    <row r="406" spans="1:31" ht="15.75" customHeight="1">
      <c r="A406" s="5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5"/>
      <c r="T406" s="5"/>
      <c r="U406" s="5"/>
      <c r="V406" s="5"/>
      <c r="W406" s="5"/>
      <c r="X406" s="5"/>
      <c r="Y406" s="5"/>
      <c r="Z406" s="7"/>
      <c r="AA406" s="5"/>
      <c r="AB406" s="5"/>
      <c r="AC406" s="5"/>
      <c r="AD406" s="5"/>
      <c r="AE406" s="5"/>
    </row>
    <row r="407" spans="1:31" ht="15.75" customHeight="1">
      <c r="A407" s="5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5"/>
      <c r="T407" s="5"/>
      <c r="U407" s="5"/>
      <c r="V407" s="5"/>
      <c r="W407" s="5"/>
      <c r="X407" s="5"/>
      <c r="Y407" s="5"/>
      <c r="Z407" s="7"/>
      <c r="AA407" s="5"/>
      <c r="AB407" s="5"/>
      <c r="AC407" s="5"/>
      <c r="AD407" s="5"/>
      <c r="AE407" s="5"/>
    </row>
    <row r="408" spans="1:31" ht="15.75" customHeight="1">
      <c r="A408" s="5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5"/>
      <c r="T408" s="5"/>
      <c r="U408" s="5"/>
      <c r="V408" s="5"/>
      <c r="W408" s="5"/>
      <c r="X408" s="5"/>
      <c r="Y408" s="5"/>
      <c r="Z408" s="7"/>
      <c r="AA408" s="5"/>
      <c r="AB408" s="5"/>
      <c r="AC408" s="5"/>
      <c r="AD408" s="5"/>
      <c r="AE408" s="5"/>
    </row>
    <row r="409" spans="1:31" ht="15.75" customHeight="1">
      <c r="A409" s="5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5"/>
      <c r="T409" s="5"/>
      <c r="U409" s="5"/>
      <c r="V409" s="5"/>
      <c r="W409" s="5"/>
      <c r="X409" s="5"/>
      <c r="Y409" s="5"/>
      <c r="Z409" s="7"/>
      <c r="AA409" s="5"/>
      <c r="AB409" s="5"/>
      <c r="AC409" s="5"/>
      <c r="AD409" s="5"/>
      <c r="AE409" s="5"/>
    </row>
    <row r="410" spans="1:31" ht="15.75" customHeight="1">
      <c r="A410" s="5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5"/>
      <c r="T410" s="5"/>
      <c r="U410" s="5"/>
      <c r="V410" s="5"/>
      <c r="W410" s="5"/>
      <c r="X410" s="5"/>
      <c r="Y410" s="5"/>
      <c r="Z410" s="7"/>
      <c r="AA410" s="5"/>
      <c r="AB410" s="5"/>
      <c r="AC410" s="5"/>
      <c r="AD410" s="5"/>
      <c r="AE410" s="5"/>
    </row>
    <row r="411" spans="1:31" ht="15.75" customHeight="1">
      <c r="A411" s="5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5"/>
      <c r="T411" s="5"/>
      <c r="U411" s="5"/>
      <c r="V411" s="5"/>
      <c r="W411" s="5"/>
      <c r="X411" s="5"/>
      <c r="Y411" s="5"/>
      <c r="Z411" s="7"/>
      <c r="AA411" s="5"/>
      <c r="AB411" s="5"/>
      <c r="AC411" s="5"/>
      <c r="AD411" s="5"/>
      <c r="AE411" s="5"/>
    </row>
    <row r="412" spans="1:31" ht="15.75" customHeight="1">
      <c r="A412" s="5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5"/>
      <c r="T412" s="5"/>
      <c r="U412" s="5"/>
      <c r="V412" s="5"/>
      <c r="W412" s="5"/>
      <c r="X412" s="5"/>
      <c r="Y412" s="5"/>
      <c r="Z412" s="7"/>
      <c r="AA412" s="5"/>
      <c r="AB412" s="5"/>
      <c r="AC412" s="5"/>
      <c r="AD412" s="5"/>
      <c r="AE412" s="5"/>
    </row>
    <row r="413" spans="1:31" ht="15.75" customHeight="1">
      <c r="A413" s="5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5"/>
      <c r="T413" s="5"/>
      <c r="U413" s="5"/>
      <c r="V413" s="5"/>
      <c r="W413" s="5"/>
      <c r="X413" s="5"/>
      <c r="Y413" s="5"/>
      <c r="Z413" s="7"/>
      <c r="AA413" s="5"/>
      <c r="AB413" s="5"/>
      <c r="AC413" s="5"/>
      <c r="AD413" s="5"/>
      <c r="AE413" s="5"/>
    </row>
    <row r="414" spans="1:31" ht="15.75" customHeight="1">
      <c r="A414" s="5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5"/>
      <c r="T414" s="5"/>
      <c r="U414" s="5"/>
      <c r="V414" s="5"/>
      <c r="W414" s="5"/>
      <c r="X414" s="5"/>
      <c r="Y414" s="5"/>
      <c r="Z414" s="7"/>
      <c r="AA414" s="5"/>
      <c r="AB414" s="5"/>
      <c r="AC414" s="5"/>
      <c r="AD414" s="5"/>
      <c r="AE414" s="5"/>
    </row>
    <row r="415" spans="1:31" ht="15.75" customHeight="1">
      <c r="A415" s="5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5"/>
      <c r="T415" s="5"/>
      <c r="U415" s="5"/>
      <c r="V415" s="5"/>
      <c r="W415" s="5"/>
      <c r="X415" s="5"/>
      <c r="Y415" s="5"/>
      <c r="Z415" s="7"/>
      <c r="AA415" s="5"/>
      <c r="AB415" s="5"/>
      <c r="AC415" s="5"/>
      <c r="AD415" s="5"/>
      <c r="AE415" s="5"/>
    </row>
    <row r="416" spans="1:31" ht="15.75" customHeight="1">
      <c r="A416" s="5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5"/>
      <c r="T416" s="5"/>
      <c r="U416" s="5"/>
      <c r="V416" s="5"/>
      <c r="W416" s="5"/>
      <c r="X416" s="5"/>
      <c r="Y416" s="5"/>
      <c r="Z416" s="7"/>
      <c r="AA416" s="5"/>
      <c r="AB416" s="5"/>
      <c r="AC416" s="5"/>
      <c r="AD416" s="5"/>
      <c r="AE416" s="5"/>
    </row>
    <row r="417" spans="1:31" ht="15.75" customHeight="1">
      <c r="A417" s="5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5"/>
      <c r="T417" s="5"/>
      <c r="U417" s="5"/>
      <c r="V417" s="5"/>
      <c r="W417" s="5"/>
      <c r="X417" s="5"/>
      <c r="Y417" s="5"/>
      <c r="Z417" s="7"/>
      <c r="AA417" s="5"/>
      <c r="AB417" s="5"/>
      <c r="AC417" s="5"/>
      <c r="AD417" s="5"/>
      <c r="AE417" s="5"/>
    </row>
    <row r="418" spans="1:31" ht="15.75" customHeight="1">
      <c r="A418" s="5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5"/>
      <c r="T418" s="5"/>
      <c r="U418" s="5"/>
      <c r="V418" s="5"/>
      <c r="W418" s="5"/>
      <c r="X418" s="5"/>
      <c r="Y418" s="5"/>
      <c r="Z418" s="7"/>
      <c r="AA418" s="5"/>
      <c r="AB418" s="5"/>
      <c r="AC418" s="5"/>
      <c r="AD418" s="5"/>
      <c r="AE418" s="5"/>
    </row>
    <row r="419" spans="1:31" ht="15.75" customHeight="1">
      <c r="A419" s="5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5"/>
      <c r="T419" s="5"/>
      <c r="U419" s="5"/>
      <c r="V419" s="5"/>
      <c r="W419" s="5"/>
      <c r="X419" s="5"/>
      <c r="Y419" s="5"/>
      <c r="Z419" s="7"/>
      <c r="AA419" s="5"/>
      <c r="AB419" s="5"/>
      <c r="AC419" s="5"/>
      <c r="AD419" s="5"/>
      <c r="AE419" s="5"/>
    </row>
    <row r="420" spans="1:31" ht="15.75" customHeight="1">
      <c r="A420" s="5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5"/>
      <c r="T420" s="5"/>
      <c r="U420" s="5"/>
      <c r="V420" s="5"/>
      <c r="W420" s="5"/>
      <c r="X420" s="5"/>
      <c r="Y420" s="5"/>
      <c r="Z420" s="7"/>
      <c r="AA420" s="5"/>
      <c r="AB420" s="5"/>
      <c r="AC420" s="5"/>
      <c r="AD420" s="5"/>
      <c r="AE420" s="5"/>
    </row>
    <row r="421" spans="1:31" ht="15.75" customHeight="1">
      <c r="A421" s="5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5"/>
      <c r="T421" s="5"/>
      <c r="U421" s="5"/>
      <c r="V421" s="5"/>
      <c r="W421" s="5"/>
      <c r="X421" s="5"/>
      <c r="Y421" s="5"/>
      <c r="Z421" s="7"/>
      <c r="AA421" s="5"/>
      <c r="AB421" s="5"/>
      <c r="AC421" s="5"/>
      <c r="AD421" s="5"/>
      <c r="AE421" s="5"/>
    </row>
    <row r="422" spans="1:31" ht="15.75" customHeight="1">
      <c r="A422" s="5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5"/>
      <c r="T422" s="5"/>
      <c r="U422" s="5"/>
      <c r="V422" s="5"/>
      <c r="W422" s="5"/>
      <c r="X422" s="5"/>
      <c r="Y422" s="5"/>
      <c r="Z422" s="7"/>
      <c r="AA422" s="5"/>
      <c r="AB422" s="5"/>
      <c r="AC422" s="5"/>
      <c r="AD422" s="5"/>
      <c r="AE422" s="5"/>
    </row>
    <row r="423" spans="1:31" ht="15.75" customHeight="1">
      <c r="A423" s="5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5"/>
      <c r="T423" s="5"/>
      <c r="U423" s="5"/>
      <c r="V423" s="5"/>
      <c r="W423" s="5"/>
      <c r="X423" s="5"/>
      <c r="Y423" s="5"/>
      <c r="Z423" s="7"/>
      <c r="AA423" s="5"/>
      <c r="AB423" s="5"/>
      <c r="AC423" s="5"/>
      <c r="AD423" s="5"/>
      <c r="AE423" s="5"/>
    </row>
    <row r="424" spans="1:31" ht="15.75" customHeight="1">
      <c r="A424" s="5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5"/>
      <c r="T424" s="5"/>
      <c r="U424" s="5"/>
      <c r="V424" s="5"/>
      <c r="W424" s="5"/>
      <c r="X424" s="5"/>
      <c r="Y424" s="5"/>
      <c r="Z424" s="7"/>
      <c r="AA424" s="5"/>
      <c r="AB424" s="5"/>
      <c r="AC424" s="5"/>
      <c r="AD424" s="5"/>
      <c r="AE424" s="5"/>
    </row>
    <row r="425" spans="1:31" ht="15.75" customHeight="1">
      <c r="A425" s="5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5"/>
      <c r="T425" s="5"/>
      <c r="U425" s="5"/>
      <c r="V425" s="5"/>
      <c r="W425" s="5"/>
      <c r="X425" s="5"/>
      <c r="Y425" s="5"/>
      <c r="Z425" s="7"/>
      <c r="AA425" s="5"/>
      <c r="AB425" s="5"/>
      <c r="AC425" s="5"/>
      <c r="AD425" s="5"/>
      <c r="AE425" s="5"/>
    </row>
    <row r="426" spans="1:31" ht="15.75" customHeight="1">
      <c r="A426" s="5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5"/>
      <c r="T426" s="5"/>
      <c r="U426" s="5"/>
      <c r="V426" s="5"/>
      <c r="W426" s="5"/>
      <c r="X426" s="5"/>
      <c r="Y426" s="5"/>
      <c r="Z426" s="7"/>
      <c r="AA426" s="5"/>
      <c r="AB426" s="5"/>
      <c r="AC426" s="5"/>
      <c r="AD426" s="5"/>
      <c r="AE426" s="5"/>
    </row>
    <row r="427" spans="1:31" ht="15.75" customHeight="1">
      <c r="A427" s="5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5"/>
      <c r="T427" s="5"/>
      <c r="U427" s="5"/>
      <c r="V427" s="5"/>
      <c r="W427" s="5"/>
      <c r="X427" s="5"/>
      <c r="Y427" s="5"/>
      <c r="Z427" s="7"/>
      <c r="AA427" s="5"/>
      <c r="AB427" s="5"/>
      <c r="AC427" s="5"/>
      <c r="AD427" s="5"/>
      <c r="AE427" s="5"/>
    </row>
    <row r="428" spans="1:31" ht="15.75" customHeight="1">
      <c r="A428" s="5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5"/>
      <c r="T428" s="5"/>
      <c r="U428" s="5"/>
      <c r="V428" s="5"/>
      <c r="W428" s="5"/>
      <c r="X428" s="5"/>
      <c r="Y428" s="5"/>
      <c r="Z428" s="7"/>
      <c r="AA428" s="5"/>
      <c r="AB428" s="5"/>
      <c r="AC428" s="5"/>
      <c r="AD428" s="5"/>
      <c r="AE428" s="5"/>
    </row>
    <row r="429" spans="1:31" ht="15.75" customHeight="1">
      <c r="A429" s="5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5"/>
      <c r="T429" s="5"/>
      <c r="U429" s="5"/>
      <c r="V429" s="5"/>
      <c r="W429" s="5"/>
      <c r="X429" s="5"/>
      <c r="Y429" s="5"/>
      <c r="Z429" s="7"/>
      <c r="AA429" s="5"/>
      <c r="AB429" s="5"/>
      <c r="AC429" s="5"/>
      <c r="AD429" s="5"/>
      <c r="AE429" s="5"/>
    </row>
    <row r="430" spans="1:31" ht="15.75" customHeight="1">
      <c r="A430" s="5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5"/>
      <c r="T430" s="5"/>
      <c r="U430" s="5"/>
      <c r="V430" s="5"/>
      <c r="W430" s="5"/>
      <c r="X430" s="5"/>
      <c r="Y430" s="5"/>
      <c r="Z430" s="7"/>
      <c r="AA430" s="5"/>
      <c r="AB430" s="5"/>
      <c r="AC430" s="5"/>
      <c r="AD430" s="5"/>
      <c r="AE430" s="5"/>
    </row>
    <row r="431" spans="1:31" ht="15.75" customHeight="1">
      <c r="A431" s="5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5"/>
      <c r="T431" s="5"/>
      <c r="U431" s="5"/>
      <c r="V431" s="5"/>
      <c r="W431" s="5"/>
      <c r="X431" s="5"/>
      <c r="Y431" s="5"/>
      <c r="Z431" s="7"/>
      <c r="AA431" s="5"/>
      <c r="AB431" s="5"/>
      <c r="AC431" s="5"/>
      <c r="AD431" s="5"/>
      <c r="AE431" s="5"/>
    </row>
    <row r="432" spans="1:31" ht="15.75" customHeight="1">
      <c r="A432" s="5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5"/>
      <c r="T432" s="5"/>
      <c r="U432" s="5"/>
      <c r="V432" s="5"/>
      <c r="W432" s="5"/>
      <c r="X432" s="5"/>
      <c r="Y432" s="5"/>
      <c r="Z432" s="7"/>
      <c r="AA432" s="5"/>
      <c r="AB432" s="5"/>
      <c r="AC432" s="5"/>
      <c r="AD432" s="5"/>
      <c r="AE432" s="5"/>
    </row>
    <row r="433" spans="1:31" ht="15.75" customHeight="1">
      <c r="A433" s="5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5"/>
      <c r="T433" s="5"/>
      <c r="U433" s="5"/>
      <c r="V433" s="5"/>
      <c r="W433" s="5"/>
      <c r="X433" s="5"/>
      <c r="Y433" s="5"/>
      <c r="Z433" s="7"/>
      <c r="AA433" s="5"/>
      <c r="AB433" s="5"/>
      <c r="AC433" s="5"/>
      <c r="AD433" s="5"/>
      <c r="AE433" s="5"/>
    </row>
    <row r="434" spans="1:31" ht="15.75" customHeight="1">
      <c r="A434" s="5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5"/>
      <c r="T434" s="5"/>
      <c r="U434" s="5"/>
      <c r="V434" s="5"/>
      <c r="W434" s="5"/>
      <c r="X434" s="5"/>
      <c r="Y434" s="5"/>
      <c r="Z434" s="7"/>
      <c r="AA434" s="5"/>
      <c r="AB434" s="5"/>
      <c r="AC434" s="5"/>
      <c r="AD434" s="5"/>
      <c r="AE434" s="5"/>
    </row>
    <row r="435" spans="1:31" ht="15.75" customHeight="1">
      <c r="A435" s="5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5"/>
      <c r="T435" s="5"/>
      <c r="U435" s="5"/>
      <c r="V435" s="5"/>
      <c r="W435" s="5"/>
      <c r="X435" s="5"/>
      <c r="Y435" s="5"/>
      <c r="Z435" s="7"/>
      <c r="AA435" s="5"/>
      <c r="AB435" s="5"/>
      <c r="AC435" s="5"/>
      <c r="AD435" s="5"/>
      <c r="AE435" s="5"/>
    </row>
    <row r="436" spans="1:31" ht="15.75" customHeight="1">
      <c r="A436" s="5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5"/>
      <c r="T436" s="5"/>
      <c r="U436" s="5"/>
      <c r="V436" s="5"/>
      <c r="W436" s="5"/>
      <c r="X436" s="5"/>
      <c r="Y436" s="5"/>
      <c r="Z436" s="7"/>
      <c r="AA436" s="5"/>
      <c r="AB436" s="5"/>
      <c r="AC436" s="5"/>
      <c r="AD436" s="5"/>
      <c r="AE436" s="5"/>
    </row>
    <row r="437" spans="1:31" ht="15.75" customHeight="1">
      <c r="A437" s="5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5"/>
      <c r="T437" s="5"/>
      <c r="U437" s="5"/>
      <c r="V437" s="5"/>
      <c r="W437" s="5"/>
      <c r="X437" s="5"/>
      <c r="Y437" s="5"/>
      <c r="Z437" s="7"/>
      <c r="AA437" s="5"/>
      <c r="AB437" s="5"/>
      <c r="AC437" s="5"/>
      <c r="AD437" s="5"/>
      <c r="AE437" s="5"/>
    </row>
    <row r="438" spans="1:31" ht="15.75" customHeight="1">
      <c r="A438" s="5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5"/>
      <c r="T438" s="5"/>
      <c r="U438" s="5"/>
      <c r="V438" s="5"/>
      <c r="W438" s="5"/>
      <c r="X438" s="5"/>
      <c r="Y438" s="5"/>
      <c r="Z438" s="7"/>
      <c r="AA438" s="5"/>
      <c r="AB438" s="5"/>
      <c r="AC438" s="5"/>
      <c r="AD438" s="5"/>
      <c r="AE438" s="5"/>
    </row>
    <row r="439" spans="1:31" ht="15.75" customHeight="1">
      <c r="A439" s="5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5"/>
      <c r="T439" s="5"/>
      <c r="U439" s="5"/>
      <c r="V439" s="5"/>
      <c r="W439" s="5"/>
      <c r="X439" s="5"/>
      <c r="Y439" s="5"/>
      <c r="Z439" s="7"/>
      <c r="AA439" s="5"/>
      <c r="AB439" s="5"/>
      <c r="AC439" s="5"/>
      <c r="AD439" s="5"/>
      <c r="AE439" s="5"/>
    </row>
    <row r="440" spans="1:31" ht="15.75" customHeight="1">
      <c r="A440" s="5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5"/>
      <c r="T440" s="5"/>
      <c r="U440" s="5"/>
      <c r="V440" s="5"/>
      <c r="W440" s="5"/>
      <c r="X440" s="5"/>
      <c r="Y440" s="5"/>
      <c r="Z440" s="7"/>
      <c r="AA440" s="5"/>
      <c r="AB440" s="5"/>
      <c r="AC440" s="5"/>
      <c r="AD440" s="5"/>
      <c r="AE440" s="5"/>
    </row>
    <row r="441" spans="1:31" ht="15.75" customHeight="1">
      <c r="A441" s="5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5"/>
      <c r="T441" s="5"/>
      <c r="U441" s="5"/>
      <c r="V441" s="5"/>
      <c r="W441" s="5"/>
      <c r="X441" s="5"/>
      <c r="Y441" s="5"/>
      <c r="Z441" s="7"/>
      <c r="AA441" s="5"/>
      <c r="AB441" s="5"/>
      <c r="AC441" s="5"/>
      <c r="AD441" s="5"/>
      <c r="AE441" s="5"/>
    </row>
    <row r="442" spans="1:31" ht="15.75" customHeight="1">
      <c r="A442" s="5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5"/>
      <c r="T442" s="5"/>
      <c r="U442" s="5"/>
      <c r="V442" s="5"/>
      <c r="W442" s="5"/>
      <c r="X442" s="5"/>
      <c r="Y442" s="5"/>
      <c r="Z442" s="7"/>
      <c r="AA442" s="5"/>
      <c r="AB442" s="5"/>
      <c r="AC442" s="5"/>
      <c r="AD442" s="5"/>
      <c r="AE442" s="5"/>
    </row>
    <row r="443" spans="1:31" ht="15.75" customHeight="1">
      <c r="A443" s="5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5"/>
      <c r="T443" s="5"/>
      <c r="U443" s="5"/>
      <c r="V443" s="5"/>
      <c r="W443" s="5"/>
      <c r="X443" s="5"/>
      <c r="Y443" s="5"/>
      <c r="Z443" s="7"/>
      <c r="AA443" s="5"/>
      <c r="AB443" s="5"/>
      <c r="AC443" s="5"/>
      <c r="AD443" s="5"/>
      <c r="AE443" s="5"/>
    </row>
    <row r="444" spans="1:31" ht="15.75" customHeight="1">
      <c r="A444" s="5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5"/>
      <c r="T444" s="5"/>
      <c r="U444" s="5"/>
      <c r="V444" s="5"/>
      <c r="W444" s="5"/>
      <c r="X444" s="5"/>
      <c r="Y444" s="5"/>
      <c r="Z444" s="7"/>
      <c r="AA444" s="5"/>
      <c r="AB444" s="5"/>
      <c r="AC444" s="5"/>
      <c r="AD444" s="5"/>
      <c r="AE444" s="5"/>
    </row>
    <row r="445" spans="1:31" ht="15.75" customHeight="1">
      <c r="A445" s="5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5"/>
      <c r="T445" s="5"/>
      <c r="U445" s="5"/>
      <c r="V445" s="5"/>
      <c r="W445" s="5"/>
      <c r="X445" s="5"/>
      <c r="Y445" s="5"/>
      <c r="Z445" s="7"/>
      <c r="AA445" s="5"/>
      <c r="AB445" s="5"/>
      <c r="AC445" s="5"/>
      <c r="AD445" s="5"/>
      <c r="AE445" s="5"/>
    </row>
    <row r="446" spans="1:31" ht="15.75" customHeight="1">
      <c r="A446" s="5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5"/>
      <c r="T446" s="5"/>
      <c r="U446" s="5"/>
      <c r="V446" s="5"/>
      <c r="W446" s="5"/>
      <c r="X446" s="5"/>
      <c r="Y446" s="5"/>
      <c r="Z446" s="7"/>
      <c r="AA446" s="5"/>
      <c r="AB446" s="5"/>
      <c r="AC446" s="5"/>
      <c r="AD446" s="5"/>
      <c r="AE446" s="5"/>
    </row>
    <row r="447" spans="1:31" ht="15.75" customHeight="1">
      <c r="A447" s="5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5"/>
      <c r="T447" s="5"/>
      <c r="U447" s="5"/>
      <c r="V447" s="5"/>
      <c r="W447" s="5"/>
      <c r="X447" s="5"/>
      <c r="Y447" s="5"/>
      <c r="Z447" s="7"/>
      <c r="AA447" s="5"/>
      <c r="AB447" s="5"/>
      <c r="AC447" s="5"/>
      <c r="AD447" s="5"/>
      <c r="AE447" s="5"/>
    </row>
    <row r="448" spans="1:31" ht="15.75" customHeight="1">
      <c r="A448" s="5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5"/>
      <c r="T448" s="5"/>
      <c r="U448" s="5"/>
      <c r="V448" s="5"/>
      <c r="W448" s="5"/>
      <c r="X448" s="5"/>
      <c r="Y448" s="5"/>
      <c r="Z448" s="7"/>
      <c r="AA448" s="5"/>
      <c r="AB448" s="5"/>
      <c r="AC448" s="5"/>
      <c r="AD448" s="5"/>
      <c r="AE448" s="5"/>
    </row>
    <row r="449" spans="1:31" ht="15.75" customHeight="1">
      <c r="A449" s="5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5"/>
      <c r="T449" s="5"/>
      <c r="U449" s="5"/>
      <c r="V449" s="5"/>
      <c r="W449" s="5"/>
      <c r="X449" s="5"/>
      <c r="Y449" s="5"/>
      <c r="Z449" s="7"/>
      <c r="AA449" s="5"/>
      <c r="AB449" s="5"/>
      <c r="AC449" s="5"/>
      <c r="AD449" s="5"/>
      <c r="AE449" s="5"/>
    </row>
    <row r="450" spans="1:31" ht="15.75" customHeight="1">
      <c r="A450" s="5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5"/>
      <c r="T450" s="5"/>
      <c r="U450" s="5"/>
      <c r="V450" s="5"/>
      <c r="W450" s="5"/>
      <c r="X450" s="5"/>
      <c r="Y450" s="5"/>
      <c r="Z450" s="7"/>
      <c r="AA450" s="5"/>
      <c r="AB450" s="5"/>
      <c r="AC450" s="5"/>
      <c r="AD450" s="5"/>
      <c r="AE450" s="5"/>
    </row>
    <row r="451" spans="1:31" ht="15.75" customHeight="1">
      <c r="A451" s="5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5"/>
      <c r="T451" s="5"/>
      <c r="U451" s="5"/>
      <c r="V451" s="5"/>
      <c r="W451" s="5"/>
      <c r="X451" s="5"/>
      <c r="Y451" s="5"/>
      <c r="Z451" s="7"/>
      <c r="AA451" s="5"/>
      <c r="AB451" s="5"/>
      <c r="AC451" s="5"/>
      <c r="AD451" s="5"/>
      <c r="AE451" s="5"/>
    </row>
    <row r="452" spans="1:31" ht="15.75" customHeight="1">
      <c r="A452" s="5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5"/>
      <c r="T452" s="5"/>
      <c r="U452" s="5"/>
      <c r="V452" s="5"/>
      <c r="W452" s="5"/>
      <c r="X452" s="5"/>
      <c r="Y452" s="5"/>
      <c r="Z452" s="7"/>
      <c r="AA452" s="5"/>
      <c r="AB452" s="5"/>
      <c r="AC452" s="5"/>
      <c r="AD452" s="5"/>
      <c r="AE452" s="5"/>
    </row>
    <row r="453" spans="1:31" ht="15.75" customHeight="1">
      <c r="A453" s="5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5"/>
      <c r="T453" s="5"/>
      <c r="U453" s="5"/>
      <c r="V453" s="5"/>
      <c r="W453" s="5"/>
      <c r="X453" s="5"/>
      <c r="Y453" s="5"/>
      <c r="Z453" s="7"/>
      <c r="AA453" s="5"/>
      <c r="AB453" s="5"/>
      <c r="AC453" s="5"/>
      <c r="AD453" s="5"/>
      <c r="AE453" s="5"/>
    </row>
    <row r="454" spans="1:31" ht="15.75" customHeight="1">
      <c r="A454" s="5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5"/>
      <c r="T454" s="5"/>
      <c r="U454" s="5"/>
      <c r="V454" s="5"/>
      <c r="W454" s="5"/>
      <c r="X454" s="5"/>
      <c r="Y454" s="5"/>
      <c r="Z454" s="7"/>
      <c r="AA454" s="5"/>
      <c r="AB454" s="5"/>
      <c r="AC454" s="5"/>
      <c r="AD454" s="5"/>
      <c r="AE454" s="5"/>
    </row>
    <row r="455" spans="1:31" ht="15.75" customHeight="1">
      <c r="A455" s="5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5"/>
      <c r="T455" s="5"/>
      <c r="U455" s="5"/>
      <c r="V455" s="5"/>
      <c r="W455" s="5"/>
      <c r="X455" s="5"/>
      <c r="Y455" s="5"/>
      <c r="Z455" s="7"/>
      <c r="AA455" s="5"/>
      <c r="AB455" s="5"/>
      <c r="AC455" s="5"/>
      <c r="AD455" s="5"/>
      <c r="AE455" s="5"/>
    </row>
    <row r="456" spans="1:31" ht="15.75" customHeight="1">
      <c r="A456" s="5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5"/>
      <c r="T456" s="5"/>
      <c r="U456" s="5"/>
      <c r="V456" s="5"/>
      <c r="W456" s="5"/>
      <c r="X456" s="5"/>
      <c r="Y456" s="5"/>
      <c r="Z456" s="7"/>
      <c r="AA456" s="5"/>
      <c r="AB456" s="5"/>
      <c r="AC456" s="5"/>
      <c r="AD456" s="5"/>
      <c r="AE456" s="5"/>
    </row>
    <row r="457" spans="1:31" ht="15.75" customHeight="1">
      <c r="A457" s="5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5"/>
      <c r="T457" s="5"/>
      <c r="U457" s="5"/>
      <c r="V457" s="5"/>
      <c r="W457" s="5"/>
      <c r="X457" s="5"/>
      <c r="Y457" s="5"/>
      <c r="Z457" s="7"/>
      <c r="AA457" s="5"/>
      <c r="AB457" s="5"/>
      <c r="AC457" s="5"/>
      <c r="AD457" s="5"/>
      <c r="AE457" s="5"/>
    </row>
    <row r="458" spans="1:31" ht="15.75" customHeight="1">
      <c r="A458" s="5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5"/>
      <c r="T458" s="5"/>
      <c r="U458" s="5"/>
      <c r="V458" s="5"/>
      <c r="W458" s="5"/>
      <c r="X458" s="5"/>
      <c r="Y458" s="5"/>
      <c r="Z458" s="7"/>
      <c r="AA458" s="5"/>
      <c r="AB458" s="5"/>
      <c r="AC458" s="5"/>
      <c r="AD458" s="5"/>
      <c r="AE458" s="5"/>
    </row>
    <row r="459" spans="1:31" ht="15.75" customHeight="1">
      <c r="A459" s="5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5"/>
      <c r="T459" s="5"/>
      <c r="U459" s="5"/>
      <c r="V459" s="5"/>
      <c r="W459" s="5"/>
      <c r="X459" s="5"/>
      <c r="Y459" s="5"/>
      <c r="Z459" s="7"/>
      <c r="AA459" s="5"/>
      <c r="AB459" s="5"/>
      <c r="AC459" s="5"/>
      <c r="AD459" s="5"/>
      <c r="AE459" s="5"/>
    </row>
    <row r="460" spans="1:31" ht="15.75" customHeight="1">
      <c r="A460" s="5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5"/>
      <c r="T460" s="5"/>
      <c r="U460" s="5"/>
      <c r="V460" s="5"/>
      <c r="W460" s="5"/>
      <c r="X460" s="5"/>
      <c r="Y460" s="5"/>
      <c r="Z460" s="7"/>
      <c r="AA460" s="5"/>
      <c r="AB460" s="5"/>
      <c r="AC460" s="5"/>
      <c r="AD460" s="5"/>
      <c r="AE460" s="5"/>
    </row>
    <row r="461" spans="1:31" ht="15.75" customHeight="1">
      <c r="A461" s="5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5"/>
      <c r="T461" s="5"/>
      <c r="U461" s="5"/>
      <c r="V461" s="5"/>
      <c r="W461" s="5"/>
      <c r="X461" s="5"/>
      <c r="Y461" s="5"/>
      <c r="Z461" s="7"/>
      <c r="AA461" s="5"/>
      <c r="AB461" s="5"/>
      <c r="AC461" s="5"/>
      <c r="AD461" s="5"/>
      <c r="AE461" s="5"/>
    </row>
    <row r="462" spans="1:31" ht="15.75" customHeight="1">
      <c r="A462" s="5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5"/>
      <c r="T462" s="5"/>
      <c r="U462" s="5"/>
      <c r="V462" s="5"/>
      <c r="W462" s="5"/>
      <c r="X462" s="5"/>
      <c r="Y462" s="5"/>
      <c r="Z462" s="7"/>
      <c r="AA462" s="5"/>
      <c r="AB462" s="5"/>
      <c r="AC462" s="5"/>
      <c r="AD462" s="5"/>
      <c r="AE462" s="5"/>
    </row>
    <row r="463" spans="1:31" ht="15.75" customHeight="1">
      <c r="A463" s="5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5"/>
      <c r="T463" s="5"/>
      <c r="U463" s="5"/>
      <c r="V463" s="5"/>
      <c r="W463" s="5"/>
      <c r="X463" s="5"/>
      <c r="Y463" s="5"/>
      <c r="Z463" s="7"/>
      <c r="AA463" s="5"/>
      <c r="AB463" s="5"/>
      <c r="AC463" s="5"/>
      <c r="AD463" s="5"/>
      <c r="AE463" s="5"/>
    </row>
    <row r="464" spans="1:31" ht="15.75" customHeight="1">
      <c r="A464" s="5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5"/>
      <c r="T464" s="5"/>
      <c r="U464" s="5"/>
      <c r="V464" s="5"/>
      <c r="W464" s="5"/>
      <c r="X464" s="5"/>
      <c r="Y464" s="5"/>
      <c r="Z464" s="7"/>
      <c r="AA464" s="5"/>
      <c r="AB464" s="5"/>
      <c r="AC464" s="5"/>
      <c r="AD464" s="5"/>
      <c r="AE464" s="5"/>
    </row>
    <row r="465" spans="1:31" ht="15.75" customHeight="1">
      <c r="A465" s="5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5"/>
      <c r="T465" s="5"/>
      <c r="U465" s="5"/>
      <c r="V465" s="5"/>
      <c r="W465" s="5"/>
      <c r="X465" s="5"/>
      <c r="Y465" s="5"/>
      <c r="Z465" s="7"/>
      <c r="AA465" s="5"/>
      <c r="AB465" s="5"/>
      <c r="AC465" s="5"/>
      <c r="AD465" s="5"/>
      <c r="AE465" s="5"/>
    </row>
    <row r="466" spans="1:31" ht="15.75" customHeight="1">
      <c r="A466" s="5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5"/>
      <c r="T466" s="5"/>
      <c r="U466" s="5"/>
      <c r="V466" s="5"/>
      <c r="W466" s="5"/>
      <c r="X466" s="5"/>
      <c r="Y466" s="5"/>
      <c r="Z466" s="7"/>
      <c r="AA466" s="5"/>
      <c r="AB466" s="5"/>
      <c r="AC466" s="5"/>
      <c r="AD466" s="5"/>
      <c r="AE466" s="5"/>
    </row>
    <row r="467" spans="1:31" ht="15.75" customHeight="1">
      <c r="A467" s="5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5"/>
      <c r="T467" s="5"/>
      <c r="U467" s="5"/>
      <c r="V467" s="5"/>
      <c r="W467" s="5"/>
      <c r="X467" s="5"/>
      <c r="Y467" s="5"/>
      <c r="Z467" s="7"/>
      <c r="AA467" s="5"/>
      <c r="AB467" s="5"/>
      <c r="AC467" s="5"/>
      <c r="AD467" s="5"/>
      <c r="AE467" s="5"/>
    </row>
    <row r="468" spans="1:31" ht="15.75" customHeight="1">
      <c r="A468" s="5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5"/>
      <c r="T468" s="5"/>
      <c r="U468" s="5"/>
      <c r="V468" s="5"/>
      <c r="W468" s="5"/>
      <c r="X468" s="5"/>
      <c r="Y468" s="5"/>
      <c r="Z468" s="7"/>
      <c r="AA468" s="5"/>
      <c r="AB468" s="5"/>
      <c r="AC468" s="5"/>
      <c r="AD468" s="5"/>
      <c r="AE468" s="5"/>
    </row>
    <row r="469" spans="1:31" ht="15.75" customHeight="1">
      <c r="A469" s="5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5"/>
      <c r="T469" s="5"/>
      <c r="U469" s="5"/>
      <c r="V469" s="5"/>
      <c r="W469" s="5"/>
      <c r="X469" s="5"/>
      <c r="Y469" s="5"/>
      <c r="Z469" s="7"/>
      <c r="AA469" s="5"/>
      <c r="AB469" s="5"/>
      <c r="AC469" s="5"/>
      <c r="AD469" s="5"/>
      <c r="AE469" s="5"/>
    </row>
    <row r="470" spans="1:31" ht="15.75" customHeight="1">
      <c r="A470" s="5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5"/>
      <c r="T470" s="5"/>
      <c r="U470" s="5"/>
      <c r="V470" s="5"/>
      <c r="W470" s="5"/>
      <c r="X470" s="5"/>
      <c r="Y470" s="5"/>
      <c r="Z470" s="7"/>
      <c r="AA470" s="5"/>
      <c r="AB470" s="5"/>
      <c r="AC470" s="5"/>
      <c r="AD470" s="5"/>
      <c r="AE470" s="5"/>
    </row>
    <row r="471" spans="1:31" ht="15.75" customHeight="1">
      <c r="A471" s="5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5"/>
      <c r="T471" s="5"/>
      <c r="U471" s="5"/>
      <c r="V471" s="5"/>
      <c r="W471" s="5"/>
      <c r="X471" s="5"/>
      <c r="Y471" s="5"/>
      <c r="Z471" s="7"/>
      <c r="AA471" s="5"/>
      <c r="AB471" s="5"/>
      <c r="AC471" s="5"/>
      <c r="AD471" s="5"/>
      <c r="AE471" s="5"/>
    </row>
    <row r="472" spans="1:31" ht="15.75" customHeight="1">
      <c r="A472" s="5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5"/>
      <c r="T472" s="5"/>
      <c r="U472" s="5"/>
      <c r="V472" s="5"/>
      <c r="W472" s="5"/>
      <c r="X472" s="5"/>
      <c r="Y472" s="5"/>
      <c r="Z472" s="7"/>
      <c r="AA472" s="5"/>
      <c r="AB472" s="5"/>
      <c r="AC472" s="5"/>
      <c r="AD472" s="5"/>
      <c r="AE472" s="5"/>
    </row>
    <row r="473" spans="1:31" ht="15.75" customHeight="1">
      <c r="A473" s="5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5"/>
      <c r="T473" s="5"/>
      <c r="U473" s="5"/>
      <c r="V473" s="5"/>
      <c r="W473" s="5"/>
      <c r="X473" s="5"/>
      <c r="Y473" s="5"/>
      <c r="Z473" s="7"/>
      <c r="AA473" s="5"/>
      <c r="AB473" s="5"/>
      <c r="AC473" s="5"/>
      <c r="AD473" s="5"/>
      <c r="AE473" s="5"/>
    </row>
    <row r="474" spans="1:31" ht="15.75" customHeight="1">
      <c r="A474" s="5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5"/>
      <c r="T474" s="5"/>
      <c r="U474" s="5"/>
      <c r="V474" s="5"/>
      <c r="W474" s="5"/>
      <c r="X474" s="5"/>
      <c r="Y474" s="5"/>
      <c r="Z474" s="7"/>
      <c r="AA474" s="5"/>
      <c r="AB474" s="5"/>
      <c r="AC474" s="5"/>
      <c r="AD474" s="5"/>
      <c r="AE474" s="5"/>
    </row>
    <row r="475" spans="1:31" ht="15.75" customHeight="1">
      <c r="A475" s="5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5"/>
      <c r="T475" s="5"/>
      <c r="U475" s="5"/>
      <c r="V475" s="5"/>
      <c r="W475" s="5"/>
      <c r="X475" s="5"/>
      <c r="Y475" s="5"/>
      <c r="Z475" s="7"/>
      <c r="AA475" s="5"/>
      <c r="AB475" s="5"/>
      <c r="AC475" s="5"/>
      <c r="AD475" s="5"/>
      <c r="AE475" s="5"/>
    </row>
    <row r="476" spans="1:31" ht="15.75" customHeight="1">
      <c r="A476" s="5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5"/>
      <c r="T476" s="5"/>
      <c r="U476" s="5"/>
      <c r="V476" s="5"/>
      <c r="W476" s="5"/>
      <c r="X476" s="5"/>
      <c r="Y476" s="5"/>
      <c r="Z476" s="7"/>
      <c r="AA476" s="5"/>
      <c r="AB476" s="5"/>
      <c r="AC476" s="5"/>
      <c r="AD476" s="5"/>
      <c r="AE476" s="5"/>
    </row>
    <row r="477" spans="1:31" ht="15.75" customHeight="1">
      <c r="A477" s="5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5"/>
      <c r="T477" s="5"/>
      <c r="U477" s="5"/>
      <c r="V477" s="5"/>
      <c r="W477" s="5"/>
      <c r="X477" s="5"/>
      <c r="Y477" s="5"/>
      <c r="Z477" s="7"/>
      <c r="AA477" s="5"/>
      <c r="AB477" s="5"/>
      <c r="AC477" s="5"/>
      <c r="AD477" s="5"/>
      <c r="AE477" s="5"/>
    </row>
    <row r="478" spans="1:31" ht="15.75" customHeight="1">
      <c r="A478" s="5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5"/>
      <c r="T478" s="5"/>
      <c r="U478" s="5"/>
      <c r="V478" s="5"/>
      <c r="W478" s="5"/>
      <c r="X478" s="5"/>
      <c r="Y478" s="5"/>
      <c r="Z478" s="7"/>
      <c r="AA478" s="5"/>
      <c r="AB478" s="5"/>
      <c r="AC478" s="5"/>
      <c r="AD478" s="5"/>
      <c r="AE478" s="5"/>
    </row>
    <row r="479" spans="1:31" ht="15.75" customHeight="1">
      <c r="A479" s="5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5"/>
      <c r="T479" s="5"/>
      <c r="U479" s="5"/>
      <c r="V479" s="5"/>
      <c r="W479" s="5"/>
      <c r="X479" s="5"/>
      <c r="Y479" s="5"/>
      <c r="Z479" s="7"/>
      <c r="AA479" s="5"/>
      <c r="AB479" s="5"/>
      <c r="AC479" s="5"/>
      <c r="AD479" s="5"/>
      <c r="AE479" s="5"/>
    </row>
    <row r="480" spans="1:31" ht="15.75" customHeight="1">
      <c r="A480" s="5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5"/>
      <c r="T480" s="5"/>
      <c r="U480" s="5"/>
      <c r="V480" s="5"/>
      <c r="W480" s="5"/>
      <c r="X480" s="5"/>
      <c r="Y480" s="5"/>
      <c r="Z480" s="7"/>
      <c r="AA480" s="5"/>
      <c r="AB480" s="5"/>
      <c r="AC480" s="5"/>
      <c r="AD480" s="5"/>
      <c r="AE480" s="5"/>
    </row>
    <row r="481" spans="1:31" ht="15.75" customHeight="1">
      <c r="A481" s="5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5"/>
      <c r="T481" s="5"/>
      <c r="U481" s="5"/>
      <c r="V481" s="5"/>
      <c r="W481" s="5"/>
      <c r="X481" s="5"/>
      <c r="Y481" s="5"/>
      <c r="Z481" s="7"/>
      <c r="AA481" s="5"/>
      <c r="AB481" s="5"/>
      <c r="AC481" s="5"/>
      <c r="AD481" s="5"/>
      <c r="AE481" s="5"/>
    </row>
    <row r="482" spans="1:31" ht="15.75" customHeight="1">
      <c r="A482" s="5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5"/>
      <c r="T482" s="5"/>
      <c r="U482" s="5"/>
      <c r="V482" s="5"/>
      <c r="W482" s="5"/>
      <c r="X482" s="5"/>
      <c r="Y482" s="5"/>
      <c r="Z482" s="7"/>
      <c r="AA482" s="5"/>
      <c r="AB482" s="5"/>
      <c r="AC482" s="5"/>
      <c r="AD482" s="5"/>
      <c r="AE482" s="5"/>
    </row>
    <row r="483" spans="1:31" ht="15.75" customHeight="1">
      <c r="A483" s="5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5"/>
      <c r="T483" s="5"/>
      <c r="U483" s="5"/>
      <c r="V483" s="5"/>
      <c r="W483" s="5"/>
      <c r="X483" s="5"/>
      <c r="Y483" s="5"/>
      <c r="Z483" s="7"/>
      <c r="AA483" s="5"/>
      <c r="AB483" s="5"/>
      <c r="AC483" s="5"/>
      <c r="AD483" s="5"/>
      <c r="AE483" s="5"/>
    </row>
    <row r="484" spans="1:31" ht="15.75" customHeight="1">
      <c r="A484" s="5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5"/>
      <c r="T484" s="5"/>
      <c r="U484" s="5"/>
      <c r="V484" s="5"/>
      <c r="W484" s="5"/>
      <c r="X484" s="5"/>
      <c r="Y484" s="5"/>
      <c r="Z484" s="7"/>
      <c r="AA484" s="5"/>
      <c r="AB484" s="5"/>
      <c r="AC484" s="5"/>
      <c r="AD484" s="5"/>
      <c r="AE484" s="5"/>
    </row>
    <row r="485" spans="1:31" ht="15.75" customHeight="1">
      <c r="A485" s="5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5"/>
      <c r="T485" s="5"/>
      <c r="U485" s="5"/>
      <c r="V485" s="5"/>
      <c r="W485" s="5"/>
      <c r="X485" s="5"/>
      <c r="Y485" s="5"/>
      <c r="Z485" s="7"/>
      <c r="AA485" s="5"/>
      <c r="AB485" s="5"/>
      <c r="AC485" s="5"/>
      <c r="AD485" s="5"/>
      <c r="AE485" s="5"/>
    </row>
    <row r="486" spans="1:31" ht="15.75" customHeight="1">
      <c r="A486" s="5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5"/>
      <c r="T486" s="5"/>
      <c r="U486" s="5"/>
      <c r="V486" s="5"/>
      <c r="W486" s="5"/>
      <c r="X486" s="5"/>
      <c r="Y486" s="5"/>
      <c r="Z486" s="7"/>
      <c r="AA486" s="5"/>
      <c r="AB486" s="5"/>
      <c r="AC486" s="5"/>
      <c r="AD486" s="5"/>
      <c r="AE486" s="5"/>
    </row>
    <row r="487" spans="1:31" ht="15.75" customHeight="1">
      <c r="A487" s="5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5"/>
      <c r="T487" s="5"/>
      <c r="U487" s="5"/>
      <c r="V487" s="5"/>
      <c r="W487" s="5"/>
      <c r="X487" s="5"/>
      <c r="Y487" s="5"/>
      <c r="Z487" s="7"/>
      <c r="AA487" s="5"/>
      <c r="AB487" s="5"/>
      <c r="AC487" s="5"/>
      <c r="AD487" s="5"/>
      <c r="AE487" s="5"/>
    </row>
    <row r="488" spans="1:31" ht="15.75" customHeight="1">
      <c r="A488" s="5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5"/>
      <c r="T488" s="5"/>
      <c r="U488" s="5"/>
      <c r="V488" s="5"/>
      <c r="W488" s="5"/>
      <c r="X488" s="5"/>
      <c r="Y488" s="5"/>
      <c r="Z488" s="7"/>
      <c r="AA488" s="5"/>
      <c r="AB488" s="5"/>
      <c r="AC488" s="5"/>
      <c r="AD488" s="5"/>
      <c r="AE488" s="5"/>
    </row>
    <row r="489" spans="1:31" ht="15.75" customHeight="1">
      <c r="A489" s="5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5"/>
      <c r="T489" s="5"/>
      <c r="U489" s="5"/>
      <c r="V489" s="5"/>
      <c r="W489" s="5"/>
      <c r="X489" s="5"/>
      <c r="Y489" s="5"/>
      <c r="Z489" s="7"/>
      <c r="AA489" s="5"/>
      <c r="AB489" s="5"/>
      <c r="AC489" s="5"/>
      <c r="AD489" s="5"/>
      <c r="AE489" s="5"/>
    </row>
    <row r="490" spans="1:31" ht="15.75" customHeight="1">
      <c r="A490" s="5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5"/>
      <c r="T490" s="5"/>
      <c r="U490" s="5"/>
      <c r="V490" s="5"/>
      <c r="W490" s="5"/>
      <c r="X490" s="5"/>
      <c r="Y490" s="5"/>
      <c r="Z490" s="7"/>
      <c r="AA490" s="5"/>
      <c r="AB490" s="5"/>
      <c r="AC490" s="5"/>
      <c r="AD490" s="5"/>
      <c r="AE490" s="5"/>
    </row>
    <row r="491" spans="1:31" ht="15.75" customHeight="1">
      <c r="A491" s="5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5"/>
      <c r="T491" s="5"/>
      <c r="U491" s="5"/>
      <c r="V491" s="5"/>
      <c r="W491" s="5"/>
      <c r="X491" s="5"/>
      <c r="Y491" s="5"/>
      <c r="Z491" s="7"/>
      <c r="AA491" s="5"/>
      <c r="AB491" s="5"/>
      <c r="AC491" s="5"/>
      <c r="AD491" s="5"/>
      <c r="AE491" s="5"/>
    </row>
    <row r="492" spans="1:31" ht="15.75" customHeight="1">
      <c r="A492" s="5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5"/>
      <c r="T492" s="5"/>
      <c r="U492" s="5"/>
      <c r="V492" s="5"/>
      <c r="W492" s="5"/>
      <c r="X492" s="5"/>
      <c r="Y492" s="5"/>
      <c r="Z492" s="7"/>
      <c r="AA492" s="5"/>
      <c r="AB492" s="5"/>
      <c r="AC492" s="5"/>
      <c r="AD492" s="5"/>
      <c r="AE492" s="5"/>
    </row>
    <row r="493" spans="1:31" ht="15.75" customHeight="1">
      <c r="A493" s="5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5"/>
      <c r="T493" s="5"/>
      <c r="U493" s="5"/>
      <c r="V493" s="5"/>
      <c r="W493" s="5"/>
      <c r="X493" s="5"/>
      <c r="Y493" s="5"/>
      <c r="Z493" s="7"/>
      <c r="AA493" s="5"/>
      <c r="AB493" s="5"/>
      <c r="AC493" s="5"/>
      <c r="AD493" s="5"/>
      <c r="AE493" s="5"/>
    </row>
    <row r="494" spans="1:31" ht="15.75" customHeight="1">
      <c r="A494" s="5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5"/>
      <c r="T494" s="5"/>
      <c r="U494" s="5"/>
      <c r="V494" s="5"/>
      <c r="W494" s="5"/>
      <c r="X494" s="5"/>
      <c r="Y494" s="5"/>
      <c r="Z494" s="7"/>
      <c r="AA494" s="5"/>
      <c r="AB494" s="5"/>
      <c r="AC494" s="5"/>
      <c r="AD494" s="5"/>
      <c r="AE494" s="5"/>
    </row>
    <row r="495" spans="1:31" ht="15.75" customHeight="1">
      <c r="A495" s="5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5"/>
      <c r="T495" s="5"/>
      <c r="U495" s="5"/>
      <c r="V495" s="5"/>
      <c r="W495" s="5"/>
      <c r="X495" s="5"/>
      <c r="Y495" s="5"/>
      <c r="Z495" s="7"/>
      <c r="AA495" s="5"/>
      <c r="AB495" s="5"/>
      <c r="AC495" s="5"/>
      <c r="AD495" s="5"/>
      <c r="AE495" s="5"/>
    </row>
    <row r="496" spans="1:31" ht="15.75" customHeight="1">
      <c r="A496" s="5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5"/>
      <c r="T496" s="5"/>
      <c r="U496" s="5"/>
      <c r="V496" s="5"/>
      <c r="W496" s="5"/>
      <c r="X496" s="5"/>
      <c r="Y496" s="5"/>
      <c r="Z496" s="7"/>
      <c r="AA496" s="5"/>
      <c r="AB496" s="5"/>
      <c r="AC496" s="5"/>
      <c r="AD496" s="5"/>
      <c r="AE496" s="5"/>
    </row>
    <row r="497" spans="1:31" ht="15.75" customHeight="1">
      <c r="A497" s="5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5"/>
      <c r="T497" s="5"/>
      <c r="U497" s="5"/>
      <c r="V497" s="5"/>
      <c r="W497" s="5"/>
      <c r="X497" s="5"/>
      <c r="Y497" s="5"/>
      <c r="Z497" s="7"/>
      <c r="AA497" s="5"/>
      <c r="AB497" s="5"/>
      <c r="AC497" s="5"/>
      <c r="AD497" s="5"/>
      <c r="AE497" s="5"/>
    </row>
    <row r="498" spans="1:31" ht="15.75" customHeight="1">
      <c r="A498" s="5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5"/>
      <c r="T498" s="5"/>
      <c r="U498" s="5"/>
      <c r="V498" s="5"/>
      <c r="W498" s="5"/>
      <c r="X498" s="5"/>
      <c r="Y498" s="5"/>
      <c r="Z498" s="7"/>
      <c r="AA498" s="5"/>
      <c r="AB498" s="5"/>
      <c r="AC498" s="5"/>
      <c r="AD498" s="5"/>
      <c r="AE498" s="5"/>
    </row>
    <row r="499" spans="1:31" ht="15.75" customHeight="1">
      <c r="A499" s="5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5"/>
      <c r="T499" s="5"/>
      <c r="U499" s="5"/>
      <c r="V499" s="5"/>
      <c r="W499" s="5"/>
      <c r="X499" s="5"/>
      <c r="Y499" s="5"/>
      <c r="Z499" s="7"/>
      <c r="AA499" s="5"/>
      <c r="AB499" s="5"/>
      <c r="AC499" s="5"/>
      <c r="AD499" s="5"/>
      <c r="AE499" s="5"/>
    </row>
    <row r="500" spans="1:31" ht="15.75" customHeight="1">
      <c r="A500" s="5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5"/>
      <c r="T500" s="5"/>
      <c r="U500" s="5"/>
      <c r="V500" s="5"/>
      <c r="W500" s="5"/>
      <c r="X500" s="5"/>
      <c r="Y500" s="5"/>
      <c r="Z500" s="7"/>
      <c r="AA500" s="5"/>
      <c r="AB500" s="5"/>
      <c r="AC500" s="5"/>
      <c r="AD500" s="5"/>
      <c r="AE500" s="5"/>
    </row>
    <row r="501" spans="1:31" ht="15.75" customHeight="1">
      <c r="A501" s="5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5"/>
      <c r="T501" s="5"/>
      <c r="U501" s="5"/>
      <c r="V501" s="5"/>
      <c r="W501" s="5"/>
      <c r="X501" s="5"/>
      <c r="Y501" s="5"/>
      <c r="Z501" s="7"/>
      <c r="AA501" s="5"/>
      <c r="AB501" s="5"/>
      <c r="AC501" s="5"/>
      <c r="AD501" s="5"/>
      <c r="AE501" s="5"/>
    </row>
    <row r="502" spans="1:31" ht="15.75" customHeight="1">
      <c r="A502" s="5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5"/>
      <c r="T502" s="5"/>
      <c r="U502" s="5"/>
      <c r="V502" s="5"/>
      <c r="W502" s="5"/>
      <c r="X502" s="5"/>
      <c r="Y502" s="5"/>
      <c r="Z502" s="7"/>
      <c r="AA502" s="5"/>
      <c r="AB502" s="5"/>
      <c r="AC502" s="5"/>
      <c r="AD502" s="5"/>
      <c r="AE502" s="5"/>
    </row>
    <row r="503" spans="1:31" ht="15.75" customHeight="1">
      <c r="A503" s="5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5"/>
      <c r="T503" s="5"/>
      <c r="U503" s="5"/>
      <c r="V503" s="5"/>
      <c r="W503" s="5"/>
      <c r="X503" s="5"/>
      <c r="Y503" s="5"/>
      <c r="Z503" s="7"/>
      <c r="AA503" s="5"/>
      <c r="AB503" s="5"/>
      <c r="AC503" s="5"/>
      <c r="AD503" s="5"/>
      <c r="AE503" s="5"/>
    </row>
    <row r="504" spans="1:31" ht="15.75" customHeight="1">
      <c r="A504" s="5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5"/>
      <c r="T504" s="5"/>
      <c r="U504" s="5"/>
      <c r="V504" s="5"/>
      <c r="W504" s="5"/>
      <c r="X504" s="5"/>
      <c r="Y504" s="5"/>
      <c r="Z504" s="7"/>
      <c r="AA504" s="5"/>
      <c r="AB504" s="5"/>
      <c r="AC504" s="5"/>
      <c r="AD504" s="5"/>
      <c r="AE504" s="5"/>
    </row>
    <row r="505" spans="1:31" ht="15.75" customHeight="1">
      <c r="A505" s="5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5"/>
      <c r="T505" s="5"/>
      <c r="U505" s="5"/>
      <c r="V505" s="5"/>
      <c r="W505" s="5"/>
      <c r="X505" s="5"/>
      <c r="Y505" s="5"/>
      <c r="Z505" s="7"/>
      <c r="AA505" s="5"/>
      <c r="AB505" s="5"/>
      <c r="AC505" s="5"/>
      <c r="AD505" s="5"/>
      <c r="AE505" s="5"/>
    </row>
    <row r="506" spans="1:31" ht="15.75" customHeight="1">
      <c r="A506" s="5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5"/>
      <c r="T506" s="5"/>
      <c r="U506" s="5"/>
      <c r="V506" s="5"/>
      <c r="W506" s="5"/>
      <c r="X506" s="5"/>
      <c r="Y506" s="5"/>
      <c r="Z506" s="7"/>
      <c r="AA506" s="5"/>
      <c r="AB506" s="5"/>
      <c r="AC506" s="5"/>
      <c r="AD506" s="5"/>
      <c r="AE506" s="5"/>
    </row>
    <row r="507" spans="1:31" ht="15.75" customHeight="1">
      <c r="A507" s="5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5"/>
      <c r="T507" s="5"/>
      <c r="U507" s="5"/>
      <c r="V507" s="5"/>
      <c r="W507" s="5"/>
      <c r="X507" s="5"/>
      <c r="Y507" s="5"/>
      <c r="Z507" s="7"/>
      <c r="AA507" s="5"/>
      <c r="AB507" s="5"/>
      <c r="AC507" s="5"/>
      <c r="AD507" s="5"/>
      <c r="AE507" s="5"/>
    </row>
    <row r="508" spans="1:31" ht="15.75" customHeight="1">
      <c r="A508" s="5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5"/>
      <c r="T508" s="5"/>
      <c r="U508" s="5"/>
      <c r="V508" s="5"/>
      <c r="W508" s="5"/>
      <c r="X508" s="5"/>
      <c r="Y508" s="5"/>
      <c r="Z508" s="7"/>
      <c r="AA508" s="5"/>
      <c r="AB508" s="5"/>
      <c r="AC508" s="5"/>
      <c r="AD508" s="5"/>
      <c r="AE508" s="5"/>
    </row>
    <row r="509" spans="1:31" ht="15.75" customHeight="1">
      <c r="A509" s="5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5"/>
      <c r="T509" s="5"/>
      <c r="U509" s="5"/>
      <c r="V509" s="5"/>
      <c r="W509" s="5"/>
      <c r="X509" s="5"/>
      <c r="Y509" s="5"/>
      <c r="Z509" s="7"/>
      <c r="AA509" s="5"/>
      <c r="AB509" s="5"/>
      <c r="AC509" s="5"/>
      <c r="AD509" s="5"/>
      <c r="AE509" s="5"/>
    </row>
    <row r="510" spans="1:31" ht="15.75" customHeight="1">
      <c r="A510" s="5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5"/>
      <c r="T510" s="5"/>
      <c r="U510" s="5"/>
      <c r="V510" s="5"/>
      <c r="W510" s="5"/>
      <c r="X510" s="5"/>
      <c r="Y510" s="5"/>
      <c r="Z510" s="7"/>
      <c r="AA510" s="5"/>
      <c r="AB510" s="5"/>
      <c r="AC510" s="5"/>
      <c r="AD510" s="5"/>
      <c r="AE510" s="5"/>
    </row>
    <row r="511" spans="1:31" ht="15.75" customHeight="1">
      <c r="A511" s="5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5"/>
      <c r="T511" s="5"/>
      <c r="U511" s="5"/>
      <c r="V511" s="5"/>
      <c r="W511" s="5"/>
      <c r="X511" s="5"/>
      <c r="Y511" s="5"/>
      <c r="Z511" s="7"/>
      <c r="AA511" s="5"/>
      <c r="AB511" s="5"/>
      <c r="AC511" s="5"/>
      <c r="AD511" s="5"/>
      <c r="AE511" s="5"/>
    </row>
    <row r="512" spans="1:31" ht="15.75" customHeight="1">
      <c r="A512" s="5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5"/>
      <c r="T512" s="5"/>
      <c r="U512" s="5"/>
      <c r="V512" s="5"/>
      <c r="W512" s="5"/>
      <c r="X512" s="5"/>
      <c r="Y512" s="5"/>
      <c r="Z512" s="7"/>
      <c r="AA512" s="5"/>
      <c r="AB512" s="5"/>
      <c r="AC512" s="5"/>
      <c r="AD512" s="5"/>
      <c r="AE512" s="5"/>
    </row>
    <row r="513" spans="1:31" ht="15.75" customHeight="1">
      <c r="A513" s="5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5"/>
      <c r="T513" s="5"/>
      <c r="U513" s="5"/>
      <c r="V513" s="5"/>
      <c r="W513" s="5"/>
      <c r="X513" s="5"/>
      <c r="Y513" s="5"/>
      <c r="Z513" s="7"/>
      <c r="AA513" s="5"/>
      <c r="AB513" s="5"/>
      <c r="AC513" s="5"/>
      <c r="AD513" s="5"/>
      <c r="AE513" s="5"/>
    </row>
    <row r="514" spans="1:31" ht="15.75" customHeight="1">
      <c r="A514" s="5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5"/>
      <c r="T514" s="5"/>
      <c r="U514" s="5"/>
      <c r="V514" s="5"/>
      <c r="W514" s="5"/>
      <c r="X514" s="5"/>
      <c r="Y514" s="5"/>
      <c r="Z514" s="7"/>
      <c r="AA514" s="5"/>
      <c r="AB514" s="5"/>
      <c r="AC514" s="5"/>
      <c r="AD514" s="5"/>
      <c r="AE514" s="5"/>
    </row>
    <row r="515" spans="1:31" ht="15.75" customHeight="1">
      <c r="A515" s="5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5"/>
      <c r="T515" s="5"/>
      <c r="U515" s="5"/>
      <c r="V515" s="5"/>
      <c r="W515" s="5"/>
      <c r="X515" s="5"/>
      <c r="Y515" s="5"/>
      <c r="Z515" s="7"/>
      <c r="AA515" s="5"/>
      <c r="AB515" s="5"/>
      <c r="AC515" s="5"/>
      <c r="AD515" s="5"/>
      <c r="AE515" s="5"/>
    </row>
    <row r="516" spans="1:31" ht="15.75" customHeight="1">
      <c r="A516" s="5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5"/>
      <c r="T516" s="5"/>
      <c r="U516" s="5"/>
      <c r="V516" s="5"/>
      <c r="W516" s="5"/>
      <c r="X516" s="5"/>
      <c r="Y516" s="5"/>
      <c r="Z516" s="7"/>
      <c r="AA516" s="5"/>
      <c r="AB516" s="5"/>
      <c r="AC516" s="5"/>
      <c r="AD516" s="5"/>
      <c r="AE516" s="5"/>
    </row>
    <row r="517" spans="1:31" ht="15.75" customHeight="1">
      <c r="A517" s="5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5"/>
      <c r="T517" s="5"/>
      <c r="U517" s="5"/>
      <c r="V517" s="5"/>
      <c r="W517" s="5"/>
      <c r="X517" s="5"/>
      <c r="Y517" s="5"/>
      <c r="Z517" s="7"/>
      <c r="AA517" s="5"/>
      <c r="AB517" s="5"/>
      <c r="AC517" s="5"/>
      <c r="AD517" s="5"/>
      <c r="AE517" s="5"/>
    </row>
    <row r="518" spans="1:31" ht="15.75" customHeight="1">
      <c r="A518" s="5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5"/>
      <c r="T518" s="5"/>
      <c r="U518" s="5"/>
      <c r="V518" s="5"/>
      <c r="W518" s="5"/>
      <c r="X518" s="5"/>
      <c r="Y518" s="5"/>
      <c r="Z518" s="7"/>
      <c r="AA518" s="5"/>
      <c r="AB518" s="5"/>
      <c r="AC518" s="5"/>
      <c r="AD518" s="5"/>
      <c r="AE518" s="5"/>
    </row>
    <row r="519" spans="1:31" ht="15.75" customHeight="1">
      <c r="A519" s="5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5"/>
      <c r="T519" s="5"/>
      <c r="U519" s="5"/>
      <c r="V519" s="5"/>
      <c r="W519" s="5"/>
      <c r="X519" s="5"/>
      <c r="Y519" s="5"/>
      <c r="Z519" s="7"/>
      <c r="AA519" s="5"/>
      <c r="AB519" s="5"/>
      <c r="AC519" s="5"/>
      <c r="AD519" s="5"/>
      <c r="AE519" s="5"/>
    </row>
    <row r="520" spans="1:31" ht="15.75" customHeight="1">
      <c r="A520" s="5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5"/>
      <c r="T520" s="5"/>
      <c r="U520" s="5"/>
      <c r="V520" s="5"/>
      <c r="W520" s="5"/>
      <c r="X520" s="5"/>
      <c r="Y520" s="5"/>
      <c r="Z520" s="7"/>
      <c r="AA520" s="5"/>
      <c r="AB520" s="5"/>
      <c r="AC520" s="5"/>
      <c r="AD520" s="5"/>
      <c r="AE520" s="5"/>
    </row>
    <row r="521" spans="1:31" ht="15.75" customHeight="1">
      <c r="A521" s="5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5"/>
      <c r="T521" s="5"/>
      <c r="U521" s="5"/>
      <c r="V521" s="5"/>
      <c r="W521" s="5"/>
      <c r="X521" s="5"/>
      <c r="Y521" s="5"/>
      <c r="Z521" s="7"/>
      <c r="AA521" s="5"/>
      <c r="AB521" s="5"/>
      <c r="AC521" s="5"/>
      <c r="AD521" s="5"/>
      <c r="AE521" s="5"/>
    </row>
    <row r="522" spans="1:31" ht="15.75" customHeight="1">
      <c r="A522" s="5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5"/>
      <c r="T522" s="5"/>
      <c r="U522" s="5"/>
      <c r="V522" s="5"/>
      <c r="W522" s="5"/>
      <c r="X522" s="5"/>
      <c r="Y522" s="5"/>
      <c r="Z522" s="7"/>
      <c r="AA522" s="5"/>
      <c r="AB522" s="5"/>
      <c r="AC522" s="5"/>
      <c r="AD522" s="5"/>
      <c r="AE522" s="5"/>
    </row>
    <row r="523" spans="1:31" ht="15.75" customHeight="1">
      <c r="A523" s="5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5"/>
      <c r="T523" s="5"/>
      <c r="U523" s="5"/>
      <c r="V523" s="5"/>
      <c r="W523" s="5"/>
      <c r="X523" s="5"/>
      <c r="Y523" s="5"/>
      <c r="Z523" s="7"/>
      <c r="AA523" s="5"/>
      <c r="AB523" s="5"/>
      <c r="AC523" s="5"/>
      <c r="AD523" s="5"/>
      <c r="AE523" s="5"/>
    </row>
    <row r="524" spans="1:31" ht="15.75" customHeight="1">
      <c r="A524" s="5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5"/>
      <c r="T524" s="5"/>
      <c r="U524" s="5"/>
      <c r="V524" s="5"/>
      <c r="W524" s="5"/>
      <c r="X524" s="5"/>
      <c r="Y524" s="5"/>
      <c r="Z524" s="7"/>
      <c r="AA524" s="5"/>
      <c r="AB524" s="5"/>
      <c r="AC524" s="5"/>
      <c r="AD524" s="5"/>
      <c r="AE524" s="5"/>
    </row>
    <row r="525" spans="1:31" ht="15.75" customHeight="1">
      <c r="A525" s="5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5"/>
      <c r="T525" s="5"/>
      <c r="U525" s="5"/>
      <c r="V525" s="5"/>
      <c r="W525" s="5"/>
      <c r="X525" s="5"/>
      <c r="Y525" s="5"/>
      <c r="Z525" s="7"/>
      <c r="AA525" s="5"/>
      <c r="AB525" s="5"/>
      <c r="AC525" s="5"/>
      <c r="AD525" s="5"/>
      <c r="AE525" s="5"/>
    </row>
    <row r="526" spans="1:31" ht="15.75" customHeight="1">
      <c r="A526" s="5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5"/>
      <c r="T526" s="5"/>
      <c r="U526" s="5"/>
      <c r="V526" s="5"/>
      <c r="W526" s="5"/>
      <c r="X526" s="5"/>
      <c r="Y526" s="5"/>
      <c r="Z526" s="7"/>
      <c r="AA526" s="5"/>
      <c r="AB526" s="5"/>
      <c r="AC526" s="5"/>
      <c r="AD526" s="5"/>
      <c r="AE526" s="5"/>
    </row>
    <row r="527" spans="1:31" ht="15.75" customHeight="1">
      <c r="A527" s="5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5"/>
      <c r="T527" s="5"/>
      <c r="U527" s="5"/>
      <c r="V527" s="5"/>
      <c r="W527" s="5"/>
      <c r="X527" s="5"/>
      <c r="Y527" s="5"/>
      <c r="Z527" s="7"/>
      <c r="AA527" s="5"/>
      <c r="AB527" s="5"/>
      <c r="AC527" s="5"/>
      <c r="AD527" s="5"/>
      <c r="AE527" s="5"/>
    </row>
    <row r="528" spans="1:31" ht="15.75" customHeight="1">
      <c r="A528" s="5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5"/>
      <c r="T528" s="5"/>
      <c r="U528" s="5"/>
      <c r="V528" s="5"/>
      <c r="W528" s="5"/>
      <c r="X528" s="5"/>
      <c r="Y528" s="5"/>
      <c r="Z528" s="7"/>
      <c r="AA528" s="5"/>
      <c r="AB528" s="5"/>
      <c r="AC528" s="5"/>
      <c r="AD528" s="5"/>
      <c r="AE528" s="5"/>
    </row>
    <row r="529" spans="1:31" ht="15.75" customHeight="1">
      <c r="A529" s="5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5"/>
      <c r="T529" s="5"/>
      <c r="U529" s="5"/>
      <c r="V529" s="5"/>
      <c r="W529" s="5"/>
      <c r="X529" s="5"/>
      <c r="Y529" s="5"/>
      <c r="Z529" s="7"/>
      <c r="AA529" s="5"/>
      <c r="AB529" s="5"/>
      <c r="AC529" s="5"/>
      <c r="AD529" s="5"/>
      <c r="AE529" s="5"/>
    </row>
    <row r="530" spans="1:31" ht="15.75" customHeight="1">
      <c r="A530" s="5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5"/>
      <c r="T530" s="5"/>
      <c r="U530" s="5"/>
      <c r="V530" s="5"/>
      <c r="W530" s="5"/>
      <c r="X530" s="5"/>
      <c r="Y530" s="5"/>
      <c r="Z530" s="7"/>
      <c r="AA530" s="5"/>
      <c r="AB530" s="5"/>
      <c r="AC530" s="5"/>
      <c r="AD530" s="5"/>
      <c r="AE530" s="5"/>
    </row>
    <row r="531" spans="1:31" ht="15.75" customHeight="1">
      <c r="A531" s="5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5"/>
      <c r="T531" s="5"/>
      <c r="U531" s="5"/>
      <c r="V531" s="5"/>
      <c r="W531" s="5"/>
      <c r="X531" s="5"/>
      <c r="Y531" s="5"/>
      <c r="Z531" s="7"/>
      <c r="AA531" s="5"/>
      <c r="AB531" s="5"/>
      <c r="AC531" s="5"/>
      <c r="AD531" s="5"/>
      <c r="AE531" s="5"/>
    </row>
    <row r="532" spans="1:31" ht="15.75" customHeight="1">
      <c r="A532" s="5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5"/>
      <c r="T532" s="5"/>
      <c r="U532" s="5"/>
      <c r="V532" s="5"/>
      <c r="W532" s="5"/>
      <c r="X532" s="5"/>
      <c r="Y532" s="5"/>
      <c r="Z532" s="7"/>
      <c r="AA532" s="5"/>
      <c r="AB532" s="5"/>
      <c r="AC532" s="5"/>
      <c r="AD532" s="5"/>
      <c r="AE532" s="5"/>
    </row>
    <row r="533" spans="1:31" ht="15.75" customHeight="1">
      <c r="A533" s="5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5"/>
      <c r="T533" s="5"/>
      <c r="U533" s="5"/>
      <c r="V533" s="5"/>
      <c r="W533" s="5"/>
      <c r="X533" s="5"/>
      <c r="Y533" s="5"/>
      <c r="Z533" s="7"/>
      <c r="AA533" s="5"/>
      <c r="AB533" s="5"/>
      <c r="AC533" s="5"/>
      <c r="AD533" s="5"/>
      <c r="AE533" s="5"/>
    </row>
    <row r="534" spans="1:31" ht="15.75" customHeight="1">
      <c r="A534" s="5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5"/>
      <c r="T534" s="5"/>
      <c r="U534" s="5"/>
      <c r="V534" s="5"/>
      <c r="W534" s="5"/>
      <c r="X534" s="5"/>
      <c r="Y534" s="5"/>
      <c r="Z534" s="7"/>
      <c r="AA534" s="5"/>
      <c r="AB534" s="5"/>
      <c r="AC534" s="5"/>
      <c r="AD534" s="5"/>
      <c r="AE534" s="5"/>
    </row>
    <row r="535" spans="1:31" ht="15.75" customHeight="1">
      <c r="A535" s="5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5"/>
      <c r="T535" s="5"/>
      <c r="U535" s="5"/>
      <c r="V535" s="5"/>
      <c r="W535" s="5"/>
      <c r="X535" s="5"/>
      <c r="Y535" s="5"/>
      <c r="Z535" s="7"/>
      <c r="AA535" s="5"/>
      <c r="AB535" s="5"/>
      <c r="AC535" s="5"/>
      <c r="AD535" s="5"/>
      <c r="AE535" s="5"/>
    </row>
    <row r="536" spans="1:31" ht="15.75" customHeight="1">
      <c r="A536" s="5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5"/>
      <c r="T536" s="5"/>
      <c r="U536" s="5"/>
      <c r="V536" s="5"/>
      <c r="W536" s="5"/>
      <c r="X536" s="5"/>
      <c r="Y536" s="5"/>
      <c r="Z536" s="7"/>
      <c r="AA536" s="5"/>
      <c r="AB536" s="5"/>
      <c r="AC536" s="5"/>
      <c r="AD536" s="5"/>
      <c r="AE536" s="5"/>
    </row>
    <row r="537" spans="1:31" ht="15.75" customHeight="1">
      <c r="A537" s="5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5"/>
      <c r="T537" s="5"/>
      <c r="U537" s="5"/>
      <c r="V537" s="5"/>
      <c r="W537" s="5"/>
      <c r="X537" s="5"/>
      <c r="Y537" s="5"/>
      <c r="Z537" s="7"/>
      <c r="AA537" s="5"/>
      <c r="AB537" s="5"/>
      <c r="AC537" s="5"/>
      <c r="AD537" s="5"/>
      <c r="AE537" s="5"/>
    </row>
    <row r="538" spans="1:31" ht="15.75" customHeight="1">
      <c r="A538" s="5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5"/>
      <c r="T538" s="5"/>
      <c r="U538" s="5"/>
      <c r="V538" s="5"/>
      <c r="W538" s="5"/>
      <c r="X538" s="5"/>
      <c r="Y538" s="5"/>
      <c r="Z538" s="7"/>
      <c r="AA538" s="5"/>
      <c r="AB538" s="5"/>
      <c r="AC538" s="5"/>
      <c r="AD538" s="5"/>
      <c r="AE538" s="5"/>
    </row>
    <row r="539" spans="1:31" ht="15.75" customHeight="1">
      <c r="A539" s="5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5"/>
      <c r="T539" s="5"/>
      <c r="U539" s="5"/>
      <c r="V539" s="5"/>
      <c r="W539" s="5"/>
      <c r="X539" s="5"/>
      <c r="Y539" s="5"/>
      <c r="Z539" s="7"/>
      <c r="AA539" s="5"/>
      <c r="AB539" s="5"/>
      <c r="AC539" s="5"/>
      <c r="AD539" s="5"/>
      <c r="AE539" s="5"/>
    </row>
    <row r="540" spans="1:31" ht="15.75" customHeight="1">
      <c r="A540" s="5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5"/>
      <c r="T540" s="5"/>
      <c r="U540" s="5"/>
      <c r="V540" s="5"/>
      <c r="W540" s="5"/>
      <c r="X540" s="5"/>
      <c r="Y540" s="5"/>
      <c r="Z540" s="7"/>
      <c r="AA540" s="5"/>
      <c r="AB540" s="5"/>
      <c r="AC540" s="5"/>
      <c r="AD540" s="5"/>
      <c r="AE540" s="5"/>
    </row>
    <row r="541" spans="1:31" ht="15.75" customHeight="1">
      <c r="A541" s="5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5"/>
      <c r="T541" s="5"/>
      <c r="U541" s="5"/>
      <c r="V541" s="5"/>
      <c r="W541" s="5"/>
      <c r="X541" s="5"/>
      <c r="Y541" s="5"/>
      <c r="Z541" s="7"/>
      <c r="AA541" s="5"/>
      <c r="AB541" s="5"/>
      <c r="AC541" s="5"/>
      <c r="AD541" s="5"/>
      <c r="AE541" s="5"/>
    </row>
    <row r="542" spans="1:31" ht="15.75" customHeight="1">
      <c r="A542" s="5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5"/>
      <c r="T542" s="5"/>
      <c r="U542" s="5"/>
      <c r="V542" s="5"/>
      <c r="W542" s="5"/>
      <c r="X542" s="5"/>
      <c r="Y542" s="5"/>
      <c r="Z542" s="7"/>
      <c r="AA542" s="5"/>
      <c r="AB542" s="5"/>
      <c r="AC542" s="5"/>
      <c r="AD542" s="5"/>
      <c r="AE542" s="5"/>
    </row>
    <row r="543" spans="1:31" ht="15.75" customHeight="1">
      <c r="A543" s="5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5"/>
      <c r="T543" s="5"/>
      <c r="U543" s="5"/>
      <c r="V543" s="5"/>
      <c r="W543" s="5"/>
      <c r="X543" s="5"/>
      <c r="Y543" s="5"/>
      <c r="Z543" s="7"/>
      <c r="AA543" s="5"/>
      <c r="AB543" s="5"/>
      <c r="AC543" s="5"/>
      <c r="AD543" s="5"/>
      <c r="AE543" s="5"/>
    </row>
    <row r="544" spans="1:31" ht="15.75" customHeight="1">
      <c r="A544" s="5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5"/>
      <c r="T544" s="5"/>
      <c r="U544" s="5"/>
      <c r="V544" s="5"/>
      <c r="W544" s="5"/>
      <c r="X544" s="5"/>
      <c r="Y544" s="5"/>
      <c r="Z544" s="7"/>
      <c r="AA544" s="5"/>
      <c r="AB544" s="5"/>
      <c r="AC544" s="5"/>
      <c r="AD544" s="5"/>
      <c r="AE544" s="5"/>
    </row>
    <row r="545" spans="1:31" ht="15.75" customHeight="1">
      <c r="A545" s="5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5"/>
      <c r="T545" s="5"/>
      <c r="U545" s="5"/>
      <c r="V545" s="5"/>
      <c r="W545" s="5"/>
      <c r="X545" s="5"/>
      <c r="Y545" s="5"/>
      <c r="Z545" s="7"/>
      <c r="AA545" s="5"/>
      <c r="AB545" s="5"/>
      <c r="AC545" s="5"/>
      <c r="AD545" s="5"/>
      <c r="AE545" s="5"/>
    </row>
    <row r="546" spans="1:31" ht="15.75" customHeight="1">
      <c r="A546" s="5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5"/>
      <c r="T546" s="5"/>
      <c r="U546" s="5"/>
      <c r="V546" s="5"/>
      <c r="W546" s="5"/>
      <c r="X546" s="5"/>
      <c r="Y546" s="5"/>
      <c r="Z546" s="7"/>
      <c r="AA546" s="5"/>
      <c r="AB546" s="5"/>
      <c r="AC546" s="5"/>
      <c r="AD546" s="5"/>
      <c r="AE546" s="5"/>
    </row>
    <row r="547" spans="1:31" ht="15.75" customHeight="1">
      <c r="A547" s="5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5"/>
      <c r="T547" s="5"/>
      <c r="U547" s="5"/>
      <c r="V547" s="5"/>
      <c r="W547" s="5"/>
      <c r="X547" s="5"/>
      <c r="Y547" s="5"/>
      <c r="Z547" s="7"/>
      <c r="AA547" s="5"/>
      <c r="AB547" s="5"/>
      <c r="AC547" s="5"/>
      <c r="AD547" s="5"/>
      <c r="AE547" s="5"/>
    </row>
    <row r="548" spans="1:31" ht="15.75" customHeight="1">
      <c r="A548" s="5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5"/>
      <c r="T548" s="5"/>
      <c r="U548" s="5"/>
      <c r="V548" s="5"/>
      <c r="W548" s="5"/>
      <c r="X548" s="5"/>
      <c r="Y548" s="5"/>
      <c r="Z548" s="7"/>
      <c r="AA548" s="5"/>
      <c r="AB548" s="5"/>
      <c r="AC548" s="5"/>
      <c r="AD548" s="5"/>
      <c r="AE548" s="5"/>
    </row>
    <row r="549" spans="1:31" ht="15.75" customHeight="1">
      <c r="A549" s="5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5"/>
      <c r="T549" s="5"/>
      <c r="U549" s="5"/>
      <c r="V549" s="5"/>
      <c r="W549" s="5"/>
      <c r="X549" s="5"/>
      <c r="Y549" s="5"/>
      <c r="Z549" s="7"/>
      <c r="AA549" s="5"/>
      <c r="AB549" s="5"/>
      <c r="AC549" s="5"/>
      <c r="AD549" s="5"/>
      <c r="AE549" s="5"/>
    </row>
    <row r="550" spans="1:31" ht="15.75" customHeight="1">
      <c r="A550" s="5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5"/>
      <c r="T550" s="5"/>
      <c r="U550" s="5"/>
      <c r="V550" s="5"/>
      <c r="W550" s="5"/>
      <c r="X550" s="5"/>
      <c r="Y550" s="5"/>
      <c r="Z550" s="7"/>
      <c r="AA550" s="5"/>
      <c r="AB550" s="5"/>
      <c r="AC550" s="5"/>
      <c r="AD550" s="5"/>
      <c r="AE550" s="5"/>
    </row>
    <row r="551" spans="1:31" ht="15.75" customHeight="1">
      <c r="A551" s="5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5"/>
      <c r="T551" s="5"/>
      <c r="U551" s="5"/>
      <c r="V551" s="5"/>
      <c r="W551" s="5"/>
      <c r="X551" s="5"/>
      <c r="Y551" s="5"/>
      <c r="Z551" s="7"/>
      <c r="AA551" s="5"/>
      <c r="AB551" s="5"/>
      <c r="AC551" s="5"/>
      <c r="AD551" s="5"/>
      <c r="AE551" s="5"/>
    </row>
    <row r="552" spans="1:31" ht="15.75" customHeight="1">
      <c r="A552" s="5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5"/>
      <c r="T552" s="5"/>
      <c r="U552" s="5"/>
      <c r="V552" s="5"/>
      <c r="W552" s="5"/>
      <c r="X552" s="5"/>
      <c r="Y552" s="5"/>
      <c r="Z552" s="7"/>
      <c r="AA552" s="5"/>
      <c r="AB552" s="5"/>
      <c r="AC552" s="5"/>
      <c r="AD552" s="5"/>
      <c r="AE552" s="5"/>
    </row>
    <row r="553" spans="1:31" ht="15.75" customHeight="1">
      <c r="A553" s="5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5"/>
      <c r="T553" s="5"/>
      <c r="U553" s="5"/>
      <c r="V553" s="5"/>
      <c r="W553" s="5"/>
      <c r="X553" s="5"/>
      <c r="Y553" s="5"/>
      <c r="Z553" s="7"/>
      <c r="AA553" s="5"/>
      <c r="AB553" s="5"/>
      <c r="AC553" s="5"/>
      <c r="AD553" s="5"/>
      <c r="AE553" s="5"/>
    </row>
    <row r="554" spans="1:31" ht="15.75" customHeight="1">
      <c r="A554" s="5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5"/>
      <c r="T554" s="5"/>
      <c r="U554" s="5"/>
      <c r="V554" s="5"/>
      <c r="W554" s="5"/>
      <c r="X554" s="5"/>
      <c r="Y554" s="5"/>
      <c r="Z554" s="7"/>
      <c r="AA554" s="5"/>
      <c r="AB554" s="5"/>
      <c r="AC554" s="5"/>
      <c r="AD554" s="5"/>
      <c r="AE554" s="5"/>
    </row>
    <row r="555" spans="1:31" ht="15.75" customHeight="1">
      <c r="A555" s="5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5"/>
      <c r="T555" s="5"/>
      <c r="U555" s="5"/>
      <c r="V555" s="5"/>
      <c r="W555" s="5"/>
      <c r="X555" s="5"/>
      <c r="Y555" s="5"/>
      <c r="Z555" s="7"/>
      <c r="AA555" s="5"/>
      <c r="AB555" s="5"/>
      <c r="AC555" s="5"/>
      <c r="AD555" s="5"/>
      <c r="AE555" s="5"/>
    </row>
    <row r="556" spans="1:31" ht="15.75" customHeight="1">
      <c r="A556" s="5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5"/>
      <c r="T556" s="5"/>
      <c r="U556" s="5"/>
      <c r="V556" s="5"/>
      <c r="W556" s="5"/>
      <c r="X556" s="5"/>
      <c r="Y556" s="5"/>
      <c r="Z556" s="7"/>
      <c r="AA556" s="5"/>
      <c r="AB556" s="5"/>
      <c r="AC556" s="5"/>
      <c r="AD556" s="5"/>
      <c r="AE556" s="5"/>
    </row>
    <row r="557" spans="1:31" ht="15.75" customHeight="1">
      <c r="A557" s="5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5"/>
      <c r="T557" s="5"/>
      <c r="U557" s="5"/>
      <c r="V557" s="5"/>
      <c r="W557" s="5"/>
      <c r="X557" s="5"/>
      <c r="Y557" s="5"/>
      <c r="Z557" s="7"/>
      <c r="AA557" s="5"/>
      <c r="AB557" s="5"/>
      <c r="AC557" s="5"/>
      <c r="AD557" s="5"/>
      <c r="AE557" s="5"/>
    </row>
    <row r="558" spans="1:31" ht="15.75" customHeight="1">
      <c r="A558" s="5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5"/>
      <c r="T558" s="5"/>
      <c r="U558" s="5"/>
      <c r="V558" s="5"/>
      <c r="W558" s="5"/>
      <c r="X558" s="5"/>
      <c r="Y558" s="5"/>
      <c r="Z558" s="7"/>
      <c r="AA558" s="5"/>
      <c r="AB558" s="5"/>
      <c r="AC558" s="5"/>
      <c r="AD558" s="5"/>
      <c r="AE558" s="5"/>
    </row>
    <row r="559" spans="1:31" ht="15.75" customHeight="1">
      <c r="A559" s="5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5"/>
      <c r="T559" s="5"/>
      <c r="U559" s="5"/>
      <c r="V559" s="5"/>
      <c r="W559" s="5"/>
      <c r="X559" s="5"/>
      <c r="Y559" s="5"/>
      <c r="Z559" s="7"/>
      <c r="AA559" s="5"/>
      <c r="AB559" s="5"/>
      <c r="AC559" s="5"/>
      <c r="AD559" s="5"/>
      <c r="AE559" s="5"/>
    </row>
    <row r="560" spans="1:31" ht="15.75" customHeight="1">
      <c r="A560" s="5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5"/>
      <c r="T560" s="5"/>
      <c r="U560" s="5"/>
      <c r="V560" s="5"/>
      <c r="W560" s="5"/>
      <c r="X560" s="5"/>
      <c r="Y560" s="5"/>
      <c r="Z560" s="7"/>
      <c r="AA560" s="5"/>
      <c r="AB560" s="5"/>
      <c r="AC560" s="5"/>
      <c r="AD560" s="5"/>
      <c r="AE560" s="5"/>
    </row>
    <row r="561" spans="1:31" ht="15.75" customHeight="1">
      <c r="A561" s="5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5"/>
      <c r="T561" s="5"/>
      <c r="U561" s="5"/>
      <c r="V561" s="5"/>
      <c r="W561" s="5"/>
      <c r="X561" s="5"/>
      <c r="Y561" s="5"/>
      <c r="Z561" s="7"/>
      <c r="AA561" s="5"/>
      <c r="AB561" s="5"/>
      <c r="AC561" s="5"/>
      <c r="AD561" s="5"/>
      <c r="AE561" s="5"/>
    </row>
    <row r="562" spans="1:31" ht="15.75" customHeight="1">
      <c r="A562" s="5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5"/>
      <c r="T562" s="5"/>
      <c r="U562" s="5"/>
      <c r="V562" s="5"/>
      <c r="W562" s="5"/>
      <c r="X562" s="5"/>
      <c r="Y562" s="5"/>
      <c r="Z562" s="7"/>
      <c r="AA562" s="5"/>
      <c r="AB562" s="5"/>
      <c r="AC562" s="5"/>
      <c r="AD562" s="5"/>
      <c r="AE562" s="5"/>
    </row>
    <row r="563" spans="1:31" ht="15.75" customHeight="1">
      <c r="A563" s="5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5"/>
      <c r="T563" s="5"/>
      <c r="U563" s="5"/>
      <c r="V563" s="5"/>
      <c r="W563" s="5"/>
      <c r="X563" s="5"/>
      <c r="Y563" s="5"/>
      <c r="Z563" s="7"/>
      <c r="AA563" s="5"/>
      <c r="AB563" s="5"/>
      <c r="AC563" s="5"/>
      <c r="AD563" s="5"/>
      <c r="AE563" s="5"/>
    </row>
    <row r="564" spans="1:31" ht="15.75" customHeight="1">
      <c r="A564" s="5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5"/>
      <c r="T564" s="5"/>
      <c r="U564" s="5"/>
      <c r="V564" s="5"/>
      <c r="W564" s="5"/>
      <c r="X564" s="5"/>
      <c r="Y564" s="5"/>
      <c r="Z564" s="7"/>
      <c r="AA564" s="5"/>
      <c r="AB564" s="5"/>
      <c r="AC564" s="5"/>
      <c r="AD564" s="5"/>
      <c r="AE564" s="5"/>
    </row>
    <row r="565" spans="1:31" ht="15.75" customHeight="1">
      <c r="A565" s="5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5"/>
      <c r="T565" s="5"/>
      <c r="U565" s="5"/>
      <c r="V565" s="5"/>
      <c r="W565" s="5"/>
      <c r="X565" s="5"/>
      <c r="Y565" s="5"/>
      <c r="Z565" s="7"/>
      <c r="AA565" s="5"/>
      <c r="AB565" s="5"/>
      <c r="AC565" s="5"/>
      <c r="AD565" s="5"/>
      <c r="AE565" s="5"/>
    </row>
    <row r="566" spans="1:31" ht="15.75" customHeight="1">
      <c r="A566" s="5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5"/>
      <c r="T566" s="5"/>
      <c r="U566" s="5"/>
      <c r="V566" s="5"/>
      <c r="W566" s="5"/>
      <c r="X566" s="5"/>
      <c r="Y566" s="5"/>
      <c r="Z566" s="7"/>
      <c r="AA566" s="5"/>
      <c r="AB566" s="5"/>
      <c r="AC566" s="5"/>
      <c r="AD566" s="5"/>
      <c r="AE566" s="5"/>
    </row>
    <row r="567" spans="1:31" ht="15.75" customHeight="1">
      <c r="A567" s="5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5"/>
      <c r="T567" s="5"/>
      <c r="U567" s="5"/>
      <c r="V567" s="5"/>
      <c r="W567" s="5"/>
      <c r="X567" s="5"/>
      <c r="Y567" s="5"/>
      <c r="Z567" s="7"/>
      <c r="AA567" s="5"/>
      <c r="AB567" s="5"/>
      <c r="AC567" s="5"/>
      <c r="AD567" s="5"/>
      <c r="AE567" s="5"/>
    </row>
    <row r="568" spans="1:31" ht="15.75" customHeight="1">
      <c r="A568" s="5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5"/>
      <c r="T568" s="5"/>
      <c r="U568" s="5"/>
      <c r="V568" s="5"/>
      <c r="W568" s="5"/>
      <c r="X568" s="5"/>
      <c r="Y568" s="5"/>
      <c r="Z568" s="7"/>
      <c r="AA568" s="5"/>
      <c r="AB568" s="5"/>
      <c r="AC568" s="5"/>
      <c r="AD568" s="5"/>
      <c r="AE568" s="5"/>
    </row>
    <row r="569" spans="1:31" ht="15.75" customHeight="1">
      <c r="A569" s="5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5"/>
      <c r="T569" s="5"/>
      <c r="U569" s="5"/>
      <c r="V569" s="5"/>
      <c r="W569" s="5"/>
      <c r="X569" s="5"/>
      <c r="Y569" s="5"/>
      <c r="Z569" s="7"/>
      <c r="AA569" s="5"/>
      <c r="AB569" s="5"/>
      <c r="AC569" s="5"/>
      <c r="AD569" s="5"/>
      <c r="AE569" s="5"/>
    </row>
    <row r="570" spans="1:31" ht="15.75" customHeight="1">
      <c r="A570" s="5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5"/>
      <c r="T570" s="5"/>
      <c r="U570" s="5"/>
      <c r="V570" s="5"/>
      <c r="W570" s="5"/>
      <c r="X570" s="5"/>
      <c r="Y570" s="5"/>
      <c r="Z570" s="7"/>
      <c r="AA570" s="5"/>
      <c r="AB570" s="5"/>
      <c r="AC570" s="5"/>
      <c r="AD570" s="5"/>
      <c r="AE570" s="5"/>
    </row>
    <row r="571" spans="1:31" ht="15.75" customHeight="1">
      <c r="A571" s="5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5"/>
      <c r="T571" s="5"/>
      <c r="U571" s="5"/>
      <c r="V571" s="5"/>
      <c r="W571" s="5"/>
      <c r="X571" s="5"/>
      <c r="Y571" s="5"/>
      <c r="Z571" s="7"/>
      <c r="AA571" s="5"/>
      <c r="AB571" s="5"/>
      <c r="AC571" s="5"/>
      <c r="AD571" s="5"/>
      <c r="AE571" s="5"/>
    </row>
    <row r="572" spans="1:31" ht="15.75" customHeight="1">
      <c r="A572" s="5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5"/>
      <c r="T572" s="5"/>
      <c r="U572" s="5"/>
      <c r="V572" s="5"/>
      <c r="W572" s="5"/>
      <c r="X572" s="5"/>
      <c r="Y572" s="5"/>
      <c r="Z572" s="7"/>
      <c r="AA572" s="5"/>
      <c r="AB572" s="5"/>
      <c r="AC572" s="5"/>
      <c r="AD572" s="5"/>
      <c r="AE572" s="5"/>
    </row>
    <row r="573" spans="1:31" ht="15.75" customHeight="1">
      <c r="A573" s="5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5"/>
      <c r="T573" s="5"/>
      <c r="U573" s="5"/>
      <c r="V573" s="5"/>
      <c r="W573" s="5"/>
      <c r="X573" s="5"/>
      <c r="Y573" s="5"/>
      <c r="Z573" s="7"/>
      <c r="AA573" s="5"/>
      <c r="AB573" s="5"/>
      <c r="AC573" s="5"/>
      <c r="AD573" s="5"/>
      <c r="AE573" s="5"/>
    </row>
    <row r="574" spans="1:31" ht="15.75" customHeight="1">
      <c r="A574" s="5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5"/>
      <c r="T574" s="5"/>
      <c r="U574" s="5"/>
      <c r="V574" s="5"/>
      <c r="W574" s="5"/>
      <c r="X574" s="5"/>
      <c r="Y574" s="5"/>
      <c r="Z574" s="7"/>
      <c r="AA574" s="5"/>
      <c r="AB574" s="5"/>
      <c r="AC574" s="5"/>
      <c r="AD574" s="5"/>
      <c r="AE574" s="5"/>
    </row>
    <row r="575" spans="1:31" ht="15.75" customHeight="1">
      <c r="A575" s="5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5"/>
      <c r="T575" s="5"/>
      <c r="U575" s="5"/>
      <c r="V575" s="5"/>
      <c r="W575" s="5"/>
      <c r="X575" s="5"/>
      <c r="Y575" s="5"/>
      <c r="Z575" s="7"/>
      <c r="AA575" s="5"/>
      <c r="AB575" s="5"/>
      <c r="AC575" s="5"/>
      <c r="AD575" s="5"/>
      <c r="AE575" s="5"/>
    </row>
    <row r="576" spans="1:31" ht="15.75" customHeight="1">
      <c r="A576" s="5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5"/>
      <c r="T576" s="5"/>
      <c r="U576" s="5"/>
      <c r="V576" s="5"/>
      <c r="W576" s="5"/>
      <c r="X576" s="5"/>
      <c r="Y576" s="5"/>
      <c r="Z576" s="7"/>
      <c r="AA576" s="5"/>
      <c r="AB576" s="5"/>
      <c r="AC576" s="5"/>
      <c r="AD576" s="5"/>
      <c r="AE576" s="5"/>
    </row>
    <row r="577" spans="1:31" ht="15.75" customHeight="1">
      <c r="A577" s="5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5"/>
      <c r="T577" s="5"/>
      <c r="U577" s="5"/>
      <c r="V577" s="5"/>
      <c r="W577" s="5"/>
      <c r="X577" s="5"/>
      <c r="Y577" s="5"/>
      <c r="Z577" s="7"/>
      <c r="AA577" s="5"/>
      <c r="AB577" s="5"/>
      <c r="AC577" s="5"/>
      <c r="AD577" s="5"/>
      <c r="AE577" s="5"/>
    </row>
    <row r="578" spans="1:31" ht="15.75" customHeight="1">
      <c r="A578" s="5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5"/>
      <c r="T578" s="5"/>
      <c r="U578" s="5"/>
      <c r="V578" s="5"/>
      <c r="W578" s="5"/>
      <c r="X578" s="5"/>
      <c r="Y578" s="5"/>
      <c r="Z578" s="7"/>
      <c r="AA578" s="5"/>
      <c r="AB578" s="5"/>
      <c r="AC578" s="5"/>
      <c r="AD578" s="5"/>
      <c r="AE578" s="5"/>
    </row>
    <row r="579" spans="1:31" ht="15.75" customHeight="1">
      <c r="A579" s="5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5"/>
      <c r="T579" s="5"/>
      <c r="U579" s="5"/>
      <c r="V579" s="5"/>
      <c r="W579" s="5"/>
      <c r="X579" s="5"/>
      <c r="Y579" s="5"/>
      <c r="Z579" s="7"/>
      <c r="AA579" s="5"/>
      <c r="AB579" s="5"/>
      <c r="AC579" s="5"/>
      <c r="AD579" s="5"/>
      <c r="AE579" s="5"/>
    </row>
    <row r="580" spans="1:31" ht="15.75" customHeight="1">
      <c r="A580" s="5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5"/>
      <c r="T580" s="5"/>
      <c r="U580" s="5"/>
      <c r="V580" s="5"/>
      <c r="W580" s="5"/>
      <c r="X580" s="5"/>
      <c r="Y580" s="5"/>
      <c r="Z580" s="7"/>
      <c r="AA580" s="5"/>
      <c r="AB580" s="5"/>
      <c r="AC580" s="5"/>
      <c r="AD580" s="5"/>
      <c r="AE580" s="5"/>
    </row>
    <row r="581" spans="1:31" ht="15.75" customHeight="1">
      <c r="A581" s="5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5"/>
      <c r="T581" s="5"/>
      <c r="U581" s="5"/>
      <c r="V581" s="5"/>
      <c r="W581" s="5"/>
      <c r="X581" s="5"/>
      <c r="Y581" s="5"/>
      <c r="Z581" s="7"/>
      <c r="AA581" s="5"/>
      <c r="AB581" s="5"/>
      <c r="AC581" s="5"/>
      <c r="AD581" s="5"/>
      <c r="AE581" s="5"/>
    </row>
    <row r="582" spans="1:31" ht="15.75" customHeight="1">
      <c r="A582" s="5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5"/>
      <c r="T582" s="5"/>
      <c r="U582" s="5"/>
      <c r="V582" s="5"/>
      <c r="W582" s="5"/>
      <c r="X582" s="5"/>
      <c r="Y582" s="5"/>
      <c r="Z582" s="7"/>
      <c r="AA582" s="5"/>
      <c r="AB582" s="5"/>
      <c r="AC582" s="5"/>
      <c r="AD582" s="5"/>
      <c r="AE582" s="5"/>
    </row>
    <row r="583" spans="1:31" ht="15.75" customHeight="1">
      <c r="A583" s="5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5"/>
      <c r="T583" s="5"/>
      <c r="U583" s="5"/>
      <c r="V583" s="5"/>
      <c r="W583" s="5"/>
      <c r="X583" s="5"/>
      <c r="Y583" s="5"/>
      <c r="Z583" s="7"/>
      <c r="AA583" s="5"/>
      <c r="AB583" s="5"/>
      <c r="AC583" s="5"/>
      <c r="AD583" s="5"/>
      <c r="AE583" s="5"/>
    </row>
    <row r="584" spans="1:31" ht="15.75" customHeight="1">
      <c r="A584" s="5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5"/>
      <c r="T584" s="5"/>
      <c r="U584" s="5"/>
      <c r="V584" s="5"/>
      <c r="W584" s="5"/>
      <c r="X584" s="5"/>
      <c r="Y584" s="5"/>
      <c r="Z584" s="7"/>
      <c r="AA584" s="5"/>
      <c r="AB584" s="5"/>
      <c r="AC584" s="5"/>
      <c r="AD584" s="5"/>
      <c r="AE584" s="5"/>
    </row>
    <row r="585" spans="1:31" ht="15.75" customHeight="1">
      <c r="A585" s="5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5"/>
      <c r="T585" s="5"/>
      <c r="U585" s="5"/>
      <c r="V585" s="5"/>
      <c r="W585" s="5"/>
      <c r="X585" s="5"/>
      <c r="Y585" s="5"/>
      <c r="Z585" s="7"/>
      <c r="AA585" s="5"/>
      <c r="AB585" s="5"/>
      <c r="AC585" s="5"/>
      <c r="AD585" s="5"/>
      <c r="AE585" s="5"/>
    </row>
    <row r="586" spans="1:31" ht="15.75" customHeight="1">
      <c r="A586" s="5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5"/>
      <c r="T586" s="5"/>
      <c r="U586" s="5"/>
      <c r="V586" s="5"/>
      <c r="W586" s="5"/>
      <c r="X586" s="5"/>
      <c r="Y586" s="5"/>
      <c r="Z586" s="7"/>
      <c r="AA586" s="5"/>
      <c r="AB586" s="5"/>
      <c r="AC586" s="5"/>
      <c r="AD586" s="5"/>
      <c r="AE586" s="5"/>
    </row>
    <row r="587" spans="1:31" ht="15.75" customHeight="1">
      <c r="A587" s="5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5"/>
      <c r="T587" s="5"/>
      <c r="U587" s="5"/>
      <c r="V587" s="5"/>
      <c r="W587" s="5"/>
      <c r="X587" s="5"/>
      <c r="Y587" s="5"/>
      <c r="Z587" s="7"/>
      <c r="AA587" s="5"/>
      <c r="AB587" s="5"/>
      <c r="AC587" s="5"/>
      <c r="AD587" s="5"/>
      <c r="AE587" s="5"/>
    </row>
    <row r="588" spans="1:31" ht="15.75" customHeight="1">
      <c r="A588" s="5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5"/>
      <c r="T588" s="5"/>
      <c r="U588" s="5"/>
      <c r="V588" s="5"/>
      <c r="W588" s="5"/>
      <c r="X588" s="5"/>
      <c r="Y588" s="5"/>
      <c r="Z588" s="7"/>
      <c r="AA588" s="5"/>
      <c r="AB588" s="5"/>
      <c r="AC588" s="5"/>
      <c r="AD588" s="5"/>
      <c r="AE588" s="5"/>
    </row>
    <row r="589" spans="1:31" ht="15.75" customHeight="1">
      <c r="A589" s="5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5"/>
      <c r="T589" s="5"/>
      <c r="U589" s="5"/>
      <c r="V589" s="5"/>
      <c r="W589" s="5"/>
      <c r="X589" s="5"/>
      <c r="Y589" s="5"/>
      <c r="Z589" s="7"/>
      <c r="AA589" s="5"/>
      <c r="AB589" s="5"/>
      <c r="AC589" s="5"/>
      <c r="AD589" s="5"/>
      <c r="AE589" s="5"/>
    </row>
    <row r="590" spans="1:31" ht="15.75" customHeight="1">
      <c r="A590" s="5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5"/>
      <c r="T590" s="5"/>
      <c r="U590" s="5"/>
      <c r="V590" s="5"/>
      <c r="W590" s="5"/>
      <c r="X590" s="5"/>
      <c r="Y590" s="5"/>
      <c r="Z590" s="7"/>
      <c r="AA590" s="5"/>
      <c r="AB590" s="5"/>
      <c r="AC590" s="5"/>
      <c r="AD590" s="5"/>
      <c r="AE590" s="5"/>
    </row>
    <row r="591" spans="1:31" ht="15.75" customHeight="1">
      <c r="A591" s="5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5"/>
      <c r="T591" s="5"/>
      <c r="U591" s="5"/>
      <c r="V591" s="5"/>
      <c r="W591" s="5"/>
      <c r="X591" s="5"/>
      <c r="Y591" s="5"/>
      <c r="Z591" s="7"/>
      <c r="AA591" s="5"/>
      <c r="AB591" s="5"/>
      <c r="AC591" s="5"/>
      <c r="AD591" s="5"/>
      <c r="AE591" s="5"/>
    </row>
    <row r="592" spans="1:31" ht="15.75" customHeight="1">
      <c r="A592" s="5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5"/>
      <c r="T592" s="5"/>
      <c r="U592" s="5"/>
      <c r="V592" s="5"/>
      <c r="W592" s="5"/>
      <c r="X592" s="5"/>
      <c r="Y592" s="5"/>
      <c r="Z592" s="7"/>
      <c r="AA592" s="5"/>
      <c r="AB592" s="5"/>
      <c r="AC592" s="5"/>
      <c r="AD592" s="5"/>
      <c r="AE592" s="5"/>
    </row>
    <row r="593" spans="1:31" ht="15.75" customHeight="1">
      <c r="A593" s="5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5"/>
      <c r="T593" s="5"/>
      <c r="U593" s="5"/>
      <c r="V593" s="5"/>
      <c r="W593" s="5"/>
      <c r="X593" s="5"/>
      <c r="Y593" s="5"/>
      <c r="Z593" s="7"/>
      <c r="AA593" s="5"/>
      <c r="AB593" s="5"/>
      <c r="AC593" s="5"/>
      <c r="AD593" s="5"/>
      <c r="AE593" s="5"/>
    </row>
    <row r="594" spans="1:31" ht="15.75" customHeight="1">
      <c r="A594" s="5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5"/>
      <c r="T594" s="5"/>
      <c r="U594" s="5"/>
      <c r="V594" s="5"/>
      <c r="W594" s="5"/>
      <c r="X594" s="5"/>
      <c r="Y594" s="5"/>
      <c r="Z594" s="7"/>
      <c r="AA594" s="5"/>
      <c r="AB594" s="5"/>
      <c r="AC594" s="5"/>
      <c r="AD594" s="5"/>
      <c r="AE594" s="5"/>
    </row>
    <row r="595" spans="1:31" ht="15.75" customHeight="1">
      <c r="A595" s="5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5"/>
      <c r="T595" s="5"/>
      <c r="U595" s="5"/>
      <c r="V595" s="5"/>
      <c r="W595" s="5"/>
      <c r="X595" s="5"/>
      <c r="Y595" s="5"/>
      <c r="Z595" s="7"/>
      <c r="AA595" s="5"/>
      <c r="AB595" s="5"/>
      <c r="AC595" s="5"/>
      <c r="AD595" s="5"/>
      <c r="AE595" s="5"/>
    </row>
    <row r="596" spans="1:31" ht="15.75" customHeight="1">
      <c r="A596" s="5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5"/>
      <c r="T596" s="5"/>
      <c r="U596" s="5"/>
      <c r="V596" s="5"/>
      <c r="W596" s="5"/>
      <c r="X596" s="5"/>
      <c r="Y596" s="5"/>
      <c r="Z596" s="7"/>
      <c r="AA596" s="5"/>
      <c r="AB596" s="5"/>
      <c r="AC596" s="5"/>
      <c r="AD596" s="5"/>
      <c r="AE596" s="5"/>
    </row>
    <row r="597" spans="1:31" ht="15.75" customHeight="1">
      <c r="A597" s="5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5"/>
      <c r="T597" s="5"/>
      <c r="U597" s="5"/>
      <c r="V597" s="5"/>
      <c r="W597" s="5"/>
      <c r="X597" s="5"/>
      <c r="Y597" s="5"/>
      <c r="Z597" s="7"/>
      <c r="AA597" s="5"/>
      <c r="AB597" s="5"/>
      <c r="AC597" s="5"/>
      <c r="AD597" s="5"/>
      <c r="AE597" s="5"/>
    </row>
    <row r="598" spans="1:31" ht="15.75" customHeight="1">
      <c r="A598" s="5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5"/>
      <c r="T598" s="5"/>
      <c r="U598" s="5"/>
      <c r="V598" s="5"/>
      <c r="W598" s="5"/>
      <c r="X598" s="5"/>
      <c r="Y598" s="5"/>
      <c r="Z598" s="7"/>
      <c r="AA598" s="5"/>
      <c r="AB598" s="5"/>
      <c r="AC598" s="5"/>
      <c r="AD598" s="5"/>
      <c r="AE598" s="5"/>
    </row>
    <row r="599" spans="1:31" ht="15.75" customHeight="1">
      <c r="A599" s="5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5"/>
      <c r="T599" s="5"/>
      <c r="U599" s="5"/>
      <c r="V599" s="5"/>
      <c r="W599" s="5"/>
      <c r="X599" s="5"/>
      <c r="Y599" s="5"/>
      <c r="Z599" s="7"/>
      <c r="AA599" s="5"/>
      <c r="AB599" s="5"/>
      <c r="AC599" s="5"/>
      <c r="AD599" s="5"/>
      <c r="AE599" s="5"/>
    </row>
    <row r="600" spans="1:31" ht="15.75" customHeight="1">
      <c r="A600" s="5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5"/>
      <c r="T600" s="5"/>
      <c r="U600" s="5"/>
      <c r="V600" s="5"/>
      <c r="W600" s="5"/>
      <c r="X600" s="5"/>
      <c r="Y600" s="5"/>
      <c r="Z600" s="7"/>
      <c r="AA600" s="5"/>
      <c r="AB600" s="5"/>
      <c r="AC600" s="5"/>
      <c r="AD600" s="5"/>
      <c r="AE600" s="5"/>
    </row>
    <row r="601" spans="1:31" ht="15.75" customHeight="1">
      <c r="A601" s="5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5"/>
      <c r="T601" s="5"/>
      <c r="U601" s="5"/>
      <c r="V601" s="5"/>
      <c r="W601" s="5"/>
      <c r="X601" s="5"/>
      <c r="Y601" s="5"/>
      <c r="Z601" s="7"/>
      <c r="AA601" s="5"/>
      <c r="AB601" s="5"/>
      <c r="AC601" s="5"/>
      <c r="AD601" s="5"/>
      <c r="AE601" s="5"/>
    </row>
    <row r="602" spans="1:31" ht="15.75" customHeight="1">
      <c r="A602" s="5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5"/>
      <c r="T602" s="5"/>
      <c r="U602" s="5"/>
      <c r="V602" s="5"/>
      <c r="W602" s="5"/>
      <c r="X602" s="5"/>
      <c r="Y602" s="5"/>
      <c r="Z602" s="7"/>
      <c r="AA602" s="5"/>
      <c r="AB602" s="5"/>
      <c r="AC602" s="5"/>
      <c r="AD602" s="5"/>
      <c r="AE602" s="5"/>
    </row>
    <row r="603" spans="1:31" ht="15.75" customHeight="1">
      <c r="A603" s="5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5"/>
      <c r="T603" s="5"/>
      <c r="U603" s="5"/>
      <c r="V603" s="5"/>
      <c r="W603" s="5"/>
      <c r="X603" s="5"/>
      <c r="Y603" s="5"/>
      <c r="Z603" s="7"/>
      <c r="AA603" s="5"/>
      <c r="AB603" s="5"/>
      <c r="AC603" s="5"/>
      <c r="AD603" s="5"/>
      <c r="AE603" s="5"/>
    </row>
    <row r="604" spans="1:31" ht="15.75" customHeight="1">
      <c r="A604" s="5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5"/>
      <c r="T604" s="5"/>
      <c r="U604" s="5"/>
      <c r="V604" s="5"/>
      <c r="W604" s="5"/>
      <c r="X604" s="5"/>
      <c r="Y604" s="5"/>
      <c r="Z604" s="7"/>
      <c r="AA604" s="5"/>
      <c r="AB604" s="5"/>
      <c r="AC604" s="5"/>
      <c r="AD604" s="5"/>
      <c r="AE604" s="5"/>
    </row>
    <row r="605" spans="1:31" ht="15.75" customHeight="1">
      <c r="A605" s="5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5"/>
      <c r="T605" s="5"/>
      <c r="U605" s="5"/>
      <c r="V605" s="5"/>
      <c r="W605" s="5"/>
      <c r="X605" s="5"/>
      <c r="Y605" s="5"/>
      <c r="Z605" s="7"/>
      <c r="AA605" s="5"/>
      <c r="AB605" s="5"/>
      <c r="AC605" s="5"/>
      <c r="AD605" s="5"/>
      <c r="AE605" s="5"/>
    </row>
    <row r="606" spans="1:31" ht="15.75" customHeight="1">
      <c r="A606" s="5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5"/>
      <c r="T606" s="5"/>
      <c r="U606" s="5"/>
      <c r="V606" s="5"/>
      <c r="W606" s="5"/>
      <c r="X606" s="5"/>
      <c r="Y606" s="5"/>
      <c r="Z606" s="7"/>
      <c r="AA606" s="5"/>
      <c r="AB606" s="5"/>
      <c r="AC606" s="5"/>
      <c r="AD606" s="5"/>
      <c r="AE606" s="5"/>
    </row>
    <row r="607" spans="1:31" ht="15.75" customHeight="1">
      <c r="A607" s="5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5"/>
      <c r="T607" s="5"/>
      <c r="U607" s="5"/>
      <c r="V607" s="5"/>
      <c r="W607" s="5"/>
      <c r="X607" s="5"/>
      <c r="Y607" s="5"/>
      <c r="Z607" s="7"/>
      <c r="AA607" s="5"/>
      <c r="AB607" s="5"/>
      <c r="AC607" s="5"/>
      <c r="AD607" s="5"/>
      <c r="AE607" s="5"/>
    </row>
    <row r="608" spans="1:31" ht="15.75" customHeight="1">
      <c r="A608" s="5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5"/>
      <c r="T608" s="5"/>
      <c r="U608" s="5"/>
      <c r="V608" s="5"/>
      <c r="W608" s="5"/>
      <c r="X608" s="5"/>
      <c r="Y608" s="5"/>
      <c r="Z608" s="7"/>
      <c r="AA608" s="5"/>
      <c r="AB608" s="5"/>
      <c r="AC608" s="5"/>
      <c r="AD608" s="5"/>
      <c r="AE608" s="5"/>
    </row>
    <row r="609" spans="1:31" ht="15.75" customHeight="1">
      <c r="A609" s="5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5"/>
      <c r="T609" s="5"/>
      <c r="U609" s="5"/>
      <c r="V609" s="5"/>
      <c r="W609" s="5"/>
      <c r="X609" s="5"/>
      <c r="Y609" s="5"/>
      <c r="Z609" s="7"/>
      <c r="AA609" s="5"/>
      <c r="AB609" s="5"/>
      <c r="AC609" s="5"/>
      <c r="AD609" s="5"/>
      <c r="AE609" s="5"/>
    </row>
    <row r="610" spans="1:31" ht="15.75" customHeight="1">
      <c r="A610" s="5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5"/>
      <c r="T610" s="5"/>
      <c r="U610" s="5"/>
      <c r="V610" s="5"/>
      <c r="W610" s="5"/>
      <c r="X610" s="5"/>
      <c r="Y610" s="5"/>
      <c r="Z610" s="7"/>
      <c r="AA610" s="5"/>
      <c r="AB610" s="5"/>
      <c r="AC610" s="5"/>
      <c r="AD610" s="5"/>
      <c r="AE610" s="5"/>
    </row>
    <row r="611" spans="1:31" ht="15.75" customHeight="1">
      <c r="A611" s="5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5"/>
      <c r="T611" s="5"/>
      <c r="U611" s="5"/>
      <c r="V611" s="5"/>
      <c r="W611" s="5"/>
      <c r="X611" s="5"/>
      <c r="Y611" s="5"/>
      <c r="Z611" s="7"/>
      <c r="AA611" s="5"/>
      <c r="AB611" s="5"/>
      <c r="AC611" s="5"/>
      <c r="AD611" s="5"/>
      <c r="AE611" s="5"/>
    </row>
    <row r="612" spans="1:31" ht="15.75" customHeight="1">
      <c r="A612" s="5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5"/>
      <c r="T612" s="5"/>
      <c r="U612" s="5"/>
      <c r="V612" s="5"/>
      <c r="W612" s="5"/>
      <c r="X612" s="5"/>
      <c r="Y612" s="5"/>
      <c r="Z612" s="7"/>
      <c r="AA612" s="5"/>
      <c r="AB612" s="5"/>
      <c r="AC612" s="5"/>
      <c r="AD612" s="5"/>
      <c r="AE612" s="5"/>
    </row>
    <row r="613" spans="1:31" ht="15.75" customHeight="1">
      <c r="A613" s="5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5"/>
      <c r="T613" s="5"/>
      <c r="U613" s="5"/>
      <c r="V613" s="5"/>
      <c r="W613" s="5"/>
      <c r="X613" s="5"/>
      <c r="Y613" s="5"/>
      <c r="Z613" s="7"/>
      <c r="AA613" s="5"/>
      <c r="AB613" s="5"/>
      <c r="AC613" s="5"/>
      <c r="AD613" s="5"/>
      <c r="AE613" s="5"/>
    </row>
    <row r="614" spans="1:31" ht="15.75" customHeight="1">
      <c r="A614" s="5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5"/>
      <c r="T614" s="5"/>
      <c r="U614" s="5"/>
      <c r="V614" s="5"/>
      <c r="W614" s="5"/>
      <c r="X614" s="5"/>
      <c r="Y614" s="5"/>
      <c r="Z614" s="7"/>
      <c r="AA614" s="5"/>
      <c r="AB614" s="5"/>
      <c r="AC614" s="5"/>
      <c r="AD614" s="5"/>
      <c r="AE614" s="5"/>
    </row>
    <row r="615" spans="1:31" ht="15.75" customHeight="1">
      <c r="A615" s="5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5"/>
      <c r="T615" s="5"/>
      <c r="U615" s="5"/>
      <c r="V615" s="5"/>
      <c r="W615" s="5"/>
      <c r="X615" s="5"/>
      <c r="Y615" s="5"/>
      <c r="Z615" s="7"/>
      <c r="AA615" s="5"/>
      <c r="AB615" s="5"/>
      <c r="AC615" s="5"/>
      <c r="AD615" s="5"/>
      <c r="AE615" s="5"/>
    </row>
    <row r="616" spans="1:31" ht="15.75" customHeight="1">
      <c r="A616" s="5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5"/>
      <c r="T616" s="5"/>
      <c r="U616" s="5"/>
      <c r="V616" s="5"/>
      <c r="W616" s="5"/>
      <c r="X616" s="5"/>
      <c r="Y616" s="5"/>
      <c r="Z616" s="7"/>
      <c r="AA616" s="5"/>
      <c r="AB616" s="5"/>
      <c r="AC616" s="5"/>
      <c r="AD616" s="5"/>
      <c r="AE616" s="5"/>
    </row>
    <row r="617" spans="1:31" ht="15.75" customHeight="1">
      <c r="A617" s="5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5"/>
      <c r="T617" s="5"/>
      <c r="U617" s="5"/>
      <c r="V617" s="5"/>
      <c r="W617" s="5"/>
      <c r="X617" s="5"/>
      <c r="Y617" s="5"/>
      <c r="Z617" s="7"/>
      <c r="AA617" s="5"/>
      <c r="AB617" s="5"/>
      <c r="AC617" s="5"/>
      <c r="AD617" s="5"/>
      <c r="AE617" s="5"/>
    </row>
    <row r="618" spans="1:31" ht="15.75" customHeight="1">
      <c r="A618" s="5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5"/>
      <c r="T618" s="5"/>
      <c r="U618" s="5"/>
      <c r="V618" s="5"/>
      <c r="W618" s="5"/>
      <c r="X618" s="5"/>
      <c r="Y618" s="5"/>
      <c r="Z618" s="7"/>
      <c r="AA618" s="5"/>
      <c r="AB618" s="5"/>
      <c r="AC618" s="5"/>
      <c r="AD618" s="5"/>
      <c r="AE618" s="5"/>
    </row>
    <row r="619" spans="1:31" ht="15.75" customHeight="1">
      <c r="A619" s="5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5"/>
      <c r="T619" s="5"/>
      <c r="U619" s="5"/>
      <c r="V619" s="5"/>
      <c r="W619" s="5"/>
      <c r="X619" s="5"/>
      <c r="Y619" s="5"/>
      <c r="Z619" s="7"/>
      <c r="AA619" s="5"/>
      <c r="AB619" s="5"/>
      <c r="AC619" s="5"/>
      <c r="AD619" s="5"/>
      <c r="AE619" s="5"/>
    </row>
    <row r="620" spans="1:31" ht="15.75" customHeight="1">
      <c r="A620" s="5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5"/>
      <c r="T620" s="5"/>
      <c r="U620" s="5"/>
      <c r="V620" s="5"/>
      <c r="W620" s="5"/>
      <c r="X620" s="5"/>
      <c r="Y620" s="5"/>
      <c r="Z620" s="7"/>
      <c r="AA620" s="5"/>
      <c r="AB620" s="5"/>
      <c r="AC620" s="5"/>
      <c r="AD620" s="5"/>
      <c r="AE620" s="5"/>
    </row>
    <row r="621" spans="1:31" ht="15.75" customHeight="1">
      <c r="A621" s="5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5"/>
      <c r="T621" s="5"/>
      <c r="U621" s="5"/>
      <c r="V621" s="5"/>
      <c r="W621" s="5"/>
      <c r="X621" s="5"/>
      <c r="Y621" s="5"/>
      <c r="Z621" s="7"/>
      <c r="AA621" s="5"/>
      <c r="AB621" s="5"/>
      <c r="AC621" s="5"/>
      <c r="AD621" s="5"/>
      <c r="AE621" s="5"/>
    </row>
    <row r="622" spans="1:31" ht="15.75" customHeight="1">
      <c r="A622" s="5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5"/>
      <c r="T622" s="5"/>
      <c r="U622" s="5"/>
      <c r="V622" s="5"/>
      <c r="W622" s="5"/>
      <c r="X622" s="5"/>
      <c r="Y622" s="5"/>
      <c r="Z622" s="7"/>
      <c r="AA622" s="5"/>
      <c r="AB622" s="5"/>
      <c r="AC622" s="5"/>
      <c r="AD622" s="5"/>
      <c r="AE622" s="5"/>
    </row>
    <row r="623" spans="1:31" ht="15.75" customHeight="1">
      <c r="A623" s="5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5"/>
      <c r="T623" s="5"/>
      <c r="U623" s="5"/>
      <c r="V623" s="5"/>
      <c r="W623" s="5"/>
      <c r="X623" s="5"/>
      <c r="Y623" s="5"/>
      <c r="Z623" s="7"/>
      <c r="AA623" s="5"/>
      <c r="AB623" s="5"/>
      <c r="AC623" s="5"/>
      <c r="AD623" s="5"/>
      <c r="AE623" s="5"/>
    </row>
    <row r="624" spans="1:31" ht="15.75" customHeight="1">
      <c r="A624" s="5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5"/>
      <c r="T624" s="5"/>
      <c r="U624" s="5"/>
      <c r="V624" s="5"/>
      <c r="W624" s="5"/>
      <c r="X624" s="5"/>
      <c r="Y624" s="5"/>
      <c r="Z624" s="7"/>
      <c r="AA624" s="5"/>
      <c r="AB624" s="5"/>
      <c r="AC624" s="5"/>
      <c r="AD624" s="5"/>
      <c r="AE624" s="5"/>
    </row>
    <row r="625" spans="1:31" ht="15.75" customHeight="1">
      <c r="A625" s="5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5"/>
      <c r="T625" s="5"/>
      <c r="U625" s="5"/>
      <c r="V625" s="5"/>
      <c r="W625" s="5"/>
      <c r="X625" s="5"/>
      <c r="Y625" s="5"/>
      <c r="Z625" s="7"/>
      <c r="AA625" s="5"/>
      <c r="AB625" s="5"/>
      <c r="AC625" s="5"/>
      <c r="AD625" s="5"/>
      <c r="AE625" s="5"/>
    </row>
    <row r="626" spans="1:31" ht="15.75" customHeight="1">
      <c r="A626" s="5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5"/>
      <c r="T626" s="5"/>
      <c r="U626" s="5"/>
      <c r="V626" s="5"/>
      <c r="W626" s="5"/>
      <c r="X626" s="5"/>
      <c r="Y626" s="5"/>
      <c r="Z626" s="7"/>
      <c r="AA626" s="5"/>
      <c r="AB626" s="5"/>
      <c r="AC626" s="5"/>
      <c r="AD626" s="5"/>
      <c r="AE626" s="5"/>
    </row>
    <row r="627" spans="1:31" ht="15.75" customHeight="1">
      <c r="A627" s="5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5"/>
      <c r="T627" s="5"/>
      <c r="U627" s="5"/>
      <c r="V627" s="5"/>
      <c r="W627" s="5"/>
      <c r="X627" s="5"/>
      <c r="Y627" s="5"/>
      <c r="Z627" s="7"/>
      <c r="AA627" s="5"/>
      <c r="AB627" s="5"/>
      <c r="AC627" s="5"/>
      <c r="AD627" s="5"/>
      <c r="AE627" s="5"/>
    </row>
    <row r="628" spans="1:31" ht="15.75" customHeight="1">
      <c r="A628" s="5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5"/>
      <c r="T628" s="5"/>
      <c r="U628" s="5"/>
      <c r="V628" s="5"/>
      <c r="W628" s="5"/>
      <c r="X628" s="5"/>
      <c r="Y628" s="5"/>
      <c r="Z628" s="7"/>
      <c r="AA628" s="5"/>
      <c r="AB628" s="5"/>
      <c r="AC628" s="5"/>
      <c r="AD628" s="5"/>
      <c r="AE628" s="5"/>
    </row>
    <row r="629" spans="1:31" ht="15.75" customHeight="1">
      <c r="A629" s="5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5"/>
      <c r="T629" s="5"/>
      <c r="U629" s="5"/>
      <c r="V629" s="5"/>
      <c r="W629" s="5"/>
      <c r="X629" s="5"/>
      <c r="Y629" s="5"/>
      <c r="Z629" s="7"/>
      <c r="AA629" s="5"/>
      <c r="AB629" s="5"/>
      <c r="AC629" s="5"/>
      <c r="AD629" s="5"/>
      <c r="AE629" s="5"/>
    </row>
    <row r="630" spans="1:31" ht="15.75" customHeight="1">
      <c r="A630" s="5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5"/>
      <c r="T630" s="5"/>
      <c r="U630" s="5"/>
      <c r="V630" s="5"/>
      <c r="W630" s="5"/>
      <c r="X630" s="5"/>
      <c r="Y630" s="5"/>
      <c r="Z630" s="7"/>
      <c r="AA630" s="5"/>
      <c r="AB630" s="5"/>
      <c r="AC630" s="5"/>
      <c r="AD630" s="5"/>
      <c r="AE630" s="5"/>
    </row>
    <row r="631" spans="1:31" ht="15.75" customHeight="1">
      <c r="A631" s="5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5"/>
      <c r="T631" s="5"/>
      <c r="U631" s="5"/>
      <c r="V631" s="5"/>
      <c r="W631" s="5"/>
      <c r="X631" s="5"/>
      <c r="Y631" s="5"/>
      <c r="Z631" s="7"/>
      <c r="AA631" s="5"/>
      <c r="AB631" s="5"/>
      <c r="AC631" s="5"/>
      <c r="AD631" s="5"/>
      <c r="AE631" s="5"/>
    </row>
    <row r="632" spans="1:31" ht="15.75" customHeight="1">
      <c r="A632" s="5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5"/>
      <c r="T632" s="5"/>
      <c r="U632" s="5"/>
      <c r="V632" s="5"/>
      <c r="W632" s="5"/>
      <c r="X632" s="5"/>
      <c r="Y632" s="5"/>
      <c r="Z632" s="7"/>
      <c r="AA632" s="5"/>
      <c r="AB632" s="5"/>
      <c r="AC632" s="5"/>
      <c r="AD632" s="5"/>
      <c r="AE632" s="5"/>
    </row>
    <row r="633" spans="1:31" ht="15.75" customHeight="1">
      <c r="A633" s="5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5"/>
      <c r="T633" s="5"/>
      <c r="U633" s="5"/>
      <c r="V633" s="5"/>
      <c r="W633" s="5"/>
      <c r="X633" s="5"/>
      <c r="Y633" s="5"/>
      <c r="Z633" s="7"/>
      <c r="AA633" s="5"/>
      <c r="AB633" s="5"/>
      <c r="AC633" s="5"/>
      <c r="AD633" s="5"/>
      <c r="AE633" s="5"/>
    </row>
    <row r="634" spans="1:31" ht="15.75" customHeight="1">
      <c r="A634" s="5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5"/>
      <c r="T634" s="5"/>
      <c r="U634" s="5"/>
      <c r="V634" s="5"/>
      <c r="W634" s="5"/>
      <c r="X634" s="5"/>
      <c r="Y634" s="5"/>
      <c r="Z634" s="7"/>
      <c r="AA634" s="5"/>
      <c r="AB634" s="5"/>
      <c r="AC634" s="5"/>
      <c r="AD634" s="5"/>
      <c r="AE634" s="5"/>
    </row>
    <row r="635" spans="1:31" ht="15.75" customHeight="1">
      <c r="A635" s="5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5"/>
      <c r="T635" s="5"/>
      <c r="U635" s="5"/>
      <c r="V635" s="5"/>
      <c r="W635" s="5"/>
      <c r="X635" s="5"/>
      <c r="Y635" s="5"/>
      <c r="Z635" s="7"/>
      <c r="AA635" s="5"/>
      <c r="AB635" s="5"/>
      <c r="AC635" s="5"/>
      <c r="AD635" s="5"/>
      <c r="AE635" s="5"/>
    </row>
    <row r="636" spans="1:31" ht="15.75" customHeight="1">
      <c r="A636" s="5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5"/>
      <c r="T636" s="5"/>
      <c r="U636" s="5"/>
      <c r="V636" s="5"/>
      <c r="W636" s="5"/>
      <c r="X636" s="5"/>
      <c r="Y636" s="5"/>
      <c r="Z636" s="7"/>
      <c r="AA636" s="5"/>
      <c r="AB636" s="5"/>
      <c r="AC636" s="5"/>
      <c r="AD636" s="5"/>
      <c r="AE636" s="5"/>
    </row>
    <row r="637" spans="1:31" ht="15.75" customHeight="1">
      <c r="A637" s="5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5"/>
      <c r="T637" s="5"/>
      <c r="U637" s="5"/>
      <c r="V637" s="5"/>
      <c r="W637" s="5"/>
      <c r="X637" s="5"/>
      <c r="Y637" s="5"/>
      <c r="Z637" s="7"/>
      <c r="AA637" s="5"/>
      <c r="AB637" s="5"/>
      <c r="AC637" s="5"/>
      <c r="AD637" s="5"/>
      <c r="AE637" s="5"/>
    </row>
    <row r="638" spans="1:31" ht="15.75" customHeight="1">
      <c r="A638" s="5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5"/>
      <c r="T638" s="5"/>
      <c r="U638" s="5"/>
      <c r="V638" s="5"/>
      <c r="W638" s="5"/>
      <c r="X638" s="5"/>
      <c r="Y638" s="5"/>
      <c r="Z638" s="7"/>
      <c r="AA638" s="5"/>
      <c r="AB638" s="5"/>
      <c r="AC638" s="5"/>
      <c r="AD638" s="5"/>
      <c r="AE638" s="5"/>
    </row>
    <row r="639" spans="1:31" ht="15.75" customHeight="1">
      <c r="A639" s="5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5"/>
      <c r="T639" s="5"/>
      <c r="U639" s="5"/>
      <c r="V639" s="5"/>
      <c r="W639" s="5"/>
      <c r="X639" s="5"/>
      <c r="Y639" s="5"/>
      <c r="Z639" s="7"/>
      <c r="AA639" s="5"/>
      <c r="AB639" s="5"/>
      <c r="AC639" s="5"/>
      <c r="AD639" s="5"/>
      <c r="AE639" s="5"/>
    </row>
    <row r="640" spans="1:31" ht="15.75" customHeight="1">
      <c r="A640" s="5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5"/>
      <c r="T640" s="5"/>
      <c r="U640" s="5"/>
      <c r="V640" s="5"/>
      <c r="W640" s="5"/>
      <c r="X640" s="5"/>
      <c r="Y640" s="5"/>
      <c r="Z640" s="7"/>
      <c r="AA640" s="5"/>
      <c r="AB640" s="5"/>
      <c r="AC640" s="5"/>
      <c r="AD640" s="5"/>
      <c r="AE640" s="5"/>
    </row>
    <row r="641" spans="1:31" ht="15.75" customHeight="1">
      <c r="A641" s="5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5"/>
      <c r="T641" s="5"/>
      <c r="U641" s="5"/>
      <c r="V641" s="5"/>
      <c r="W641" s="5"/>
      <c r="X641" s="5"/>
      <c r="Y641" s="5"/>
      <c r="Z641" s="7"/>
      <c r="AA641" s="5"/>
      <c r="AB641" s="5"/>
      <c r="AC641" s="5"/>
      <c r="AD641" s="5"/>
      <c r="AE641" s="5"/>
    </row>
    <row r="642" spans="1:31" ht="15.75" customHeight="1">
      <c r="A642" s="5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5"/>
      <c r="T642" s="5"/>
      <c r="U642" s="5"/>
      <c r="V642" s="5"/>
      <c r="W642" s="5"/>
      <c r="X642" s="5"/>
      <c r="Y642" s="5"/>
      <c r="Z642" s="7"/>
      <c r="AA642" s="5"/>
      <c r="AB642" s="5"/>
      <c r="AC642" s="5"/>
      <c r="AD642" s="5"/>
      <c r="AE642" s="5"/>
    </row>
    <row r="643" spans="1:31" ht="15.75" customHeight="1">
      <c r="A643" s="5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5"/>
      <c r="T643" s="5"/>
      <c r="U643" s="5"/>
      <c r="V643" s="5"/>
      <c r="W643" s="5"/>
      <c r="X643" s="5"/>
      <c r="Y643" s="5"/>
      <c r="Z643" s="7"/>
      <c r="AA643" s="5"/>
      <c r="AB643" s="5"/>
      <c r="AC643" s="5"/>
      <c r="AD643" s="5"/>
      <c r="AE643" s="5"/>
    </row>
    <row r="644" spans="1:31" ht="15.75" customHeight="1">
      <c r="A644" s="5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5"/>
      <c r="T644" s="5"/>
      <c r="U644" s="5"/>
      <c r="V644" s="5"/>
      <c r="W644" s="5"/>
      <c r="X644" s="5"/>
      <c r="Y644" s="5"/>
      <c r="Z644" s="7"/>
      <c r="AA644" s="5"/>
      <c r="AB644" s="5"/>
      <c r="AC644" s="5"/>
      <c r="AD644" s="5"/>
      <c r="AE644" s="5"/>
    </row>
    <row r="645" spans="1:31" ht="15.75" customHeight="1">
      <c r="A645" s="5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5"/>
      <c r="T645" s="5"/>
      <c r="U645" s="5"/>
      <c r="V645" s="5"/>
      <c r="W645" s="5"/>
      <c r="X645" s="5"/>
      <c r="Y645" s="5"/>
      <c r="Z645" s="7"/>
      <c r="AA645" s="5"/>
      <c r="AB645" s="5"/>
      <c r="AC645" s="5"/>
      <c r="AD645" s="5"/>
      <c r="AE645" s="5"/>
    </row>
    <row r="646" spans="1:31" ht="15.75" customHeight="1">
      <c r="A646" s="5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5"/>
      <c r="T646" s="5"/>
      <c r="U646" s="5"/>
      <c r="V646" s="5"/>
      <c r="W646" s="5"/>
      <c r="X646" s="5"/>
      <c r="Y646" s="5"/>
      <c r="Z646" s="7"/>
      <c r="AA646" s="5"/>
      <c r="AB646" s="5"/>
      <c r="AC646" s="5"/>
      <c r="AD646" s="5"/>
      <c r="AE646" s="5"/>
    </row>
    <row r="647" spans="1:31" ht="15.75" customHeight="1">
      <c r="A647" s="5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5"/>
      <c r="T647" s="5"/>
      <c r="U647" s="5"/>
      <c r="V647" s="5"/>
      <c r="W647" s="5"/>
      <c r="X647" s="5"/>
      <c r="Y647" s="5"/>
      <c r="Z647" s="7"/>
      <c r="AA647" s="5"/>
      <c r="AB647" s="5"/>
      <c r="AC647" s="5"/>
      <c r="AD647" s="5"/>
      <c r="AE647" s="5"/>
    </row>
    <row r="648" spans="1:31" ht="15.75" customHeight="1">
      <c r="A648" s="5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5"/>
      <c r="T648" s="5"/>
      <c r="U648" s="5"/>
      <c r="V648" s="5"/>
      <c r="W648" s="5"/>
      <c r="X648" s="5"/>
      <c r="Y648" s="5"/>
      <c r="Z648" s="7"/>
      <c r="AA648" s="5"/>
      <c r="AB648" s="5"/>
      <c r="AC648" s="5"/>
      <c r="AD648" s="5"/>
      <c r="AE648" s="5"/>
    </row>
    <row r="649" spans="1:31" ht="15.75" customHeight="1">
      <c r="A649" s="5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5"/>
      <c r="T649" s="5"/>
      <c r="U649" s="5"/>
      <c r="V649" s="5"/>
      <c r="W649" s="5"/>
      <c r="X649" s="5"/>
      <c r="Y649" s="5"/>
      <c r="Z649" s="7"/>
      <c r="AA649" s="5"/>
      <c r="AB649" s="5"/>
      <c r="AC649" s="5"/>
      <c r="AD649" s="5"/>
      <c r="AE649" s="5"/>
    </row>
    <row r="650" spans="1:31" ht="15.75" customHeight="1">
      <c r="A650" s="5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5"/>
      <c r="T650" s="5"/>
      <c r="U650" s="5"/>
      <c r="V650" s="5"/>
      <c r="W650" s="5"/>
      <c r="X650" s="5"/>
      <c r="Y650" s="5"/>
      <c r="Z650" s="7"/>
      <c r="AA650" s="5"/>
      <c r="AB650" s="5"/>
      <c r="AC650" s="5"/>
      <c r="AD650" s="5"/>
      <c r="AE650" s="5"/>
    </row>
    <row r="651" spans="1:31" ht="15.75" customHeight="1">
      <c r="A651" s="5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5"/>
      <c r="T651" s="5"/>
      <c r="U651" s="5"/>
      <c r="V651" s="5"/>
      <c r="W651" s="5"/>
      <c r="X651" s="5"/>
      <c r="Y651" s="5"/>
      <c r="Z651" s="7"/>
      <c r="AA651" s="5"/>
      <c r="AB651" s="5"/>
      <c r="AC651" s="5"/>
      <c r="AD651" s="5"/>
      <c r="AE651" s="5"/>
    </row>
    <row r="652" spans="1:31" ht="15.75" customHeight="1">
      <c r="A652" s="5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5"/>
      <c r="T652" s="5"/>
      <c r="U652" s="5"/>
      <c r="V652" s="5"/>
      <c r="W652" s="5"/>
      <c r="X652" s="5"/>
      <c r="Y652" s="5"/>
      <c r="Z652" s="7"/>
      <c r="AA652" s="5"/>
      <c r="AB652" s="5"/>
      <c r="AC652" s="5"/>
      <c r="AD652" s="5"/>
      <c r="AE652" s="5"/>
    </row>
    <row r="653" spans="1:31" ht="15.75" customHeight="1">
      <c r="A653" s="5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5"/>
      <c r="T653" s="5"/>
      <c r="U653" s="5"/>
      <c r="V653" s="5"/>
      <c r="W653" s="5"/>
      <c r="X653" s="5"/>
      <c r="Y653" s="5"/>
      <c r="Z653" s="7"/>
      <c r="AA653" s="5"/>
      <c r="AB653" s="5"/>
      <c r="AC653" s="5"/>
      <c r="AD653" s="5"/>
      <c r="AE653" s="5"/>
    </row>
    <row r="654" spans="1:31" ht="15.75" customHeight="1">
      <c r="A654" s="5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5"/>
      <c r="T654" s="5"/>
      <c r="U654" s="5"/>
      <c r="V654" s="5"/>
      <c r="W654" s="5"/>
      <c r="X654" s="5"/>
      <c r="Y654" s="5"/>
      <c r="Z654" s="7"/>
      <c r="AA654" s="5"/>
      <c r="AB654" s="5"/>
      <c r="AC654" s="5"/>
      <c r="AD654" s="5"/>
      <c r="AE654" s="5"/>
    </row>
    <row r="655" spans="1:31" ht="15.75" customHeight="1">
      <c r="A655" s="5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5"/>
      <c r="T655" s="5"/>
      <c r="U655" s="5"/>
      <c r="V655" s="5"/>
      <c r="W655" s="5"/>
      <c r="X655" s="5"/>
      <c r="Y655" s="5"/>
      <c r="Z655" s="7"/>
      <c r="AA655" s="5"/>
      <c r="AB655" s="5"/>
      <c r="AC655" s="5"/>
      <c r="AD655" s="5"/>
      <c r="AE655" s="5"/>
    </row>
    <row r="656" spans="1:31" ht="15.75" customHeight="1">
      <c r="A656" s="5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5"/>
      <c r="T656" s="5"/>
      <c r="U656" s="5"/>
      <c r="V656" s="5"/>
      <c r="W656" s="5"/>
      <c r="X656" s="5"/>
      <c r="Y656" s="5"/>
      <c r="Z656" s="7"/>
      <c r="AA656" s="5"/>
      <c r="AB656" s="5"/>
      <c r="AC656" s="5"/>
      <c r="AD656" s="5"/>
      <c r="AE656" s="5"/>
    </row>
    <row r="657" spans="1:31" ht="15.75" customHeight="1">
      <c r="A657" s="5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5"/>
      <c r="T657" s="5"/>
      <c r="U657" s="5"/>
      <c r="V657" s="5"/>
      <c r="W657" s="5"/>
      <c r="X657" s="5"/>
      <c r="Y657" s="5"/>
      <c r="Z657" s="7"/>
      <c r="AA657" s="5"/>
      <c r="AB657" s="5"/>
      <c r="AC657" s="5"/>
      <c r="AD657" s="5"/>
      <c r="AE657" s="5"/>
    </row>
    <row r="658" spans="1:31" ht="15.75" customHeight="1">
      <c r="A658" s="5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5"/>
      <c r="T658" s="5"/>
      <c r="U658" s="5"/>
      <c r="V658" s="5"/>
      <c r="W658" s="5"/>
      <c r="X658" s="5"/>
      <c r="Y658" s="5"/>
      <c r="Z658" s="7"/>
      <c r="AA658" s="5"/>
      <c r="AB658" s="5"/>
      <c r="AC658" s="5"/>
      <c r="AD658" s="5"/>
      <c r="AE658" s="5"/>
    </row>
    <row r="659" spans="1:31" ht="15.75" customHeight="1">
      <c r="A659" s="5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5"/>
      <c r="T659" s="5"/>
      <c r="U659" s="5"/>
      <c r="V659" s="5"/>
      <c r="W659" s="5"/>
      <c r="X659" s="5"/>
      <c r="Y659" s="5"/>
      <c r="Z659" s="7"/>
      <c r="AA659" s="5"/>
      <c r="AB659" s="5"/>
      <c r="AC659" s="5"/>
      <c r="AD659" s="5"/>
      <c r="AE659" s="5"/>
    </row>
    <row r="660" spans="1:31" ht="15.75" customHeight="1">
      <c r="A660" s="5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5"/>
      <c r="T660" s="5"/>
      <c r="U660" s="5"/>
      <c r="V660" s="5"/>
      <c r="W660" s="5"/>
      <c r="X660" s="5"/>
      <c r="Y660" s="5"/>
      <c r="Z660" s="7"/>
      <c r="AA660" s="5"/>
      <c r="AB660" s="5"/>
      <c r="AC660" s="5"/>
      <c r="AD660" s="5"/>
      <c r="AE660" s="5"/>
    </row>
    <row r="661" spans="1:31" ht="15.75" customHeight="1">
      <c r="A661" s="5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5"/>
      <c r="T661" s="5"/>
      <c r="U661" s="5"/>
      <c r="V661" s="5"/>
      <c r="W661" s="5"/>
      <c r="X661" s="5"/>
      <c r="Y661" s="5"/>
      <c r="Z661" s="7"/>
      <c r="AA661" s="5"/>
      <c r="AB661" s="5"/>
      <c r="AC661" s="5"/>
      <c r="AD661" s="5"/>
      <c r="AE661" s="5"/>
    </row>
    <row r="662" spans="1:31" ht="15.75" customHeight="1">
      <c r="A662" s="5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5"/>
      <c r="T662" s="5"/>
      <c r="U662" s="5"/>
      <c r="V662" s="5"/>
      <c r="W662" s="5"/>
      <c r="X662" s="5"/>
      <c r="Y662" s="5"/>
      <c r="Z662" s="7"/>
      <c r="AA662" s="5"/>
      <c r="AB662" s="5"/>
      <c r="AC662" s="5"/>
      <c r="AD662" s="5"/>
      <c r="AE662" s="5"/>
    </row>
    <row r="663" spans="1:31" ht="15.75" customHeight="1">
      <c r="A663" s="5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5"/>
      <c r="T663" s="5"/>
      <c r="U663" s="5"/>
      <c r="V663" s="5"/>
      <c r="W663" s="5"/>
      <c r="X663" s="5"/>
      <c r="Y663" s="5"/>
      <c r="Z663" s="7"/>
      <c r="AA663" s="5"/>
      <c r="AB663" s="5"/>
      <c r="AC663" s="5"/>
      <c r="AD663" s="5"/>
      <c r="AE663" s="5"/>
    </row>
    <row r="664" spans="1:31" ht="15.75" customHeight="1">
      <c r="A664" s="5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5"/>
      <c r="T664" s="5"/>
      <c r="U664" s="5"/>
      <c r="V664" s="5"/>
      <c r="W664" s="5"/>
      <c r="X664" s="5"/>
      <c r="Y664" s="5"/>
      <c r="Z664" s="7"/>
      <c r="AA664" s="5"/>
      <c r="AB664" s="5"/>
      <c r="AC664" s="5"/>
      <c r="AD664" s="5"/>
      <c r="AE664" s="5"/>
    </row>
    <row r="665" spans="1:31" ht="15.75" customHeight="1">
      <c r="A665" s="5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5"/>
      <c r="T665" s="5"/>
      <c r="U665" s="5"/>
      <c r="V665" s="5"/>
      <c r="W665" s="5"/>
      <c r="X665" s="5"/>
      <c r="Y665" s="5"/>
      <c r="Z665" s="7"/>
      <c r="AA665" s="5"/>
      <c r="AB665" s="5"/>
      <c r="AC665" s="5"/>
      <c r="AD665" s="5"/>
      <c r="AE665" s="5"/>
    </row>
    <row r="666" spans="1:31" ht="15.75" customHeight="1">
      <c r="A666" s="5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5"/>
      <c r="T666" s="5"/>
      <c r="U666" s="5"/>
      <c r="V666" s="5"/>
      <c r="W666" s="5"/>
      <c r="X666" s="5"/>
      <c r="Y666" s="5"/>
      <c r="Z666" s="7"/>
      <c r="AA666" s="5"/>
      <c r="AB666" s="5"/>
      <c r="AC666" s="5"/>
      <c r="AD666" s="5"/>
      <c r="AE666" s="5"/>
    </row>
    <row r="667" spans="1:31" ht="15.75" customHeight="1">
      <c r="A667" s="5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5"/>
      <c r="T667" s="5"/>
      <c r="U667" s="5"/>
      <c r="V667" s="5"/>
      <c r="W667" s="5"/>
      <c r="X667" s="5"/>
      <c r="Y667" s="5"/>
      <c r="Z667" s="7"/>
      <c r="AA667" s="5"/>
      <c r="AB667" s="5"/>
      <c r="AC667" s="5"/>
      <c r="AD667" s="5"/>
      <c r="AE667" s="5"/>
    </row>
    <row r="668" spans="1:31" ht="15.75" customHeight="1">
      <c r="A668" s="5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5"/>
      <c r="T668" s="5"/>
      <c r="U668" s="5"/>
      <c r="V668" s="5"/>
      <c r="W668" s="5"/>
      <c r="X668" s="5"/>
      <c r="Y668" s="5"/>
      <c r="Z668" s="7"/>
      <c r="AA668" s="5"/>
      <c r="AB668" s="5"/>
      <c r="AC668" s="5"/>
      <c r="AD668" s="5"/>
      <c r="AE668" s="5"/>
    </row>
    <row r="669" spans="1:31" ht="15.75" customHeight="1">
      <c r="A669" s="5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5"/>
      <c r="T669" s="5"/>
      <c r="U669" s="5"/>
      <c r="V669" s="5"/>
      <c r="W669" s="5"/>
      <c r="X669" s="5"/>
      <c r="Y669" s="5"/>
      <c r="Z669" s="7"/>
      <c r="AA669" s="5"/>
      <c r="AB669" s="5"/>
      <c r="AC669" s="5"/>
      <c r="AD669" s="5"/>
      <c r="AE669" s="5"/>
    </row>
    <row r="670" spans="1:31" ht="15.75" customHeight="1">
      <c r="A670" s="5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5"/>
      <c r="T670" s="5"/>
      <c r="U670" s="5"/>
      <c r="V670" s="5"/>
      <c r="W670" s="5"/>
      <c r="X670" s="5"/>
      <c r="Y670" s="5"/>
      <c r="Z670" s="7"/>
      <c r="AA670" s="5"/>
      <c r="AB670" s="5"/>
      <c r="AC670" s="5"/>
      <c r="AD670" s="5"/>
      <c r="AE670" s="5"/>
    </row>
    <row r="671" spans="1:31" ht="15.75" customHeight="1">
      <c r="A671" s="5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5"/>
      <c r="T671" s="5"/>
      <c r="U671" s="5"/>
      <c r="V671" s="5"/>
      <c r="W671" s="5"/>
      <c r="X671" s="5"/>
      <c r="Y671" s="5"/>
      <c r="Z671" s="7"/>
      <c r="AA671" s="5"/>
      <c r="AB671" s="5"/>
      <c r="AC671" s="5"/>
      <c r="AD671" s="5"/>
      <c r="AE671" s="5"/>
    </row>
    <row r="672" spans="1:31" ht="15.75" customHeight="1">
      <c r="A672" s="5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5"/>
      <c r="T672" s="5"/>
      <c r="U672" s="5"/>
      <c r="V672" s="5"/>
      <c r="W672" s="5"/>
      <c r="X672" s="5"/>
      <c r="Y672" s="5"/>
      <c r="Z672" s="7"/>
      <c r="AA672" s="5"/>
      <c r="AB672" s="5"/>
      <c r="AC672" s="5"/>
      <c r="AD672" s="5"/>
      <c r="AE672" s="5"/>
    </row>
    <row r="673" spans="1:31" ht="15.75" customHeight="1">
      <c r="A673" s="5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5"/>
      <c r="T673" s="5"/>
      <c r="U673" s="5"/>
      <c r="V673" s="5"/>
      <c r="W673" s="5"/>
      <c r="X673" s="5"/>
      <c r="Y673" s="5"/>
      <c r="Z673" s="7"/>
      <c r="AA673" s="5"/>
      <c r="AB673" s="5"/>
      <c r="AC673" s="5"/>
      <c r="AD673" s="5"/>
      <c r="AE673" s="5"/>
    </row>
    <row r="674" spans="1:31" ht="15.75" customHeight="1">
      <c r="A674" s="5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5"/>
      <c r="T674" s="5"/>
      <c r="U674" s="5"/>
      <c r="V674" s="5"/>
      <c r="W674" s="5"/>
      <c r="X674" s="5"/>
      <c r="Y674" s="5"/>
      <c r="Z674" s="7"/>
      <c r="AA674" s="5"/>
      <c r="AB674" s="5"/>
      <c r="AC674" s="5"/>
      <c r="AD674" s="5"/>
      <c r="AE674" s="5"/>
    </row>
    <row r="675" spans="1:31" ht="15.75" customHeight="1">
      <c r="A675" s="5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5"/>
      <c r="T675" s="5"/>
      <c r="U675" s="5"/>
      <c r="V675" s="5"/>
      <c r="W675" s="5"/>
      <c r="X675" s="5"/>
      <c r="Y675" s="5"/>
      <c r="Z675" s="7"/>
      <c r="AA675" s="5"/>
      <c r="AB675" s="5"/>
      <c r="AC675" s="5"/>
      <c r="AD675" s="5"/>
      <c r="AE675" s="5"/>
    </row>
    <row r="676" spans="1:31" ht="15.75" customHeight="1">
      <c r="A676" s="5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5"/>
      <c r="T676" s="5"/>
      <c r="U676" s="5"/>
      <c r="V676" s="5"/>
      <c r="W676" s="5"/>
      <c r="X676" s="5"/>
      <c r="Y676" s="5"/>
      <c r="Z676" s="7"/>
      <c r="AA676" s="5"/>
      <c r="AB676" s="5"/>
      <c r="AC676" s="5"/>
      <c r="AD676" s="5"/>
      <c r="AE676" s="5"/>
    </row>
    <row r="677" spans="1:31" ht="15.75" customHeight="1">
      <c r="A677" s="5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5"/>
      <c r="T677" s="5"/>
      <c r="U677" s="5"/>
      <c r="V677" s="5"/>
      <c r="W677" s="5"/>
      <c r="X677" s="5"/>
      <c r="Y677" s="5"/>
      <c r="Z677" s="7"/>
      <c r="AA677" s="5"/>
      <c r="AB677" s="5"/>
      <c r="AC677" s="5"/>
      <c r="AD677" s="5"/>
      <c r="AE677" s="5"/>
    </row>
    <row r="678" spans="1:31" ht="15.75" customHeight="1">
      <c r="A678" s="5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5"/>
      <c r="T678" s="5"/>
      <c r="U678" s="5"/>
      <c r="V678" s="5"/>
      <c r="W678" s="5"/>
      <c r="X678" s="5"/>
      <c r="Y678" s="5"/>
      <c r="Z678" s="7"/>
      <c r="AA678" s="5"/>
      <c r="AB678" s="5"/>
      <c r="AC678" s="5"/>
      <c r="AD678" s="5"/>
      <c r="AE678" s="5"/>
    </row>
    <row r="679" spans="1:31" ht="15.75" customHeight="1">
      <c r="A679" s="5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5"/>
      <c r="T679" s="5"/>
      <c r="U679" s="5"/>
      <c r="V679" s="5"/>
      <c r="W679" s="5"/>
      <c r="X679" s="5"/>
      <c r="Y679" s="5"/>
      <c r="Z679" s="7"/>
      <c r="AA679" s="5"/>
      <c r="AB679" s="5"/>
      <c r="AC679" s="5"/>
      <c r="AD679" s="5"/>
      <c r="AE679" s="5"/>
    </row>
    <row r="680" spans="1:31" ht="15.75" customHeight="1">
      <c r="A680" s="5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5"/>
      <c r="T680" s="5"/>
      <c r="U680" s="5"/>
      <c r="V680" s="5"/>
      <c r="W680" s="5"/>
      <c r="X680" s="5"/>
      <c r="Y680" s="5"/>
      <c r="Z680" s="7"/>
      <c r="AA680" s="5"/>
      <c r="AB680" s="5"/>
      <c r="AC680" s="5"/>
      <c r="AD680" s="5"/>
      <c r="AE680" s="5"/>
    </row>
    <row r="681" spans="1:31" ht="15.75" customHeight="1">
      <c r="A681" s="5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5"/>
      <c r="T681" s="5"/>
      <c r="U681" s="5"/>
      <c r="V681" s="5"/>
      <c r="W681" s="5"/>
      <c r="X681" s="5"/>
      <c r="Y681" s="5"/>
      <c r="Z681" s="7"/>
      <c r="AA681" s="5"/>
      <c r="AB681" s="5"/>
      <c r="AC681" s="5"/>
      <c r="AD681" s="5"/>
      <c r="AE681" s="5"/>
    </row>
    <row r="682" spans="1:31" ht="15.75" customHeight="1">
      <c r="A682" s="5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5"/>
      <c r="T682" s="5"/>
      <c r="U682" s="5"/>
      <c r="V682" s="5"/>
      <c r="W682" s="5"/>
      <c r="X682" s="5"/>
      <c r="Y682" s="5"/>
      <c r="Z682" s="7"/>
      <c r="AA682" s="5"/>
      <c r="AB682" s="5"/>
      <c r="AC682" s="5"/>
      <c r="AD682" s="5"/>
      <c r="AE682" s="5"/>
    </row>
    <row r="683" spans="1:31" ht="15.75" customHeight="1">
      <c r="A683" s="5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5"/>
      <c r="T683" s="5"/>
      <c r="U683" s="5"/>
      <c r="V683" s="5"/>
      <c r="W683" s="5"/>
      <c r="X683" s="5"/>
      <c r="Y683" s="5"/>
      <c r="Z683" s="7"/>
      <c r="AA683" s="5"/>
      <c r="AB683" s="5"/>
      <c r="AC683" s="5"/>
      <c r="AD683" s="5"/>
      <c r="AE683" s="5"/>
    </row>
    <row r="684" spans="1:31" ht="15.75" customHeight="1">
      <c r="A684" s="5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5"/>
      <c r="T684" s="5"/>
      <c r="U684" s="5"/>
      <c r="V684" s="5"/>
      <c r="W684" s="5"/>
      <c r="X684" s="5"/>
      <c r="Y684" s="5"/>
      <c r="Z684" s="7"/>
      <c r="AA684" s="5"/>
      <c r="AB684" s="5"/>
      <c r="AC684" s="5"/>
      <c r="AD684" s="5"/>
      <c r="AE684" s="5"/>
    </row>
    <row r="685" spans="1:31" ht="15.75" customHeight="1">
      <c r="A685" s="5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5"/>
      <c r="T685" s="5"/>
      <c r="U685" s="5"/>
      <c r="V685" s="5"/>
      <c r="W685" s="5"/>
      <c r="X685" s="5"/>
      <c r="Y685" s="5"/>
      <c r="Z685" s="7"/>
      <c r="AA685" s="5"/>
      <c r="AB685" s="5"/>
      <c r="AC685" s="5"/>
      <c r="AD685" s="5"/>
      <c r="AE685" s="5"/>
    </row>
    <row r="686" spans="1:31" ht="15.75" customHeight="1">
      <c r="A686" s="5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5"/>
      <c r="T686" s="5"/>
      <c r="U686" s="5"/>
      <c r="V686" s="5"/>
      <c r="W686" s="5"/>
      <c r="X686" s="5"/>
      <c r="Y686" s="5"/>
      <c r="Z686" s="7"/>
      <c r="AA686" s="5"/>
      <c r="AB686" s="5"/>
      <c r="AC686" s="5"/>
      <c r="AD686" s="5"/>
      <c r="AE686" s="5"/>
    </row>
    <row r="687" spans="1:31" ht="15.75" customHeight="1">
      <c r="A687" s="5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5"/>
      <c r="T687" s="5"/>
      <c r="U687" s="5"/>
      <c r="V687" s="5"/>
      <c r="W687" s="5"/>
      <c r="X687" s="5"/>
      <c r="Y687" s="5"/>
      <c r="Z687" s="7"/>
      <c r="AA687" s="5"/>
      <c r="AB687" s="5"/>
      <c r="AC687" s="5"/>
      <c r="AD687" s="5"/>
      <c r="AE687" s="5"/>
    </row>
    <row r="688" spans="1:31" ht="15.75" customHeight="1">
      <c r="A688" s="5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5"/>
      <c r="T688" s="5"/>
      <c r="U688" s="5"/>
      <c r="V688" s="5"/>
      <c r="W688" s="5"/>
      <c r="X688" s="5"/>
      <c r="Y688" s="5"/>
      <c r="Z688" s="7"/>
      <c r="AA688" s="5"/>
      <c r="AB688" s="5"/>
      <c r="AC688" s="5"/>
      <c r="AD688" s="5"/>
      <c r="AE688" s="5"/>
    </row>
    <row r="689" spans="1:31" ht="15.75" customHeight="1">
      <c r="A689" s="5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5"/>
      <c r="T689" s="5"/>
      <c r="U689" s="5"/>
      <c r="V689" s="5"/>
      <c r="W689" s="5"/>
      <c r="X689" s="5"/>
      <c r="Y689" s="5"/>
      <c r="Z689" s="7"/>
      <c r="AA689" s="5"/>
      <c r="AB689" s="5"/>
      <c r="AC689" s="5"/>
      <c r="AD689" s="5"/>
      <c r="AE689" s="5"/>
    </row>
    <row r="690" spans="1:31" ht="15.75" customHeight="1">
      <c r="A690" s="5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5"/>
      <c r="T690" s="5"/>
      <c r="U690" s="5"/>
      <c r="V690" s="5"/>
      <c r="W690" s="5"/>
      <c r="X690" s="5"/>
      <c r="Y690" s="5"/>
      <c r="Z690" s="7"/>
      <c r="AA690" s="5"/>
      <c r="AB690" s="5"/>
      <c r="AC690" s="5"/>
      <c r="AD690" s="5"/>
      <c r="AE690" s="5"/>
    </row>
    <row r="691" spans="1:31" ht="15.75" customHeight="1">
      <c r="A691" s="5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5"/>
      <c r="T691" s="5"/>
      <c r="U691" s="5"/>
      <c r="V691" s="5"/>
      <c r="W691" s="5"/>
      <c r="X691" s="5"/>
      <c r="Y691" s="5"/>
      <c r="Z691" s="7"/>
      <c r="AA691" s="5"/>
      <c r="AB691" s="5"/>
      <c r="AC691" s="5"/>
      <c r="AD691" s="5"/>
      <c r="AE691" s="5"/>
    </row>
    <row r="692" spans="1:31" ht="15.75" customHeight="1">
      <c r="A692" s="5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5"/>
      <c r="T692" s="5"/>
      <c r="U692" s="5"/>
      <c r="V692" s="5"/>
      <c r="W692" s="5"/>
      <c r="X692" s="5"/>
      <c r="Y692" s="5"/>
      <c r="Z692" s="7"/>
      <c r="AA692" s="5"/>
      <c r="AB692" s="5"/>
      <c r="AC692" s="5"/>
      <c r="AD692" s="5"/>
      <c r="AE692" s="5"/>
    </row>
    <row r="693" spans="1:31" ht="15.75" customHeight="1">
      <c r="A693" s="5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5"/>
      <c r="T693" s="5"/>
      <c r="U693" s="5"/>
      <c r="V693" s="5"/>
      <c r="W693" s="5"/>
      <c r="X693" s="5"/>
      <c r="Y693" s="5"/>
      <c r="Z693" s="7"/>
      <c r="AA693" s="5"/>
      <c r="AB693" s="5"/>
      <c r="AC693" s="5"/>
      <c r="AD693" s="5"/>
      <c r="AE693" s="5"/>
    </row>
    <row r="694" spans="1:31" ht="15.75" customHeight="1">
      <c r="A694" s="5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5"/>
      <c r="T694" s="5"/>
      <c r="U694" s="5"/>
      <c r="V694" s="5"/>
      <c r="W694" s="5"/>
      <c r="X694" s="5"/>
      <c r="Y694" s="5"/>
      <c r="Z694" s="7"/>
      <c r="AA694" s="5"/>
      <c r="AB694" s="5"/>
      <c r="AC694" s="5"/>
      <c r="AD694" s="5"/>
      <c r="AE694" s="5"/>
    </row>
    <row r="695" spans="1:31" ht="15.75" customHeight="1">
      <c r="A695" s="5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5"/>
      <c r="T695" s="5"/>
      <c r="U695" s="5"/>
      <c r="V695" s="5"/>
      <c r="W695" s="5"/>
      <c r="X695" s="5"/>
      <c r="Y695" s="5"/>
      <c r="Z695" s="7"/>
      <c r="AA695" s="5"/>
      <c r="AB695" s="5"/>
      <c r="AC695" s="5"/>
      <c r="AD695" s="5"/>
      <c r="AE695" s="5"/>
    </row>
    <row r="696" spans="1:31" ht="15.75" customHeight="1">
      <c r="A696" s="5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5"/>
      <c r="T696" s="5"/>
      <c r="U696" s="5"/>
      <c r="V696" s="5"/>
      <c r="W696" s="5"/>
      <c r="X696" s="5"/>
      <c r="Y696" s="5"/>
      <c r="Z696" s="7"/>
      <c r="AA696" s="5"/>
      <c r="AB696" s="5"/>
      <c r="AC696" s="5"/>
      <c r="AD696" s="5"/>
      <c r="AE696" s="5"/>
    </row>
    <row r="697" spans="1:31" ht="15.75" customHeight="1">
      <c r="A697" s="5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5"/>
      <c r="T697" s="5"/>
      <c r="U697" s="5"/>
      <c r="V697" s="5"/>
      <c r="W697" s="5"/>
      <c r="X697" s="5"/>
      <c r="Y697" s="5"/>
      <c r="Z697" s="7"/>
      <c r="AA697" s="5"/>
      <c r="AB697" s="5"/>
      <c r="AC697" s="5"/>
      <c r="AD697" s="5"/>
      <c r="AE697" s="5"/>
    </row>
    <row r="698" spans="1:31" ht="15.75" customHeight="1">
      <c r="A698" s="5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5"/>
      <c r="T698" s="5"/>
      <c r="U698" s="5"/>
      <c r="V698" s="5"/>
      <c r="W698" s="5"/>
      <c r="X698" s="5"/>
      <c r="Y698" s="5"/>
      <c r="Z698" s="7"/>
      <c r="AA698" s="5"/>
      <c r="AB698" s="5"/>
      <c r="AC698" s="5"/>
      <c r="AD698" s="5"/>
      <c r="AE698" s="5"/>
    </row>
    <row r="699" spans="1:31" ht="15.75" customHeight="1">
      <c r="A699" s="5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5"/>
      <c r="T699" s="5"/>
      <c r="U699" s="5"/>
      <c r="V699" s="5"/>
      <c r="W699" s="5"/>
      <c r="X699" s="5"/>
      <c r="Y699" s="5"/>
      <c r="Z699" s="7"/>
      <c r="AA699" s="5"/>
      <c r="AB699" s="5"/>
      <c r="AC699" s="5"/>
      <c r="AD699" s="5"/>
      <c r="AE699" s="5"/>
    </row>
    <row r="700" spans="1:31" ht="15.75" customHeight="1">
      <c r="A700" s="5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5"/>
      <c r="T700" s="5"/>
      <c r="U700" s="5"/>
      <c r="V700" s="5"/>
      <c r="W700" s="5"/>
      <c r="X700" s="5"/>
      <c r="Y700" s="5"/>
      <c r="Z700" s="7"/>
      <c r="AA700" s="5"/>
      <c r="AB700" s="5"/>
      <c r="AC700" s="5"/>
      <c r="AD700" s="5"/>
      <c r="AE700" s="5"/>
    </row>
    <row r="701" spans="1:31" ht="15.75" customHeight="1">
      <c r="A701" s="5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5"/>
      <c r="T701" s="5"/>
      <c r="U701" s="5"/>
      <c r="V701" s="5"/>
      <c r="W701" s="5"/>
      <c r="X701" s="5"/>
      <c r="Y701" s="5"/>
      <c r="Z701" s="7"/>
      <c r="AA701" s="5"/>
      <c r="AB701" s="5"/>
      <c r="AC701" s="5"/>
      <c r="AD701" s="5"/>
      <c r="AE701" s="5"/>
    </row>
    <row r="702" spans="1:31" ht="15.75" customHeight="1">
      <c r="A702" s="5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5"/>
      <c r="T702" s="5"/>
      <c r="U702" s="5"/>
      <c r="V702" s="5"/>
      <c r="W702" s="5"/>
      <c r="X702" s="5"/>
      <c r="Y702" s="5"/>
      <c r="Z702" s="7"/>
      <c r="AA702" s="5"/>
      <c r="AB702" s="5"/>
      <c r="AC702" s="5"/>
      <c r="AD702" s="5"/>
      <c r="AE702" s="5"/>
    </row>
    <row r="703" spans="1:31" ht="15.75" customHeight="1">
      <c r="A703" s="5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5"/>
      <c r="T703" s="5"/>
      <c r="U703" s="5"/>
      <c r="V703" s="5"/>
      <c r="W703" s="5"/>
      <c r="X703" s="5"/>
      <c r="Y703" s="5"/>
      <c r="Z703" s="7"/>
      <c r="AA703" s="5"/>
      <c r="AB703" s="5"/>
      <c r="AC703" s="5"/>
      <c r="AD703" s="5"/>
      <c r="AE703" s="5"/>
    </row>
    <row r="704" spans="1:31" ht="15.75" customHeight="1">
      <c r="A704" s="5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5"/>
      <c r="T704" s="5"/>
      <c r="U704" s="5"/>
      <c r="V704" s="5"/>
      <c r="W704" s="5"/>
      <c r="X704" s="5"/>
      <c r="Y704" s="5"/>
      <c r="Z704" s="7"/>
      <c r="AA704" s="5"/>
      <c r="AB704" s="5"/>
      <c r="AC704" s="5"/>
      <c r="AD704" s="5"/>
      <c r="AE704" s="5"/>
    </row>
    <row r="705" spans="1:31" ht="15.75" customHeight="1">
      <c r="A705" s="5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5"/>
      <c r="T705" s="5"/>
      <c r="U705" s="5"/>
      <c r="V705" s="5"/>
      <c r="W705" s="5"/>
      <c r="X705" s="5"/>
      <c r="Y705" s="5"/>
      <c r="Z705" s="7"/>
      <c r="AA705" s="5"/>
      <c r="AB705" s="5"/>
      <c r="AC705" s="5"/>
      <c r="AD705" s="5"/>
      <c r="AE705" s="5"/>
    </row>
    <row r="706" spans="1:31" ht="15.75" customHeight="1">
      <c r="A706" s="5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5"/>
      <c r="T706" s="5"/>
      <c r="U706" s="5"/>
      <c r="V706" s="5"/>
      <c r="W706" s="5"/>
      <c r="X706" s="5"/>
      <c r="Y706" s="5"/>
      <c r="Z706" s="7"/>
      <c r="AA706" s="5"/>
      <c r="AB706" s="5"/>
      <c r="AC706" s="5"/>
      <c r="AD706" s="5"/>
      <c r="AE706" s="5"/>
    </row>
    <row r="707" spans="1:31" ht="15.75" customHeight="1">
      <c r="A707" s="5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5"/>
      <c r="T707" s="5"/>
      <c r="U707" s="5"/>
      <c r="V707" s="5"/>
      <c r="W707" s="5"/>
      <c r="X707" s="5"/>
      <c r="Y707" s="5"/>
      <c r="Z707" s="7"/>
      <c r="AA707" s="5"/>
      <c r="AB707" s="5"/>
      <c r="AC707" s="5"/>
      <c r="AD707" s="5"/>
      <c r="AE707" s="5"/>
    </row>
    <row r="708" spans="1:31" ht="15.75" customHeight="1">
      <c r="A708" s="5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5"/>
      <c r="T708" s="5"/>
      <c r="U708" s="5"/>
      <c r="V708" s="5"/>
      <c r="W708" s="5"/>
      <c r="X708" s="5"/>
      <c r="Y708" s="5"/>
      <c r="Z708" s="7"/>
      <c r="AA708" s="5"/>
      <c r="AB708" s="5"/>
      <c r="AC708" s="5"/>
      <c r="AD708" s="5"/>
      <c r="AE708" s="5"/>
    </row>
    <row r="709" spans="1:31" ht="15.75" customHeight="1">
      <c r="A709" s="5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5"/>
      <c r="T709" s="5"/>
      <c r="U709" s="5"/>
      <c r="V709" s="5"/>
      <c r="W709" s="5"/>
      <c r="X709" s="5"/>
      <c r="Y709" s="5"/>
      <c r="Z709" s="7"/>
      <c r="AA709" s="5"/>
      <c r="AB709" s="5"/>
      <c r="AC709" s="5"/>
      <c r="AD709" s="5"/>
      <c r="AE709" s="5"/>
    </row>
    <row r="710" spans="1:31" ht="15.75" customHeight="1">
      <c r="A710" s="5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5"/>
      <c r="T710" s="5"/>
      <c r="U710" s="5"/>
      <c r="V710" s="5"/>
      <c r="W710" s="5"/>
      <c r="X710" s="5"/>
      <c r="Y710" s="5"/>
      <c r="Z710" s="7"/>
      <c r="AA710" s="5"/>
      <c r="AB710" s="5"/>
      <c r="AC710" s="5"/>
      <c r="AD710" s="5"/>
      <c r="AE710" s="5"/>
    </row>
    <row r="711" spans="1:31" ht="15.75" customHeight="1">
      <c r="A711" s="5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5"/>
      <c r="T711" s="5"/>
      <c r="U711" s="5"/>
      <c r="V711" s="5"/>
      <c r="W711" s="5"/>
      <c r="X711" s="5"/>
      <c r="Y711" s="5"/>
      <c r="Z711" s="7"/>
      <c r="AA711" s="5"/>
      <c r="AB711" s="5"/>
      <c r="AC711" s="5"/>
      <c r="AD711" s="5"/>
      <c r="AE711" s="5"/>
    </row>
    <row r="712" spans="1:31" ht="15.75" customHeight="1">
      <c r="A712" s="5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5"/>
      <c r="T712" s="5"/>
      <c r="U712" s="5"/>
      <c r="V712" s="5"/>
      <c r="W712" s="5"/>
      <c r="X712" s="5"/>
      <c r="Y712" s="5"/>
      <c r="Z712" s="7"/>
      <c r="AA712" s="5"/>
      <c r="AB712" s="5"/>
      <c r="AC712" s="5"/>
      <c r="AD712" s="5"/>
      <c r="AE712" s="5"/>
    </row>
    <row r="713" spans="1:31" ht="15.75" customHeight="1">
      <c r="A713" s="5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5"/>
      <c r="T713" s="5"/>
      <c r="U713" s="5"/>
      <c r="V713" s="5"/>
      <c r="W713" s="5"/>
      <c r="X713" s="5"/>
      <c r="Y713" s="5"/>
      <c r="Z713" s="7"/>
      <c r="AA713" s="5"/>
      <c r="AB713" s="5"/>
      <c r="AC713" s="5"/>
      <c r="AD713" s="5"/>
      <c r="AE713" s="5"/>
    </row>
    <row r="714" spans="1:31" ht="15.75" customHeight="1">
      <c r="A714" s="5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5"/>
      <c r="T714" s="5"/>
      <c r="U714" s="5"/>
      <c r="V714" s="5"/>
      <c r="W714" s="5"/>
      <c r="X714" s="5"/>
      <c r="Y714" s="5"/>
      <c r="Z714" s="7"/>
      <c r="AA714" s="5"/>
      <c r="AB714" s="5"/>
      <c r="AC714" s="5"/>
      <c r="AD714" s="5"/>
      <c r="AE714" s="5"/>
    </row>
    <row r="715" spans="1:31" ht="15.75" customHeight="1">
      <c r="A715" s="5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5"/>
      <c r="T715" s="5"/>
      <c r="U715" s="5"/>
      <c r="V715" s="5"/>
      <c r="W715" s="5"/>
      <c r="X715" s="5"/>
      <c r="Y715" s="5"/>
      <c r="Z715" s="7"/>
      <c r="AA715" s="5"/>
      <c r="AB715" s="5"/>
      <c r="AC715" s="5"/>
      <c r="AD715" s="5"/>
      <c r="AE715" s="5"/>
    </row>
    <row r="716" spans="1:31" ht="15.75" customHeight="1">
      <c r="A716" s="5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5"/>
      <c r="T716" s="5"/>
      <c r="U716" s="5"/>
      <c r="V716" s="5"/>
      <c r="W716" s="5"/>
      <c r="X716" s="5"/>
      <c r="Y716" s="5"/>
      <c r="Z716" s="7"/>
      <c r="AA716" s="5"/>
      <c r="AB716" s="5"/>
      <c r="AC716" s="5"/>
      <c r="AD716" s="5"/>
      <c r="AE716" s="5"/>
    </row>
    <row r="717" spans="1:31" ht="15.75" customHeight="1">
      <c r="A717" s="5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5"/>
      <c r="T717" s="5"/>
      <c r="U717" s="5"/>
      <c r="V717" s="5"/>
      <c r="W717" s="5"/>
      <c r="X717" s="5"/>
      <c r="Y717" s="5"/>
      <c r="Z717" s="7"/>
      <c r="AA717" s="5"/>
      <c r="AB717" s="5"/>
      <c r="AC717" s="5"/>
      <c r="AD717" s="5"/>
      <c r="AE717" s="5"/>
    </row>
    <row r="718" spans="1:31" ht="15.75" customHeight="1">
      <c r="A718" s="5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5"/>
      <c r="T718" s="5"/>
      <c r="U718" s="5"/>
      <c r="V718" s="5"/>
      <c r="W718" s="5"/>
      <c r="X718" s="5"/>
      <c r="Y718" s="5"/>
      <c r="Z718" s="7"/>
      <c r="AA718" s="5"/>
      <c r="AB718" s="5"/>
      <c r="AC718" s="5"/>
      <c r="AD718" s="5"/>
      <c r="AE718" s="5"/>
    </row>
    <row r="719" spans="1:31" ht="15.75" customHeight="1">
      <c r="A719" s="5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5"/>
      <c r="T719" s="5"/>
      <c r="U719" s="5"/>
      <c r="V719" s="5"/>
      <c r="W719" s="5"/>
      <c r="X719" s="5"/>
      <c r="Y719" s="5"/>
      <c r="Z719" s="7"/>
      <c r="AA719" s="5"/>
      <c r="AB719" s="5"/>
      <c r="AC719" s="5"/>
      <c r="AD719" s="5"/>
      <c r="AE719" s="5"/>
    </row>
    <row r="720" spans="1:31" ht="15.75" customHeight="1">
      <c r="A720" s="5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5"/>
      <c r="T720" s="5"/>
      <c r="U720" s="5"/>
      <c r="V720" s="5"/>
      <c r="W720" s="5"/>
      <c r="X720" s="5"/>
      <c r="Y720" s="5"/>
      <c r="Z720" s="7"/>
      <c r="AA720" s="5"/>
      <c r="AB720" s="5"/>
      <c r="AC720" s="5"/>
      <c r="AD720" s="5"/>
      <c r="AE720" s="5"/>
    </row>
    <row r="721" spans="1:31" ht="15.75" customHeight="1">
      <c r="A721" s="5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5"/>
      <c r="T721" s="5"/>
      <c r="U721" s="5"/>
      <c r="V721" s="5"/>
      <c r="W721" s="5"/>
      <c r="X721" s="5"/>
      <c r="Y721" s="5"/>
      <c r="Z721" s="7"/>
      <c r="AA721" s="5"/>
      <c r="AB721" s="5"/>
      <c r="AC721" s="5"/>
      <c r="AD721" s="5"/>
      <c r="AE721" s="5"/>
    </row>
    <row r="722" spans="1:31" ht="15.75" customHeight="1">
      <c r="A722" s="5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5"/>
      <c r="T722" s="5"/>
      <c r="U722" s="5"/>
      <c r="V722" s="5"/>
      <c r="W722" s="5"/>
      <c r="X722" s="5"/>
      <c r="Y722" s="5"/>
      <c r="Z722" s="7"/>
      <c r="AA722" s="5"/>
      <c r="AB722" s="5"/>
      <c r="AC722" s="5"/>
      <c r="AD722" s="5"/>
      <c r="AE722" s="5"/>
    </row>
    <row r="723" spans="1:31" ht="15.75" customHeight="1">
      <c r="A723" s="5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5"/>
      <c r="T723" s="5"/>
      <c r="U723" s="5"/>
      <c r="V723" s="5"/>
      <c r="W723" s="5"/>
      <c r="X723" s="5"/>
      <c r="Y723" s="5"/>
      <c r="Z723" s="7"/>
      <c r="AA723" s="5"/>
      <c r="AB723" s="5"/>
      <c r="AC723" s="5"/>
      <c r="AD723" s="5"/>
      <c r="AE723" s="5"/>
    </row>
    <row r="724" spans="1:31" ht="15.75" customHeight="1">
      <c r="A724" s="5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5"/>
      <c r="T724" s="5"/>
      <c r="U724" s="5"/>
      <c r="V724" s="5"/>
      <c r="W724" s="5"/>
      <c r="X724" s="5"/>
      <c r="Y724" s="5"/>
      <c r="Z724" s="7"/>
      <c r="AA724" s="5"/>
      <c r="AB724" s="5"/>
      <c r="AC724" s="5"/>
      <c r="AD724" s="5"/>
      <c r="AE724" s="5"/>
    </row>
    <row r="725" spans="1:31" ht="15.75" customHeight="1">
      <c r="A725" s="5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5"/>
      <c r="T725" s="5"/>
      <c r="U725" s="5"/>
      <c r="V725" s="5"/>
      <c r="W725" s="5"/>
      <c r="X725" s="5"/>
      <c r="Y725" s="5"/>
      <c r="Z725" s="7"/>
      <c r="AA725" s="5"/>
      <c r="AB725" s="5"/>
      <c r="AC725" s="5"/>
      <c r="AD725" s="5"/>
      <c r="AE725" s="5"/>
    </row>
    <row r="726" spans="1:31" ht="15.75" customHeight="1">
      <c r="A726" s="5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5"/>
      <c r="T726" s="5"/>
      <c r="U726" s="5"/>
      <c r="V726" s="5"/>
      <c r="W726" s="5"/>
      <c r="X726" s="5"/>
      <c r="Y726" s="5"/>
      <c r="Z726" s="7"/>
      <c r="AA726" s="5"/>
      <c r="AB726" s="5"/>
      <c r="AC726" s="5"/>
      <c r="AD726" s="5"/>
      <c r="AE726" s="5"/>
    </row>
    <row r="727" spans="1:31" ht="15.75" customHeight="1">
      <c r="A727" s="5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5"/>
      <c r="T727" s="5"/>
      <c r="U727" s="5"/>
      <c r="V727" s="5"/>
      <c r="W727" s="5"/>
      <c r="X727" s="5"/>
      <c r="Y727" s="5"/>
      <c r="Z727" s="7"/>
      <c r="AA727" s="5"/>
      <c r="AB727" s="5"/>
      <c r="AC727" s="5"/>
      <c r="AD727" s="5"/>
      <c r="AE727" s="5"/>
    </row>
    <row r="728" spans="1:31" ht="15.75" customHeight="1">
      <c r="A728" s="5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5"/>
      <c r="T728" s="5"/>
      <c r="U728" s="5"/>
      <c r="V728" s="5"/>
      <c r="W728" s="5"/>
      <c r="X728" s="5"/>
      <c r="Y728" s="5"/>
      <c r="Z728" s="7"/>
      <c r="AA728" s="5"/>
      <c r="AB728" s="5"/>
      <c r="AC728" s="5"/>
      <c r="AD728" s="5"/>
      <c r="AE728" s="5"/>
    </row>
    <row r="729" spans="1:31" ht="15.75" customHeight="1">
      <c r="A729" s="5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5"/>
      <c r="T729" s="5"/>
      <c r="U729" s="5"/>
      <c r="V729" s="5"/>
      <c r="W729" s="5"/>
      <c r="X729" s="5"/>
      <c r="Y729" s="5"/>
      <c r="Z729" s="7"/>
      <c r="AA729" s="5"/>
      <c r="AB729" s="5"/>
      <c r="AC729" s="5"/>
      <c r="AD729" s="5"/>
      <c r="AE729" s="5"/>
    </row>
    <row r="730" spans="1:31" ht="15.75" customHeight="1">
      <c r="A730" s="5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5"/>
      <c r="T730" s="5"/>
      <c r="U730" s="5"/>
      <c r="V730" s="5"/>
      <c r="W730" s="5"/>
      <c r="X730" s="5"/>
      <c r="Y730" s="5"/>
      <c r="Z730" s="7"/>
      <c r="AA730" s="5"/>
      <c r="AB730" s="5"/>
      <c r="AC730" s="5"/>
      <c r="AD730" s="5"/>
      <c r="AE730" s="5"/>
    </row>
    <row r="731" spans="1:31" ht="15.75" customHeight="1">
      <c r="A731" s="5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5"/>
      <c r="T731" s="5"/>
      <c r="U731" s="5"/>
      <c r="V731" s="5"/>
      <c r="W731" s="5"/>
      <c r="X731" s="5"/>
      <c r="Y731" s="5"/>
      <c r="Z731" s="7"/>
      <c r="AA731" s="5"/>
      <c r="AB731" s="5"/>
      <c r="AC731" s="5"/>
      <c r="AD731" s="5"/>
      <c r="AE731" s="5"/>
    </row>
    <row r="732" spans="1:31" ht="15.75" customHeight="1">
      <c r="A732" s="5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5"/>
      <c r="T732" s="5"/>
      <c r="U732" s="5"/>
      <c r="V732" s="5"/>
      <c r="W732" s="5"/>
      <c r="X732" s="5"/>
      <c r="Y732" s="5"/>
      <c r="Z732" s="7"/>
      <c r="AA732" s="5"/>
      <c r="AB732" s="5"/>
      <c r="AC732" s="5"/>
      <c r="AD732" s="5"/>
      <c r="AE732" s="5"/>
    </row>
    <row r="733" spans="1:31" ht="15.75" customHeight="1">
      <c r="A733" s="5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5"/>
      <c r="T733" s="5"/>
      <c r="U733" s="5"/>
      <c r="V733" s="5"/>
      <c r="W733" s="5"/>
      <c r="X733" s="5"/>
      <c r="Y733" s="5"/>
      <c r="Z733" s="7"/>
      <c r="AA733" s="5"/>
      <c r="AB733" s="5"/>
      <c r="AC733" s="5"/>
      <c r="AD733" s="5"/>
      <c r="AE733" s="5"/>
    </row>
    <row r="734" spans="1:31" ht="15.75" customHeight="1">
      <c r="A734" s="5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5"/>
      <c r="T734" s="5"/>
      <c r="U734" s="5"/>
      <c r="V734" s="5"/>
      <c r="W734" s="5"/>
      <c r="X734" s="5"/>
      <c r="Y734" s="5"/>
      <c r="Z734" s="7"/>
      <c r="AA734" s="5"/>
      <c r="AB734" s="5"/>
      <c r="AC734" s="5"/>
      <c r="AD734" s="5"/>
      <c r="AE734" s="5"/>
    </row>
    <row r="735" spans="1:31" ht="15.75" customHeight="1">
      <c r="A735" s="5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5"/>
      <c r="T735" s="5"/>
      <c r="U735" s="5"/>
      <c r="V735" s="5"/>
      <c r="W735" s="5"/>
      <c r="X735" s="5"/>
      <c r="Y735" s="5"/>
      <c r="Z735" s="7"/>
      <c r="AA735" s="5"/>
      <c r="AB735" s="5"/>
      <c r="AC735" s="5"/>
      <c r="AD735" s="5"/>
      <c r="AE735" s="5"/>
    </row>
    <row r="736" spans="1:31" ht="15.75" customHeight="1">
      <c r="A736" s="5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5"/>
      <c r="T736" s="5"/>
      <c r="U736" s="5"/>
      <c r="V736" s="5"/>
      <c r="W736" s="5"/>
      <c r="X736" s="5"/>
      <c r="Y736" s="5"/>
      <c r="Z736" s="7"/>
      <c r="AA736" s="5"/>
      <c r="AB736" s="5"/>
      <c r="AC736" s="5"/>
      <c r="AD736" s="5"/>
      <c r="AE736" s="5"/>
    </row>
    <row r="737" spans="1:31" ht="15.75" customHeight="1">
      <c r="A737" s="5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5"/>
      <c r="T737" s="5"/>
      <c r="U737" s="5"/>
      <c r="V737" s="5"/>
      <c r="W737" s="5"/>
      <c r="X737" s="5"/>
      <c r="Y737" s="5"/>
      <c r="Z737" s="7"/>
      <c r="AA737" s="5"/>
      <c r="AB737" s="5"/>
      <c r="AC737" s="5"/>
      <c r="AD737" s="5"/>
      <c r="AE737" s="5"/>
    </row>
    <row r="738" spans="1:31" ht="15.75" customHeight="1">
      <c r="A738" s="5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5"/>
      <c r="T738" s="5"/>
      <c r="U738" s="5"/>
      <c r="V738" s="5"/>
      <c r="W738" s="5"/>
      <c r="X738" s="5"/>
      <c r="Y738" s="5"/>
      <c r="Z738" s="7"/>
      <c r="AA738" s="5"/>
      <c r="AB738" s="5"/>
      <c r="AC738" s="5"/>
      <c r="AD738" s="5"/>
      <c r="AE738" s="5"/>
    </row>
    <row r="739" spans="1:31" ht="15.75" customHeight="1">
      <c r="A739" s="5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5"/>
      <c r="T739" s="5"/>
      <c r="U739" s="5"/>
      <c r="V739" s="5"/>
      <c r="W739" s="5"/>
      <c r="X739" s="5"/>
      <c r="Y739" s="5"/>
      <c r="Z739" s="7"/>
      <c r="AA739" s="5"/>
      <c r="AB739" s="5"/>
      <c r="AC739" s="5"/>
      <c r="AD739" s="5"/>
      <c r="AE739" s="5"/>
    </row>
    <row r="740" spans="1:31" ht="15.75" customHeight="1">
      <c r="A740" s="5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5"/>
      <c r="T740" s="5"/>
      <c r="U740" s="5"/>
      <c r="V740" s="5"/>
      <c r="W740" s="5"/>
      <c r="X740" s="5"/>
      <c r="Y740" s="5"/>
      <c r="Z740" s="7"/>
      <c r="AA740" s="5"/>
      <c r="AB740" s="5"/>
      <c r="AC740" s="5"/>
      <c r="AD740" s="5"/>
      <c r="AE740" s="5"/>
    </row>
    <row r="741" spans="1:31" ht="15.75" customHeight="1">
      <c r="A741" s="5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5"/>
      <c r="T741" s="5"/>
      <c r="U741" s="5"/>
      <c r="V741" s="5"/>
      <c r="W741" s="5"/>
      <c r="X741" s="5"/>
      <c r="Y741" s="5"/>
      <c r="Z741" s="7"/>
      <c r="AA741" s="5"/>
      <c r="AB741" s="5"/>
      <c r="AC741" s="5"/>
      <c r="AD741" s="5"/>
      <c r="AE741" s="5"/>
    </row>
    <row r="742" spans="1:31" ht="15.75" customHeight="1">
      <c r="A742" s="5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5"/>
      <c r="T742" s="5"/>
      <c r="U742" s="5"/>
      <c r="V742" s="5"/>
      <c r="W742" s="5"/>
      <c r="X742" s="5"/>
      <c r="Y742" s="5"/>
      <c r="Z742" s="7"/>
      <c r="AA742" s="5"/>
      <c r="AB742" s="5"/>
      <c r="AC742" s="5"/>
      <c r="AD742" s="5"/>
      <c r="AE742" s="5"/>
    </row>
    <row r="743" spans="1:31" ht="15.75" customHeight="1">
      <c r="A743" s="5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5"/>
      <c r="T743" s="5"/>
      <c r="U743" s="5"/>
      <c r="V743" s="5"/>
      <c r="W743" s="5"/>
      <c r="X743" s="5"/>
      <c r="Y743" s="5"/>
      <c r="Z743" s="7"/>
      <c r="AA743" s="5"/>
      <c r="AB743" s="5"/>
      <c r="AC743" s="5"/>
      <c r="AD743" s="5"/>
      <c r="AE743" s="5"/>
    </row>
    <row r="744" spans="1:31" ht="15.75" customHeight="1">
      <c r="A744" s="5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5"/>
      <c r="T744" s="5"/>
      <c r="U744" s="5"/>
      <c r="V744" s="5"/>
      <c r="W744" s="5"/>
      <c r="X744" s="5"/>
      <c r="Y744" s="5"/>
      <c r="Z744" s="7"/>
      <c r="AA744" s="5"/>
      <c r="AB744" s="5"/>
      <c r="AC744" s="5"/>
      <c r="AD744" s="5"/>
      <c r="AE744" s="5"/>
    </row>
    <row r="745" spans="1:31" ht="15.75" customHeight="1">
      <c r="A745" s="5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5"/>
      <c r="T745" s="5"/>
      <c r="U745" s="5"/>
      <c r="V745" s="5"/>
      <c r="W745" s="5"/>
      <c r="X745" s="5"/>
      <c r="Y745" s="5"/>
      <c r="Z745" s="7"/>
      <c r="AA745" s="5"/>
      <c r="AB745" s="5"/>
      <c r="AC745" s="5"/>
      <c r="AD745" s="5"/>
      <c r="AE745" s="5"/>
    </row>
    <row r="746" spans="1:31" ht="15.75" customHeight="1">
      <c r="A746" s="5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5"/>
      <c r="T746" s="5"/>
      <c r="U746" s="5"/>
      <c r="V746" s="5"/>
      <c r="W746" s="5"/>
      <c r="X746" s="5"/>
      <c r="Y746" s="5"/>
      <c r="Z746" s="7"/>
      <c r="AA746" s="5"/>
      <c r="AB746" s="5"/>
      <c r="AC746" s="5"/>
      <c r="AD746" s="5"/>
      <c r="AE746" s="5"/>
    </row>
    <row r="747" spans="1:31" ht="15.75" customHeight="1">
      <c r="A747" s="5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5"/>
      <c r="T747" s="5"/>
      <c r="U747" s="5"/>
      <c r="V747" s="5"/>
      <c r="W747" s="5"/>
      <c r="X747" s="5"/>
      <c r="Y747" s="5"/>
      <c r="Z747" s="7"/>
      <c r="AA747" s="5"/>
      <c r="AB747" s="5"/>
      <c r="AC747" s="5"/>
      <c r="AD747" s="5"/>
      <c r="AE747" s="5"/>
    </row>
    <row r="748" spans="1:31" ht="15.75" customHeight="1">
      <c r="A748" s="5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5"/>
      <c r="T748" s="5"/>
      <c r="U748" s="5"/>
      <c r="V748" s="5"/>
      <c r="W748" s="5"/>
      <c r="X748" s="5"/>
      <c r="Y748" s="5"/>
      <c r="Z748" s="7"/>
      <c r="AA748" s="5"/>
      <c r="AB748" s="5"/>
      <c r="AC748" s="5"/>
      <c r="AD748" s="5"/>
      <c r="AE748" s="5"/>
    </row>
    <row r="749" spans="1:31" ht="15.75" customHeight="1">
      <c r="A749" s="5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5"/>
      <c r="T749" s="5"/>
      <c r="U749" s="5"/>
      <c r="V749" s="5"/>
      <c r="W749" s="5"/>
      <c r="X749" s="5"/>
      <c r="Y749" s="5"/>
      <c r="Z749" s="7"/>
      <c r="AA749" s="5"/>
      <c r="AB749" s="5"/>
      <c r="AC749" s="5"/>
      <c r="AD749" s="5"/>
      <c r="AE749" s="5"/>
    </row>
    <row r="750" spans="1:31" ht="15.75" customHeight="1">
      <c r="A750" s="5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5"/>
      <c r="T750" s="5"/>
      <c r="U750" s="5"/>
      <c r="V750" s="5"/>
      <c r="W750" s="5"/>
      <c r="X750" s="5"/>
      <c r="Y750" s="5"/>
      <c r="Z750" s="7"/>
      <c r="AA750" s="5"/>
      <c r="AB750" s="5"/>
      <c r="AC750" s="5"/>
      <c r="AD750" s="5"/>
      <c r="AE750" s="5"/>
    </row>
    <row r="751" spans="1:31" ht="15.75" customHeight="1">
      <c r="A751" s="5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5"/>
      <c r="T751" s="5"/>
      <c r="U751" s="5"/>
      <c r="V751" s="5"/>
      <c r="W751" s="5"/>
      <c r="X751" s="5"/>
      <c r="Y751" s="5"/>
      <c r="Z751" s="7"/>
      <c r="AA751" s="5"/>
      <c r="AB751" s="5"/>
      <c r="AC751" s="5"/>
      <c r="AD751" s="5"/>
      <c r="AE751" s="5"/>
    </row>
    <row r="752" spans="1:31" ht="15.75" customHeight="1">
      <c r="A752" s="5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5"/>
      <c r="T752" s="5"/>
      <c r="U752" s="5"/>
      <c r="V752" s="5"/>
      <c r="W752" s="5"/>
      <c r="X752" s="5"/>
      <c r="Y752" s="5"/>
      <c r="Z752" s="7"/>
      <c r="AA752" s="5"/>
      <c r="AB752" s="5"/>
      <c r="AC752" s="5"/>
      <c r="AD752" s="5"/>
      <c r="AE752" s="5"/>
    </row>
    <row r="753" spans="1:31" ht="15.75" customHeight="1">
      <c r="A753" s="5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5"/>
      <c r="T753" s="5"/>
      <c r="U753" s="5"/>
      <c r="V753" s="5"/>
      <c r="W753" s="5"/>
      <c r="X753" s="5"/>
      <c r="Y753" s="5"/>
      <c r="Z753" s="7"/>
      <c r="AA753" s="5"/>
      <c r="AB753" s="5"/>
      <c r="AC753" s="5"/>
      <c r="AD753" s="5"/>
      <c r="AE753" s="5"/>
    </row>
    <row r="754" spans="1:31" ht="15.75" customHeight="1">
      <c r="A754" s="5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5"/>
      <c r="T754" s="5"/>
      <c r="U754" s="5"/>
      <c r="V754" s="5"/>
      <c r="W754" s="5"/>
      <c r="X754" s="5"/>
      <c r="Y754" s="5"/>
      <c r="Z754" s="7"/>
      <c r="AA754" s="5"/>
      <c r="AB754" s="5"/>
      <c r="AC754" s="5"/>
      <c r="AD754" s="5"/>
      <c r="AE754" s="5"/>
    </row>
    <row r="755" spans="1:31" ht="15.75" customHeight="1">
      <c r="A755" s="5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5"/>
      <c r="T755" s="5"/>
      <c r="U755" s="5"/>
      <c r="V755" s="5"/>
      <c r="W755" s="5"/>
      <c r="X755" s="5"/>
      <c r="Y755" s="5"/>
      <c r="Z755" s="7"/>
      <c r="AA755" s="5"/>
      <c r="AB755" s="5"/>
      <c r="AC755" s="5"/>
      <c r="AD755" s="5"/>
      <c r="AE755" s="5"/>
    </row>
    <row r="756" spans="1:31" ht="15.75" customHeight="1">
      <c r="A756" s="5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5"/>
      <c r="T756" s="5"/>
      <c r="U756" s="5"/>
      <c r="V756" s="5"/>
      <c r="W756" s="5"/>
      <c r="X756" s="5"/>
      <c r="Y756" s="5"/>
      <c r="Z756" s="7"/>
      <c r="AA756" s="5"/>
      <c r="AB756" s="5"/>
      <c r="AC756" s="5"/>
      <c r="AD756" s="5"/>
      <c r="AE756" s="5"/>
    </row>
    <row r="757" spans="1:31" ht="15.75" customHeight="1">
      <c r="A757" s="5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5"/>
      <c r="T757" s="5"/>
      <c r="U757" s="5"/>
      <c r="V757" s="5"/>
      <c r="W757" s="5"/>
      <c r="X757" s="5"/>
      <c r="Y757" s="5"/>
      <c r="Z757" s="7"/>
      <c r="AA757" s="5"/>
      <c r="AB757" s="5"/>
      <c r="AC757" s="5"/>
      <c r="AD757" s="5"/>
      <c r="AE757" s="5"/>
    </row>
    <row r="758" spans="1:31" ht="15.75" customHeight="1">
      <c r="A758" s="5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5"/>
      <c r="T758" s="5"/>
      <c r="U758" s="5"/>
      <c r="V758" s="5"/>
      <c r="W758" s="5"/>
      <c r="X758" s="5"/>
      <c r="Y758" s="5"/>
      <c r="Z758" s="7"/>
      <c r="AA758" s="5"/>
      <c r="AB758" s="5"/>
      <c r="AC758" s="5"/>
      <c r="AD758" s="5"/>
      <c r="AE758" s="5"/>
    </row>
    <row r="759" spans="1:31" ht="15.75" customHeight="1">
      <c r="A759" s="5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5"/>
      <c r="T759" s="5"/>
      <c r="U759" s="5"/>
      <c r="V759" s="5"/>
      <c r="W759" s="5"/>
      <c r="X759" s="5"/>
      <c r="Y759" s="5"/>
      <c r="Z759" s="7"/>
      <c r="AA759" s="5"/>
      <c r="AB759" s="5"/>
      <c r="AC759" s="5"/>
      <c r="AD759" s="5"/>
      <c r="AE759" s="5"/>
    </row>
    <row r="760" spans="1:31" ht="15.75" customHeight="1">
      <c r="A760" s="5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5"/>
      <c r="T760" s="5"/>
      <c r="U760" s="5"/>
      <c r="V760" s="5"/>
      <c r="W760" s="5"/>
      <c r="X760" s="5"/>
      <c r="Y760" s="5"/>
      <c r="Z760" s="7"/>
      <c r="AA760" s="5"/>
      <c r="AB760" s="5"/>
      <c r="AC760" s="5"/>
      <c r="AD760" s="5"/>
      <c r="AE760" s="5"/>
    </row>
    <row r="761" spans="1:31" ht="15.75" customHeight="1">
      <c r="A761" s="5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5"/>
      <c r="T761" s="5"/>
      <c r="U761" s="5"/>
      <c r="V761" s="5"/>
      <c r="W761" s="5"/>
      <c r="X761" s="5"/>
      <c r="Y761" s="5"/>
      <c r="Z761" s="7"/>
      <c r="AA761" s="5"/>
      <c r="AB761" s="5"/>
      <c r="AC761" s="5"/>
      <c r="AD761" s="5"/>
      <c r="AE761" s="5"/>
    </row>
    <row r="762" spans="1:31" ht="15.75" customHeight="1">
      <c r="A762" s="5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5"/>
      <c r="T762" s="5"/>
      <c r="U762" s="5"/>
      <c r="V762" s="5"/>
      <c r="W762" s="5"/>
      <c r="X762" s="5"/>
      <c r="Y762" s="5"/>
      <c r="Z762" s="7"/>
      <c r="AA762" s="5"/>
      <c r="AB762" s="5"/>
      <c r="AC762" s="5"/>
      <c r="AD762" s="5"/>
      <c r="AE762" s="5"/>
    </row>
    <row r="763" spans="1:31" ht="15.75" customHeight="1">
      <c r="A763" s="5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5"/>
      <c r="T763" s="5"/>
      <c r="U763" s="5"/>
      <c r="V763" s="5"/>
      <c r="W763" s="5"/>
      <c r="X763" s="5"/>
      <c r="Y763" s="5"/>
      <c r="Z763" s="7"/>
      <c r="AA763" s="5"/>
      <c r="AB763" s="5"/>
      <c r="AC763" s="5"/>
      <c r="AD763" s="5"/>
      <c r="AE763" s="5"/>
    </row>
    <row r="764" spans="1:31" ht="15.75" customHeight="1">
      <c r="A764" s="5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5"/>
      <c r="T764" s="5"/>
      <c r="U764" s="5"/>
      <c r="V764" s="5"/>
      <c r="W764" s="5"/>
      <c r="X764" s="5"/>
      <c r="Y764" s="5"/>
      <c r="Z764" s="7"/>
      <c r="AA764" s="5"/>
      <c r="AB764" s="5"/>
      <c r="AC764" s="5"/>
      <c r="AD764" s="5"/>
      <c r="AE764" s="5"/>
    </row>
    <row r="765" spans="1:31" ht="15.75" customHeight="1">
      <c r="A765" s="5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5"/>
      <c r="T765" s="5"/>
      <c r="U765" s="5"/>
      <c r="V765" s="5"/>
      <c r="W765" s="5"/>
      <c r="X765" s="5"/>
      <c r="Y765" s="5"/>
      <c r="Z765" s="7"/>
      <c r="AA765" s="5"/>
      <c r="AB765" s="5"/>
      <c r="AC765" s="5"/>
      <c r="AD765" s="5"/>
      <c r="AE765" s="5"/>
    </row>
    <row r="766" spans="1:31" ht="15.75" customHeight="1">
      <c r="A766" s="5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5"/>
      <c r="T766" s="5"/>
      <c r="U766" s="5"/>
      <c r="V766" s="5"/>
      <c r="W766" s="5"/>
      <c r="X766" s="5"/>
      <c r="Y766" s="5"/>
      <c r="Z766" s="7"/>
      <c r="AA766" s="5"/>
      <c r="AB766" s="5"/>
      <c r="AC766" s="5"/>
      <c r="AD766" s="5"/>
      <c r="AE766" s="5"/>
    </row>
    <row r="767" spans="1:31" ht="15.75" customHeight="1">
      <c r="A767" s="5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5"/>
      <c r="T767" s="5"/>
      <c r="U767" s="5"/>
      <c r="V767" s="5"/>
      <c r="W767" s="5"/>
      <c r="X767" s="5"/>
      <c r="Y767" s="5"/>
      <c r="Z767" s="7"/>
      <c r="AA767" s="5"/>
      <c r="AB767" s="5"/>
      <c r="AC767" s="5"/>
      <c r="AD767" s="5"/>
      <c r="AE767" s="5"/>
    </row>
    <row r="768" spans="1:31" ht="15.75" customHeight="1">
      <c r="A768" s="5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5"/>
      <c r="T768" s="5"/>
      <c r="U768" s="5"/>
      <c r="V768" s="5"/>
      <c r="W768" s="5"/>
      <c r="X768" s="5"/>
      <c r="Y768" s="5"/>
      <c r="Z768" s="7"/>
      <c r="AA768" s="5"/>
      <c r="AB768" s="5"/>
      <c r="AC768" s="5"/>
      <c r="AD768" s="5"/>
      <c r="AE768" s="5"/>
    </row>
    <row r="769" spans="1:31" ht="15.75" customHeight="1">
      <c r="A769" s="5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5"/>
      <c r="T769" s="5"/>
      <c r="U769" s="5"/>
      <c r="V769" s="5"/>
      <c r="W769" s="5"/>
      <c r="X769" s="5"/>
      <c r="Y769" s="5"/>
      <c r="Z769" s="7"/>
      <c r="AA769" s="5"/>
      <c r="AB769" s="5"/>
      <c r="AC769" s="5"/>
      <c r="AD769" s="5"/>
      <c r="AE769" s="5"/>
    </row>
    <row r="770" spans="1:31" ht="15.75" customHeight="1">
      <c r="A770" s="5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5"/>
      <c r="T770" s="5"/>
      <c r="U770" s="5"/>
      <c r="V770" s="5"/>
      <c r="W770" s="5"/>
      <c r="X770" s="5"/>
      <c r="Y770" s="5"/>
      <c r="Z770" s="7"/>
      <c r="AA770" s="5"/>
      <c r="AB770" s="5"/>
      <c r="AC770" s="5"/>
      <c r="AD770" s="5"/>
      <c r="AE770" s="5"/>
    </row>
    <row r="771" spans="1:31" ht="15.75" customHeight="1">
      <c r="A771" s="5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5"/>
      <c r="T771" s="5"/>
      <c r="U771" s="5"/>
      <c r="V771" s="5"/>
      <c r="W771" s="5"/>
      <c r="X771" s="5"/>
      <c r="Y771" s="5"/>
      <c r="Z771" s="7"/>
      <c r="AA771" s="5"/>
      <c r="AB771" s="5"/>
      <c r="AC771" s="5"/>
      <c r="AD771" s="5"/>
      <c r="AE771" s="5"/>
    </row>
    <row r="772" spans="1:31" ht="15.75" customHeight="1">
      <c r="A772" s="5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5"/>
      <c r="T772" s="5"/>
      <c r="U772" s="5"/>
      <c r="V772" s="5"/>
      <c r="W772" s="5"/>
      <c r="X772" s="5"/>
      <c r="Y772" s="5"/>
      <c r="Z772" s="7"/>
      <c r="AA772" s="5"/>
      <c r="AB772" s="5"/>
      <c r="AC772" s="5"/>
      <c r="AD772" s="5"/>
      <c r="AE772" s="5"/>
    </row>
    <row r="773" spans="1:31" ht="15.75" customHeight="1">
      <c r="A773" s="5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5"/>
      <c r="T773" s="5"/>
      <c r="U773" s="5"/>
      <c r="V773" s="5"/>
      <c r="W773" s="5"/>
      <c r="X773" s="5"/>
      <c r="Y773" s="5"/>
      <c r="Z773" s="7"/>
      <c r="AA773" s="5"/>
      <c r="AB773" s="5"/>
      <c r="AC773" s="5"/>
      <c r="AD773" s="5"/>
      <c r="AE773" s="5"/>
    </row>
    <row r="774" spans="1:31" ht="15.75" customHeight="1">
      <c r="A774" s="5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5"/>
      <c r="T774" s="5"/>
      <c r="U774" s="5"/>
      <c r="V774" s="5"/>
      <c r="W774" s="5"/>
      <c r="X774" s="5"/>
      <c r="Y774" s="5"/>
      <c r="Z774" s="7"/>
      <c r="AA774" s="5"/>
      <c r="AB774" s="5"/>
      <c r="AC774" s="5"/>
      <c r="AD774" s="5"/>
      <c r="AE774" s="5"/>
    </row>
    <row r="775" spans="1:31" ht="15.75" customHeight="1">
      <c r="A775" s="5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5"/>
      <c r="T775" s="5"/>
      <c r="U775" s="5"/>
      <c r="V775" s="5"/>
      <c r="W775" s="5"/>
      <c r="X775" s="5"/>
      <c r="Y775" s="5"/>
      <c r="Z775" s="7"/>
      <c r="AA775" s="5"/>
      <c r="AB775" s="5"/>
      <c r="AC775" s="5"/>
      <c r="AD775" s="5"/>
      <c r="AE775" s="5"/>
    </row>
    <row r="776" spans="1:31" ht="15.75" customHeight="1">
      <c r="A776" s="5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5"/>
      <c r="T776" s="5"/>
      <c r="U776" s="5"/>
      <c r="V776" s="5"/>
      <c r="W776" s="5"/>
      <c r="X776" s="5"/>
      <c r="Y776" s="5"/>
      <c r="Z776" s="7"/>
      <c r="AA776" s="5"/>
      <c r="AB776" s="5"/>
      <c r="AC776" s="5"/>
      <c r="AD776" s="5"/>
      <c r="AE776" s="5"/>
    </row>
    <row r="777" spans="1:31" ht="15.75" customHeight="1">
      <c r="A777" s="5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5"/>
      <c r="T777" s="5"/>
      <c r="U777" s="5"/>
      <c r="V777" s="5"/>
      <c r="W777" s="5"/>
      <c r="X777" s="5"/>
      <c r="Y777" s="5"/>
      <c r="Z777" s="7"/>
      <c r="AA777" s="5"/>
      <c r="AB777" s="5"/>
      <c r="AC777" s="5"/>
      <c r="AD777" s="5"/>
      <c r="AE777" s="5"/>
    </row>
    <row r="778" spans="1:31" ht="15.75" customHeight="1">
      <c r="A778" s="5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5"/>
      <c r="T778" s="5"/>
      <c r="U778" s="5"/>
      <c r="V778" s="5"/>
      <c r="W778" s="5"/>
      <c r="X778" s="5"/>
      <c r="Y778" s="5"/>
      <c r="Z778" s="7"/>
      <c r="AA778" s="5"/>
      <c r="AB778" s="5"/>
      <c r="AC778" s="5"/>
      <c r="AD778" s="5"/>
      <c r="AE778" s="5"/>
    </row>
    <row r="779" spans="1:31" ht="15.75" customHeight="1">
      <c r="A779" s="5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5"/>
      <c r="T779" s="5"/>
      <c r="U779" s="5"/>
      <c r="V779" s="5"/>
      <c r="W779" s="5"/>
      <c r="X779" s="5"/>
      <c r="Y779" s="5"/>
      <c r="Z779" s="7"/>
      <c r="AA779" s="5"/>
      <c r="AB779" s="5"/>
      <c r="AC779" s="5"/>
      <c r="AD779" s="5"/>
      <c r="AE779" s="5"/>
    </row>
    <row r="780" spans="1:31" ht="15.75" customHeight="1">
      <c r="A780" s="5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5"/>
      <c r="T780" s="5"/>
      <c r="U780" s="5"/>
      <c r="V780" s="5"/>
      <c r="W780" s="5"/>
      <c r="X780" s="5"/>
      <c r="Y780" s="5"/>
      <c r="Z780" s="7"/>
      <c r="AA780" s="5"/>
      <c r="AB780" s="5"/>
      <c r="AC780" s="5"/>
      <c r="AD780" s="5"/>
      <c r="AE780" s="5"/>
    </row>
    <row r="781" spans="1:31" ht="15.75" customHeight="1">
      <c r="A781" s="5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5"/>
      <c r="T781" s="5"/>
      <c r="U781" s="5"/>
      <c r="V781" s="5"/>
      <c r="W781" s="5"/>
      <c r="X781" s="5"/>
      <c r="Y781" s="5"/>
      <c r="Z781" s="7"/>
      <c r="AA781" s="5"/>
      <c r="AB781" s="5"/>
      <c r="AC781" s="5"/>
      <c r="AD781" s="5"/>
      <c r="AE781" s="5"/>
    </row>
    <row r="782" spans="1:31" ht="15.75" customHeight="1">
      <c r="A782" s="5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5"/>
      <c r="T782" s="5"/>
      <c r="U782" s="5"/>
      <c r="V782" s="5"/>
      <c r="W782" s="5"/>
      <c r="X782" s="5"/>
      <c r="Y782" s="5"/>
      <c r="Z782" s="7"/>
      <c r="AA782" s="5"/>
      <c r="AB782" s="5"/>
      <c r="AC782" s="5"/>
      <c r="AD782" s="5"/>
      <c r="AE782" s="5"/>
    </row>
    <row r="783" spans="1:31" ht="15.75" customHeight="1">
      <c r="A783" s="5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5"/>
      <c r="T783" s="5"/>
      <c r="U783" s="5"/>
      <c r="V783" s="5"/>
      <c r="W783" s="5"/>
      <c r="X783" s="5"/>
      <c r="Y783" s="5"/>
      <c r="Z783" s="7"/>
      <c r="AA783" s="5"/>
      <c r="AB783" s="5"/>
      <c r="AC783" s="5"/>
      <c r="AD783" s="5"/>
      <c r="AE783" s="5"/>
    </row>
    <row r="784" spans="1:31" ht="15.75" customHeight="1">
      <c r="A784" s="5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5"/>
      <c r="T784" s="5"/>
      <c r="U784" s="5"/>
      <c r="V784" s="5"/>
      <c r="W784" s="5"/>
      <c r="X784" s="5"/>
      <c r="Y784" s="5"/>
      <c r="Z784" s="7"/>
      <c r="AA784" s="5"/>
      <c r="AB784" s="5"/>
      <c r="AC784" s="5"/>
      <c r="AD784" s="5"/>
      <c r="AE784" s="5"/>
    </row>
    <row r="785" spans="1:31" ht="15.75" customHeight="1">
      <c r="A785" s="5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5"/>
      <c r="T785" s="5"/>
      <c r="U785" s="5"/>
      <c r="V785" s="5"/>
      <c r="W785" s="5"/>
      <c r="X785" s="5"/>
      <c r="Y785" s="5"/>
      <c r="Z785" s="7"/>
      <c r="AA785" s="5"/>
      <c r="AB785" s="5"/>
      <c r="AC785" s="5"/>
      <c r="AD785" s="5"/>
      <c r="AE785" s="5"/>
    </row>
    <row r="786" spans="1:31" ht="15.75" customHeight="1">
      <c r="A786" s="5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5"/>
      <c r="T786" s="5"/>
      <c r="U786" s="5"/>
      <c r="V786" s="5"/>
      <c r="W786" s="5"/>
      <c r="X786" s="5"/>
      <c r="Y786" s="5"/>
      <c r="Z786" s="7"/>
      <c r="AA786" s="5"/>
      <c r="AB786" s="5"/>
      <c r="AC786" s="5"/>
      <c r="AD786" s="5"/>
      <c r="AE786" s="5"/>
    </row>
    <row r="787" spans="1:31" ht="15.75" customHeight="1">
      <c r="A787" s="5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5"/>
      <c r="T787" s="5"/>
      <c r="U787" s="5"/>
      <c r="V787" s="5"/>
      <c r="W787" s="5"/>
      <c r="X787" s="5"/>
      <c r="Y787" s="5"/>
      <c r="Z787" s="7"/>
      <c r="AA787" s="5"/>
      <c r="AB787" s="5"/>
      <c r="AC787" s="5"/>
      <c r="AD787" s="5"/>
      <c r="AE787" s="5"/>
    </row>
    <row r="788" spans="1:31" ht="15.75" customHeight="1">
      <c r="A788" s="5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5"/>
      <c r="T788" s="5"/>
      <c r="U788" s="5"/>
      <c r="V788" s="5"/>
      <c r="W788" s="5"/>
      <c r="X788" s="5"/>
      <c r="Y788" s="5"/>
      <c r="Z788" s="7"/>
      <c r="AA788" s="5"/>
      <c r="AB788" s="5"/>
      <c r="AC788" s="5"/>
      <c r="AD788" s="5"/>
      <c r="AE788" s="5"/>
    </row>
    <row r="789" spans="1:31" ht="15.75" customHeight="1">
      <c r="A789" s="5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5"/>
      <c r="T789" s="5"/>
      <c r="U789" s="5"/>
      <c r="V789" s="5"/>
      <c r="W789" s="5"/>
      <c r="X789" s="5"/>
      <c r="Y789" s="5"/>
      <c r="Z789" s="7"/>
      <c r="AA789" s="5"/>
      <c r="AB789" s="5"/>
      <c r="AC789" s="5"/>
      <c r="AD789" s="5"/>
      <c r="AE789" s="5"/>
    </row>
    <row r="790" spans="1:31" ht="15.75" customHeight="1">
      <c r="A790" s="5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5"/>
      <c r="T790" s="5"/>
      <c r="U790" s="5"/>
      <c r="V790" s="5"/>
      <c r="W790" s="5"/>
      <c r="X790" s="5"/>
      <c r="Y790" s="5"/>
      <c r="Z790" s="7"/>
      <c r="AA790" s="5"/>
      <c r="AB790" s="5"/>
      <c r="AC790" s="5"/>
      <c r="AD790" s="5"/>
      <c r="AE790" s="5"/>
    </row>
    <row r="791" spans="1:31" ht="15.75" customHeight="1">
      <c r="A791" s="5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5"/>
      <c r="T791" s="5"/>
      <c r="U791" s="5"/>
      <c r="V791" s="5"/>
      <c r="W791" s="5"/>
      <c r="X791" s="5"/>
      <c r="Y791" s="5"/>
      <c r="Z791" s="7"/>
      <c r="AA791" s="5"/>
      <c r="AB791" s="5"/>
      <c r="AC791" s="5"/>
      <c r="AD791" s="5"/>
      <c r="AE791" s="5"/>
    </row>
    <row r="792" spans="1:31" ht="15.75" customHeight="1">
      <c r="A792" s="5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5"/>
      <c r="T792" s="5"/>
      <c r="U792" s="5"/>
      <c r="V792" s="5"/>
      <c r="W792" s="5"/>
      <c r="X792" s="5"/>
      <c r="Y792" s="5"/>
      <c r="Z792" s="7"/>
      <c r="AA792" s="5"/>
      <c r="AB792" s="5"/>
      <c r="AC792" s="5"/>
      <c r="AD792" s="5"/>
      <c r="AE792" s="5"/>
    </row>
    <row r="793" spans="1:31" ht="15.75" customHeight="1">
      <c r="A793" s="5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5"/>
      <c r="T793" s="5"/>
      <c r="U793" s="5"/>
      <c r="V793" s="5"/>
      <c r="W793" s="5"/>
      <c r="X793" s="5"/>
      <c r="Y793" s="5"/>
      <c r="Z793" s="7"/>
      <c r="AA793" s="5"/>
      <c r="AB793" s="5"/>
      <c r="AC793" s="5"/>
      <c r="AD793" s="5"/>
      <c r="AE793" s="5"/>
    </row>
    <row r="794" spans="1:31" ht="15.75" customHeight="1">
      <c r="A794" s="5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5"/>
      <c r="T794" s="5"/>
      <c r="U794" s="5"/>
      <c r="V794" s="5"/>
      <c r="W794" s="5"/>
      <c r="X794" s="5"/>
      <c r="Y794" s="5"/>
      <c r="Z794" s="7"/>
      <c r="AA794" s="5"/>
      <c r="AB794" s="5"/>
      <c r="AC794" s="5"/>
      <c r="AD794" s="5"/>
      <c r="AE794" s="5"/>
    </row>
    <row r="795" spans="1:31" ht="15.75" customHeight="1">
      <c r="A795" s="5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5"/>
      <c r="T795" s="5"/>
      <c r="U795" s="5"/>
      <c r="V795" s="5"/>
      <c r="W795" s="5"/>
      <c r="X795" s="5"/>
      <c r="Y795" s="5"/>
      <c r="Z795" s="7"/>
      <c r="AA795" s="5"/>
      <c r="AB795" s="5"/>
      <c r="AC795" s="5"/>
      <c r="AD795" s="5"/>
      <c r="AE795" s="5"/>
    </row>
    <row r="796" spans="1:31" ht="15.75" customHeight="1">
      <c r="A796" s="5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5"/>
      <c r="T796" s="5"/>
      <c r="U796" s="5"/>
      <c r="V796" s="5"/>
      <c r="W796" s="5"/>
      <c r="X796" s="5"/>
      <c r="Y796" s="5"/>
      <c r="Z796" s="7"/>
      <c r="AA796" s="5"/>
      <c r="AB796" s="5"/>
      <c r="AC796" s="5"/>
      <c r="AD796" s="5"/>
      <c r="AE796" s="5"/>
    </row>
    <row r="797" spans="1:31" ht="15.75" customHeight="1">
      <c r="A797" s="5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5"/>
      <c r="T797" s="5"/>
      <c r="U797" s="5"/>
      <c r="V797" s="5"/>
      <c r="W797" s="5"/>
      <c r="X797" s="5"/>
      <c r="Y797" s="5"/>
      <c r="Z797" s="7"/>
      <c r="AA797" s="5"/>
      <c r="AB797" s="5"/>
      <c r="AC797" s="5"/>
      <c r="AD797" s="5"/>
      <c r="AE797" s="5"/>
    </row>
    <row r="798" spans="1:31" ht="15.75" customHeight="1">
      <c r="A798" s="5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5"/>
      <c r="T798" s="5"/>
      <c r="U798" s="5"/>
      <c r="V798" s="5"/>
      <c r="W798" s="5"/>
      <c r="X798" s="5"/>
      <c r="Y798" s="5"/>
      <c r="Z798" s="7"/>
      <c r="AA798" s="5"/>
      <c r="AB798" s="5"/>
      <c r="AC798" s="5"/>
      <c r="AD798" s="5"/>
      <c r="AE798" s="5"/>
    </row>
    <row r="799" spans="1:31" ht="15.75" customHeight="1">
      <c r="A799" s="5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5"/>
      <c r="T799" s="5"/>
      <c r="U799" s="5"/>
      <c r="V799" s="5"/>
      <c r="W799" s="5"/>
      <c r="X799" s="5"/>
      <c r="Y799" s="5"/>
      <c r="Z799" s="7"/>
      <c r="AA799" s="5"/>
      <c r="AB799" s="5"/>
      <c r="AC799" s="5"/>
      <c r="AD799" s="5"/>
      <c r="AE799" s="5"/>
    </row>
    <row r="800" spans="1:31" ht="15.75" customHeight="1">
      <c r="A800" s="5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5"/>
      <c r="T800" s="5"/>
      <c r="U800" s="5"/>
      <c r="V800" s="5"/>
      <c r="W800" s="5"/>
      <c r="X800" s="5"/>
      <c r="Y800" s="5"/>
      <c r="Z800" s="7"/>
      <c r="AA800" s="5"/>
      <c r="AB800" s="5"/>
      <c r="AC800" s="5"/>
      <c r="AD800" s="5"/>
      <c r="AE800" s="5"/>
    </row>
    <row r="801" spans="1:31" ht="15.75" customHeight="1">
      <c r="A801" s="5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5"/>
      <c r="T801" s="5"/>
      <c r="U801" s="5"/>
      <c r="V801" s="5"/>
      <c r="W801" s="5"/>
      <c r="X801" s="5"/>
      <c r="Y801" s="5"/>
      <c r="Z801" s="7"/>
      <c r="AA801" s="5"/>
      <c r="AB801" s="5"/>
      <c r="AC801" s="5"/>
      <c r="AD801" s="5"/>
      <c r="AE801" s="5"/>
    </row>
    <row r="802" spans="1:31" ht="15.75" customHeight="1">
      <c r="A802" s="5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5"/>
      <c r="T802" s="5"/>
      <c r="U802" s="5"/>
      <c r="V802" s="5"/>
      <c r="W802" s="5"/>
      <c r="X802" s="5"/>
      <c r="Y802" s="5"/>
      <c r="Z802" s="7"/>
      <c r="AA802" s="5"/>
      <c r="AB802" s="5"/>
      <c r="AC802" s="5"/>
      <c r="AD802" s="5"/>
      <c r="AE802" s="5"/>
    </row>
    <row r="803" spans="1:31" ht="15.75" customHeight="1">
      <c r="A803" s="5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5"/>
      <c r="T803" s="5"/>
      <c r="U803" s="5"/>
      <c r="V803" s="5"/>
      <c r="W803" s="5"/>
      <c r="X803" s="5"/>
      <c r="Y803" s="5"/>
      <c r="Z803" s="7"/>
      <c r="AA803" s="5"/>
      <c r="AB803" s="5"/>
      <c r="AC803" s="5"/>
      <c r="AD803" s="5"/>
      <c r="AE803" s="5"/>
    </row>
    <row r="804" spans="1:31" ht="15.75" customHeight="1">
      <c r="A804" s="5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5"/>
      <c r="T804" s="5"/>
      <c r="U804" s="5"/>
      <c r="V804" s="5"/>
      <c r="W804" s="5"/>
      <c r="X804" s="5"/>
      <c r="Y804" s="5"/>
      <c r="Z804" s="7"/>
      <c r="AA804" s="5"/>
      <c r="AB804" s="5"/>
      <c r="AC804" s="5"/>
      <c r="AD804" s="5"/>
      <c r="AE804" s="5"/>
    </row>
    <row r="805" spans="1:31" ht="15.75" customHeight="1">
      <c r="A805" s="5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5"/>
      <c r="T805" s="5"/>
      <c r="U805" s="5"/>
      <c r="V805" s="5"/>
      <c r="W805" s="5"/>
      <c r="X805" s="5"/>
      <c r="Y805" s="5"/>
      <c r="Z805" s="7"/>
      <c r="AA805" s="5"/>
      <c r="AB805" s="5"/>
      <c r="AC805" s="5"/>
      <c r="AD805" s="5"/>
      <c r="AE805" s="5"/>
    </row>
    <row r="806" spans="1:31" ht="15.75" customHeight="1">
      <c r="A806" s="5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5"/>
      <c r="T806" s="5"/>
      <c r="U806" s="5"/>
      <c r="V806" s="5"/>
      <c r="W806" s="5"/>
      <c r="X806" s="5"/>
      <c r="Y806" s="5"/>
      <c r="Z806" s="7"/>
      <c r="AA806" s="5"/>
      <c r="AB806" s="5"/>
      <c r="AC806" s="5"/>
      <c r="AD806" s="5"/>
      <c r="AE806" s="5"/>
    </row>
    <row r="807" spans="1:31" ht="15.75" customHeight="1">
      <c r="A807" s="5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5"/>
      <c r="T807" s="5"/>
      <c r="U807" s="5"/>
      <c r="V807" s="5"/>
      <c r="W807" s="5"/>
      <c r="X807" s="5"/>
      <c r="Y807" s="5"/>
      <c r="Z807" s="7"/>
      <c r="AA807" s="5"/>
      <c r="AB807" s="5"/>
      <c r="AC807" s="5"/>
      <c r="AD807" s="5"/>
      <c r="AE807" s="5"/>
    </row>
    <row r="808" spans="1:31" ht="15.75" customHeight="1">
      <c r="A808" s="5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5"/>
      <c r="T808" s="5"/>
      <c r="U808" s="5"/>
      <c r="V808" s="5"/>
      <c r="W808" s="5"/>
      <c r="X808" s="5"/>
      <c r="Y808" s="5"/>
      <c r="Z808" s="7"/>
      <c r="AA808" s="5"/>
      <c r="AB808" s="5"/>
      <c r="AC808" s="5"/>
      <c r="AD808" s="5"/>
      <c r="AE808" s="5"/>
    </row>
    <row r="809" spans="1:31" ht="15.75" customHeight="1">
      <c r="A809" s="5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5"/>
      <c r="T809" s="5"/>
      <c r="U809" s="5"/>
      <c r="V809" s="5"/>
      <c r="W809" s="5"/>
      <c r="X809" s="5"/>
      <c r="Y809" s="5"/>
      <c r="Z809" s="7"/>
      <c r="AA809" s="5"/>
      <c r="AB809" s="5"/>
      <c r="AC809" s="5"/>
      <c r="AD809" s="5"/>
      <c r="AE809" s="5"/>
    </row>
    <row r="810" spans="1:31" ht="15.75" customHeight="1">
      <c r="A810" s="5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5"/>
      <c r="T810" s="5"/>
      <c r="U810" s="5"/>
      <c r="V810" s="5"/>
      <c r="W810" s="5"/>
      <c r="X810" s="5"/>
      <c r="Y810" s="5"/>
      <c r="Z810" s="7"/>
      <c r="AA810" s="5"/>
      <c r="AB810" s="5"/>
      <c r="AC810" s="5"/>
      <c r="AD810" s="5"/>
      <c r="AE810" s="5"/>
    </row>
    <row r="811" spans="1:31" ht="15.75" customHeight="1">
      <c r="A811" s="5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5"/>
      <c r="T811" s="5"/>
      <c r="U811" s="5"/>
      <c r="V811" s="5"/>
      <c r="W811" s="5"/>
      <c r="X811" s="5"/>
      <c r="Y811" s="5"/>
      <c r="Z811" s="7"/>
      <c r="AA811" s="5"/>
      <c r="AB811" s="5"/>
      <c r="AC811" s="5"/>
      <c r="AD811" s="5"/>
      <c r="AE811" s="5"/>
    </row>
    <row r="812" spans="1:31" ht="15.75" customHeight="1">
      <c r="A812" s="5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5"/>
      <c r="T812" s="5"/>
      <c r="U812" s="5"/>
      <c r="V812" s="5"/>
      <c r="W812" s="5"/>
      <c r="X812" s="5"/>
      <c r="Y812" s="5"/>
      <c r="Z812" s="7"/>
      <c r="AA812" s="5"/>
      <c r="AB812" s="5"/>
      <c r="AC812" s="5"/>
      <c r="AD812" s="5"/>
      <c r="AE812" s="5"/>
    </row>
    <row r="813" spans="1:31" ht="15.75" customHeight="1">
      <c r="A813" s="5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5"/>
      <c r="T813" s="5"/>
      <c r="U813" s="5"/>
      <c r="V813" s="5"/>
      <c r="W813" s="5"/>
      <c r="X813" s="5"/>
      <c r="Y813" s="5"/>
      <c r="Z813" s="7"/>
      <c r="AA813" s="5"/>
      <c r="AB813" s="5"/>
      <c r="AC813" s="5"/>
      <c r="AD813" s="5"/>
      <c r="AE813" s="5"/>
    </row>
    <row r="814" spans="1:31" ht="15.75" customHeight="1">
      <c r="A814" s="5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5"/>
      <c r="T814" s="5"/>
      <c r="U814" s="5"/>
      <c r="V814" s="5"/>
      <c r="W814" s="5"/>
      <c r="X814" s="5"/>
      <c r="Y814" s="5"/>
      <c r="Z814" s="7"/>
      <c r="AA814" s="5"/>
      <c r="AB814" s="5"/>
      <c r="AC814" s="5"/>
      <c r="AD814" s="5"/>
      <c r="AE814" s="5"/>
    </row>
    <row r="815" spans="1:31" ht="15.75" customHeight="1">
      <c r="A815" s="5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5"/>
      <c r="T815" s="5"/>
      <c r="U815" s="5"/>
      <c r="V815" s="5"/>
      <c r="W815" s="5"/>
      <c r="X815" s="5"/>
      <c r="Y815" s="5"/>
      <c r="Z815" s="7"/>
      <c r="AA815" s="5"/>
      <c r="AB815" s="5"/>
      <c r="AC815" s="5"/>
      <c r="AD815" s="5"/>
      <c r="AE815" s="5"/>
    </row>
    <row r="816" spans="1:31" ht="15.75" customHeight="1">
      <c r="A816" s="5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5"/>
      <c r="T816" s="5"/>
      <c r="U816" s="5"/>
      <c r="V816" s="5"/>
      <c r="W816" s="5"/>
      <c r="X816" s="5"/>
      <c r="Y816" s="5"/>
      <c r="Z816" s="7"/>
      <c r="AA816" s="5"/>
      <c r="AB816" s="5"/>
      <c r="AC816" s="5"/>
      <c r="AD816" s="5"/>
      <c r="AE816" s="5"/>
    </row>
    <row r="817" spans="1:31" ht="15.75" customHeight="1">
      <c r="A817" s="5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5"/>
      <c r="T817" s="5"/>
      <c r="U817" s="5"/>
      <c r="V817" s="5"/>
      <c r="W817" s="5"/>
      <c r="X817" s="5"/>
      <c r="Y817" s="5"/>
      <c r="Z817" s="7"/>
      <c r="AA817" s="5"/>
      <c r="AB817" s="5"/>
      <c r="AC817" s="5"/>
      <c r="AD817" s="5"/>
      <c r="AE817" s="5"/>
    </row>
    <row r="818" spans="1:31" ht="15.75" customHeight="1">
      <c r="A818" s="5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5"/>
      <c r="T818" s="5"/>
      <c r="U818" s="5"/>
      <c r="V818" s="5"/>
      <c r="W818" s="5"/>
      <c r="X818" s="5"/>
      <c r="Y818" s="5"/>
      <c r="Z818" s="7"/>
      <c r="AA818" s="5"/>
      <c r="AB818" s="5"/>
      <c r="AC818" s="5"/>
      <c r="AD818" s="5"/>
      <c r="AE818" s="5"/>
    </row>
    <row r="819" spans="1:31" ht="15.75" customHeight="1">
      <c r="A819" s="5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5"/>
      <c r="T819" s="5"/>
      <c r="U819" s="5"/>
      <c r="V819" s="5"/>
      <c r="W819" s="5"/>
      <c r="X819" s="5"/>
      <c r="Y819" s="5"/>
      <c r="Z819" s="7"/>
      <c r="AA819" s="5"/>
      <c r="AB819" s="5"/>
      <c r="AC819" s="5"/>
      <c r="AD819" s="5"/>
      <c r="AE819" s="5"/>
    </row>
    <row r="820" spans="1:31" ht="15.75" customHeight="1">
      <c r="A820" s="5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5"/>
      <c r="T820" s="5"/>
      <c r="U820" s="5"/>
      <c r="V820" s="5"/>
      <c r="W820" s="5"/>
      <c r="X820" s="5"/>
      <c r="Y820" s="5"/>
      <c r="Z820" s="7"/>
      <c r="AA820" s="5"/>
      <c r="AB820" s="5"/>
      <c r="AC820" s="5"/>
      <c r="AD820" s="5"/>
      <c r="AE820" s="5"/>
    </row>
    <row r="821" spans="1:31" ht="15.75" customHeight="1">
      <c r="A821" s="5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5"/>
      <c r="T821" s="5"/>
      <c r="U821" s="5"/>
      <c r="V821" s="5"/>
      <c r="W821" s="5"/>
      <c r="X821" s="5"/>
      <c r="Y821" s="5"/>
      <c r="Z821" s="7"/>
      <c r="AA821" s="5"/>
      <c r="AB821" s="5"/>
      <c r="AC821" s="5"/>
      <c r="AD821" s="5"/>
      <c r="AE821" s="5"/>
    </row>
    <row r="822" spans="1:31" ht="15.75" customHeight="1">
      <c r="A822" s="5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5"/>
      <c r="T822" s="5"/>
      <c r="U822" s="5"/>
      <c r="V822" s="5"/>
      <c r="W822" s="5"/>
      <c r="X822" s="5"/>
      <c r="Y822" s="5"/>
      <c r="Z822" s="7"/>
      <c r="AA822" s="5"/>
      <c r="AB822" s="5"/>
      <c r="AC822" s="5"/>
      <c r="AD822" s="5"/>
      <c r="AE822" s="5"/>
    </row>
    <row r="823" spans="1:31" ht="15.75" customHeight="1">
      <c r="A823" s="5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5"/>
      <c r="T823" s="5"/>
      <c r="U823" s="5"/>
      <c r="V823" s="5"/>
      <c r="W823" s="5"/>
      <c r="X823" s="5"/>
      <c r="Y823" s="5"/>
      <c r="Z823" s="7"/>
      <c r="AA823" s="5"/>
      <c r="AB823" s="5"/>
      <c r="AC823" s="5"/>
      <c r="AD823" s="5"/>
      <c r="AE823" s="5"/>
    </row>
    <row r="824" spans="1:31" ht="15.75" customHeight="1">
      <c r="A824" s="5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5"/>
      <c r="T824" s="5"/>
      <c r="U824" s="5"/>
      <c r="V824" s="5"/>
      <c r="W824" s="5"/>
      <c r="X824" s="5"/>
      <c r="Y824" s="5"/>
      <c r="Z824" s="7"/>
      <c r="AA824" s="5"/>
      <c r="AB824" s="5"/>
      <c r="AC824" s="5"/>
      <c r="AD824" s="5"/>
      <c r="AE824" s="5"/>
    </row>
    <row r="825" spans="1:31" ht="15.75" customHeight="1">
      <c r="A825" s="5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5"/>
      <c r="T825" s="5"/>
      <c r="U825" s="5"/>
      <c r="V825" s="5"/>
      <c r="W825" s="5"/>
      <c r="X825" s="5"/>
      <c r="Y825" s="5"/>
      <c r="Z825" s="7"/>
      <c r="AA825" s="5"/>
      <c r="AB825" s="5"/>
      <c r="AC825" s="5"/>
      <c r="AD825" s="5"/>
      <c r="AE825" s="5"/>
    </row>
    <row r="826" spans="1:31" ht="15.75" customHeight="1">
      <c r="A826" s="5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5"/>
      <c r="T826" s="5"/>
      <c r="U826" s="5"/>
      <c r="V826" s="5"/>
      <c r="W826" s="5"/>
      <c r="X826" s="5"/>
      <c r="Y826" s="5"/>
      <c r="Z826" s="7"/>
      <c r="AA826" s="5"/>
      <c r="AB826" s="5"/>
      <c r="AC826" s="5"/>
      <c r="AD826" s="5"/>
      <c r="AE826" s="5"/>
    </row>
    <row r="827" spans="1:31" ht="15.75" customHeight="1">
      <c r="A827" s="5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5"/>
      <c r="T827" s="5"/>
      <c r="U827" s="5"/>
      <c r="V827" s="5"/>
      <c r="W827" s="5"/>
      <c r="X827" s="5"/>
      <c r="Y827" s="5"/>
      <c r="Z827" s="7"/>
      <c r="AA827" s="5"/>
      <c r="AB827" s="5"/>
      <c r="AC827" s="5"/>
      <c r="AD827" s="5"/>
      <c r="AE827" s="5"/>
    </row>
    <row r="828" spans="1:31" ht="15.75" customHeight="1">
      <c r="A828" s="5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5"/>
      <c r="T828" s="5"/>
      <c r="U828" s="5"/>
      <c r="V828" s="5"/>
      <c r="W828" s="5"/>
      <c r="X828" s="5"/>
      <c r="Y828" s="5"/>
      <c r="Z828" s="7"/>
      <c r="AA828" s="5"/>
      <c r="AB828" s="5"/>
      <c r="AC828" s="5"/>
      <c r="AD828" s="5"/>
      <c r="AE828" s="5"/>
    </row>
    <row r="829" spans="1:31" ht="15.75" customHeight="1">
      <c r="A829" s="5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5"/>
      <c r="T829" s="5"/>
      <c r="U829" s="5"/>
      <c r="V829" s="5"/>
      <c r="W829" s="5"/>
      <c r="X829" s="5"/>
      <c r="Y829" s="5"/>
      <c r="Z829" s="7"/>
      <c r="AA829" s="5"/>
      <c r="AB829" s="5"/>
      <c r="AC829" s="5"/>
      <c r="AD829" s="5"/>
      <c r="AE829" s="5"/>
    </row>
    <row r="830" spans="1:31" ht="15.75" customHeight="1">
      <c r="A830" s="5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5"/>
      <c r="T830" s="5"/>
      <c r="U830" s="5"/>
      <c r="V830" s="5"/>
      <c r="W830" s="5"/>
      <c r="X830" s="5"/>
      <c r="Y830" s="5"/>
      <c r="Z830" s="7"/>
      <c r="AA830" s="5"/>
      <c r="AB830" s="5"/>
      <c r="AC830" s="5"/>
      <c r="AD830" s="5"/>
      <c r="AE830" s="5"/>
    </row>
    <row r="831" spans="1:31" ht="15.75" customHeight="1">
      <c r="A831" s="5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5"/>
      <c r="T831" s="5"/>
      <c r="U831" s="5"/>
      <c r="V831" s="5"/>
      <c r="W831" s="5"/>
      <c r="X831" s="5"/>
      <c r="Y831" s="5"/>
      <c r="Z831" s="7"/>
      <c r="AA831" s="5"/>
      <c r="AB831" s="5"/>
      <c r="AC831" s="5"/>
      <c r="AD831" s="5"/>
      <c r="AE831" s="5"/>
    </row>
    <row r="832" spans="1:31" ht="15.75" customHeight="1">
      <c r="A832" s="5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5"/>
      <c r="T832" s="5"/>
      <c r="U832" s="5"/>
      <c r="V832" s="5"/>
      <c r="W832" s="5"/>
      <c r="X832" s="5"/>
      <c r="Y832" s="5"/>
      <c r="Z832" s="7"/>
      <c r="AA832" s="5"/>
      <c r="AB832" s="5"/>
      <c r="AC832" s="5"/>
      <c r="AD832" s="5"/>
      <c r="AE832" s="5"/>
    </row>
    <row r="833" spans="1:31" ht="15.75" customHeight="1">
      <c r="A833" s="5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5"/>
      <c r="T833" s="5"/>
      <c r="U833" s="5"/>
      <c r="V833" s="5"/>
      <c r="W833" s="5"/>
      <c r="X833" s="5"/>
      <c r="Y833" s="5"/>
      <c r="Z833" s="7"/>
      <c r="AA833" s="5"/>
      <c r="AB833" s="5"/>
      <c r="AC833" s="5"/>
      <c r="AD833" s="5"/>
      <c r="AE833" s="5"/>
    </row>
    <row r="834" spans="1:31" ht="15.75" customHeight="1">
      <c r="A834" s="5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5"/>
      <c r="T834" s="5"/>
      <c r="U834" s="5"/>
      <c r="V834" s="5"/>
      <c r="W834" s="5"/>
      <c r="X834" s="5"/>
      <c r="Y834" s="5"/>
      <c r="Z834" s="7"/>
      <c r="AA834" s="5"/>
      <c r="AB834" s="5"/>
      <c r="AC834" s="5"/>
      <c r="AD834" s="5"/>
      <c r="AE834" s="5"/>
    </row>
    <row r="835" spans="1:31" ht="15.75" customHeight="1">
      <c r="A835" s="5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5"/>
      <c r="T835" s="5"/>
      <c r="U835" s="5"/>
      <c r="V835" s="5"/>
      <c r="W835" s="5"/>
      <c r="X835" s="5"/>
      <c r="Y835" s="5"/>
      <c r="Z835" s="7"/>
      <c r="AA835" s="5"/>
      <c r="AB835" s="5"/>
      <c r="AC835" s="5"/>
      <c r="AD835" s="5"/>
      <c r="AE835" s="5"/>
    </row>
    <row r="836" spans="1:31" ht="15.75" customHeight="1">
      <c r="A836" s="5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5"/>
      <c r="T836" s="5"/>
      <c r="U836" s="5"/>
      <c r="V836" s="5"/>
      <c r="W836" s="5"/>
      <c r="X836" s="5"/>
      <c r="Y836" s="5"/>
      <c r="Z836" s="7"/>
      <c r="AA836" s="5"/>
      <c r="AB836" s="5"/>
      <c r="AC836" s="5"/>
      <c r="AD836" s="5"/>
      <c r="AE836" s="5"/>
    </row>
    <row r="837" spans="1:31" ht="15.75" customHeight="1">
      <c r="A837" s="5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5"/>
      <c r="T837" s="5"/>
      <c r="U837" s="5"/>
      <c r="V837" s="5"/>
      <c r="W837" s="5"/>
      <c r="X837" s="5"/>
      <c r="Y837" s="5"/>
      <c r="Z837" s="7"/>
      <c r="AA837" s="5"/>
      <c r="AB837" s="5"/>
      <c r="AC837" s="5"/>
      <c r="AD837" s="5"/>
      <c r="AE837" s="5"/>
    </row>
    <row r="838" spans="1:31" ht="15.75" customHeight="1">
      <c r="A838" s="5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5"/>
      <c r="T838" s="5"/>
      <c r="U838" s="5"/>
      <c r="V838" s="5"/>
      <c r="W838" s="5"/>
      <c r="X838" s="5"/>
      <c r="Y838" s="5"/>
      <c r="Z838" s="7"/>
      <c r="AA838" s="5"/>
      <c r="AB838" s="5"/>
      <c r="AC838" s="5"/>
      <c r="AD838" s="5"/>
      <c r="AE838" s="5"/>
    </row>
    <row r="839" spans="1:31" ht="15.75" customHeight="1">
      <c r="A839" s="5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5"/>
      <c r="T839" s="5"/>
      <c r="U839" s="5"/>
      <c r="V839" s="5"/>
      <c r="W839" s="5"/>
      <c r="X839" s="5"/>
      <c r="Y839" s="5"/>
      <c r="Z839" s="7"/>
      <c r="AA839" s="5"/>
      <c r="AB839" s="5"/>
      <c r="AC839" s="5"/>
      <c r="AD839" s="5"/>
      <c r="AE839" s="5"/>
    </row>
    <row r="840" spans="1:31" ht="15.75" customHeight="1">
      <c r="A840" s="5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5"/>
      <c r="T840" s="5"/>
      <c r="U840" s="5"/>
      <c r="V840" s="5"/>
      <c r="W840" s="5"/>
      <c r="X840" s="5"/>
      <c r="Y840" s="5"/>
      <c r="Z840" s="7"/>
      <c r="AA840" s="5"/>
      <c r="AB840" s="5"/>
      <c r="AC840" s="5"/>
      <c r="AD840" s="5"/>
      <c r="AE840" s="5"/>
    </row>
    <row r="841" spans="1:31" ht="15.75" customHeight="1">
      <c r="A841" s="5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5"/>
      <c r="T841" s="5"/>
      <c r="U841" s="5"/>
      <c r="V841" s="5"/>
      <c r="W841" s="5"/>
      <c r="X841" s="5"/>
      <c r="Y841" s="5"/>
      <c r="Z841" s="7"/>
      <c r="AA841" s="5"/>
      <c r="AB841" s="5"/>
      <c r="AC841" s="5"/>
      <c r="AD841" s="5"/>
      <c r="AE841" s="5"/>
    </row>
    <row r="842" spans="1:31" ht="15.75" customHeight="1">
      <c r="A842" s="5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5"/>
      <c r="T842" s="5"/>
      <c r="U842" s="5"/>
      <c r="V842" s="5"/>
      <c r="W842" s="5"/>
      <c r="X842" s="5"/>
      <c r="Y842" s="5"/>
      <c r="Z842" s="7"/>
      <c r="AA842" s="5"/>
      <c r="AB842" s="5"/>
      <c r="AC842" s="5"/>
      <c r="AD842" s="5"/>
      <c r="AE842" s="5"/>
    </row>
    <row r="843" spans="1:31" ht="15.75" customHeight="1">
      <c r="A843" s="5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5"/>
      <c r="T843" s="5"/>
      <c r="U843" s="5"/>
      <c r="V843" s="5"/>
      <c r="W843" s="5"/>
      <c r="X843" s="5"/>
      <c r="Y843" s="5"/>
      <c r="Z843" s="7"/>
      <c r="AA843" s="5"/>
      <c r="AB843" s="5"/>
      <c r="AC843" s="5"/>
      <c r="AD843" s="5"/>
      <c r="AE843" s="5"/>
    </row>
    <row r="844" spans="1:31" ht="15.75" customHeight="1">
      <c r="A844" s="5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5"/>
      <c r="T844" s="5"/>
      <c r="U844" s="5"/>
      <c r="V844" s="5"/>
      <c r="W844" s="5"/>
      <c r="X844" s="5"/>
      <c r="Y844" s="5"/>
      <c r="Z844" s="7"/>
      <c r="AA844" s="5"/>
      <c r="AB844" s="5"/>
      <c r="AC844" s="5"/>
      <c r="AD844" s="5"/>
      <c r="AE844" s="5"/>
    </row>
    <row r="845" spans="1:31" ht="15.75" customHeight="1">
      <c r="A845" s="5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5"/>
      <c r="T845" s="5"/>
      <c r="U845" s="5"/>
      <c r="V845" s="5"/>
      <c r="W845" s="5"/>
      <c r="X845" s="5"/>
      <c r="Y845" s="5"/>
      <c r="Z845" s="7"/>
      <c r="AA845" s="5"/>
      <c r="AB845" s="5"/>
      <c r="AC845" s="5"/>
      <c r="AD845" s="5"/>
      <c r="AE845" s="5"/>
    </row>
    <row r="846" spans="1:31" ht="15.75" customHeight="1">
      <c r="A846" s="5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5"/>
      <c r="T846" s="5"/>
      <c r="U846" s="5"/>
      <c r="V846" s="5"/>
      <c r="W846" s="5"/>
      <c r="X846" s="5"/>
      <c r="Y846" s="5"/>
      <c r="Z846" s="7"/>
      <c r="AA846" s="5"/>
      <c r="AB846" s="5"/>
      <c r="AC846" s="5"/>
      <c r="AD846" s="5"/>
      <c r="AE846" s="5"/>
    </row>
    <row r="847" spans="1:31" ht="15.75" customHeight="1">
      <c r="A847" s="5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5"/>
      <c r="T847" s="5"/>
      <c r="U847" s="5"/>
      <c r="V847" s="5"/>
      <c r="W847" s="5"/>
      <c r="X847" s="5"/>
      <c r="Y847" s="5"/>
      <c r="Z847" s="7"/>
      <c r="AA847" s="5"/>
      <c r="AB847" s="5"/>
      <c r="AC847" s="5"/>
      <c r="AD847" s="5"/>
      <c r="AE847" s="5"/>
    </row>
    <row r="848" spans="1:31" ht="15.75" customHeight="1">
      <c r="A848" s="5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5"/>
      <c r="T848" s="5"/>
      <c r="U848" s="5"/>
      <c r="V848" s="5"/>
      <c r="W848" s="5"/>
      <c r="X848" s="5"/>
      <c r="Y848" s="5"/>
      <c r="Z848" s="7"/>
      <c r="AA848" s="5"/>
      <c r="AB848" s="5"/>
      <c r="AC848" s="5"/>
      <c r="AD848" s="5"/>
      <c r="AE848" s="5"/>
    </row>
    <row r="849" spans="1:31" ht="15.75" customHeight="1">
      <c r="A849" s="5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5"/>
      <c r="T849" s="5"/>
      <c r="U849" s="5"/>
      <c r="V849" s="5"/>
      <c r="W849" s="5"/>
      <c r="X849" s="5"/>
      <c r="Y849" s="5"/>
      <c r="Z849" s="7"/>
      <c r="AA849" s="5"/>
      <c r="AB849" s="5"/>
      <c r="AC849" s="5"/>
      <c r="AD849" s="5"/>
      <c r="AE849" s="5"/>
    </row>
    <row r="850" spans="1:31" ht="15.75" customHeight="1">
      <c r="A850" s="5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5"/>
      <c r="T850" s="5"/>
      <c r="U850" s="5"/>
      <c r="V850" s="5"/>
      <c r="W850" s="5"/>
      <c r="X850" s="5"/>
      <c r="Y850" s="5"/>
      <c r="Z850" s="7"/>
      <c r="AA850" s="5"/>
      <c r="AB850" s="5"/>
      <c r="AC850" s="5"/>
      <c r="AD850" s="5"/>
      <c r="AE850" s="5"/>
    </row>
    <row r="851" spans="1:31" ht="15.75" customHeight="1">
      <c r="A851" s="5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5"/>
      <c r="T851" s="5"/>
      <c r="U851" s="5"/>
      <c r="V851" s="5"/>
      <c r="W851" s="5"/>
      <c r="X851" s="5"/>
      <c r="Y851" s="5"/>
      <c r="Z851" s="7"/>
      <c r="AA851" s="5"/>
      <c r="AB851" s="5"/>
      <c r="AC851" s="5"/>
      <c r="AD851" s="5"/>
      <c r="AE851" s="5"/>
    </row>
    <row r="852" spans="1:31" ht="15.75" customHeight="1">
      <c r="A852" s="5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5"/>
      <c r="T852" s="5"/>
      <c r="U852" s="5"/>
      <c r="V852" s="5"/>
      <c r="W852" s="5"/>
      <c r="X852" s="5"/>
      <c r="Y852" s="5"/>
      <c r="Z852" s="7"/>
      <c r="AA852" s="5"/>
      <c r="AB852" s="5"/>
      <c r="AC852" s="5"/>
      <c r="AD852" s="5"/>
      <c r="AE852" s="5"/>
    </row>
    <row r="853" spans="1:31" ht="15.75" customHeight="1">
      <c r="A853" s="5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5"/>
      <c r="T853" s="5"/>
      <c r="U853" s="5"/>
      <c r="V853" s="5"/>
      <c r="W853" s="5"/>
      <c r="X853" s="5"/>
      <c r="Y853" s="5"/>
      <c r="Z853" s="7"/>
      <c r="AA853" s="5"/>
      <c r="AB853" s="5"/>
      <c r="AC853" s="5"/>
      <c r="AD853" s="5"/>
      <c r="AE853" s="5"/>
    </row>
    <row r="854" spans="1:31" ht="15.75" customHeight="1">
      <c r="A854" s="5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5"/>
      <c r="T854" s="5"/>
      <c r="U854" s="5"/>
      <c r="V854" s="5"/>
      <c r="W854" s="5"/>
      <c r="X854" s="5"/>
      <c r="Y854" s="5"/>
      <c r="Z854" s="7"/>
      <c r="AA854" s="5"/>
      <c r="AB854" s="5"/>
      <c r="AC854" s="5"/>
      <c r="AD854" s="5"/>
      <c r="AE854" s="5"/>
    </row>
    <row r="855" spans="1:31" ht="15.75" customHeight="1">
      <c r="A855" s="5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5"/>
      <c r="T855" s="5"/>
      <c r="U855" s="5"/>
      <c r="V855" s="5"/>
      <c r="W855" s="5"/>
      <c r="X855" s="5"/>
      <c r="Y855" s="5"/>
      <c r="Z855" s="7"/>
      <c r="AA855" s="5"/>
      <c r="AB855" s="5"/>
      <c r="AC855" s="5"/>
      <c r="AD855" s="5"/>
      <c r="AE855" s="5"/>
    </row>
    <row r="856" spans="1:31" ht="15.75" customHeight="1">
      <c r="A856" s="5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5"/>
      <c r="T856" s="5"/>
      <c r="U856" s="5"/>
      <c r="V856" s="5"/>
      <c r="W856" s="5"/>
      <c r="X856" s="5"/>
      <c r="Y856" s="5"/>
      <c r="Z856" s="7"/>
      <c r="AA856" s="5"/>
      <c r="AB856" s="5"/>
      <c r="AC856" s="5"/>
      <c r="AD856" s="5"/>
      <c r="AE856" s="5"/>
    </row>
    <row r="857" spans="1:31" ht="15.75" customHeight="1">
      <c r="A857" s="5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5"/>
      <c r="T857" s="5"/>
      <c r="U857" s="5"/>
      <c r="V857" s="5"/>
      <c r="W857" s="5"/>
      <c r="X857" s="5"/>
      <c r="Y857" s="5"/>
      <c r="Z857" s="7"/>
      <c r="AA857" s="5"/>
      <c r="AB857" s="5"/>
      <c r="AC857" s="5"/>
      <c r="AD857" s="5"/>
      <c r="AE857" s="5"/>
    </row>
    <row r="858" spans="1:31" ht="15.75" customHeight="1">
      <c r="A858" s="5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5"/>
      <c r="T858" s="5"/>
      <c r="U858" s="5"/>
      <c r="V858" s="5"/>
      <c r="W858" s="5"/>
      <c r="X858" s="5"/>
      <c r="Y858" s="5"/>
      <c r="Z858" s="7"/>
      <c r="AA858" s="5"/>
      <c r="AB858" s="5"/>
      <c r="AC858" s="5"/>
      <c r="AD858" s="5"/>
      <c r="AE858" s="5"/>
    </row>
    <row r="859" spans="1:31" ht="15.75" customHeight="1">
      <c r="A859" s="5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5"/>
      <c r="T859" s="5"/>
      <c r="U859" s="5"/>
      <c r="V859" s="5"/>
      <c r="W859" s="5"/>
      <c r="X859" s="5"/>
      <c r="Y859" s="5"/>
      <c r="Z859" s="7"/>
      <c r="AA859" s="5"/>
      <c r="AB859" s="5"/>
      <c r="AC859" s="5"/>
      <c r="AD859" s="5"/>
      <c r="AE859" s="5"/>
    </row>
    <row r="860" spans="1:31" ht="15.75" customHeight="1">
      <c r="A860" s="5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5"/>
      <c r="T860" s="5"/>
      <c r="U860" s="5"/>
      <c r="V860" s="5"/>
      <c r="W860" s="5"/>
      <c r="X860" s="5"/>
      <c r="Y860" s="5"/>
      <c r="Z860" s="7"/>
      <c r="AA860" s="5"/>
      <c r="AB860" s="5"/>
      <c r="AC860" s="5"/>
      <c r="AD860" s="5"/>
      <c r="AE860" s="5"/>
    </row>
    <row r="861" spans="1:31" ht="15.75" customHeight="1">
      <c r="A861" s="5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5"/>
      <c r="T861" s="5"/>
      <c r="U861" s="5"/>
      <c r="V861" s="5"/>
      <c r="W861" s="5"/>
      <c r="X861" s="5"/>
      <c r="Y861" s="5"/>
      <c r="Z861" s="7"/>
      <c r="AA861" s="5"/>
      <c r="AB861" s="5"/>
      <c r="AC861" s="5"/>
      <c r="AD861" s="5"/>
      <c r="AE861" s="5"/>
    </row>
    <row r="862" spans="1:31" ht="15.75" customHeight="1">
      <c r="A862" s="5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5"/>
      <c r="T862" s="5"/>
      <c r="U862" s="5"/>
      <c r="V862" s="5"/>
      <c r="W862" s="5"/>
      <c r="X862" s="5"/>
      <c r="Y862" s="5"/>
      <c r="Z862" s="7"/>
      <c r="AA862" s="5"/>
      <c r="AB862" s="5"/>
      <c r="AC862" s="5"/>
      <c r="AD862" s="5"/>
      <c r="AE862" s="5"/>
    </row>
    <row r="863" spans="1:31" ht="15.75" customHeight="1">
      <c r="A863" s="5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5"/>
      <c r="T863" s="5"/>
      <c r="U863" s="5"/>
      <c r="V863" s="5"/>
      <c r="W863" s="5"/>
      <c r="X863" s="5"/>
      <c r="Y863" s="5"/>
      <c r="Z863" s="7"/>
      <c r="AA863" s="5"/>
      <c r="AB863" s="5"/>
      <c r="AC863" s="5"/>
      <c r="AD863" s="5"/>
      <c r="AE863" s="5"/>
    </row>
    <row r="864" spans="1:31" ht="15.75" customHeight="1">
      <c r="A864" s="5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5"/>
      <c r="T864" s="5"/>
      <c r="U864" s="5"/>
      <c r="V864" s="5"/>
      <c r="W864" s="5"/>
      <c r="X864" s="5"/>
      <c r="Y864" s="5"/>
      <c r="Z864" s="7"/>
      <c r="AA864" s="5"/>
      <c r="AB864" s="5"/>
      <c r="AC864" s="5"/>
      <c r="AD864" s="5"/>
      <c r="AE864" s="5"/>
    </row>
    <row r="865" spans="1:31" ht="15.75" customHeight="1">
      <c r="A865" s="5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5"/>
      <c r="T865" s="5"/>
      <c r="U865" s="5"/>
      <c r="V865" s="5"/>
      <c r="W865" s="5"/>
      <c r="X865" s="5"/>
      <c r="Y865" s="5"/>
      <c r="Z865" s="7"/>
      <c r="AA865" s="5"/>
      <c r="AB865" s="5"/>
      <c r="AC865" s="5"/>
      <c r="AD865" s="5"/>
      <c r="AE865" s="5"/>
    </row>
    <row r="866" spans="1:31" ht="15.75" customHeight="1">
      <c r="A866" s="5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5"/>
      <c r="T866" s="5"/>
      <c r="U866" s="5"/>
      <c r="V866" s="5"/>
      <c r="W866" s="5"/>
      <c r="X866" s="5"/>
      <c r="Y866" s="5"/>
      <c r="Z866" s="7"/>
      <c r="AA866" s="5"/>
      <c r="AB866" s="5"/>
      <c r="AC866" s="5"/>
      <c r="AD866" s="5"/>
      <c r="AE866" s="5"/>
    </row>
    <row r="867" spans="1:31" ht="15.75" customHeight="1">
      <c r="A867" s="5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5"/>
      <c r="T867" s="5"/>
      <c r="U867" s="5"/>
      <c r="V867" s="5"/>
      <c r="W867" s="5"/>
      <c r="X867" s="5"/>
      <c r="Y867" s="5"/>
      <c r="Z867" s="7"/>
      <c r="AA867" s="5"/>
      <c r="AB867" s="5"/>
      <c r="AC867" s="5"/>
      <c r="AD867" s="5"/>
      <c r="AE867" s="5"/>
    </row>
    <row r="868" spans="1:31" ht="15.75" customHeight="1">
      <c r="A868" s="5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5"/>
      <c r="T868" s="5"/>
      <c r="U868" s="5"/>
      <c r="V868" s="5"/>
      <c r="W868" s="5"/>
      <c r="X868" s="5"/>
      <c r="Y868" s="5"/>
      <c r="Z868" s="7"/>
      <c r="AA868" s="5"/>
      <c r="AB868" s="5"/>
      <c r="AC868" s="5"/>
      <c r="AD868" s="5"/>
      <c r="AE868" s="5"/>
    </row>
    <row r="869" spans="1:31" ht="15.75" customHeight="1">
      <c r="A869" s="5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5"/>
      <c r="T869" s="5"/>
      <c r="U869" s="5"/>
      <c r="V869" s="5"/>
      <c r="W869" s="5"/>
      <c r="X869" s="5"/>
      <c r="Y869" s="5"/>
      <c r="Z869" s="7"/>
      <c r="AA869" s="5"/>
      <c r="AB869" s="5"/>
      <c r="AC869" s="5"/>
      <c r="AD869" s="5"/>
      <c r="AE869" s="5"/>
    </row>
    <row r="870" spans="1:31" ht="15.75" customHeight="1">
      <c r="A870" s="5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5"/>
      <c r="T870" s="5"/>
      <c r="U870" s="5"/>
      <c r="V870" s="5"/>
      <c r="W870" s="5"/>
      <c r="X870" s="5"/>
      <c r="Y870" s="5"/>
      <c r="Z870" s="7"/>
      <c r="AA870" s="5"/>
      <c r="AB870" s="5"/>
      <c r="AC870" s="5"/>
      <c r="AD870" s="5"/>
      <c r="AE870" s="5"/>
    </row>
    <row r="871" spans="1:31" ht="15.75" customHeight="1">
      <c r="A871" s="5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5"/>
      <c r="T871" s="5"/>
      <c r="U871" s="5"/>
      <c r="V871" s="5"/>
      <c r="W871" s="5"/>
      <c r="X871" s="5"/>
      <c r="Y871" s="5"/>
      <c r="Z871" s="7"/>
      <c r="AA871" s="5"/>
      <c r="AB871" s="5"/>
      <c r="AC871" s="5"/>
      <c r="AD871" s="5"/>
      <c r="AE871" s="5"/>
    </row>
    <row r="872" spans="1:31" ht="15.75" customHeight="1">
      <c r="A872" s="5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5"/>
      <c r="T872" s="5"/>
      <c r="U872" s="5"/>
      <c r="V872" s="5"/>
      <c r="W872" s="5"/>
      <c r="X872" s="5"/>
      <c r="Y872" s="5"/>
      <c r="Z872" s="7"/>
      <c r="AA872" s="5"/>
      <c r="AB872" s="5"/>
      <c r="AC872" s="5"/>
      <c r="AD872" s="5"/>
      <c r="AE872" s="5"/>
    </row>
    <row r="873" spans="1:31" ht="15.75" customHeight="1">
      <c r="A873" s="5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5"/>
      <c r="T873" s="5"/>
      <c r="U873" s="5"/>
      <c r="V873" s="5"/>
      <c r="W873" s="5"/>
      <c r="X873" s="5"/>
      <c r="Y873" s="5"/>
      <c r="Z873" s="7"/>
      <c r="AA873" s="5"/>
      <c r="AB873" s="5"/>
      <c r="AC873" s="5"/>
      <c r="AD873" s="5"/>
      <c r="AE873" s="5"/>
    </row>
    <row r="874" spans="1:31" ht="15.75" customHeight="1">
      <c r="A874" s="5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5"/>
      <c r="T874" s="5"/>
      <c r="U874" s="5"/>
      <c r="V874" s="5"/>
      <c r="W874" s="5"/>
      <c r="X874" s="5"/>
      <c r="Y874" s="5"/>
      <c r="Z874" s="7"/>
      <c r="AA874" s="5"/>
      <c r="AB874" s="5"/>
      <c r="AC874" s="5"/>
      <c r="AD874" s="5"/>
      <c r="AE874" s="5"/>
    </row>
    <row r="875" spans="1:31" ht="15.75" customHeight="1">
      <c r="A875" s="5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5"/>
      <c r="T875" s="5"/>
      <c r="U875" s="5"/>
      <c r="V875" s="5"/>
      <c r="W875" s="5"/>
      <c r="X875" s="5"/>
      <c r="Y875" s="5"/>
      <c r="Z875" s="7"/>
      <c r="AA875" s="5"/>
      <c r="AB875" s="5"/>
      <c r="AC875" s="5"/>
      <c r="AD875" s="5"/>
      <c r="AE875" s="5"/>
    </row>
    <row r="876" spans="1:31" ht="15.75" customHeight="1">
      <c r="A876" s="5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5"/>
      <c r="T876" s="5"/>
      <c r="U876" s="5"/>
      <c r="V876" s="5"/>
      <c r="W876" s="5"/>
      <c r="X876" s="5"/>
      <c r="Y876" s="5"/>
      <c r="Z876" s="7"/>
      <c r="AA876" s="5"/>
      <c r="AB876" s="5"/>
      <c r="AC876" s="5"/>
      <c r="AD876" s="5"/>
      <c r="AE876" s="5"/>
    </row>
    <row r="877" spans="1:31" ht="15.75" customHeight="1">
      <c r="A877" s="5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5"/>
      <c r="T877" s="5"/>
      <c r="U877" s="5"/>
      <c r="V877" s="5"/>
      <c r="W877" s="5"/>
      <c r="X877" s="5"/>
      <c r="Y877" s="5"/>
      <c r="Z877" s="7"/>
      <c r="AA877" s="5"/>
      <c r="AB877" s="5"/>
      <c r="AC877" s="5"/>
      <c r="AD877" s="5"/>
      <c r="AE877" s="5"/>
    </row>
    <row r="878" spans="1:31" ht="15.75" customHeight="1">
      <c r="A878" s="5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5"/>
      <c r="T878" s="5"/>
      <c r="U878" s="5"/>
      <c r="V878" s="5"/>
      <c r="W878" s="5"/>
      <c r="X878" s="5"/>
      <c r="Y878" s="5"/>
      <c r="Z878" s="7"/>
      <c r="AA878" s="5"/>
      <c r="AB878" s="5"/>
      <c r="AC878" s="5"/>
      <c r="AD878" s="5"/>
      <c r="AE878" s="5"/>
    </row>
    <row r="879" spans="1:31" ht="15.75" customHeight="1">
      <c r="A879" s="5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5"/>
      <c r="T879" s="5"/>
      <c r="U879" s="5"/>
      <c r="V879" s="5"/>
      <c r="W879" s="5"/>
      <c r="X879" s="5"/>
      <c r="Y879" s="5"/>
      <c r="Z879" s="7"/>
      <c r="AA879" s="5"/>
      <c r="AB879" s="5"/>
      <c r="AC879" s="5"/>
      <c r="AD879" s="5"/>
      <c r="AE879" s="5"/>
    </row>
    <row r="880" spans="1:31" ht="15.75" customHeight="1">
      <c r="A880" s="5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5"/>
      <c r="T880" s="5"/>
      <c r="U880" s="5"/>
      <c r="V880" s="5"/>
      <c r="W880" s="5"/>
      <c r="X880" s="5"/>
      <c r="Y880" s="5"/>
      <c r="Z880" s="7"/>
      <c r="AA880" s="5"/>
      <c r="AB880" s="5"/>
      <c r="AC880" s="5"/>
      <c r="AD880" s="5"/>
      <c r="AE880" s="5"/>
    </row>
    <row r="881" spans="1:31" ht="15.75" customHeight="1">
      <c r="A881" s="5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5"/>
      <c r="T881" s="5"/>
      <c r="U881" s="5"/>
      <c r="V881" s="5"/>
      <c r="W881" s="5"/>
      <c r="X881" s="5"/>
      <c r="Y881" s="5"/>
      <c r="Z881" s="7"/>
      <c r="AA881" s="5"/>
      <c r="AB881" s="5"/>
      <c r="AC881" s="5"/>
      <c r="AD881" s="5"/>
      <c r="AE881" s="5"/>
    </row>
    <row r="882" spans="1:31" ht="15.75" customHeight="1">
      <c r="A882" s="5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5"/>
      <c r="T882" s="5"/>
      <c r="U882" s="5"/>
      <c r="V882" s="5"/>
      <c r="W882" s="5"/>
      <c r="X882" s="5"/>
      <c r="Y882" s="5"/>
      <c r="Z882" s="7"/>
      <c r="AA882" s="5"/>
      <c r="AB882" s="5"/>
      <c r="AC882" s="5"/>
      <c r="AD882" s="5"/>
      <c r="AE882" s="5"/>
    </row>
    <row r="883" spans="1:31" ht="15.75" customHeight="1">
      <c r="A883" s="5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5"/>
      <c r="T883" s="5"/>
      <c r="U883" s="5"/>
      <c r="V883" s="5"/>
      <c r="W883" s="5"/>
      <c r="X883" s="5"/>
      <c r="Y883" s="5"/>
      <c r="Z883" s="7"/>
      <c r="AA883" s="5"/>
      <c r="AB883" s="5"/>
      <c r="AC883" s="5"/>
      <c r="AD883" s="5"/>
      <c r="AE883" s="5"/>
    </row>
    <row r="884" spans="1:31" ht="15.75" customHeight="1">
      <c r="A884" s="5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5"/>
      <c r="T884" s="5"/>
      <c r="U884" s="5"/>
      <c r="V884" s="5"/>
      <c r="W884" s="5"/>
      <c r="X884" s="5"/>
      <c r="Y884" s="5"/>
      <c r="Z884" s="7"/>
      <c r="AA884" s="5"/>
      <c r="AB884" s="5"/>
      <c r="AC884" s="5"/>
      <c r="AD884" s="5"/>
      <c r="AE884" s="5"/>
    </row>
    <row r="885" spans="1:31" ht="15.75" customHeight="1">
      <c r="A885" s="5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5"/>
      <c r="T885" s="5"/>
      <c r="U885" s="5"/>
      <c r="V885" s="5"/>
      <c r="W885" s="5"/>
      <c r="X885" s="5"/>
      <c r="Y885" s="5"/>
      <c r="Z885" s="7"/>
      <c r="AA885" s="5"/>
      <c r="AB885" s="5"/>
      <c r="AC885" s="5"/>
      <c r="AD885" s="5"/>
      <c r="AE885" s="5"/>
    </row>
    <row r="886" spans="1:31" ht="15.75" customHeight="1">
      <c r="A886" s="5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5"/>
      <c r="T886" s="5"/>
      <c r="U886" s="5"/>
      <c r="V886" s="5"/>
      <c r="W886" s="5"/>
      <c r="X886" s="5"/>
      <c r="Y886" s="5"/>
      <c r="Z886" s="7"/>
      <c r="AA886" s="5"/>
      <c r="AB886" s="5"/>
      <c r="AC886" s="5"/>
      <c r="AD886" s="5"/>
      <c r="AE886" s="5"/>
    </row>
    <row r="887" spans="1:31" ht="15.75" customHeight="1">
      <c r="A887" s="5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5"/>
      <c r="T887" s="5"/>
      <c r="U887" s="5"/>
      <c r="V887" s="5"/>
      <c r="W887" s="5"/>
      <c r="X887" s="5"/>
      <c r="Y887" s="5"/>
      <c r="Z887" s="7"/>
      <c r="AA887" s="5"/>
      <c r="AB887" s="5"/>
      <c r="AC887" s="5"/>
      <c r="AD887" s="5"/>
      <c r="AE887" s="5"/>
    </row>
    <row r="888" spans="1:31" ht="15.75" customHeight="1">
      <c r="A888" s="5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5"/>
      <c r="T888" s="5"/>
      <c r="U888" s="5"/>
      <c r="V888" s="5"/>
      <c r="W888" s="5"/>
      <c r="X888" s="5"/>
      <c r="Y888" s="5"/>
      <c r="Z888" s="7"/>
      <c r="AA888" s="5"/>
      <c r="AB888" s="5"/>
      <c r="AC888" s="5"/>
      <c r="AD888" s="5"/>
      <c r="AE888" s="5"/>
    </row>
    <row r="889" spans="1:31" ht="15.75" customHeight="1">
      <c r="A889" s="5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5"/>
      <c r="T889" s="5"/>
      <c r="U889" s="5"/>
      <c r="V889" s="5"/>
      <c r="W889" s="5"/>
      <c r="X889" s="5"/>
      <c r="Y889" s="5"/>
      <c r="Z889" s="7"/>
      <c r="AA889" s="5"/>
      <c r="AB889" s="5"/>
      <c r="AC889" s="5"/>
      <c r="AD889" s="5"/>
      <c r="AE889" s="5"/>
    </row>
    <row r="890" spans="1:31" ht="15.75" customHeight="1">
      <c r="A890" s="5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5"/>
      <c r="T890" s="5"/>
      <c r="U890" s="5"/>
      <c r="V890" s="5"/>
      <c r="W890" s="5"/>
      <c r="X890" s="5"/>
      <c r="Y890" s="5"/>
      <c r="Z890" s="7"/>
      <c r="AA890" s="5"/>
      <c r="AB890" s="5"/>
      <c r="AC890" s="5"/>
      <c r="AD890" s="5"/>
      <c r="AE890" s="5"/>
    </row>
    <row r="891" spans="1:31" ht="15.75" customHeight="1">
      <c r="A891" s="5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5"/>
      <c r="T891" s="5"/>
      <c r="U891" s="5"/>
      <c r="V891" s="5"/>
      <c r="W891" s="5"/>
      <c r="X891" s="5"/>
      <c r="Y891" s="5"/>
      <c r="Z891" s="7"/>
      <c r="AA891" s="5"/>
      <c r="AB891" s="5"/>
      <c r="AC891" s="5"/>
      <c r="AD891" s="5"/>
      <c r="AE891" s="5"/>
    </row>
    <row r="892" spans="1:31" ht="15.75" customHeight="1">
      <c r="A892" s="5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5"/>
      <c r="T892" s="5"/>
      <c r="U892" s="5"/>
      <c r="V892" s="5"/>
      <c r="W892" s="5"/>
      <c r="X892" s="5"/>
      <c r="Y892" s="5"/>
      <c r="Z892" s="7"/>
      <c r="AA892" s="5"/>
      <c r="AB892" s="5"/>
      <c r="AC892" s="5"/>
      <c r="AD892" s="5"/>
      <c r="AE892" s="5"/>
    </row>
    <row r="893" spans="1:31" ht="15.75" customHeight="1">
      <c r="A893" s="5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5"/>
      <c r="T893" s="5"/>
      <c r="U893" s="5"/>
      <c r="V893" s="5"/>
      <c r="W893" s="5"/>
      <c r="X893" s="5"/>
      <c r="Y893" s="5"/>
      <c r="Z893" s="7"/>
      <c r="AA893" s="5"/>
      <c r="AB893" s="5"/>
      <c r="AC893" s="5"/>
      <c r="AD893" s="5"/>
      <c r="AE893" s="5"/>
    </row>
    <row r="894" spans="1:31" ht="15.75" customHeight="1">
      <c r="A894" s="5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5"/>
      <c r="T894" s="5"/>
      <c r="U894" s="5"/>
      <c r="V894" s="5"/>
      <c r="W894" s="5"/>
      <c r="X894" s="5"/>
      <c r="Y894" s="5"/>
      <c r="Z894" s="7"/>
      <c r="AA894" s="5"/>
      <c r="AB894" s="5"/>
      <c r="AC894" s="5"/>
      <c r="AD894" s="5"/>
      <c r="AE894" s="5"/>
    </row>
    <row r="895" spans="1:31" ht="15.75" customHeight="1">
      <c r="A895" s="5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5"/>
      <c r="T895" s="5"/>
      <c r="U895" s="5"/>
      <c r="V895" s="5"/>
      <c r="W895" s="5"/>
      <c r="X895" s="5"/>
      <c r="Y895" s="5"/>
      <c r="Z895" s="7"/>
      <c r="AA895" s="5"/>
      <c r="AB895" s="5"/>
      <c r="AC895" s="5"/>
      <c r="AD895" s="5"/>
      <c r="AE895" s="5"/>
    </row>
    <row r="896" spans="1:31" ht="15.75" customHeight="1">
      <c r="A896" s="5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5"/>
      <c r="T896" s="5"/>
      <c r="U896" s="5"/>
      <c r="V896" s="5"/>
      <c r="W896" s="5"/>
      <c r="X896" s="5"/>
      <c r="Y896" s="5"/>
      <c r="Z896" s="7"/>
      <c r="AA896" s="5"/>
      <c r="AB896" s="5"/>
      <c r="AC896" s="5"/>
      <c r="AD896" s="5"/>
      <c r="AE896" s="5"/>
    </row>
    <row r="897" spans="1:31" ht="15.75" customHeight="1">
      <c r="A897" s="5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5"/>
      <c r="T897" s="5"/>
      <c r="U897" s="5"/>
      <c r="V897" s="5"/>
      <c r="W897" s="5"/>
      <c r="X897" s="5"/>
      <c r="Y897" s="5"/>
      <c r="Z897" s="7"/>
      <c r="AA897" s="5"/>
      <c r="AB897" s="5"/>
      <c r="AC897" s="5"/>
      <c r="AD897" s="5"/>
      <c r="AE897" s="5"/>
    </row>
    <row r="898" spans="1:31" ht="15.75" customHeight="1">
      <c r="A898" s="5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5"/>
      <c r="T898" s="5"/>
      <c r="U898" s="5"/>
      <c r="V898" s="5"/>
      <c r="W898" s="5"/>
      <c r="X898" s="5"/>
      <c r="Y898" s="5"/>
      <c r="Z898" s="7"/>
      <c r="AA898" s="5"/>
      <c r="AB898" s="5"/>
      <c r="AC898" s="5"/>
      <c r="AD898" s="5"/>
      <c r="AE898" s="5"/>
    </row>
    <row r="899" spans="1:31" ht="15.75" customHeight="1">
      <c r="A899" s="5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5"/>
      <c r="T899" s="5"/>
      <c r="U899" s="5"/>
      <c r="V899" s="5"/>
      <c r="W899" s="5"/>
      <c r="X899" s="5"/>
      <c r="Y899" s="5"/>
      <c r="Z899" s="7"/>
      <c r="AA899" s="5"/>
      <c r="AB899" s="5"/>
      <c r="AC899" s="5"/>
      <c r="AD899" s="5"/>
      <c r="AE899" s="5"/>
    </row>
    <row r="900" spans="1:31" ht="15.75" customHeight="1">
      <c r="A900" s="5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5"/>
      <c r="T900" s="5"/>
      <c r="U900" s="5"/>
      <c r="V900" s="5"/>
      <c r="W900" s="5"/>
      <c r="X900" s="5"/>
      <c r="Y900" s="5"/>
      <c r="Z900" s="7"/>
      <c r="AA900" s="5"/>
      <c r="AB900" s="5"/>
      <c r="AC900" s="5"/>
      <c r="AD900" s="5"/>
      <c r="AE900" s="5"/>
    </row>
    <row r="901" spans="1:31" ht="15.75" customHeight="1">
      <c r="A901" s="5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5"/>
      <c r="T901" s="5"/>
      <c r="U901" s="5"/>
      <c r="V901" s="5"/>
      <c r="W901" s="5"/>
      <c r="X901" s="5"/>
      <c r="Y901" s="5"/>
      <c r="Z901" s="7"/>
      <c r="AA901" s="5"/>
      <c r="AB901" s="5"/>
      <c r="AC901" s="5"/>
      <c r="AD901" s="5"/>
      <c r="AE901" s="5"/>
    </row>
    <row r="902" spans="1:31" ht="15.75" customHeight="1">
      <c r="A902" s="5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5"/>
      <c r="T902" s="5"/>
      <c r="U902" s="5"/>
      <c r="V902" s="5"/>
      <c r="W902" s="5"/>
      <c r="X902" s="5"/>
      <c r="Y902" s="5"/>
      <c r="Z902" s="7"/>
      <c r="AA902" s="5"/>
      <c r="AB902" s="5"/>
      <c r="AC902" s="5"/>
      <c r="AD902" s="5"/>
      <c r="AE902" s="5"/>
    </row>
    <row r="903" spans="1:31" ht="15.75" customHeight="1">
      <c r="A903" s="5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5"/>
      <c r="T903" s="5"/>
      <c r="U903" s="5"/>
      <c r="V903" s="5"/>
      <c r="W903" s="5"/>
      <c r="X903" s="5"/>
      <c r="Y903" s="5"/>
      <c r="Z903" s="7"/>
      <c r="AA903" s="5"/>
      <c r="AB903" s="5"/>
      <c r="AC903" s="5"/>
      <c r="AD903" s="5"/>
      <c r="AE903" s="5"/>
    </row>
    <row r="904" spans="1:31" ht="15.75" customHeight="1">
      <c r="A904" s="5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5"/>
      <c r="T904" s="5"/>
      <c r="U904" s="5"/>
      <c r="V904" s="5"/>
      <c r="W904" s="5"/>
      <c r="X904" s="5"/>
      <c r="Y904" s="5"/>
      <c r="Z904" s="7"/>
      <c r="AA904" s="5"/>
      <c r="AB904" s="5"/>
      <c r="AC904" s="5"/>
      <c r="AD904" s="5"/>
      <c r="AE904" s="5"/>
    </row>
    <row r="905" spans="1:31" ht="15.75" customHeight="1">
      <c r="A905" s="5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5"/>
      <c r="T905" s="5"/>
      <c r="U905" s="5"/>
      <c r="V905" s="5"/>
      <c r="W905" s="5"/>
      <c r="X905" s="5"/>
      <c r="Y905" s="5"/>
      <c r="Z905" s="7"/>
      <c r="AA905" s="5"/>
      <c r="AB905" s="5"/>
      <c r="AC905" s="5"/>
      <c r="AD905" s="5"/>
      <c r="AE905" s="5"/>
    </row>
    <row r="906" spans="1:31" ht="15.75" customHeight="1">
      <c r="A906" s="5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5"/>
      <c r="T906" s="5"/>
      <c r="U906" s="5"/>
      <c r="V906" s="5"/>
      <c r="W906" s="5"/>
      <c r="X906" s="5"/>
      <c r="Y906" s="5"/>
      <c r="Z906" s="7"/>
      <c r="AA906" s="5"/>
      <c r="AB906" s="5"/>
      <c r="AC906" s="5"/>
      <c r="AD906" s="5"/>
      <c r="AE906" s="5"/>
    </row>
    <row r="907" spans="1:31" ht="15.75" customHeight="1">
      <c r="A907" s="5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5"/>
      <c r="T907" s="5"/>
      <c r="U907" s="5"/>
      <c r="V907" s="5"/>
      <c r="W907" s="5"/>
      <c r="X907" s="5"/>
      <c r="Y907" s="5"/>
      <c r="Z907" s="7"/>
      <c r="AA907" s="5"/>
      <c r="AB907" s="5"/>
      <c r="AC907" s="5"/>
      <c r="AD907" s="5"/>
      <c r="AE907" s="5"/>
    </row>
    <row r="908" spans="1:31" ht="15.75" customHeight="1">
      <c r="A908" s="5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5"/>
      <c r="T908" s="5"/>
      <c r="U908" s="5"/>
      <c r="V908" s="5"/>
      <c r="W908" s="5"/>
      <c r="X908" s="5"/>
      <c r="Y908" s="5"/>
      <c r="Z908" s="7"/>
      <c r="AA908" s="5"/>
      <c r="AB908" s="5"/>
      <c r="AC908" s="5"/>
      <c r="AD908" s="5"/>
      <c r="AE908" s="5"/>
    </row>
    <row r="909" spans="1:31" ht="15.75" customHeight="1">
      <c r="A909" s="5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5"/>
      <c r="T909" s="5"/>
      <c r="U909" s="5"/>
      <c r="V909" s="5"/>
      <c r="W909" s="5"/>
      <c r="X909" s="5"/>
      <c r="Y909" s="5"/>
      <c r="Z909" s="7"/>
      <c r="AA909" s="5"/>
      <c r="AB909" s="5"/>
      <c r="AC909" s="5"/>
      <c r="AD909" s="5"/>
      <c r="AE909" s="5"/>
    </row>
    <row r="910" spans="1:31" ht="15.75" customHeight="1">
      <c r="A910" s="5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5"/>
      <c r="T910" s="5"/>
      <c r="U910" s="5"/>
      <c r="V910" s="5"/>
      <c r="W910" s="5"/>
      <c r="X910" s="5"/>
      <c r="Y910" s="5"/>
      <c r="Z910" s="7"/>
      <c r="AA910" s="5"/>
      <c r="AB910" s="5"/>
      <c r="AC910" s="5"/>
      <c r="AD910" s="5"/>
      <c r="AE910" s="5"/>
    </row>
    <row r="911" spans="1:31" ht="15.75" customHeight="1">
      <c r="A911" s="5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5"/>
      <c r="T911" s="5"/>
      <c r="U911" s="5"/>
      <c r="V911" s="5"/>
      <c r="W911" s="5"/>
      <c r="X911" s="5"/>
      <c r="Y911" s="5"/>
      <c r="Z911" s="7"/>
      <c r="AA911" s="5"/>
      <c r="AB911" s="5"/>
      <c r="AC911" s="5"/>
      <c r="AD911" s="5"/>
      <c r="AE911" s="5"/>
    </row>
    <row r="912" spans="1:31" ht="15.75" customHeight="1">
      <c r="A912" s="5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5"/>
      <c r="T912" s="5"/>
      <c r="U912" s="5"/>
      <c r="V912" s="5"/>
      <c r="W912" s="5"/>
      <c r="X912" s="5"/>
      <c r="Y912" s="5"/>
      <c r="Z912" s="7"/>
      <c r="AA912" s="5"/>
      <c r="AB912" s="5"/>
      <c r="AC912" s="5"/>
      <c r="AD912" s="5"/>
      <c r="AE912" s="5"/>
    </row>
    <row r="913" spans="1:31" ht="15.75" customHeight="1">
      <c r="A913" s="5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5"/>
      <c r="T913" s="5"/>
      <c r="U913" s="5"/>
      <c r="V913" s="5"/>
      <c r="W913" s="5"/>
      <c r="X913" s="5"/>
      <c r="Y913" s="5"/>
      <c r="Z913" s="7"/>
      <c r="AA913" s="5"/>
      <c r="AB913" s="5"/>
      <c r="AC913" s="5"/>
      <c r="AD913" s="5"/>
      <c r="AE913" s="5"/>
    </row>
    <row r="914" spans="1:31" ht="15.75" customHeight="1">
      <c r="A914" s="5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5"/>
      <c r="T914" s="5"/>
      <c r="U914" s="5"/>
      <c r="V914" s="5"/>
      <c r="W914" s="5"/>
      <c r="X914" s="5"/>
      <c r="Y914" s="5"/>
      <c r="Z914" s="7"/>
      <c r="AA914" s="5"/>
      <c r="AB914" s="5"/>
      <c r="AC914" s="5"/>
      <c r="AD914" s="5"/>
      <c r="AE914" s="5"/>
    </row>
    <row r="915" spans="1:31" ht="15.75" customHeight="1">
      <c r="A915" s="5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5"/>
      <c r="T915" s="5"/>
      <c r="U915" s="5"/>
      <c r="V915" s="5"/>
      <c r="W915" s="5"/>
      <c r="X915" s="5"/>
      <c r="Y915" s="5"/>
      <c r="Z915" s="7"/>
      <c r="AA915" s="5"/>
      <c r="AB915" s="5"/>
      <c r="AC915" s="5"/>
      <c r="AD915" s="5"/>
      <c r="AE915" s="5"/>
    </row>
    <row r="916" spans="1:31" ht="15.75" customHeight="1">
      <c r="A916" s="5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5"/>
      <c r="T916" s="5"/>
      <c r="U916" s="5"/>
      <c r="V916" s="5"/>
      <c r="W916" s="5"/>
      <c r="X916" s="5"/>
      <c r="Y916" s="5"/>
      <c r="Z916" s="7"/>
      <c r="AA916" s="5"/>
      <c r="AB916" s="5"/>
      <c r="AC916" s="5"/>
      <c r="AD916" s="5"/>
      <c r="AE916" s="5"/>
    </row>
    <row r="917" spans="1:31" ht="15.75" customHeight="1">
      <c r="A917" s="5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5"/>
      <c r="T917" s="5"/>
      <c r="U917" s="5"/>
      <c r="V917" s="5"/>
      <c r="W917" s="5"/>
      <c r="X917" s="5"/>
      <c r="Y917" s="5"/>
      <c r="Z917" s="7"/>
      <c r="AA917" s="5"/>
      <c r="AB917" s="5"/>
      <c r="AC917" s="5"/>
      <c r="AD917" s="5"/>
      <c r="AE917" s="5"/>
    </row>
    <row r="918" spans="1:31" ht="15.75" customHeight="1">
      <c r="A918" s="5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5"/>
      <c r="T918" s="5"/>
      <c r="U918" s="5"/>
      <c r="V918" s="5"/>
      <c r="W918" s="5"/>
      <c r="X918" s="5"/>
      <c r="Y918" s="5"/>
      <c r="Z918" s="7"/>
      <c r="AA918" s="5"/>
      <c r="AB918" s="5"/>
      <c r="AC918" s="5"/>
      <c r="AD918" s="5"/>
      <c r="AE918" s="5"/>
    </row>
    <row r="919" spans="1:31" ht="15.75" customHeight="1">
      <c r="A919" s="5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5"/>
      <c r="T919" s="5"/>
      <c r="U919" s="5"/>
      <c r="V919" s="5"/>
      <c r="W919" s="5"/>
      <c r="X919" s="5"/>
      <c r="Y919" s="5"/>
      <c r="Z919" s="7"/>
      <c r="AA919" s="5"/>
      <c r="AB919" s="5"/>
      <c r="AC919" s="5"/>
      <c r="AD919" s="5"/>
      <c r="AE919" s="5"/>
    </row>
    <row r="920" spans="1:31" ht="15.75" customHeight="1">
      <c r="A920" s="5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5"/>
      <c r="T920" s="5"/>
      <c r="U920" s="5"/>
      <c r="V920" s="5"/>
      <c r="W920" s="5"/>
      <c r="X920" s="5"/>
      <c r="Y920" s="5"/>
      <c r="Z920" s="7"/>
      <c r="AA920" s="5"/>
      <c r="AB920" s="5"/>
      <c r="AC920" s="5"/>
      <c r="AD920" s="5"/>
      <c r="AE920" s="5"/>
    </row>
    <row r="921" spans="1:31" ht="15.75" customHeight="1">
      <c r="A921" s="5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5"/>
      <c r="T921" s="5"/>
      <c r="U921" s="5"/>
      <c r="V921" s="5"/>
      <c r="W921" s="5"/>
      <c r="X921" s="5"/>
      <c r="Y921" s="5"/>
      <c r="Z921" s="7"/>
      <c r="AA921" s="5"/>
      <c r="AB921" s="5"/>
      <c r="AC921" s="5"/>
      <c r="AD921" s="5"/>
      <c r="AE921" s="5"/>
    </row>
    <row r="922" spans="1:31" ht="15.75" customHeight="1">
      <c r="A922" s="5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5"/>
      <c r="T922" s="5"/>
      <c r="U922" s="5"/>
      <c r="V922" s="5"/>
      <c r="W922" s="5"/>
      <c r="X922" s="5"/>
      <c r="Y922" s="5"/>
      <c r="Z922" s="7"/>
      <c r="AA922" s="5"/>
      <c r="AB922" s="5"/>
      <c r="AC922" s="5"/>
      <c r="AD922" s="5"/>
      <c r="AE922" s="5"/>
    </row>
    <row r="923" spans="1:31" ht="15.75" customHeight="1">
      <c r="A923" s="5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5"/>
      <c r="T923" s="5"/>
      <c r="U923" s="5"/>
      <c r="V923" s="5"/>
      <c r="W923" s="5"/>
      <c r="X923" s="5"/>
      <c r="Y923" s="5"/>
      <c r="Z923" s="7"/>
      <c r="AA923" s="5"/>
      <c r="AB923" s="5"/>
      <c r="AC923" s="5"/>
      <c r="AD923" s="5"/>
      <c r="AE923" s="5"/>
    </row>
    <row r="924" spans="1:31" ht="15.75" customHeight="1">
      <c r="A924" s="5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5"/>
      <c r="T924" s="5"/>
      <c r="U924" s="5"/>
      <c r="V924" s="5"/>
      <c r="W924" s="5"/>
      <c r="X924" s="5"/>
      <c r="Y924" s="5"/>
      <c r="Z924" s="7"/>
      <c r="AA924" s="5"/>
      <c r="AB924" s="5"/>
      <c r="AC924" s="5"/>
      <c r="AD924" s="5"/>
      <c r="AE924" s="5"/>
    </row>
    <row r="925" spans="1:31" ht="15.75" customHeight="1">
      <c r="A925" s="5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5"/>
      <c r="T925" s="5"/>
      <c r="U925" s="5"/>
      <c r="V925" s="5"/>
      <c r="W925" s="5"/>
      <c r="X925" s="5"/>
      <c r="Y925" s="5"/>
      <c r="Z925" s="7"/>
      <c r="AA925" s="5"/>
      <c r="AB925" s="5"/>
      <c r="AC925" s="5"/>
      <c r="AD925" s="5"/>
      <c r="AE925" s="5"/>
    </row>
    <row r="926" spans="1:31" ht="15.75" customHeight="1">
      <c r="A926" s="5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5"/>
      <c r="T926" s="5"/>
      <c r="U926" s="5"/>
      <c r="V926" s="5"/>
      <c r="W926" s="5"/>
      <c r="X926" s="5"/>
      <c r="Y926" s="5"/>
      <c r="Z926" s="7"/>
      <c r="AA926" s="5"/>
      <c r="AB926" s="5"/>
      <c r="AC926" s="5"/>
      <c r="AD926" s="5"/>
      <c r="AE926" s="5"/>
    </row>
    <row r="927" spans="1:31" ht="15.75" customHeight="1">
      <c r="A927" s="5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5"/>
      <c r="T927" s="5"/>
      <c r="U927" s="5"/>
      <c r="V927" s="5"/>
      <c r="W927" s="5"/>
      <c r="X927" s="5"/>
      <c r="Y927" s="5"/>
      <c r="Z927" s="7"/>
      <c r="AA927" s="5"/>
      <c r="AB927" s="5"/>
      <c r="AC927" s="5"/>
      <c r="AD927" s="5"/>
      <c r="AE927" s="5"/>
    </row>
    <row r="928" spans="1:31" ht="15.75" customHeight="1">
      <c r="A928" s="5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5"/>
      <c r="T928" s="5"/>
      <c r="U928" s="5"/>
      <c r="V928" s="5"/>
      <c r="W928" s="5"/>
      <c r="X928" s="5"/>
      <c r="Y928" s="5"/>
      <c r="Z928" s="7"/>
      <c r="AA928" s="5"/>
      <c r="AB928" s="5"/>
      <c r="AC928" s="5"/>
      <c r="AD928" s="5"/>
      <c r="AE928" s="5"/>
    </row>
    <row r="929" spans="1:31" ht="15.75" customHeight="1">
      <c r="A929" s="5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5"/>
      <c r="T929" s="5"/>
      <c r="U929" s="5"/>
      <c r="V929" s="5"/>
      <c r="W929" s="5"/>
      <c r="X929" s="5"/>
      <c r="Y929" s="5"/>
      <c r="Z929" s="7"/>
      <c r="AA929" s="5"/>
      <c r="AB929" s="5"/>
      <c r="AC929" s="5"/>
      <c r="AD929" s="5"/>
      <c r="AE929" s="5"/>
    </row>
    <row r="930" spans="1:31" ht="15.75" customHeight="1">
      <c r="A930" s="5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5"/>
      <c r="T930" s="5"/>
      <c r="U930" s="5"/>
      <c r="V930" s="5"/>
      <c r="W930" s="5"/>
      <c r="X930" s="5"/>
      <c r="Y930" s="5"/>
      <c r="Z930" s="7"/>
      <c r="AA930" s="5"/>
      <c r="AB930" s="5"/>
      <c r="AC930" s="5"/>
      <c r="AD930" s="5"/>
      <c r="AE930" s="5"/>
    </row>
    <row r="931" spans="1:31" ht="15.75" customHeight="1">
      <c r="A931" s="5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5"/>
      <c r="T931" s="5"/>
      <c r="U931" s="5"/>
      <c r="V931" s="5"/>
      <c r="W931" s="5"/>
      <c r="X931" s="5"/>
      <c r="Y931" s="5"/>
      <c r="Z931" s="7"/>
      <c r="AA931" s="5"/>
      <c r="AB931" s="5"/>
      <c r="AC931" s="5"/>
      <c r="AD931" s="5"/>
      <c r="AE931" s="5"/>
    </row>
    <row r="932" spans="1:31" ht="15.75" customHeight="1">
      <c r="A932" s="5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5"/>
      <c r="T932" s="5"/>
      <c r="U932" s="5"/>
      <c r="V932" s="5"/>
      <c r="W932" s="5"/>
      <c r="X932" s="5"/>
      <c r="Y932" s="5"/>
      <c r="Z932" s="7"/>
      <c r="AA932" s="5"/>
      <c r="AB932" s="5"/>
      <c r="AC932" s="5"/>
      <c r="AD932" s="5"/>
      <c r="AE932" s="5"/>
    </row>
    <row r="933" spans="1:31" ht="15.75" customHeight="1">
      <c r="A933" s="5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5"/>
      <c r="T933" s="5"/>
      <c r="U933" s="5"/>
      <c r="V933" s="5"/>
      <c r="W933" s="5"/>
      <c r="X933" s="5"/>
      <c r="Y933" s="5"/>
      <c r="Z933" s="7"/>
      <c r="AA933" s="5"/>
      <c r="AB933" s="5"/>
      <c r="AC933" s="5"/>
      <c r="AD933" s="5"/>
      <c r="AE933" s="5"/>
    </row>
    <row r="934" spans="1:31" ht="15.75" customHeight="1">
      <c r="A934" s="5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5"/>
      <c r="T934" s="5"/>
      <c r="U934" s="5"/>
      <c r="V934" s="5"/>
      <c r="W934" s="5"/>
      <c r="X934" s="5"/>
      <c r="Y934" s="5"/>
      <c r="Z934" s="7"/>
      <c r="AA934" s="5"/>
      <c r="AB934" s="5"/>
      <c r="AC934" s="5"/>
      <c r="AD934" s="5"/>
      <c r="AE934" s="5"/>
    </row>
    <row r="935" spans="1:31" ht="15.75" customHeight="1">
      <c r="A935" s="5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5"/>
      <c r="T935" s="5"/>
      <c r="U935" s="5"/>
      <c r="V935" s="5"/>
      <c r="W935" s="5"/>
      <c r="X935" s="5"/>
      <c r="Y935" s="5"/>
      <c r="Z935" s="7"/>
      <c r="AA935" s="5"/>
      <c r="AB935" s="5"/>
      <c r="AC935" s="5"/>
      <c r="AD935" s="5"/>
      <c r="AE935" s="5"/>
    </row>
    <row r="936" spans="1:31" ht="15.75" customHeight="1">
      <c r="A936" s="5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5"/>
      <c r="T936" s="5"/>
      <c r="U936" s="5"/>
      <c r="V936" s="5"/>
      <c r="W936" s="5"/>
      <c r="X936" s="5"/>
      <c r="Y936" s="5"/>
      <c r="Z936" s="7"/>
      <c r="AA936" s="5"/>
      <c r="AB936" s="5"/>
      <c r="AC936" s="5"/>
      <c r="AD936" s="5"/>
      <c r="AE936" s="5"/>
    </row>
    <row r="937" spans="1:31" ht="15.75" customHeight="1">
      <c r="A937" s="5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5"/>
      <c r="T937" s="5"/>
      <c r="U937" s="5"/>
      <c r="V937" s="5"/>
      <c r="W937" s="5"/>
      <c r="X937" s="5"/>
      <c r="Y937" s="5"/>
      <c r="Z937" s="7"/>
      <c r="AA937" s="5"/>
      <c r="AB937" s="5"/>
      <c r="AC937" s="5"/>
      <c r="AD937" s="5"/>
      <c r="AE937" s="5"/>
    </row>
    <row r="938" spans="1:31" ht="15.75" customHeight="1">
      <c r="A938" s="5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5"/>
      <c r="T938" s="5"/>
      <c r="U938" s="5"/>
      <c r="V938" s="5"/>
      <c r="W938" s="5"/>
      <c r="X938" s="5"/>
      <c r="Y938" s="5"/>
      <c r="Z938" s="7"/>
      <c r="AA938" s="5"/>
      <c r="AB938" s="5"/>
      <c r="AC938" s="5"/>
      <c r="AD938" s="5"/>
      <c r="AE938" s="5"/>
    </row>
    <row r="939" spans="1:31" ht="15.75" customHeight="1">
      <c r="A939" s="5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5"/>
      <c r="T939" s="5"/>
      <c r="U939" s="5"/>
      <c r="V939" s="5"/>
      <c r="W939" s="5"/>
      <c r="X939" s="5"/>
      <c r="Y939" s="5"/>
      <c r="Z939" s="7"/>
      <c r="AA939" s="5"/>
      <c r="AB939" s="5"/>
      <c r="AC939" s="5"/>
      <c r="AD939" s="5"/>
      <c r="AE939" s="5"/>
    </row>
    <row r="940" spans="1:31" ht="15.75" customHeight="1">
      <c r="A940" s="5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5"/>
      <c r="T940" s="5"/>
      <c r="U940" s="5"/>
      <c r="V940" s="5"/>
      <c r="W940" s="5"/>
      <c r="X940" s="5"/>
      <c r="Y940" s="5"/>
      <c r="Z940" s="7"/>
      <c r="AA940" s="5"/>
      <c r="AB940" s="5"/>
      <c r="AC940" s="5"/>
      <c r="AD940" s="5"/>
      <c r="AE940" s="5"/>
    </row>
    <row r="941" spans="1:31" ht="15.75" customHeight="1">
      <c r="A941" s="5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5"/>
      <c r="T941" s="5"/>
      <c r="U941" s="5"/>
      <c r="V941" s="5"/>
      <c r="W941" s="5"/>
      <c r="X941" s="5"/>
      <c r="Y941" s="5"/>
      <c r="Z941" s="7"/>
      <c r="AA941" s="5"/>
      <c r="AB941" s="5"/>
      <c r="AC941" s="5"/>
      <c r="AD941" s="5"/>
      <c r="AE941" s="5"/>
    </row>
    <row r="942" spans="1:31" ht="15.75" customHeight="1">
      <c r="A942" s="5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5"/>
      <c r="T942" s="5"/>
      <c r="U942" s="5"/>
      <c r="V942" s="5"/>
      <c r="W942" s="5"/>
      <c r="X942" s="5"/>
      <c r="Y942" s="5"/>
      <c r="Z942" s="7"/>
      <c r="AA942" s="5"/>
      <c r="AB942" s="5"/>
      <c r="AC942" s="5"/>
      <c r="AD942" s="5"/>
      <c r="AE942" s="5"/>
    </row>
    <row r="943" spans="1:31" ht="15.75" customHeight="1">
      <c r="A943" s="5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5"/>
      <c r="T943" s="5"/>
      <c r="U943" s="5"/>
      <c r="V943" s="5"/>
      <c r="W943" s="5"/>
      <c r="X943" s="5"/>
      <c r="Y943" s="5"/>
      <c r="Z943" s="7"/>
      <c r="AA943" s="5"/>
      <c r="AB943" s="5"/>
      <c r="AC943" s="5"/>
      <c r="AD943" s="5"/>
      <c r="AE943" s="5"/>
    </row>
    <row r="944" spans="1:31" ht="15.75" customHeight="1">
      <c r="A944" s="5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5"/>
      <c r="T944" s="5"/>
      <c r="U944" s="5"/>
      <c r="V944" s="5"/>
      <c r="W944" s="5"/>
      <c r="X944" s="5"/>
      <c r="Y944" s="5"/>
      <c r="Z944" s="7"/>
      <c r="AA944" s="5"/>
      <c r="AB944" s="5"/>
      <c r="AC944" s="5"/>
      <c r="AD944" s="5"/>
      <c r="AE944" s="5"/>
    </row>
    <row r="945" spans="1:31" ht="15.75" customHeight="1">
      <c r="A945" s="5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5"/>
      <c r="T945" s="5"/>
      <c r="U945" s="5"/>
      <c r="V945" s="5"/>
      <c r="W945" s="5"/>
      <c r="X945" s="5"/>
      <c r="Y945" s="5"/>
      <c r="Z945" s="7"/>
      <c r="AA945" s="5"/>
      <c r="AB945" s="5"/>
      <c r="AC945" s="5"/>
      <c r="AD945" s="5"/>
      <c r="AE945" s="5"/>
    </row>
    <row r="946" spans="1:31" ht="15.75" customHeight="1">
      <c r="A946" s="5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5"/>
      <c r="T946" s="5"/>
      <c r="U946" s="5"/>
      <c r="V946" s="5"/>
      <c r="W946" s="5"/>
      <c r="X946" s="5"/>
      <c r="Y946" s="5"/>
      <c r="Z946" s="7"/>
      <c r="AA946" s="5"/>
      <c r="AB946" s="5"/>
      <c r="AC946" s="5"/>
      <c r="AD946" s="5"/>
      <c r="AE946" s="5"/>
    </row>
    <row r="947" spans="1:31" ht="15.75" customHeight="1">
      <c r="A947" s="5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5"/>
      <c r="T947" s="5"/>
      <c r="U947" s="5"/>
      <c r="V947" s="5"/>
      <c r="W947" s="5"/>
      <c r="X947" s="5"/>
      <c r="Y947" s="5"/>
      <c r="Z947" s="7"/>
      <c r="AA947" s="5"/>
      <c r="AB947" s="5"/>
      <c r="AC947" s="5"/>
      <c r="AD947" s="5"/>
      <c r="AE947" s="5"/>
    </row>
    <row r="948" spans="1:31" ht="15.75" customHeight="1">
      <c r="A948" s="5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5"/>
      <c r="T948" s="5"/>
      <c r="U948" s="5"/>
      <c r="V948" s="5"/>
      <c r="W948" s="5"/>
      <c r="X948" s="5"/>
      <c r="Y948" s="5"/>
      <c r="Z948" s="7"/>
      <c r="AA948" s="5"/>
      <c r="AB948" s="5"/>
      <c r="AC948" s="5"/>
      <c r="AD948" s="5"/>
      <c r="AE948" s="5"/>
    </row>
    <row r="949" spans="1:31" ht="15.75" customHeight="1">
      <c r="A949" s="5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5"/>
      <c r="T949" s="5"/>
      <c r="U949" s="5"/>
      <c r="V949" s="5"/>
      <c r="W949" s="5"/>
      <c r="X949" s="5"/>
      <c r="Y949" s="5"/>
      <c r="Z949" s="7"/>
      <c r="AA949" s="5"/>
      <c r="AB949" s="5"/>
      <c r="AC949" s="5"/>
      <c r="AD949" s="5"/>
      <c r="AE949" s="5"/>
    </row>
    <row r="950" spans="1:31" ht="15.75" customHeight="1">
      <c r="A950" s="5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5"/>
      <c r="T950" s="5"/>
      <c r="U950" s="5"/>
      <c r="V950" s="5"/>
      <c r="W950" s="5"/>
      <c r="X950" s="5"/>
      <c r="Y950" s="5"/>
      <c r="Z950" s="7"/>
      <c r="AA950" s="5"/>
      <c r="AB950" s="5"/>
      <c r="AC950" s="5"/>
      <c r="AD950" s="5"/>
      <c r="AE950" s="5"/>
    </row>
    <row r="951" spans="1:31" ht="15.75" customHeight="1">
      <c r="A951" s="5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5"/>
      <c r="T951" s="5"/>
      <c r="U951" s="5"/>
      <c r="V951" s="5"/>
      <c r="W951" s="5"/>
      <c r="X951" s="5"/>
      <c r="Y951" s="5"/>
      <c r="Z951" s="7"/>
      <c r="AA951" s="5"/>
      <c r="AB951" s="5"/>
      <c r="AC951" s="5"/>
      <c r="AD951" s="5"/>
      <c r="AE951" s="5"/>
    </row>
    <row r="952" spans="1:31" ht="15.75" customHeight="1">
      <c r="A952" s="5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5"/>
      <c r="T952" s="5"/>
      <c r="U952" s="5"/>
      <c r="V952" s="5"/>
      <c r="W952" s="5"/>
      <c r="X952" s="5"/>
      <c r="Y952" s="5"/>
      <c r="Z952" s="7"/>
      <c r="AA952" s="5"/>
      <c r="AB952" s="5"/>
      <c r="AC952" s="5"/>
      <c r="AD952" s="5"/>
      <c r="AE952" s="5"/>
    </row>
    <row r="953" spans="1:31" ht="15.75" customHeight="1">
      <c r="A953" s="5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5"/>
      <c r="T953" s="5"/>
      <c r="U953" s="5"/>
      <c r="V953" s="5"/>
      <c r="W953" s="5"/>
      <c r="X953" s="5"/>
      <c r="Y953" s="5"/>
      <c r="Z953" s="7"/>
      <c r="AA953" s="5"/>
      <c r="AB953" s="5"/>
      <c r="AC953" s="5"/>
      <c r="AD953" s="5"/>
      <c r="AE953" s="5"/>
    </row>
    <row r="954" spans="1:31" ht="15.75" customHeight="1">
      <c r="A954" s="5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5"/>
      <c r="T954" s="5"/>
      <c r="U954" s="5"/>
      <c r="V954" s="5"/>
      <c r="W954" s="5"/>
      <c r="X954" s="5"/>
      <c r="Y954" s="5"/>
      <c r="Z954" s="7"/>
      <c r="AA954" s="5"/>
      <c r="AB954" s="5"/>
      <c r="AC954" s="5"/>
      <c r="AD954" s="5"/>
      <c r="AE954" s="5"/>
    </row>
    <row r="955" spans="1:31" ht="15.75" customHeight="1">
      <c r="A955" s="5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5"/>
      <c r="T955" s="5"/>
      <c r="U955" s="5"/>
      <c r="V955" s="5"/>
      <c r="W955" s="5"/>
      <c r="X955" s="5"/>
      <c r="Y955" s="5"/>
      <c r="Z955" s="7"/>
      <c r="AA955" s="5"/>
      <c r="AB955" s="5"/>
      <c r="AC955" s="5"/>
      <c r="AD955" s="5"/>
      <c r="AE955" s="5"/>
    </row>
    <row r="956" spans="1:31" ht="15.75" customHeight="1">
      <c r="A956" s="5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5"/>
      <c r="T956" s="5"/>
      <c r="U956" s="5"/>
      <c r="V956" s="5"/>
      <c r="W956" s="5"/>
      <c r="X956" s="5"/>
      <c r="Y956" s="5"/>
      <c r="Z956" s="7"/>
      <c r="AA956" s="5"/>
      <c r="AB956" s="5"/>
      <c r="AC956" s="5"/>
      <c r="AD956" s="5"/>
      <c r="AE956" s="5"/>
    </row>
    <row r="957" spans="1:31" ht="15.75" customHeight="1">
      <c r="A957" s="5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5"/>
      <c r="T957" s="5"/>
      <c r="U957" s="5"/>
      <c r="V957" s="5"/>
      <c r="W957" s="5"/>
      <c r="X957" s="5"/>
      <c r="Y957" s="5"/>
      <c r="Z957" s="7"/>
      <c r="AA957" s="5"/>
      <c r="AB957" s="5"/>
      <c r="AC957" s="5"/>
      <c r="AD957" s="5"/>
      <c r="AE957" s="5"/>
    </row>
    <row r="958" spans="1:31" ht="15.75" customHeight="1">
      <c r="A958" s="5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5"/>
      <c r="T958" s="5"/>
      <c r="U958" s="5"/>
      <c r="V958" s="5"/>
      <c r="W958" s="5"/>
      <c r="X958" s="5"/>
      <c r="Y958" s="5"/>
      <c r="Z958" s="7"/>
      <c r="AA958" s="5"/>
      <c r="AB958" s="5"/>
      <c r="AC958" s="5"/>
      <c r="AD958" s="5"/>
      <c r="AE958" s="5"/>
    </row>
    <row r="959" spans="1:31" ht="15.75" customHeight="1">
      <c r="A959" s="5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5"/>
      <c r="T959" s="5"/>
      <c r="U959" s="5"/>
      <c r="V959" s="5"/>
      <c r="W959" s="5"/>
      <c r="X959" s="5"/>
      <c r="Y959" s="5"/>
      <c r="Z959" s="7"/>
      <c r="AA959" s="5"/>
      <c r="AB959" s="5"/>
      <c r="AC959" s="5"/>
      <c r="AD959" s="5"/>
      <c r="AE959" s="5"/>
    </row>
    <row r="960" spans="1:31" ht="15.75" customHeight="1">
      <c r="A960" s="5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5"/>
      <c r="T960" s="5"/>
      <c r="U960" s="5"/>
      <c r="V960" s="5"/>
      <c r="W960" s="5"/>
      <c r="X960" s="5"/>
      <c r="Y960" s="5"/>
      <c r="Z960" s="7"/>
      <c r="AA960" s="5"/>
      <c r="AB960" s="5"/>
      <c r="AC960" s="5"/>
      <c r="AD960" s="5"/>
      <c r="AE960" s="5"/>
    </row>
    <row r="961" spans="1:31" ht="15.75" customHeight="1">
      <c r="A961" s="5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5"/>
      <c r="T961" s="5"/>
      <c r="U961" s="5"/>
      <c r="V961" s="5"/>
      <c r="W961" s="5"/>
      <c r="X961" s="5"/>
      <c r="Y961" s="5"/>
      <c r="Z961" s="7"/>
      <c r="AA961" s="5"/>
      <c r="AB961" s="5"/>
      <c r="AC961" s="5"/>
      <c r="AD961" s="5"/>
      <c r="AE961" s="5"/>
    </row>
    <row r="962" spans="1:31" ht="15.75" customHeight="1">
      <c r="A962" s="5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5"/>
      <c r="T962" s="5"/>
      <c r="U962" s="5"/>
      <c r="V962" s="5"/>
      <c r="W962" s="5"/>
      <c r="X962" s="5"/>
      <c r="Y962" s="5"/>
      <c r="Z962" s="7"/>
      <c r="AA962" s="5"/>
      <c r="AB962" s="5"/>
      <c r="AC962" s="5"/>
      <c r="AD962" s="5"/>
      <c r="AE962" s="5"/>
    </row>
    <row r="963" spans="1:31" ht="15.75" customHeight="1">
      <c r="A963" s="5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5"/>
      <c r="T963" s="5"/>
      <c r="U963" s="5"/>
      <c r="V963" s="5"/>
      <c r="W963" s="5"/>
      <c r="X963" s="5"/>
      <c r="Y963" s="5"/>
      <c r="Z963" s="7"/>
      <c r="AA963" s="5"/>
      <c r="AB963" s="5"/>
      <c r="AC963" s="5"/>
      <c r="AD963" s="5"/>
      <c r="AE963" s="5"/>
    </row>
    <row r="964" spans="1:31" ht="15.75" customHeight="1">
      <c r="A964" s="5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5"/>
      <c r="T964" s="5"/>
      <c r="U964" s="5"/>
      <c r="V964" s="5"/>
      <c r="W964" s="5"/>
      <c r="X964" s="5"/>
      <c r="Y964" s="5"/>
      <c r="Z964" s="7"/>
      <c r="AA964" s="5"/>
      <c r="AB964" s="5"/>
      <c r="AC964" s="5"/>
      <c r="AD964" s="5"/>
      <c r="AE964" s="5"/>
    </row>
    <row r="965" spans="1:31" ht="15.75" customHeight="1">
      <c r="A965" s="5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5"/>
      <c r="T965" s="5"/>
      <c r="U965" s="5"/>
      <c r="V965" s="5"/>
      <c r="W965" s="5"/>
      <c r="X965" s="5"/>
      <c r="Y965" s="5"/>
      <c r="Z965" s="7"/>
      <c r="AA965" s="5"/>
      <c r="AB965" s="5"/>
      <c r="AC965" s="5"/>
      <c r="AD965" s="5"/>
      <c r="AE965" s="5"/>
    </row>
    <row r="966" spans="1:31" ht="15.75" customHeight="1">
      <c r="A966" s="5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5"/>
      <c r="T966" s="5"/>
      <c r="U966" s="5"/>
      <c r="V966" s="5"/>
      <c r="W966" s="5"/>
      <c r="X966" s="5"/>
      <c r="Y966" s="5"/>
      <c r="Z966" s="7"/>
      <c r="AA966" s="5"/>
      <c r="AB966" s="5"/>
      <c r="AC966" s="5"/>
      <c r="AD966" s="5"/>
      <c r="AE966" s="5"/>
    </row>
    <row r="967" spans="1:31" ht="15.75" customHeight="1">
      <c r="A967" s="5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5"/>
      <c r="T967" s="5"/>
      <c r="U967" s="5"/>
      <c r="V967" s="5"/>
      <c r="W967" s="5"/>
      <c r="X967" s="5"/>
      <c r="Y967" s="5"/>
      <c r="Z967" s="7"/>
      <c r="AA967" s="5"/>
      <c r="AB967" s="5"/>
      <c r="AC967" s="5"/>
      <c r="AD967" s="5"/>
      <c r="AE967" s="5"/>
    </row>
    <row r="968" spans="1:31" ht="15.75" customHeight="1">
      <c r="A968" s="5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5"/>
      <c r="T968" s="5"/>
      <c r="U968" s="5"/>
      <c r="V968" s="5"/>
      <c r="W968" s="5"/>
      <c r="X968" s="5"/>
      <c r="Y968" s="5"/>
      <c r="Z968" s="7"/>
      <c r="AA968" s="5"/>
      <c r="AB968" s="5"/>
      <c r="AC968" s="5"/>
      <c r="AD968" s="5"/>
      <c r="AE968" s="5"/>
    </row>
    <row r="969" spans="1:31" ht="15.75" customHeight="1">
      <c r="A969" s="5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5"/>
      <c r="T969" s="5"/>
      <c r="U969" s="5"/>
      <c r="V969" s="5"/>
      <c r="W969" s="5"/>
      <c r="X969" s="5"/>
      <c r="Y969" s="5"/>
      <c r="Z969" s="7"/>
      <c r="AA969" s="5"/>
      <c r="AB969" s="5"/>
      <c r="AC969" s="5"/>
      <c r="AD969" s="5"/>
      <c r="AE969" s="5"/>
    </row>
    <row r="970" spans="1:31" ht="15.75" customHeight="1">
      <c r="A970" s="5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5"/>
      <c r="T970" s="5"/>
      <c r="U970" s="5"/>
      <c r="V970" s="5"/>
      <c r="W970" s="5"/>
      <c r="X970" s="5"/>
      <c r="Y970" s="5"/>
      <c r="Z970" s="7"/>
      <c r="AA970" s="5"/>
      <c r="AB970" s="5"/>
      <c r="AC970" s="5"/>
      <c r="AD970" s="5"/>
      <c r="AE970" s="5"/>
    </row>
    <row r="971" spans="1:31" ht="15.75" customHeight="1">
      <c r="A971" s="5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5"/>
      <c r="T971" s="5"/>
      <c r="U971" s="5"/>
      <c r="V971" s="5"/>
      <c r="W971" s="5"/>
      <c r="X971" s="5"/>
      <c r="Y971" s="5"/>
      <c r="Z971" s="7"/>
      <c r="AA971" s="5"/>
      <c r="AB971" s="5"/>
      <c r="AC971" s="5"/>
      <c r="AD971" s="5"/>
      <c r="AE971" s="5"/>
    </row>
    <row r="972" spans="1:31" ht="15.75" customHeight="1">
      <c r="A972" s="5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5"/>
      <c r="T972" s="5"/>
      <c r="U972" s="5"/>
      <c r="V972" s="5"/>
      <c r="W972" s="5"/>
      <c r="X972" s="5"/>
      <c r="Y972" s="5"/>
      <c r="Z972" s="7"/>
      <c r="AA972" s="5"/>
      <c r="AB972" s="5"/>
      <c r="AC972" s="5"/>
      <c r="AD972" s="5"/>
      <c r="AE972" s="5"/>
    </row>
    <row r="973" spans="1:31" ht="15.75" customHeight="1">
      <c r="A973" s="5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5"/>
      <c r="T973" s="5"/>
      <c r="U973" s="5"/>
      <c r="V973" s="5"/>
      <c r="W973" s="5"/>
      <c r="X973" s="5"/>
      <c r="Y973" s="5"/>
      <c r="Z973" s="7"/>
      <c r="AA973" s="5"/>
      <c r="AB973" s="5"/>
      <c r="AC973" s="5"/>
      <c r="AD973" s="5"/>
      <c r="AE973" s="5"/>
    </row>
    <row r="974" spans="1:31" ht="15.75" customHeight="1">
      <c r="A974" s="5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5"/>
      <c r="T974" s="5"/>
      <c r="U974" s="5"/>
      <c r="V974" s="5"/>
      <c r="W974" s="5"/>
      <c r="X974" s="5"/>
      <c r="Y974" s="5"/>
      <c r="Z974" s="7"/>
      <c r="AA974" s="5"/>
      <c r="AB974" s="5"/>
      <c r="AC974" s="5"/>
      <c r="AD974" s="5"/>
      <c r="AE974" s="5"/>
    </row>
    <row r="975" spans="1:31" ht="15.75" customHeight="1">
      <c r="A975" s="5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5"/>
      <c r="T975" s="5"/>
      <c r="U975" s="5"/>
      <c r="V975" s="5"/>
      <c r="W975" s="5"/>
      <c r="X975" s="5"/>
      <c r="Y975" s="5"/>
      <c r="Z975" s="7"/>
      <c r="AA975" s="5"/>
      <c r="AB975" s="5"/>
      <c r="AC975" s="5"/>
      <c r="AD975" s="5"/>
      <c r="AE975" s="5"/>
    </row>
    <row r="976" spans="1:31" ht="15.75" customHeight="1">
      <c r="A976" s="5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5"/>
      <c r="T976" s="5"/>
      <c r="U976" s="5"/>
      <c r="V976" s="5"/>
      <c r="W976" s="5"/>
      <c r="X976" s="5"/>
      <c r="Y976" s="5"/>
      <c r="Z976" s="7"/>
      <c r="AA976" s="5"/>
      <c r="AB976" s="5"/>
      <c r="AC976" s="5"/>
      <c r="AD976" s="5"/>
      <c r="AE976" s="5"/>
    </row>
    <row r="977" spans="1:31" ht="15.75" customHeight="1">
      <c r="A977" s="5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5"/>
      <c r="T977" s="5"/>
      <c r="U977" s="5"/>
      <c r="V977" s="5"/>
      <c r="W977" s="5"/>
      <c r="X977" s="5"/>
      <c r="Y977" s="5"/>
      <c r="Z977" s="7"/>
      <c r="AA977" s="5"/>
      <c r="AB977" s="5"/>
      <c r="AC977" s="5"/>
      <c r="AD977" s="5"/>
      <c r="AE977" s="5"/>
    </row>
    <row r="978" spans="1:31" ht="15.75" customHeight="1">
      <c r="A978" s="5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5"/>
      <c r="T978" s="5"/>
      <c r="U978" s="5"/>
      <c r="V978" s="5"/>
      <c r="W978" s="5"/>
      <c r="X978" s="5"/>
      <c r="Y978" s="5"/>
      <c r="Z978" s="7"/>
      <c r="AA978" s="5"/>
      <c r="AB978" s="5"/>
      <c r="AC978" s="5"/>
      <c r="AD978" s="5"/>
      <c r="AE978" s="5"/>
    </row>
    <row r="979" spans="1:31" ht="15.75" customHeight="1">
      <c r="A979" s="5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5"/>
      <c r="T979" s="5"/>
      <c r="U979" s="5"/>
      <c r="V979" s="5"/>
      <c r="W979" s="5"/>
      <c r="X979" s="5"/>
      <c r="Y979" s="5"/>
      <c r="Z979" s="7"/>
      <c r="AA979" s="5"/>
      <c r="AB979" s="5"/>
      <c r="AC979" s="5"/>
      <c r="AD979" s="5"/>
      <c r="AE979" s="5"/>
    </row>
    <row r="980" spans="1:31" ht="15.75" customHeight="1">
      <c r="A980" s="5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5"/>
      <c r="T980" s="5"/>
      <c r="U980" s="5"/>
      <c r="V980" s="5"/>
      <c r="W980" s="5"/>
      <c r="X980" s="5"/>
      <c r="Y980" s="5"/>
      <c r="Z980" s="7"/>
      <c r="AA980" s="5"/>
      <c r="AB980" s="5"/>
      <c r="AC980" s="5"/>
      <c r="AD980" s="5"/>
      <c r="AE980" s="5"/>
    </row>
    <row r="981" spans="1:31" ht="15.75" customHeight="1">
      <c r="A981" s="5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5"/>
      <c r="T981" s="5"/>
      <c r="U981" s="5"/>
      <c r="V981" s="5"/>
      <c r="W981" s="5"/>
      <c r="X981" s="5"/>
      <c r="Y981" s="5"/>
      <c r="Z981" s="7"/>
      <c r="AA981" s="5"/>
      <c r="AB981" s="5"/>
      <c r="AC981" s="5"/>
      <c r="AD981" s="5"/>
      <c r="AE981" s="5"/>
    </row>
    <row r="982" spans="1:31" ht="15.75" customHeight="1">
      <c r="A982" s="5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5"/>
      <c r="T982" s="5"/>
      <c r="U982" s="5"/>
      <c r="V982" s="5"/>
      <c r="W982" s="5"/>
      <c r="X982" s="5"/>
      <c r="Y982" s="5"/>
      <c r="Z982" s="7"/>
      <c r="AA982" s="5"/>
      <c r="AB982" s="5"/>
      <c r="AC982" s="5"/>
      <c r="AD982" s="5"/>
      <c r="AE982" s="5"/>
    </row>
    <row r="983" spans="1:31" ht="15.75" customHeight="1">
      <c r="A983" s="5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5"/>
      <c r="T983" s="5"/>
      <c r="U983" s="5"/>
      <c r="V983" s="5"/>
      <c r="W983" s="5"/>
      <c r="X983" s="5"/>
      <c r="Y983" s="5"/>
      <c r="Z983" s="7"/>
      <c r="AA983" s="5"/>
      <c r="AB983" s="5"/>
      <c r="AC983" s="5"/>
      <c r="AD983" s="5"/>
      <c r="AE983" s="5"/>
    </row>
    <row r="984" spans="1:31" ht="15.75" customHeight="1">
      <c r="A984" s="5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5"/>
      <c r="T984" s="5"/>
      <c r="U984" s="5"/>
      <c r="V984" s="5"/>
      <c r="W984" s="5"/>
      <c r="X984" s="5"/>
      <c r="Y984" s="5"/>
      <c r="Z984" s="7"/>
      <c r="AA984" s="5"/>
      <c r="AB984" s="5"/>
      <c r="AC984" s="5"/>
      <c r="AD984" s="5"/>
      <c r="AE984" s="5"/>
    </row>
    <row r="985" spans="1:31" ht="15.75" customHeight="1">
      <c r="A985" s="5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5"/>
      <c r="T985" s="5"/>
      <c r="U985" s="5"/>
      <c r="V985" s="5"/>
      <c r="W985" s="5"/>
      <c r="X985" s="5"/>
      <c r="Y985" s="5"/>
      <c r="Z985" s="7"/>
      <c r="AA985" s="5"/>
      <c r="AB985" s="5"/>
      <c r="AC985" s="5"/>
      <c r="AD985" s="5"/>
      <c r="AE985" s="5"/>
    </row>
    <row r="986" spans="1:31" ht="15.75" customHeight="1">
      <c r="A986" s="5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5"/>
      <c r="T986" s="5"/>
      <c r="U986" s="5"/>
      <c r="V986" s="5"/>
      <c r="W986" s="5"/>
      <c r="X986" s="5"/>
      <c r="Y986" s="5"/>
      <c r="Z986" s="7"/>
      <c r="AA986" s="5"/>
      <c r="AB986" s="5"/>
      <c r="AC986" s="5"/>
      <c r="AD986" s="5"/>
      <c r="AE986" s="5"/>
    </row>
    <row r="987" spans="1:31" ht="15.75" customHeight="1">
      <c r="A987" s="5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5"/>
      <c r="T987" s="5"/>
      <c r="U987" s="5"/>
      <c r="V987" s="5"/>
      <c r="W987" s="5"/>
      <c r="X987" s="5"/>
      <c r="Y987" s="5"/>
      <c r="Z987" s="7"/>
      <c r="AA987" s="5"/>
      <c r="AB987" s="5"/>
      <c r="AC987" s="5"/>
      <c r="AD987" s="5"/>
      <c r="AE987" s="5"/>
    </row>
    <row r="988" spans="1:31" ht="15.75" customHeight="1">
      <c r="A988" s="5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5"/>
      <c r="T988" s="5"/>
      <c r="U988" s="5"/>
      <c r="V988" s="5"/>
      <c r="W988" s="5"/>
      <c r="X988" s="5"/>
      <c r="Y988" s="5"/>
      <c r="Z988" s="7"/>
      <c r="AA988" s="5"/>
      <c r="AB988" s="5"/>
      <c r="AC988" s="5"/>
      <c r="AD988" s="5"/>
      <c r="AE988" s="5"/>
    </row>
    <row r="989" spans="1:31" ht="15.75" customHeight="1">
      <c r="A989" s="5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5"/>
      <c r="T989" s="5"/>
      <c r="U989" s="5"/>
      <c r="V989" s="5"/>
      <c r="W989" s="5"/>
      <c r="X989" s="5"/>
      <c r="Y989" s="5"/>
      <c r="Z989" s="7"/>
      <c r="AA989" s="5"/>
      <c r="AB989" s="5"/>
      <c r="AC989" s="5"/>
      <c r="AD989" s="5"/>
      <c r="AE989" s="5"/>
    </row>
    <row r="990" spans="1:31" ht="15.75" customHeight="1">
      <c r="A990" s="5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5"/>
      <c r="T990" s="5"/>
      <c r="U990" s="5"/>
      <c r="V990" s="5"/>
      <c r="W990" s="5"/>
      <c r="X990" s="5"/>
      <c r="Y990" s="5"/>
      <c r="Z990" s="7"/>
      <c r="AA990" s="5"/>
      <c r="AB990" s="5"/>
      <c r="AC990" s="5"/>
      <c r="AD990" s="5"/>
      <c r="AE990" s="5"/>
    </row>
    <row r="991" spans="1:31" ht="15.75" customHeight="1">
      <c r="A991" s="5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5"/>
      <c r="T991" s="5"/>
      <c r="U991" s="5"/>
      <c r="V991" s="5"/>
      <c r="W991" s="5"/>
      <c r="X991" s="5"/>
      <c r="Y991" s="5"/>
      <c r="Z991" s="7"/>
      <c r="AA991" s="5"/>
      <c r="AB991" s="5"/>
      <c r="AC991" s="5"/>
      <c r="AD991" s="5"/>
      <c r="AE991" s="5"/>
    </row>
    <row r="992" spans="1:31" ht="15.75" customHeight="1">
      <c r="A992" s="5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5"/>
      <c r="T992" s="5"/>
      <c r="U992" s="5"/>
      <c r="V992" s="5"/>
      <c r="W992" s="5"/>
      <c r="X992" s="5"/>
      <c r="Y992" s="5"/>
      <c r="Z992" s="7"/>
      <c r="AA992" s="5"/>
      <c r="AB992" s="5"/>
      <c r="AC992" s="5"/>
      <c r="AD992" s="5"/>
      <c r="AE992" s="5"/>
    </row>
    <row r="993" spans="1:31" ht="15.75" customHeight="1">
      <c r="A993" s="5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5"/>
      <c r="T993" s="5"/>
      <c r="U993" s="5"/>
      <c r="V993" s="5"/>
      <c r="W993" s="5"/>
      <c r="X993" s="5"/>
      <c r="Y993" s="5"/>
      <c r="Z993" s="7"/>
      <c r="AA993" s="5"/>
      <c r="AB993" s="5"/>
      <c r="AC993" s="5"/>
      <c r="AD993" s="5"/>
      <c r="AE993" s="5"/>
    </row>
    <row r="994" spans="1:31" ht="15.75" customHeight="1">
      <c r="A994" s="5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5"/>
      <c r="T994" s="5"/>
      <c r="U994" s="5"/>
      <c r="V994" s="5"/>
      <c r="W994" s="5"/>
      <c r="X994" s="5"/>
      <c r="Y994" s="5"/>
      <c r="Z994" s="7"/>
      <c r="AA994" s="5"/>
      <c r="AB994" s="5"/>
      <c r="AC994" s="5"/>
      <c r="AD994" s="5"/>
      <c r="AE994" s="5"/>
    </row>
    <row r="995" spans="1:31" ht="15.75" customHeight="1">
      <c r="A995" s="5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5"/>
      <c r="T995" s="5"/>
      <c r="U995" s="5"/>
      <c r="V995" s="5"/>
      <c r="W995" s="5"/>
      <c r="X995" s="5"/>
      <c r="Y995" s="5"/>
      <c r="Z995" s="7"/>
      <c r="AA995" s="5"/>
      <c r="AB995" s="5"/>
      <c r="AC995" s="5"/>
      <c r="AD995" s="5"/>
      <c r="AE995" s="5"/>
    </row>
    <row r="996" spans="1:31" ht="15.75" customHeight="1">
      <c r="A996" s="5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5"/>
      <c r="T996" s="5"/>
      <c r="U996" s="5"/>
      <c r="V996" s="5"/>
      <c r="W996" s="5"/>
      <c r="X996" s="5"/>
      <c r="Y996" s="5"/>
      <c r="Z996" s="7"/>
      <c r="AA996" s="5"/>
      <c r="AB996" s="5"/>
      <c r="AC996" s="5"/>
      <c r="AD996" s="5"/>
      <c r="AE996" s="5"/>
    </row>
    <row r="997" spans="1:31" ht="15.75" customHeight="1">
      <c r="A997" s="5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5"/>
      <c r="T997" s="5"/>
      <c r="U997" s="5"/>
      <c r="V997" s="5"/>
      <c r="W997" s="5"/>
      <c r="X997" s="5"/>
      <c r="Y997" s="5"/>
      <c r="Z997" s="7"/>
      <c r="AA997" s="5"/>
      <c r="AB997" s="5"/>
      <c r="AC997" s="5"/>
      <c r="AD997" s="5"/>
      <c r="AE997" s="5"/>
    </row>
    <row r="998" spans="1:31" ht="15.75" customHeight="1">
      <c r="A998" s="5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5"/>
      <c r="T998" s="5"/>
      <c r="U998" s="5"/>
      <c r="V998" s="5"/>
      <c r="W998" s="5"/>
      <c r="X998" s="5"/>
      <c r="Y998" s="5"/>
      <c r="Z998" s="7"/>
      <c r="AA998" s="5"/>
      <c r="AB998" s="5"/>
      <c r="AC998" s="5"/>
      <c r="AD998" s="5"/>
      <c r="AE998" s="5"/>
    </row>
    <row r="999" spans="1:31" ht="15.75" customHeight="1">
      <c r="A999" s="5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5"/>
      <c r="T999" s="5"/>
      <c r="U999" s="5"/>
      <c r="V999" s="5"/>
      <c r="W999" s="5"/>
      <c r="X999" s="5"/>
      <c r="Y999" s="5"/>
      <c r="Z999" s="7"/>
      <c r="AA999" s="5"/>
      <c r="AB999" s="5"/>
      <c r="AC999" s="5"/>
      <c r="AD999" s="5"/>
      <c r="AE999" s="5"/>
    </row>
    <row r="1000" spans="1:31" ht="15.75" customHeight="1">
      <c r="A1000" s="5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5"/>
      <c r="T1000" s="5"/>
      <c r="U1000" s="5"/>
      <c r="V1000" s="5"/>
      <c r="W1000" s="5"/>
      <c r="X1000" s="5"/>
      <c r="Y1000" s="5"/>
      <c r="Z1000" s="7"/>
      <c r="AA1000" s="5"/>
      <c r="AB1000" s="5"/>
      <c r="AC1000" s="5"/>
      <c r="AD1000" s="5"/>
      <c r="AE1000" s="5"/>
    </row>
  </sheetData>
  <mergeCells count="99">
    <mergeCell ref="L42:N42"/>
    <mergeCell ref="L44:N44"/>
    <mergeCell ref="L32:M32"/>
    <mergeCell ref="L35:M35"/>
    <mergeCell ref="L36:M36"/>
    <mergeCell ref="N36:Q36"/>
    <mergeCell ref="L37:M37"/>
    <mergeCell ref="N37:Q37"/>
    <mergeCell ref="L39:N39"/>
    <mergeCell ref="V25:AE26"/>
    <mergeCell ref="O26:P26"/>
    <mergeCell ref="L33:M33"/>
    <mergeCell ref="L34:M34"/>
    <mergeCell ref="L40:N40"/>
    <mergeCell ref="O27:P27"/>
    <mergeCell ref="O28:P28"/>
    <mergeCell ref="O29:P29"/>
    <mergeCell ref="O30:P30"/>
    <mergeCell ref="B25:C25"/>
    <mergeCell ref="D25:E25"/>
    <mergeCell ref="I25:J25"/>
    <mergeCell ref="L25:Q25"/>
    <mergeCell ref="O22:P22"/>
    <mergeCell ref="G23:H23"/>
    <mergeCell ref="G24:H24"/>
    <mergeCell ref="G25:H25"/>
    <mergeCell ref="O23:P23"/>
    <mergeCell ref="O24:P24"/>
    <mergeCell ref="B21:C21"/>
    <mergeCell ref="D21:E21"/>
    <mergeCell ref="G21:H21"/>
    <mergeCell ref="I21:J21"/>
    <mergeCell ref="D22:E22"/>
    <mergeCell ref="D19:E19"/>
    <mergeCell ref="G19:H19"/>
    <mergeCell ref="I19:J19"/>
    <mergeCell ref="O19:P19"/>
    <mergeCell ref="B20:F20"/>
    <mergeCell ref="G20:K20"/>
    <mergeCell ref="O20:P20"/>
    <mergeCell ref="B19:C19"/>
    <mergeCell ref="E39:G39"/>
    <mergeCell ref="E40:G40"/>
    <mergeCell ref="E42:G42"/>
    <mergeCell ref="E44:G44"/>
    <mergeCell ref="B27:J28"/>
    <mergeCell ref="C30:D30"/>
    <mergeCell ref="C31:D31"/>
    <mergeCell ref="C32:D32"/>
    <mergeCell ref="C33:D33"/>
    <mergeCell ref="C34:D34"/>
    <mergeCell ref="C35:D35"/>
    <mergeCell ref="B24:C24"/>
    <mergeCell ref="D24:E24"/>
    <mergeCell ref="I24:J24"/>
    <mergeCell ref="C36:D36"/>
    <mergeCell ref="C37:D37"/>
    <mergeCell ref="G22:H22"/>
    <mergeCell ref="I22:J22"/>
    <mergeCell ref="B22:C22"/>
    <mergeCell ref="B23:C23"/>
    <mergeCell ref="D23:E23"/>
    <mergeCell ref="I23:J23"/>
    <mergeCell ref="B18:C18"/>
    <mergeCell ref="D18:E18"/>
    <mergeCell ref="G18:H18"/>
    <mergeCell ref="I18:J18"/>
    <mergeCell ref="O18:P18"/>
    <mergeCell ref="B17:C17"/>
    <mergeCell ref="D17:E17"/>
    <mergeCell ref="O17:P17"/>
    <mergeCell ref="G17:H17"/>
    <mergeCell ref="I17:J17"/>
    <mergeCell ref="B16:C16"/>
    <mergeCell ref="D16:E16"/>
    <mergeCell ref="G16:H16"/>
    <mergeCell ref="I16:J16"/>
    <mergeCell ref="O16:P16"/>
    <mergeCell ref="G15:H15"/>
    <mergeCell ref="I15:J15"/>
    <mergeCell ref="O15:P15"/>
    <mergeCell ref="F5:I5"/>
    <mergeCell ref="J5:M5"/>
    <mergeCell ref="F11:G11"/>
    <mergeCell ref="B14:F14"/>
    <mergeCell ref="G14:K14"/>
    <mergeCell ref="B15:C15"/>
    <mergeCell ref="D15:E15"/>
    <mergeCell ref="N5:Q6"/>
    <mergeCell ref="L6:M6"/>
    <mergeCell ref="S11:S14"/>
    <mergeCell ref="L14:Q14"/>
    <mergeCell ref="D2:H2"/>
    <mergeCell ref="K2:L2"/>
    <mergeCell ref="O2:Q2"/>
    <mergeCell ref="D3:E3"/>
    <mergeCell ref="K3:L3"/>
    <mergeCell ref="O3:Q3"/>
    <mergeCell ref="B5:E5"/>
  </mergeCells>
  <conditionalFormatting sqref="C35:D35">
    <cfRule type="expression" dxfId="11" priority="1" stopIfTrue="1">
      <formula>AND(ISNUMBER($C$35),$C$35&lt;80)</formula>
    </cfRule>
  </conditionalFormatting>
  <conditionalFormatting sqref="C35:D35">
    <cfRule type="expression" dxfId="10" priority="2" stopIfTrue="1">
      <formula>AND(ISNUMBER($C$35),$C$35&gt;120)</formula>
    </cfRule>
  </conditionalFormatting>
  <conditionalFormatting sqref="L35:M35">
    <cfRule type="expression" dxfId="9" priority="3" stopIfTrue="1">
      <formula>AND(ISNUMBER($L$35),$L$35&lt;2.25)</formula>
    </cfRule>
  </conditionalFormatting>
  <conditionalFormatting sqref="L35:M35">
    <cfRule type="expression" dxfId="8" priority="4" stopIfTrue="1">
      <formula>AND(ISNUMBER($L$35),$L$35&gt;2.75)</formula>
    </cfRule>
  </conditionalFormatting>
  <conditionalFormatting sqref="L34:M34">
    <cfRule type="expression" dxfId="7" priority="5" stopIfTrue="1">
      <formula>AND(ISNUMBER($L$34),$L$34&lt;9)</formula>
    </cfRule>
  </conditionalFormatting>
  <conditionalFormatting sqref="L34:M34">
    <cfRule type="expression" dxfId="6" priority="6" stopIfTrue="1">
      <formula>AND(ISNUMBER($L$34),$L$34&gt;11)</formula>
    </cfRule>
  </conditionalFormatting>
  <printOptions horizontalCentered="1" verticalCentered="1"/>
  <pageMargins left="0.25" right="0.25" top="0.75" bottom="0.5" header="0" footer="0"/>
  <pageSetup orientation="portrait"/>
  <headerFooter>
    <oddHeader>&amp;CSpreadsheet for U.S. EPA Method 201A - Determination of Filterable PM10 and PM2.5 Emissions TEST RESULTS and DATA ANALYSIS SHEET</oddHeader>
    <oddFooter>&amp;CCopyright 2017 by Environmental Supply Company, Inc.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E1000"/>
  <sheetViews>
    <sheetView workbookViewId="0"/>
  </sheetViews>
  <sheetFormatPr baseColWidth="10" defaultColWidth="14.5" defaultRowHeight="15" customHeight="1"/>
  <cols>
    <col min="1" max="1" width="1" customWidth="1"/>
    <col min="2" max="8" width="6.33203125" customWidth="1"/>
    <col min="9" max="9" width="6.5" customWidth="1"/>
    <col min="10" max="11" width="6.33203125" customWidth="1"/>
    <col min="12" max="12" width="7.5" customWidth="1"/>
    <col min="13" max="16" width="6.33203125" customWidth="1"/>
    <col min="17" max="17" width="10.6640625" customWidth="1"/>
    <col min="18" max="18" width="1.1640625" customWidth="1"/>
    <col min="19" max="19" width="6.33203125" customWidth="1"/>
    <col min="20" max="20" width="1" customWidth="1"/>
    <col min="21" max="28" width="8.6640625" customWidth="1"/>
    <col min="29" max="31" width="6.33203125" customWidth="1"/>
  </cols>
  <sheetData>
    <row r="1" spans="1:31" ht="5.2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5"/>
      <c r="T1" s="5"/>
      <c r="U1" s="5"/>
      <c r="V1" s="5"/>
      <c r="W1" s="5"/>
      <c r="X1" s="5"/>
      <c r="Y1" s="5"/>
      <c r="Z1" s="7"/>
      <c r="AA1" s="5"/>
      <c r="AB1" s="5"/>
      <c r="AC1" s="5"/>
      <c r="AD1" s="5"/>
      <c r="AE1" s="5"/>
    </row>
    <row r="2" spans="1:31" ht="15" customHeight="1">
      <c r="A2" s="8"/>
      <c r="B2" s="9"/>
      <c r="C2" s="10" t="s">
        <v>26</v>
      </c>
      <c r="D2" s="379" t="str">
        <f>IF(ISTEXT('Pre-Test'!D2:H2),'Pre-Test'!D2:H2,"")</f>
        <v/>
      </c>
      <c r="E2" s="295"/>
      <c r="F2" s="295"/>
      <c r="G2" s="295"/>
      <c r="H2" s="296"/>
      <c r="I2" s="9"/>
      <c r="J2" s="10" t="s">
        <v>27</v>
      </c>
      <c r="K2" s="417" t="str">
        <f>IF(ISNUMBER('Run 3'!K2),'Run 3'!K2,"")</f>
        <v/>
      </c>
      <c r="L2" s="296"/>
      <c r="M2" s="9"/>
      <c r="N2" s="10" t="s">
        <v>28</v>
      </c>
      <c r="O2" s="450" t="str">
        <f>IF(ISTEXT('Run 3'!O2),'Run 3'!O2,"")</f>
        <v/>
      </c>
      <c r="P2" s="295"/>
      <c r="Q2" s="296"/>
      <c r="R2" s="251"/>
      <c r="S2" s="5"/>
      <c r="T2" s="5"/>
      <c r="U2" s="5"/>
      <c r="V2" s="5"/>
      <c r="W2" s="5"/>
      <c r="X2" s="5"/>
      <c r="Y2" s="5"/>
      <c r="Z2" s="7"/>
      <c r="AA2" s="5"/>
      <c r="AB2" s="5"/>
      <c r="AC2" s="5"/>
      <c r="AD2" s="5"/>
      <c r="AE2" s="5"/>
    </row>
    <row r="3" spans="1:31" ht="15" customHeight="1">
      <c r="A3" s="8"/>
      <c r="B3" s="9"/>
      <c r="C3" s="10" t="s">
        <v>29</v>
      </c>
      <c r="D3" s="418" t="str">
        <f>IF(ISNUMBER('Run 1'!D3),'Run 1'!D3,"")</f>
        <v/>
      </c>
      <c r="E3" s="280"/>
      <c r="F3" s="9"/>
      <c r="G3" s="9"/>
      <c r="H3" s="9"/>
      <c r="I3" s="9"/>
      <c r="J3" s="10" t="s">
        <v>30</v>
      </c>
      <c r="K3" s="417" t="str">
        <f>IF(ISNUMBER('Run 3'!K3),'Run 3'!K3,"")</f>
        <v/>
      </c>
      <c r="L3" s="296"/>
      <c r="M3" s="9"/>
      <c r="N3" s="10" t="s">
        <v>31</v>
      </c>
      <c r="O3" s="451" t="str">
        <f>IF(ISTEXT('Pre-Test'!P3),'Pre-Test'!P3,"")</f>
        <v/>
      </c>
      <c r="P3" s="452"/>
      <c r="Q3" s="280"/>
      <c r="R3" s="251"/>
      <c r="S3" s="5"/>
      <c r="T3" s="5"/>
      <c r="U3" s="5"/>
      <c r="V3" s="5"/>
      <c r="W3" s="5"/>
      <c r="X3" s="5"/>
      <c r="Y3" s="5"/>
      <c r="Z3" s="7"/>
      <c r="AA3" s="5"/>
      <c r="AB3" s="5"/>
      <c r="AC3" s="5"/>
      <c r="AD3" s="5"/>
      <c r="AE3" s="5"/>
    </row>
    <row r="4" spans="1:31" ht="9.75" customHeight="1">
      <c r="A4" s="8"/>
      <c r="B4" s="5"/>
      <c r="C4" s="10"/>
      <c r="D4" s="18"/>
      <c r="E4" s="5"/>
      <c r="F4" s="5"/>
      <c r="G4" s="5"/>
      <c r="H4" s="5"/>
      <c r="I4" s="5"/>
      <c r="J4" s="19"/>
      <c r="K4" s="5"/>
      <c r="L4" s="5"/>
      <c r="M4" s="5"/>
      <c r="N4" s="5"/>
      <c r="O4" s="5"/>
      <c r="P4" s="5"/>
      <c r="Q4" s="20"/>
      <c r="R4" s="251"/>
      <c r="S4" s="5"/>
      <c r="T4" s="5"/>
      <c r="U4" s="5"/>
      <c r="V4" s="5"/>
      <c r="W4" s="5"/>
      <c r="X4" s="5"/>
      <c r="Y4" s="5"/>
      <c r="Z4" s="7"/>
      <c r="AA4" s="5"/>
      <c r="AB4" s="5"/>
      <c r="AC4" s="5"/>
      <c r="AD4" s="5"/>
      <c r="AE4" s="5"/>
    </row>
    <row r="5" spans="1:31" ht="15" customHeight="1">
      <c r="A5" s="8"/>
      <c r="B5" s="386" t="s">
        <v>32</v>
      </c>
      <c r="C5" s="309"/>
      <c r="D5" s="309"/>
      <c r="E5" s="310"/>
      <c r="F5" s="386" t="s">
        <v>298</v>
      </c>
      <c r="G5" s="309"/>
      <c r="H5" s="309"/>
      <c r="I5" s="310"/>
      <c r="J5" s="382" t="s">
        <v>34</v>
      </c>
      <c r="K5" s="383"/>
      <c r="L5" s="383"/>
      <c r="M5" s="278"/>
      <c r="N5" s="307" t="s">
        <v>299</v>
      </c>
      <c r="O5" s="287"/>
      <c r="P5" s="287"/>
      <c r="Q5" s="288"/>
      <c r="R5" s="12"/>
      <c r="S5" s="5"/>
      <c r="T5" s="7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1:31" ht="15" customHeight="1">
      <c r="A6" s="8"/>
      <c r="B6" s="2"/>
      <c r="C6" s="23" t="s">
        <v>35</v>
      </c>
      <c r="D6" s="54" t="str">
        <f>IF(ISNUMBER(Bwse),Bwse,"-")</f>
        <v>-</v>
      </c>
      <c r="E6" s="27" t="s">
        <v>36</v>
      </c>
      <c r="F6" s="2"/>
      <c r="G6" s="23" t="s">
        <v>300</v>
      </c>
      <c r="H6" s="252" t="str">
        <f>IF(ISNUMBER(COO),COO,"-")</f>
        <v>-</v>
      </c>
      <c r="I6" s="27" t="s">
        <v>38</v>
      </c>
      <c r="J6" s="2"/>
      <c r="K6" s="23" t="s">
        <v>41</v>
      </c>
      <c r="L6" s="313" t="str">
        <f>IF(ISTEXT(MB),MB,"-")</f>
        <v>-</v>
      </c>
      <c r="M6" s="314"/>
      <c r="N6" s="291"/>
      <c r="O6" s="292"/>
      <c r="P6" s="292"/>
      <c r="Q6" s="293"/>
      <c r="R6" s="12"/>
      <c r="S6" s="5"/>
      <c r="T6" s="7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spans="1:31" ht="15" customHeight="1">
      <c r="A7" s="8"/>
      <c r="B7" s="8"/>
      <c r="C7" s="10" t="s">
        <v>42</v>
      </c>
      <c r="D7" s="36" t="str">
        <f>IF(ISNUMBER(Pbar_3),Pbar_3,"-")</f>
        <v>-</v>
      </c>
      <c r="E7" s="40" t="s">
        <v>43</v>
      </c>
      <c r="F7" s="8"/>
      <c r="G7" s="10" t="s">
        <v>301</v>
      </c>
      <c r="H7" s="152" t="str">
        <f>IF(ISNUMBER(OO),OO,"-")</f>
        <v>-</v>
      </c>
      <c r="I7" s="32" t="s">
        <v>38</v>
      </c>
      <c r="J7" s="8"/>
      <c r="K7" s="10" t="s">
        <v>46</v>
      </c>
      <c r="L7" s="133" t="str">
        <f>IF(ISNUMBER(Y),Y,"-")</f>
        <v>-</v>
      </c>
      <c r="M7" s="9"/>
      <c r="N7" s="154"/>
      <c r="O7" s="23" t="s">
        <v>460</v>
      </c>
      <c r="P7" s="253" t="str">
        <f>dP_3</f>
        <v>-</v>
      </c>
      <c r="Q7" s="40" t="s">
        <v>461</v>
      </c>
      <c r="R7" s="12"/>
      <c r="S7" s="5"/>
      <c r="T7" s="7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15" customHeight="1">
      <c r="A8" s="8"/>
      <c r="B8" s="8"/>
      <c r="C8" s="10" t="s">
        <v>47</v>
      </c>
      <c r="D8" s="36" t="str">
        <f>IF(ISNUMBER(Pg_3),Pg_3,"-")</f>
        <v>-</v>
      </c>
      <c r="E8" s="31" t="s">
        <v>462</v>
      </c>
      <c r="F8" s="8"/>
      <c r="G8" s="10" t="s">
        <v>305</v>
      </c>
      <c r="H8" s="36" t="str">
        <f>NN</f>
        <v>-</v>
      </c>
      <c r="I8" s="32" t="s">
        <v>38</v>
      </c>
      <c r="J8" s="8"/>
      <c r="K8" s="38" t="s">
        <v>463</v>
      </c>
      <c r="L8" s="133" t="str">
        <f>IF(ISNUMBER(dHa),dHa,"-")</f>
        <v>-</v>
      </c>
      <c r="M8" s="31" t="s">
        <v>464</v>
      </c>
      <c r="N8" s="44"/>
      <c r="O8" s="10" t="s">
        <v>465</v>
      </c>
      <c r="P8" s="49" t="str">
        <f>Tm_3</f>
        <v>-</v>
      </c>
      <c r="Q8" s="12" t="s">
        <v>149</v>
      </c>
      <c r="R8" s="12"/>
      <c r="S8" s="5"/>
      <c r="T8" s="7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1:31" ht="15" customHeight="1">
      <c r="A9" s="8"/>
      <c r="B9" s="8"/>
      <c r="C9" s="10" t="s">
        <v>54</v>
      </c>
      <c r="D9" s="36" t="str">
        <f>Ps_3</f>
        <v>-</v>
      </c>
      <c r="E9" s="40" t="s">
        <v>43</v>
      </c>
      <c r="F9" s="8"/>
      <c r="G9" s="10" t="s">
        <v>309</v>
      </c>
      <c r="H9" s="152" t="str">
        <f>Md</f>
        <v>-</v>
      </c>
      <c r="I9" s="40" t="s">
        <v>56</v>
      </c>
      <c r="J9" s="46" t="s">
        <v>66</v>
      </c>
      <c r="K9" s="133" t="str">
        <f>IF(ISNUMBER(Cpp),Cpp,"-")</f>
        <v>-</v>
      </c>
      <c r="L9" s="47" t="s">
        <v>67</v>
      </c>
      <c r="M9" s="143" t="str">
        <f>IF(OR(ISNUMBER('Pre-Test'!R11),ISTEXT('Pre-Test'!R11)),'Pre-Test'!R11,"-")</f>
        <v>-</v>
      </c>
      <c r="N9" s="44"/>
      <c r="O9" s="10" t="s">
        <v>466</v>
      </c>
      <c r="P9" s="49" t="str">
        <f>Ts_3</f>
        <v>-</v>
      </c>
      <c r="Q9" s="12" t="s">
        <v>149</v>
      </c>
      <c r="R9" s="12"/>
      <c r="S9" s="5"/>
      <c r="T9" s="7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31" ht="15" customHeight="1">
      <c r="A10" s="8"/>
      <c r="B10" s="254"/>
      <c r="C10" s="255" t="s">
        <v>61</v>
      </c>
      <c r="D10" s="155" t="str">
        <f>IF(ISNUMBER(A),A,"-")</f>
        <v>-</v>
      </c>
      <c r="E10" s="256" t="s">
        <v>467</v>
      </c>
      <c r="F10" s="257"/>
      <c r="G10" s="255" t="s">
        <v>312</v>
      </c>
      <c r="H10" s="36" t="str">
        <f>IF(ISNUMBER(Bws_3),Md*(1-Bws_3)+18*Bws_3,"-")</f>
        <v>-</v>
      </c>
      <c r="I10" s="258" t="s">
        <v>56</v>
      </c>
      <c r="J10" s="46" t="s">
        <v>71</v>
      </c>
      <c r="K10" s="151" t="str">
        <f>IF(ISNUMBER(Cp),Cp,"-")</f>
        <v>-</v>
      </c>
      <c r="L10" s="47" t="s">
        <v>67</v>
      </c>
      <c r="M10" s="143" t="str">
        <f>IF(OR(ISNUMBER('Pre-Test'!R11),ISTEXT('Pre-Test'!R11)),'Pre-Test'!R11,"-")</f>
        <v>-</v>
      </c>
      <c r="N10" s="44"/>
      <c r="O10" s="10" t="s">
        <v>468</v>
      </c>
      <c r="P10" s="259" t="str">
        <f>dH_3</f>
        <v>-</v>
      </c>
      <c r="Q10" s="40" t="s">
        <v>469</v>
      </c>
      <c r="R10" s="12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ht="15" customHeight="1">
      <c r="A11" s="8"/>
      <c r="B11" s="60"/>
      <c r="C11" s="57" t="s">
        <v>140</v>
      </c>
      <c r="D11" s="58" t="str">
        <f>IF(ISNUMBER(N_3),N_3,"-")</f>
        <v>-</v>
      </c>
      <c r="E11" s="52" t="s">
        <v>141</v>
      </c>
      <c r="F11" s="323" t="s">
        <v>145</v>
      </c>
      <c r="G11" s="325"/>
      <c r="H11" s="260" t="str">
        <f>Time_3</f>
        <v>-</v>
      </c>
      <c r="I11" s="52" t="s">
        <v>146</v>
      </c>
      <c r="J11" s="60"/>
      <c r="K11" s="57" t="s">
        <v>75</v>
      </c>
      <c r="L11" s="261" t="str">
        <f>IF(ISNUMBER(Dn),Dn,"-")</f>
        <v>-</v>
      </c>
      <c r="M11" s="262" t="s">
        <v>76</v>
      </c>
      <c r="N11" s="2"/>
      <c r="O11" s="23" t="s">
        <v>470</v>
      </c>
      <c r="P11" s="253">
        <f>IF(ISNUMBER(Tstd),Tstd,"-")</f>
        <v>528</v>
      </c>
      <c r="Q11" s="4" t="s">
        <v>149</v>
      </c>
      <c r="R11" s="12"/>
      <c r="S11" s="414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1:31" ht="15" customHeight="1">
      <c r="A12" s="8"/>
      <c r="B12" s="5"/>
      <c r="C12" s="10"/>
      <c r="D12" s="17"/>
      <c r="E12" s="5"/>
      <c r="F12" s="16"/>
      <c r="G12" s="263"/>
      <c r="H12" s="264"/>
      <c r="I12" s="5"/>
      <c r="J12" s="5"/>
      <c r="K12" s="10"/>
      <c r="L12" s="17"/>
      <c r="M12" s="222"/>
      <c r="N12" s="60"/>
      <c r="O12" s="149" t="s">
        <v>471</v>
      </c>
      <c r="P12" s="265">
        <f>IF(ISNUMBER(Pstd),Pstd,"-")</f>
        <v>29.92</v>
      </c>
      <c r="Q12" s="266" t="s">
        <v>43</v>
      </c>
      <c r="R12" s="12"/>
      <c r="S12" s="41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spans="1:31" ht="9" customHeight="1">
      <c r="A13" s="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12"/>
      <c r="S13" s="41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15" customHeight="1">
      <c r="A14" s="8"/>
      <c r="B14" s="387" t="s">
        <v>472</v>
      </c>
      <c r="C14" s="383"/>
      <c r="D14" s="383"/>
      <c r="E14" s="383"/>
      <c r="F14" s="278"/>
      <c r="G14" s="422" t="s">
        <v>473</v>
      </c>
      <c r="H14" s="309"/>
      <c r="I14" s="309"/>
      <c r="J14" s="309"/>
      <c r="K14" s="357"/>
      <c r="L14" s="387" t="s">
        <v>319</v>
      </c>
      <c r="M14" s="383"/>
      <c r="N14" s="383"/>
      <c r="O14" s="383"/>
      <c r="P14" s="383"/>
      <c r="Q14" s="278"/>
      <c r="R14" s="12"/>
      <c r="S14" s="416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15" customHeight="1">
      <c r="A15" s="8"/>
      <c r="B15" s="419" t="s">
        <v>320</v>
      </c>
      <c r="C15" s="310"/>
      <c r="D15" s="420"/>
      <c r="E15" s="312"/>
      <c r="F15" s="3" t="s">
        <v>321</v>
      </c>
      <c r="G15" s="419" t="s">
        <v>322</v>
      </c>
      <c r="H15" s="310"/>
      <c r="I15" s="420"/>
      <c r="J15" s="312"/>
      <c r="K15" s="4" t="s">
        <v>321</v>
      </c>
      <c r="L15" s="3"/>
      <c r="M15" s="3"/>
      <c r="N15" s="23" t="s">
        <v>323</v>
      </c>
      <c r="O15" s="421"/>
      <c r="P15" s="310"/>
      <c r="Q15" s="4" t="s">
        <v>324</v>
      </c>
      <c r="R15" s="12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spans="1:31" ht="15" customHeight="1">
      <c r="A16" s="8"/>
      <c r="B16" s="321" t="s">
        <v>325</v>
      </c>
      <c r="C16" s="273"/>
      <c r="D16" s="423"/>
      <c r="E16" s="273"/>
      <c r="F16" s="5" t="s">
        <v>321</v>
      </c>
      <c r="G16" s="321" t="s">
        <v>326</v>
      </c>
      <c r="H16" s="273"/>
      <c r="I16" s="423"/>
      <c r="J16" s="273"/>
      <c r="K16" s="12" t="s">
        <v>321</v>
      </c>
      <c r="L16" s="5"/>
      <c r="M16" s="5"/>
      <c r="N16" s="10" t="s">
        <v>327</v>
      </c>
      <c r="O16" s="424"/>
      <c r="P16" s="280"/>
      <c r="Q16" s="12" t="s">
        <v>324</v>
      </c>
      <c r="R16" s="12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15" customHeight="1">
      <c r="A17" s="8"/>
      <c r="B17" s="321" t="s">
        <v>474</v>
      </c>
      <c r="C17" s="273"/>
      <c r="D17" s="424"/>
      <c r="E17" s="280"/>
      <c r="F17" s="5" t="s">
        <v>329</v>
      </c>
      <c r="G17" s="321" t="s">
        <v>475</v>
      </c>
      <c r="H17" s="273"/>
      <c r="I17" s="424"/>
      <c r="J17" s="280"/>
      <c r="K17" s="12" t="s">
        <v>329</v>
      </c>
      <c r="L17" s="5"/>
      <c r="M17" s="5"/>
      <c r="N17" s="10" t="s">
        <v>476</v>
      </c>
      <c r="O17" s="425" t="str">
        <f>IF(ISNUMBER(O15),O15-O16,"-")</f>
        <v>-</v>
      </c>
      <c r="P17" s="273"/>
      <c r="Q17" s="12" t="s">
        <v>324</v>
      </c>
      <c r="R17" s="12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ht="15" customHeight="1">
      <c r="A18" s="8"/>
      <c r="B18" s="321" t="s">
        <v>477</v>
      </c>
      <c r="C18" s="273"/>
      <c r="D18" s="425" t="str">
        <f>IF(ISNUMBER(D17),Ca_3*D17*$O$28,"-")</f>
        <v>-</v>
      </c>
      <c r="E18" s="273"/>
      <c r="F18" s="5" t="s">
        <v>321</v>
      </c>
      <c r="G18" s="321" t="s">
        <v>478</v>
      </c>
      <c r="H18" s="273"/>
      <c r="I18" s="425" t="str">
        <f>IF(ISNUMBER(I17),Ca_3*I17*$O$28,"-")</f>
        <v>-</v>
      </c>
      <c r="J18" s="273"/>
      <c r="K18" s="12" t="s">
        <v>321</v>
      </c>
      <c r="L18" s="5"/>
      <c r="M18" s="5"/>
      <c r="N18" s="10" t="s">
        <v>479</v>
      </c>
      <c r="O18" s="426" t="str">
        <f>IF(ISNUMBER(O17),0.0026673*Tstd/Pstd*O17,"-")</f>
        <v>-</v>
      </c>
      <c r="P18" s="280"/>
      <c r="Q18" s="12" t="s">
        <v>335</v>
      </c>
      <c r="R18" s="12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15" customHeight="1">
      <c r="A19" s="8"/>
      <c r="B19" s="323" t="s">
        <v>480</v>
      </c>
      <c r="C19" s="325"/>
      <c r="D19" s="326" t="str">
        <f>IF(ISNUMBER(D15),D15-D16-(IF(D18&gt;0.000001*D17*$O$28,0.000001*D17*$O$28,D18)),"-")</f>
        <v>-</v>
      </c>
      <c r="E19" s="327"/>
      <c r="F19" s="51" t="s">
        <v>321</v>
      </c>
      <c r="G19" s="323" t="s">
        <v>481</v>
      </c>
      <c r="H19" s="325"/>
      <c r="I19" s="326" t="str">
        <f>IF(ISNUMBER(I15),I15-I16-(IF(I18&gt;0.000001*I17*$O$28,0.000001*I17*$O$28,I18)),"-")</f>
        <v>-</v>
      </c>
      <c r="J19" s="327"/>
      <c r="K19" s="52" t="s">
        <v>321</v>
      </c>
      <c r="L19" s="5"/>
      <c r="M19" s="5"/>
      <c r="N19" s="10" t="s">
        <v>338</v>
      </c>
      <c r="O19" s="423"/>
      <c r="P19" s="273"/>
      <c r="Q19" s="12" t="s">
        <v>329</v>
      </c>
      <c r="R19" s="12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15" customHeight="1">
      <c r="A20" s="8"/>
      <c r="B20" s="387" t="s">
        <v>482</v>
      </c>
      <c r="C20" s="383"/>
      <c r="D20" s="383"/>
      <c r="E20" s="383"/>
      <c r="F20" s="278"/>
      <c r="G20" s="387" t="s">
        <v>483</v>
      </c>
      <c r="H20" s="383"/>
      <c r="I20" s="383"/>
      <c r="J20" s="383"/>
      <c r="K20" s="278"/>
      <c r="L20" s="8"/>
      <c r="M20" s="5"/>
      <c r="N20" s="9" t="s">
        <v>484</v>
      </c>
      <c r="O20" s="426" t="str">
        <f>IF(ISNUMBER(O19),0.0026673*Tstd/Pstd*O19,"-")</f>
        <v>-</v>
      </c>
      <c r="P20" s="280"/>
      <c r="Q20" s="12" t="s">
        <v>335</v>
      </c>
      <c r="R20" s="12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ht="15" customHeight="1">
      <c r="A21" s="8"/>
      <c r="B21" s="419" t="s">
        <v>342</v>
      </c>
      <c r="C21" s="310"/>
      <c r="D21" s="421"/>
      <c r="E21" s="310"/>
      <c r="F21" s="4" t="s">
        <v>321</v>
      </c>
      <c r="G21" s="419" t="s">
        <v>343</v>
      </c>
      <c r="H21" s="310"/>
      <c r="I21" s="421"/>
      <c r="J21" s="310"/>
      <c r="K21" s="4" t="s">
        <v>321</v>
      </c>
      <c r="L21" s="5"/>
      <c r="M21" s="5"/>
      <c r="N21" s="9"/>
      <c r="O21" s="17"/>
      <c r="P21" s="17"/>
      <c r="Q21" s="12"/>
      <c r="R21" s="12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ht="15" customHeight="1">
      <c r="A22" s="8"/>
      <c r="B22" s="321" t="s">
        <v>344</v>
      </c>
      <c r="C22" s="273"/>
      <c r="D22" s="424"/>
      <c r="E22" s="280"/>
      <c r="F22" s="12" t="s">
        <v>321</v>
      </c>
      <c r="G22" s="321" t="s">
        <v>345</v>
      </c>
      <c r="H22" s="273"/>
      <c r="I22" s="424"/>
      <c r="J22" s="280"/>
      <c r="K22" s="12" t="s">
        <v>321</v>
      </c>
      <c r="L22" s="5"/>
      <c r="M22" s="5"/>
      <c r="N22" s="10" t="s">
        <v>485</v>
      </c>
      <c r="O22" s="441" t="str">
        <f>IF(ISNUMBER(O20),O18+O20,"-")</f>
        <v>-</v>
      </c>
      <c r="P22" s="273"/>
      <c r="Q22" s="12" t="s">
        <v>335</v>
      </c>
      <c r="R22" s="12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ht="15" customHeight="1">
      <c r="A23" s="8"/>
      <c r="B23" s="321" t="s">
        <v>486</v>
      </c>
      <c r="C23" s="273"/>
      <c r="D23" s="427"/>
      <c r="E23" s="296"/>
      <c r="F23" s="12" t="s">
        <v>329</v>
      </c>
      <c r="G23" s="321" t="s">
        <v>487</v>
      </c>
      <c r="H23" s="273"/>
      <c r="I23" s="427"/>
      <c r="J23" s="296"/>
      <c r="K23" s="12" t="s">
        <v>329</v>
      </c>
      <c r="L23" s="5"/>
      <c r="M23" s="5"/>
      <c r="N23" s="10" t="s">
        <v>488</v>
      </c>
      <c r="O23" s="426" t="str">
        <f>IF(ISNUMBER(Vws_3),Vws_3/(Vws_3+Vms_3),"-")</f>
        <v>-</v>
      </c>
      <c r="P23" s="280"/>
      <c r="Q23" s="12" t="s">
        <v>489</v>
      </c>
      <c r="R23" s="12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spans="1:31" ht="15" customHeight="1">
      <c r="A24" s="8"/>
      <c r="B24" s="321" t="s">
        <v>490</v>
      </c>
      <c r="C24" s="273"/>
      <c r="D24" s="425" t="str">
        <f>IF(ISNUMBER(D23),Ca_3*D23*$O$28,"-")</f>
        <v>-</v>
      </c>
      <c r="E24" s="273"/>
      <c r="F24" s="12" t="s">
        <v>321</v>
      </c>
      <c r="G24" s="321" t="s">
        <v>491</v>
      </c>
      <c r="H24" s="273"/>
      <c r="I24" s="425" t="str">
        <f>IF(ISNUMBER(I23),Ca_3*I23*$O$28,"-")</f>
        <v>-</v>
      </c>
      <c r="J24" s="273"/>
      <c r="K24" s="12" t="s">
        <v>321</v>
      </c>
      <c r="L24" s="51"/>
      <c r="M24" s="51"/>
      <c r="N24" s="57" t="s">
        <v>492</v>
      </c>
      <c r="O24" s="442" t="str">
        <f>IF(ISNUMBER(Bws_3),100*Bws_3,"-")</f>
        <v>-</v>
      </c>
      <c r="P24" s="327"/>
      <c r="Q24" s="52" t="s">
        <v>38</v>
      </c>
      <c r="R24" s="12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spans="1:31" ht="15" customHeight="1">
      <c r="A25" s="8"/>
      <c r="B25" s="323" t="s">
        <v>493</v>
      </c>
      <c r="C25" s="325"/>
      <c r="D25" s="326" t="str">
        <f>IF(ISNUMBER(D21),D21-D22-(IF(D24&gt;0.000001*D23*$O$28,0.000001*D23*$O$28,D24)),"-")</f>
        <v>-</v>
      </c>
      <c r="E25" s="327"/>
      <c r="F25" s="52" t="s">
        <v>321</v>
      </c>
      <c r="G25" s="323" t="s">
        <v>494</v>
      </c>
      <c r="H25" s="325"/>
      <c r="I25" s="326" t="str">
        <f>IF(ISNUMBER(I21),I21-I22-(IF(I24&gt;0.000001*I23*$O$28,0.000001*I23*$O$28,I24)),"-")</f>
        <v>-</v>
      </c>
      <c r="J25" s="327"/>
      <c r="K25" s="52" t="s">
        <v>321</v>
      </c>
      <c r="L25" s="444" t="s">
        <v>356</v>
      </c>
      <c r="M25" s="383"/>
      <c r="N25" s="383"/>
      <c r="O25" s="383"/>
      <c r="P25" s="383"/>
      <c r="Q25" s="278"/>
      <c r="R25" s="12"/>
      <c r="S25" s="5"/>
      <c r="T25" s="5"/>
      <c r="U25" s="5"/>
      <c r="V25" s="445"/>
      <c r="W25" s="432"/>
      <c r="X25" s="432"/>
      <c r="Y25" s="432"/>
      <c r="Z25" s="432"/>
      <c r="AA25" s="432"/>
      <c r="AB25" s="432"/>
      <c r="AC25" s="432"/>
      <c r="AD25" s="432"/>
      <c r="AE25" s="433"/>
    </row>
    <row r="26" spans="1:31" ht="15" customHeight="1">
      <c r="A26" s="8"/>
      <c r="B26" s="5"/>
      <c r="C26" s="5"/>
      <c r="D26" s="5"/>
      <c r="E26" s="5"/>
      <c r="F26" s="5"/>
      <c r="G26" s="5"/>
      <c r="H26" s="5"/>
      <c r="I26" s="5"/>
      <c r="J26" s="5"/>
      <c r="K26" s="5"/>
      <c r="L26" s="2"/>
      <c r="M26" s="3"/>
      <c r="N26" s="23" t="s">
        <v>357</v>
      </c>
      <c r="O26" s="420"/>
      <c r="P26" s="312"/>
      <c r="Q26" s="4" t="s">
        <v>321</v>
      </c>
      <c r="R26" s="12"/>
      <c r="S26" s="5"/>
      <c r="T26" s="5"/>
      <c r="U26" s="5"/>
      <c r="V26" s="363"/>
      <c r="W26" s="303"/>
      <c r="X26" s="303"/>
      <c r="Y26" s="303"/>
      <c r="Z26" s="303"/>
      <c r="AA26" s="303"/>
      <c r="AB26" s="303"/>
      <c r="AC26" s="303"/>
      <c r="AD26" s="303"/>
      <c r="AE26" s="304"/>
    </row>
    <row r="27" spans="1:31" ht="15" customHeight="1">
      <c r="A27" s="8"/>
      <c r="B27" s="431" t="s">
        <v>358</v>
      </c>
      <c r="C27" s="432"/>
      <c r="D27" s="432"/>
      <c r="E27" s="432"/>
      <c r="F27" s="432"/>
      <c r="G27" s="432"/>
      <c r="H27" s="432"/>
      <c r="I27" s="432"/>
      <c r="J27" s="433"/>
      <c r="K27" s="128"/>
      <c r="L27" s="8"/>
      <c r="M27" s="128"/>
      <c r="N27" s="10" t="s">
        <v>359</v>
      </c>
      <c r="O27" s="423"/>
      <c r="P27" s="273"/>
      <c r="Q27" s="12" t="s">
        <v>321</v>
      </c>
      <c r="R27" s="12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spans="1:31" ht="15" customHeight="1">
      <c r="A28" s="8"/>
      <c r="B28" s="434"/>
      <c r="C28" s="435"/>
      <c r="D28" s="435"/>
      <c r="E28" s="435"/>
      <c r="F28" s="435"/>
      <c r="G28" s="435"/>
      <c r="H28" s="435"/>
      <c r="I28" s="435"/>
      <c r="J28" s="436"/>
      <c r="K28" s="5"/>
      <c r="L28" s="8"/>
      <c r="M28" s="5"/>
      <c r="N28" s="10" t="s">
        <v>495</v>
      </c>
      <c r="O28" s="424"/>
      <c r="P28" s="280"/>
      <c r="Q28" s="12" t="s">
        <v>361</v>
      </c>
      <c r="R28" s="12"/>
      <c r="S28" s="5"/>
      <c r="T28" s="5"/>
      <c r="U28" s="5"/>
      <c r="V28" s="5"/>
      <c r="W28" s="5"/>
      <c r="X28" s="5"/>
      <c r="Y28" s="5"/>
      <c r="Z28" s="7"/>
      <c r="AA28" s="5"/>
      <c r="AB28" s="5"/>
      <c r="AC28" s="5"/>
      <c r="AD28" s="5"/>
      <c r="AE28" s="5"/>
    </row>
    <row r="29" spans="1:31" ht="15" customHeight="1">
      <c r="A29" s="8"/>
      <c r="B29" s="5"/>
      <c r="C29" s="5"/>
      <c r="D29" s="5"/>
      <c r="E29" s="5"/>
      <c r="F29" s="5"/>
      <c r="G29" s="5"/>
      <c r="H29" s="5"/>
      <c r="I29" s="5"/>
      <c r="J29" s="5"/>
      <c r="K29" s="5"/>
      <c r="L29" s="8"/>
      <c r="M29" s="5"/>
      <c r="N29" s="10" t="s">
        <v>496</v>
      </c>
      <c r="O29" s="423"/>
      <c r="P29" s="273"/>
      <c r="Q29" s="12" t="s">
        <v>329</v>
      </c>
      <c r="R29" s="12"/>
      <c r="S29" s="5"/>
      <c r="T29" s="5"/>
      <c r="U29" s="5"/>
      <c r="V29" s="5"/>
      <c r="W29" s="5"/>
      <c r="X29" s="5"/>
      <c r="Y29" s="5"/>
      <c r="Z29" s="7"/>
      <c r="AA29" s="5"/>
      <c r="AB29" s="5"/>
      <c r="AC29" s="5"/>
      <c r="AD29" s="5"/>
      <c r="AE29" s="5"/>
    </row>
    <row r="30" spans="1:31" ht="15" customHeight="1">
      <c r="A30" s="8"/>
      <c r="B30" s="10" t="s">
        <v>497</v>
      </c>
      <c r="C30" s="437" t="str">
        <f>Vm_3</f>
        <v>-</v>
      </c>
      <c r="D30" s="273"/>
      <c r="E30" s="5" t="s">
        <v>364</v>
      </c>
      <c r="F30" s="128"/>
      <c r="G30" s="5"/>
      <c r="H30" s="5"/>
      <c r="I30" s="5"/>
      <c r="J30" s="5"/>
      <c r="K30" s="5"/>
      <c r="L30" s="60"/>
      <c r="M30" s="51"/>
      <c r="N30" s="57" t="s">
        <v>498</v>
      </c>
      <c r="O30" s="443" t="str">
        <f>IF(ISNUMBER(O29),(O26-O27)/O28/O29,"-")</f>
        <v>-</v>
      </c>
      <c r="P30" s="327"/>
      <c r="Q30" s="267" t="s">
        <v>499</v>
      </c>
      <c r="R30" s="12"/>
      <c r="S30" s="5"/>
      <c r="T30" s="5"/>
      <c r="U30" s="5"/>
      <c r="V30" s="5"/>
      <c r="W30" s="5"/>
      <c r="X30" s="5"/>
      <c r="Y30" s="5"/>
      <c r="Z30" s="7"/>
      <c r="AA30" s="5"/>
      <c r="AB30" s="5"/>
      <c r="AC30" s="5"/>
      <c r="AD30" s="5"/>
      <c r="AE30" s="5"/>
    </row>
    <row r="31" spans="1:31" ht="15" customHeight="1">
      <c r="A31" s="8"/>
      <c r="B31" s="10" t="s">
        <v>500</v>
      </c>
      <c r="C31" s="394" t="str">
        <f>IF(ISNUMBER(Vm_3),Tstd/Pstd*Y*Vm_3*(Pbar_3+dH_3/13.6)/Tm_3,"-")</f>
        <v>-</v>
      </c>
      <c r="D31" s="280"/>
      <c r="E31" s="5" t="s">
        <v>368</v>
      </c>
      <c r="F31" s="5"/>
      <c r="G31" s="5"/>
      <c r="H31" s="5"/>
      <c r="I31" s="5"/>
      <c r="J31" s="5"/>
      <c r="K31" s="128"/>
      <c r="L31" s="5"/>
      <c r="M31" s="5"/>
      <c r="N31" s="5"/>
      <c r="O31" s="5"/>
      <c r="P31" s="5"/>
      <c r="Q31" s="5"/>
      <c r="R31" s="12"/>
      <c r="S31" s="5"/>
      <c r="T31" s="5"/>
      <c r="U31" s="5"/>
      <c r="V31" s="5"/>
      <c r="W31" s="5"/>
      <c r="X31" s="5"/>
      <c r="Y31" s="5"/>
      <c r="Z31" s="7"/>
      <c r="AA31" s="5"/>
      <c r="AB31" s="5"/>
      <c r="AC31" s="5"/>
      <c r="AD31" s="5"/>
      <c r="AE31" s="5"/>
    </row>
    <row r="32" spans="1:31" ht="15" customHeight="1">
      <c r="A32" s="8"/>
      <c r="B32" s="10" t="s">
        <v>501</v>
      </c>
      <c r="C32" s="437" t="str">
        <f>Vws_3</f>
        <v>-</v>
      </c>
      <c r="D32" s="273"/>
      <c r="E32" s="5" t="s">
        <v>370</v>
      </c>
      <c r="F32" s="5"/>
      <c r="G32" s="5"/>
      <c r="H32" s="5"/>
      <c r="I32" s="5"/>
      <c r="J32" s="5"/>
      <c r="K32" s="38" t="s">
        <v>502</v>
      </c>
      <c r="L32" s="447" t="str">
        <f>IF(ISNUMBER(Bws_3),-150.3162+13.4622*SQRT(Ts_3)+3861530/(Ts_3^2)+0.591123*(1-Bws_3)*OO-91.9723*Bws_3+0.0000151761*Bws_3*(Ts_3^2),"-")</f>
        <v>-</v>
      </c>
      <c r="M32" s="296"/>
      <c r="N32" s="5" t="s">
        <v>372</v>
      </c>
      <c r="O32" s="5"/>
      <c r="P32" s="5"/>
      <c r="Q32" s="5"/>
      <c r="R32" s="12"/>
      <c r="S32" s="5"/>
      <c r="T32" s="5"/>
      <c r="U32" s="5"/>
      <c r="V32" s="5"/>
      <c r="W32" s="5"/>
      <c r="X32" s="5"/>
      <c r="Y32" s="5"/>
      <c r="Z32" s="7"/>
      <c r="AA32" s="5"/>
      <c r="AB32" s="5"/>
      <c r="AC32" s="5"/>
      <c r="AD32" s="5"/>
      <c r="AE32" s="5"/>
    </row>
    <row r="33" spans="1:31" ht="15" customHeight="1">
      <c r="A33" s="8"/>
      <c r="B33" s="10" t="s">
        <v>503</v>
      </c>
      <c r="C33" s="438" t="str">
        <f>IF(ISNUMBER(Vms_3),Vms_3/Time_3,"-")</f>
        <v>-</v>
      </c>
      <c r="D33" s="280"/>
      <c r="E33" s="5" t="s">
        <v>374</v>
      </c>
      <c r="F33" s="5"/>
      <c r="G33" s="5"/>
      <c r="H33" s="5"/>
      <c r="I33" s="5"/>
      <c r="J33" s="5"/>
      <c r="K33" s="10" t="s">
        <v>504</v>
      </c>
      <c r="L33" s="394" t="str">
        <f>IF(ISNUMBER(Mw_3),1+0.0057193*(vis_3/Ps_3/(IF(ISNUMBER(D50IV_3),D50IV_3,2.5)))*SQRT(Ts_3/Mw_3),"-")</f>
        <v>-</v>
      </c>
      <c r="M33" s="280"/>
      <c r="N33" s="5" t="s">
        <v>376</v>
      </c>
      <c r="O33" s="5"/>
      <c r="P33" s="5"/>
      <c r="Q33" s="5"/>
      <c r="R33" s="12"/>
      <c r="S33" s="5"/>
      <c r="T33" s="5"/>
      <c r="U33" s="5"/>
      <c r="V33" s="5"/>
      <c r="W33" s="5"/>
      <c r="X33" s="5"/>
      <c r="Y33" s="5"/>
      <c r="Z33" s="7"/>
      <c r="AA33" s="5"/>
      <c r="AB33" s="5"/>
      <c r="AC33" s="5"/>
      <c r="AD33" s="5"/>
      <c r="AE33" s="5"/>
    </row>
    <row r="34" spans="1:31" ht="15" customHeight="1">
      <c r="A34" s="8"/>
      <c r="B34" s="10" t="s">
        <v>505</v>
      </c>
      <c r="C34" s="439" t="str">
        <f>IF(ISNUMBER(Qsst_3),Pstd/Tstd*Qsst_3*(1/(1-Bws_3))*Ts_3/Ps_3,"-")</f>
        <v>-</v>
      </c>
      <c r="D34" s="273"/>
      <c r="E34" s="5" t="s">
        <v>378</v>
      </c>
      <c r="F34" s="5"/>
      <c r="G34" s="5"/>
      <c r="H34" s="5"/>
      <c r="I34" s="128"/>
      <c r="J34" s="5"/>
      <c r="K34" s="10" t="s">
        <v>506</v>
      </c>
      <c r="L34" s="440" t="str">
        <f>IF(ISNUMBER(Mw_3),0.15625*(Ts_3/Mw_3/Ps_3)^0.2091*(vis_3/Qs_3)^0.7091,"-")</f>
        <v>-</v>
      </c>
      <c r="M34" s="280"/>
      <c r="N34" s="268" t="s">
        <v>507</v>
      </c>
      <c r="O34" s="5"/>
      <c r="P34" s="5"/>
      <c r="Q34" s="5"/>
      <c r="R34" s="12"/>
      <c r="S34" s="5"/>
      <c r="T34" s="5"/>
      <c r="U34" s="5"/>
      <c r="V34" s="5"/>
      <c r="W34" s="5"/>
      <c r="X34" s="5"/>
      <c r="Y34" s="5"/>
      <c r="Z34" s="7"/>
      <c r="AA34" s="5"/>
      <c r="AB34" s="5"/>
      <c r="AC34" s="5"/>
      <c r="AD34" s="5"/>
      <c r="AE34" s="5"/>
    </row>
    <row r="35" spans="1:31" ht="15" customHeight="1">
      <c r="A35" s="8"/>
      <c r="B35" s="10" t="s">
        <v>381</v>
      </c>
      <c r="C35" s="440" t="str">
        <f>IF(ISNUMBER(Vms_3),Pstd/Tstd*100*Ts_3*Vms_3/60/Vs_3/Time_3/An/Ps_3/(1-Bws_3),"-")</f>
        <v>-</v>
      </c>
      <c r="D35" s="280"/>
      <c r="E35" s="5" t="s">
        <v>382</v>
      </c>
      <c r="F35" s="5"/>
      <c r="G35" s="5"/>
      <c r="H35" s="5"/>
      <c r="I35" s="5"/>
      <c r="J35" s="5"/>
      <c r="K35" s="10" t="s">
        <v>508</v>
      </c>
      <c r="L35" s="440" t="str">
        <f>IF(ISNUMBER(Mw_3),IF(Nr_3&lt;3162,0.0024302*(vis_3/Qs_3)^1.1791*SQRT(1/Cf_3)*(Ts_3/Ps_3/Mw_3)^0.679,0.019723*(vis_3/Qs_3)^0.8058*SQRT(1/Cf_3)*(Ts_3/Ps_3/Mw_3)^0.3058),"-")</f>
        <v>-</v>
      </c>
      <c r="M35" s="280"/>
      <c r="N35" s="268" t="s">
        <v>509</v>
      </c>
      <c r="O35" s="5"/>
      <c r="P35" s="5"/>
      <c r="Q35" s="5"/>
      <c r="R35" s="12"/>
      <c r="S35" s="5"/>
      <c r="T35" s="5"/>
      <c r="U35" s="5"/>
      <c r="V35" s="5"/>
      <c r="W35" s="5"/>
      <c r="X35" s="5"/>
      <c r="Y35" s="5"/>
      <c r="Z35" s="7"/>
      <c r="AA35" s="5"/>
      <c r="AB35" s="5"/>
      <c r="AC35" s="5"/>
      <c r="AD35" s="5"/>
      <c r="AE35" s="5"/>
    </row>
    <row r="36" spans="1:31" ht="15" customHeight="1">
      <c r="A36" s="8"/>
      <c r="B36" s="10" t="s">
        <v>510</v>
      </c>
      <c r="C36" s="428" t="str">
        <f>IF(ISNUMBER(vis_3),864000*Ps_3*Mw_3/Ts_3*Qs_3/vis_3,"-")</f>
        <v>-</v>
      </c>
      <c r="D36" s="280"/>
      <c r="E36" s="5" t="s">
        <v>386</v>
      </c>
      <c r="F36" s="5"/>
      <c r="G36" s="5"/>
      <c r="H36" s="5"/>
      <c r="I36" s="5"/>
      <c r="J36" s="5"/>
      <c r="K36" s="10" t="s">
        <v>511</v>
      </c>
      <c r="L36" s="448" t="str">
        <f>IF(ISNUMBER(Qsw_3),(1-Bws_3)*Qsw_3,"-")</f>
        <v>-</v>
      </c>
      <c r="M36" s="280"/>
      <c r="N36" s="449" t="s">
        <v>388</v>
      </c>
      <c r="O36" s="272"/>
      <c r="P36" s="272"/>
      <c r="Q36" s="273"/>
      <c r="R36" s="12"/>
      <c r="S36" s="5"/>
      <c r="T36" s="5"/>
      <c r="U36" s="5"/>
      <c r="V36" s="5"/>
      <c r="W36" s="5"/>
      <c r="X36" s="5"/>
      <c r="Y36" s="5"/>
      <c r="Z36" s="7"/>
      <c r="AA36" s="5"/>
      <c r="AB36" s="5"/>
      <c r="AC36" s="5"/>
      <c r="AD36" s="5"/>
      <c r="AE36" s="5"/>
    </row>
    <row r="37" spans="1:31" ht="15" customHeight="1">
      <c r="A37" s="8"/>
      <c r="B37" s="10" t="s">
        <v>512</v>
      </c>
      <c r="C37" s="429" t="str">
        <f>IF(ISNUMBER(Mw_3),85.49*Cp*dPsqavg_3*SQRT(Ts_3/Ps_3/Mw_3),"-")</f>
        <v>-</v>
      </c>
      <c r="D37" s="280"/>
      <c r="E37" s="5" t="s">
        <v>390</v>
      </c>
      <c r="F37" s="5"/>
      <c r="G37" s="5"/>
      <c r="H37" s="5"/>
      <c r="I37" s="5"/>
      <c r="J37" s="5"/>
      <c r="K37" s="10" t="s">
        <v>513</v>
      </c>
      <c r="L37" s="448" t="str">
        <f>IF(ISNUMBER(Bws_3),3600*Vs_3*A/Pstd*Tstd*Ps_3/Ts_3,"-")</f>
        <v>-</v>
      </c>
      <c r="M37" s="280"/>
      <c r="N37" s="449" t="s">
        <v>392</v>
      </c>
      <c r="O37" s="272"/>
      <c r="P37" s="272"/>
      <c r="Q37" s="273"/>
      <c r="R37" s="12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spans="1:31" ht="15" customHeight="1">
      <c r="A38" s="8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12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spans="1:31" ht="15" customHeight="1">
      <c r="A39" s="8"/>
      <c r="B39" s="7"/>
      <c r="C39" s="5"/>
      <c r="D39" s="5"/>
      <c r="E39" s="378" t="s">
        <v>393</v>
      </c>
      <c r="F39" s="272"/>
      <c r="G39" s="273"/>
      <c r="H39" s="128"/>
      <c r="I39" s="5"/>
      <c r="J39" s="5"/>
      <c r="K39" s="5"/>
      <c r="L39" s="378" t="s">
        <v>394</v>
      </c>
      <c r="M39" s="272"/>
      <c r="N39" s="273"/>
      <c r="O39" s="5"/>
      <c r="P39" s="5"/>
      <c r="Q39" s="5"/>
      <c r="R39" s="12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7.25" customHeight="1">
      <c r="A40" s="8"/>
      <c r="B40" s="7"/>
      <c r="C40" s="19"/>
      <c r="D40" s="10" t="s">
        <v>514</v>
      </c>
      <c r="E40" s="430" t="str">
        <f>IF(AND(ISNUMBER(M1_3),ISNUMBER(M4_3)),(7000/453592)*(M1_3+M4_3)/Vms_3,"-")</f>
        <v>-</v>
      </c>
      <c r="F40" s="295"/>
      <c r="G40" s="296"/>
      <c r="H40" s="5" t="s">
        <v>396</v>
      </c>
      <c r="I40" s="5"/>
      <c r="J40" s="5"/>
      <c r="K40" s="10" t="s">
        <v>515</v>
      </c>
      <c r="L40" s="446" t="str">
        <f>IF(ISNUMBER(E40),Qsd_3*E40/7000,"-")</f>
        <v>-</v>
      </c>
      <c r="M40" s="295"/>
      <c r="N40" s="296"/>
      <c r="O40" s="5" t="s">
        <v>398</v>
      </c>
      <c r="P40" s="5"/>
      <c r="Q40" s="5"/>
      <c r="R40" s="12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spans="1:31" ht="6" customHeight="1">
      <c r="A41" s="8"/>
      <c r="B41" s="7"/>
      <c r="C41" s="19"/>
      <c r="D41" s="10"/>
      <c r="E41" s="269"/>
      <c r="F41" s="270"/>
      <c r="G41" s="270"/>
      <c r="H41" s="5"/>
      <c r="I41" s="5"/>
      <c r="J41" s="5"/>
      <c r="K41" s="10"/>
      <c r="L41" s="269"/>
      <c r="M41" s="270"/>
      <c r="N41" s="270"/>
      <c r="O41" s="5"/>
      <c r="P41" s="5"/>
      <c r="Q41" s="5"/>
      <c r="R41" s="12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spans="1:31" ht="15" customHeight="1">
      <c r="A42" s="8"/>
      <c r="B42" s="7"/>
      <c r="C42" s="19"/>
      <c r="D42" s="10" t="s">
        <v>516</v>
      </c>
      <c r="E42" s="430" t="str">
        <f>IF(AND(ISNUMBER(M1_3),ISNUMBER(M3_3),ISNUMBER(M4_3)),(7000/453592)*(M1_3+M3_3+M4_3)/Vms_3,"-")</f>
        <v>-</v>
      </c>
      <c r="F42" s="295"/>
      <c r="G42" s="296"/>
      <c r="H42" s="5" t="s">
        <v>396</v>
      </c>
      <c r="I42" s="5"/>
      <c r="J42" s="5"/>
      <c r="K42" s="10" t="s">
        <v>517</v>
      </c>
      <c r="L42" s="446" t="str">
        <f>IF(ISNUMBER(E42),Qsd_3*E42/7000,"-")</f>
        <v>-</v>
      </c>
      <c r="M42" s="295"/>
      <c r="N42" s="296"/>
      <c r="O42" s="5" t="s">
        <v>398</v>
      </c>
      <c r="P42" s="5"/>
      <c r="Q42" s="5"/>
      <c r="R42" s="12"/>
      <c r="S42" s="5"/>
      <c r="T42" s="5"/>
      <c r="U42" s="5"/>
      <c r="V42" s="5"/>
      <c r="W42" s="5"/>
      <c r="X42" s="5"/>
      <c r="Y42" s="5"/>
      <c r="Z42" s="7"/>
      <c r="AA42" s="5"/>
      <c r="AB42" s="5"/>
      <c r="AC42" s="5"/>
      <c r="AD42" s="5"/>
      <c r="AE42" s="5"/>
    </row>
    <row r="43" spans="1:31" ht="6" customHeight="1">
      <c r="A43" s="8"/>
      <c r="B43" s="7"/>
      <c r="C43" s="19"/>
      <c r="D43" s="10"/>
      <c r="E43" s="269"/>
      <c r="F43" s="270"/>
      <c r="G43" s="270"/>
      <c r="H43" s="5"/>
      <c r="I43" s="5"/>
      <c r="J43" s="5"/>
      <c r="K43" s="10"/>
      <c r="L43" s="269"/>
      <c r="M43" s="270"/>
      <c r="N43" s="270"/>
      <c r="O43" s="5"/>
      <c r="P43" s="5"/>
      <c r="Q43" s="5"/>
      <c r="R43" s="12"/>
      <c r="S43" s="5"/>
      <c r="T43" s="5"/>
      <c r="U43" s="5"/>
      <c r="V43" s="5"/>
      <c r="W43" s="5"/>
      <c r="X43" s="5"/>
      <c r="Y43" s="5"/>
      <c r="Z43" s="7"/>
      <c r="AA43" s="5"/>
      <c r="AB43" s="5"/>
      <c r="AC43" s="5"/>
      <c r="AD43" s="5"/>
      <c r="AE43" s="5"/>
    </row>
    <row r="44" spans="1:31" ht="15" customHeight="1">
      <c r="A44" s="8"/>
      <c r="B44" s="7"/>
      <c r="C44" s="19"/>
      <c r="D44" s="10" t="s">
        <v>401</v>
      </c>
      <c r="E44" s="430" t="str">
        <f>IF(AND(ISNUMBER(M1_3),ISNUMBER(M2_3),ISNUMBER(M3_3),ISNUMBER(M4_3)),(7000/453592)*(M1_3+M2_3+M3_3+M4_3)/Vms_3,"-")</f>
        <v>-</v>
      </c>
      <c r="F44" s="295"/>
      <c r="G44" s="296"/>
      <c r="H44" s="5" t="s">
        <v>396</v>
      </c>
      <c r="I44" s="5"/>
      <c r="J44" s="5"/>
      <c r="K44" s="10" t="s">
        <v>401</v>
      </c>
      <c r="L44" s="446" t="str">
        <f>IF(ISNUMBER(E44),Qsd_3*E44/7000,"-")</f>
        <v>-</v>
      </c>
      <c r="M44" s="295"/>
      <c r="N44" s="296"/>
      <c r="O44" s="5" t="s">
        <v>398</v>
      </c>
      <c r="P44" s="5"/>
      <c r="Q44" s="5"/>
      <c r="R44" s="12"/>
      <c r="S44" s="5"/>
      <c r="T44" s="5"/>
      <c r="U44" s="7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spans="1:31" ht="15" customHeight="1">
      <c r="A45" s="8"/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12"/>
      <c r="S45" s="5"/>
      <c r="T45" s="5"/>
      <c r="U45" s="7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spans="1:31" ht="15" customHeight="1">
      <c r="A46" s="8"/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12"/>
      <c r="S46" s="5"/>
      <c r="T46" s="5"/>
      <c r="U46" s="7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spans="1:31" ht="15" customHeight="1">
      <c r="A47" s="8"/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12"/>
      <c r="S47" s="5"/>
      <c r="T47" s="5"/>
      <c r="U47" s="7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spans="1:31" ht="9" customHeight="1">
      <c r="A48" s="8"/>
      <c r="B48" s="5"/>
      <c r="C48" s="12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12"/>
      <c r="S48" s="5"/>
      <c r="T48" s="5"/>
      <c r="U48" s="7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spans="1:31" ht="15" customHeight="1">
      <c r="A49" s="8"/>
      <c r="B49" s="51"/>
      <c r="C49" s="51"/>
      <c r="D49" s="51"/>
      <c r="E49" s="51"/>
      <c r="F49" s="51"/>
      <c r="G49" s="51"/>
      <c r="H49" s="51"/>
      <c r="I49" s="51"/>
      <c r="J49" s="5"/>
      <c r="K49" s="51"/>
      <c r="L49" s="51"/>
      <c r="M49" s="51"/>
      <c r="N49" s="51"/>
      <c r="O49" s="51"/>
      <c r="P49" s="51"/>
      <c r="Q49" s="51"/>
      <c r="R49" s="12"/>
      <c r="S49" s="5"/>
      <c r="T49" s="5"/>
      <c r="U49" s="7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17.25" customHeight="1">
      <c r="A50" s="8"/>
      <c r="B50" s="121"/>
      <c r="C50" s="121" t="s">
        <v>111</v>
      </c>
      <c r="D50" s="122"/>
      <c r="E50" s="122"/>
      <c r="F50" s="123"/>
      <c r="G50" s="123"/>
      <c r="H50" s="124"/>
      <c r="I50" s="124"/>
      <c r="J50" s="5"/>
      <c r="K50" s="121"/>
      <c r="L50" s="121" t="s">
        <v>112</v>
      </c>
      <c r="M50" s="122"/>
      <c r="N50" s="5"/>
      <c r="O50" s="5"/>
      <c r="P50" s="5"/>
      <c r="Q50" s="5"/>
      <c r="R50" s="12"/>
      <c r="S50" s="5"/>
      <c r="T50" s="5"/>
      <c r="U50" s="7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5" customHeight="1">
      <c r="A51" s="60"/>
      <c r="B51" s="51"/>
      <c r="C51" s="51"/>
      <c r="D51" s="51"/>
      <c r="E51" s="51"/>
      <c r="F51" s="51"/>
      <c r="G51" s="51"/>
      <c r="H51" s="125"/>
      <c r="I51" s="51"/>
      <c r="J51" s="51"/>
      <c r="K51" s="51"/>
      <c r="L51" s="126"/>
      <c r="M51" s="125"/>
      <c r="N51" s="51"/>
      <c r="O51" s="51"/>
      <c r="P51" s="51"/>
      <c r="Q51" s="51"/>
      <c r="R51" s="52"/>
      <c r="S51" s="5"/>
      <c r="T51" s="5"/>
      <c r="U51" s="7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spans="1:31" ht="4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7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spans="1:31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7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15" customHeight="1">
      <c r="A54" s="5"/>
      <c r="B54" s="5"/>
      <c r="C54" s="5"/>
      <c r="D54" s="5"/>
      <c r="E54" s="5"/>
      <c r="F54" s="5"/>
      <c r="G54" s="12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7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spans="1:31" ht="1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7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spans="1:31" ht="1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7"/>
      <c r="AA56" s="5"/>
      <c r="AB56" s="5"/>
      <c r="AC56" s="5"/>
      <c r="AD56" s="5"/>
      <c r="AE56" s="5"/>
    </row>
    <row r="57" spans="1:31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7"/>
      <c r="AA57" s="5"/>
      <c r="AB57" s="5"/>
      <c r="AC57" s="5"/>
      <c r="AD57" s="5"/>
      <c r="AE57" s="5"/>
    </row>
    <row r="58" spans="1:31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7"/>
      <c r="AA58" s="5"/>
      <c r="AB58" s="5"/>
      <c r="AC58" s="5"/>
      <c r="AD58" s="5"/>
      <c r="AE58" s="5"/>
    </row>
    <row r="59" spans="1:31" ht="5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7"/>
      <c r="AA59" s="5"/>
      <c r="AB59" s="5"/>
      <c r="AC59" s="5"/>
      <c r="AD59" s="5"/>
      <c r="AE59" s="5"/>
    </row>
    <row r="60" spans="1:31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7"/>
      <c r="AA60" s="5"/>
      <c r="AB60" s="5"/>
      <c r="AC60" s="5"/>
      <c r="AD60" s="5"/>
      <c r="AE60" s="5"/>
    </row>
    <row r="61" spans="1:31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7"/>
      <c r="AA61" s="5"/>
      <c r="AB61" s="5"/>
      <c r="AC61" s="5"/>
      <c r="AD61" s="5"/>
      <c r="AE61" s="5"/>
    </row>
    <row r="62" spans="1:31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7"/>
      <c r="AA62" s="5"/>
      <c r="AB62" s="5"/>
      <c r="AC62" s="5"/>
      <c r="AD62" s="5"/>
      <c r="AE62" s="5"/>
    </row>
    <row r="63" spans="1:31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7"/>
      <c r="AA63" s="5"/>
      <c r="AB63" s="5"/>
      <c r="AC63" s="5"/>
      <c r="AD63" s="5"/>
      <c r="AE63" s="5"/>
    </row>
    <row r="64" spans="1:31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7"/>
      <c r="AA64" s="5"/>
      <c r="AB64" s="5"/>
      <c r="AC64" s="5"/>
      <c r="AD64" s="5"/>
      <c r="AE64" s="5"/>
    </row>
    <row r="65" spans="1:31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7"/>
      <c r="AA65" s="5"/>
      <c r="AB65" s="5"/>
      <c r="AC65" s="5"/>
      <c r="AD65" s="5"/>
      <c r="AE65" s="5"/>
    </row>
    <row r="66" spans="1:31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7"/>
      <c r="AA66" s="5"/>
      <c r="AB66" s="5"/>
      <c r="AC66" s="5"/>
      <c r="AD66" s="5"/>
      <c r="AE66" s="5"/>
    </row>
    <row r="67" spans="1:31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7"/>
      <c r="AA67" s="5"/>
      <c r="AB67" s="5"/>
      <c r="AC67" s="5"/>
      <c r="AD67" s="5"/>
      <c r="AE67" s="5"/>
    </row>
    <row r="68" spans="1:31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7"/>
      <c r="AA68" s="5"/>
      <c r="AB68" s="5"/>
      <c r="AC68" s="5"/>
      <c r="AD68" s="5"/>
      <c r="AE68" s="5"/>
    </row>
    <row r="69" spans="1:31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7"/>
      <c r="AA69" s="5"/>
      <c r="AB69" s="5"/>
      <c r="AC69" s="5"/>
      <c r="AD69" s="5"/>
      <c r="AE69" s="5"/>
    </row>
    <row r="70" spans="1:31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7"/>
      <c r="AA70" s="5"/>
      <c r="AB70" s="5"/>
      <c r="AC70" s="5"/>
      <c r="AD70" s="5"/>
      <c r="AE70" s="5"/>
    </row>
    <row r="71" spans="1:31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7"/>
      <c r="AA71" s="5"/>
      <c r="AB71" s="5"/>
      <c r="AC71" s="5"/>
      <c r="AD71" s="5"/>
      <c r="AE71" s="5"/>
    </row>
    <row r="72" spans="1:31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7"/>
      <c r="AA72" s="5"/>
      <c r="AB72" s="5"/>
      <c r="AC72" s="5"/>
      <c r="AD72" s="5"/>
      <c r="AE72" s="5"/>
    </row>
    <row r="73" spans="1:31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7"/>
      <c r="AA73" s="5"/>
      <c r="AB73" s="5"/>
      <c r="AC73" s="5"/>
      <c r="AD73" s="5"/>
      <c r="AE73" s="5"/>
    </row>
    <row r="74" spans="1:31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7"/>
      <c r="AA74" s="5"/>
      <c r="AB74" s="5"/>
      <c r="AC74" s="5"/>
      <c r="AD74" s="5"/>
      <c r="AE74" s="5"/>
    </row>
    <row r="75" spans="1:31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7"/>
      <c r="AA75" s="5"/>
      <c r="AB75" s="5"/>
      <c r="AC75" s="5"/>
      <c r="AD75" s="5"/>
      <c r="AE75" s="5"/>
    </row>
    <row r="76" spans="1:31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7"/>
      <c r="AA76" s="5"/>
      <c r="AB76" s="5"/>
      <c r="AC76" s="5"/>
      <c r="AD76" s="5"/>
      <c r="AE76" s="5"/>
    </row>
    <row r="77" spans="1:31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7"/>
      <c r="AA77" s="5"/>
      <c r="AB77" s="5"/>
      <c r="AC77" s="5"/>
      <c r="AD77" s="5"/>
      <c r="AE77" s="5"/>
    </row>
    <row r="78" spans="1:31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7"/>
      <c r="AA78" s="5"/>
      <c r="AB78" s="5"/>
      <c r="AC78" s="5"/>
      <c r="AD78" s="5"/>
      <c r="AE78" s="5"/>
    </row>
    <row r="79" spans="1:31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7"/>
      <c r="AA79" s="5"/>
      <c r="AB79" s="5"/>
      <c r="AC79" s="5"/>
      <c r="AD79" s="5"/>
      <c r="AE79" s="5"/>
    </row>
    <row r="80" spans="1:31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7"/>
      <c r="AA80" s="5"/>
      <c r="AB80" s="5"/>
      <c r="AC80" s="5"/>
      <c r="AD80" s="5"/>
      <c r="AE80" s="5"/>
    </row>
    <row r="81" spans="1:31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7"/>
      <c r="AA81" s="5"/>
      <c r="AB81" s="5"/>
      <c r="AC81" s="5"/>
      <c r="AD81" s="5"/>
      <c r="AE81" s="5"/>
    </row>
    <row r="82" spans="1:31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7"/>
      <c r="AA82" s="5"/>
      <c r="AB82" s="5"/>
      <c r="AC82" s="5"/>
      <c r="AD82" s="5"/>
      <c r="AE82" s="5"/>
    </row>
    <row r="83" spans="1:31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7"/>
      <c r="AA83" s="5"/>
      <c r="AB83" s="5"/>
      <c r="AC83" s="5"/>
      <c r="AD83" s="5"/>
      <c r="AE83" s="5"/>
    </row>
    <row r="84" spans="1:31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7"/>
      <c r="AA84" s="5"/>
      <c r="AB84" s="5"/>
      <c r="AC84" s="5"/>
      <c r="AD84" s="5"/>
      <c r="AE84" s="5"/>
    </row>
    <row r="85" spans="1:31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7"/>
      <c r="AA85" s="5"/>
      <c r="AB85" s="5"/>
      <c r="AC85" s="5"/>
      <c r="AD85" s="5"/>
      <c r="AE85" s="5"/>
    </row>
    <row r="86" spans="1:31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7"/>
      <c r="AA86" s="5"/>
      <c r="AB86" s="5"/>
      <c r="AC86" s="5"/>
      <c r="AD86" s="5"/>
      <c r="AE86" s="5"/>
    </row>
    <row r="87" spans="1:31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7"/>
      <c r="AA87" s="5"/>
      <c r="AB87" s="5"/>
      <c r="AC87" s="5"/>
      <c r="AD87" s="5"/>
      <c r="AE87" s="5"/>
    </row>
    <row r="88" spans="1:31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7"/>
      <c r="AA88" s="5"/>
      <c r="AB88" s="5"/>
      <c r="AC88" s="5"/>
      <c r="AD88" s="5"/>
      <c r="AE88" s="5"/>
    </row>
    <row r="89" spans="1:31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7"/>
      <c r="AA89" s="5"/>
      <c r="AB89" s="5"/>
      <c r="AC89" s="5"/>
      <c r="AD89" s="5"/>
      <c r="AE89" s="5"/>
    </row>
    <row r="90" spans="1:31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7"/>
      <c r="AA90" s="5"/>
      <c r="AB90" s="5"/>
      <c r="AC90" s="5"/>
      <c r="AD90" s="5"/>
      <c r="AE90" s="5"/>
    </row>
    <row r="91" spans="1:31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7"/>
      <c r="AA91" s="5"/>
      <c r="AB91" s="5"/>
      <c r="AC91" s="5"/>
      <c r="AD91" s="5"/>
      <c r="AE91" s="5"/>
    </row>
    <row r="92" spans="1:31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7"/>
      <c r="AA92" s="5"/>
      <c r="AB92" s="5"/>
      <c r="AC92" s="5"/>
      <c r="AD92" s="5"/>
      <c r="AE92" s="5"/>
    </row>
    <row r="93" spans="1:31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7"/>
      <c r="AA93" s="5"/>
      <c r="AB93" s="5"/>
      <c r="AC93" s="5"/>
      <c r="AD93" s="5"/>
      <c r="AE93" s="5"/>
    </row>
    <row r="94" spans="1:31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7"/>
      <c r="AA94" s="5"/>
      <c r="AB94" s="5"/>
      <c r="AC94" s="5"/>
      <c r="AD94" s="5"/>
      <c r="AE94" s="5"/>
    </row>
    <row r="95" spans="1:31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7"/>
      <c r="AA95" s="5"/>
      <c r="AB95" s="5"/>
      <c r="AC95" s="5"/>
      <c r="AD95" s="5"/>
      <c r="AE95" s="5"/>
    </row>
    <row r="96" spans="1:31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7"/>
      <c r="AA96" s="5"/>
      <c r="AB96" s="5"/>
      <c r="AC96" s="5"/>
      <c r="AD96" s="5"/>
      <c r="AE96" s="5"/>
    </row>
    <row r="97" spans="1:31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7"/>
      <c r="AA97" s="5"/>
      <c r="AB97" s="5"/>
      <c r="AC97" s="5"/>
      <c r="AD97" s="5"/>
      <c r="AE97" s="5"/>
    </row>
    <row r="98" spans="1:31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7"/>
      <c r="AA98" s="5"/>
      <c r="AB98" s="5"/>
      <c r="AC98" s="5"/>
      <c r="AD98" s="5"/>
      <c r="AE98" s="5"/>
    </row>
    <row r="99" spans="1:31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7"/>
      <c r="AA99" s="5"/>
      <c r="AB99" s="5"/>
      <c r="AC99" s="5"/>
      <c r="AD99" s="5"/>
      <c r="AE99" s="5"/>
    </row>
    <row r="100" spans="1:31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7"/>
      <c r="AA100" s="5"/>
      <c r="AB100" s="5"/>
      <c r="AC100" s="5"/>
      <c r="AD100" s="5"/>
      <c r="AE100" s="5"/>
    </row>
    <row r="101" spans="1:31" ht="1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7"/>
      <c r="AA101" s="5"/>
      <c r="AB101" s="5"/>
      <c r="AC101" s="5"/>
      <c r="AD101" s="5"/>
      <c r="AE101" s="5"/>
    </row>
    <row r="102" spans="1:31" ht="1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7"/>
      <c r="AA102" s="5"/>
      <c r="AB102" s="5"/>
      <c r="AC102" s="5"/>
      <c r="AD102" s="5"/>
      <c r="AE102" s="5"/>
    </row>
    <row r="103" spans="1:31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7"/>
      <c r="AA103" s="5"/>
      <c r="AB103" s="5"/>
      <c r="AC103" s="5"/>
      <c r="AD103" s="5"/>
      <c r="AE103" s="5"/>
    </row>
    <row r="104" spans="1:31" ht="1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7"/>
      <c r="AA104" s="5"/>
      <c r="AB104" s="5"/>
      <c r="AC104" s="5"/>
      <c r="AD104" s="5"/>
      <c r="AE104" s="5"/>
    </row>
    <row r="105" spans="1:31" ht="1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7"/>
      <c r="AA105" s="5"/>
      <c r="AB105" s="5"/>
      <c r="AC105" s="5"/>
      <c r="AD105" s="5"/>
      <c r="AE105" s="5"/>
    </row>
    <row r="106" spans="1:31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7"/>
      <c r="AA106" s="5"/>
      <c r="AB106" s="5"/>
      <c r="AC106" s="5"/>
      <c r="AD106" s="5"/>
      <c r="AE106" s="5"/>
    </row>
    <row r="107" spans="1:31" ht="1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7"/>
      <c r="AA107" s="5"/>
      <c r="AB107" s="5"/>
      <c r="AC107" s="5"/>
      <c r="AD107" s="5"/>
      <c r="AE107" s="5"/>
    </row>
    <row r="108" spans="1:31" ht="1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7"/>
      <c r="AA108" s="5"/>
      <c r="AB108" s="5"/>
      <c r="AC108" s="5"/>
      <c r="AD108" s="5"/>
      <c r="AE108" s="5"/>
    </row>
    <row r="109" spans="1:31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7"/>
      <c r="AA109" s="5"/>
      <c r="AB109" s="5"/>
      <c r="AC109" s="5"/>
      <c r="AD109" s="5"/>
      <c r="AE109" s="5"/>
    </row>
    <row r="110" spans="1:31" ht="1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7"/>
      <c r="AA110" s="5"/>
      <c r="AB110" s="5"/>
      <c r="AC110" s="5"/>
      <c r="AD110" s="5"/>
      <c r="AE110" s="5"/>
    </row>
    <row r="111" spans="1:31" ht="1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7"/>
      <c r="AA111" s="5"/>
      <c r="AB111" s="5"/>
      <c r="AC111" s="5"/>
      <c r="AD111" s="5"/>
      <c r="AE111" s="5"/>
    </row>
    <row r="112" spans="1:31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7"/>
      <c r="AA112" s="5"/>
      <c r="AB112" s="5"/>
      <c r="AC112" s="5"/>
      <c r="AD112" s="5"/>
      <c r="AE112" s="5"/>
    </row>
    <row r="113" spans="1:31" ht="1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7"/>
      <c r="AA113" s="5"/>
      <c r="AB113" s="5"/>
      <c r="AC113" s="5"/>
      <c r="AD113" s="5"/>
      <c r="AE113" s="5"/>
    </row>
    <row r="114" spans="1:31" ht="1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7"/>
      <c r="AA114" s="5"/>
      <c r="AB114" s="5"/>
      <c r="AC114" s="5"/>
      <c r="AD114" s="5"/>
      <c r="AE114" s="5"/>
    </row>
    <row r="115" spans="1:31" ht="1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7"/>
      <c r="AA115" s="5"/>
      <c r="AB115" s="5"/>
      <c r="AC115" s="5"/>
      <c r="AD115" s="5"/>
      <c r="AE115" s="5"/>
    </row>
    <row r="116" spans="1:31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7"/>
      <c r="AA116" s="5"/>
      <c r="AB116" s="5"/>
      <c r="AC116" s="5"/>
      <c r="AD116" s="5"/>
      <c r="AE116" s="5"/>
    </row>
    <row r="117" spans="1:31" ht="1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7"/>
      <c r="AA117" s="5"/>
      <c r="AB117" s="5"/>
      <c r="AC117" s="5"/>
      <c r="AD117" s="5"/>
      <c r="AE117" s="5"/>
    </row>
    <row r="118" spans="1:31" ht="1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7"/>
      <c r="AA118" s="5"/>
      <c r="AB118" s="5"/>
      <c r="AC118" s="5"/>
      <c r="AD118" s="5"/>
      <c r="AE118" s="5"/>
    </row>
    <row r="119" spans="1:31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7"/>
      <c r="AA119" s="5"/>
      <c r="AB119" s="5"/>
      <c r="AC119" s="5"/>
      <c r="AD119" s="5"/>
      <c r="AE119" s="5"/>
    </row>
    <row r="120" spans="1:31" ht="1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7"/>
      <c r="AA120" s="5"/>
      <c r="AB120" s="5"/>
      <c r="AC120" s="5"/>
      <c r="AD120" s="5"/>
      <c r="AE120" s="5"/>
    </row>
    <row r="121" spans="1:31" ht="1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7"/>
      <c r="AA121" s="5"/>
      <c r="AB121" s="5"/>
      <c r="AC121" s="5"/>
      <c r="AD121" s="5"/>
      <c r="AE121" s="5"/>
    </row>
    <row r="122" spans="1:31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7"/>
      <c r="AA122" s="5"/>
      <c r="AB122" s="5"/>
      <c r="AC122" s="5"/>
      <c r="AD122" s="5"/>
      <c r="AE122" s="5"/>
    </row>
    <row r="123" spans="1:31" ht="1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7"/>
      <c r="AA123" s="5"/>
      <c r="AB123" s="5"/>
      <c r="AC123" s="5"/>
      <c r="AD123" s="5"/>
      <c r="AE123" s="5"/>
    </row>
    <row r="124" spans="1:31" ht="1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7"/>
      <c r="AA124" s="5"/>
      <c r="AB124" s="5"/>
      <c r="AC124" s="5"/>
      <c r="AD124" s="5"/>
      <c r="AE124" s="5"/>
    </row>
    <row r="125" spans="1:31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7"/>
      <c r="AA125" s="5"/>
      <c r="AB125" s="5"/>
      <c r="AC125" s="5"/>
      <c r="AD125" s="5"/>
      <c r="AE125" s="5"/>
    </row>
    <row r="126" spans="1:31" ht="1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7"/>
      <c r="AA126" s="5"/>
      <c r="AB126" s="5"/>
      <c r="AC126" s="5"/>
      <c r="AD126" s="5"/>
      <c r="AE126" s="5"/>
    </row>
    <row r="127" spans="1:31" ht="1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7"/>
      <c r="AA127" s="5"/>
      <c r="AB127" s="5"/>
      <c r="AC127" s="5"/>
      <c r="AD127" s="5"/>
      <c r="AE127" s="5"/>
    </row>
    <row r="128" spans="1:31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7"/>
      <c r="AA128" s="5"/>
      <c r="AB128" s="5"/>
      <c r="AC128" s="5"/>
      <c r="AD128" s="5"/>
      <c r="AE128" s="5"/>
    </row>
    <row r="129" spans="1:31" ht="1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7"/>
      <c r="AA129" s="5"/>
      <c r="AB129" s="5"/>
      <c r="AC129" s="5"/>
      <c r="AD129" s="5"/>
      <c r="AE129" s="5"/>
    </row>
    <row r="130" spans="1:31" ht="1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7"/>
      <c r="AA130" s="5"/>
      <c r="AB130" s="5"/>
      <c r="AC130" s="5"/>
      <c r="AD130" s="5"/>
      <c r="AE130" s="5"/>
    </row>
    <row r="131" spans="1:31" ht="1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7"/>
      <c r="AA131" s="5"/>
      <c r="AB131" s="5"/>
      <c r="AC131" s="5"/>
      <c r="AD131" s="5"/>
      <c r="AE131" s="5"/>
    </row>
    <row r="132" spans="1:31" ht="1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7"/>
      <c r="AA132" s="5"/>
      <c r="AB132" s="5"/>
      <c r="AC132" s="5"/>
      <c r="AD132" s="5"/>
      <c r="AE132" s="5"/>
    </row>
    <row r="133" spans="1:31" ht="1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7"/>
      <c r="AA133" s="5"/>
      <c r="AB133" s="5"/>
      <c r="AC133" s="5"/>
      <c r="AD133" s="5"/>
      <c r="AE133" s="5"/>
    </row>
    <row r="134" spans="1:31" ht="1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7"/>
      <c r="AA134" s="5"/>
      <c r="AB134" s="5"/>
      <c r="AC134" s="5"/>
      <c r="AD134" s="5"/>
      <c r="AE134" s="5"/>
    </row>
    <row r="135" spans="1:31" ht="1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7"/>
      <c r="AA135" s="5"/>
      <c r="AB135" s="5"/>
      <c r="AC135" s="5"/>
      <c r="AD135" s="5"/>
      <c r="AE135" s="5"/>
    </row>
    <row r="136" spans="1:31" ht="1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7"/>
      <c r="AA136" s="5"/>
      <c r="AB136" s="5"/>
      <c r="AC136" s="5"/>
      <c r="AD136" s="5"/>
      <c r="AE136" s="5"/>
    </row>
    <row r="137" spans="1:31" ht="1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7"/>
      <c r="AA137" s="5"/>
      <c r="AB137" s="5"/>
      <c r="AC137" s="5"/>
      <c r="AD137" s="5"/>
      <c r="AE137" s="5"/>
    </row>
    <row r="138" spans="1:31" ht="1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7"/>
      <c r="AA138" s="5"/>
      <c r="AB138" s="5"/>
      <c r="AC138" s="5"/>
      <c r="AD138" s="5"/>
      <c r="AE138" s="5"/>
    </row>
    <row r="139" spans="1:31" ht="1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7"/>
      <c r="AA139" s="5"/>
      <c r="AB139" s="5"/>
      <c r="AC139" s="5"/>
      <c r="AD139" s="5"/>
      <c r="AE139" s="5"/>
    </row>
    <row r="140" spans="1:31" ht="1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7"/>
      <c r="AA140" s="5"/>
      <c r="AB140" s="5"/>
      <c r="AC140" s="5"/>
      <c r="AD140" s="5"/>
      <c r="AE140" s="5"/>
    </row>
    <row r="141" spans="1:31" ht="1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7"/>
      <c r="AA141" s="5"/>
      <c r="AB141" s="5"/>
      <c r="AC141" s="5"/>
      <c r="AD141" s="5"/>
      <c r="AE141" s="5"/>
    </row>
    <row r="142" spans="1:31" ht="1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7"/>
      <c r="AA142" s="5"/>
      <c r="AB142" s="5"/>
      <c r="AC142" s="5"/>
      <c r="AD142" s="5"/>
      <c r="AE142" s="5"/>
    </row>
    <row r="143" spans="1:31" ht="1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7"/>
      <c r="AA143" s="5"/>
      <c r="AB143" s="5"/>
      <c r="AC143" s="5"/>
      <c r="AD143" s="5"/>
      <c r="AE143" s="5"/>
    </row>
    <row r="144" spans="1:31" ht="1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7"/>
      <c r="AA144" s="5"/>
      <c r="AB144" s="5"/>
      <c r="AC144" s="5"/>
      <c r="AD144" s="5"/>
      <c r="AE144" s="5"/>
    </row>
    <row r="145" spans="1:31" ht="1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7"/>
      <c r="AA145" s="5"/>
      <c r="AB145" s="5"/>
      <c r="AC145" s="5"/>
      <c r="AD145" s="5"/>
      <c r="AE145" s="5"/>
    </row>
    <row r="146" spans="1:31" ht="1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7"/>
      <c r="AA146" s="5"/>
      <c r="AB146" s="5"/>
      <c r="AC146" s="5"/>
      <c r="AD146" s="5"/>
      <c r="AE146" s="5"/>
    </row>
    <row r="147" spans="1:31" ht="1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7"/>
      <c r="AA147" s="5"/>
      <c r="AB147" s="5"/>
      <c r="AC147" s="5"/>
      <c r="AD147" s="5"/>
      <c r="AE147" s="5"/>
    </row>
    <row r="148" spans="1:31" ht="1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7"/>
      <c r="AA148" s="5"/>
      <c r="AB148" s="5"/>
      <c r="AC148" s="5"/>
      <c r="AD148" s="5"/>
      <c r="AE148" s="5"/>
    </row>
    <row r="149" spans="1:31" ht="1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7"/>
      <c r="AA149" s="5"/>
      <c r="AB149" s="5"/>
      <c r="AC149" s="5"/>
      <c r="AD149" s="5"/>
      <c r="AE149" s="5"/>
    </row>
    <row r="150" spans="1:31" ht="1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7"/>
      <c r="AA150" s="5"/>
      <c r="AB150" s="5"/>
      <c r="AC150" s="5"/>
      <c r="AD150" s="5"/>
      <c r="AE150" s="5"/>
    </row>
    <row r="151" spans="1:31" ht="1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7"/>
      <c r="AA151" s="5"/>
      <c r="AB151" s="5"/>
      <c r="AC151" s="5"/>
      <c r="AD151" s="5"/>
      <c r="AE151" s="5"/>
    </row>
    <row r="152" spans="1:31" ht="1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7"/>
      <c r="AA152" s="5"/>
      <c r="AB152" s="5"/>
      <c r="AC152" s="5"/>
      <c r="AD152" s="5"/>
      <c r="AE152" s="5"/>
    </row>
    <row r="153" spans="1:31" ht="1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7"/>
      <c r="AA153" s="5"/>
      <c r="AB153" s="5"/>
      <c r="AC153" s="5"/>
      <c r="AD153" s="5"/>
      <c r="AE153" s="5"/>
    </row>
    <row r="154" spans="1:31" ht="1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7"/>
      <c r="AA154" s="5"/>
      <c r="AB154" s="5"/>
      <c r="AC154" s="5"/>
      <c r="AD154" s="5"/>
      <c r="AE154" s="5"/>
    </row>
    <row r="155" spans="1:31" ht="1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7"/>
      <c r="AA155" s="5"/>
      <c r="AB155" s="5"/>
      <c r="AC155" s="5"/>
      <c r="AD155" s="5"/>
      <c r="AE155" s="5"/>
    </row>
    <row r="156" spans="1:31" ht="1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7"/>
      <c r="AA156" s="5"/>
      <c r="AB156" s="5"/>
      <c r="AC156" s="5"/>
      <c r="AD156" s="5"/>
      <c r="AE156" s="5"/>
    </row>
    <row r="157" spans="1:31" ht="1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7"/>
      <c r="AA157" s="5"/>
      <c r="AB157" s="5"/>
      <c r="AC157" s="5"/>
      <c r="AD157" s="5"/>
      <c r="AE157" s="5"/>
    </row>
    <row r="158" spans="1:31" ht="1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7"/>
      <c r="AA158" s="5"/>
      <c r="AB158" s="5"/>
      <c r="AC158" s="5"/>
      <c r="AD158" s="5"/>
      <c r="AE158" s="5"/>
    </row>
    <row r="159" spans="1:31" ht="1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7"/>
      <c r="AA159" s="5"/>
      <c r="AB159" s="5"/>
      <c r="AC159" s="5"/>
      <c r="AD159" s="5"/>
      <c r="AE159" s="5"/>
    </row>
    <row r="160" spans="1:31" ht="1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7"/>
      <c r="AA160" s="5"/>
      <c r="AB160" s="5"/>
      <c r="AC160" s="5"/>
      <c r="AD160" s="5"/>
      <c r="AE160" s="5"/>
    </row>
    <row r="161" spans="1:31" ht="1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7"/>
      <c r="AA161" s="5"/>
      <c r="AB161" s="5"/>
      <c r="AC161" s="5"/>
      <c r="AD161" s="5"/>
      <c r="AE161" s="5"/>
    </row>
    <row r="162" spans="1:31" ht="1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7"/>
      <c r="AA162" s="5"/>
      <c r="AB162" s="5"/>
      <c r="AC162" s="5"/>
      <c r="AD162" s="5"/>
      <c r="AE162" s="5"/>
    </row>
    <row r="163" spans="1:31" ht="1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7"/>
      <c r="AA163" s="5"/>
      <c r="AB163" s="5"/>
      <c r="AC163" s="5"/>
      <c r="AD163" s="5"/>
      <c r="AE163" s="5"/>
    </row>
    <row r="164" spans="1:31" ht="1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7"/>
      <c r="AA164" s="5"/>
      <c r="AB164" s="5"/>
      <c r="AC164" s="5"/>
      <c r="AD164" s="5"/>
      <c r="AE164" s="5"/>
    </row>
    <row r="165" spans="1:31" ht="1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7"/>
      <c r="AA165" s="5"/>
      <c r="AB165" s="5"/>
      <c r="AC165" s="5"/>
      <c r="AD165" s="5"/>
      <c r="AE165" s="5"/>
    </row>
    <row r="166" spans="1:31" ht="1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7"/>
      <c r="AA166" s="5"/>
      <c r="AB166" s="5"/>
      <c r="AC166" s="5"/>
      <c r="AD166" s="5"/>
      <c r="AE166" s="5"/>
    </row>
    <row r="167" spans="1:31" ht="1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7"/>
      <c r="AA167" s="5"/>
      <c r="AB167" s="5"/>
      <c r="AC167" s="5"/>
      <c r="AD167" s="5"/>
      <c r="AE167" s="5"/>
    </row>
    <row r="168" spans="1:31" ht="1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7"/>
      <c r="AA168" s="5"/>
      <c r="AB168" s="5"/>
      <c r="AC168" s="5"/>
      <c r="AD168" s="5"/>
      <c r="AE168" s="5"/>
    </row>
    <row r="169" spans="1:31" ht="1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7"/>
      <c r="AA169" s="5"/>
      <c r="AB169" s="5"/>
      <c r="AC169" s="5"/>
      <c r="AD169" s="5"/>
      <c r="AE169" s="5"/>
    </row>
    <row r="170" spans="1:31" ht="1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7"/>
      <c r="AA170" s="5"/>
      <c r="AB170" s="5"/>
      <c r="AC170" s="5"/>
      <c r="AD170" s="5"/>
      <c r="AE170" s="5"/>
    </row>
    <row r="171" spans="1:31" ht="1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7"/>
      <c r="AA171" s="5"/>
      <c r="AB171" s="5"/>
      <c r="AC171" s="5"/>
      <c r="AD171" s="5"/>
      <c r="AE171" s="5"/>
    </row>
    <row r="172" spans="1:31" ht="1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7"/>
      <c r="AA172" s="5"/>
      <c r="AB172" s="5"/>
      <c r="AC172" s="5"/>
      <c r="AD172" s="5"/>
      <c r="AE172" s="5"/>
    </row>
    <row r="173" spans="1:31" ht="1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7"/>
      <c r="AA173" s="5"/>
      <c r="AB173" s="5"/>
      <c r="AC173" s="5"/>
      <c r="AD173" s="5"/>
      <c r="AE173" s="5"/>
    </row>
    <row r="174" spans="1:31" ht="1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7"/>
      <c r="AA174" s="5"/>
      <c r="AB174" s="5"/>
      <c r="AC174" s="5"/>
      <c r="AD174" s="5"/>
      <c r="AE174" s="5"/>
    </row>
    <row r="175" spans="1:31" ht="1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7"/>
      <c r="AA175" s="5"/>
      <c r="AB175" s="5"/>
      <c r="AC175" s="5"/>
      <c r="AD175" s="5"/>
      <c r="AE175" s="5"/>
    </row>
    <row r="176" spans="1:31" ht="1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7"/>
      <c r="AA176" s="5"/>
      <c r="AB176" s="5"/>
      <c r="AC176" s="5"/>
      <c r="AD176" s="5"/>
      <c r="AE176" s="5"/>
    </row>
    <row r="177" spans="1:31" ht="1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7"/>
      <c r="AA177" s="5"/>
      <c r="AB177" s="5"/>
      <c r="AC177" s="5"/>
      <c r="AD177" s="5"/>
      <c r="AE177" s="5"/>
    </row>
    <row r="178" spans="1:31" ht="1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7"/>
      <c r="AA178" s="5"/>
      <c r="AB178" s="5"/>
      <c r="AC178" s="5"/>
      <c r="AD178" s="5"/>
      <c r="AE178" s="5"/>
    </row>
    <row r="179" spans="1:31" ht="1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7"/>
      <c r="AA179" s="5"/>
      <c r="AB179" s="5"/>
      <c r="AC179" s="5"/>
      <c r="AD179" s="5"/>
      <c r="AE179" s="5"/>
    </row>
    <row r="180" spans="1:31" ht="1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7"/>
      <c r="AA180" s="5"/>
      <c r="AB180" s="5"/>
      <c r="AC180" s="5"/>
      <c r="AD180" s="5"/>
      <c r="AE180" s="5"/>
    </row>
    <row r="181" spans="1:31" ht="1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7"/>
      <c r="AA181" s="5"/>
      <c r="AB181" s="5"/>
      <c r="AC181" s="5"/>
      <c r="AD181" s="5"/>
      <c r="AE181" s="5"/>
    </row>
    <row r="182" spans="1:31" ht="1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7"/>
      <c r="AA182" s="5"/>
      <c r="AB182" s="5"/>
      <c r="AC182" s="5"/>
      <c r="AD182" s="5"/>
      <c r="AE182" s="5"/>
    </row>
    <row r="183" spans="1:31" ht="1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7"/>
      <c r="AA183" s="5"/>
      <c r="AB183" s="5"/>
      <c r="AC183" s="5"/>
      <c r="AD183" s="5"/>
      <c r="AE183" s="5"/>
    </row>
    <row r="184" spans="1:31" ht="1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7"/>
      <c r="AA184" s="5"/>
      <c r="AB184" s="5"/>
      <c r="AC184" s="5"/>
      <c r="AD184" s="5"/>
      <c r="AE184" s="5"/>
    </row>
    <row r="185" spans="1:31" ht="1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7"/>
      <c r="AA185" s="5"/>
      <c r="AB185" s="5"/>
      <c r="AC185" s="5"/>
      <c r="AD185" s="5"/>
      <c r="AE185" s="5"/>
    </row>
    <row r="186" spans="1:31" ht="1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7"/>
      <c r="AA186" s="5"/>
      <c r="AB186" s="5"/>
      <c r="AC186" s="5"/>
      <c r="AD186" s="5"/>
      <c r="AE186" s="5"/>
    </row>
    <row r="187" spans="1:31" ht="1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7"/>
      <c r="AA187" s="5"/>
      <c r="AB187" s="5"/>
      <c r="AC187" s="5"/>
      <c r="AD187" s="5"/>
      <c r="AE187" s="5"/>
    </row>
    <row r="188" spans="1:31" ht="1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7"/>
      <c r="AA188" s="5"/>
      <c r="AB188" s="5"/>
      <c r="AC188" s="5"/>
      <c r="AD188" s="5"/>
      <c r="AE188" s="5"/>
    </row>
    <row r="189" spans="1:31" ht="1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7"/>
      <c r="AA189" s="5"/>
      <c r="AB189" s="5"/>
      <c r="AC189" s="5"/>
      <c r="AD189" s="5"/>
      <c r="AE189" s="5"/>
    </row>
    <row r="190" spans="1:31" ht="1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7"/>
      <c r="AA190" s="5"/>
      <c r="AB190" s="5"/>
      <c r="AC190" s="5"/>
      <c r="AD190" s="5"/>
      <c r="AE190" s="5"/>
    </row>
    <row r="191" spans="1:31" ht="1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7"/>
      <c r="AA191" s="5"/>
      <c r="AB191" s="5"/>
      <c r="AC191" s="5"/>
      <c r="AD191" s="5"/>
      <c r="AE191" s="5"/>
    </row>
    <row r="192" spans="1:31" ht="1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7"/>
      <c r="AA192" s="5"/>
      <c r="AB192" s="5"/>
      <c r="AC192" s="5"/>
      <c r="AD192" s="5"/>
      <c r="AE192" s="5"/>
    </row>
    <row r="193" spans="1:31" ht="1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7"/>
      <c r="AA193" s="5"/>
      <c r="AB193" s="5"/>
      <c r="AC193" s="5"/>
      <c r="AD193" s="5"/>
      <c r="AE193" s="5"/>
    </row>
    <row r="194" spans="1:31" ht="1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7"/>
      <c r="AA194" s="5"/>
      <c r="AB194" s="5"/>
      <c r="AC194" s="5"/>
      <c r="AD194" s="5"/>
      <c r="AE194" s="5"/>
    </row>
    <row r="195" spans="1:31" ht="1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7"/>
      <c r="AA195" s="5"/>
      <c r="AB195" s="5"/>
      <c r="AC195" s="5"/>
      <c r="AD195" s="5"/>
      <c r="AE195" s="5"/>
    </row>
    <row r="196" spans="1:31" ht="1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7"/>
      <c r="AA196" s="5"/>
      <c r="AB196" s="5"/>
      <c r="AC196" s="5"/>
      <c r="AD196" s="5"/>
      <c r="AE196" s="5"/>
    </row>
    <row r="197" spans="1:31" ht="1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7"/>
      <c r="AA197" s="5"/>
      <c r="AB197" s="5"/>
      <c r="AC197" s="5"/>
      <c r="AD197" s="5"/>
      <c r="AE197" s="5"/>
    </row>
    <row r="198" spans="1:31" ht="1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7"/>
      <c r="AA198" s="5"/>
      <c r="AB198" s="5"/>
      <c r="AC198" s="5"/>
      <c r="AD198" s="5"/>
      <c r="AE198" s="5"/>
    </row>
    <row r="199" spans="1:31" ht="1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7"/>
      <c r="AA199" s="5"/>
      <c r="AB199" s="5"/>
      <c r="AC199" s="5"/>
      <c r="AD199" s="5"/>
      <c r="AE199" s="5"/>
    </row>
    <row r="200" spans="1:31" ht="1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7"/>
      <c r="AA200" s="5"/>
      <c r="AB200" s="5"/>
      <c r="AC200" s="5"/>
      <c r="AD200" s="5"/>
      <c r="AE200" s="5"/>
    </row>
    <row r="201" spans="1:31" ht="1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7"/>
      <c r="AA201" s="5"/>
      <c r="AB201" s="5"/>
      <c r="AC201" s="5"/>
      <c r="AD201" s="5"/>
      <c r="AE201" s="5"/>
    </row>
    <row r="202" spans="1:31" ht="1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7"/>
      <c r="AA202" s="5"/>
      <c r="AB202" s="5"/>
      <c r="AC202" s="5"/>
      <c r="AD202" s="5"/>
      <c r="AE202" s="5"/>
    </row>
    <row r="203" spans="1:31" ht="1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7"/>
      <c r="AA203" s="5"/>
      <c r="AB203" s="5"/>
      <c r="AC203" s="5"/>
      <c r="AD203" s="5"/>
      <c r="AE203" s="5"/>
    </row>
    <row r="204" spans="1:31" ht="1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7"/>
      <c r="AA204" s="5"/>
      <c r="AB204" s="5"/>
      <c r="AC204" s="5"/>
      <c r="AD204" s="5"/>
      <c r="AE204" s="5"/>
    </row>
    <row r="205" spans="1:31" ht="1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7"/>
      <c r="AA205" s="5"/>
      <c r="AB205" s="5"/>
      <c r="AC205" s="5"/>
      <c r="AD205" s="5"/>
      <c r="AE205" s="5"/>
    </row>
    <row r="206" spans="1:31" ht="1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7"/>
      <c r="AA206" s="5"/>
      <c r="AB206" s="5"/>
      <c r="AC206" s="5"/>
      <c r="AD206" s="5"/>
      <c r="AE206" s="5"/>
    </row>
    <row r="207" spans="1:31" ht="1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7"/>
      <c r="AA207" s="5"/>
      <c r="AB207" s="5"/>
      <c r="AC207" s="5"/>
      <c r="AD207" s="5"/>
      <c r="AE207" s="5"/>
    </row>
    <row r="208" spans="1:31" ht="1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7"/>
      <c r="AA208" s="5"/>
      <c r="AB208" s="5"/>
      <c r="AC208" s="5"/>
      <c r="AD208" s="5"/>
      <c r="AE208" s="5"/>
    </row>
    <row r="209" spans="1:31" ht="1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7"/>
      <c r="AA209" s="5"/>
      <c r="AB209" s="5"/>
      <c r="AC209" s="5"/>
      <c r="AD209" s="5"/>
      <c r="AE209" s="5"/>
    </row>
    <row r="210" spans="1:31" ht="1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7"/>
      <c r="AA210" s="5"/>
      <c r="AB210" s="5"/>
      <c r="AC210" s="5"/>
      <c r="AD210" s="5"/>
      <c r="AE210" s="5"/>
    </row>
    <row r="211" spans="1:31" ht="1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7"/>
      <c r="AA211" s="5"/>
      <c r="AB211" s="5"/>
      <c r="AC211" s="5"/>
      <c r="AD211" s="5"/>
      <c r="AE211" s="5"/>
    </row>
    <row r="212" spans="1:31" ht="1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7"/>
      <c r="AA212" s="5"/>
      <c r="AB212" s="5"/>
      <c r="AC212" s="5"/>
      <c r="AD212" s="5"/>
      <c r="AE212" s="5"/>
    </row>
    <row r="213" spans="1:31" ht="1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7"/>
      <c r="AA213" s="5"/>
      <c r="AB213" s="5"/>
      <c r="AC213" s="5"/>
      <c r="AD213" s="5"/>
      <c r="AE213" s="5"/>
    </row>
    <row r="214" spans="1:31" ht="1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7"/>
      <c r="AA214" s="5"/>
      <c r="AB214" s="5"/>
      <c r="AC214" s="5"/>
      <c r="AD214" s="5"/>
      <c r="AE214" s="5"/>
    </row>
    <row r="215" spans="1:31" ht="1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7"/>
      <c r="AA215" s="5"/>
      <c r="AB215" s="5"/>
      <c r="AC215" s="5"/>
      <c r="AD215" s="5"/>
      <c r="AE215" s="5"/>
    </row>
    <row r="216" spans="1:31" ht="1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7"/>
      <c r="AA216" s="5"/>
      <c r="AB216" s="5"/>
      <c r="AC216" s="5"/>
      <c r="AD216" s="5"/>
      <c r="AE216" s="5"/>
    </row>
    <row r="217" spans="1:31" ht="1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7"/>
      <c r="AA217" s="5"/>
      <c r="AB217" s="5"/>
      <c r="AC217" s="5"/>
      <c r="AD217" s="5"/>
      <c r="AE217" s="5"/>
    </row>
    <row r="218" spans="1:31" ht="1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7"/>
      <c r="AA218" s="5"/>
      <c r="AB218" s="5"/>
      <c r="AC218" s="5"/>
      <c r="AD218" s="5"/>
      <c r="AE218" s="5"/>
    </row>
    <row r="219" spans="1:31" ht="1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7"/>
      <c r="AA219" s="5"/>
      <c r="AB219" s="5"/>
      <c r="AC219" s="5"/>
      <c r="AD219" s="5"/>
      <c r="AE219" s="5"/>
    </row>
    <row r="220" spans="1:31" ht="1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7"/>
      <c r="AA220" s="5"/>
      <c r="AB220" s="5"/>
      <c r="AC220" s="5"/>
      <c r="AD220" s="5"/>
      <c r="AE220" s="5"/>
    </row>
    <row r="221" spans="1:31" ht="1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7"/>
      <c r="AA221" s="5"/>
      <c r="AB221" s="5"/>
      <c r="AC221" s="5"/>
      <c r="AD221" s="5"/>
      <c r="AE221" s="5"/>
    </row>
    <row r="222" spans="1:31" ht="1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7"/>
      <c r="AA222" s="5"/>
      <c r="AB222" s="5"/>
      <c r="AC222" s="5"/>
      <c r="AD222" s="5"/>
      <c r="AE222" s="5"/>
    </row>
    <row r="223" spans="1:31" ht="1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7"/>
      <c r="AA223" s="5"/>
      <c r="AB223" s="5"/>
      <c r="AC223" s="5"/>
      <c r="AD223" s="5"/>
      <c r="AE223" s="5"/>
    </row>
    <row r="224" spans="1:31" ht="1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7"/>
      <c r="AA224" s="5"/>
      <c r="AB224" s="5"/>
      <c r="AC224" s="5"/>
      <c r="AD224" s="5"/>
      <c r="AE224" s="5"/>
    </row>
    <row r="225" spans="1:31" ht="1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7"/>
      <c r="AA225" s="5"/>
      <c r="AB225" s="5"/>
      <c r="AC225" s="5"/>
      <c r="AD225" s="5"/>
      <c r="AE225" s="5"/>
    </row>
    <row r="226" spans="1:31" ht="1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7"/>
      <c r="AA226" s="5"/>
      <c r="AB226" s="5"/>
      <c r="AC226" s="5"/>
      <c r="AD226" s="5"/>
      <c r="AE226" s="5"/>
    </row>
    <row r="227" spans="1:31" ht="1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7"/>
      <c r="AA227" s="5"/>
      <c r="AB227" s="5"/>
      <c r="AC227" s="5"/>
      <c r="AD227" s="5"/>
      <c r="AE227" s="5"/>
    </row>
    <row r="228" spans="1:31" ht="1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7"/>
      <c r="AA228" s="5"/>
      <c r="AB228" s="5"/>
      <c r="AC228" s="5"/>
      <c r="AD228" s="5"/>
      <c r="AE228" s="5"/>
    </row>
    <row r="229" spans="1:31" ht="1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7"/>
      <c r="AA229" s="5"/>
      <c r="AB229" s="5"/>
      <c r="AC229" s="5"/>
      <c r="AD229" s="5"/>
      <c r="AE229" s="5"/>
    </row>
    <row r="230" spans="1:31" ht="1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7"/>
      <c r="AA230" s="5"/>
      <c r="AB230" s="5"/>
      <c r="AC230" s="5"/>
      <c r="AD230" s="5"/>
      <c r="AE230" s="5"/>
    </row>
    <row r="231" spans="1:31" ht="1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7"/>
      <c r="AA231" s="5"/>
      <c r="AB231" s="5"/>
      <c r="AC231" s="5"/>
      <c r="AD231" s="5"/>
      <c r="AE231" s="5"/>
    </row>
    <row r="232" spans="1:31" ht="1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7"/>
      <c r="AA232" s="5"/>
      <c r="AB232" s="5"/>
      <c r="AC232" s="5"/>
      <c r="AD232" s="5"/>
      <c r="AE232" s="5"/>
    </row>
    <row r="233" spans="1:31" ht="1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7"/>
      <c r="AA233" s="5"/>
      <c r="AB233" s="5"/>
      <c r="AC233" s="5"/>
      <c r="AD233" s="5"/>
      <c r="AE233" s="5"/>
    </row>
    <row r="234" spans="1:31" ht="1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7"/>
      <c r="AA234" s="5"/>
      <c r="AB234" s="5"/>
      <c r="AC234" s="5"/>
      <c r="AD234" s="5"/>
      <c r="AE234" s="5"/>
    </row>
    <row r="235" spans="1:31" ht="1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7"/>
      <c r="AA235" s="5"/>
      <c r="AB235" s="5"/>
      <c r="AC235" s="5"/>
      <c r="AD235" s="5"/>
      <c r="AE235" s="5"/>
    </row>
    <row r="236" spans="1:31" ht="1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7"/>
      <c r="AA236" s="5"/>
      <c r="AB236" s="5"/>
      <c r="AC236" s="5"/>
      <c r="AD236" s="5"/>
      <c r="AE236" s="5"/>
    </row>
    <row r="237" spans="1:31" ht="1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7"/>
      <c r="AA237" s="5"/>
      <c r="AB237" s="5"/>
      <c r="AC237" s="5"/>
      <c r="AD237" s="5"/>
      <c r="AE237" s="5"/>
    </row>
    <row r="238" spans="1:31" ht="1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7"/>
      <c r="AA238" s="5"/>
      <c r="AB238" s="5"/>
      <c r="AC238" s="5"/>
      <c r="AD238" s="5"/>
      <c r="AE238" s="5"/>
    </row>
    <row r="239" spans="1:31" ht="1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7"/>
      <c r="AA239" s="5"/>
      <c r="AB239" s="5"/>
      <c r="AC239" s="5"/>
      <c r="AD239" s="5"/>
      <c r="AE239" s="5"/>
    </row>
    <row r="240" spans="1:31" ht="1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7"/>
      <c r="AA240" s="5"/>
      <c r="AB240" s="5"/>
      <c r="AC240" s="5"/>
      <c r="AD240" s="5"/>
      <c r="AE240" s="5"/>
    </row>
    <row r="241" spans="1:31" ht="1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7"/>
      <c r="AA241" s="5"/>
      <c r="AB241" s="5"/>
      <c r="AC241" s="5"/>
      <c r="AD241" s="5"/>
      <c r="AE241" s="5"/>
    </row>
    <row r="242" spans="1:31" ht="1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7"/>
      <c r="AA242" s="5"/>
      <c r="AB242" s="5"/>
      <c r="AC242" s="5"/>
      <c r="AD242" s="5"/>
      <c r="AE242" s="5"/>
    </row>
    <row r="243" spans="1:31" ht="1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7"/>
      <c r="AA243" s="5"/>
      <c r="AB243" s="5"/>
      <c r="AC243" s="5"/>
      <c r="AD243" s="5"/>
      <c r="AE243" s="5"/>
    </row>
    <row r="244" spans="1:31" ht="1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7"/>
      <c r="AA244" s="5"/>
      <c r="AB244" s="5"/>
      <c r="AC244" s="5"/>
      <c r="AD244" s="5"/>
      <c r="AE244" s="5"/>
    </row>
    <row r="245" spans="1:31" ht="1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7"/>
      <c r="AA245" s="5"/>
      <c r="AB245" s="5"/>
      <c r="AC245" s="5"/>
      <c r="AD245" s="5"/>
      <c r="AE245" s="5"/>
    </row>
    <row r="246" spans="1:31" ht="1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7"/>
      <c r="AA246" s="5"/>
      <c r="AB246" s="5"/>
      <c r="AC246" s="5"/>
      <c r="AD246" s="5"/>
      <c r="AE246" s="5"/>
    </row>
    <row r="247" spans="1:31" ht="1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7"/>
      <c r="AA247" s="5"/>
      <c r="AB247" s="5"/>
      <c r="AC247" s="5"/>
      <c r="AD247" s="5"/>
      <c r="AE247" s="5"/>
    </row>
    <row r="248" spans="1:31" ht="1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7"/>
      <c r="AA248" s="5"/>
      <c r="AB248" s="5"/>
      <c r="AC248" s="5"/>
      <c r="AD248" s="5"/>
      <c r="AE248" s="5"/>
    </row>
    <row r="249" spans="1:31" ht="1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7"/>
      <c r="AA249" s="5"/>
      <c r="AB249" s="5"/>
      <c r="AC249" s="5"/>
      <c r="AD249" s="5"/>
      <c r="AE249" s="5"/>
    </row>
    <row r="250" spans="1:31" ht="1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7"/>
      <c r="AA250" s="5"/>
      <c r="AB250" s="5"/>
      <c r="AC250" s="5"/>
      <c r="AD250" s="5"/>
      <c r="AE250" s="5"/>
    </row>
    <row r="251" spans="1:31" ht="15.75" customHeight="1">
      <c r="A251" s="5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5"/>
      <c r="T251" s="5"/>
      <c r="U251" s="5"/>
      <c r="V251" s="5"/>
      <c r="W251" s="5"/>
      <c r="X251" s="5"/>
      <c r="Y251" s="5"/>
      <c r="Z251" s="7"/>
      <c r="AA251" s="5"/>
      <c r="AB251" s="5"/>
      <c r="AC251" s="5"/>
      <c r="AD251" s="5"/>
      <c r="AE251" s="5"/>
    </row>
    <row r="252" spans="1:31" ht="15.75" customHeight="1">
      <c r="A252" s="5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5"/>
      <c r="T252" s="5"/>
      <c r="U252" s="5"/>
      <c r="V252" s="5"/>
      <c r="W252" s="5"/>
      <c r="X252" s="5"/>
      <c r="Y252" s="5"/>
      <c r="Z252" s="7"/>
      <c r="AA252" s="5"/>
      <c r="AB252" s="5"/>
      <c r="AC252" s="5"/>
      <c r="AD252" s="5"/>
      <c r="AE252" s="5"/>
    </row>
    <row r="253" spans="1:31" ht="15.75" customHeight="1">
      <c r="A253" s="5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5"/>
      <c r="T253" s="5"/>
      <c r="U253" s="5"/>
      <c r="V253" s="5"/>
      <c r="W253" s="5"/>
      <c r="X253" s="5"/>
      <c r="Y253" s="5"/>
      <c r="Z253" s="7"/>
      <c r="AA253" s="5"/>
      <c r="AB253" s="5"/>
      <c r="AC253" s="5"/>
      <c r="AD253" s="5"/>
      <c r="AE253" s="5"/>
    </row>
    <row r="254" spans="1:31" ht="15.75" customHeight="1">
      <c r="A254" s="5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5"/>
      <c r="T254" s="5"/>
      <c r="U254" s="5"/>
      <c r="V254" s="5"/>
      <c r="W254" s="5"/>
      <c r="X254" s="5"/>
      <c r="Y254" s="5"/>
      <c r="Z254" s="7"/>
      <c r="AA254" s="5"/>
      <c r="AB254" s="5"/>
      <c r="AC254" s="5"/>
      <c r="AD254" s="5"/>
      <c r="AE254" s="5"/>
    </row>
    <row r="255" spans="1:31" ht="15.75" customHeight="1">
      <c r="A255" s="5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5"/>
      <c r="T255" s="5"/>
      <c r="U255" s="5"/>
      <c r="V255" s="5"/>
      <c r="W255" s="5"/>
      <c r="X255" s="5"/>
      <c r="Y255" s="5"/>
      <c r="Z255" s="7"/>
      <c r="AA255" s="5"/>
      <c r="AB255" s="5"/>
      <c r="AC255" s="5"/>
      <c r="AD255" s="5"/>
      <c r="AE255" s="5"/>
    </row>
    <row r="256" spans="1:31" ht="15.75" customHeight="1">
      <c r="A256" s="5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5"/>
      <c r="T256" s="5"/>
      <c r="U256" s="5"/>
      <c r="V256" s="5"/>
      <c r="W256" s="5"/>
      <c r="X256" s="5"/>
      <c r="Y256" s="5"/>
      <c r="Z256" s="7"/>
      <c r="AA256" s="5"/>
      <c r="AB256" s="5"/>
      <c r="AC256" s="5"/>
      <c r="AD256" s="5"/>
      <c r="AE256" s="5"/>
    </row>
    <row r="257" spans="1:31" ht="15.75" customHeight="1">
      <c r="A257" s="5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5"/>
      <c r="T257" s="5"/>
      <c r="U257" s="5"/>
      <c r="V257" s="5"/>
      <c r="W257" s="5"/>
      <c r="X257" s="5"/>
      <c r="Y257" s="5"/>
      <c r="Z257" s="7"/>
      <c r="AA257" s="5"/>
      <c r="AB257" s="5"/>
      <c r="AC257" s="5"/>
      <c r="AD257" s="5"/>
      <c r="AE257" s="5"/>
    </row>
    <row r="258" spans="1:31" ht="15.75" customHeight="1">
      <c r="A258" s="5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5"/>
      <c r="T258" s="5"/>
      <c r="U258" s="5"/>
      <c r="V258" s="5"/>
      <c r="W258" s="5"/>
      <c r="X258" s="5"/>
      <c r="Y258" s="5"/>
      <c r="Z258" s="7"/>
      <c r="AA258" s="5"/>
      <c r="AB258" s="5"/>
      <c r="AC258" s="5"/>
      <c r="AD258" s="5"/>
      <c r="AE258" s="5"/>
    </row>
    <row r="259" spans="1:31" ht="15.75" customHeight="1">
      <c r="A259" s="5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5"/>
      <c r="T259" s="5"/>
      <c r="U259" s="5"/>
      <c r="V259" s="5"/>
      <c r="W259" s="5"/>
      <c r="X259" s="5"/>
      <c r="Y259" s="5"/>
      <c r="Z259" s="7"/>
      <c r="AA259" s="5"/>
      <c r="AB259" s="5"/>
      <c r="AC259" s="5"/>
      <c r="AD259" s="5"/>
      <c r="AE259" s="5"/>
    </row>
    <row r="260" spans="1:31" ht="15.75" customHeight="1">
      <c r="A260" s="5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5"/>
      <c r="T260" s="5"/>
      <c r="U260" s="5"/>
      <c r="V260" s="5"/>
      <c r="W260" s="5"/>
      <c r="X260" s="5"/>
      <c r="Y260" s="5"/>
      <c r="Z260" s="7"/>
      <c r="AA260" s="5"/>
      <c r="AB260" s="5"/>
      <c r="AC260" s="5"/>
      <c r="AD260" s="5"/>
      <c r="AE260" s="5"/>
    </row>
    <row r="261" spans="1:31" ht="15.75" customHeight="1">
      <c r="A261" s="5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5"/>
      <c r="T261" s="5"/>
      <c r="U261" s="5"/>
      <c r="V261" s="5"/>
      <c r="W261" s="5"/>
      <c r="X261" s="5"/>
      <c r="Y261" s="5"/>
      <c r="Z261" s="7"/>
      <c r="AA261" s="5"/>
      <c r="AB261" s="5"/>
      <c r="AC261" s="5"/>
      <c r="AD261" s="5"/>
      <c r="AE261" s="5"/>
    </row>
    <row r="262" spans="1:31" ht="15.75" customHeight="1">
      <c r="A262" s="5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5"/>
      <c r="T262" s="5"/>
      <c r="U262" s="5"/>
      <c r="V262" s="5"/>
      <c r="W262" s="5"/>
      <c r="X262" s="5"/>
      <c r="Y262" s="5"/>
      <c r="Z262" s="7"/>
      <c r="AA262" s="5"/>
      <c r="AB262" s="5"/>
      <c r="AC262" s="5"/>
      <c r="AD262" s="5"/>
      <c r="AE262" s="5"/>
    </row>
    <row r="263" spans="1:31" ht="15.75" customHeight="1">
      <c r="A263" s="5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5"/>
      <c r="T263" s="5"/>
      <c r="U263" s="5"/>
      <c r="V263" s="5"/>
      <c r="W263" s="5"/>
      <c r="X263" s="5"/>
      <c r="Y263" s="5"/>
      <c r="Z263" s="7"/>
      <c r="AA263" s="5"/>
      <c r="AB263" s="5"/>
      <c r="AC263" s="5"/>
      <c r="AD263" s="5"/>
      <c r="AE263" s="5"/>
    </row>
    <row r="264" spans="1:31" ht="15.75" customHeight="1">
      <c r="A264" s="5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5"/>
      <c r="T264" s="5"/>
      <c r="U264" s="5"/>
      <c r="V264" s="5"/>
      <c r="W264" s="5"/>
      <c r="X264" s="5"/>
      <c r="Y264" s="5"/>
      <c r="Z264" s="7"/>
      <c r="AA264" s="5"/>
      <c r="AB264" s="5"/>
      <c r="AC264" s="5"/>
      <c r="AD264" s="5"/>
      <c r="AE264" s="5"/>
    </row>
    <row r="265" spans="1:31" ht="15.75" customHeight="1">
      <c r="A265" s="5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5"/>
      <c r="T265" s="5"/>
      <c r="U265" s="5"/>
      <c r="V265" s="5"/>
      <c r="W265" s="5"/>
      <c r="X265" s="5"/>
      <c r="Y265" s="5"/>
      <c r="Z265" s="7"/>
      <c r="AA265" s="5"/>
      <c r="AB265" s="5"/>
      <c r="AC265" s="5"/>
      <c r="AD265" s="5"/>
      <c r="AE265" s="5"/>
    </row>
    <row r="266" spans="1:31" ht="15.75" customHeight="1">
      <c r="A266" s="5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5"/>
      <c r="T266" s="5"/>
      <c r="U266" s="5"/>
      <c r="V266" s="5"/>
      <c r="W266" s="5"/>
      <c r="X266" s="5"/>
      <c r="Y266" s="5"/>
      <c r="Z266" s="7"/>
      <c r="AA266" s="5"/>
      <c r="AB266" s="5"/>
      <c r="AC266" s="5"/>
      <c r="AD266" s="5"/>
      <c r="AE266" s="5"/>
    </row>
    <row r="267" spans="1:31" ht="15.75" customHeight="1">
      <c r="A267" s="5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5"/>
      <c r="T267" s="5"/>
      <c r="U267" s="5"/>
      <c r="V267" s="5"/>
      <c r="W267" s="5"/>
      <c r="X267" s="5"/>
      <c r="Y267" s="5"/>
      <c r="Z267" s="7"/>
      <c r="AA267" s="5"/>
      <c r="AB267" s="5"/>
      <c r="AC267" s="5"/>
      <c r="AD267" s="5"/>
      <c r="AE267" s="5"/>
    </row>
    <row r="268" spans="1:31" ht="15.75" customHeight="1">
      <c r="A268" s="5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5"/>
      <c r="T268" s="5"/>
      <c r="U268" s="5"/>
      <c r="V268" s="5"/>
      <c r="W268" s="5"/>
      <c r="X268" s="5"/>
      <c r="Y268" s="5"/>
      <c r="Z268" s="7"/>
      <c r="AA268" s="5"/>
      <c r="AB268" s="5"/>
      <c r="AC268" s="5"/>
      <c r="AD268" s="5"/>
      <c r="AE268" s="5"/>
    </row>
    <row r="269" spans="1:31" ht="15.75" customHeight="1">
      <c r="A269" s="5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5"/>
      <c r="T269" s="5"/>
      <c r="U269" s="5"/>
      <c r="V269" s="5"/>
      <c r="W269" s="5"/>
      <c r="X269" s="5"/>
      <c r="Y269" s="5"/>
      <c r="Z269" s="7"/>
      <c r="AA269" s="5"/>
      <c r="AB269" s="5"/>
      <c r="AC269" s="5"/>
      <c r="AD269" s="5"/>
      <c r="AE269" s="5"/>
    </row>
    <row r="270" spans="1:31" ht="15.75" customHeight="1">
      <c r="A270" s="5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5"/>
      <c r="T270" s="5"/>
      <c r="U270" s="5"/>
      <c r="V270" s="5"/>
      <c r="W270" s="5"/>
      <c r="X270" s="5"/>
      <c r="Y270" s="5"/>
      <c r="Z270" s="7"/>
      <c r="AA270" s="5"/>
      <c r="AB270" s="5"/>
      <c r="AC270" s="5"/>
      <c r="AD270" s="5"/>
      <c r="AE270" s="5"/>
    </row>
    <row r="271" spans="1:31" ht="15.75" customHeight="1">
      <c r="A271" s="5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5"/>
      <c r="T271" s="5"/>
      <c r="U271" s="5"/>
      <c r="V271" s="5"/>
      <c r="W271" s="5"/>
      <c r="X271" s="5"/>
      <c r="Y271" s="5"/>
      <c r="Z271" s="7"/>
      <c r="AA271" s="5"/>
      <c r="AB271" s="5"/>
      <c r="AC271" s="5"/>
      <c r="AD271" s="5"/>
      <c r="AE271" s="5"/>
    </row>
    <row r="272" spans="1:31" ht="15.75" customHeight="1">
      <c r="A272" s="5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5"/>
      <c r="T272" s="5"/>
      <c r="U272" s="5"/>
      <c r="V272" s="5"/>
      <c r="W272" s="5"/>
      <c r="X272" s="5"/>
      <c r="Y272" s="5"/>
      <c r="Z272" s="7"/>
      <c r="AA272" s="5"/>
      <c r="AB272" s="5"/>
      <c r="AC272" s="5"/>
      <c r="AD272" s="5"/>
      <c r="AE272" s="5"/>
    </row>
    <row r="273" spans="1:31" ht="15.75" customHeight="1">
      <c r="A273" s="5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5"/>
      <c r="T273" s="5"/>
      <c r="U273" s="5"/>
      <c r="V273" s="5"/>
      <c r="W273" s="5"/>
      <c r="X273" s="5"/>
      <c r="Y273" s="5"/>
      <c r="Z273" s="7"/>
      <c r="AA273" s="5"/>
      <c r="AB273" s="5"/>
      <c r="AC273" s="5"/>
      <c r="AD273" s="5"/>
      <c r="AE273" s="5"/>
    </row>
    <row r="274" spans="1:31" ht="15.75" customHeight="1">
      <c r="A274" s="5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5"/>
      <c r="T274" s="5"/>
      <c r="U274" s="5"/>
      <c r="V274" s="5"/>
      <c r="W274" s="5"/>
      <c r="X274" s="5"/>
      <c r="Y274" s="5"/>
      <c r="Z274" s="7"/>
      <c r="AA274" s="5"/>
      <c r="AB274" s="5"/>
      <c r="AC274" s="5"/>
      <c r="AD274" s="5"/>
      <c r="AE274" s="5"/>
    </row>
    <row r="275" spans="1:31" ht="15.75" customHeight="1">
      <c r="A275" s="5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5"/>
      <c r="T275" s="5"/>
      <c r="U275" s="5"/>
      <c r="V275" s="5"/>
      <c r="W275" s="5"/>
      <c r="X275" s="5"/>
      <c r="Y275" s="5"/>
      <c r="Z275" s="7"/>
      <c r="AA275" s="5"/>
      <c r="AB275" s="5"/>
      <c r="AC275" s="5"/>
      <c r="AD275" s="5"/>
      <c r="AE275" s="5"/>
    </row>
    <row r="276" spans="1:31" ht="15.75" customHeight="1">
      <c r="A276" s="5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5"/>
      <c r="T276" s="5"/>
      <c r="U276" s="5"/>
      <c r="V276" s="5"/>
      <c r="W276" s="5"/>
      <c r="X276" s="5"/>
      <c r="Y276" s="5"/>
      <c r="Z276" s="7"/>
      <c r="AA276" s="5"/>
      <c r="AB276" s="5"/>
      <c r="AC276" s="5"/>
      <c r="AD276" s="5"/>
      <c r="AE276" s="5"/>
    </row>
    <row r="277" spans="1:31" ht="15.75" customHeight="1">
      <c r="A277" s="5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5"/>
      <c r="T277" s="5"/>
      <c r="U277" s="5"/>
      <c r="V277" s="5"/>
      <c r="W277" s="5"/>
      <c r="X277" s="5"/>
      <c r="Y277" s="5"/>
      <c r="Z277" s="7"/>
      <c r="AA277" s="5"/>
      <c r="AB277" s="5"/>
      <c r="AC277" s="5"/>
      <c r="AD277" s="5"/>
      <c r="AE277" s="5"/>
    </row>
    <row r="278" spans="1:31" ht="15.75" customHeight="1">
      <c r="A278" s="5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5"/>
      <c r="T278" s="5"/>
      <c r="U278" s="5"/>
      <c r="V278" s="5"/>
      <c r="W278" s="5"/>
      <c r="X278" s="5"/>
      <c r="Y278" s="5"/>
      <c r="Z278" s="7"/>
      <c r="AA278" s="5"/>
      <c r="AB278" s="5"/>
      <c r="AC278" s="5"/>
      <c r="AD278" s="5"/>
      <c r="AE278" s="5"/>
    </row>
    <row r="279" spans="1:31" ht="15.75" customHeight="1">
      <c r="A279" s="5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5"/>
      <c r="T279" s="5"/>
      <c r="U279" s="5"/>
      <c r="V279" s="5"/>
      <c r="W279" s="5"/>
      <c r="X279" s="5"/>
      <c r="Y279" s="5"/>
      <c r="Z279" s="7"/>
      <c r="AA279" s="5"/>
      <c r="AB279" s="5"/>
      <c r="AC279" s="5"/>
      <c r="AD279" s="5"/>
      <c r="AE279" s="5"/>
    </row>
    <row r="280" spans="1:31" ht="15.75" customHeight="1">
      <c r="A280" s="5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5"/>
      <c r="T280" s="5"/>
      <c r="U280" s="5"/>
      <c r="V280" s="5"/>
      <c r="W280" s="5"/>
      <c r="X280" s="5"/>
      <c r="Y280" s="5"/>
      <c r="Z280" s="7"/>
      <c r="AA280" s="5"/>
      <c r="AB280" s="5"/>
      <c r="AC280" s="5"/>
      <c r="AD280" s="5"/>
      <c r="AE280" s="5"/>
    </row>
    <row r="281" spans="1:31" ht="15.75" customHeight="1">
      <c r="A281" s="5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5"/>
      <c r="T281" s="5"/>
      <c r="U281" s="5"/>
      <c r="V281" s="5"/>
      <c r="W281" s="5"/>
      <c r="X281" s="5"/>
      <c r="Y281" s="5"/>
      <c r="Z281" s="7"/>
      <c r="AA281" s="5"/>
      <c r="AB281" s="5"/>
      <c r="AC281" s="5"/>
      <c r="AD281" s="5"/>
      <c r="AE281" s="5"/>
    </row>
    <row r="282" spans="1:31" ht="15.75" customHeight="1">
      <c r="A282" s="5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5"/>
      <c r="T282" s="5"/>
      <c r="U282" s="5"/>
      <c r="V282" s="5"/>
      <c r="W282" s="5"/>
      <c r="X282" s="5"/>
      <c r="Y282" s="5"/>
      <c r="Z282" s="7"/>
      <c r="AA282" s="5"/>
      <c r="AB282" s="5"/>
      <c r="AC282" s="5"/>
      <c r="AD282" s="5"/>
      <c r="AE282" s="5"/>
    </row>
    <row r="283" spans="1:31" ht="15.75" customHeight="1">
      <c r="A283" s="5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5"/>
      <c r="T283" s="5"/>
      <c r="U283" s="5"/>
      <c r="V283" s="5"/>
      <c r="W283" s="5"/>
      <c r="X283" s="5"/>
      <c r="Y283" s="5"/>
      <c r="Z283" s="7"/>
      <c r="AA283" s="5"/>
      <c r="AB283" s="5"/>
      <c r="AC283" s="5"/>
      <c r="AD283" s="5"/>
      <c r="AE283" s="5"/>
    </row>
    <row r="284" spans="1:31" ht="15.75" customHeight="1">
      <c r="A284" s="5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5"/>
      <c r="T284" s="5"/>
      <c r="U284" s="5"/>
      <c r="V284" s="5"/>
      <c r="W284" s="5"/>
      <c r="X284" s="5"/>
      <c r="Y284" s="5"/>
      <c r="Z284" s="7"/>
      <c r="AA284" s="5"/>
      <c r="AB284" s="5"/>
      <c r="AC284" s="5"/>
      <c r="AD284" s="5"/>
      <c r="AE284" s="5"/>
    </row>
    <row r="285" spans="1:31" ht="15.75" customHeight="1">
      <c r="A285" s="5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5"/>
      <c r="T285" s="5"/>
      <c r="U285" s="5"/>
      <c r="V285" s="5"/>
      <c r="W285" s="5"/>
      <c r="X285" s="5"/>
      <c r="Y285" s="5"/>
      <c r="Z285" s="7"/>
      <c r="AA285" s="5"/>
      <c r="AB285" s="5"/>
      <c r="AC285" s="5"/>
      <c r="AD285" s="5"/>
      <c r="AE285" s="5"/>
    </row>
    <row r="286" spans="1:31" ht="15.75" customHeight="1">
      <c r="A286" s="5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5"/>
      <c r="T286" s="5"/>
      <c r="U286" s="5"/>
      <c r="V286" s="5"/>
      <c r="W286" s="5"/>
      <c r="X286" s="5"/>
      <c r="Y286" s="5"/>
      <c r="Z286" s="7"/>
      <c r="AA286" s="5"/>
      <c r="AB286" s="5"/>
      <c r="AC286" s="5"/>
      <c r="AD286" s="5"/>
      <c r="AE286" s="5"/>
    </row>
    <row r="287" spans="1:31" ht="15.75" customHeight="1">
      <c r="A287" s="5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5"/>
      <c r="T287" s="5"/>
      <c r="U287" s="5"/>
      <c r="V287" s="5"/>
      <c r="W287" s="5"/>
      <c r="X287" s="5"/>
      <c r="Y287" s="5"/>
      <c r="Z287" s="7"/>
      <c r="AA287" s="5"/>
      <c r="AB287" s="5"/>
      <c r="AC287" s="5"/>
      <c r="AD287" s="5"/>
      <c r="AE287" s="5"/>
    </row>
    <row r="288" spans="1:31" ht="15.75" customHeight="1">
      <c r="A288" s="5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5"/>
      <c r="T288" s="5"/>
      <c r="U288" s="5"/>
      <c r="V288" s="5"/>
      <c r="W288" s="5"/>
      <c r="X288" s="5"/>
      <c r="Y288" s="5"/>
      <c r="Z288" s="7"/>
      <c r="AA288" s="5"/>
      <c r="AB288" s="5"/>
      <c r="AC288" s="5"/>
      <c r="AD288" s="5"/>
      <c r="AE288" s="5"/>
    </row>
    <row r="289" spans="1:31" ht="15.75" customHeight="1">
      <c r="A289" s="5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5"/>
      <c r="T289" s="5"/>
      <c r="U289" s="5"/>
      <c r="V289" s="5"/>
      <c r="W289" s="5"/>
      <c r="X289" s="5"/>
      <c r="Y289" s="5"/>
      <c r="Z289" s="7"/>
      <c r="AA289" s="5"/>
      <c r="AB289" s="5"/>
      <c r="AC289" s="5"/>
      <c r="AD289" s="5"/>
      <c r="AE289" s="5"/>
    </row>
    <row r="290" spans="1:31" ht="15.75" customHeight="1">
      <c r="A290" s="5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5"/>
      <c r="T290" s="5"/>
      <c r="U290" s="5"/>
      <c r="V290" s="5"/>
      <c r="W290" s="5"/>
      <c r="X290" s="5"/>
      <c r="Y290" s="5"/>
      <c r="Z290" s="7"/>
      <c r="AA290" s="5"/>
      <c r="AB290" s="5"/>
      <c r="AC290" s="5"/>
      <c r="AD290" s="5"/>
      <c r="AE290" s="5"/>
    </row>
    <row r="291" spans="1:31" ht="15.75" customHeight="1">
      <c r="A291" s="5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5"/>
      <c r="T291" s="5"/>
      <c r="U291" s="5"/>
      <c r="V291" s="5"/>
      <c r="W291" s="5"/>
      <c r="X291" s="5"/>
      <c r="Y291" s="5"/>
      <c r="Z291" s="7"/>
      <c r="AA291" s="5"/>
      <c r="AB291" s="5"/>
      <c r="AC291" s="5"/>
      <c r="AD291" s="5"/>
      <c r="AE291" s="5"/>
    </row>
    <row r="292" spans="1:31" ht="15.75" customHeight="1">
      <c r="A292" s="5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5"/>
      <c r="T292" s="5"/>
      <c r="U292" s="5"/>
      <c r="V292" s="5"/>
      <c r="W292" s="5"/>
      <c r="X292" s="5"/>
      <c r="Y292" s="5"/>
      <c r="Z292" s="7"/>
      <c r="AA292" s="5"/>
      <c r="AB292" s="5"/>
      <c r="AC292" s="5"/>
      <c r="AD292" s="5"/>
      <c r="AE292" s="5"/>
    </row>
    <row r="293" spans="1:31" ht="15.75" customHeight="1">
      <c r="A293" s="5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5"/>
      <c r="T293" s="5"/>
      <c r="U293" s="5"/>
      <c r="V293" s="5"/>
      <c r="W293" s="5"/>
      <c r="X293" s="5"/>
      <c r="Y293" s="5"/>
      <c r="Z293" s="7"/>
      <c r="AA293" s="5"/>
      <c r="AB293" s="5"/>
      <c r="AC293" s="5"/>
      <c r="AD293" s="5"/>
      <c r="AE293" s="5"/>
    </row>
    <row r="294" spans="1:31" ht="15.75" customHeight="1">
      <c r="A294" s="5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5"/>
      <c r="T294" s="5"/>
      <c r="U294" s="5"/>
      <c r="V294" s="5"/>
      <c r="W294" s="5"/>
      <c r="X294" s="5"/>
      <c r="Y294" s="5"/>
      <c r="Z294" s="7"/>
      <c r="AA294" s="5"/>
      <c r="AB294" s="5"/>
      <c r="AC294" s="5"/>
      <c r="AD294" s="5"/>
      <c r="AE294" s="5"/>
    </row>
    <row r="295" spans="1:31" ht="15.75" customHeight="1">
      <c r="A295" s="5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5"/>
      <c r="T295" s="5"/>
      <c r="U295" s="5"/>
      <c r="V295" s="5"/>
      <c r="W295" s="5"/>
      <c r="X295" s="5"/>
      <c r="Y295" s="5"/>
      <c r="Z295" s="7"/>
      <c r="AA295" s="5"/>
      <c r="AB295" s="5"/>
      <c r="AC295" s="5"/>
      <c r="AD295" s="5"/>
      <c r="AE295" s="5"/>
    </row>
    <row r="296" spans="1:31" ht="15.75" customHeight="1">
      <c r="A296" s="5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5"/>
      <c r="T296" s="5"/>
      <c r="U296" s="5"/>
      <c r="V296" s="5"/>
      <c r="W296" s="5"/>
      <c r="X296" s="5"/>
      <c r="Y296" s="5"/>
      <c r="Z296" s="7"/>
      <c r="AA296" s="5"/>
      <c r="AB296" s="5"/>
      <c r="AC296" s="5"/>
      <c r="AD296" s="5"/>
      <c r="AE296" s="5"/>
    </row>
    <row r="297" spans="1:31" ht="15.75" customHeight="1">
      <c r="A297" s="5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5"/>
      <c r="T297" s="5"/>
      <c r="U297" s="5"/>
      <c r="V297" s="5"/>
      <c r="W297" s="5"/>
      <c r="X297" s="5"/>
      <c r="Y297" s="5"/>
      <c r="Z297" s="7"/>
      <c r="AA297" s="5"/>
      <c r="AB297" s="5"/>
      <c r="AC297" s="5"/>
      <c r="AD297" s="5"/>
      <c r="AE297" s="5"/>
    </row>
    <row r="298" spans="1:31" ht="15.75" customHeight="1">
      <c r="A298" s="5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5"/>
      <c r="T298" s="5"/>
      <c r="U298" s="5"/>
      <c r="V298" s="5"/>
      <c r="W298" s="5"/>
      <c r="X298" s="5"/>
      <c r="Y298" s="5"/>
      <c r="Z298" s="7"/>
      <c r="AA298" s="5"/>
      <c r="AB298" s="5"/>
      <c r="AC298" s="5"/>
      <c r="AD298" s="5"/>
      <c r="AE298" s="5"/>
    </row>
    <row r="299" spans="1:31" ht="15.75" customHeight="1">
      <c r="A299" s="5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5"/>
      <c r="T299" s="5"/>
      <c r="U299" s="5"/>
      <c r="V299" s="5"/>
      <c r="W299" s="5"/>
      <c r="X299" s="5"/>
      <c r="Y299" s="5"/>
      <c r="Z299" s="7"/>
      <c r="AA299" s="5"/>
      <c r="AB299" s="5"/>
      <c r="AC299" s="5"/>
      <c r="AD299" s="5"/>
      <c r="AE299" s="5"/>
    </row>
    <row r="300" spans="1:31" ht="15.75" customHeight="1">
      <c r="A300" s="5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5"/>
      <c r="T300" s="5"/>
      <c r="U300" s="5"/>
      <c r="V300" s="5"/>
      <c r="W300" s="5"/>
      <c r="X300" s="5"/>
      <c r="Y300" s="5"/>
      <c r="Z300" s="7"/>
      <c r="AA300" s="5"/>
      <c r="AB300" s="5"/>
      <c r="AC300" s="5"/>
      <c r="AD300" s="5"/>
      <c r="AE300" s="5"/>
    </row>
    <row r="301" spans="1:31" ht="15.75" customHeight="1">
      <c r="A301" s="5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5"/>
      <c r="T301" s="5"/>
      <c r="U301" s="5"/>
      <c r="V301" s="5"/>
      <c r="W301" s="5"/>
      <c r="X301" s="5"/>
      <c r="Y301" s="5"/>
      <c r="Z301" s="7"/>
      <c r="AA301" s="5"/>
      <c r="AB301" s="5"/>
      <c r="AC301" s="5"/>
      <c r="AD301" s="5"/>
      <c r="AE301" s="5"/>
    </row>
    <row r="302" spans="1:31" ht="15.75" customHeight="1">
      <c r="A302" s="5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5"/>
      <c r="T302" s="5"/>
      <c r="U302" s="5"/>
      <c r="V302" s="5"/>
      <c r="W302" s="5"/>
      <c r="X302" s="5"/>
      <c r="Y302" s="5"/>
      <c r="Z302" s="7"/>
      <c r="AA302" s="5"/>
      <c r="AB302" s="5"/>
      <c r="AC302" s="5"/>
      <c r="AD302" s="5"/>
      <c r="AE302" s="5"/>
    </row>
    <row r="303" spans="1:31" ht="15.75" customHeight="1">
      <c r="A303" s="5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5"/>
      <c r="T303" s="5"/>
      <c r="U303" s="5"/>
      <c r="V303" s="5"/>
      <c r="W303" s="5"/>
      <c r="X303" s="5"/>
      <c r="Y303" s="5"/>
      <c r="Z303" s="7"/>
      <c r="AA303" s="5"/>
      <c r="AB303" s="5"/>
      <c r="AC303" s="5"/>
      <c r="AD303" s="5"/>
      <c r="AE303" s="5"/>
    </row>
    <row r="304" spans="1:31" ht="15.75" customHeight="1">
      <c r="A304" s="5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5"/>
      <c r="T304" s="5"/>
      <c r="U304" s="5"/>
      <c r="V304" s="5"/>
      <c r="W304" s="5"/>
      <c r="X304" s="5"/>
      <c r="Y304" s="5"/>
      <c r="Z304" s="7"/>
      <c r="AA304" s="5"/>
      <c r="AB304" s="5"/>
      <c r="AC304" s="5"/>
      <c r="AD304" s="5"/>
      <c r="AE304" s="5"/>
    </row>
    <row r="305" spans="1:31" ht="15.75" customHeight="1">
      <c r="A305" s="5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5"/>
      <c r="T305" s="5"/>
      <c r="U305" s="5"/>
      <c r="V305" s="5"/>
      <c r="W305" s="5"/>
      <c r="X305" s="5"/>
      <c r="Y305" s="5"/>
      <c r="Z305" s="7"/>
      <c r="AA305" s="5"/>
      <c r="AB305" s="5"/>
      <c r="AC305" s="5"/>
      <c r="AD305" s="5"/>
      <c r="AE305" s="5"/>
    </row>
    <row r="306" spans="1:31" ht="15.75" customHeight="1">
      <c r="A306" s="5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5"/>
      <c r="T306" s="5"/>
      <c r="U306" s="5"/>
      <c r="V306" s="5"/>
      <c r="W306" s="5"/>
      <c r="X306" s="5"/>
      <c r="Y306" s="5"/>
      <c r="Z306" s="7"/>
      <c r="AA306" s="5"/>
      <c r="AB306" s="5"/>
      <c r="AC306" s="5"/>
      <c r="AD306" s="5"/>
      <c r="AE306" s="5"/>
    </row>
    <row r="307" spans="1:31" ht="15.75" customHeight="1">
      <c r="A307" s="5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5"/>
      <c r="T307" s="5"/>
      <c r="U307" s="5"/>
      <c r="V307" s="5"/>
      <c r="W307" s="5"/>
      <c r="X307" s="5"/>
      <c r="Y307" s="5"/>
      <c r="Z307" s="7"/>
      <c r="AA307" s="5"/>
      <c r="AB307" s="5"/>
      <c r="AC307" s="5"/>
      <c r="AD307" s="5"/>
      <c r="AE307" s="5"/>
    </row>
    <row r="308" spans="1:31" ht="15.75" customHeight="1">
      <c r="A308" s="5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5"/>
      <c r="T308" s="5"/>
      <c r="U308" s="5"/>
      <c r="V308" s="5"/>
      <c r="W308" s="5"/>
      <c r="X308" s="5"/>
      <c r="Y308" s="5"/>
      <c r="Z308" s="7"/>
      <c r="AA308" s="5"/>
      <c r="AB308" s="5"/>
      <c r="AC308" s="5"/>
      <c r="AD308" s="5"/>
      <c r="AE308" s="5"/>
    </row>
    <row r="309" spans="1:31" ht="15.75" customHeight="1">
      <c r="A309" s="5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5"/>
      <c r="T309" s="5"/>
      <c r="U309" s="5"/>
      <c r="V309" s="5"/>
      <c r="W309" s="5"/>
      <c r="X309" s="5"/>
      <c r="Y309" s="5"/>
      <c r="Z309" s="7"/>
      <c r="AA309" s="5"/>
      <c r="AB309" s="5"/>
      <c r="AC309" s="5"/>
      <c r="AD309" s="5"/>
      <c r="AE309" s="5"/>
    </row>
    <row r="310" spans="1:31" ht="15.75" customHeight="1">
      <c r="A310" s="5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5"/>
      <c r="T310" s="5"/>
      <c r="U310" s="5"/>
      <c r="V310" s="5"/>
      <c r="W310" s="5"/>
      <c r="X310" s="5"/>
      <c r="Y310" s="5"/>
      <c r="Z310" s="7"/>
      <c r="AA310" s="5"/>
      <c r="AB310" s="5"/>
      <c r="AC310" s="5"/>
      <c r="AD310" s="5"/>
      <c r="AE310" s="5"/>
    </row>
    <row r="311" spans="1:31" ht="15.75" customHeight="1">
      <c r="A311" s="5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5"/>
      <c r="T311" s="5"/>
      <c r="U311" s="5"/>
      <c r="V311" s="5"/>
      <c r="W311" s="5"/>
      <c r="X311" s="5"/>
      <c r="Y311" s="5"/>
      <c r="Z311" s="7"/>
      <c r="AA311" s="5"/>
      <c r="AB311" s="5"/>
      <c r="AC311" s="5"/>
      <c r="AD311" s="5"/>
      <c r="AE311" s="5"/>
    </row>
    <row r="312" spans="1:31" ht="15.75" customHeight="1">
      <c r="A312" s="5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5"/>
      <c r="T312" s="5"/>
      <c r="U312" s="5"/>
      <c r="V312" s="5"/>
      <c r="W312" s="5"/>
      <c r="X312" s="5"/>
      <c r="Y312" s="5"/>
      <c r="Z312" s="7"/>
      <c r="AA312" s="5"/>
      <c r="AB312" s="5"/>
      <c r="AC312" s="5"/>
      <c r="AD312" s="5"/>
      <c r="AE312" s="5"/>
    </row>
    <row r="313" spans="1:31" ht="15.75" customHeight="1">
      <c r="A313" s="5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5"/>
      <c r="T313" s="5"/>
      <c r="U313" s="5"/>
      <c r="V313" s="5"/>
      <c r="W313" s="5"/>
      <c r="X313" s="5"/>
      <c r="Y313" s="5"/>
      <c r="Z313" s="7"/>
      <c r="AA313" s="5"/>
      <c r="AB313" s="5"/>
      <c r="AC313" s="5"/>
      <c r="AD313" s="5"/>
      <c r="AE313" s="5"/>
    </row>
    <row r="314" spans="1:31" ht="15.75" customHeight="1">
      <c r="A314" s="5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5"/>
      <c r="T314" s="5"/>
      <c r="U314" s="5"/>
      <c r="V314" s="5"/>
      <c r="W314" s="5"/>
      <c r="X314" s="5"/>
      <c r="Y314" s="5"/>
      <c r="Z314" s="7"/>
      <c r="AA314" s="5"/>
      <c r="AB314" s="5"/>
      <c r="AC314" s="5"/>
      <c r="AD314" s="5"/>
      <c r="AE314" s="5"/>
    </row>
    <row r="315" spans="1:31" ht="15.75" customHeight="1">
      <c r="A315" s="5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5"/>
      <c r="T315" s="5"/>
      <c r="U315" s="5"/>
      <c r="V315" s="5"/>
      <c r="W315" s="5"/>
      <c r="X315" s="5"/>
      <c r="Y315" s="5"/>
      <c r="Z315" s="7"/>
      <c r="AA315" s="5"/>
      <c r="AB315" s="5"/>
      <c r="AC315" s="5"/>
      <c r="AD315" s="5"/>
      <c r="AE315" s="5"/>
    </row>
    <row r="316" spans="1:31" ht="15.75" customHeight="1">
      <c r="A316" s="5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5"/>
      <c r="T316" s="5"/>
      <c r="U316" s="5"/>
      <c r="V316" s="5"/>
      <c r="W316" s="5"/>
      <c r="X316" s="5"/>
      <c r="Y316" s="5"/>
      <c r="Z316" s="7"/>
      <c r="AA316" s="5"/>
      <c r="AB316" s="5"/>
      <c r="AC316" s="5"/>
      <c r="AD316" s="5"/>
      <c r="AE316" s="5"/>
    </row>
    <row r="317" spans="1:31" ht="15.75" customHeight="1">
      <c r="A317" s="5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5"/>
      <c r="T317" s="5"/>
      <c r="U317" s="5"/>
      <c r="V317" s="5"/>
      <c r="W317" s="5"/>
      <c r="X317" s="5"/>
      <c r="Y317" s="5"/>
      <c r="Z317" s="7"/>
      <c r="AA317" s="5"/>
      <c r="AB317" s="5"/>
      <c r="AC317" s="5"/>
      <c r="AD317" s="5"/>
      <c r="AE317" s="5"/>
    </row>
    <row r="318" spans="1:31" ht="15.75" customHeight="1">
      <c r="A318" s="5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5"/>
      <c r="T318" s="5"/>
      <c r="U318" s="5"/>
      <c r="V318" s="5"/>
      <c r="W318" s="5"/>
      <c r="X318" s="5"/>
      <c r="Y318" s="5"/>
      <c r="Z318" s="7"/>
      <c r="AA318" s="5"/>
      <c r="AB318" s="5"/>
      <c r="AC318" s="5"/>
      <c r="AD318" s="5"/>
      <c r="AE318" s="5"/>
    </row>
    <row r="319" spans="1:31" ht="15.75" customHeight="1">
      <c r="A319" s="5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5"/>
      <c r="T319" s="5"/>
      <c r="U319" s="5"/>
      <c r="V319" s="5"/>
      <c r="W319" s="5"/>
      <c r="X319" s="5"/>
      <c r="Y319" s="5"/>
      <c r="Z319" s="7"/>
      <c r="AA319" s="5"/>
      <c r="AB319" s="5"/>
      <c r="AC319" s="5"/>
      <c r="AD319" s="5"/>
      <c r="AE319" s="5"/>
    </row>
    <row r="320" spans="1:31" ht="15.75" customHeight="1">
      <c r="A320" s="5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5"/>
      <c r="T320" s="5"/>
      <c r="U320" s="5"/>
      <c r="V320" s="5"/>
      <c r="W320" s="5"/>
      <c r="X320" s="5"/>
      <c r="Y320" s="5"/>
      <c r="Z320" s="7"/>
      <c r="AA320" s="5"/>
      <c r="AB320" s="5"/>
      <c r="AC320" s="5"/>
      <c r="AD320" s="5"/>
      <c r="AE320" s="5"/>
    </row>
    <row r="321" spans="1:31" ht="15.75" customHeight="1">
      <c r="A321" s="5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5"/>
      <c r="T321" s="5"/>
      <c r="U321" s="5"/>
      <c r="V321" s="5"/>
      <c r="W321" s="5"/>
      <c r="X321" s="5"/>
      <c r="Y321" s="5"/>
      <c r="Z321" s="7"/>
      <c r="AA321" s="5"/>
      <c r="AB321" s="5"/>
      <c r="AC321" s="5"/>
      <c r="AD321" s="5"/>
      <c r="AE321" s="5"/>
    </row>
    <row r="322" spans="1:31" ht="15.75" customHeight="1">
      <c r="A322" s="5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5"/>
      <c r="T322" s="5"/>
      <c r="U322" s="5"/>
      <c r="V322" s="5"/>
      <c r="W322" s="5"/>
      <c r="X322" s="5"/>
      <c r="Y322" s="5"/>
      <c r="Z322" s="7"/>
      <c r="AA322" s="5"/>
      <c r="AB322" s="5"/>
      <c r="AC322" s="5"/>
      <c r="AD322" s="5"/>
      <c r="AE322" s="5"/>
    </row>
    <row r="323" spans="1:31" ht="15.75" customHeight="1">
      <c r="A323" s="5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5"/>
      <c r="T323" s="5"/>
      <c r="U323" s="5"/>
      <c r="V323" s="5"/>
      <c r="W323" s="5"/>
      <c r="X323" s="5"/>
      <c r="Y323" s="5"/>
      <c r="Z323" s="7"/>
      <c r="AA323" s="5"/>
      <c r="AB323" s="5"/>
      <c r="AC323" s="5"/>
      <c r="AD323" s="5"/>
      <c r="AE323" s="5"/>
    </row>
    <row r="324" spans="1:31" ht="15.75" customHeight="1">
      <c r="A324" s="5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5"/>
      <c r="T324" s="5"/>
      <c r="U324" s="5"/>
      <c r="V324" s="5"/>
      <c r="W324" s="5"/>
      <c r="X324" s="5"/>
      <c r="Y324" s="5"/>
      <c r="Z324" s="7"/>
      <c r="AA324" s="5"/>
      <c r="AB324" s="5"/>
      <c r="AC324" s="5"/>
      <c r="AD324" s="5"/>
      <c r="AE324" s="5"/>
    </row>
    <row r="325" spans="1:31" ht="15.75" customHeight="1">
      <c r="A325" s="5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5"/>
      <c r="T325" s="5"/>
      <c r="U325" s="5"/>
      <c r="V325" s="5"/>
      <c r="W325" s="5"/>
      <c r="X325" s="5"/>
      <c r="Y325" s="5"/>
      <c r="Z325" s="7"/>
      <c r="AA325" s="5"/>
      <c r="AB325" s="5"/>
      <c r="AC325" s="5"/>
      <c r="AD325" s="5"/>
      <c r="AE325" s="5"/>
    </row>
    <row r="326" spans="1:31" ht="15.75" customHeight="1">
      <c r="A326" s="5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5"/>
      <c r="T326" s="5"/>
      <c r="U326" s="5"/>
      <c r="V326" s="5"/>
      <c r="W326" s="5"/>
      <c r="X326" s="5"/>
      <c r="Y326" s="5"/>
      <c r="Z326" s="7"/>
      <c r="AA326" s="5"/>
      <c r="AB326" s="5"/>
      <c r="AC326" s="5"/>
      <c r="AD326" s="5"/>
      <c r="AE326" s="5"/>
    </row>
    <row r="327" spans="1:31" ht="15.75" customHeight="1">
      <c r="A327" s="5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5"/>
      <c r="T327" s="5"/>
      <c r="U327" s="5"/>
      <c r="V327" s="5"/>
      <c r="W327" s="5"/>
      <c r="X327" s="5"/>
      <c r="Y327" s="5"/>
      <c r="Z327" s="7"/>
      <c r="AA327" s="5"/>
      <c r="AB327" s="5"/>
      <c r="AC327" s="5"/>
      <c r="AD327" s="5"/>
      <c r="AE327" s="5"/>
    </row>
    <row r="328" spans="1:31" ht="15.75" customHeight="1">
      <c r="A328" s="5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5"/>
      <c r="T328" s="5"/>
      <c r="U328" s="5"/>
      <c r="V328" s="5"/>
      <c r="W328" s="5"/>
      <c r="X328" s="5"/>
      <c r="Y328" s="5"/>
      <c r="Z328" s="7"/>
      <c r="AA328" s="5"/>
      <c r="AB328" s="5"/>
      <c r="AC328" s="5"/>
      <c r="AD328" s="5"/>
      <c r="AE328" s="5"/>
    </row>
    <row r="329" spans="1:31" ht="15.75" customHeight="1">
      <c r="A329" s="5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5"/>
      <c r="T329" s="5"/>
      <c r="U329" s="5"/>
      <c r="V329" s="5"/>
      <c r="W329" s="5"/>
      <c r="X329" s="5"/>
      <c r="Y329" s="5"/>
      <c r="Z329" s="7"/>
      <c r="AA329" s="5"/>
      <c r="AB329" s="5"/>
      <c r="AC329" s="5"/>
      <c r="AD329" s="5"/>
      <c r="AE329" s="5"/>
    </row>
    <row r="330" spans="1:31" ht="15.75" customHeight="1">
      <c r="A330" s="5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5"/>
      <c r="T330" s="5"/>
      <c r="U330" s="5"/>
      <c r="V330" s="5"/>
      <c r="W330" s="5"/>
      <c r="X330" s="5"/>
      <c r="Y330" s="5"/>
      <c r="Z330" s="7"/>
      <c r="AA330" s="5"/>
      <c r="AB330" s="5"/>
      <c r="AC330" s="5"/>
      <c r="AD330" s="5"/>
      <c r="AE330" s="5"/>
    </row>
    <row r="331" spans="1:31" ht="15.75" customHeight="1">
      <c r="A331" s="5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5"/>
      <c r="T331" s="5"/>
      <c r="U331" s="5"/>
      <c r="V331" s="5"/>
      <c r="W331" s="5"/>
      <c r="X331" s="5"/>
      <c r="Y331" s="5"/>
      <c r="Z331" s="7"/>
      <c r="AA331" s="5"/>
      <c r="AB331" s="5"/>
      <c r="AC331" s="5"/>
      <c r="AD331" s="5"/>
      <c r="AE331" s="5"/>
    </row>
    <row r="332" spans="1:31" ht="15.75" customHeight="1">
      <c r="A332" s="5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5"/>
      <c r="T332" s="5"/>
      <c r="U332" s="5"/>
      <c r="V332" s="5"/>
      <c r="W332" s="5"/>
      <c r="X332" s="5"/>
      <c r="Y332" s="5"/>
      <c r="Z332" s="7"/>
      <c r="AA332" s="5"/>
      <c r="AB332" s="5"/>
      <c r="AC332" s="5"/>
      <c r="AD332" s="5"/>
      <c r="AE332" s="5"/>
    </row>
    <row r="333" spans="1:31" ht="15.75" customHeight="1">
      <c r="A333" s="5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5"/>
      <c r="T333" s="5"/>
      <c r="U333" s="5"/>
      <c r="V333" s="5"/>
      <c r="W333" s="5"/>
      <c r="X333" s="5"/>
      <c r="Y333" s="5"/>
      <c r="Z333" s="7"/>
      <c r="AA333" s="5"/>
      <c r="AB333" s="5"/>
      <c r="AC333" s="5"/>
      <c r="AD333" s="5"/>
      <c r="AE333" s="5"/>
    </row>
    <row r="334" spans="1:31" ht="15.75" customHeight="1">
      <c r="A334" s="5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5"/>
      <c r="T334" s="5"/>
      <c r="U334" s="5"/>
      <c r="V334" s="5"/>
      <c r="W334" s="5"/>
      <c r="X334" s="5"/>
      <c r="Y334" s="5"/>
      <c r="Z334" s="7"/>
      <c r="AA334" s="5"/>
      <c r="AB334" s="5"/>
      <c r="AC334" s="5"/>
      <c r="AD334" s="5"/>
      <c r="AE334" s="5"/>
    </row>
    <row r="335" spans="1:31" ht="15.75" customHeight="1">
      <c r="A335" s="5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5"/>
      <c r="T335" s="5"/>
      <c r="U335" s="5"/>
      <c r="V335" s="5"/>
      <c r="W335" s="5"/>
      <c r="X335" s="5"/>
      <c r="Y335" s="5"/>
      <c r="Z335" s="7"/>
      <c r="AA335" s="5"/>
      <c r="AB335" s="5"/>
      <c r="AC335" s="5"/>
      <c r="AD335" s="5"/>
      <c r="AE335" s="5"/>
    </row>
    <row r="336" spans="1:31" ht="15.75" customHeight="1">
      <c r="A336" s="5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5"/>
      <c r="T336" s="5"/>
      <c r="U336" s="5"/>
      <c r="V336" s="5"/>
      <c r="W336" s="5"/>
      <c r="X336" s="5"/>
      <c r="Y336" s="5"/>
      <c r="Z336" s="7"/>
      <c r="AA336" s="5"/>
      <c r="AB336" s="5"/>
      <c r="AC336" s="5"/>
      <c r="AD336" s="5"/>
      <c r="AE336" s="5"/>
    </row>
    <row r="337" spans="1:31" ht="15.75" customHeight="1">
      <c r="A337" s="5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5"/>
      <c r="T337" s="5"/>
      <c r="U337" s="5"/>
      <c r="V337" s="5"/>
      <c r="W337" s="5"/>
      <c r="X337" s="5"/>
      <c r="Y337" s="5"/>
      <c r="Z337" s="7"/>
      <c r="AA337" s="5"/>
      <c r="AB337" s="5"/>
      <c r="AC337" s="5"/>
      <c r="AD337" s="5"/>
      <c r="AE337" s="5"/>
    </row>
    <row r="338" spans="1:31" ht="15.75" customHeight="1">
      <c r="A338" s="5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5"/>
      <c r="T338" s="5"/>
      <c r="U338" s="5"/>
      <c r="V338" s="5"/>
      <c r="W338" s="5"/>
      <c r="X338" s="5"/>
      <c r="Y338" s="5"/>
      <c r="Z338" s="7"/>
      <c r="AA338" s="5"/>
      <c r="AB338" s="5"/>
      <c r="AC338" s="5"/>
      <c r="AD338" s="5"/>
      <c r="AE338" s="5"/>
    </row>
    <row r="339" spans="1:31" ht="15.75" customHeight="1">
      <c r="A339" s="5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5"/>
      <c r="T339" s="5"/>
      <c r="U339" s="5"/>
      <c r="V339" s="5"/>
      <c r="W339" s="5"/>
      <c r="X339" s="5"/>
      <c r="Y339" s="5"/>
      <c r="Z339" s="7"/>
      <c r="AA339" s="5"/>
      <c r="AB339" s="5"/>
      <c r="AC339" s="5"/>
      <c r="AD339" s="5"/>
      <c r="AE339" s="5"/>
    </row>
    <row r="340" spans="1:31" ht="15.75" customHeight="1">
      <c r="A340" s="5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5"/>
      <c r="T340" s="5"/>
      <c r="U340" s="5"/>
      <c r="V340" s="5"/>
      <c r="W340" s="5"/>
      <c r="X340" s="5"/>
      <c r="Y340" s="5"/>
      <c r="Z340" s="7"/>
      <c r="AA340" s="5"/>
      <c r="AB340" s="5"/>
      <c r="AC340" s="5"/>
      <c r="AD340" s="5"/>
      <c r="AE340" s="5"/>
    </row>
    <row r="341" spans="1:31" ht="15.75" customHeight="1">
      <c r="A341" s="5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5"/>
      <c r="T341" s="5"/>
      <c r="U341" s="5"/>
      <c r="V341" s="5"/>
      <c r="W341" s="5"/>
      <c r="X341" s="5"/>
      <c r="Y341" s="5"/>
      <c r="Z341" s="7"/>
      <c r="AA341" s="5"/>
      <c r="AB341" s="5"/>
      <c r="AC341" s="5"/>
      <c r="AD341" s="5"/>
      <c r="AE341" s="5"/>
    </row>
    <row r="342" spans="1:31" ht="15.75" customHeight="1">
      <c r="A342" s="5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5"/>
      <c r="T342" s="5"/>
      <c r="U342" s="5"/>
      <c r="V342" s="5"/>
      <c r="W342" s="5"/>
      <c r="X342" s="5"/>
      <c r="Y342" s="5"/>
      <c r="Z342" s="7"/>
      <c r="AA342" s="5"/>
      <c r="AB342" s="5"/>
      <c r="AC342" s="5"/>
      <c r="AD342" s="5"/>
      <c r="AE342" s="5"/>
    </row>
    <row r="343" spans="1:31" ht="15.75" customHeight="1">
      <c r="A343" s="5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5"/>
      <c r="T343" s="5"/>
      <c r="U343" s="5"/>
      <c r="V343" s="5"/>
      <c r="W343" s="5"/>
      <c r="X343" s="5"/>
      <c r="Y343" s="5"/>
      <c r="Z343" s="7"/>
      <c r="AA343" s="5"/>
      <c r="AB343" s="5"/>
      <c r="AC343" s="5"/>
      <c r="AD343" s="5"/>
      <c r="AE343" s="5"/>
    </row>
    <row r="344" spans="1:31" ht="15.75" customHeight="1">
      <c r="A344" s="5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5"/>
      <c r="T344" s="5"/>
      <c r="U344" s="5"/>
      <c r="V344" s="5"/>
      <c r="W344" s="5"/>
      <c r="X344" s="5"/>
      <c r="Y344" s="5"/>
      <c r="Z344" s="7"/>
      <c r="AA344" s="5"/>
      <c r="AB344" s="5"/>
      <c r="AC344" s="5"/>
      <c r="AD344" s="5"/>
      <c r="AE344" s="5"/>
    </row>
    <row r="345" spans="1:31" ht="15.75" customHeight="1">
      <c r="A345" s="5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5"/>
      <c r="T345" s="5"/>
      <c r="U345" s="5"/>
      <c r="V345" s="5"/>
      <c r="W345" s="5"/>
      <c r="X345" s="5"/>
      <c r="Y345" s="5"/>
      <c r="Z345" s="7"/>
      <c r="AA345" s="5"/>
      <c r="AB345" s="5"/>
      <c r="AC345" s="5"/>
      <c r="AD345" s="5"/>
      <c r="AE345" s="5"/>
    </row>
    <row r="346" spans="1:31" ht="15.75" customHeight="1">
      <c r="A346" s="5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5"/>
      <c r="T346" s="5"/>
      <c r="U346" s="5"/>
      <c r="V346" s="5"/>
      <c r="W346" s="5"/>
      <c r="X346" s="5"/>
      <c r="Y346" s="5"/>
      <c r="Z346" s="7"/>
      <c r="AA346" s="5"/>
      <c r="AB346" s="5"/>
      <c r="AC346" s="5"/>
      <c r="AD346" s="5"/>
      <c r="AE346" s="5"/>
    </row>
    <row r="347" spans="1:31" ht="15.75" customHeight="1">
      <c r="A347" s="5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5"/>
      <c r="T347" s="5"/>
      <c r="U347" s="5"/>
      <c r="V347" s="5"/>
      <c r="W347" s="5"/>
      <c r="X347" s="5"/>
      <c r="Y347" s="5"/>
      <c r="Z347" s="7"/>
      <c r="AA347" s="5"/>
      <c r="AB347" s="5"/>
      <c r="AC347" s="5"/>
      <c r="AD347" s="5"/>
      <c r="AE347" s="5"/>
    </row>
    <row r="348" spans="1:31" ht="15.75" customHeight="1">
      <c r="A348" s="5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5"/>
      <c r="T348" s="5"/>
      <c r="U348" s="5"/>
      <c r="V348" s="5"/>
      <c r="W348" s="5"/>
      <c r="X348" s="5"/>
      <c r="Y348" s="5"/>
      <c r="Z348" s="7"/>
      <c r="AA348" s="5"/>
      <c r="AB348" s="5"/>
      <c r="AC348" s="5"/>
      <c r="AD348" s="5"/>
      <c r="AE348" s="5"/>
    </row>
    <row r="349" spans="1:31" ht="15.75" customHeight="1">
      <c r="A349" s="5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5"/>
      <c r="T349" s="5"/>
      <c r="U349" s="5"/>
      <c r="V349" s="5"/>
      <c r="W349" s="5"/>
      <c r="X349" s="5"/>
      <c r="Y349" s="5"/>
      <c r="Z349" s="7"/>
      <c r="AA349" s="5"/>
      <c r="AB349" s="5"/>
      <c r="AC349" s="5"/>
      <c r="AD349" s="5"/>
      <c r="AE349" s="5"/>
    </row>
    <row r="350" spans="1:31" ht="15.75" customHeight="1">
      <c r="A350" s="5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5"/>
      <c r="T350" s="5"/>
      <c r="U350" s="5"/>
      <c r="V350" s="5"/>
      <c r="W350" s="5"/>
      <c r="X350" s="5"/>
      <c r="Y350" s="5"/>
      <c r="Z350" s="7"/>
      <c r="AA350" s="5"/>
      <c r="AB350" s="5"/>
      <c r="AC350" s="5"/>
      <c r="AD350" s="5"/>
      <c r="AE350" s="5"/>
    </row>
    <row r="351" spans="1:31" ht="15.75" customHeight="1">
      <c r="A351" s="5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5"/>
      <c r="T351" s="5"/>
      <c r="U351" s="5"/>
      <c r="V351" s="5"/>
      <c r="W351" s="5"/>
      <c r="X351" s="5"/>
      <c r="Y351" s="5"/>
      <c r="Z351" s="7"/>
      <c r="AA351" s="5"/>
      <c r="AB351" s="5"/>
      <c r="AC351" s="5"/>
      <c r="AD351" s="5"/>
      <c r="AE351" s="5"/>
    </row>
    <row r="352" spans="1:31" ht="15.75" customHeight="1">
      <c r="A352" s="5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5"/>
      <c r="T352" s="5"/>
      <c r="U352" s="5"/>
      <c r="V352" s="5"/>
      <c r="W352" s="5"/>
      <c r="X352" s="5"/>
      <c r="Y352" s="5"/>
      <c r="Z352" s="7"/>
      <c r="AA352" s="5"/>
      <c r="AB352" s="5"/>
      <c r="AC352" s="5"/>
      <c r="AD352" s="5"/>
      <c r="AE352" s="5"/>
    </row>
    <row r="353" spans="1:31" ht="15.75" customHeight="1">
      <c r="A353" s="5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5"/>
      <c r="T353" s="5"/>
      <c r="U353" s="5"/>
      <c r="V353" s="5"/>
      <c r="W353" s="5"/>
      <c r="X353" s="5"/>
      <c r="Y353" s="5"/>
      <c r="Z353" s="7"/>
      <c r="AA353" s="5"/>
      <c r="AB353" s="5"/>
      <c r="AC353" s="5"/>
      <c r="AD353" s="5"/>
      <c r="AE353" s="5"/>
    </row>
    <row r="354" spans="1:31" ht="15.75" customHeight="1">
      <c r="A354" s="5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5"/>
      <c r="T354" s="5"/>
      <c r="U354" s="5"/>
      <c r="V354" s="5"/>
      <c r="W354" s="5"/>
      <c r="X354" s="5"/>
      <c r="Y354" s="5"/>
      <c r="Z354" s="7"/>
      <c r="AA354" s="5"/>
      <c r="AB354" s="5"/>
      <c r="AC354" s="5"/>
      <c r="AD354" s="5"/>
      <c r="AE354" s="5"/>
    </row>
    <row r="355" spans="1:31" ht="15.75" customHeight="1">
      <c r="A355" s="5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5"/>
      <c r="T355" s="5"/>
      <c r="U355" s="5"/>
      <c r="V355" s="5"/>
      <c r="W355" s="5"/>
      <c r="X355" s="5"/>
      <c r="Y355" s="5"/>
      <c r="Z355" s="7"/>
      <c r="AA355" s="5"/>
      <c r="AB355" s="5"/>
      <c r="AC355" s="5"/>
      <c r="AD355" s="5"/>
      <c r="AE355" s="5"/>
    </row>
    <row r="356" spans="1:31" ht="15.75" customHeight="1">
      <c r="A356" s="5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5"/>
      <c r="T356" s="5"/>
      <c r="U356" s="5"/>
      <c r="V356" s="5"/>
      <c r="W356" s="5"/>
      <c r="X356" s="5"/>
      <c r="Y356" s="5"/>
      <c r="Z356" s="7"/>
      <c r="AA356" s="5"/>
      <c r="AB356" s="5"/>
      <c r="AC356" s="5"/>
      <c r="AD356" s="5"/>
      <c r="AE356" s="5"/>
    </row>
    <row r="357" spans="1:31" ht="15.75" customHeight="1">
      <c r="A357" s="5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5"/>
      <c r="T357" s="5"/>
      <c r="U357" s="5"/>
      <c r="V357" s="5"/>
      <c r="W357" s="5"/>
      <c r="X357" s="5"/>
      <c r="Y357" s="5"/>
      <c r="Z357" s="7"/>
      <c r="AA357" s="5"/>
      <c r="AB357" s="5"/>
      <c r="AC357" s="5"/>
      <c r="AD357" s="5"/>
      <c r="AE357" s="5"/>
    </row>
    <row r="358" spans="1:31" ht="15.75" customHeight="1">
      <c r="A358" s="5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5"/>
      <c r="T358" s="5"/>
      <c r="U358" s="5"/>
      <c r="V358" s="5"/>
      <c r="W358" s="5"/>
      <c r="X358" s="5"/>
      <c r="Y358" s="5"/>
      <c r="Z358" s="7"/>
      <c r="AA358" s="5"/>
      <c r="AB358" s="5"/>
      <c r="AC358" s="5"/>
      <c r="AD358" s="5"/>
      <c r="AE358" s="5"/>
    </row>
    <row r="359" spans="1:31" ht="15.75" customHeight="1">
      <c r="A359" s="5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5"/>
      <c r="T359" s="5"/>
      <c r="U359" s="5"/>
      <c r="V359" s="5"/>
      <c r="W359" s="5"/>
      <c r="X359" s="5"/>
      <c r="Y359" s="5"/>
      <c r="Z359" s="7"/>
      <c r="AA359" s="5"/>
      <c r="AB359" s="5"/>
      <c r="AC359" s="5"/>
      <c r="AD359" s="5"/>
      <c r="AE359" s="5"/>
    </row>
    <row r="360" spans="1:31" ht="15.75" customHeight="1">
      <c r="A360" s="5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5"/>
      <c r="T360" s="5"/>
      <c r="U360" s="5"/>
      <c r="V360" s="5"/>
      <c r="W360" s="5"/>
      <c r="X360" s="5"/>
      <c r="Y360" s="5"/>
      <c r="Z360" s="7"/>
      <c r="AA360" s="5"/>
      <c r="AB360" s="5"/>
      <c r="AC360" s="5"/>
      <c r="AD360" s="5"/>
      <c r="AE360" s="5"/>
    </row>
    <row r="361" spans="1:31" ht="15.75" customHeight="1">
      <c r="A361" s="5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5"/>
      <c r="T361" s="5"/>
      <c r="U361" s="5"/>
      <c r="V361" s="5"/>
      <c r="W361" s="5"/>
      <c r="X361" s="5"/>
      <c r="Y361" s="5"/>
      <c r="Z361" s="7"/>
      <c r="AA361" s="5"/>
      <c r="AB361" s="5"/>
      <c r="AC361" s="5"/>
      <c r="AD361" s="5"/>
      <c r="AE361" s="5"/>
    </row>
    <row r="362" spans="1:31" ht="15.75" customHeight="1">
      <c r="A362" s="5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5"/>
      <c r="T362" s="5"/>
      <c r="U362" s="5"/>
      <c r="V362" s="5"/>
      <c r="W362" s="5"/>
      <c r="X362" s="5"/>
      <c r="Y362" s="5"/>
      <c r="Z362" s="7"/>
      <c r="AA362" s="5"/>
      <c r="AB362" s="5"/>
      <c r="AC362" s="5"/>
      <c r="AD362" s="5"/>
      <c r="AE362" s="5"/>
    </row>
    <row r="363" spans="1:31" ht="15.75" customHeight="1">
      <c r="A363" s="5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5"/>
      <c r="T363" s="5"/>
      <c r="U363" s="5"/>
      <c r="V363" s="5"/>
      <c r="W363" s="5"/>
      <c r="X363" s="5"/>
      <c r="Y363" s="5"/>
      <c r="Z363" s="7"/>
      <c r="AA363" s="5"/>
      <c r="AB363" s="5"/>
      <c r="AC363" s="5"/>
      <c r="AD363" s="5"/>
      <c r="AE363" s="5"/>
    </row>
    <row r="364" spans="1:31" ht="15.75" customHeight="1">
      <c r="A364" s="5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5"/>
      <c r="T364" s="5"/>
      <c r="U364" s="5"/>
      <c r="V364" s="5"/>
      <c r="W364" s="5"/>
      <c r="X364" s="5"/>
      <c r="Y364" s="5"/>
      <c r="Z364" s="7"/>
      <c r="AA364" s="5"/>
      <c r="AB364" s="5"/>
      <c r="AC364" s="5"/>
      <c r="AD364" s="5"/>
      <c r="AE364" s="5"/>
    </row>
    <row r="365" spans="1:31" ht="15.75" customHeight="1">
      <c r="A365" s="5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5"/>
      <c r="T365" s="5"/>
      <c r="U365" s="5"/>
      <c r="V365" s="5"/>
      <c r="W365" s="5"/>
      <c r="X365" s="5"/>
      <c r="Y365" s="5"/>
      <c r="Z365" s="7"/>
      <c r="AA365" s="5"/>
      <c r="AB365" s="5"/>
      <c r="AC365" s="5"/>
      <c r="AD365" s="5"/>
      <c r="AE365" s="5"/>
    </row>
    <row r="366" spans="1:31" ht="15.75" customHeight="1">
      <c r="A366" s="5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5"/>
      <c r="T366" s="5"/>
      <c r="U366" s="5"/>
      <c r="V366" s="5"/>
      <c r="W366" s="5"/>
      <c r="X366" s="5"/>
      <c r="Y366" s="5"/>
      <c r="Z366" s="7"/>
      <c r="AA366" s="5"/>
      <c r="AB366" s="5"/>
      <c r="AC366" s="5"/>
      <c r="AD366" s="5"/>
      <c r="AE366" s="5"/>
    </row>
    <row r="367" spans="1:31" ht="15.75" customHeight="1">
      <c r="A367" s="5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5"/>
      <c r="T367" s="5"/>
      <c r="U367" s="5"/>
      <c r="V367" s="5"/>
      <c r="W367" s="5"/>
      <c r="X367" s="5"/>
      <c r="Y367" s="5"/>
      <c r="Z367" s="7"/>
      <c r="AA367" s="5"/>
      <c r="AB367" s="5"/>
      <c r="AC367" s="5"/>
      <c r="AD367" s="5"/>
      <c r="AE367" s="5"/>
    </row>
    <row r="368" spans="1:31" ht="15.75" customHeight="1">
      <c r="A368" s="5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5"/>
      <c r="T368" s="5"/>
      <c r="U368" s="5"/>
      <c r="V368" s="5"/>
      <c r="W368" s="5"/>
      <c r="X368" s="5"/>
      <c r="Y368" s="5"/>
      <c r="Z368" s="7"/>
      <c r="AA368" s="5"/>
      <c r="AB368" s="5"/>
      <c r="AC368" s="5"/>
      <c r="AD368" s="5"/>
      <c r="AE368" s="5"/>
    </row>
    <row r="369" spans="1:31" ht="15.75" customHeight="1">
      <c r="A369" s="5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5"/>
      <c r="T369" s="5"/>
      <c r="U369" s="5"/>
      <c r="V369" s="5"/>
      <c r="W369" s="5"/>
      <c r="X369" s="5"/>
      <c r="Y369" s="5"/>
      <c r="Z369" s="7"/>
      <c r="AA369" s="5"/>
      <c r="AB369" s="5"/>
      <c r="AC369" s="5"/>
      <c r="AD369" s="5"/>
      <c r="AE369" s="5"/>
    </row>
    <row r="370" spans="1:31" ht="15.75" customHeight="1">
      <c r="A370" s="5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5"/>
      <c r="T370" s="5"/>
      <c r="U370" s="5"/>
      <c r="V370" s="5"/>
      <c r="W370" s="5"/>
      <c r="X370" s="5"/>
      <c r="Y370" s="5"/>
      <c r="Z370" s="7"/>
      <c r="AA370" s="5"/>
      <c r="AB370" s="5"/>
      <c r="AC370" s="5"/>
      <c r="AD370" s="5"/>
      <c r="AE370" s="5"/>
    </row>
    <row r="371" spans="1:31" ht="15.75" customHeight="1">
      <c r="A371" s="5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5"/>
      <c r="T371" s="5"/>
      <c r="U371" s="5"/>
      <c r="V371" s="5"/>
      <c r="W371" s="5"/>
      <c r="X371" s="5"/>
      <c r="Y371" s="5"/>
      <c r="Z371" s="7"/>
      <c r="AA371" s="5"/>
      <c r="AB371" s="5"/>
      <c r="AC371" s="5"/>
      <c r="AD371" s="5"/>
      <c r="AE371" s="5"/>
    </row>
    <row r="372" spans="1:31" ht="15.75" customHeight="1">
      <c r="A372" s="5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5"/>
      <c r="T372" s="5"/>
      <c r="U372" s="5"/>
      <c r="V372" s="5"/>
      <c r="W372" s="5"/>
      <c r="X372" s="5"/>
      <c r="Y372" s="5"/>
      <c r="Z372" s="7"/>
      <c r="AA372" s="5"/>
      <c r="AB372" s="5"/>
      <c r="AC372" s="5"/>
      <c r="AD372" s="5"/>
      <c r="AE372" s="5"/>
    </row>
    <row r="373" spans="1:31" ht="15.75" customHeight="1">
      <c r="A373" s="5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5"/>
      <c r="T373" s="5"/>
      <c r="U373" s="5"/>
      <c r="V373" s="5"/>
      <c r="W373" s="5"/>
      <c r="X373" s="5"/>
      <c r="Y373" s="5"/>
      <c r="Z373" s="7"/>
      <c r="AA373" s="5"/>
      <c r="AB373" s="5"/>
      <c r="AC373" s="5"/>
      <c r="AD373" s="5"/>
      <c r="AE373" s="5"/>
    </row>
    <row r="374" spans="1:31" ht="15.75" customHeight="1">
      <c r="A374" s="5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5"/>
      <c r="T374" s="5"/>
      <c r="U374" s="5"/>
      <c r="V374" s="5"/>
      <c r="W374" s="5"/>
      <c r="X374" s="5"/>
      <c r="Y374" s="5"/>
      <c r="Z374" s="7"/>
      <c r="AA374" s="5"/>
      <c r="AB374" s="5"/>
      <c r="AC374" s="5"/>
      <c r="AD374" s="5"/>
      <c r="AE374" s="5"/>
    </row>
    <row r="375" spans="1:31" ht="15.75" customHeight="1">
      <c r="A375" s="5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5"/>
      <c r="T375" s="5"/>
      <c r="U375" s="5"/>
      <c r="V375" s="5"/>
      <c r="W375" s="5"/>
      <c r="X375" s="5"/>
      <c r="Y375" s="5"/>
      <c r="Z375" s="7"/>
      <c r="AA375" s="5"/>
      <c r="AB375" s="5"/>
      <c r="AC375" s="5"/>
      <c r="AD375" s="5"/>
      <c r="AE375" s="5"/>
    </row>
    <row r="376" spans="1:31" ht="15.75" customHeight="1">
      <c r="A376" s="5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5"/>
      <c r="T376" s="5"/>
      <c r="U376" s="5"/>
      <c r="V376" s="5"/>
      <c r="W376" s="5"/>
      <c r="X376" s="5"/>
      <c r="Y376" s="5"/>
      <c r="Z376" s="7"/>
      <c r="AA376" s="5"/>
      <c r="AB376" s="5"/>
      <c r="AC376" s="5"/>
      <c r="AD376" s="5"/>
      <c r="AE376" s="5"/>
    </row>
    <row r="377" spans="1:31" ht="15.75" customHeight="1">
      <c r="A377" s="5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5"/>
      <c r="T377" s="5"/>
      <c r="U377" s="5"/>
      <c r="V377" s="5"/>
      <c r="W377" s="5"/>
      <c r="X377" s="5"/>
      <c r="Y377" s="5"/>
      <c r="Z377" s="7"/>
      <c r="AA377" s="5"/>
      <c r="AB377" s="5"/>
      <c r="AC377" s="5"/>
      <c r="AD377" s="5"/>
      <c r="AE377" s="5"/>
    </row>
    <row r="378" spans="1:31" ht="15.75" customHeight="1">
      <c r="A378" s="5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5"/>
      <c r="T378" s="5"/>
      <c r="U378" s="5"/>
      <c r="V378" s="5"/>
      <c r="W378" s="5"/>
      <c r="X378" s="5"/>
      <c r="Y378" s="5"/>
      <c r="Z378" s="7"/>
      <c r="AA378" s="5"/>
      <c r="AB378" s="5"/>
      <c r="AC378" s="5"/>
      <c r="AD378" s="5"/>
      <c r="AE378" s="5"/>
    </row>
    <row r="379" spans="1:31" ht="15.75" customHeight="1">
      <c r="A379" s="5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5"/>
      <c r="T379" s="5"/>
      <c r="U379" s="5"/>
      <c r="V379" s="5"/>
      <c r="W379" s="5"/>
      <c r="X379" s="5"/>
      <c r="Y379" s="5"/>
      <c r="Z379" s="7"/>
      <c r="AA379" s="5"/>
      <c r="AB379" s="5"/>
      <c r="AC379" s="5"/>
      <c r="AD379" s="5"/>
      <c r="AE379" s="5"/>
    </row>
    <row r="380" spans="1:31" ht="15.75" customHeight="1">
      <c r="A380" s="5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5"/>
      <c r="T380" s="5"/>
      <c r="U380" s="5"/>
      <c r="V380" s="5"/>
      <c r="W380" s="5"/>
      <c r="X380" s="5"/>
      <c r="Y380" s="5"/>
      <c r="Z380" s="7"/>
      <c r="AA380" s="5"/>
      <c r="AB380" s="5"/>
      <c r="AC380" s="5"/>
      <c r="AD380" s="5"/>
      <c r="AE380" s="5"/>
    </row>
    <row r="381" spans="1:31" ht="15.75" customHeight="1">
      <c r="A381" s="5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5"/>
      <c r="T381" s="5"/>
      <c r="U381" s="5"/>
      <c r="V381" s="5"/>
      <c r="W381" s="5"/>
      <c r="X381" s="5"/>
      <c r="Y381" s="5"/>
      <c r="Z381" s="7"/>
      <c r="AA381" s="5"/>
      <c r="AB381" s="5"/>
      <c r="AC381" s="5"/>
      <c r="AD381" s="5"/>
      <c r="AE381" s="5"/>
    </row>
    <row r="382" spans="1:31" ht="15.75" customHeight="1">
      <c r="A382" s="5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5"/>
      <c r="T382" s="5"/>
      <c r="U382" s="5"/>
      <c r="V382" s="5"/>
      <c r="W382" s="5"/>
      <c r="X382" s="5"/>
      <c r="Y382" s="5"/>
      <c r="Z382" s="7"/>
      <c r="AA382" s="5"/>
      <c r="AB382" s="5"/>
      <c r="AC382" s="5"/>
      <c r="AD382" s="5"/>
      <c r="AE382" s="5"/>
    </row>
    <row r="383" spans="1:31" ht="15.75" customHeight="1">
      <c r="A383" s="5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5"/>
      <c r="T383" s="5"/>
      <c r="U383" s="5"/>
      <c r="V383" s="5"/>
      <c r="W383" s="5"/>
      <c r="X383" s="5"/>
      <c r="Y383" s="5"/>
      <c r="Z383" s="7"/>
      <c r="AA383" s="5"/>
      <c r="AB383" s="5"/>
      <c r="AC383" s="5"/>
      <c r="AD383" s="5"/>
      <c r="AE383" s="5"/>
    </row>
    <row r="384" spans="1:31" ht="15.75" customHeight="1">
      <c r="A384" s="5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5"/>
      <c r="T384" s="5"/>
      <c r="U384" s="5"/>
      <c r="V384" s="5"/>
      <c r="W384" s="5"/>
      <c r="X384" s="5"/>
      <c r="Y384" s="5"/>
      <c r="Z384" s="7"/>
      <c r="AA384" s="5"/>
      <c r="AB384" s="5"/>
      <c r="AC384" s="5"/>
      <c r="AD384" s="5"/>
      <c r="AE384" s="5"/>
    </row>
    <row r="385" spans="1:31" ht="15.75" customHeight="1">
      <c r="A385" s="5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5"/>
      <c r="T385" s="5"/>
      <c r="U385" s="5"/>
      <c r="V385" s="5"/>
      <c r="W385" s="5"/>
      <c r="X385" s="5"/>
      <c r="Y385" s="5"/>
      <c r="Z385" s="7"/>
      <c r="AA385" s="5"/>
      <c r="AB385" s="5"/>
      <c r="AC385" s="5"/>
      <c r="AD385" s="5"/>
      <c r="AE385" s="5"/>
    </row>
    <row r="386" spans="1:31" ht="15.75" customHeight="1">
      <c r="A386" s="5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5"/>
      <c r="T386" s="5"/>
      <c r="U386" s="5"/>
      <c r="V386" s="5"/>
      <c r="W386" s="5"/>
      <c r="X386" s="5"/>
      <c r="Y386" s="5"/>
      <c r="Z386" s="7"/>
      <c r="AA386" s="5"/>
      <c r="AB386" s="5"/>
      <c r="AC386" s="5"/>
      <c r="AD386" s="5"/>
      <c r="AE386" s="5"/>
    </row>
    <row r="387" spans="1:31" ht="15.75" customHeight="1">
      <c r="A387" s="5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5"/>
      <c r="T387" s="5"/>
      <c r="U387" s="5"/>
      <c r="V387" s="5"/>
      <c r="W387" s="5"/>
      <c r="X387" s="5"/>
      <c r="Y387" s="5"/>
      <c r="Z387" s="7"/>
      <c r="AA387" s="5"/>
      <c r="AB387" s="5"/>
      <c r="AC387" s="5"/>
      <c r="AD387" s="5"/>
      <c r="AE387" s="5"/>
    </row>
    <row r="388" spans="1:31" ht="15.75" customHeight="1">
      <c r="A388" s="5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5"/>
      <c r="T388" s="5"/>
      <c r="U388" s="5"/>
      <c r="V388" s="5"/>
      <c r="W388" s="5"/>
      <c r="X388" s="5"/>
      <c r="Y388" s="5"/>
      <c r="Z388" s="7"/>
      <c r="AA388" s="5"/>
      <c r="AB388" s="5"/>
      <c r="AC388" s="5"/>
      <c r="AD388" s="5"/>
      <c r="AE388" s="5"/>
    </row>
    <row r="389" spans="1:31" ht="15.75" customHeight="1">
      <c r="A389" s="5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5"/>
      <c r="T389" s="5"/>
      <c r="U389" s="5"/>
      <c r="V389" s="5"/>
      <c r="W389" s="5"/>
      <c r="X389" s="5"/>
      <c r="Y389" s="5"/>
      <c r="Z389" s="7"/>
      <c r="AA389" s="5"/>
      <c r="AB389" s="5"/>
      <c r="AC389" s="5"/>
      <c r="AD389" s="5"/>
      <c r="AE389" s="5"/>
    </row>
    <row r="390" spans="1:31" ht="15.75" customHeight="1">
      <c r="A390" s="5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5"/>
      <c r="T390" s="5"/>
      <c r="U390" s="5"/>
      <c r="V390" s="5"/>
      <c r="W390" s="5"/>
      <c r="X390" s="5"/>
      <c r="Y390" s="5"/>
      <c r="Z390" s="7"/>
      <c r="AA390" s="5"/>
      <c r="AB390" s="5"/>
      <c r="AC390" s="5"/>
      <c r="AD390" s="5"/>
      <c r="AE390" s="5"/>
    </row>
    <row r="391" spans="1:31" ht="15.75" customHeight="1">
      <c r="A391" s="5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5"/>
      <c r="T391" s="5"/>
      <c r="U391" s="5"/>
      <c r="V391" s="5"/>
      <c r="W391" s="5"/>
      <c r="X391" s="5"/>
      <c r="Y391" s="5"/>
      <c r="Z391" s="7"/>
      <c r="AA391" s="5"/>
      <c r="AB391" s="5"/>
      <c r="AC391" s="5"/>
      <c r="AD391" s="5"/>
      <c r="AE391" s="5"/>
    </row>
    <row r="392" spans="1:31" ht="15.75" customHeight="1">
      <c r="A392" s="5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5"/>
      <c r="T392" s="5"/>
      <c r="U392" s="5"/>
      <c r="V392" s="5"/>
      <c r="W392" s="5"/>
      <c r="X392" s="5"/>
      <c r="Y392" s="5"/>
      <c r="Z392" s="7"/>
      <c r="AA392" s="5"/>
      <c r="AB392" s="5"/>
      <c r="AC392" s="5"/>
      <c r="AD392" s="5"/>
      <c r="AE392" s="5"/>
    </row>
    <row r="393" spans="1:31" ht="15.75" customHeight="1">
      <c r="A393" s="5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5"/>
      <c r="T393" s="5"/>
      <c r="U393" s="5"/>
      <c r="V393" s="5"/>
      <c r="W393" s="5"/>
      <c r="X393" s="5"/>
      <c r="Y393" s="5"/>
      <c r="Z393" s="7"/>
      <c r="AA393" s="5"/>
      <c r="AB393" s="5"/>
      <c r="AC393" s="5"/>
      <c r="AD393" s="5"/>
      <c r="AE393" s="5"/>
    </row>
    <row r="394" spans="1:31" ht="15.75" customHeight="1">
      <c r="A394" s="5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5"/>
      <c r="T394" s="5"/>
      <c r="U394" s="5"/>
      <c r="V394" s="5"/>
      <c r="W394" s="5"/>
      <c r="X394" s="5"/>
      <c r="Y394" s="5"/>
      <c r="Z394" s="7"/>
      <c r="AA394" s="5"/>
      <c r="AB394" s="5"/>
      <c r="AC394" s="5"/>
      <c r="AD394" s="5"/>
      <c r="AE394" s="5"/>
    </row>
    <row r="395" spans="1:31" ht="15.75" customHeight="1">
      <c r="A395" s="5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5"/>
      <c r="T395" s="5"/>
      <c r="U395" s="5"/>
      <c r="V395" s="5"/>
      <c r="W395" s="5"/>
      <c r="X395" s="5"/>
      <c r="Y395" s="5"/>
      <c r="Z395" s="7"/>
      <c r="AA395" s="5"/>
      <c r="AB395" s="5"/>
      <c r="AC395" s="5"/>
      <c r="AD395" s="5"/>
      <c r="AE395" s="5"/>
    </row>
    <row r="396" spans="1:31" ht="15.75" customHeight="1">
      <c r="A396" s="5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5"/>
      <c r="T396" s="5"/>
      <c r="U396" s="5"/>
      <c r="V396" s="5"/>
      <c r="W396" s="5"/>
      <c r="X396" s="5"/>
      <c r="Y396" s="5"/>
      <c r="Z396" s="7"/>
      <c r="AA396" s="5"/>
      <c r="AB396" s="5"/>
      <c r="AC396" s="5"/>
      <c r="AD396" s="5"/>
      <c r="AE396" s="5"/>
    </row>
    <row r="397" spans="1:31" ht="15.75" customHeight="1">
      <c r="A397" s="5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5"/>
      <c r="T397" s="5"/>
      <c r="U397" s="5"/>
      <c r="V397" s="5"/>
      <c r="W397" s="5"/>
      <c r="X397" s="5"/>
      <c r="Y397" s="5"/>
      <c r="Z397" s="7"/>
      <c r="AA397" s="5"/>
      <c r="AB397" s="5"/>
      <c r="AC397" s="5"/>
      <c r="AD397" s="5"/>
      <c r="AE397" s="5"/>
    </row>
    <row r="398" spans="1:31" ht="15.75" customHeight="1">
      <c r="A398" s="5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5"/>
      <c r="T398" s="5"/>
      <c r="U398" s="5"/>
      <c r="V398" s="5"/>
      <c r="W398" s="5"/>
      <c r="X398" s="5"/>
      <c r="Y398" s="5"/>
      <c r="Z398" s="7"/>
      <c r="AA398" s="5"/>
      <c r="AB398" s="5"/>
      <c r="AC398" s="5"/>
      <c r="AD398" s="5"/>
      <c r="AE398" s="5"/>
    </row>
    <row r="399" spans="1:31" ht="15.75" customHeight="1">
      <c r="A399" s="5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5"/>
      <c r="T399" s="5"/>
      <c r="U399" s="5"/>
      <c r="V399" s="5"/>
      <c r="W399" s="5"/>
      <c r="X399" s="5"/>
      <c r="Y399" s="5"/>
      <c r="Z399" s="7"/>
      <c r="AA399" s="5"/>
      <c r="AB399" s="5"/>
      <c r="AC399" s="5"/>
      <c r="AD399" s="5"/>
      <c r="AE399" s="5"/>
    </row>
    <row r="400" spans="1:31" ht="15.75" customHeight="1">
      <c r="A400" s="5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5"/>
      <c r="T400" s="5"/>
      <c r="U400" s="5"/>
      <c r="V400" s="5"/>
      <c r="W400" s="5"/>
      <c r="X400" s="5"/>
      <c r="Y400" s="5"/>
      <c r="Z400" s="7"/>
      <c r="AA400" s="5"/>
      <c r="AB400" s="5"/>
      <c r="AC400" s="5"/>
      <c r="AD400" s="5"/>
      <c r="AE400" s="5"/>
    </row>
    <row r="401" spans="1:31" ht="15.75" customHeight="1">
      <c r="A401" s="5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5"/>
      <c r="T401" s="5"/>
      <c r="U401" s="5"/>
      <c r="V401" s="5"/>
      <c r="W401" s="5"/>
      <c r="X401" s="5"/>
      <c r="Y401" s="5"/>
      <c r="Z401" s="7"/>
      <c r="AA401" s="5"/>
      <c r="AB401" s="5"/>
      <c r="AC401" s="5"/>
      <c r="AD401" s="5"/>
      <c r="AE401" s="5"/>
    </row>
    <row r="402" spans="1:31" ht="15.75" customHeight="1">
      <c r="A402" s="5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5"/>
      <c r="T402" s="5"/>
      <c r="U402" s="5"/>
      <c r="V402" s="5"/>
      <c r="W402" s="5"/>
      <c r="X402" s="5"/>
      <c r="Y402" s="5"/>
      <c r="Z402" s="7"/>
      <c r="AA402" s="5"/>
      <c r="AB402" s="5"/>
      <c r="AC402" s="5"/>
      <c r="AD402" s="5"/>
      <c r="AE402" s="5"/>
    </row>
    <row r="403" spans="1:31" ht="15.75" customHeight="1">
      <c r="A403" s="5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5"/>
      <c r="T403" s="5"/>
      <c r="U403" s="5"/>
      <c r="V403" s="5"/>
      <c r="W403" s="5"/>
      <c r="X403" s="5"/>
      <c r="Y403" s="5"/>
      <c r="Z403" s="7"/>
      <c r="AA403" s="5"/>
      <c r="AB403" s="5"/>
      <c r="AC403" s="5"/>
      <c r="AD403" s="5"/>
      <c r="AE403" s="5"/>
    </row>
    <row r="404" spans="1:31" ht="15.75" customHeight="1">
      <c r="A404" s="5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5"/>
      <c r="T404" s="5"/>
      <c r="U404" s="5"/>
      <c r="V404" s="5"/>
      <c r="W404" s="5"/>
      <c r="X404" s="5"/>
      <c r="Y404" s="5"/>
      <c r="Z404" s="7"/>
      <c r="AA404" s="5"/>
      <c r="AB404" s="5"/>
      <c r="AC404" s="5"/>
      <c r="AD404" s="5"/>
      <c r="AE404" s="5"/>
    </row>
    <row r="405" spans="1:31" ht="15.75" customHeight="1">
      <c r="A405" s="5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5"/>
      <c r="T405" s="5"/>
      <c r="U405" s="5"/>
      <c r="V405" s="5"/>
      <c r="W405" s="5"/>
      <c r="X405" s="5"/>
      <c r="Y405" s="5"/>
      <c r="Z405" s="7"/>
      <c r="AA405" s="5"/>
      <c r="AB405" s="5"/>
      <c r="AC405" s="5"/>
      <c r="AD405" s="5"/>
      <c r="AE405" s="5"/>
    </row>
    <row r="406" spans="1:31" ht="15.75" customHeight="1">
      <c r="A406" s="5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5"/>
      <c r="T406" s="5"/>
      <c r="U406" s="5"/>
      <c r="V406" s="5"/>
      <c r="W406" s="5"/>
      <c r="X406" s="5"/>
      <c r="Y406" s="5"/>
      <c r="Z406" s="7"/>
      <c r="AA406" s="5"/>
      <c r="AB406" s="5"/>
      <c r="AC406" s="5"/>
      <c r="AD406" s="5"/>
      <c r="AE406" s="5"/>
    </row>
    <row r="407" spans="1:31" ht="15.75" customHeight="1">
      <c r="A407" s="5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5"/>
      <c r="T407" s="5"/>
      <c r="U407" s="5"/>
      <c r="V407" s="5"/>
      <c r="W407" s="5"/>
      <c r="X407" s="5"/>
      <c r="Y407" s="5"/>
      <c r="Z407" s="7"/>
      <c r="AA407" s="5"/>
      <c r="AB407" s="5"/>
      <c r="AC407" s="5"/>
      <c r="AD407" s="5"/>
      <c r="AE407" s="5"/>
    </row>
    <row r="408" spans="1:31" ht="15.75" customHeight="1">
      <c r="A408" s="5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5"/>
      <c r="T408" s="5"/>
      <c r="U408" s="5"/>
      <c r="V408" s="5"/>
      <c r="W408" s="5"/>
      <c r="X408" s="5"/>
      <c r="Y408" s="5"/>
      <c r="Z408" s="7"/>
      <c r="AA408" s="5"/>
      <c r="AB408" s="5"/>
      <c r="AC408" s="5"/>
      <c r="AD408" s="5"/>
      <c r="AE408" s="5"/>
    </row>
    <row r="409" spans="1:31" ht="15.75" customHeight="1">
      <c r="A409" s="5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5"/>
      <c r="T409" s="5"/>
      <c r="U409" s="5"/>
      <c r="V409" s="5"/>
      <c r="W409" s="5"/>
      <c r="X409" s="5"/>
      <c r="Y409" s="5"/>
      <c r="Z409" s="7"/>
      <c r="AA409" s="5"/>
      <c r="AB409" s="5"/>
      <c r="AC409" s="5"/>
      <c r="AD409" s="5"/>
      <c r="AE409" s="5"/>
    </row>
    <row r="410" spans="1:31" ht="15.75" customHeight="1">
      <c r="A410" s="5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5"/>
      <c r="T410" s="5"/>
      <c r="U410" s="5"/>
      <c r="V410" s="5"/>
      <c r="W410" s="5"/>
      <c r="X410" s="5"/>
      <c r="Y410" s="5"/>
      <c r="Z410" s="7"/>
      <c r="AA410" s="5"/>
      <c r="AB410" s="5"/>
      <c r="AC410" s="5"/>
      <c r="AD410" s="5"/>
      <c r="AE410" s="5"/>
    </row>
    <row r="411" spans="1:31" ht="15.75" customHeight="1">
      <c r="A411" s="5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5"/>
      <c r="T411" s="5"/>
      <c r="U411" s="5"/>
      <c r="V411" s="5"/>
      <c r="W411" s="5"/>
      <c r="X411" s="5"/>
      <c r="Y411" s="5"/>
      <c r="Z411" s="7"/>
      <c r="AA411" s="5"/>
      <c r="AB411" s="5"/>
      <c r="AC411" s="5"/>
      <c r="AD411" s="5"/>
      <c r="AE411" s="5"/>
    </row>
    <row r="412" spans="1:31" ht="15.75" customHeight="1">
      <c r="A412" s="5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5"/>
      <c r="T412" s="5"/>
      <c r="U412" s="5"/>
      <c r="V412" s="5"/>
      <c r="W412" s="5"/>
      <c r="X412" s="5"/>
      <c r="Y412" s="5"/>
      <c r="Z412" s="7"/>
      <c r="AA412" s="5"/>
      <c r="AB412" s="5"/>
      <c r="AC412" s="5"/>
      <c r="AD412" s="5"/>
      <c r="AE412" s="5"/>
    </row>
    <row r="413" spans="1:31" ht="15.75" customHeight="1">
      <c r="A413" s="5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5"/>
      <c r="T413" s="5"/>
      <c r="U413" s="5"/>
      <c r="V413" s="5"/>
      <c r="W413" s="5"/>
      <c r="X413" s="5"/>
      <c r="Y413" s="5"/>
      <c r="Z413" s="7"/>
      <c r="AA413" s="5"/>
      <c r="AB413" s="5"/>
      <c r="AC413" s="5"/>
      <c r="AD413" s="5"/>
      <c r="AE413" s="5"/>
    </row>
    <row r="414" spans="1:31" ht="15.75" customHeight="1">
      <c r="A414" s="5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5"/>
      <c r="T414" s="5"/>
      <c r="U414" s="5"/>
      <c r="V414" s="5"/>
      <c r="W414" s="5"/>
      <c r="X414" s="5"/>
      <c r="Y414" s="5"/>
      <c r="Z414" s="7"/>
      <c r="AA414" s="5"/>
      <c r="AB414" s="5"/>
      <c r="AC414" s="5"/>
      <c r="AD414" s="5"/>
      <c r="AE414" s="5"/>
    </row>
    <row r="415" spans="1:31" ht="15.75" customHeight="1">
      <c r="A415" s="5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5"/>
      <c r="T415" s="5"/>
      <c r="U415" s="5"/>
      <c r="V415" s="5"/>
      <c r="W415" s="5"/>
      <c r="X415" s="5"/>
      <c r="Y415" s="5"/>
      <c r="Z415" s="7"/>
      <c r="AA415" s="5"/>
      <c r="AB415" s="5"/>
      <c r="AC415" s="5"/>
      <c r="AD415" s="5"/>
      <c r="AE415" s="5"/>
    </row>
    <row r="416" spans="1:31" ht="15.75" customHeight="1">
      <c r="A416" s="5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5"/>
      <c r="T416" s="5"/>
      <c r="U416" s="5"/>
      <c r="V416" s="5"/>
      <c r="W416" s="5"/>
      <c r="X416" s="5"/>
      <c r="Y416" s="5"/>
      <c r="Z416" s="7"/>
      <c r="AA416" s="5"/>
      <c r="AB416" s="5"/>
      <c r="AC416" s="5"/>
      <c r="AD416" s="5"/>
      <c r="AE416" s="5"/>
    </row>
    <row r="417" spans="1:31" ht="15.75" customHeight="1">
      <c r="A417" s="5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5"/>
      <c r="T417" s="5"/>
      <c r="U417" s="5"/>
      <c r="V417" s="5"/>
      <c r="W417" s="5"/>
      <c r="X417" s="5"/>
      <c r="Y417" s="5"/>
      <c r="Z417" s="7"/>
      <c r="AA417" s="5"/>
      <c r="AB417" s="5"/>
      <c r="AC417" s="5"/>
      <c r="AD417" s="5"/>
      <c r="AE417" s="5"/>
    </row>
    <row r="418" spans="1:31" ht="15.75" customHeight="1">
      <c r="A418" s="5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5"/>
      <c r="T418" s="5"/>
      <c r="U418" s="5"/>
      <c r="V418" s="5"/>
      <c r="W418" s="5"/>
      <c r="X418" s="5"/>
      <c r="Y418" s="5"/>
      <c r="Z418" s="7"/>
      <c r="AA418" s="5"/>
      <c r="AB418" s="5"/>
      <c r="AC418" s="5"/>
      <c r="AD418" s="5"/>
      <c r="AE418" s="5"/>
    </row>
    <row r="419" spans="1:31" ht="15.75" customHeight="1">
      <c r="A419" s="5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5"/>
      <c r="T419" s="5"/>
      <c r="U419" s="5"/>
      <c r="V419" s="5"/>
      <c r="W419" s="5"/>
      <c r="X419" s="5"/>
      <c r="Y419" s="5"/>
      <c r="Z419" s="7"/>
      <c r="AA419" s="5"/>
      <c r="AB419" s="5"/>
      <c r="AC419" s="5"/>
      <c r="AD419" s="5"/>
      <c r="AE419" s="5"/>
    </row>
    <row r="420" spans="1:31" ht="15.75" customHeight="1">
      <c r="A420" s="5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5"/>
      <c r="T420" s="5"/>
      <c r="U420" s="5"/>
      <c r="V420" s="5"/>
      <c r="W420" s="5"/>
      <c r="X420" s="5"/>
      <c r="Y420" s="5"/>
      <c r="Z420" s="7"/>
      <c r="AA420" s="5"/>
      <c r="AB420" s="5"/>
      <c r="AC420" s="5"/>
      <c r="AD420" s="5"/>
      <c r="AE420" s="5"/>
    </row>
    <row r="421" spans="1:31" ht="15.75" customHeight="1">
      <c r="A421" s="5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5"/>
      <c r="T421" s="5"/>
      <c r="U421" s="5"/>
      <c r="V421" s="5"/>
      <c r="W421" s="5"/>
      <c r="X421" s="5"/>
      <c r="Y421" s="5"/>
      <c r="Z421" s="7"/>
      <c r="AA421" s="5"/>
      <c r="AB421" s="5"/>
      <c r="AC421" s="5"/>
      <c r="AD421" s="5"/>
      <c r="AE421" s="5"/>
    </row>
    <row r="422" spans="1:31" ht="15.75" customHeight="1">
      <c r="A422" s="5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5"/>
      <c r="T422" s="5"/>
      <c r="U422" s="5"/>
      <c r="V422" s="5"/>
      <c r="W422" s="5"/>
      <c r="X422" s="5"/>
      <c r="Y422" s="5"/>
      <c r="Z422" s="7"/>
      <c r="AA422" s="5"/>
      <c r="AB422" s="5"/>
      <c r="AC422" s="5"/>
      <c r="AD422" s="5"/>
      <c r="AE422" s="5"/>
    </row>
    <row r="423" spans="1:31" ht="15.75" customHeight="1">
      <c r="A423" s="5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5"/>
      <c r="T423" s="5"/>
      <c r="U423" s="5"/>
      <c r="V423" s="5"/>
      <c r="W423" s="5"/>
      <c r="X423" s="5"/>
      <c r="Y423" s="5"/>
      <c r="Z423" s="7"/>
      <c r="AA423" s="5"/>
      <c r="AB423" s="5"/>
      <c r="AC423" s="5"/>
      <c r="AD423" s="5"/>
      <c r="AE423" s="5"/>
    </row>
    <row r="424" spans="1:31" ht="15.75" customHeight="1">
      <c r="A424" s="5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5"/>
      <c r="T424" s="5"/>
      <c r="U424" s="5"/>
      <c r="V424" s="5"/>
      <c r="W424" s="5"/>
      <c r="X424" s="5"/>
      <c r="Y424" s="5"/>
      <c r="Z424" s="7"/>
      <c r="AA424" s="5"/>
      <c r="AB424" s="5"/>
      <c r="AC424" s="5"/>
      <c r="AD424" s="5"/>
      <c r="AE424" s="5"/>
    </row>
    <row r="425" spans="1:31" ht="15.75" customHeight="1">
      <c r="A425" s="5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5"/>
      <c r="T425" s="5"/>
      <c r="U425" s="5"/>
      <c r="V425" s="5"/>
      <c r="W425" s="5"/>
      <c r="X425" s="5"/>
      <c r="Y425" s="5"/>
      <c r="Z425" s="7"/>
      <c r="AA425" s="5"/>
      <c r="AB425" s="5"/>
      <c r="AC425" s="5"/>
      <c r="AD425" s="5"/>
      <c r="AE425" s="5"/>
    </row>
    <row r="426" spans="1:31" ht="15.75" customHeight="1">
      <c r="A426" s="5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5"/>
      <c r="T426" s="5"/>
      <c r="U426" s="5"/>
      <c r="V426" s="5"/>
      <c r="W426" s="5"/>
      <c r="X426" s="5"/>
      <c r="Y426" s="5"/>
      <c r="Z426" s="7"/>
      <c r="AA426" s="5"/>
      <c r="AB426" s="5"/>
      <c r="AC426" s="5"/>
      <c r="AD426" s="5"/>
      <c r="AE426" s="5"/>
    </row>
    <row r="427" spans="1:31" ht="15.75" customHeight="1">
      <c r="A427" s="5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5"/>
      <c r="T427" s="5"/>
      <c r="U427" s="5"/>
      <c r="V427" s="5"/>
      <c r="W427" s="5"/>
      <c r="X427" s="5"/>
      <c r="Y427" s="5"/>
      <c r="Z427" s="7"/>
      <c r="AA427" s="5"/>
      <c r="AB427" s="5"/>
      <c r="AC427" s="5"/>
      <c r="AD427" s="5"/>
      <c r="AE427" s="5"/>
    </row>
    <row r="428" spans="1:31" ht="15.75" customHeight="1">
      <c r="A428" s="5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5"/>
      <c r="T428" s="5"/>
      <c r="U428" s="5"/>
      <c r="V428" s="5"/>
      <c r="W428" s="5"/>
      <c r="X428" s="5"/>
      <c r="Y428" s="5"/>
      <c r="Z428" s="7"/>
      <c r="AA428" s="5"/>
      <c r="AB428" s="5"/>
      <c r="AC428" s="5"/>
      <c r="AD428" s="5"/>
      <c r="AE428" s="5"/>
    </row>
    <row r="429" spans="1:31" ht="15.75" customHeight="1">
      <c r="A429" s="5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5"/>
      <c r="T429" s="5"/>
      <c r="U429" s="5"/>
      <c r="V429" s="5"/>
      <c r="W429" s="5"/>
      <c r="X429" s="5"/>
      <c r="Y429" s="5"/>
      <c r="Z429" s="7"/>
      <c r="AA429" s="5"/>
      <c r="AB429" s="5"/>
      <c r="AC429" s="5"/>
      <c r="AD429" s="5"/>
      <c r="AE429" s="5"/>
    </row>
    <row r="430" spans="1:31" ht="15.75" customHeight="1">
      <c r="A430" s="5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5"/>
      <c r="T430" s="5"/>
      <c r="U430" s="5"/>
      <c r="V430" s="5"/>
      <c r="W430" s="5"/>
      <c r="X430" s="5"/>
      <c r="Y430" s="5"/>
      <c r="Z430" s="7"/>
      <c r="AA430" s="5"/>
      <c r="AB430" s="5"/>
      <c r="AC430" s="5"/>
      <c r="AD430" s="5"/>
      <c r="AE430" s="5"/>
    </row>
    <row r="431" spans="1:31" ht="15.75" customHeight="1">
      <c r="A431" s="5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5"/>
      <c r="T431" s="5"/>
      <c r="U431" s="5"/>
      <c r="V431" s="5"/>
      <c r="W431" s="5"/>
      <c r="X431" s="5"/>
      <c r="Y431" s="5"/>
      <c r="Z431" s="7"/>
      <c r="AA431" s="5"/>
      <c r="AB431" s="5"/>
      <c r="AC431" s="5"/>
      <c r="AD431" s="5"/>
      <c r="AE431" s="5"/>
    </row>
    <row r="432" spans="1:31" ht="15.75" customHeight="1">
      <c r="A432" s="5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5"/>
      <c r="T432" s="5"/>
      <c r="U432" s="5"/>
      <c r="V432" s="5"/>
      <c r="W432" s="5"/>
      <c r="X432" s="5"/>
      <c r="Y432" s="5"/>
      <c r="Z432" s="7"/>
      <c r="AA432" s="5"/>
      <c r="AB432" s="5"/>
      <c r="AC432" s="5"/>
      <c r="AD432" s="5"/>
      <c r="AE432" s="5"/>
    </row>
    <row r="433" spans="1:31" ht="15.75" customHeight="1">
      <c r="A433" s="5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5"/>
      <c r="T433" s="5"/>
      <c r="U433" s="5"/>
      <c r="V433" s="5"/>
      <c r="W433" s="5"/>
      <c r="X433" s="5"/>
      <c r="Y433" s="5"/>
      <c r="Z433" s="7"/>
      <c r="AA433" s="5"/>
      <c r="AB433" s="5"/>
      <c r="AC433" s="5"/>
      <c r="AD433" s="5"/>
      <c r="AE433" s="5"/>
    </row>
    <row r="434" spans="1:31" ht="15.75" customHeight="1">
      <c r="A434" s="5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5"/>
      <c r="T434" s="5"/>
      <c r="U434" s="5"/>
      <c r="V434" s="5"/>
      <c r="W434" s="5"/>
      <c r="X434" s="5"/>
      <c r="Y434" s="5"/>
      <c r="Z434" s="7"/>
      <c r="AA434" s="5"/>
      <c r="AB434" s="5"/>
      <c r="AC434" s="5"/>
      <c r="AD434" s="5"/>
      <c r="AE434" s="5"/>
    </row>
    <row r="435" spans="1:31" ht="15.75" customHeight="1">
      <c r="A435" s="5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5"/>
      <c r="T435" s="5"/>
      <c r="U435" s="5"/>
      <c r="V435" s="5"/>
      <c r="W435" s="5"/>
      <c r="X435" s="5"/>
      <c r="Y435" s="5"/>
      <c r="Z435" s="7"/>
      <c r="AA435" s="5"/>
      <c r="AB435" s="5"/>
      <c r="AC435" s="5"/>
      <c r="AD435" s="5"/>
      <c r="AE435" s="5"/>
    </row>
    <row r="436" spans="1:31" ht="15.75" customHeight="1">
      <c r="A436" s="5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5"/>
      <c r="T436" s="5"/>
      <c r="U436" s="5"/>
      <c r="V436" s="5"/>
      <c r="W436" s="5"/>
      <c r="X436" s="5"/>
      <c r="Y436" s="5"/>
      <c r="Z436" s="7"/>
      <c r="AA436" s="5"/>
      <c r="AB436" s="5"/>
      <c r="AC436" s="5"/>
      <c r="AD436" s="5"/>
      <c r="AE436" s="5"/>
    </row>
    <row r="437" spans="1:31" ht="15.75" customHeight="1">
      <c r="A437" s="5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5"/>
      <c r="T437" s="5"/>
      <c r="U437" s="5"/>
      <c r="V437" s="5"/>
      <c r="W437" s="5"/>
      <c r="X437" s="5"/>
      <c r="Y437" s="5"/>
      <c r="Z437" s="7"/>
      <c r="AA437" s="5"/>
      <c r="AB437" s="5"/>
      <c r="AC437" s="5"/>
      <c r="AD437" s="5"/>
      <c r="AE437" s="5"/>
    </row>
    <row r="438" spans="1:31" ht="15.75" customHeight="1">
      <c r="A438" s="5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5"/>
      <c r="T438" s="5"/>
      <c r="U438" s="5"/>
      <c r="V438" s="5"/>
      <c r="W438" s="5"/>
      <c r="X438" s="5"/>
      <c r="Y438" s="5"/>
      <c r="Z438" s="7"/>
      <c r="AA438" s="5"/>
      <c r="AB438" s="5"/>
      <c r="AC438" s="5"/>
      <c r="AD438" s="5"/>
      <c r="AE438" s="5"/>
    </row>
    <row r="439" spans="1:31" ht="15.75" customHeight="1">
      <c r="A439" s="5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5"/>
      <c r="T439" s="5"/>
      <c r="U439" s="5"/>
      <c r="V439" s="5"/>
      <c r="W439" s="5"/>
      <c r="X439" s="5"/>
      <c r="Y439" s="5"/>
      <c r="Z439" s="7"/>
      <c r="AA439" s="5"/>
      <c r="AB439" s="5"/>
      <c r="AC439" s="5"/>
      <c r="AD439" s="5"/>
      <c r="AE439" s="5"/>
    </row>
    <row r="440" spans="1:31" ht="15.75" customHeight="1">
      <c r="A440" s="5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5"/>
      <c r="T440" s="5"/>
      <c r="U440" s="5"/>
      <c r="V440" s="5"/>
      <c r="W440" s="5"/>
      <c r="X440" s="5"/>
      <c r="Y440" s="5"/>
      <c r="Z440" s="7"/>
      <c r="AA440" s="5"/>
      <c r="AB440" s="5"/>
      <c r="AC440" s="5"/>
      <c r="AD440" s="5"/>
      <c r="AE440" s="5"/>
    </row>
    <row r="441" spans="1:31" ht="15.75" customHeight="1">
      <c r="A441" s="5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5"/>
      <c r="T441" s="5"/>
      <c r="U441" s="5"/>
      <c r="V441" s="5"/>
      <c r="W441" s="5"/>
      <c r="X441" s="5"/>
      <c r="Y441" s="5"/>
      <c r="Z441" s="7"/>
      <c r="AA441" s="5"/>
      <c r="AB441" s="5"/>
      <c r="AC441" s="5"/>
      <c r="AD441" s="5"/>
      <c r="AE441" s="5"/>
    </row>
    <row r="442" spans="1:31" ht="15.75" customHeight="1">
      <c r="A442" s="5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5"/>
      <c r="T442" s="5"/>
      <c r="U442" s="5"/>
      <c r="V442" s="5"/>
      <c r="W442" s="5"/>
      <c r="X442" s="5"/>
      <c r="Y442" s="5"/>
      <c r="Z442" s="7"/>
      <c r="AA442" s="5"/>
      <c r="AB442" s="5"/>
      <c r="AC442" s="5"/>
      <c r="AD442" s="5"/>
      <c r="AE442" s="5"/>
    </row>
    <row r="443" spans="1:31" ht="15.75" customHeight="1">
      <c r="A443" s="5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5"/>
      <c r="T443" s="5"/>
      <c r="U443" s="5"/>
      <c r="V443" s="5"/>
      <c r="W443" s="5"/>
      <c r="X443" s="5"/>
      <c r="Y443" s="5"/>
      <c r="Z443" s="7"/>
      <c r="AA443" s="5"/>
      <c r="AB443" s="5"/>
      <c r="AC443" s="5"/>
      <c r="AD443" s="5"/>
      <c r="AE443" s="5"/>
    </row>
    <row r="444" spans="1:31" ht="15.75" customHeight="1">
      <c r="A444" s="5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5"/>
      <c r="T444" s="5"/>
      <c r="U444" s="5"/>
      <c r="V444" s="5"/>
      <c r="W444" s="5"/>
      <c r="X444" s="5"/>
      <c r="Y444" s="5"/>
      <c r="Z444" s="7"/>
      <c r="AA444" s="5"/>
      <c r="AB444" s="5"/>
      <c r="AC444" s="5"/>
      <c r="AD444" s="5"/>
      <c r="AE444" s="5"/>
    </row>
    <row r="445" spans="1:31" ht="15.75" customHeight="1">
      <c r="A445" s="5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5"/>
      <c r="T445" s="5"/>
      <c r="U445" s="5"/>
      <c r="V445" s="5"/>
      <c r="W445" s="5"/>
      <c r="X445" s="5"/>
      <c r="Y445" s="5"/>
      <c r="Z445" s="7"/>
      <c r="AA445" s="5"/>
      <c r="AB445" s="5"/>
      <c r="AC445" s="5"/>
      <c r="AD445" s="5"/>
      <c r="AE445" s="5"/>
    </row>
    <row r="446" spans="1:31" ht="15.75" customHeight="1">
      <c r="A446" s="5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5"/>
      <c r="T446" s="5"/>
      <c r="U446" s="5"/>
      <c r="V446" s="5"/>
      <c r="W446" s="5"/>
      <c r="X446" s="5"/>
      <c r="Y446" s="5"/>
      <c r="Z446" s="7"/>
      <c r="AA446" s="5"/>
      <c r="AB446" s="5"/>
      <c r="AC446" s="5"/>
      <c r="AD446" s="5"/>
      <c r="AE446" s="5"/>
    </row>
    <row r="447" spans="1:31" ht="15.75" customHeight="1">
      <c r="A447" s="5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5"/>
      <c r="T447" s="5"/>
      <c r="U447" s="5"/>
      <c r="V447" s="5"/>
      <c r="W447" s="5"/>
      <c r="X447" s="5"/>
      <c r="Y447" s="5"/>
      <c r="Z447" s="7"/>
      <c r="AA447" s="5"/>
      <c r="AB447" s="5"/>
      <c r="AC447" s="5"/>
      <c r="AD447" s="5"/>
      <c r="AE447" s="5"/>
    </row>
    <row r="448" spans="1:31" ht="15.75" customHeight="1">
      <c r="A448" s="5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5"/>
      <c r="T448" s="5"/>
      <c r="U448" s="5"/>
      <c r="V448" s="5"/>
      <c r="W448" s="5"/>
      <c r="X448" s="5"/>
      <c r="Y448" s="5"/>
      <c r="Z448" s="7"/>
      <c r="AA448" s="5"/>
      <c r="AB448" s="5"/>
      <c r="AC448" s="5"/>
      <c r="AD448" s="5"/>
      <c r="AE448" s="5"/>
    </row>
    <row r="449" spans="1:31" ht="15.75" customHeight="1">
      <c r="A449" s="5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5"/>
      <c r="T449" s="5"/>
      <c r="U449" s="5"/>
      <c r="V449" s="5"/>
      <c r="W449" s="5"/>
      <c r="X449" s="5"/>
      <c r="Y449" s="5"/>
      <c r="Z449" s="7"/>
      <c r="AA449" s="5"/>
      <c r="AB449" s="5"/>
      <c r="AC449" s="5"/>
      <c r="AD449" s="5"/>
      <c r="AE449" s="5"/>
    </row>
    <row r="450" spans="1:31" ht="15.75" customHeight="1">
      <c r="A450" s="5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5"/>
      <c r="T450" s="5"/>
      <c r="U450" s="5"/>
      <c r="V450" s="5"/>
      <c r="W450" s="5"/>
      <c r="X450" s="5"/>
      <c r="Y450" s="5"/>
      <c r="Z450" s="7"/>
      <c r="AA450" s="5"/>
      <c r="AB450" s="5"/>
      <c r="AC450" s="5"/>
      <c r="AD450" s="5"/>
      <c r="AE450" s="5"/>
    </row>
    <row r="451" spans="1:31" ht="15.75" customHeight="1">
      <c r="A451" s="5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5"/>
      <c r="T451" s="5"/>
      <c r="U451" s="5"/>
      <c r="V451" s="5"/>
      <c r="W451" s="5"/>
      <c r="X451" s="5"/>
      <c r="Y451" s="5"/>
      <c r="Z451" s="7"/>
      <c r="AA451" s="5"/>
      <c r="AB451" s="5"/>
      <c r="AC451" s="5"/>
      <c r="AD451" s="5"/>
      <c r="AE451" s="5"/>
    </row>
    <row r="452" spans="1:31" ht="15.75" customHeight="1">
      <c r="A452" s="5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5"/>
      <c r="T452" s="5"/>
      <c r="U452" s="5"/>
      <c r="V452" s="5"/>
      <c r="W452" s="5"/>
      <c r="X452" s="5"/>
      <c r="Y452" s="5"/>
      <c r="Z452" s="7"/>
      <c r="AA452" s="5"/>
      <c r="AB452" s="5"/>
      <c r="AC452" s="5"/>
      <c r="AD452" s="5"/>
      <c r="AE452" s="5"/>
    </row>
    <row r="453" spans="1:31" ht="15.75" customHeight="1">
      <c r="A453" s="5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5"/>
      <c r="T453" s="5"/>
      <c r="U453" s="5"/>
      <c r="V453" s="5"/>
      <c r="W453" s="5"/>
      <c r="X453" s="5"/>
      <c r="Y453" s="5"/>
      <c r="Z453" s="7"/>
      <c r="AA453" s="5"/>
      <c r="AB453" s="5"/>
      <c r="AC453" s="5"/>
      <c r="AD453" s="5"/>
      <c r="AE453" s="5"/>
    </row>
    <row r="454" spans="1:31" ht="15.75" customHeight="1">
      <c r="A454" s="5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5"/>
      <c r="T454" s="5"/>
      <c r="U454" s="5"/>
      <c r="V454" s="5"/>
      <c r="W454" s="5"/>
      <c r="X454" s="5"/>
      <c r="Y454" s="5"/>
      <c r="Z454" s="7"/>
      <c r="AA454" s="5"/>
      <c r="AB454" s="5"/>
      <c r="AC454" s="5"/>
      <c r="AD454" s="5"/>
      <c r="AE454" s="5"/>
    </row>
    <row r="455" spans="1:31" ht="15.75" customHeight="1">
      <c r="A455" s="5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5"/>
      <c r="T455" s="5"/>
      <c r="U455" s="5"/>
      <c r="V455" s="5"/>
      <c r="W455" s="5"/>
      <c r="X455" s="5"/>
      <c r="Y455" s="5"/>
      <c r="Z455" s="7"/>
      <c r="AA455" s="5"/>
      <c r="AB455" s="5"/>
      <c r="AC455" s="5"/>
      <c r="AD455" s="5"/>
      <c r="AE455" s="5"/>
    </row>
    <row r="456" spans="1:31" ht="15.75" customHeight="1">
      <c r="A456" s="5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5"/>
      <c r="T456" s="5"/>
      <c r="U456" s="5"/>
      <c r="V456" s="5"/>
      <c r="W456" s="5"/>
      <c r="X456" s="5"/>
      <c r="Y456" s="5"/>
      <c r="Z456" s="7"/>
      <c r="AA456" s="5"/>
      <c r="AB456" s="5"/>
      <c r="AC456" s="5"/>
      <c r="AD456" s="5"/>
      <c r="AE456" s="5"/>
    </row>
    <row r="457" spans="1:31" ht="15.75" customHeight="1">
      <c r="A457" s="5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5"/>
      <c r="T457" s="5"/>
      <c r="U457" s="5"/>
      <c r="V457" s="5"/>
      <c r="W457" s="5"/>
      <c r="X457" s="5"/>
      <c r="Y457" s="5"/>
      <c r="Z457" s="7"/>
      <c r="AA457" s="5"/>
      <c r="AB457" s="5"/>
      <c r="AC457" s="5"/>
      <c r="AD457" s="5"/>
      <c r="AE457" s="5"/>
    </row>
    <row r="458" spans="1:31" ht="15.75" customHeight="1">
      <c r="A458" s="5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5"/>
      <c r="T458" s="5"/>
      <c r="U458" s="5"/>
      <c r="V458" s="5"/>
      <c r="W458" s="5"/>
      <c r="X458" s="5"/>
      <c r="Y458" s="5"/>
      <c r="Z458" s="7"/>
      <c r="AA458" s="5"/>
      <c r="AB458" s="5"/>
      <c r="AC458" s="5"/>
      <c r="AD458" s="5"/>
      <c r="AE458" s="5"/>
    </row>
    <row r="459" spans="1:31" ht="15.75" customHeight="1">
      <c r="A459" s="5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5"/>
      <c r="T459" s="5"/>
      <c r="U459" s="5"/>
      <c r="V459" s="5"/>
      <c r="W459" s="5"/>
      <c r="X459" s="5"/>
      <c r="Y459" s="5"/>
      <c r="Z459" s="7"/>
      <c r="AA459" s="5"/>
      <c r="AB459" s="5"/>
      <c r="AC459" s="5"/>
      <c r="AD459" s="5"/>
      <c r="AE459" s="5"/>
    </row>
    <row r="460" spans="1:31" ht="15.75" customHeight="1">
      <c r="A460" s="5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5"/>
      <c r="T460" s="5"/>
      <c r="U460" s="5"/>
      <c r="V460" s="5"/>
      <c r="W460" s="5"/>
      <c r="X460" s="5"/>
      <c r="Y460" s="5"/>
      <c r="Z460" s="7"/>
      <c r="AA460" s="5"/>
      <c r="AB460" s="5"/>
      <c r="AC460" s="5"/>
      <c r="AD460" s="5"/>
      <c r="AE460" s="5"/>
    </row>
    <row r="461" spans="1:31" ht="15.75" customHeight="1">
      <c r="A461" s="5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5"/>
      <c r="T461" s="5"/>
      <c r="U461" s="5"/>
      <c r="V461" s="5"/>
      <c r="W461" s="5"/>
      <c r="X461" s="5"/>
      <c r="Y461" s="5"/>
      <c r="Z461" s="7"/>
      <c r="AA461" s="5"/>
      <c r="AB461" s="5"/>
      <c r="AC461" s="5"/>
      <c r="AD461" s="5"/>
      <c r="AE461" s="5"/>
    </row>
    <row r="462" spans="1:31" ht="15.75" customHeight="1">
      <c r="A462" s="5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5"/>
      <c r="T462" s="5"/>
      <c r="U462" s="5"/>
      <c r="V462" s="5"/>
      <c r="W462" s="5"/>
      <c r="X462" s="5"/>
      <c r="Y462" s="5"/>
      <c r="Z462" s="7"/>
      <c r="AA462" s="5"/>
      <c r="AB462" s="5"/>
      <c r="AC462" s="5"/>
      <c r="AD462" s="5"/>
      <c r="AE462" s="5"/>
    </row>
    <row r="463" spans="1:31" ht="15.75" customHeight="1">
      <c r="A463" s="5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5"/>
      <c r="T463" s="5"/>
      <c r="U463" s="5"/>
      <c r="V463" s="5"/>
      <c r="W463" s="5"/>
      <c r="X463" s="5"/>
      <c r="Y463" s="5"/>
      <c r="Z463" s="7"/>
      <c r="AA463" s="5"/>
      <c r="AB463" s="5"/>
      <c r="AC463" s="5"/>
      <c r="AD463" s="5"/>
      <c r="AE463" s="5"/>
    </row>
    <row r="464" spans="1:31" ht="15.75" customHeight="1">
      <c r="A464" s="5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5"/>
      <c r="T464" s="5"/>
      <c r="U464" s="5"/>
      <c r="V464" s="5"/>
      <c r="W464" s="5"/>
      <c r="X464" s="5"/>
      <c r="Y464" s="5"/>
      <c r="Z464" s="7"/>
      <c r="AA464" s="5"/>
      <c r="AB464" s="5"/>
      <c r="AC464" s="5"/>
      <c r="AD464" s="5"/>
      <c r="AE464" s="5"/>
    </row>
    <row r="465" spans="1:31" ht="15.75" customHeight="1">
      <c r="A465" s="5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5"/>
      <c r="T465" s="5"/>
      <c r="U465" s="5"/>
      <c r="V465" s="5"/>
      <c r="W465" s="5"/>
      <c r="X465" s="5"/>
      <c r="Y465" s="5"/>
      <c r="Z465" s="7"/>
      <c r="AA465" s="5"/>
      <c r="AB465" s="5"/>
      <c r="AC465" s="5"/>
      <c r="AD465" s="5"/>
      <c r="AE465" s="5"/>
    </row>
    <row r="466" spans="1:31" ht="15.75" customHeight="1">
      <c r="A466" s="5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5"/>
      <c r="T466" s="5"/>
      <c r="U466" s="5"/>
      <c r="V466" s="5"/>
      <c r="W466" s="5"/>
      <c r="X466" s="5"/>
      <c r="Y466" s="5"/>
      <c r="Z466" s="7"/>
      <c r="AA466" s="5"/>
      <c r="AB466" s="5"/>
      <c r="AC466" s="5"/>
      <c r="AD466" s="5"/>
      <c r="AE466" s="5"/>
    </row>
    <row r="467" spans="1:31" ht="15.75" customHeight="1">
      <c r="A467" s="5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5"/>
      <c r="T467" s="5"/>
      <c r="U467" s="5"/>
      <c r="V467" s="5"/>
      <c r="W467" s="5"/>
      <c r="X467" s="5"/>
      <c r="Y467" s="5"/>
      <c r="Z467" s="7"/>
      <c r="AA467" s="5"/>
      <c r="AB467" s="5"/>
      <c r="AC467" s="5"/>
      <c r="AD467" s="5"/>
      <c r="AE467" s="5"/>
    </row>
    <row r="468" spans="1:31" ht="15.75" customHeight="1">
      <c r="A468" s="5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5"/>
      <c r="T468" s="5"/>
      <c r="U468" s="5"/>
      <c r="V468" s="5"/>
      <c r="W468" s="5"/>
      <c r="X468" s="5"/>
      <c r="Y468" s="5"/>
      <c r="Z468" s="7"/>
      <c r="AA468" s="5"/>
      <c r="AB468" s="5"/>
      <c r="AC468" s="5"/>
      <c r="AD468" s="5"/>
      <c r="AE468" s="5"/>
    </row>
    <row r="469" spans="1:31" ht="15.75" customHeight="1">
      <c r="A469" s="5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5"/>
      <c r="T469" s="5"/>
      <c r="U469" s="5"/>
      <c r="V469" s="5"/>
      <c r="W469" s="5"/>
      <c r="X469" s="5"/>
      <c r="Y469" s="5"/>
      <c r="Z469" s="7"/>
      <c r="AA469" s="5"/>
      <c r="AB469" s="5"/>
      <c r="AC469" s="5"/>
      <c r="AD469" s="5"/>
      <c r="AE469" s="5"/>
    </row>
    <row r="470" spans="1:31" ht="15.75" customHeight="1">
      <c r="A470" s="5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5"/>
      <c r="T470" s="5"/>
      <c r="U470" s="5"/>
      <c r="V470" s="5"/>
      <c r="W470" s="5"/>
      <c r="X470" s="5"/>
      <c r="Y470" s="5"/>
      <c r="Z470" s="7"/>
      <c r="AA470" s="5"/>
      <c r="AB470" s="5"/>
      <c r="AC470" s="5"/>
      <c r="AD470" s="5"/>
      <c r="AE470" s="5"/>
    </row>
    <row r="471" spans="1:31" ht="15.75" customHeight="1">
      <c r="A471" s="5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5"/>
      <c r="T471" s="5"/>
      <c r="U471" s="5"/>
      <c r="V471" s="5"/>
      <c r="W471" s="5"/>
      <c r="X471" s="5"/>
      <c r="Y471" s="5"/>
      <c r="Z471" s="7"/>
      <c r="AA471" s="5"/>
      <c r="AB471" s="5"/>
      <c r="AC471" s="5"/>
      <c r="AD471" s="5"/>
      <c r="AE471" s="5"/>
    </row>
    <row r="472" spans="1:31" ht="15.75" customHeight="1">
      <c r="A472" s="5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5"/>
      <c r="T472" s="5"/>
      <c r="U472" s="5"/>
      <c r="V472" s="5"/>
      <c r="W472" s="5"/>
      <c r="X472" s="5"/>
      <c r="Y472" s="5"/>
      <c r="Z472" s="7"/>
      <c r="AA472" s="5"/>
      <c r="AB472" s="5"/>
      <c r="AC472" s="5"/>
      <c r="AD472" s="5"/>
      <c r="AE472" s="5"/>
    </row>
    <row r="473" spans="1:31" ht="15.75" customHeight="1">
      <c r="A473" s="5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5"/>
      <c r="T473" s="5"/>
      <c r="U473" s="5"/>
      <c r="V473" s="5"/>
      <c r="W473" s="5"/>
      <c r="X473" s="5"/>
      <c r="Y473" s="5"/>
      <c r="Z473" s="7"/>
      <c r="AA473" s="5"/>
      <c r="AB473" s="5"/>
      <c r="AC473" s="5"/>
      <c r="AD473" s="5"/>
      <c r="AE473" s="5"/>
    </row>
    <row r="474" spans="1:31" ht="15.75" customHeight="1">
      <c r="A474" s="5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5"/>
      <c r="T474" s="5"/>
      <c r="U474" s="5"/>
      <c r="V474" s="5"/>
      <c r="W474" s="5"/>
      <c r="X474" s="5"/>
      <c r="Y474" s="5"/>
      <c r="Z474" s="7"/>
      <c r="AA474" s="5"/>
      <c r="AB474" s="5"/>
      <c r="AC474" s="5"/>
      <c r="AD474" s="5"/>
      <c r="AE474" s="5"/>
    </row>
    <row r="475" spans="1:31" ht="15.75" customHeight="1">
      <c r="A475" s="5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5"/>
      <c r="T475" s="5"/>
      <c r="U475" s="5"/>
      <c r="V475" s="5"/>
      <c r="W475" s="5"/>
      <c r="X475" s="5"/>
      <c r="Y475" s="5"/>
      <c r="Z475" s="7"/>
      <c r="AA475" s="5"/>
      <c r="AB475" s="5"/>
      <c r="AC475" s="5"/>
      <c r="AD475" s="5"/>
      <c r="AE475" s="5"/>
    </row>
    <row r="476" spans="1:31" ht="15.75" customHeight="1">
      <c r="A476" s="5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5"/>
      <c r="T476" s="5"/>
      <c r="U476" s="5"/>
      <c r="V476" s="5"/>
      <c r="W476" s="5"/>
      <c r="X476" s="5"/>
      <c r="Y476" s="5"/>
      <c r="Z476" s="7"/>
      <c r="AA476" s="5"/>
      <c r="AB476" s="5"/>
      <c r="AC476" s="5"/>
      <c r="AD476" s="5"/>
      <c r="AE476" s="5"/>
    </row>
    <row r="477" spans="1:31" ht="15.75" customHeight="1">
      <c r="A477" s="5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5"/>
      <c r="T477" s="5"/>
      <c r="U477" s="5"/>
      <c r="V477" s="5"/>
      <c r="W477" s="5"/>
      <c r="X477" s="5"/>
      <c r="Y477" s="5"/>
      <c r="Z477" s="7"/>
      <c r="AA477" s="5"/>
      <c r="AB477" s="5"/>
      <c r="AC477" s="5"/>
      <c r="AD477" s="5"/>
      <c r="AE477" s="5"/>
    </row>
    <row r="478" spans="1:31" ht="15.75" customHeight="1">
      <c r="A478" s="5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5"/>
      <c r="T478" s="5"/>
      <c r="U478" s="5"/>
      <c r="V478" s="5"/>
      <c r="W478" s="5"/>
      <c r="X478" s="5"/>
      <c r="Y478" s="5"/>
      <c r="Z478" s="7"/>
      <c r="AA478" s="5"/>
      <c r="AB478" s="5"/>
      <c r="AC478" s="5"/>
      <c r="AD478" s="5"/>
      <c r="AE478" s="5"/>
    </row>
    <row r="479" spans="1:31" ht="15.75" customHeight="1">
      <c r="A479" s="5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5"/>
      <c r="T479" s="5"/>
      <c r="U479" s="5"/>
      <c r="V479" s="5"/>
      <c r="W479" s="5"/>
      <c r="X479" s="5"/>
      <c r="Y479" s="5"/>
      <c r="Z479" s="7"/>
      <c r="AA479" s="5"/>
      <c r="AB479" s="5"/>
      <c r="AC479" s="5"/>
      <c r="AD479" s="5"/>
      <c r="AE479" s="5"/>
    </row>
    <row r="480" spans="1:31" ht="15.75" customHeight="1">
      <c r="A480" s="5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5"/>
      <c r="T480" s="5"/>
      <c r="U480" s="5"/>
      <c r="V480" s="5"/>
      <c r="W480" s="5"/>
      <c r="X480" s="5"/>
      <c r="Y480" s="5"/>
      <c r="Z480" s="7"/>
      <c r="AA480" s="5"/>
      <c r="AB480" s="5"/>
      <c r="AC480" s="5"/>
      <c r="AD480" s="5"/>
      <c r="AE480" s="5"/>
    </row>
    <row r="481" spans="1:31" ht="15.75" customHeight="1">
      <c r="A481" s="5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5"/>
      <c r="T481" s="5"/>
      <c r="U481" s="5"/>
      <c r="V481" s="5"/>
      <c r="W481" s="5"/>
      <c r="X481" s="5"/>
      <c r="Y481" s="5"/>
      <c r="Z481" s="7"/>
      <c r="AA481" s="5"/>
      <c r="AB481" s="5"/>
      <c r="AC481" s="5"/>
      <c r="AD481" s="5"/>
      <c r="AE481" s="5"/>
    </row>
    <row r="482" spans="1:31" ht="15.75" customHeight="1">
      <c r="A482" s="5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5"/>
      <c r="T482" s="5"/>
      <c r="U482" s="5"/>
      <c r="V482" s="5"/>
      <c r="W482" s="5"/>
      <c r="X482" s="5"/>
      <c r="Y482" s="5"/>
      <c r="Z482" s="7"/>
      <c r="AA482" s="5"/>
      <c r="AB482" s="5"/>
      <c r="AC482" s="5"/>
      <c r="AD482" s="5"/>
      <c r="AE482" s="5"/>
    </row>
    <row r="483" spans="1:31" ht="15.75" customHeight="1">
      <c r="A483" s="5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5"/>
      <c r="T483" s="5"/>
      <c r="U483" s="5"/>
      <c r="V483" s="5"/>
      <c r="W483" s="5"/>
      <c r="X483" s="5"/>
      <c r="Y483" s="5"/>
      <c r="Z483" s="7"/>
      <c r="AA483" s="5"/>
      <c r="AB483" s="5"/>
      <c r="AC483" s="5"/>
      <c r="AD483" s="5"/>
      <c r="AE483" s="5"/>
    </row>
    <row r="484" spans="1:31" ht="15.75" customHeight="1">
      <c r="A484" s="5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5"/>
      <c r="T484" s="5"/>
      <c r="U484" s="5"/>
      <c r="V484" s="5"/>
      <c r="W484" s="5"/>
      <c r="X484" s="5"/>
      <c r="Y484" s="5"/>
      <c r="Z484" s="7"/>
      <c r="AA484" s="5"/>
      <c r="AB484" s="5"/>
      <c r="AC484" s="5"/>
      <c r="AD484" s="5"/>
      <c r="AE484" s="5"/>
    </row>
    <row r="485" spans="1:31" ht="15.75" customHeight="1">
      <c r="A485" s="5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5"/>
      <c r="T485" s="5"/>
      <c r="U485" s="5"/>
      <c r="V485" s="5"/>
      <c r="W485" s="5"/>
      <c r="X485" s="5"/>
      <c r="Y485" s="5"/>
      <c r="Z485" s="7"/>
      <c r="AA485" s="5"/>
      <c r="AB485" s="5"/>
      <c r="AC485" s="5"/>
      <c r="AD485" s="5"/>
      <c r="AE485" s="5"/>
    </row>
    <row r="486" spans="1:31" ht="15.75" customHeight="1">
      <c r="A486" s="5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5"/>
      <c r="T486" s="5"/>
      <c r="U486" s="5"/>
      <c r="V486" s="5"/>
      <c r="W486" s="5"/>
      <c r="X486" s="5"/>
      <c r="Y486" s="5"/>
      <c r="Z486" s="7"/>
      <c r="AA486" s="5"/>
      <c r="AB486" s="5"/>
      <c r="AC486" s="5"/>
      <c r="AD486" s="5"/>
      <c r="AE486" s="5"/>
    </row>
    <row r="487" spans="1:31" ht="15.75" customHeight="1">
      <c r="A487" s="5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5"/>
      <c r="T487" s="5"/>
      <c r="U487" s="5"/>
      <c r="V487" s="5"/>
      <c r="W487" s="5"/>
      <c r="X487" s="5"/>
      <c r="Y487" s="5"/>
      <c r="Z487" s="7"/>
      <c r="AA487" s="5"/>
      <c r="AB487" s="5"/>
      <c r="AC487" s="5"/>
      <c r="AD487" s="5"/>
      <c r="AE487" s="5"/>
    </row>
    <row r="488" spans="1:31" ht="15.75" customHeight="1">
      <c r="A488" s="5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5"/>
      <c r="T488" s="5"/>
      <c r="U488" s="5"/>
      <c r="V488" s="5"/>
      <c r="W488" s="5"/>
      <c r="X488" s="5"/>
      <c r="Y488" s="5"/>
      <c r="Z488" s="7"/>
      <c r="AA488" s="5"/>
      <c r="AB488" s="5"/>
      <c r="AC488" s="5"/>
      <c r="AD488" s="5"/>
      <c r="AE488" s="5"/>
    </row>
    <row r="489" spans="1:31" ht="15.75" customHeight="1">
      <c r="A489" s="5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5"/>
      <c r="T489" s="5"/>
      <c r="U489" s="5"/>
      <c r="V489" s="5"/>
      <c r="W489" s="5"/>
      <c r="X489" s="5"/>
      <c r="Y489" s="5"/>
      <c r="Z489" s="7"/>
      <c r="AA489" s="5"/>
      <c r="AB489" s="5"/>
      <c r="AC489" s="5"/>
      <c r="AD489" s="5"/>
      <c r="AE489" s="5"/>
    </row>
    <row r="490" spans="1:31" ht="15.75" customHeight="1">
      <c r="A490" s="5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5"/>
      <c r="T490" s="5"/>
      <c r="U490" s="5"/>
      <c r="V490" s="5"/>
      <c r="W490" s="5"/>
      <c r="X490" s="5"/>
      <c r="Y490" s="5"/>
      <c r="Z490" s="7"/>
      <c r="AA490" s="5"/>
      <c r="AB490" s="5"/>
      <c r="AC490" s="5"/>
      <c r="AD490" s="5"/>
      <c r="AE490" s="5"/>
    </row>
    <row r="491" spans="1:31" ht="15.75" customHeight="1">
      <c r="A491" s="5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5"/>
      <c r="T491" s="5"/>
      <c r="U491" s="5"/>
      <c r="V491" s="5"/>
      <c r="W491" s="5"/>
      <c r="X491" s="5"/>
      <c r="Y491" s="5"/>
      <c r="Z491" s="7"/>
      <c r="AA491" s="5"/>
      <c r="AB491" s="5"/>
      <c r="AC491" s="5"/>
      <c r="AD491" s="5"/>
      <c r="AE491" s="5"/>
    </row>
    <row r="492" spans="1:31" ht="15.75" customHeight="1">
      <c r="A492" s="5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5"/>
      <c r="T492" s="5"/>
      <c r="U492" s="5"/>
      <c r="V492" s="5"/>
      <c r="W492" s="5"/>
      <c r="X492" s="5"/>
      <c r="Y492" s="5"/>
      <c r="Z492" s="7"/>
      <c r="AA492" s="5"/>
      <c r="AB492" s="5"/>
      <c r="AC492" s="5"/>
      <c r="AD492" s="5"/>
      <c r="AE492" s="5"/>
    </row>
    <row r="493" spans="1:31" ht="15.75" customHeight="1">
      <c r="A493" s="5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5"/>
      <c r="T493" s="5"/>
      <c r="U493" s="5"/>
      <c r="V493" s="5"/>
      <c r="W493" s="5"/>
      <c r="X493" s="5"/>
      <c r="Y493" s="5"/>
      <c r="Z493" s="7"/>
      <c r="AA493" s="5"/>
      <c r="AB493" s="5"/>
      <c r="AC493" s="5"/>
      <c r="AD493" s="5"/>
      <c r="AE493" s="5"/>
    </row>
    <row r="494" spans="1:31" ht="15.75" customHeight="1">
      <c r="A494" s="5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5"/>
      <c r="T494" s="5"/>
      <c r="U494" s="5"/>
      <c r="V494" s="5"/>
      <c r="W494" s="5"/>
      <c r="X494" s="5"/>
      <c r="Y494" s="5"/>
      <c r="Z494" s="7"/>
      <c r="AA494" s="5"/>
      <c r="AB494" s="5"/>
      <c r="AC494" s="5"/>
      <c r="AD494" s="5"/>
      <c r="AE494" s="5"/>
    </row>
    <row r="495" spans="1:31" ht="15.75" customHeight="1">
      <c r="A495" s="5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5"/>
      <c r="T495" s="5"/>
      <c r="U495" s="5"/>
      <c r="V495" s="5"/>
      <c r="W495" s="5"/>
      <c r="X495" s="5"/>
      <c r="Y495" s="5"/>
      <c r="Z495" s="7"/>
      <c r="AA495" s="5"/>
      <c r="AB495" s="5"/>
      <c r="AC495" s="5"/>
      <c r="AD495" s="5"/>
      <c r="AE495" s="5"/>
    </row>
    <row r="496" spans="1:31" ht="15.75" customHeight="1">
      <c r="A496" s="5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5"/>
      <c r="T496" s="5"/>
      <c r="U496" s="5"/>
      <c r="V496" s="5"/>
      <c r="W496" s="5"/>
      <c r="X496" s="5"/>
      <c r="Y496" s="5"/>
      <c r="Z496" s="7"/>
      <c r="AA496" s="5"/>
      <c r="AB496" s="5"/>
      <c r="AC496" s="5"/>
      <c r="AD496" s="5"/>
      <c r="AE496" s="5"/>
    </row>
    <row r="497" spans="1:31" ht="15.75" customHeight="1">
      <c r="A497" s="5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5"/>
      <c r="T497" s="5"/>
      <c r="U497" s="5"/>
      <c r="V497" s="5"/>
      <c r="W497" s="5"/>
      <c r="X497" s="5"/>
      <c r="Y497" s="5"/>
      <c r="Z497" s="7"/>
      <c r="AA497" s="5"/>
      <c r="AB497" s="5"/>
      <c r="AC497" s="5"/>
      <c r="AD497" s="5"/>
      <c r="AE497" s="5"/>
    </row>
    <row r="498" spans="1:31" ht="15.75" customHeight="1">
      <c r="A498" s="5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5"/>
      <c r="T498" s="5"/>
      <c r="U498" s="5"/>
      <c r="V498" s="5"/>
      <c r="W498" s="5"/>
      <c r="X498" s="5"/>
      <c r="Y498" s="5"/>
      <c r="Z498" s="7"/>
      <c r="AA498" s="5"/>
      <c r="AB498" s="5"/>
      <c r="AC498" s="5"/>
      <c r="AD498" s="5"/>
      <c r="AE498" s="5"/>
    </row>
    <row r="499" spans="1:31" ht="15.75" customHeight="1">
      <c r="A499" s="5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5"/>
      <c r="T499" s="5"/>
      <c r="U499" s="5"/>
      <c r="V499" s="5"/>
      <c r="W499" s="5"/>
      <c r="X499" s="5"/>
      <c r="Y499" s="5"/>
      <c r="Z499" s="7"/>
      <c r="AA499" s="5"/>
      <c r="AB499" s="5"/>
      <c r="AC499" s="5"/>
      <c r="AD499" s="5"/>
      <c r="AE499" s="5"/>
    </row>
    <row r="500" spans="1:31" ht="15.75" customHeight="1">
      <c r="A500" s="5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5"/>
      <c r="T500" s="5"/>
      <c r="U500" s="5"/>
      <c r="V500" s="5"/>
      <c r="W500" s="5"/>
      <c r="X500" s="5"/>
      <c r="Y500" s="5"/>
      <c r="Z500" s="7"/>
      <c r="AA500" s="5"/>
      <c r="AB500" s="5"/>
      <c r="AC500" s="5"/>
      <c r="AD500" s="5"/>
      <c r="AE500" s="5"/>
    </row>
    <row r="501" spans="1:31" ht="15.75" customHeight="1">
      <c r="A501" s="5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5"/>
      <c r="T501" s="5"/>
      <c r="U501" s="5"/>
      <c r="V501" s="5"/>
      <c r="W501" s="5"/>
      <c r="X501" s="5"/>
      <c r="Y501" s="5"/>
      <c r="Z501" s="7"/>
      <c r="AA501" s="5"/>
      <c r="AB501" s="5"/>
      <c r="AC501" s="5"/>
      <c r="AD501" s="5"/>
      <c r="AE501" s="5"/>
    </row>
    <row r="502" spans="1:31" ht="15.75" customHeight="1">
      <c r="A502" s="5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5"/>
      <c r="T502" s="5"/>
      <c r="U502" s="5"/>
      <c r="V502" s="5"/>
      <c r="W502" s="5"/>
      <c r="X502" s="5"/>
      <c r="Y502" s="5"/>
      <c r="Z502" s="7"/>
      <c r="AA502" s="5"/>
      <c r="AB502" s="5"/>
      <c r="AC502" s="5"/>
      <c r="AD502" s="5"/>
      <c r="AE502" s="5"/>
    </row>
    <row r="503" spans="1:31" ht="15.75" customHeight="1">
      <c r="A503" s="5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5"/>
      <c r="T503" s="5"/>
      <c r="U503" s="5"/>
      <c r="V503" s="5"/>
      <c r="W503" s="5"/>
      <c r="X503" s="5"/>
      <c r="Y503" s="5"/>
      <c r="Z503" s="7"/>
      <c r="AA503" s="5"/>
      <c r="AB503" s="5"/>
      <c r="AC503" s="5"/>
      <c r="AD503" s="5"/>
      <c r="AE503" s="5"/>
    </row>
    <row r="504" spans="1:31" ht="15.75" customHeight="1">
      <c r="A504" s="5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5"/>
      <c r="T504" s="5"/>
      <c r="U504" s="5"/>
      <c r="V504" s="5"/>
      <c r="W504" s="5"/>
      <c r="X504" s="5"/>
      <c r="Y504" s="5"/>
      <c r="Z504" s="7"/>
      <c r="AA504" s="5"/>
      <c r="AB504" s="5"/>
      <c r="AC504" s="5"/>
      <c r="AD504" s="5"/>
      <c r="AE504" s="5"/>
    </row>
    <row r="505" spans="1:31" ht="15.75" customHeight="1">
      <c r="A505" s="5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5"/>
      <c r="T505" s="5"/>
      <c r="U505" s="5"/>
      <c r="V505" s="5"/>
      <c r="W505" s="5"/>
      <c r="X505" s="5"/>
      <c r="Y505" s="5"/>
      <c r="Z505" s="7"/>
      <c r="AA505" s="5"/>
      <c r="AB505" s="5"/>
      <c r="AC505" s="5"/>
      <c r="AD505" s="5"/>
      <c r="AE505" s="5"/>
    </row>
    <row r="506" spans="1:31" ht="15.75" customHeight="1">
      <c r="A506" s="5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5"/>
      <c r="T506" s="5"/>
      <c r="U506" s="5"/>
      <c r="V506" s="5"/>
      <c r="W506" s="5"/>
      <c r="X506" s="5"/>
      <c r="Y506" s="5"/>
      <c r="Z506" s="7"/>
      <c r="AA506" s="5"/>
      <c r="AB506" s="5"/>
      <c r="AC506" s="5"/>
      <c r="AD506" s="5"/>
      <c r="AE506" s="5"/>
    </row>
    <row r="507" spans="1:31" ht="15.75" customHeight="1">
      <c r="A507" s="5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5"/>
      <c r="T507" s="5"/>
      <c r="U507" s="5"/>
      <c r="V507" s="5"/>
      <c r="W507" s="5"/>
      <c r="X507" s="5"/>
      <c r="Y507" s="5"/>
      <c r="Z507" s="7"/>
      <c r="AA507" s="5"/>
      <c r="AB507" s="5"/>
      <c r="AC507" s="5"/>
      <c r="AD507" s="5"/>
      <c r="AE507" s="5"/>
    </row>
    <row r="508" spans="1:31" ht="15.75" customHeight="1">
      <c r="A508" s="5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5"/>
      <c r="T508" s="5"/>
      <c r="U508" s="5"/>
      <c r="V508" s="5"/>
      <c r="W508" s="5"/>
      <c r="X508" s="5"/>
      <c r="Y508" s="5"/>
      <c r="Z508" s="7"/>
      <c r="AA508" s="5"/>
      <c r="AB508" s="5"/>
      <c r="AC508" s="5"/>
      <c r="AD508" s="5"/>
      <c r="AE508" s="5"/>
    </row>
    <row r="509" spans="1:31" ht="15.75" customHeight="1">
      <c r="A509" s="5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5"/>
      <c r="T509" s="5"/>
      <c r="U509" s="5"/>
      <c r="V509" s="5"/>
      <c r="W509" s="5"/>
      <c r="X509" s="5"/>
      <c r="Y509" s="5"/>
      <c r="Z509" s="7"/>
      <c r="AA509" s="5"/>
      <c r="AB509" s="5"/>
      <c r="AC509" s="5"/>
      <c r="AD509" s="5"/>
      <c r="AE509" s="5"/>
    </row>
    <row r="510" spans="1:31" ht="15.75" customHeight="1">
      <c r="A510" s="5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5"/>
      <c r="T510" s="5"/>
      <c r="U510" s="5"/>
      <c r="V510" s="5"/>
      <c r="W510" s="5"/>
      <c r="X510" s="5"/>
      <c r="Y510" s="5"/>
      <c r="Z510" s="7"/>
      <c r="AA510" s="5"/>
      <c r="AB510" s="5"/>
      <c r="AC510" s="5"/>
      <c r="AD510" s="5"/>
      <c r="AE510" s="5"/>
    </row>
    <row r="511" spans="1:31" ht="15.75" customHeight="1">
      <c r="A511" s="5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5"/>
      <c r="T511" s="5"/>
      <c r="U511" s="5"/>
      <c r="V511" s="5"/>
      <c r="W511" s="5"/>
      <c r="X511" s="5"/>
      <c r="Y511" s="5"/>
      <c r="Z511" s="7"/>
      <c r="AA511" s="5"/>
      <c r="AB511" s="5"/>
      <c r="AC511" s="5"/>
      <c r="AD511" s="5"/>
      <c r="AE511" s="5"/>
    </row>
    <row r="512" spans="1:31" ht="15.75" customHeight="1">
      <c r="A512" s="5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5"/>
      <c r="T512" s="5"/>
      <c r="U512" s="5"/>
      <c r="V512" s="5"/>
      <c r="W512" s="5"/>
      <c r="X512" s="5"/>
      <c r="Y512" s="5"/>
      <c r="Z512" s="7"/>
      <c r="AA512" s="5"/>
      <c r="AB512" s="5"/>
      <c r="AC512" s="5"/>
      <c r="AD512" s="5"/>
      <c r="AE512" s="5"/>
    </row>
    <row r="513" spans="1:31" ht="15.75" customHeight="1">
      <c r="A513" s="5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5"/>
      <c r="T513" s="5"/>
      <c r="U513" s="5"/>
      <c r="V513" s="5"/>
      <c r="W513" s="5"/>
      <c r="X513" s="5"/>
      <c r="Y513" s="5"/>
      <c r="Z513" s="7"/>
      <c r="AA513" s="5"/>
      <c r="AB513" s="5"/>
      <c r="AC513" s="5"/>
      <c r="AD513" s="5"/>
      <c r="AE513" s="5"/>
    </row>
    <row r="514" spans="1:31" ht="15.75" customHeight="1">
      <c r="A514" s="5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5"/>
      <c r="T514" s="5"/>
      <c r="U514" s="5"/>
      <c r="V514" s="5"/>
      <c r="W514" s="5"/>
      <c r="X514" s="5"/>
      <c r="Y514" s="5"/>
      <c r="Z514" s="7"/>
      <c r="AA514" s="5"/>
      <c r="AB514" s="5"/>
      <c r="AC514" s="5"/>
      <c r="AD514" s="5"/>
      <c r="AE514" s="5"/>
    </row>
    <row r="515" spans="1:31" ht="15.75" customHeight="1">
      <c r="A515" s="5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5"/>
      <c r="T515" s="5"/>
      <c r="U515" s="5"/>
      <c r="V515" s="5"/>
      <c r="W515" s="5"/>
      <c r="X515" s="5"/>
      <c r="Y515" s="5"/>
      <c r="Z515" s="7"/>
      <c r="AA515" s="5"/>
      <c r="AB515" s="5"/>
      <c r="AC515" s="5"/>
      <c r="AD515" s="5"/>
      <c r="AE515" s="5"/>
    </row>
    <row r="516" spans="1:31" ht="15.75" customHeight="1">
      <c r="A516" s="5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5"/>
      <c r="T516" s="5"/>
      <c r="U516" s="5"/>
      <c r="V516" s="5"/>
      <c r="W516" s="5"/>
      <c r="X516" s="5"/>
      <c r="Y516" s="5"/>
      <c r="Z516" s="7"/>
      <c r="AA516" s="5"/>
      <c r="AB516" s="5"/>
      <c r="AC516" s="5"/>
      <c r="AD516" s="5"/>
      <c r="AE516" s="5"/>
    </row>
    <row r="517" spans="1:31" ht="15.75" customHeight="1">
      <c r="A517" s="5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5"/>
      <c r="T517" s="5"/>
      <c r="U517" s="5"/>
      <c r="V517" s="5"/>
      <c r="W517" s="5"/>
      <c r="X517" s="5"/>
      <c r="Y517" s="5"/>
      <c r="Z517" s="7"/>
      <c r="AA517" s="5"/>
      <c r="AB517" s="5"/>
      <c r="AC517" s="5"/>
      <c r="AD517" s="5"/>
      <c r="AE517" s="5"/>
    </row>
    <row r="518" spans="1:31" ht="15.75" customHeight="1">
      <c r="A518" s="5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5"/>
      <c r="T518" s="5"/>
      <c r="U518" s="5"/>
      <c r="V518" s="5"/>
      <c r="W518" s="5"/>
      <c r="X518" s="5"/>
      <c r="Y518" s="5"/>
      <c r="Z518" s="7"/>
      <c r="AA518" s="5"/>
      <c r="AB518" s="5"/>
      <c r="AC518" s="5"/>
      <c r="AD518" s="5"/>
      <c r="AE518" s="5"/>
    </row>
    <row r="519" spans="1:31" ht="15.75" customHeight="1">
      <c r="A519" s="5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5"/>
      <c r="T519" s="5"/>
      <c r="U519" s="5"/>
      <c r="V519" s="5"/>
      <c r="W519" s="5"/>
      <c r="X519" s="5"/>
      <c r="Y519" s="5"/>
      <c r="Z519" s="7"/>
      <c r="AA519" s="5"/>
      <c r="AB519" s="5"/>
      <c r="AC519" s="5"/>
      <c r="AD519" s="5"/>
      <c r="AE519" s="5"/>
    </row>
    <row r="520" spans="1:31" ht="15.75" customHeight="1">
      <c r="A520" s="5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5"/>
      <c r="T520" s="5"/>
      <c r="U520" s="5"/>
      <c r="V520" s="5"/>
      <c r="W520" s="5"/>
      <c r="X520" s="5"/>
      <c r="Y520" s="5"/>
      <c r="Z520" s="7"/>
      <c r="AA520" s="5"/>
      <c r="AB520" s="5"/>
      <c r="AC520" s="5"/>
      <c r="AD520" s="5"/>
      <c r="AE520" s="5"/>
    </row>
    <row r="521" spans="1:31" ht="15.75" customHeight="1">
      <c r="A521" s="5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5"/>
      <c r="T521" s="5"/>
      <c r="U521" s="5"/>
      <c r="V521" s="5"/>
      <c r="W521" s="5"/>
      <c r="X521" s="5"/>
      <c r="Y521" s="5"/>
      <c r="Z521" s="7"/>
      <c r="AA521" s="5"/>
      <c r="AB521" s="5"/>
      <c r="AC521" s="5"/>
      <c r="AD521" s="5"/>
      <c r="AE521" s="5"/>
    </row>
    <row r="522" spans="1:31" ht="15.75" customHeight="1">
      <c r="A522" s="5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5"/>
      <c r="T522" s="5"/>
      <c r="U522" s="5"/>
      <c r="V522" s="5"/>
      <c r="W522" s="5"/>
      <c r="X522" s="5"/>
      <c r="Y522" s="5"/>
      <c r="Z522" s="7"/>
      <c r="AA522" s="5"/>
      <c r="AB522" s="5"/>
      <c r="AC522" s="5"/>
      <c r="AD522" s="5"/>
      <c r="AE522" s="5"/>
    </row>
    <row r="523" spans="1:31" ht="15.75" customHeight="1">
      <c r="A523" s="5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5"/>
      <c r="T523" s="5"/>
      <c r="U523" s="5"/>
      <c r="V523" s="5"/>
      <c r="W523" s="5"/>
      <c r="X523" s="5"/>
      <c r="Y523" s="5"/>
      <c r="Z523" s="7"/>
      <c r="AA523" s="5"/>
      <c r="AB523" s="5"/>
      <c r="AC523" s="5"/>
      <c r="AD523" s="5"/>
      <c r="AE523" s="5"/>
    </row>
    <row r="524" spans="1:31" ht="15.75" customHeight="1">
      <c r="A524" s="5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5"/>
      <c r="T524" s="5"/>
      <c r="U524" s="5"/>
      <c r="V524" s="5"/>
      <c r="W524" s="5"/>
      <c r="X524" s="5"/>
      <c r="Y524" s="5"/>
      <c r="Z524" s="7"/>
      <c r="AA524" s="5"/>
      <c r="AB524" s="5"/>
      <c r="AC524" s="5"/>
      <c r="AD524" s="5"/>
      <c r="AE524" s="5"/>
    </row>
    <row r="525" spans="1:31" ht="15.75" customHeight="1">
      <c r="A525" s="5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5"/>
      <c r="T525" s="5"/>
      <c r="U525" s="5"/>
      <c r="V525" s="5"/>
      <c r="W525" s="5"/>
      <c r="X525" s="5"/>
      <c r="Y525" s="5"/>
      <c r="Z525" s="7"/>
      <c r="AA525" s="5"/>
      <c r="AB525" s="5"/>
      <c r="AC525" s="5"/>
      <c r="AD525" s="5"/>
      <c r="AE525" s="5"/>
    </row>
    <row r="526" spans="1:31" ht="15.75" customHeight="1">
      <c r="A526" s="5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5"/>
      <c r="T526" s="5"/>
      <c r="U526" s="5"/>
      <c r="V526" s="5"/>
      <c r="W526" s="5"/>
      <c r="X526" s="5"/>
      <c r="Y526" s="5"/>
      <c r="Z526" s="7"/>
      <c r="AA526" s="5"/>
      <c r="AB526" s="5"/>
      <c r="AC526" s="5"/>
      <c r="AD526" s="5"/>
      <c r="AE526" s="5"/>
    </row>
    <row r="527" spans="1:31" ht="15.75" customHeight="1">
      <c r="A527" s="5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5"/>
      <c r="T527" s="5"/>
      <c r="U527" s="5"/>
      <c r="V527" s="5"/>
      <c r="W527" s="5"/>
      <c r="X527" s="5"/>
      <c r="Y527" s="5"/>
      <c r="Z527" s="7"/>
      <c r="AA527" s="5"/>
      <c r="AB527" s="5"/>
      <c r="AC527" s="5"/>
      <c r="AD527" s="5"/>
      <c r="AE527" s="5"/>
    </row>
    <row r="528" spans="1:31" ht="15.75" customHeight="1">
      <c r="A528" s="5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5"/>
      <c r="T528" s="5"/>
      <c r="U528" s="5"/>
      <c r="V528" s="5"/>
      <c r="W528" s="5"/>
      <c r="X528" s="5"/>
      <c r="Y528" s="5"/>
      <c r="Z528" s="7"/>
      <c r="AA528" s="5"/>
      <c r="AB528" s="5"/>
      <c r="AC528" s="5"/>
      <c r="AD528" s="5"/>
      <c r="AE528" s="5"/>
    </row>
    <row r="529" spans="1:31" ht="15.75" customHeight="1">
      <c r="A529" s="5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5"/>
      <c r="T529" s="5"/>
      <c r="U529" s="5"/>
      <c r="V529" s="5"/>
      <c r="W529" s="5"/>
      <c r="X529" s="5"/>
      <c r="Y529" s="5"/>
      <c r="Z529" s="7"/>
      <c r="AA529" s="5"/>
      <c r="AB529" s="5"/>
      <c r="AC529" s="5"/>
      <c r="AD529" s="5"/>
      <c r="AE529" s="5"/>
    </row>
    <row r="530" spans="1:31" ht="15.75" customHeight="1">
      <c r="A530" s="5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5"/>
      <c r="T530" s="5"/>
      <c r="U530" s="5"/>
      <c r="V530" s="5"/>
      <c r="W530" s="5"/>
      <c r="X530" s="5"/>
      <c r="Y530" s="5"/>
      <c r="Z530" s="7"/>
      <c r="AA530" s="5"/>
      <c r="AB530" s="5"/>
      <c r="AC530" s="5"/>
      <c r="AD530" s="5"/>
      <c r="AE530" s="5"/>
    </row>
    <row r="531" spans="1:31" ht="15.75" customHeight="1">
      <c r="A531" s="5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5"/>
      <c r="T531" s="5"/>
      <c r="U531" s="5"/>
      <c r="V531" s="5"/>
      <c r="W531" s="5"/>
      <c r="X531" s="5"/>
      <c r="Y531" s="5"/>
      <c r="Z531" s="7"/>
      <c r="AA531" s="5"/>
      <c r="AB531" s="5"/>
      <c r="AC531" s="5"/>
      <c r="AD531" s="5"/>
      <c r="AE531" s="5"/>
    </row>
    <row r="532" spans="1:31" ht="15.75" customHeight="1">
      <c r="A532" s="5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5"/>
      <c r="T532" s="5"/>
      <c r="U532" s="5"/>
      <c r="V532" s="5"/>
      <c r="W532" s="5"/>
      <c r="X532" s="5"/>
      <c r="Y532" s="5"/>
      <c r="Z532" s="7"/>
      <c r="AA532" s="5"/>
      <c r="AB532" s="5"/>
      <c r="AC532" s="5"/>
      <c r="AD532" s="5"/>
      <c r="AE532" s="5"/>
    </row>
    <row r="533" spans="1:31" ht="15.75" customHeight="1">
      <c r="A533" s="5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5"/>
      <c r="T533" s="5"/>
      <c r="U533" s="5"/>
      <c r="V533" s="5"/>
      <c r="W533" s="5"/>
      <c r="X533" s="5"/>
      <c r="Y533" s="5"/>
      <c r="Z533" s="7"/>
      <c r="AA533" s="5"/>
      <c r="AB533" s="5"/>
      <c r="AC533" s="5"/>
      <c r="AD533" s="5"/>
      <c r="AE533" s="5"/>
    </row>
    <row r="534" spans="1:31" ht="15.75" customHeight="1">
      <c r="A534" s="5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5"/>
      <c r="T534" s="5"/>
      <c r="U534" s="5"/>
      <c r="V534" s="5"/>
      <c r="W534" s="5"/>
      <c r="X534" s="5"/>
      <c r="Y534" s="5"/>
      <c r="Z534" s="7"/>
      <c r="AA534" s="5"/>
      <c r="AB534" s="5"/>
      <c r="AC534" s="5"/>
      <c r="AD534" s="5"/>
      <c r="AE534" s="5"/>
    </row>
    <row r="535" spans="1:31" ht="15.75" customHeight="1">
      <c r="A535" s="5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5"/>
      <c r="T535" s="5"/>
      <c r="U535" s="5"/>
      <c r="V535" s="5"/>
      <c r="W535" s="5"/>
      <c r="X535" s="5"/>
      <c r="Y535" s="5"/>
      <c r="Z535" s="7"/>
      <c r="AA535" s="5"/>
      <c r="AB535" s="5"/>
      <c r="AC535" s="5"/>
      <c r="AD535" s="5"/>
      <c r="AE535" s="5"/>
    </row>
    <row r="536" spans="1:31" ht="15.75" customHeight="1">
      <c r="A536" s="5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5"/>
      <c r="T536" s="5"/>
      <c r="U536" s="5"/>
      <c r="V536" s="5"/>
      <c r="W536" s="5"/>
      <c r="X536" s="5"/>
      <c r="Y536" s="5"/>
      <c r="Z536" s="7"/>
      <c r="AA536" s="5"/>
      <c r="AB536" s="5"/>
      <c r="AC536" s="5"/>
      <c r="AD536" s="5"/>
      <c r="AE536" s="5"/>
    </row>
    <row r="537" spans="1:31" ht="15.75" customHeight="1">
      <c r="A537" s="5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5"/>
      <c r="T537" s="5"/>
      <c r="U537" s="5"/>
      <c r="V537" s="5"/>
      <c r="W537" s="5"/>
      <c r="X537" s="5"/>
      <c r="Y537" s="5"/>
      <c r="Z537" s="7"/>
      <c r="AA537" s="5"/>
      <c r="AB537" s="5"/>
      <c r="AC537" s="5"/>
      <c r="AD537" s="5"/>
      <c r="AE537" s="5"/>
    </row>
    <row r="538" spans="1:31" ht="15.75" customHeight="1">
      <c r="A538" s="5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5"/>
      <c r="T538" s="5"/>
      <c r="U538" s="5"/>
      <c r="V538" s="5"/>
      <c r="W538" s="5"/>
      <c r="X538" s="5"/>
      <c r="Y538" s="5"/>
      <c r="Z538" s="7"/>
      <c r="AA538" s="5"/>
      <c r="AB538" s="5"/>
      <c r="AC538" s="5"/>
      <c r="AD538" s="5"/>
      <c r="AE538" s="5"/>
    </row>
    <row r="539" spans="1:31" ht="15.75" customHeight="1">
      <c r="A539" s="5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5"/>
      <c r="T539" s="5"/>
      <c r="U539" s="5"/>
      <c r="V539" s="5"/>
      <c r="W539" s="5"/>
      <c r="X539" s="5"/>
      <c r="Y539" s="5"/>
      <c r="Z539" s="7"/>
      <c r="AA539" s="5"/>
      <c r="AB539" s="5"/>
      <c r="AC539" s="5"/>
      <c r="AD539" s="5"/>
      <c r="AE539" s="5"/>
    </row>
    <row r="540" spans="1:31" ht="15.75" customHeight="1">
      <c r="A540" s="5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5"/>
      <c r="T540" s="5"/>
      <c r="U540" s="5"/>
      <c r="V540" s="5"/>
      <c r="W540" s="5"/>
      <c r="X540" s="5"/>
      <c r="Y540" s="5"/>
      <c r="Z540" s="7"/>
      <c r="AA540" s="5"/>
      <c r="AB540" s="5"/>
      <c r="AC540" s="5"/>
      <c r="AD540" s="5"/>
      <c r="AE540" s="5"/>
    </row>
    <row r="541" spans="1:31" ht="15.75" customHeight="1">
      <c r="A541" s="5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5"/>
      <c r="T541" s="5"/>
      <c r="U541" s="5"/>
      <c r="V541" s="5"/>
      <c r="W541" s="5"/>
      <c r="X541" s="5"/>
      <c r="Y541" s="5"/>
      <c r="Z541" s="7"/>
      <c r="AA541" s="5"/>
      <c r="AB541" s="5"/>
      <c r="AC541" s="5"/>
      <c r="AD541" s="5"/>
      <c r="AE541" s="5"/>
    </row>
    <row r="542" spans="1:31" ht="15.75" customHeight="1">
      <c r="A542" s="5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5"/>
      <c r="T542" s="5"/>
      <c r="U542" s="5"/>
      <c r="V542" s="5"/>
      <c r="W542" s="5"/>
      <c r="X542" s="5"/>
      <c r="Y542" s="5"/>
      <c r="Z542" s="7"/>
      <c r="AA542" s="5"/>
      <c r="AB542" s="5"/>
      <c r="AC542" s="5"/>
      <c r="AD542" s="5"/>
      <c r="AE542" s="5"/>
    </row>
    <row r="543" spans="1:31" ht="15.75" customHeight="1">
      <c r="A543" s="5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5"/>
      <c r="T543" s="5"/>
      <c r="U543" s="5"/>
      <c r="V543" s="5"/>
      <c r="W543" s="5"/>
      <c r="X543" s="5"/>
      <c r="Y543" s="5"/>
      <c r="Z543" s="7"/>
      <c r="AA543" s="5"/>
      <c r="AB543" s="5"/>
      <c r="AC543" s="5"/>
      <c r="AD543" s="5"/>
      <c r="AE543" s="5"/>
    </row>
    <row r="544" spans="1:31" ht="15.75" customHeight="1">
      <c r="A544" s="5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5"/>
      <c r="T544" s="5"/>
      <c r="U544" s="5"/>
      <c r="V544" s="5"/>
      <c r="W544" s="5"/>
      <c r="X544" s="5"/>
      <c r="Y544" s="5"/>
      <c r="Z544" s="7"/>
      <c r="AA544" s="5"/>
      <c r="AB544" s="5"/>
      <c r="AC544" s="5"/>
      <c r="AD544" s="5"/>
      <c r="AE544" s="5"/>
    </row>
    <row r="545" spans="1:31" ht="15.75" customHeight="1">
      <c r="A545" s="5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5"/>
      <c r="T545" s="5"/>
      <c r="U545" s="5"/>
      <c r="V545" s="5"/>
      <c r="W545" s="5"/>
      <c r="X545" s="5"/>
      <c r="Y545" s="5"/>
      <c r="Z545" s="7"/>
      <c r="AA545" s="5"/>
      <c r="AB545" s="5"/>
      <c r="AC545" s="5"/>
      <c r="AD545" s="5"/>
      <c r="AE545" s="5"/>
    </row>
    <row r="546" spans="1:31" ht="15.75" customHeight="1">
      <c r="A546" s="5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5"/>
      <c r="T546" s="5"/>
      <c r="U546" s="5"/>
      <c r="V546" s="5"/>
      <c r="W546" s="5"/>
      <c r="X546" s="5"/>
      <c r="Y546" s="5"/>
      <c r="Z546" s="7"/>
      <c r="AA546" s="5"/>
      <c r="AB546" s="5"/>
      <c r="AC546" s="5"/>
      <c r="AD546" s="5"/>
      <c r="AE546" s="5"/>
    </row>
    <row r="547" spans="1:31" ht="15.75" customHeight="1">
      <c r="A547" s="5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5"/>
      <c r="T547" s="5"/>
      <c r="U547" s="5"/>
      <c r="V547" s="5"/>
      <c r="W547" s="5"/>
      <c r="X547" s="5"/>
      <c r="Y547" s="5"/>
      <c r="Z547" s="7"/>
      <c r="AA547" s="5"/>
      <c r="AB547" s="5"/>
      <c r="AC547" s="5"/>
      <c r="AD547" s="5"/>
      <c r="AE547" s="5"/>
    </row>
    <row r="548" spans="1:31" ht="15.75" customHeight="1">
      <c r="A548" s="5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5"/>
      <c r="T548" s="5"/>
      <c r="U548" s="5"/>
      <c r="V548" s="5"/>
      <c r="W548" s="5"/>
      <c r="X548" s="5"/>
      <c r="Y548" s="5"/>
      <c r="Z548" s="7"/>
      <c r="AA548" s="5"/>
      <c r="AB548" s="5"/>
      <c r="AC548" s="5"/>
      <c r="AD548" s="5"/>
      <c r="AE548" s="5"/>
    </row>
    <row r="549" spans="1:31" ht="15.75" customHeight="1">
      <c r="A549" s="5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5"/>
      <c r="T549" s="5"/>
      <c r="U549" s="5"/>
      <c r="V549" s="5"/>
      <c r="W549" s="5"/>
      <c r="X549" s="5"/>
      <c r="Y549" s="5"/>
      <c r="Z549" s="7"/>
      <c r="AA549" s="5"/>
      <c r="AB549" s="5"/>
      <c r="AC549" s="5"/>
      <c r="AD549" s="5"/>
      <c r="AE549" s="5"/>
    </row>
    <row r="550" spans="1:31" ht="15.75" customHeight="1">
      <c r="A550" s="5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5"/>
      <c r="T550" s="5"/>
      <c r="U550" s="5"/>
      <c r="V550" s="5"/>
      <c r="W550" s="5"/>
      <c r="X550" s="5"/>
      <c r="Y550" s="5"/>
      <c r="Z550" s="7"/>
      <c r="AA550" s="5"/>
      <c r="AB550" s="5"/>
      <c r="AC550" s="5"/>
      <c r="AD550" s="5"/>
      <c r="AE550" s="5"/>
    </row>
    <row r="551" spans="1:31" ht="15.75" customHeight="1">
      <c r="A551" s="5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5"/>
      <c r="T551" s="5"/>
      <c r="U551" s="5"/>
      <c r="V551" s="5"/>
      <c r="W551" s="5"/>
      <c r="X551" s="5"/>
      <c r="Y551" s="5"/>
      <c r="Z551" s="7"/>
      <c r="AA551" s="5"/>
      <c r="AB551" s="5"/>
      <c r="AC551" s="5"/>
      <c r="AD551" s="5"/>
      <c r="AE551" s="5"/>
    </row>
    <row r="552" spans="1:31" ht="15.75" customHeight="1">
      <c r="A552" s="5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5"/>
      <c r="T552" s="5"/>
      <c r="U552" s="5"/>
      <c r="V552" s="5"/>
      <c r="W552" s="5"/>
      <c r="X552" s="5"/>
      <c r="Y552" s="5"/>
      <c r="Z552" s="7"/>
      <c r="AA552" s="5"/>
      <c r="AB552" s="5"/>
      <c r="AC552" s="5"/>
      <c r="AD552" s="5"/>
      <c r="AE552" s="5"/>
    </row>
    <row r="553" spans="1:31" ht="15.75" customHeight="1">
      <c r="A553" s="5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5"/>
      <c r="T553" s="5"/>
      <c r="U553" s="5"/>
      <c r="V553" s="5"/>
      <c r="W553" s="5"/>
      <c r="X553" s="5"/>
      <c r="Y553" s="5"/>
      <c r="Z553" s="7"/>
      <c r="AA553" s="5"/>
      <c r="AB553" s="5"/>
      <c r="AC553" s="5"/>
      <c r="AD553" s="5"/>
      <c r="AE553" s="5"/>
    </row>
    <row r="554" spans="1:31" ht="15.75" customHeight="1">
      <c r="A554" s="5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5"/>
      <c r="T554" s="5"/>
      <c r="U554" s="5"/>
      <c r="V554" s="5"/>
      <c r="W554" s="5"/>
      <c r="X554" s="5"/>
      <c r="Y554" s="5"/>
      <c r="Z554" s="7"/>
      <c r="AA554" s="5"/>
      <c r="AB554" s="5"/>
      <c r="AC554" s="5"/>
      <c r="AD554" s="5"/>
      <c r="AE554" s="5"/>
    </row>
    <row r="555" spans="1:31" ht="15.75" customHeight="1">
      <c r="A555" s="5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5"/>
      <c r="T555" s="5"/>
      <c r="U555" s="5"/>
      <c r="V555" s="5"/>
      <c r="W555" s="5"/>
      <c r="X555" s="5"/>
      <c r="Y555" s="5"/>
      <c r="Z555" s="7"/>
      <c r="AA555" s="5"/>
      <c r="AB555" s="5"/>
      <c r="AC555" s="5"/>
      <c r="AD555" s="5"/>
      <c r="AE555" s="5"/>
    </row>
    <row r="556" spans="1:31" ht="15.75" customHeight="1">
      <c r="A556" s="5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5"/>
      <c r="T556" s="5"/>
      <c r="U556" s="5"/>
      <c r="V556" s="5"/>
      <c r="W556" s="5"/>
      <c r="X556" s="5"/>
      <c r="Y556" s="5"/>
      <c r="Z556" s="7"/>
      <c r="AA556" s="5"/>
      <c r="AB556" s="5"/>
      <c r="AC556" s="5"/>
      <c r="AD556" s="5"/>
      <c r="AE556" s="5"/>
    </row>
    <row r="557" spans="1:31" ht="15.75" customHeight="1">
      <c r="A557" s="5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5"/>
      <c r="T557" s="5"/>
      <c r="U557" s="5"/>
      <c r="V557" s="5"/>
      <c r="W557" s="5"/>
      <c r="X557" s="5"/>
      <c r="Y557" s="5"/>
      <c r="Z557" s="7"/>
      <c r="AA557" s="5"/>
      <c r="AB557" s="5"/>
      <c r="AC557" s="5"/>
      <c r="AD557" s="5"/>
      <c r="AE557" s="5"/>
    </row>
    <row r="558" spans="1:31" ht="15.75" customHeight="1">
      <c r="A558" s="5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5"/>
      <c r="T558" s="5"/>
      <c r="U558" s="5"/>
      <c r="V558" s="5"/>
      <c r="W558" s="5"/>
      <c r="X558" s="5"/>
      <c r="Y558" s="5"/>
      <c r="Z558" s="7"/>
      <c r="AA558" s="5"/>
      <c r="AB558" s="5"/>
      <c r="AC558" s="5"/>
      <c r="AD558" s="5"/>
      <c r="AE558" s="5"/>
    </row>
    <row r="559" spans="1:31" ht="15.75" customHeight="1">
      <c r="A559" s="5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5"/>
      <c r="T559" s="5"/>
      <c r="U559" s="5"/>
      <c r="V559" s="5"/>
      <c r="W559" s="5"/>
      <c r="X559" s="5"/>
      <c r="Y559" s="5"/>
      <c r="Z559" s="7"/>
      <c r="AA559" s="5"/>
      <c r="AB559" s="5"/>
      <c r="AC559" s="5"/>
      <c r="AD559" s="5"/>
      <c r="AE559" s="5"/>
    </row>
    <row r="560" spans="1:31" ht="15.75" customHeight="1">
      <c r="A560" s="5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5"/>
      <c r="T560" s="5"/>
      <c r="U560" s="5"/>
      <c r="V560" s="5"/>
      <c r="W560" s="5"/>
      <c r="X560" s="5"/>
      <c r="Y560" s="5"/>
      <c r="Z560" s="7"/>
      <c r="AA560" s="5"/>
      <c r="AB560" s="5"/>
      <c r="AC560" s="5"/>
      <c r="AD560" s="5"/>
      <c r="AE560" s="5"/>
    </row>
    <row r="561" spans="1:31" ht="15.75" customHeight="1">
      <c r="A561" s="5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5"/>
      <c r="T561" s="5"/>
      <c r="U561" s="5"/>
      <c r="V561" s="5"/>
      <c r="W561" s="5"/>
      <c r="X561" s="5"/>
      <c r="Y561" s="5"/>
      <c r="Z561" s="7"/>
      <c r="AA561" s="5"/>
      <c r="AB561" s="5"/>
      <c r="AC561" s="5"/>
      <c r="AD561" s="5"/>
      <c r="AE561" s="5"/>
    </row>
    <row r="562" spans="1:31" ht="15.75" customHeight="1">
      <c r="A562" s="5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5"/>
      <c r="T562" s="5"/>
      <c r="U562" s="5"/>
      <c r="V562" s="5"/>
      <c r="W562" s="5"/>
      <c r="X562" s="5"/>
      <c r="Y562" s="5"/>
      <c r="Z562" s="7"/>
      <c r="AA562" s="5"/>
      <c r="AB562" s="5"/>
      <c r="AC562" s="5"/>
      <c r="AD562" s="5"/>
      <c r="AE562" s="5"/>
    </row>
    <row r="563" spans="1:31" ht="15.75" customHeight="1">
      <c r="A563" s="5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5"/>
      <c r="T563" s="5"/>
      <c r="U563" s="5"/>
      <c r="V563" s="5"/>
      <c r="W563" s="5"/>
      <c r="X563" s="5"/>
      <c r="Y563" s="5"/>
      <c r="Z563" s="7"/>
      <c r="AA563" s="5"/>
      <c r="AB563" s="5"/>
      <c r="AC563" s="5"/>
      <c r="AD563" s="5"/>
      <c r="AE563" s="5"/>
    </row>
    <row r="564" spans="1:31" ht="15.75" customHeight="1">
      <c r="A564" s="5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5"/>
      <c r="T564" s="5"/>
      <c r="U564" s="5"/>
      <c r="V564" s="5"/>
      <c r="W564" s="5"/>
      <c r="X564" s="5"/>
      <c r="Y564" s="5"/>
      <c r="Z564" s="7"/>
      <c r="AA564" s="5"/>
      <c r="AB564" s="5"/>
      <c r="AC564" s="5"/>
      <c r="AD564" s="5"/>
      <c r="AE564" s="5"/>
    </row>
    <row r="565" spans="1:31" ht="15.75" customHeight="1">
      <c r="A565" s="5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5"/>
      <c r="T565" s="5"/>
      <c r="U565" s="5"/>
      <c r="V565" s="5"/>
      <c r="W565" s="5"/>
      <c r="X565" s="5"/>
      <c r="Y565" s="5"/>
      <c r="Z565" s="7"/>
      <c r="AA565" s="5"/>
      <c r="AB565" s="5"/>
      <c r="AC565" s="5"/>
      <c r="AD565" s="5"/>
      <c r="AE565" s="5"/>
    </row>
    <row r="566" spans="1:31" ht="15.75" customHeight="1">
      <c r="A566" s="5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5"/>
      <c r="T566" s="5"/>
      <c r="U566" s="5"/>
      <c r="V566" s="5"/>
      <c r="W566" s="5"/>
      <c r="X566" s="5"/>
      <c r="Y566" s="5"/>
      <c r="Z566" s="7"/>
      <c r="AA566" s="5"/>
      <c r="AB566" s="5"/>
      <c r="AC566" s="5"/>
      <c r="AD566" s="5"/>
      <c r="AE566" s="5"/>
    </row>
    <row r="567" spans="1:31" ht="15.75" customHeight="1">
      <c r="A567" s="5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5"/>
      <c r="T567" s="5"/>
      <c r="U567" s="5"/>
      <c r="V567" s="5"/>
      <c r="W567" s="5"/>
      <c r="X567" s="5"/>
      <c r="Y567" s="5"/>
      <c r="Z567" s="7"/>
      <c r="AA567" s="5"/>
      <c r="AB567" s="5"/>
      <c r="AC567" s="5"/>
      <c r="AD567" s="5"/>
      <c r="AE567" s="5"/>
    </row>
    <row r="568" spans="1:31" ht="15.75" customHeight="1">
      <c r="A568" s="5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5"/>
      <c r="T568" s="5"/>
      <c r="U568" s="5"/>
      <c r="V568" s="5"/>
      <c r="W568" s="5"/>
      <c r="X568" s="5"/>
      <c r="Y568" s="5"/>
      <c r="Z568" s="7"/>
      <c r="AA568" s="5"/>
      <c r="AB568" s="5"/>
      <c r="AC568" s="5"/>
      <c r="AD568" s="5"/>
      <c r="AE568" s="5"/>
    </row>
    <row r="569" spans="1:31" ht="15.75" customHeight="1">
      <c r="A569" s="5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5"/>
      <c r="T569" s="5"/>
      <c r="U569" s="5"/>
      <c r="V569" s="5"/>
      <c r="W569" s="5"/>
      <c r="X569" s="5"/>
      <c r="Y569" s="5"/>
      <c r="Z569" s="7"/>
      <c r="AA569" s="5"/>
      <c r="AB569" s="5"/>
      <c r="AC569" s="5"/>
      <c r="AD569" s="5"/>
      <c r="AE569" s="5"/>
    </row>
    <row r="570" spans="1:31" ht="15.75" customHeight="1">
      <c r="A570" s="5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5"/>
      <c r="T570" s="5"/>
      <c r="U570" s="5"/>
      <c r="V570" s="5"/>
      <c r="W570" s="5"/>
      <c r="X570" s="5"/>
      <c r="Y570" s="5"/>
      <c r="Z570" s="7"/>
      <c r="AA570" s="5"/>
      <c r="AB570" s="5"/>
      <c r="AC570" s="5"/>
      <c r="AD570" s="5"/>
      <c r="AE570" s="5"/>
    </row>
    <row r="571" spans="1:31" ht="15.75" customHeight="1">
      <c r="A571" s="5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5"/>
      <c r="T571" s="5"/>
      <c r="U571" s="5"/>
      <c r="V571" s="5"/>
      <c r="W571" s="5"/>
      <c r="X571" s="5"/>
      <c r="Y571" s="5"/>
      <c r="Z571" s="7"/>
      <c r="AA571" s="5"/>
      <c r="AB571" s="5"/>
      <c r="AC571" s="5"/>
      <c r="AD571" s="5"/>
      <c r="AE571" s="5"/>
    </row>
    <row r="572" spans="1:31" ht="15.75" customHeight="1">
      <c r="A572" s="5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5"/>
      <c r="T572" s="5"/>
      <c r="U572" s="5"/>
      <c r="V572" s="5"/>
      <c r="W572" s="5"/>
      <c r="X572" s="5"/>
      <c r="Y572" s="5"/>
      <c r="Z572" s="7"/>
      <c r="AA572" s="5"/>
      <c r="AB572" s="5"/>
      <c r="AC572" s="5"/>
      <c r="AD572" s="5"/>
      <c r="AE572" s="5"/>
    </row>
    <row r="573" spans="1:31" ht="15.75" customHeight="1">
      <c r="A573" s="5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5"/>
      <c r="T573" s="5"/>
      <c r="U573" s="5"/>
      <c r="V573" s="5"/>
      <c r="W573" s="5"/>
      <c r="X573" s="5"/>
      <c r="Y573" s="5"/>
      <c r="Z573" s="7"/>
      <c r="AA573" s="5"/>
      <c r="AB573" s="5"/>
      <c r="AC573" s="5"/>
      <c r="AD573" s="5"/>
      <c r="AE573" s="5"/>
    </row>
    <row r="574" spans="1:31" ht="15.75" customHeight="1">
      <c r="A574" s="5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5"/>
      <c r="T574" s="5"/>
      <c r="U574" s="5"/>
      <c r="V574" s="5"/>
      <c r="W574" s="5"/>
      <c r="X574" s="5"/>
      <c r="Y574" s="5"/>
      <c r="Z574" s="7"/>
      <c r="AA574" s="5"/>
      <c r="AB574" s="5"/>
      <c r="AC574" s="5"/>
      <c r="AD574" s="5"/>
      <c r="AE574" s="5"/>
    </row>
    <row r="575" spans="1:31" ht="15.75" customHeight="1">
      <c r="A575" s="5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5"/>
      <c r="T575" s="5"/>
      <c r="U575" s="5"/>
      <c r="V575" s="5"/>
      <c r="W575" s="5"/>
      <c r="X575" s="5"/>
      <c r="Y575" s="5"/>
      <c r="Z575" s="7"/>
      <c r="AA575" s="5"/>
      <c r="AB575" s="5"/>
      <c r="AC575" s="5"/>
      <c r="AD575" s="5"/>
      <c r="AE575" s="5"/>
    </row>
    <row r="576" spans="1:31" ht="15.75" customHeight="1">
      <c r="A576" s="5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5"/>
      <c r="T576" s="5"/>
      <c r="U576" s="5"/>
      <c r="V576" s="5"/>
      <c r="W576" s="5"/>
      <c r="X576" s="5"/>
      <c r="Y576" s="5"/>
      <c r="Z576" s="7"/>
      <c r="AA576" s="5"/>
      <c r="AB576" s="5"/>
      <c r="AC576" s="5"/>
      <c r="AD576" s="5"/>
      <c r="AE576" s="5"/>
    </row>
    <row r="577" spans="1:31" ht="15.75" customHeight="1">
      <c r="A577" s="5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5"/>
      <c r="T577" s="5"/>
      <c r="U577" s="5"/>
      <c r="V577" s="5"/>
      <c r="W577" s="5"/>
      <c r="X577" s="5"/>
      <c r="Y577" s="5"/>
      <c r="Z577" s="7"/>
      <c r="AA577" s="5"/>
      <c r="AB577" s="5"/>
      <c r="AC577" s="5"/>
      <c r="AD577" s="5"/>
      <c r="AE577" s="5"/>
    </row>
    <row r="578" spans="1:31" ht="15.75" customHeight="1">
      <c r="A578" s="5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5"/>
      <c r="T578" s="5"/>
      <c r="U578" s="5"/>
      <c r="V578" s="5"/>
      <c r="W578" s="5"/>
      <c r="X578" s="5"/>
      <c r="Y578" s="5"/>
      <c r="Z578" s="7"/>
      <c r="AA578" s="5"/>
      <c r="AB578" s="5"/>
      <c r="AC578" s="5"/>
      <c r="AD578" s="5"/>
      <c r="AE578" s="5"/>
    </row>
    <row r="579" spans="1:31" ht="15.75" customHeight="1">
      <c r="A579" s="5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5"/>
      <c r="T579" s="5"/>
      <c r="U579" s="5"/>
      <c r="V579" s="5"/>
      <c r="W579" s="5"/>
      <c r="X579" s="5"/>
      <c r="Y579" s="5"/>
      <c r="Z579" s="7"/>
      <c r="AA579" s="5"/>
      <c r="AB579" s="5"/>
      <c r="AC579" s="5"/>
      <c r="AD579" s="5"/>
      <c r="AE579" s="5"/>
    </row>
    <row r="580" spans="1:31" ht="15.75" customHeight="1">
      <c r="A580" s="5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5"/>
      <c r="T580" s="5"/>
      <c r="U580" s="5"/>
      <c r="V580" s="5"/>
      <c r="W580" s="5"/>
      <c r="X580" s="5"/>
      <c r="Y580" s="5"/>
      <c r="Z580" s="7"/>
      <c r="AA580" s="5"/>
      <c r="AB580" s="5"/>
      <c r="AC580" s="5"/>
      <c r="AD580" s="5"/>
      <c r="AE580" s="5"/>
    </row>
    <row r="581" spans="1:31" ht="15.75" customHeight="1">
      <c r="A581" s="5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5"/>
      <c r="T581" s="5"/>
      <c r="U581" s="5"/>
      <c r="V581" s="5"/>
      <c r="W581" s="5"/>
      <c r="X581" s="5"/>
      <c r="Y581" s="5"/>
      <c r="Z581" s="7"/>
      <c r="AA581" s="5"/>
      <c r="AB581" s="5"/>
      <c r="AC581" s="5"/>
      <c r="AD581" s="5"/>
      <c r="AE581" s="5"/>
    </row>
    <row r="582" spans="1:31" ht="15.75" customHeight="1">
      <c r="A582" s="5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5"/>
      <c r="T582" s="5"/>
      <c r="U582" s="5"/>
      <c r="V582" s="5"/>
      <c r="W582" s="5"/>
      <c r="X582" s="5"/>
      <c r="Y582" s="5"/>
      <c r="Z582" s="7"/>
      <c r="AA582" s="5"/>
      <c r="AB582" s="5"/>
      <c r="AC582" s="5"/>
      <c r="AD582" s="5"/>
      <c r="AE582" s="5"/>
    </row>
    <row r="583" spans="1:31" ht="15.75" customHeight="1">
      <c r="A583" s="5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5"/>
      <c r="T583" s="5"/>
      <c r="U583" s="5"/>
      <c r="V583" s="5"/>
      <c r="W583" s="5"/>
      <c r="X583" s="5"/>
      <c r="Y583" s="5"/>
      <c r="Z583" s="7"/>
      <c r="AA583" s="5"/>
      <c r="AB583" s="5"/>
      <c r="AC583" s="5"/>
      <c r="AD583" s="5"/>
      <c r="AE583" s="5"/>
    </row>
    <row r="584" spans="1:31" ht="15.75" customHeight="1">
      <c r="A584" s="5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5"/>
      <c r="T584" s="5"/>
      <c r="U584" s="5"/>
      <c r="V584" s="5"/>
      <c r="W584" s="5"/>
      <c r="X584" s="5"/>
      <c r="Y584" s="5"/>
      <c r="Z584" s="7"/>
      <c r="AA584" s="5"/>
      <c r="AB584" s="5"/>
      <c r="AC584" s="5"/>
      <c r="AD584" s="5"/>
      <c r="AE584" s="5"/>
    </row>
    <row r="585" spans="1:31" ht="15.75" customHeight="1">
      <c r="A585" s="5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5"/>
      <c r="T585" s="5"/>
      <c r="U585" s="5"/>
      <c r="V585" s="5"/>
      <c r="W585" s="5"/>
      <c r="X585" s="5"/>
      <c r="Y585" s="5"/>
      <c r="Z585" s="7"/>
      <c r="AA585" s="5"/>
      <c r="AB585" s="5"/>
      <c r="AC585" s="5"/>
      <c r="AD585" s="5"/>
      <c r="AE585" s="5"/>
    </row>
    <row r="586" spans="1:31" ht="15.75" customHeight="1">
      <c r="A586" s="5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5"/>
      <c r="T586" s="5"/>
      <c r="U586" s="5"/>
      <c r="V586" s="5"/>
      <c r="W586" s="5"/>
      <c r="X586" s="5"/>
      <c r="Y586" s="5"/>
      <c r="Z586" s="7"/>
      <c r="AA586" s="5"/>
      <c r="AB586" s="5"/>
      <c r="AC586" s="5"/>
      <c r="AD586" s="5"/>
      <c r="AE586" s="5"/>
    </row>
    <row r="587" spans="1:31" ht="15.75" customHeight="1">
      <c r="A587" s="5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5"/>
      <c r="T587" s="5"/>
      <c r="U587" s="5"/>
      <c r="V587" s="5"/>
      <c r="W587" s="5"/>
      <c r="X587" s="5"/>
      <c r="Y587" s="5"/>
      <c r="Z587" s="7"/>
      <c r="AA587" s="5"/>
      <c r="AB587" s="5"/>
      <c r="AC587" s="5"/>
      <c r="AD587" s="5"/>
      <c r="AE587" s="5"/>
    </row>
    <row r="588" spans="1:31" ht="15.75" customHeight="1">
      <c r="A588" s="5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5"/>
      <c r="T588" s="5"/>
      <c r="U588" s="5"/>
      <c r="V588" s="5"/>
      <c r="W588" s="5"/>
      <c r="X588" s="5"/>
      <c r="Y588" s="5"/>
      <c r="Z588" s="7"/>
      <c r="AA588" s="5"/>
      <c r="AB588" s="5"/>
      <c r="AC588" s="5"/>
      <c r="AD588" s="5"/>
      <c r="AE588" s="5"/>
    </row>
    <row r="589" spans="1:31" ht="15.75" customHeight="1">
      <c r="A589" s="5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5"/>
      <c r="T589" s="5"/>
      <c r="U589" s="5"/>
      <c r="V589" s="5"/>
      <c r="W589" s="5"/>
      <c r="X589" s="5"/>
      <c r="Y589" s="5"/>
      <c r="Z589" s="7"/>
      <c r="AA589" s="5"/>
      <c r="AB589" s="5"/>
      <c r="AC589" s="5"/>
      <c r="AD589" s="5"/>
      <c r="AE589" s="5"/>
    </row>
    <row r="590" spans="1:31" ht="15.75" customHeight="1">
      <c r="A590" s="5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5"/>
      <c r="T590" s="5"/>
      <c r="U590" s="5"/>
      <c r="V590" s="5"/>
      <c r="W590" s="5"/>
      <c r="X590" s="5"/>
      <c r="Y590" s="5"/>
      <c r="Z590" s="7"/>
      <c r="AA590" s="5"/>
      <c r="AB590" s="5"/>
      <c r="AC590" s="5"/>
      <c r="AD590" s="5"/>
      <c r="AE590" s="5"/>
    </row>
    <row r="591" spans="1:31" ht="15.75" customHeight="1">
      <c r="A591" s="5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5"/>
      <c r="T591" s="5"/>
      <c r="U591" s="5"/>
      <c r="V591" s="5"/>
      <c r="W591" s="5"/>
      <c r="X591" s="5"/>
      <c r="Y591" s="5"/>
      <c r="Z591" s="7"/>
      <c r="AA591" s="5"/>
      <c r="AB591" s="5"/>
      <c r="AC591" s="5"/>
      <c r="AD591" s="5"/>
      <c r="AE591" s="5"/>
    </row>
    <row r="592" spans="1:31" ht="15.75" customHeight="1">
      <c r="A592" s="5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5"/>
      <c r="T592" s="5"/>
      <c r="U592" s="5"/>
      <c r="V592" s="5"/>
      <c r="W592" s="5"/>
      <c r="X592" s="5"/>
      <c r="Y592" s="5"/>
      <c r="Z592" s="7"/>
      <c r="AA592" s="5"/>
      <c r="AB592" s="5"/>
      <c r="AC592" s="5"/>
      <c r="AD592" s="5"/>
      <c r="AE592" s="5"/>
    </row>
    <row r="593" spans="1:31" ht="15.75" customHeight="1">
      <c r="A593" s="5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5"/>
      <c r="T593" s="5"/>
      <c r="U593" s="5"/>
      <c r="V593" s="5"/>
      <c r="W593" s="5"/>
      <c r="X593" s="5"/>
      <c r="Y593" s="5"/>
      <c r="Z593" s="7"/>
      <c r="AA593" s="5"/>
      <c r="AB593" s="5"/>
      <c r="AC593" s="5"/>
      <c r="AD593" s="5"/>
      <c r="AE593" s="5"/>
    </row>
    <row r="594" spans="1:31" ht="15.75" customHeight="1">
      <c r="A594" s="5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5"/>
      <c r="T594" s="5"/>
      <c r="U594" s="5"/>
      <c r="V594" s="5"/>
      <c r="W594" s="5"/>
      <c r="X594" s="5"/>
      <c r="Y594" s="5"/>
      <c r="Z594" s="7"/>
      <c r="AA594" s="5"/>
      <c r="AB594" s="5"/>
      <c r="AC594" s="5"/>
      <c r="AD594" s="5"/>
      <c r="AE594" s="5"/>
    </row>
    <row r="595" spans="1:31" ht="15.75" customHeight="1">
      <c r="A595" s="5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5"/>
      <c r="T595" s="5"/>
      <c r="U595" s="5"/>
      <c r="V595" s="5"/>
      <c r="W595" s="5"/>
      <c r="X595" s="5"/>
      <c r="Y595" s="5"/>
      <c r="Z595" s="7"/>
      <c r="AA595" s="5"/>
      <c r="AB595" s="5"/>
      <c r="AC595" s="5"/>
      <c r="AD595" s="5"/>
      <c r="AE595" s="5"/>
    </row>
    <row r="596" spans="1:31" ht="15.75" customHeight="1">
      <c r="A596" s="5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5"/>
      <c r="T596" s="5"/>
      <c r="U596" s="5"/>
      <c r="V596" s="5"/>
      <c r="W596" s="5"/>
      <c r="X596" s="5"/>
      <c r="Y596" s="5"/>
      <c r="Z596" s="7"/>
      <c r="AA596" s="5"/>
      <c r="AB596" s="5"/>
      <c r="AC596" s="5"/>
      <c r="AD596" s="5"/>
      <c r="AE596" s="5"/>
    </row>
    <row r="597" spans="1:31" ht="15.75" customHeight="1">
      <c r="A597" s="5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5"/>
      <c r="T597" s="5"/>
      <c r="U597" s="5"/>
      <c r="V597" s="5"/>
      <c r="W597" s="5"/>
      <c r="X597" s="5"/>
      <c r="Y597" s="5"/>
      <c r="Z597" s="7"/>
      <c r="AA597" s="5"/>
      <c r="AB597" s="5"/>
      <c r="AC597" s="5"/>
      <c r="AD597" s="5"/>
      <c r="AE597" s="5"/>
    </row>
    <row r="598" spans="1:31" ht="15.75" customHeight="1">
      <c r="A598" s="5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5"/>
      <c r="T598" s="5"/>
      <c r="U598" s="5"/>
      <c r="V598" s="5"/>
      <c r="W598" s="5"/>
      <c r="X598" s="5"/>
      <c r="Y598" s="5"/>
      <c r="Z598" s="7"/>
      <c r="AA598" s="5"/>
      <c r="AB598" s="5"/>
      <c r="AC598" s="5"/>
      <c r="AD598" s="5"/>
      <c r="AE598" s="5"/>
    </row>
    <row r="599" spans="1:31" ht="15.75" customHeight="1">
      <c r="A599" s="5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5"/>
      <c r="T599" s="5"/>
      <c r="U599" s="5"/>
      <c r="V599" s="5"/>
      <c r="W599" s="5"/>
      <c r="X599" s="5"/>
      <c r="Y599" s="5"/>
      <c r="Z599" s="7"/>
      <c r="AA599" s="5"/>
      <c r="AB599" s="5"/>
      <c r="AC599" s="5"/>
      <c r="AD599" s="5"/>
      <c r="AE599" s="5"/>
    </row>
    <row r="600" spans="1:31" ht="15.75" customHeight="1">
      <c r="A600" s="5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5"/>
      <c r="T600" s="5"/>
      <c r="U600" s="5"/>
      <c r="V600" s="5"/>
      <c r="W600" s="5"/>
      <c r="X600" s="5"/>
      <c r="Y600" s="5"/>
      <c r="Z600" s="7"/>
      <c r="AA600" s="5"/>
      <c r="AB600" s="5"/>
      <c r="AC600" s="5"/>
      <c r="AD600" s="5"/>
      <c r="AE600" s="5"/>
    </row>
    <row r="601" spans="1:31" ht="15.75" customHeight="1">
      <c r="A601" s="5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5"/>
      <c r="T601" s="5"/>
      <c r="U601" s="5"/>
      <c r="V601" s="5"/>
      <c r="W601" s="5"/>
      <c r="X601" s="5"/>
      <c r="Y601" s="5"/>
      <c r="Z601" s="7"/>
      <c r="AA601" s="5"/>
      <c r="AB601" s="5"/>
      <c r="AC601" s="5"/>
      <c r="AD601" s="5"/>
      <c r="AE601" s="5"/>
    </row>
    <row r="602" spans="1:31" ht="15.75" customHeight="1">
      <c r="A602" s="5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5"/>
      <c r="T602" s="5"/>
      <c r="U602" s="5"/>
      <c r="V602" s="5"/>
      <c r="W602" s="5"/>
      <c r="X602" s="5"/>
      <c r="Y602" s="5"/>
      <c r="Z602" s="7"/>
      <c r="AA602" s="5"/>
      <c r="AB602" s="5"/>
      <c r="AC602" s="5"/>
      <c r="AD602" s="5"/>
      <c r="AE602" s="5"/>
    </row>
    <row r="603" spans="1:31" ht="15.75" customHeight="1">
      <c r="A603" s="5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5"/>
      <c r="T603" s="5"/>
      <c r="U603" s="5"/>
      <c r="V603" s="5"/>
      <c r="W603" s="5"/>
      <c r="X603" s="5"/>
      <c r="Y603" s="5"/>
      <c r="Z603" s="7"/>
      <c r="AA603" s="5"/>
      <c r="AB603" s="5"/>
      <c r="AC603" s="5"/>
      <c r="AD603" s="5"/>
      <c r="AE603" s="5"/>
    </row>
    <row r="604" spans="1:31" ht="15.75" customHeight="1">
      <c r="A604" s="5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5"/>
      <c r="T604" s="5"/>
      <c r="U604" s="5"/>
      <c r="V604" s="5"/>
      <c r="W604" s="5"/>
      <c r="X604" s="5"/>
      <c r="Y604" s="5"/>
      <c r="Z604" s="7"/>
      <c r="AA604" s="5"/>
      <c r="AB604" s="5"/>
      <c r="AC604" s="5"/>
      <c r="AD604" s="5"/>
      <c r="AE604" s="5"/>
    </row>
    <row r="605" spans="1:31" ht="15.75" customHeight="1">
      <c r="A605" s="5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5"/>
      <c r="T605" s="5"/>
      <c r="U605" s="5"/>
      <c r="V605" s="5"/>
      <c r="W605" s="5"/>
      <c r="X605" s="5"/>
      <c r="Y605" s="5"/>
      <c r="Z605" s="7"/>
      <c r="AA605" s="5"/>
      <c r="AB605" s="5"/>
      <c r="AC605" s="5"/>
      <c r="AD605" s="5"/>
      <c r="AE605" s="5"/>
    </row>
    <row r="606" spans="1:31" ht="15.75" customHeight="1">
      <c r="A606" s="5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5"/>
      <c r="T606" s="5"/>
      <c r="U606" s="5"/>
      <c r="V606" s="5"/>
      <c r="W606" s="5"/>
      <c r="X606" s="5"/>
      <c r="Y606" s="5"/>
      <c r="Z606" s="7"/>
      <c r="AA606" s="5"/>
      <c r="AB606" s="5"/>
      <c r="AC606" s="5"/>
      <c r="AD606" s="5"/>
      <c r="AE606" s="5"/>
    </row>
    <row r="607" spans="1:31" ht="15.75" customHeight="1">
      <c r="A607" s="5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5"/>
      <c r="T607" s="5"/>
      <c r="U607" s="5"/>
      <c r="V607" s="5"/>
      <c r="W607" s="5"/>
      <c r="X607" s="5"/>
      <c r="Y607" s="5"/>
      <c r="Z607" s="7"/>
      <c r="AA607" s="5"/>
      <c r="AB607" s="5"/>
      <c r="AC607" s="5"/>
      <c r="AD607" s="5"/>
      <c r="AE607" s="5"/>
    </row>
    <row r="608" spans="1:31" ht="15.75" customHeight="1">
      <c r="A608" s="5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5"/>
      <c r="T608" s="5"/>
      <c r="U608" s="5"/>
      <c r="V608" s="5"/>
      <c r="W608" s="5"/>
      <c r="X608" s="5"/>
      <c r="Y608" s="5"/>
      <c r="Z608" s="7"/>
      <c r="AA608" s="5"/>
      <c r="AB608" s="5"/>
      <c r="AC608" s="5"/>
      <c r="AD608" s="5"/>
      <c r="AE608" s="5"/>
    </row>
    <row r="609" spans="1:31" ht="15.75" customHeight="1">
      <c r="A609" s="5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5"/>
      <c r="T609" s="5"/>
      <c r="U609" s="5"/>
      <c r="V609" s="5"/>
      <c r="W609" s="5"/>
      <c r="X609" s="5"/>
      <c r="Y609" s="5"/>
      <c r="Z609" s="7"/>
      <c r="AA609" s="5"/>
      <c r="AB609" s="5"/>
      <c r="AC609" s="5"/>
      <c r="AD609" s="5"/>
      <c r="AE609" s="5"/>
    </row>
    <row r="610" spans="1:31" ht="15.75" customHeight="1">
      <c r="A610" s="5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5"/>
      <c r="T610" s="5"/>
      <c r="U610" s="5"/>
      <c r="V610" s="5"/>
      <c r="W610" s="5"/>
      <c r="X610" s="5"/>
      <c r="Y610" s="5"/>
      <c r="Z610" s="7"/>
      <c r="AA610" s="5"/>
      <c r="AB610" s="5"/>
      <c r="AC610" s="5"/>
      <c r="AD610" s="5"/>
      <c r="AE610" s="5"/>
    </row>
    <row r="611" spans="1:31" ht="15.75" customHeight="1">
      <c r="A611" s="5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5"/>
      <c r="T611" s="5"/>
      <c r="U611" s="5"/>
      <c r="V611" s="5"/>
      <c r="W611" s="5"/>
      <c r="X611" s="5"/>
      <c r="Y611" s="5"/>
      <c r="Z611" s="7"/>
      <c r="AA611" s="5"/>
      <c r="AB611" s="5"/>
      <c r="AC611" s="5"/>
      <c r="AD611" s="5"/>
      <c r="AE611" s="5"/>
    </row>
    <row r="612" spans="1:31" ht="15.75" customHeight="1">
      <c r="A612" s="5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5"/>
      <c r="T612" s="5"/>
      <c r="U612" s="5"/>
      <c r="V612" s="5"/>
      <c r="W612" s="5"/>
      <c r="X612" s="5"/>
      <c r="Y612" s="5"/>
      <c r="Z612" s="7"/>
      <c r="AA612" s="5"/>
      <c r="AB612" s="5"/>
      <c r="AC612" s="5"/>
      <c r="AD612" s="5"/>
      <c r="AE612" s="5"/>
    </row>
    <row r="613" spans="1:31" ht="15.75" customHeight="1">
      <c r="A613" s="5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5"/>
      <c r="T613" s="5"/>
      <c r="U613" s="5"/>
      <c r="V613" s="5"/>
      <c r="W613" s="5"/>
      <c r="X613" s="5"/>
      <c r="Y613" s="5"/>
      <c r="Z613" s="7"/>
      <c r="AA613" s="5"/>
      <c r="AB613" s="5"/>
      <c r="AC613" s="5"/>
      <c r="AD613" s="5"/>
      <c r="AE613" s="5"/>
    </row>
    <row r="614" spans="1:31" ht="15.75" customHeight="1">
      <c r="A614" s="5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5"/>
      <c r="T614" s="5"/>
      <c r="U614" s="5"/>
      <c r="V614" s="5"/>
      <c r="W614" s="5"/>
      <c r="X614" s="5"/>
      <c r="Y614" s="5"/>
      <c r="Z614" s="7"/>
      <c r="AA614" s="5"/>
      <c r="AB614" s="5"/>
      <c r="AC614" s="5"/>
      <c r="AD614" s="5"/>
      <c r="AE614" s="5"/>
    </row>
    <row r="615" spans="1:31" ht="15.75" customHeight="1">
      <c r="A615" s="5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5"/>
      <c r="T615" s="5"/>
      <c r="U615" s="5"/>
      <c r="V615" s="5"/>
      <c r="W615" s="5"/>
      <c r="X615" s="5"/>
      <c r="Y615" s="5"/>
      <c r="Z615" s="7"/>
      <c r="AA615" s="5"/>
      <c r="AB615" s="5"/>
      <c r="AC615" s="5"/>
      <c r="AD615" s="5"/>
      <c r="AE615" s="5"/>
    </row>
    <row r="616" spans="1:31" ht="15.75" customHeight="1">
      <c r="A616" s="5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5"/>
      <c r="T616" s="5"/>
      <c r="U616" s="5"/>
      <c r="V616" s="5"/>
      <c r="W616" s="5"/>
      <c r="X616" s="5"/>
      <c r="Y616" s="5"/>
      <c r="Z616" s="7"/>
      <c r="AA616" s="5"/>
      <c r="AB616" s="5"/>
      <c r="AC616" s="5"/>
      <c r="AD616" s="5"/>
      <c r="AE616" s="5"/>
    </row>
    <row r="617" spans="1:31" ht="15.75" customHeight="1">
      <c r="A617" s="5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5"/>
      <c r="T617" s="5"/>
      <c r="U617" s="5"/>
      <c r="V617" s="5"/>
      <c r="W617" s="5"/>
      <c r="X617" s="5"/>
      <c r="Y617" s="5"/>
      <c r="Z617" s="7"/>
      <c r="AA617" s="5"/>
      <c r="AB617" s="5"/>
      <c r="AC617" s="5"/>
      <c r="AD617" s="5"/>
      <c r="AE617" s="5"/>
    </row>
    <row r="618" spans="1:31" ht="15.75" customHeight="1">
      <c r="A618" s="5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5"/>
      <c r="T618" s="5"/>
      <c r="U618" s="5"/>
      <c r="V618" s="5"/>
      <c r="W618" s="5"/>
      <c r="X618" s="5"/>
      <c r="Y618" s="5"/>
      <c r="Z618" s="7"/>
      <c r="AA618" s="5"/>
      <c r="AB618" s="5"/>
      <c r="AC618" s="5"/>
      <c r="AD618" s="5"/>
      <c r="AE618" s="5"/>
    </row>
    <row r="619" spans="1:31" ht="15.75" customHeight="1">
      <c r="A619" s="5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5"/>
      <c r="T619" s="5"/>
      <c r="U619" s="5"/>
      <c r="V619" s="5"/>
      <c r="W619" s="5"/>
      <c r="X619" s="5"/>
      <c r="Y619" s="5"/>
      <c r="Z619" s="7"/>
      <c r="AA619" s="5"/>
      <c r="AB619" s="5"/>
      <c r="AC619" s="5"/>
      <c r="AD619" s="5"/>
      <c r="AE619" s="5"/>
    </row>
    <row r="620" spans="1:31" ht="15.75" customHeight="1">
      <c r="A620" s="5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5"/>
      <c r="T620" s="5"/>
      <c r="U620" s="5"/>
      <c r="V620" s="5"/>
      <c r="W620" s="5"/>
      <c r="X620" s="5"/>
      <c r="Y620" s="5"/>
      <c r="Z620" s="7"/>
      <c r="AA620" s="5"/>
      <c r="AB620" s="5"/>
      <c r="AC620" s="5"/>
      <c r="AD620" s="5"/>
      <c r="AE620" s="5"/>
    </row>
    <row r="621" spans="1:31" ht="15.75" customHeight="1">
      <c r="A621" s="5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5"/>
      <c r="T621" s="5"/>
      <c r="U621" s="5"/>
      <c r="V621" s="5"/>
      <c r="W621" s="5"/>
      <c r="X621" s="5"/>
      <c r="Y621" s="5"/>
      <c r="Z621" s="7"/>
      <c r="AA621" s="5"/>
      <c r="AB621" s="5"/>
      <c r="AC621" s="5"/>
      <c r="AD621" s="5"/>
      <c r="AE621" s="5"/>
    </row>
    <row r="622" spans="1:31" ht="15.75" customHeight="1">
      <c r="A622" s="5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5"/>
      <c r="T622" s="5"/>
      <c r="U622" s="5"/>
      <c r="V622" s="5"/>
      <c r="W622" s="5"/>
      <c r="X622" s="5"/>
      <c r="Y622" s="5"/>
      <c r="Z622" s="7"/>
      <c r="AA622" s="5"/>
      <c r="AB622" s="5"/>
      <c r="AC622" s="5"/>
      <c r="AD622" s="5"/>
      <c r="AE622" s="5"/>
    </row>
    <row r="623" spans="1:31" ht="15.75" customHeight="1">
      <c r="A623" s="5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5"/>
      <c r="T623" s="5"/>
      <c r="U623" s="5"/>
      <c r="V623" s="5"/>
      <c r="W623" s="5"/>
      <c r="X623" s="5"/>
      <c r="Y623" s="5"/>
      <c r="Z623" s="7"/>
      <c r="AA623" s="5"/>
      <c r="AB623" s="5"/>
      <c r="AC623" s="5"/>
      <c r="AD623" s="5"/>
      <c r="AE623" s="5"/>
    </row>
    <row r="624" spans="1:31" ht="15.75" customHeight="1">
      <c r="A624" s="5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5"/>
      <c r="T624" s="5"/>
      <c r="U624" s="5"/>
      <c r="V624" s="5"/>
      <c r="W624" s="5"/>
      <c r="X624" s="5"/>
      <c r="Y624" s="5"/>
      <c r="Z624" s="7"/>
      <c r="AA624" s="5"/>
      <c r="AB624" s="5"/>
      <c r="AC624" s="5"/>
      <c r="AD624" s="5"/>
      <c r="AE624" s="5"/>
    </row>
    <row r="625" spans="1:31" ht="15.75" customHeight="1">
      <c r="A625" s="5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5"/>
      <c r="T625" s="5"/>
      <c r="U625" s="5"/>
      <c r="V625" s="5"/>
      <c r="W625" s="5"/>
      <c r="X625" s="5"/>
      <c r="Y625" s="5"/>
      <c r="Z625" s="7"/>
      <c r="AA625" s="5"/>
      <c r="AB625" s="5"/>
      <c r="AC625" s="5"/>
      <c r="AD625" s="5"/>
      <c r="AE625" s="5"/>
    </row>
    <row r="626" spans="1:31" ht="15.75" customHeight="1">
      <c r="A626" s="5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5"/>
      <c r="T626" s="5"/>
      <c r="U626" s="5"/>
      <c r="V626" s="5"/>
      <c r="W626" s="5"/>
      <c r="X626" s="5"/>
      <c r="Y626" s="5"/>
      <c r="Z626" s="7"/>
      <c r="AA626" s="5"/>
      <c r="AB626" s="5"/>
      <c r="AC626" s="5"/>
      <c r="AD626" s="5"/>
      <c r="AE626" s="5"/>
    </row>
    <row r="627" spans="1:31" ht="15.75" customHeight="1">
      <c r="A627" s="5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5"/>
      <c r="T627" s="5"/>
      <c r="U627" s="5"/>
      <c r="V627" s="5"/>
      <c r="W627" s="5"/>
      <c r="X627" s="5"/>
      <c r="Y627" s="5"/>
      <c r="Z627" s="7"/>
      <c r="AA627" s="5"/>
      <c r="AB627" s="5"/>
      <c r="AC627" s="5"/>
      <c r="AD627" s="5"/>
      <c r="AE627" s="5"/>
    </row>
    <row r="628" spans="1:31" ht="15.75" customHeight="1">
      <c r="A628" s="5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5"/>
      <c r="T628" s="5"/>
      <c r="U628" s="5"/>
      <c r="V628" s="5"/>
      <c r="W628" s="5"/>
      <c r="X628" s="5"/>
      <c r="Y628" s="5"/>
      <c r="Z628" s="7"/>
      <c r="AA628" s="5"/>
      <c r="AB628" s="5"/>
      <c r="AC628" s="5"/>
      <c r="AD628" s="5"/>
      <c r="AE628" s="5"/>
    </row>
    <row r="629" spans="1:31" ht="15.75" customHeight="1">
      <c r="A629" s="5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5"/>
      <c r="T629" s="5"/>
      <c r="U629" s="5"/>
      <c r="V629" s="5"/>
      <c r="W629" s="5"/>
      <c r="X629" s="5"/>
      <c r="Y629" s="5"/>
      <c r="Z629" s="7"/>
      <c r="AA629" s="5"/>
      <c r="AB629" s="5"/>
      <c r="AC629" s="5"/>
      <c r="AD629" s="5"/>
      <c r="AE629" s="5"/>
    </row>
    <row r="630" spans="1:31" ht="15.75" customHeight="1">
      <c r="A630" s="5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5"/>
      <c r="T630" s="5"/>
      <c r="U630" s="5"/>
      <c r="V630" s="5"/>
      <c r="W630" s="5"/>
      <c r="X630" s="5"/>
      <c r="Y630" s="5"/>
      <c r="Z630" s="7"/>
      <c r="AA630" s="5"/>
      <c r="AB630" s="5"/>
      <c r="AC630" s="5"/>
      <c r="AD630" s="5"/>
      <c r="AE630" s="5"/>
    </row>
    <row r="631" spans="1:31" ht="15.75" customHeight="1">
      <c r="A631" s="5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5"/>
      <c r="T631" s="5"/>
      <c r="U631" s="5"/>
      <c r="V631" s="5"/>
      <c r="W631" s="5"/>
      <c r="X631" s="5"/>
      <c r="Y631" s="5"/>
      <c r="Z631" s="7"/>
      <c r="AA631" s="5"/>
      <c r="AB631" s="5"/>
      <c r="AC631" s="5"/>
      <c r="AD631" s="5"/>
      <c r="AE631" s="5"/>
    </row>
    <row r="632" spans="1:31" ht="15.75" customHeight="1">
      <c r="A632" s="5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5"/>
      <c r="T632" s="5"/>
      <c r="U632" s="5"/>
      <c r="V632" s="5"/>
      <c r="W632" s="5"/>
      <c r="X632" s="5"/>
      <c r="Y632" s="5"/>
      <c r="Z632" s="7"/>
      <c r="AA632" s="5"/>
      <c r="AB632" s="5"/>
      <c r="AC632" s="5"/>
      <c r="AD632" s="5"/>
      <c r="AE632" s="5"/>
    </row>
    <row r="633" spans="1:31" ht="15.75" customHeight="1">
      <c r="A633" s="5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5"/>
      <c r="T633" s="5"/>
      <c r="U633" s="5"/>
      <c r="V633" s="5"/>
      <c r="W633" s="5"/>
      <c r="X633" s="5"/>
      <c r="Y633" s="5"/>
      <c r="Z633" s="7"/>
      <c r="AA633" s="5"/>
      <c r="AB633" s="5"/>
      <c r="AC633" s="5"/>
      <c r="AD633" s="5"/>
      <c r="AE633" s="5"/>
    </row>
    <row r="634" spans="1:31" ht="15.75" customHeight="1">
      <c r="A634" s="5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5"/>
      <c r="T634" s="5"/>
      <c r="U634" s="5"/>
      <c r="V634" s="5"/>
      <c r="W634" s="5"/>
      <c r="X634" s="5"/>
      <c r="Y634" s="5"/>
      <c r="Z634" s="7"/>
      <c r="AA634" s="5"/>
      <c r="AB634" s="5"/>
      <c r="AC634" s="5"/>
      <c r="AD634" s="5"/>
      <c r="AE634" s="5"/>
    </row>
    <row r="635" spans="1:31" ht="15.75" customHeight="1">
      <c r="A635" s="5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5"/>
      <c r="T635" s="5"/>
      <c r="U635" s="5"/>
      <c r="V635" s="5"/>
      <c r="W635" s="5"/>
      <c r="X635" s="5"/>
      <c r="Y635" s="5"/>
      <c r="Z635" s="7"/>
      <c r="AA635" s="5"/>
      <c r="AB635" s="5"/>
      <c r="AC635" s="5"/>
      <c r="AD635" s="5"/>
      <c r="AE635" s="5"/>
    </row>
    <row r="636" spans="1:31" ht="15.75" customHeight="1">
      <c r="A636" s="5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5"/>
      <c r="T636" s="5"/>
      <c r="U636" s="5"/>
      <c r="V636" s="5"/>
      <c r="W636" s="5"/>
      <c r="X636" s="5"/>
      <c r="Y636" s="5"/>
      <c r="Z636" s="7"/>
      <c r="AA636" s="5"/>
      <c r="AB636" s="5"/>
      <c r="AC636" s="5"/>
      <c r="AD636" s="5"/>
      <c r="AE636" s="5"/>
    </row>
    <row r="637" spans="1:31" ht="15.75" customHeight="1">
      <c r="A637" s="5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5"/>
      <c r="T637" s="5"/>
      <c r="U637" s="5"/>
      <c r="V637" s="5"/>
      <c r="W637" s="5"/>
      <c r="X637" s="5"/>
      <c r="Y637" s="5"/>
      <c r="Z637" s="7"/>
      <c r="AA637" s="5"/>
      <c r="AB637" s="5"/>
      <c r="AC637" s="5"/>
      <c r="AD637" s="5"/>
      <c r="AE637" s="5"/>
    </row>
    <row r="638" spans="1:31" ht="15.75" customHeight="1">
      <c r="A638" s="5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5"/>
      <c r="T638" s="5"/>
      <c r="U638" s="5"/>
      <c r="V638" s="5"/>
      <c r="W638" s="5"/>
      <c r="X638" s="5"/>
      <c r="Y638" s="5"/>
      <c r="Z638" s="7"/>
      <c r="AA638" s="5"/>
      <c r="AB638" s="5"/>
      <c r="AC638" s="5"/>
      <c r="AD638" s="5"/>
      <c r="AE638" s="5"/>
    </row>
    <row r="639" spans="1:31" ht="15.75" customHeight="1">
      <c r="A639" s="5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5"/>
      <c r="T639" s="5"/>
      <c r="U639" s="5"/>
      <c r="V639" s="5"/>
      <c r="W639" s="5"/>
      <c r="X639" s="5"/>
      <c r="Y639" s="5"/>
      <c r="Z639" s="7"/>
      <c r="AA639" s="5"/>
      <c r="AB639" s="5"/>
      <c r="AC639" s="5"/>
      <c r="AD639" s="5"/>
      <c r="AE639" s="5"/>
    </row>
    <row r="640" spans="1:31" ht="15.75" customHeight="1">
      <c r="A640" s="5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5"/>
      <c r="T640" s="5"/>
      <c r="U640" s="5"/>
      <c r="V640" s="5"/>
      <c r="W640" s="5"/>
      <c r="X640" s="5"/>
      <c r="Y640" s="5"/>
      <c r="Z640" s="7"/>
      <c r="AA640" s="5"/>
      <c r="AB640" s="5"/>
      <c r="AC640" s="5"/>
      <c r="AD640" s="5"/>
      <c r="AE640" s="5"/>
    </row>
    <row r="641" spans="1:31" ht="15.75" customHeight="1">
      <c r="A641" s="5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5"/>
      <c r="T641" s="5"/>
      <c r="U641" s="5"/>
      <c r="V641" s="5"/>
      <c r="W641" s="5"/>
      <c r="X641" s="5"/>
      <c r="Y641" s="5"/>
      <c r="Z641" s="7"/>
      <c r="AA641" s="5"/>
      <c r="AB641" s="5"/>
      <c r="AC641" s="5"/>
      <c r="AD641" s="5"/>
      <c r="AE641" s="5"/>
    </row>
    <row r="642" spans="1:31" ht="15.75" customHeight="1">
      <c r="A642" s="5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5"/>
      <c r="T642" s="5"/>
      <c r="U642" s="5"/>
      <c r="V642" s="5"/>
      <c r="W642" s="5"/>
      <c r="X642" s="5"/>
      <c r="Y642" s="5"/>
      <c r="Z642" s="7"/>
      <c r="AA642" s="5"/>
      <c r="AB642" s="5"/>
      <c r="AC642" s="5"/>
      <c r="AD642" s="5"/>
      <c r="AE642" s="5"/>
    </row>
    <row r="643" spans="1:31" ht="15.75" customHeight="1">
      <c r="A643" s="5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5"/>
      <c r="T643" s="5"/>
      <c r="U643" s="5"/>
      <c r="V643" s="5"/>
      <c r="W643" s="5"/>
      <c r="X643" s="5"/>
      <c r="Y643" s="5"/>
      <c r="Z643" s="7"/>
      <c r="AA643" s="5"/>
      <c r="AB643" s="5"/>
      <c r="AC643" s="5"/>
      <c r="AD643" s="5"/>
      <c r="AE643" s="5"/>
    </row>
    <row r="644" spans="1:31" ht="15.75" customHeight="1">
      <c r="A644" s="5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5"/>
      <c r="T644" s="5"/>
      <c r="U644" s="5"/>
      <c r="V644" s="5"/>
      <c r="W644" s="5"/>
      <c r="X644" s="5"/>
      <c r="Y644" s="5"/>
      <c r="Z644" s="7"/>
      <c r="AA644" s="5"/>
      <c r="AB644" s="5"/>
      <c r="AC644" s="5"/>
      <c r="AD644" s="5"/>
      <c r="AE644" s="5"/>
    </row>
    <row r="645" spans="1:31" ht="15.75" customHeight="1">
      <c r="A645" s="5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5"/>
      <c r="T645" s="5"/>
      <c r="U645" s="5"/>
      <c r="V645" s="5"/>
      <c r="W645" s="5"/>
      <c r="X645" s="5"/>
      <c r="Y645" s="5"/>
      <c r="Z645" s="7"/>
      <c r="AA645" s="5"/>
      <c r="AB645" s="5"/>
      <c r="AC645" s="5"/>
      <c r="AD645" s="5"/>
      <c r="AE645" s="5"/>
    </row>
    <row r="646" spans="1:31" ht="15.75" customHeight="1">
      <c r="A646" s="5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5"/>
      <c r="T646" s="5"/>
      <c r="U646" s="5"/>
      <c r="V646" s="5"/>
      <c r="W646" s="5"/>
      <c r="X646" s="5"/>
      <c r="Y646" s="5"/>
      <c r="Z646" s="7"/>
      <c r="AA646" s="5"/>
      <c r="AB646" s="5"/>
      <c r="AC646" s="5"/>
      <c r="AD646" s="5"/>
      <c r="AE646" s="5"/>
    </row>
    <row r="647" spans="1:31" ht="15.75" customHeight="1">
      <c r="A647" s="5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5"/>
      <c r="T647" s="5"/>
      <c r="U647" s="5"/>
      <c r="V647" s="5"/>
      <c r="W647" s="5"/>
      <c r="X647" s="5"/>
      <c r="Y647" s="5"/>
      <c r="Z647" s="7"/>
      <c r="AA647" s="5"/>
      <c r="AB647" s="5"/>
      <c r="AC647" s="5"/>
      <c r="AD647" s="5"/>
      <c r="AE647" s="5"/>
    </row>
    <row r="648" spans="1:31" ht="15.75" customHeight="1">
      <c r="A648" s="5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5"/>
      <c r="T648" s="5"/>
      <c r="U648" s="5"/>
      <c r="V648" s="5"/>
      <c r="W648" s="5"/>
      <c r="X648" s="5"/>
      <c r="Y648" s="5"/>
      <c r="Z648" s="7"/>
      <c r="AA648" s="5"/>
      <c r="AB648" s="5"/>
      <c r="AC648" s="5"/>
      <c r="AD648" s="5"/>
      <c r="AE648" s="5"/>
    </row>
    <row r="649" spans="1:31" ht="15.75" customHeight="1">
      <c r="A649" s="5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5"/>
      <c r="T649" s="5"/>
      <c r="U649" s="5"/>
      <c r="V649" s="5"/>
      <c r="W649" s="5"/>
      <c r="X649" s="5"/>
      <c r="Y649" s="5"/>
      <c r="Z649" s="7"/>
      <c r="AA649" s="5"/>
      <c r="AB649" s="5"/>
      <c r="AC649" s="5"/>
      <c r="AD649" s="5"/>
      <c r="AE649" s="5"/>
    </row>
    <row r="650" spans="1:31" ht="15.75" customHeight="1">
      <c r="A650" s="5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5"/>
      <c r="T650" s="5"/>
      <c r="U650" s="5"/>
      <c r="V650" s="5"/>
      <c r="W650" s="5"/>
      <c r="X650" s="5"/>
      <c r="Y650" s="5"/>
      <c r="Z650" s="7"/>
      <c r="AA650" s="5"/>
      <c r="AB650" s="5"/>
      <c r="AC650" s="5"/>
      <c r="AD650" s="5"/>
      <c r="AE650" s="5"/>
    </row>
    <row r="651" spans="1:31" ht="15.75" customHeight="1">
      <c r="A651" s="5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5"/>
      <c r="T651" s="5"/>
      <c r="U651" s="5"/>
      <c r="V651" s="5"/>
      <c r="W651" s="5"/>
      <c r="X651" s="5"/>
      <c r="Y651" s="5"/>
      <c r="Z651" s="7"/>
      <c r="AA651" s="5"/>
      <c r="AB651" s="5"/>
      <c r="AC651" s="5"/>
      <c r="AD651" s="5"/>
      <c r="AE651" s="5"/>
    </row>
    <row r="652" spans="1:31" ht="15.75" customHeight="1">
      <c r="A652" s="5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5"/>
      <c r="T652" s="5"/>
      <c r="U652" s="5"/>
      <c r="V652" s="5"/>
      <c r="W652" s="5"/>
      <c r="X652" s="5"/>
      <c r="Y652" s="5"/>
      <c r="Z652" s="7"/>
      <c r="AA652" s="5"/>
      <c r="AB652" s="5"/>
      <c r="AC652" s="5"/>
      <c r="AD652" s="5"/>
      <c r="AE652" s="5"/>
    </row>
    <row r="653" spans="1:31" ht="15.75" customHeight="1">
      <c r="A653" s="5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5"/>
      <c r="T653" s="5"/>
      <c r="U653" s="5"/>
      <c r="V653" s="5"/>
      <c r="W653" s="5"/>
      <c r="X653" s="5"/>
      <c r="Y653" s="5"/>
      <c r="Z653" s="7"/>
      <c r="AA653" s="5"/>
      <c r="AB653" s="5"/>
      <c r="AC653" s="5"/>
      <c r="AD653" s="5"/>
      <c r="AE653" s="5"/>
    </row>
    <row r="654" spans="1:31" ht="15.75" customHeight="1">
      <c r="A654" s="5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5"/>
      <c r="T654" s="5"/>
      <c r="U654" s="5"/>
      <c r="V654" s="5"/>
      <c r="W654" s="5"/>
      <c r="X654" s="5"/>
      <c r="Y654" s="5"/>
      <c r="Z654" s="7"/>
      <c r="AA654" s="5"/>
      <c r="AB654" s="5"/>
      <c r="AC654" s="5"/>
      <c r="AD654" s="5"/>
      <c r="AE654" s="5"/>
    </row>
    <row r="655" spans="1:31" ht="15.75" customHeight="1">
      <c r="A655" s="5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5"/>
      <c r="T655" s="5"/>
      <c r="U655" s="5"/>
      <c r="V655" s="5"/>
      <c r="W655" s="5"/>
      <c r="X655" s="5"/>
      <c r="Y655" s="5"/>
      <c r="Z655" s="7"/>
      <c r="AA655" s="5"/>
      <c r="AB655" s="5"/>
      <c r="AC655" s="5"/>
      <c r="AD655" s="5"/>
      <c r="AE655" s="5"/>
    </row>
    <row r="656" spans="1:31" ht="15.75" customHeight="1">
      <c r="A656" s="5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5"/>
      <c r="T656" s="5"/>
      <c r="U656" s="5"/>
      <c r="V656" s="5"/>
      <c r="W656" s="5"/>
      <c r="X656" s="5"/>
      <c r="Y656" s="5"/>
      <c r="Z656" s="7"/>
      <c r="AA656" s="5"/>
      <c r="AB656" s="5"/>
      <c r="AC656" s="5"/>
      <c r="AD656" s="5"/>
      <c r="AE656" s="5"/>
    </row>
    <row r="657" spans="1:31" ht="15.75" customHeight="1">
      <c r="A657" s="5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5"/>
      <c r="T657" s="5"/>
      <c r="U657" s="5"/>
      <c r="V657" s="5"/>
      <c r="W657" s="5"/>
      <c r="X657" s="5"/>
      <c r="Y657" s="5"/>
      <c r="Z657" s="7"/>
      <c r="AA657" s="5"/>
      <c r="AB657" s="5"/>
      <c r="AC657" s="5"/>
      <c r="AD657" s="5"/>
      <c r="AE657" s="5"/>
    </row>
    <row r="658" spans="1:31" ht="15.75" customHeight="1">
      <c r="A658" s="5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5"/>
      <c r="T658" s="5"/>
      <c r="U658" s="5"/>
      <c r="V658" s="5"/>
      <c r="W658" s="5"/>
      <c r="X658" s="5"/>
      <c r="Y658" s="5"/>
      <c r="Z658" s="7"/>
      <c r="AA658" s="5"/>
      <c r="AB658" s="5"/>
      <c r="AC658" s="5"/>
      <c r="AD658" s="5"/>
      <c r="AE658" s="5"/>
    </row>
    <row r="659" spans="1:31" ht="15.75" customHeight="1">
      <c r="A659" s="5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5"/>
      <c r="T659" s="5"/>
      <c r="U659" s="5"/>
      <c r="V659" s="5"/>
      <c r="W659" s="5"/>
      <c r="X659" s="5"/>
      <c r="Y659" s="5"/>
      <c r="Z659" s="7"/>
      <c r="AA659" s="5"/>
      <c r="AB659" s="5"/>
      <c r="AC659" s="5"/>
      <c r="AD659" s="5"/>
      <c r="AE659" s="5"/>
    </row>
    <row r="660" spans="1:31" ht="15.75" customHeight="1">
      <c r="A660" s="5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5"/>
      <c r="T660" s="5"/>
      <c r="U660" s="5"/>
      <c r="V660" s="5"/>
      <c r="W660" s="5"/>
      <c r="X660" s="5"/>
      <c r="Y660" s="5"/>
      <c r="Z660" s="7"/>
      <c r="AA660" s="5"/>
      <c r="AB660" s="5"/>
      <c r="AC660" s="5"/>
      <c r="AD660" s="5"/>
      <c r="AE660" s="5"/>
    </row>
    <row r="661" spans="1:31" ht="15.75" customHeight="1">
      <c r="A661" s="5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5"/>
      <c r="T661" s="5"/>
      <c r="U661" s="5"/>
      <c r="V661" s="5"/>
      <c r="W661" s="5"/>
      <c r="X661" s="5"/>
      <c r="Y661" s="5"/>
      <c r="Z661" s="7"/>
      <c r="AA661" s="5"/>
      <c r="AB661" s="5"/>
      <c r="AC661" s="5"/>
      <c r="AD661" s="5"/>
      <c r="AE661" s="5"/>
    </row>
    <row r="662" spans="1:31" ht="15.75" customHeight="1">
      <c r="A662" s="5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5"/>
      <c r="T662" s="5"/>
      <c r="U662" s="5"/>
      <c r="V662" s="5"/>
      <c r="W662" s="5"/>
      <c r="X662" s="5"/>
      <c r="Y662" s="5"/>
      <c r="Z662" s="7"/>
      <c r="AA662" s="5"/>
      <c r="AB662" s="5"/>
      <c r="AC662" s="5"/>
      <c r="AD662" s="5"/>
      <c r="AE662" s="5"/>
    </row>
    <row r="663" spans="1:31" ht="15.75" customHeight="1">
      <c r="A663" s="5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5"/>
      <c r="T663" s="5"/>
      <c r="U663" s="5"/>
      <c r="V663" s="5"/>
      <c r="W663" s="5"/>
      <c r="X663" s="5"/>
      <c r="Y663" s="5"/>
      <c r="Z663" s="7"/>
      <c r="AA663" s="5"/>
      <c r="AB663" s="5"/>
      <c r="AC663" s="5"/>
      <c r="AD663" s="5"/>
      <c r="AE663" s="5"/>
    </row>
    <row r="664" spans="1:31" ht="15.75" customHeight="1">
      <c r="A664" s="5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5"/>
      <c r="T664" s="5"/>
      <c r="U664" s="5"/>
      <c r="V664" s="5"/>
      <c r="W664" s="5"/>
      <c r="X664" s="5"/>
      <c r="Y664" s="5"/>
      <c r="Z664" s="7"/>
      <c r="AA664" s="5"/>
      <c r="AB664" s="5"/>
      <c r="AC664" s="5"/>
      <c r="AD664" s="5"/>
      <c r="AE664" s="5"/>
    </row>
    <row r="665" spans="1:31" ht="15.75" customHeight="1">
      <c r="A665" s="5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5"/>
      <c r="T665" s="5"/>
      <c r="U665" s="5"/>
      <c r="V665" s="5"/>
      <c r="W665" s="5"/>
      <c r="X665" s="5"/>
      <c r="Y665" s="5"/>
      <c r="Z665" s="7"/>
      <c r="AA665" s="5"/>
      <c r="AB665" s="5"/>
      <c r="AC665" s="5"/>
      <c r="AD665" s="5"/>
      <c r="AE665" s="5"/>
    </row>
    <row r="666" spans="1:31" ht="15.75" customHeight="1">
      <c r="A666" s="5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5"/>
      <c r="T666" s="5"/>
      <c r="U666" s="5"/>
      <c r="V666" s="5"/>
      <c r="W666" s="5"/>
      <c r="X666" s="5"/>
      <c r="Y666" s="5"/>
      <c r="Z666" s="7"/>
      <c r="AA666" s="5"/>
      <c r="AB666" s="5"/>
      <c r="AC666" s="5"/>
      <c r="AD666" s="5"/>
      <c r="AE666" s="5"/>
    </row>
    <row r="667" spans="1:31" ht="15.75" customHeight="1">
      <c r="A667" s="5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5"/>
      <c r="T667" s="5"/>
      <c r="U667" s="5"/>
      <c r="V667" s="5"/>
      <c r="W667" s="5"/>
      <c r="X667" s="5"/>
      <c r="Y667" s="5"/>
      <c r="Z667" s="7"/>
      <c r="AA667" s="5"/>
      <c r="AB667" s="5"/>
      <c r="AC667" s="5"/>
      <c r="AD667" s="5"/>
      <c r="AE667" s="5"/>
    </row>
    <row r="668" spans="1:31" ht="15.75" customHeight="1">
      <c r="A668" s="5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5"/>
      <c r="T668" s="5"/>
      <c r="U668" s="5"/>
      <c r="V668" s="5"/>
      <c r="W668" s="5"/>
      <c r="X668" s="5"/>
      <c r="Y668" s="5"/>
      <c r="Z668" s="7"/>
      <c r="AA668" s="5"/>
      <c r="AB668" s="5"/>
      <c r="AC668" s="5"/>
      <c r="AD668" s="5"/>
      <c r="AE668" s="5"/>
    </row>
    <row r="669" spans="1:31" ht="15.75" customHeight="1">
      <c r="A669" s="5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5"/>
      <c r="T669" s="5"/>
      <c r="U669" s="5"/>
      <c r="V669" s="5"/>
      <c r="W669" s="5"/>
      <c r="X669" s="5"/>
      <c r="Y669" s="5"/>
      <c r="Z669" s="7"/>
      <c r="AA669" s="5"/>
      <c r="AB669" s="5"/>
      <c r="AC669" s="5"/>
      <c r="AD669" s="5"/>
      <c r="AE669" s="5"/>
    </row>
    <row r="670" spans="1:31" ht="15.75" customHeight="1">
      <c r="A670" s="5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5"/>
      <c r="T670" s="5"/>
      <c r="U670" s="5"/>
      <c r="V670" s="5"/>
      <c r="W670" s="5"/>
      <c r="X670" s="5"/>
      <c r="Y670" s="5"/>
      <c r="Z670" s="7"/>
      <c r="AA670" s="5"/>
      <c r="AB670" s="5"/>
      <c r="AC670" s="5"/>
      <c r="AD670" s="5"/>
      <c r="AE670" s="5"/>
    </row>
    <row r="671" spans="1:31" ht="15.75" customHeight="1">
      <c r="A671" s="5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5"/>
      <c r="T671" s="5"/>
      <c r="U671" s="5"/>
      <c r="V671" s="5"/>
      <c r="W671" s="5"/>
      <c r="X671" s="5"/>
      <c r="Y671" s="5"/>
      <c r="Z671" s="7"/>
      <c r="AA671" s="5"/>
      <c r="AB671" s="5"/>
      <c r="AC671" s="5"/>
      <c r="AD671" s="5"/>
      <c r="AE671" s="5"/>
    </row>
    <row r="672" spans="1:31" ht="15.75" customHeight="1">
      <c r="A672" s="5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5"/>
      <c r="T672" s="5"/>
      <c r="U672" s="5"/>
      <c r="V672" s="5"/>
      <c r="W672" s="5"/>
      <c r="X672" s="5"/>
      <c r="Y672" s="5"/>
      <c r="Z672" s="7"/>
      <c r="AA672" s="5"/>
      <c r="AB672" s="5"/>
      <c r="AC672" s="5"/>
      <c r="AD672" s="5"/>
      <c r="AE672" s="5"/>
    </row>
    <row r="673" spans="1:31" ht="15.75" customHeight="1">
      <c r="A673" s="5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5"/>
      <c r="T673" s="5"/>
      <c r="U673" s="5"/>
      <c r="V673" s="5"/>
      <c r="W673" s="5"/>
      <c r="X673" s="5"/>
      <c r="Y673" s="5"/>
      <c r="Z673" s="7"/>
      <c r="AA673" s="5"/>
      <c r="AB673" s="5"/>
      <c r="AC673" s="5"/>
      <c r="AD673" s="5"/>
      <c r="AE673" s="5"/>
    </row>
    <row r="674" spans="1:31" ht="15.75" customHeight="1">
      <c r="A674" s="5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5"/>
      <c r="T674" s="5"/>
      <c r="U674" s="5"/>
      <c r="V674" s="5"/>
      <c r="W674" s="5"/>
      <c r="X674" s="5"/>
      <c r="Y674" s="5"/>
      <c r="Z674" s="7"/>
      <c r="AA674" s="5"/>
      <c r="AB674" s="5"/>
      <c r="AC674" s="5"/>
      <c r="AD674" s="5"/>
      <c r="AE674" s="5"/>
    </row>
    <row r="675" spans="1:31" ht="15.75" customHeight="1">
      <c r="A675" s="5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5"/>
      <c r="T675" s="5"/>
      <c r="U675" s="5"/>
      <c r="V675" s="5"/>
      <c r="W675" s="5"/>
      <c r="X675" s="5"/>
      <c r="Y675" s="5"/>
      <c r="Z675" s="7"/>
      <c r="AA675" s="5"/>
      <c r="AB675" s="5"/>
      <c r="AC675" s="5"/>
      <c r="AD675" s="5"/>
      <c r="AE675" s="5"/>
    </row>
    <row r="676" spans="1:31" ht="15.75" customHeight="1">
      <c r="A676" s="5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5"/>
      <c r="T676" s="5"/>
      <c r="U676" s="5"/>
      <c r="V676" s="5"/>
      <c r="W676" s="5"/>
      <c r="X676" s="5"/>
      <c r="Y676" s="5"/>
      <c r="Z676" s="7"/>
      <c r="AA676" s="5"/>
      <c r="AB676" s="5"/>
      <c r="AC676" s="5"/>
      <c r="AD676" s="5"/>
      <c r="AE676" s="5"/>
    </row>
    <row r="677" spans="1:31" ht="15.75" customHeight="1">
      <c r="A677" s="5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5"/>
      <c r="T677" s="5"/>
      <c r="U677" s="5"/>
      <c r="V677" s="5"/>
      <c r="W677" s="5"/>
      <c r="X677" s="5"/>
      <c r="Y677" s="5"/>
      <c r="Z677" s="7"/>
      <c r="AA677" s="5"/>
      <c r="AB677" s="5"/>
      <c r="AC677" s="5"/>
      <c r="AD677" s="5"/>
      <c r="AE677" s="5"/>
    </row>
    <row r="678" spans="1:31" ht="15.75" customHeight="1">
      <c r="A678" s="5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5"/>
      <c r="T678" s="5"/>
      <c r="U678" s="5"/>
      <c r="V678" s="5"/>
      <c r="W678" s="5"/>
      <c r="X678" s="5"/>
      <c r="Y678" s="5"/>
      <c r="Z678" s="7"/>
      <c r="AA678" s="5"/>
      <c r="AB678" s="5"/>
      <c r="AC678" s="5"/>
      <c r="AD678" s="5"/>
      <c r="AE678" s="5"/>
    </row>
    <row r="679" spans="1:31" ht="15.75" customHeight="1">
      <c r="A679" s="5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5"/>
      <c r="T679" s="5"/>
      <c r="U679" s="5"/>
      <c r="V679" s="5"/>
      <c r="W679" s="5"/>
      <c r="X679" s="5"/>
      <c r="Y679" s="5"/>
      <c r="Z679" s="7"/>
      <c r="AA679" s="5"/>
      <c r="AB679" s="5"/>
      <c r="AC679" s="5"/>
      <c r="AD679" s="5"/>
      <c r="AE679" s="5"/>
    </row>
    <row r="680" spans="1:31" ht="15.75" customHeight="1">
      <c r="A680" s="5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5"/>
      <c r="T680" s="5"/>
      <c r="U680" s="5"/>
      <c r="V680" s="5"/>
      <c r="W680" s="5"/>
      <c r="X680" s="5"/>
      <c r="Y680" s="5"/>
      <c r="Z680" s="7"/>
      <c r="AA680" s="5"/>
      <c r="AB680" s="5"/>
      <c r="AC680" s="5"/>
      <c r="AD680" s="5"/>
      <c r="AE680" s="5"/>
    </row>
    <row r="681" spans="1:31" ht="15.75" customHeight="1">
      <c r="A681" s="5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5"/>
      <c r="T681" s="5"/>
      <c r="U681" s="5"/>
      <c r="V681" s="5"/>
      <c r="W681" s="5"/>
      <c r="X681" s="5"/>
      <c r="Y681" s="5"/>
      <c r="Z681" s="7"/>
      <c r="AA681" s="5"/>
      <c r="AB681" s="5"/>
      <c r="AC681" s="5"/>
      <c r="AD681" s="5"/>
      <c r="AE681" s="5"/>
    </row>
    <row r="682" spans="1:31" ht="15.75" customHeight="1">
      <c r="A682" s="5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5"/>
      <c r="T682" s="5"/>
      <c r="U682" s="5"/>
      <c r="V682" s="5"/>
      <c r="W682" s="5"/>
      <c r="X682" s="5"/>
      <c r="Y682" s="5"/>
      <c r="Z682" s="7"/>
      <c r="AA682" s="5"/>
      <c r="AB682" s="5"/>
      <c r="AC682" s="5"/>
      <c r="AD682" s="5"/>
      <c r="AE682" s="5"/>
    </row>
    <row r="683" spans="1:31" ht="15.75" customHeight="1">
      <c r="A683" s="5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5"/>
      <c r="T683" s="5"/>
      <c r="U683" s="5"/>
      <c r="V683" s="5"/>
      <c r="W683" s="5"/>
      <c r="X683" s="5"/>
      <c r="Y683" s="5"/>
      <c r="Z683" s="7"/>
      <c r="AA683" s="5"/>
      <c r="AB683" s="5"/>
      <c r="AC683" s="5"/>
      <c r="AD683" s="5"/>
      <c r="AE683" s="5"/>
    </row>
    <row r="684" spans="1:31" ht="15.75" customHeight="1">
      <c r="A684" s="5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5"/>
      <c r="T684" s="5"/>
      <c r="U684" s="5"/>
      <c r="V684" s="5"/>
      <c r="W684" s="5"/>
      <c r="X684" s="5"/>
      <c r="Y684" s="5"/>
      <c r="Z684" s="7"/>
      <c r="AA684" s="5"/>
      <c r="AB684" s="5"/>
      <c r="AC684" s="5"/>
      <c r="AD684" s="5"/>
      <c r="AE684" s="5"/>
    </row>
    <row r="685" spans="1:31" ht="15.75" customHeight="1">
      <c r="A685" s="5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5"/>
      <c r="T685" s="5"/>
      <c r="U685" s="5"/>
      <c r="V685" s="5"/>
      <c r="W685" s="5"/>
      <c r="X685" s="5"/>
      <c r="Y685" s="5"/>
      <c r="Z685" s="7"/>
      <c r="AA685" s="5"/>
      <c r="AB685" s="5"/>
      <c r="AC685" s="5"/>
      <c r="AD685" s="5"/>
      <c r="AE685" s="5"/>
    </row>
    <row r="686" spans="1:31" ht="15.75" customHeight="1">
      <c r="A686" s="5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5"/>
      <c r="T686" s="5"/>
      <c r="U686" s="5"/>
      <c r="V686" s="5"/>
      <c r="W686" s="5"/>
      <c r="X686" s="5"/>
      <c r="Y686" s="5"/>
      <c r="Z686" s="7"/>
      <c r="AA686" s="5"/>
      <c r="AB686" s="5"/>
      <c r="AC686" s="5"/>
      <c r="AD686" s="5"/>
      <c r="AE686" s="5"/>
    </row>
    <row r="687" spans="1:31" ht="15.75" customHeight="1">
      <c r="A687" s="5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5"/>
      <c r="T687" s="5"/>
      <c r="U687" s="5"/>
      <c r="V687" s="5"/>
      <c r="W687" s="5"/>
      <c r="X687" s="5"/>
      <c r="Y687" s="5"/>
      <c r="Z687" s="7"/>
      <c r="AA687" s="5"/>
      <c r="AB687" s="5"/>
      <c r="AC687" s="5"/>
      <c r="AD687" s="5"/>
      <c r="AE687" s="5"/>
    </row>
    <row r="688" spans="1:31" ht="15.75" customHeight="1">
      <c r="A688" s="5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5"/>
      <c r="T688" s="5"/>
      <c r="U688" s="5"/>
      <c r="V688" s="5"/>
      <c r="W688" s="5"/>
      <c r="X688" s="5"/>
      <c r="Y688" s="5"/>
      <c r="Z688" s="7"/>
      <c r="AA688" s="5"/>
      <c r="AB688" s="5"/>
      <c r="AC688" s="5"/>
      <c r="AD688" s="5"/>
      <c r="AE688" s="5"/>
    </row>
    <row r="689" spans="1:31" ht="15.75" customHeight="1">
      <c r="A689" s="5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5"/>
      <c r="T689" s="5"/>
      <c r="U689" s="5"/>
      <c r="V689" s="5"/>
      <c r="W689" s="5"/>
      <c r="X689" s="5"/>
      <c r="Y689" s="5"/>
      <c r="Z689" s="7"/>
      <c r="AA689" s="5"/>
      <c r="AB689" s="5"/>
      <c r="AC689" s="5"/>
      <c r="AD689" s="5"/>
      <c r="AE689" s="5"/>
    </row>
    <row r="690" spans="1:31" ht="15.75" customHeight="1">
      <c r="A690" s="5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5"/>
      <c r="T690" s="5"/>
      <c r="U690" s="5"/>
      <c r="V690" s="5"/>
      <c r="W690" s="5"/>
      <c r="X690" s="5"/>
      <c r="Y690" s="5"/>
      <c r="Z690" s="7"/>
      <c r="AA690" s="5"/>
      <c r="AB690" s="5"/>
      <c r="AC690" s="5"/>
      <c r="AD690" s="5"/>
      <c r="AE690" s="5"/>
    </row>
    <row r="691" spans="1:31" ht="15.75" customHeight="1">
      <c r="A691" s="5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5"/>
      <c r="T691" s="5"/>
      <c r="U691" s="5"/>
      <c r="V691" s="5"/>
      <c r="W691" s="5"/>
      <c r="X691" s="5"/>
      <c r="Y691" s="5"/>
      <c r="Z691" s="7"/>
      <c r="AA691" s="5"/>
      <c r="AB691" s="5"/>
      <c r="AC691" s="5"/>
      <c r="AD691" s="5"/>
      <c r="AE691" s="5"/>
    </row>
    <row r="692" spans="1:31" ht="15.75" customHeight="1">
      <c r="A692" s="5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5"/>
      <c r="T692" s="5"/>
      <c r="U692" s="5"/>
      <c r="V692" s="5"/>
      <c r="W692" s="5"/>
      <c r="X692" s="5"/>
      <c r="Y692" s="5"/>
      <c r="Z692" s="7"/>
      <c r="AA692" s="5"/>
      <c r="AB692" s="5"/>
      <c r="AC692" s="5"/>
      <c r="AD692" s="5"/>
      <c r="AE692" s="5"/>
    </row>
    <row r="693" spans="1:31" ht="15.75" customHeight="1">
      <c r="A693" s="5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5"/>
      <c r="T693" s="5"/>
      <c r="U693" s="5"/>
      <c r="V693" s="5"/>
      <c r="W693" s="5"/>
      <c r="X693" s="5"/>
      <c r="Y693" s="5"/>
      <c r="Z693" s="7"/>
      <c r="AA693" s="5"/>
      <c r="AB693" s="5"/>
      <c r="AC693" s="5"/>
      <c r="AD693" s="5"/>
      <c r="AE693" s="5"/>
    </row>
    <row r="694" spans="1:31" ht="15.75" customHeight="1">
      <c r="A694" s="5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5"/>
      <c r="T694" s="5"/>
      <c r="U694" s="5"/>
      <c r="V694" s="5"/>
      <c r="W694" s="5"/>
      <c r="X694" s="5"/>
      <c r="Y694" s="5"/>
      <c r="Z694" s="7"/>
      <c r="AA694" s="5"/>
      <c r="AB694" s="5"/>
      <c r="AC694" s="5"/>
      <c r="AD694" s="5"/>
      <c r="AE694" s="5"/>
    </row>
    <row r="695" spans="1:31" ht="15.75" customHeight="1">
      <c r="A695" s="5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5"/>
      <c r="T695" s="5"/>
      <c r="U695" s="5"/>
      <c r="V695" s="5"/>
      <c r="W695" s="5"/>
      <c r="X695" s="5"/>
      <c r="Y695" s="5"/>
      <c r="Z695" s="7"/>
      <c r="AA695" s="5"/>
      <c r="AB695" s="5"/>
      <c r="AC695" s="5"/>
      <c r="AD695" s="5"/>
      <c r="AE695" s="5"/>
    </row>
    <row r="696" spans="1:31" ht="15.75" customHeight="1">
      <c r="A696" s="5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5"/>
      <c r="T696" s="5"/>
      <c r="U696" s="5"/>
      <c r="V696" s="5"/>
      <c r="W696" s="5"/>
      <c r="X696" s="5"/>
      <c r="Y696" s="5"/>
      <c r="Z696" s="7"/>
      <c r="AA696" s="5"/>
      <c r="AB696" s="5"/>
      <c r="AC696" s="5"/>
      <c r="AD696" s="5"/>
      <c r="AE696" s="5"/>
    </row>
    <row r="697" spans="1:31" ht="15.75" customHeight="1">
      <c r="A697" s="5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5"/>
      <c r="T697" s="5"/>
      <c r="U697" s="5"/>
      <c r="V697" s="5"/>
      <c r="W697" s="5"/>
      <c r="X697" s="5"/>
      <c r="Y697" s="5"/>
      <c r="Z697" s="7"/>
      <c r="AA697" s="5"/>
      <c r="AB697" s="5"/>
      <c r="AC697" s="5"/>
      <c r="AD697" s="5"/>
      <c r="AE697" s="5"/>
    </row>
    <row r="698" spans="1:31" ht="15.75" customHeight="1">
      <c r="A698" s="5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5"/>
      <c r="T698" s="5"/>
      <c r="U698" s="5"/>
      <c r="V698" s="5"/>
      <c r="W698" s="5"/>
      <c r="X698" s="5"/>
      <c r="Y698" s="5"/>
      <c r="Z698" s="7"/>
      <c r="AA698" s="5"/>
      <c r="AB698" s="5"/>
      <c r="AC698" s="5"/>
      <c r="AD698" s="5"/>
      <c r="AE698" s="5"/>
    </row>
    <row r="699" spans="1:31" ht="15.75" customHeight="1">
      <c r="A699" s="5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5"/>
      <c r="T699" s="5"/>
      <c r="U699" s="5"/>
      <c r="V699" s="5"/>
      <c r="W699" s="5"/>
      <c r="X699" s="5"/>
      <c r="Y699" s="5"/>
      <c r="Z699" s="7"/>
      <c r="AA699" s="5"/>
      <c r="AB699" s="5"/>
      <c r="AC699" s="5"/>
      <c r="AD699" s="5"/>
      <c r="AE699" s="5"/>
    </row>
    <row r="700" spans="1:31" ht="15.75" customHeight="1">
      <c r="A700" s="5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5"/>
      <c r="T700" s="5"/>
      <c r="U700" s="5"/>
      <c r="V700" s="5"/>
      <c r="W700" s="5"/>
      <c r="X700" s="5"/>
      <c r="Y700" s="5"/>
      <c r="Z700" s="7"/>
      <c r="AA700" s="5"/>
      <c r="AB700" s="5"/>
      <c r="AC700" s="5"/>
      <c r="AD700" s="5"/>
      <c r="AE700" s="5"/>
    </row>
    <row r="701" spans="1:31" ht="15.75" customHeight="1">
      <c r="A701" s="5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5"/>
      <c r="T701" s="5"/>
      <c r="U701" s="5"/>
      <c r="V701" s="5"/>
      <c r="W701" s="5"/>
      <c r="X701" s="5"/>
      <c r="Y701" s="5"/>
      <c r="Z701" s="7"/>
      <c r="AA701" s="5"/>
      <c r="AB701" s="5"/>
      <c r="AC701" s="5"/>
      <c r="AD701" s="5"/>
      <c r="AE701" s="5"/>
    </row>
    <row r="702" spans="1:31" ht="15.75" customHeight="1">
      <c r="A702" s="5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5"/>
      <c r="T702" s="5"/>
      <c r="U702" s="5"/>
      <c r="V702" s="5"/>
      <c r="W702" s="5"/>
      <c r="X702" s="5"/>
      <c r="Y702" s="5"/>
      <c r="Z702" s="7"/>
      <c r="AA702" s="5"/>
      <c r="AB702" s="5"/>
      <c r="AC702" s="5"/>
      <c r="AD702" s="5"/>
      <c r="AE702" s="5"/>
    </row>
    <row r="703" spans="1:31" ht="15.75" customHeight="1">
      <c r="A703" s="5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5"/>
      <c r="T703" s="5"/>
      <c r="U703" s="5"/>
      <c r="V703" s="5"/>
      <c r="W703" s="5"/>
      <c r="X703" s="5"/>
      <c r="Y703" s="5"/>
      <c r="Z703" s="7"/>
      <c r="AA703" s="5"/>
      <c r="AB703" s="5"/>
      <c r="AC703" s="5"/>
      <c r="AD703" s="5"/>
      <c r="AE703" s="5"/>
    </row>
    <row r="704" spans="1:31" ht="15.75" customHeight="1">
      <c r="A704" s="5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5"/>
      <c r="T704" s="5"/>
      <c r="U704" s="5"/>
      <c r="V704" s="5"/>
      <c r="W704" s="5"/>
      <c r="X704" s="5"/>
      <c r="Y704" s="5"/>
      <c r="Z704" s="7"/>
      <c r="AA704" s="5"/>
      <c r="AB704" s="5"/>
      <c r="AC704" s="5"/>
      <c r="AD704" s="5"/>
      <c r="AE704" s="5"/>
    </row>
    <row r="705" spans="1:31" ht="15.75" customHeight="1">
      <c r="A705" s="5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5"/>
      <c r="T705" s="5"/>
      <c r="U705" s="5"/>
      <c r="V705" s="5"/>
      <c r="W705" s="5"/>
      <c r="X705" s="5"/>
      <c r="Y705" s="5"/>
      <c r="Z705" s="7"/>
      <c r="AA705" s="5"/>
      <c r="AB705" s="5"/>
      <c r="AC705" s="5"/>
      <c r="AD705" s="5"/>
      <c r="AE705" s="5"/>
    </row>
    <row r="706" spans="1:31" ht="15.75" customHeight="1">
      <c r="A706" s="5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5"/>
      <c r="T706" s="5"/>
      <c r="U706" s="5"/>
      <c r="V706" s="5"/>
      <c r="W706" s="5"/>
      <c r="X706" s="5"/>
      <c r="Y706" s="5"/>
      <c r="Z706" s="7"/>
      <c r="AA706" s="5"/>
      <c r="AB706" s="5"/>
      <c r="AC706" s="5"/>
      <c r="AD706" s="5"/>
      <c r="AE706" s="5"/>
    </row>
    <row r="707" spans="1:31" ht="15.75" customHeight="1">
      <c r="A707" s="5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5"/>
      <c r="T707" s="5"/>
      <c r="U707" s="5"/>
      <c r="V707" s="5"/>
      <c r="W707" s="5"/>
      <c r="X707" s="5"/>
      <c r="Y707" s="5"/>
      <c r="Z707" s="7"/>
      <c r="AA707" s="5"/>
      <c r="AB707" s="5"/>
      <c r="AC707" s="5"/>
      <c r="AD707" s="5"/>
      <c r="AE707" s="5"/>
    </row>
    <row r="708" spans="1:31" ht="15.75" customHeight="1">
      <c r="A708" s="5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5"/>
      <c r="T708" s="5"/>
      <c r="U708" s="5"/>
      <c r="V708" s="5"/>
      <c r="W708" s="5"/>
      <c r="X708" s="5"/>
      <c r="Y708" s="5"/>
      <c r="Z708" s="7"/>
      <c r="AA708" s="5"/>
      <c r="AB708" s="5"/>
      <c r="AC708" s="5"/>
      <c r="AD708" s="5"/>
      <c r="AE708" s="5"/>
    </row>
    <row r="709" spans="1:31" ht="15.75" customHeight="1">
      <c r="A709" s="5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5"/>
      <c r="T709" s="5"/>
      <c r="U709" s="5"/>
      <c r="V709" s="5"/>
      <c r="W709" s="5"/>
      <c r="X709" s="5"/>
      <c r="Y709" s="5"/>
      <c r="Z709" s="7"/>
      <c r="AA709" s="5"/>
      <c r="AB709" s="5"/>
      <c r="AC709" s="5"/>
      <c r="AD709" s="5"/>
      <c r="AE709" s="5"/>
    </row>
    <row r="710" spans="1:31" ht="15.75" customHeight="1">
      <c r="A710" s="5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5"/>
      <c r="T710" s="5"/>
      <c r="U710" s="5"/>
      <c r="V710" s="5"/>
      <c r="W710" s="5"/>
      <c r="X710" s="5"/>
      <c r="Y710" s="5"/>
      <c r="Z710" s="7"/>
      <c r="AA710" s="5"/>
      <c r="AB710" s="5"/>
      <c r="AC710" s="5"/>
      <c r="AD710" s="5"/>
      <c r="AE710" s="5"/>
    </row>
    <row r="711" spans="1:31" ht="15.75" customHeight="1">
      <c r="A711" s="5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5"/>
      <c r="T711" s="5"/>
      <c r="U711" s="5"/>
      <c r="V711" s="5"/>
      <c r="W711" s="5"/>
      <c r="X711" s="5"/>
      <c r="Y711" s="5"/>
      <c r="Z711" s="7"/>
      <c r="AA711" s="5"/>
      <c r="AB711" s="5"/>
      <c r="AC711" s="5"/>
      <c r="AD711" s="5"/>
      <c r="AE711" s="5"/>
    </row>
    <row r="712" spans="1:31" ht="15.75" customHeight="1">
      <c r="A712" s="5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5"/>
      <c r="T712" s="5"/>
      <c r="U712" s="5"/>
      <c r="V712" s="5"/>
      <c r="W712" s="5"/>
      <c r="X712" s="5"/>
      <c r="Y712" s="5"/>
      <c r="Z712" s="7"/>
      <c r="AA712" s="5"/>
      <c r="AB712" s="5"/>
      <c r="AC712" s="5"/>
      <c r="AD712" s="5"/>
      <c r="AE712" s="5"/>
    </row>
    <row r="713" spans="1:31" ht="15.75" customHeight="1">
      <c r="A713" s="5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5"/>
      <c r="T713" s="5"/>
      <c r="U713" s="5"/>
      <c r="V713" s="5"/>
      <c r="W713" s="5"/>
      <c r="X713" s="5"/>
      <c r="Y713" s="5"/>
      <c r="Z713" s="7"/>
      <c r="AA713" s="5"/>
      <c r="AB713" s="5"/>
      <c r="AC713" s="5"/>
      <c r="AD713" s="5"/>
      <c r="AE713" s="5"/>
    </row>
    <row r="714" spans="1:31" ht="15.75" customHeight="1">
      <c r="A714" s="5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5"/>
      <c r="T714" s="5"/>
      <c r="U714" s="5"/>
      <c r="V714" s="5"/>
      <c r="W714" s="5"/>
      <c r="X714" s="5"/>
      <c r="Y714" s="5"/>
      <c r="Z714" s="7"/>
      <c r="AA714" s="5"/>
      <c r="AB714" s="5"/>
      <c r="AC714" s="5"/>
      <c r="AD714" s="5"/>
      <c r="AE714" s="5"/>
    </row>
    <row r="715" spans="1:31" ht="15.75" customHeight="1">
      <c r="A715" s="5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5"/>
      <c r="T715" s="5"/>
      <c r="U715" s="5"/>
      <c r="V715" s="5"/>
      <c r="W715" s="5"/>
      <c r="X715" s="5"/>
      <c r="Y715" s="5"/>
      <c r="Z715" s="7"/>
      <c r="AA715" s="5"/>
      <c r="AB715" s="5"/>
      <c r="AC715" s="5"/>
      <c r="AD715" s="5"/>
      <c r="AE715" s="5"/>
    </row>
    <row r="716" spans="1:31" ht="15.75" customHeight="1">
      <c r="A716" s="5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5"/>
      <c r="T716" s="5"/>
      <c r="U716" s="5"/>
      <c r="V716" s="5"/>
      <c r="W716" s="5"/>
      <c r="X716" s="5"/>
      <c r="Y716" s="5"/>
      <c r="Z716" s="7"/>
      <c r="AA716" s="5"/>
      <c r="AB716" s="5"/>
      <c r="AC716" s="5"/>
      <c r="AD716" s="5"/>
      <c r="AE716" s="5"/>
    </row>
    <row r="717" spans="1:31" ht="15.75" customHeight="1">
      <c r="A717" s="5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5"/>
      <c r="T717" s="5"/>
      <c r="U717" s="5"/>
      <c r="V717" s="5"/>
      <c r="W717" s="5"/>
      <c r="X717" s="5"/>
      <c r="Y717" s="5"/>
      <c r="Z717" s="7"/>
      <c r="AA717" s="5"/>
      <c r="AB717" s="5"/>
      <c r="AC717" s="5"/>
      <c r="AD717" s="5"/>
      <c r="AE717" s="5"/>
    </row>
    <row r="718" spans="1:31" ht="15.75" customHeight="1">
      <c r="A718" s="5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5"/>
      <c r="T718" s="5"/>
      <c r="U718" s="5"/>
      <c r="V718" s="5"/>
      <c r="W718" s="5"/>
      <c r="X718" s="5"/>
      <c r="Y718" s="5"/>
      <c r="Z718" s="7"/>
      <c r="AA718" s="5"/>
      <c r="AB718" s="5"/>
      <c r="AC718" s="5"/>
      <c r="AD718" s="5"/>
      <c r="AE718" s="5"/>
    </row>
    <row r="719" spans="1:31" ht="15.75" customHeight="1">
      <c r="A719" s="5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5"/>
      <c r="T719" s="5"/>
      <c r="U719" s="5"/>
      <c r="V719" s="5"/>
      <c r="W719" s="5"/>
      <c r="X719" s="5"/>
      <c r="Y719" s="5"/>
      <c r="Z719" s="7"/>
      <c r="AA719" s="5"/>
      <c r="AB719" s="5"/>
      <c r="AC719" s="5"/>
      <c r="AD719" s="5"/>
      <c r="AE719" s="5"/>
    </row>
    <row r="720" spans="1:31" ht="15.75" customHeight="1">
      <c r="A720" s="5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5"/>
      <c r="T720" s="5"/>
      <c r="U720" s="5"/>
      <c r="V720" s="5"/>
      <c r="W720" s="5"/>
      <c r="X720" s="5"/>
      <c r="Y720" s="5"/>
      <c r="Z720" s="7"/>
      <c r="AA720" s="5"/>
      <c r="AB720" s="5"/>
      <c r="AC720" s="5"/>
      <c r="AD720" s="5"/>
      <c r="AE720" s="5"/>
    </row>
    <row r="721" spans="1:31" ht="15.75" customHeight="1">
      <c r="A721" s="5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5"/>
      <c r="T721" s="5"/>
      <c r="U721" s="5"/>
      <c r="V721" s="5"/>
      <c r="W721" s="5"/>
      <c r="X721" s="5"/>
      <c r="Y721" s="5"/>
      <c r="Z721" s="7"/>
      <c r="AA721" s="5"/>
      <c r="AB721" s="5"/>
      <c r="AC721" s="5"/>
      <c r="AD721" s="5"/>
      <c r="AE721" s="5"/>
    </row>
    <row r="722" spans="1:31" ht="15.75" customHeight="1">
      <c r="A722" s="5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5"/>
      <c r="T722" s="5"/>
      <c r="U722" s="5"/>
      <c r="V722" s="5"/>
      <c r="W722" s="5"/>
      <c r="X722" s="5"/>
      <c r="Y722" s="5"/>
      <c r="Z722" s="7"/>
      <c r="AA722" s="5"/>
      <c r="AB722" s="5"/>
      <c r="AC722" s="5"/>
      <c r="AD722" s="5"/>
      <c r="AE722" s="5"/>
    </row>
    <row r="723" spans="1:31" ht="15.75" customHeight="1">
      <c r="A723" s="5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5"/>
      <c r="T723" s="5"/>
      <c r="U723" s="5"/>
      <c r="V723" s="5"/>
      <c r="W723" s="5"/>
      <c r="X723" s="5"/>
      <c r="Y723" s="5"/>
      <c r="Z723" s="7"/>
      <c r="AA723" s="5"/>
      <c r="AB723" s="5"/>
      <c r="AC723" s="5"/>
      <c r="AD723" s="5"/>
      <c r="AE723" s="5"/>
    </row>
    <row r="724" spans="1:31" ht="15.75" customHeight="1">
      <c r="A724" s="5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5"/>
      <c r="T724" s="5"/>
      <c r="U724" s="5"/>
      <c r="V724" s="5"/>
      <c r="W724" s="5"/>
      <c r="X724" s="5"/>
      <c r="Y724" s="5"/>
      <c r="Z724" s="7"/>
      <c r="AA724" s="5"/>
      <c r="AB724" s="5"/>
      <c r="AC724" s="5"/>
      <c r="AD724" s="5"/>
      <c r="AE724" s="5"/>
    </row>
    <row r="725" spans="1:31" ht="15.75" customHeight="1">
      <c r="A725" s="5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5"/>
      <c r="T725" s="5"/>
      <c r="U725" s="5"/>
      <c r="V725" s="5"/>
      <c r="W725" s="5"/>
      <c r="X725" s="5"/>
      <c r="Y725" s="5"/>
      <c r="Z725" s="7"/>
      <c r="AA725" s="5"/>
      <c r="AB725" s="5"/>
      <c r="AC725" s="5"/>
      <c r="AD725" s="5"/>
      <c r="AE725" s="5"/>
    </row>
    <row r="726" spans="1:31" ht="15.75" customHeight="1">
      <c r="A726" s="5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5"/>
      <c r="T726" s="5"/>
      <c r="U726" s="5"/>
      <c r="V726" s="5"/>
      <c r="W726" s="5"/>
      <c r="X726" s="5"/>
      <c r="Y726" s="5"/>
      <c r="Z726" s="7"/>
      <c r="AA726" s="5"/>
      <c r="AB726" s="5"/>
      <c r="AC726" s="5"/>
      <c r="AD726" s="5"/>
      <c r="AE726" s="5"/>
    </row>
    <row r="727" spans="1:31" ht="15.75" customHeight="1">
      <c r="A727" s="5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5"/>
      <c r="T727" s="5"/>
      <c r="U727" s="5"/>
      <c r="V727" s="5"/>
      <c r="W727" s="5"/>
      <c r="X727" s="5"/>
      <c r="Y727" s="5"/>
      <c r="Z727" s="7"/>
      <c r="AA727" s="5"/>
      <c r="AB727" s="5"/>
      <c r="AC727" s="5"/>
      <c r="AD727" s="5"/>
      <c r="AE727" s="5"/>
    </row>
    <row r="728" spans="1:31" ht="15.75" customHeight="1">
      <c r="A728" s="5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5"/>
      <c r="T728" s="5"/>
      <c r="U728" s="5"/>
      <c r="V728" s="5"/>
      <c r="W728" s="5"/>
      <c r="X728" s="5"/>
      <c r="Y728" s="5"/>
      <c r="Z728" s="7"/>
      <c r="AA728" s="5"/>
      <c r="AB728" s="5"/>
      <c r="AC728" s="5"/>
      <c r="AD728" s="5"/>
      <c r="AE728" s="5"/>
    </row>
    <row r="729" spans="1:31" ht="15.75" customHeight="1">
      <c r="A729" s="5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5"/>
      <c r="T729" s="5"/>
      <c r="U729" s="5"/>
      <c r="V729" s="5"/>
      <c r="W729" s="5"/>
      <c r="X729" s="5"/>
      <c r="Y729" s="5"/>
      <c r="Z729" s="7"/>
      <c r="AA729" s="5"/>
      <c r="AB729" s="5"/>
      <c r="AC729" s="5"/>
      <c r="AD729" s="5"/>
      <c r="AE729" s="5"/>
    </row>
    <row r="730" spans="1:31" ht="15.75" customHeight="1">
      <c r="A730" s="5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5"/>
      <c r="T730" s="5"/>
      <c r="U730" s="5"/>
      <c r="V730" s="5"/>
      <c r="W730" s="5"/>
      <c r="X730" s="5"/>
      <c r="Y730" s="5"/>
      <c r="Z730" s="7"/>
      <c r="AA730" s="5"/>
      <c r="AB730" s="5"/>
      <c r="AC730" s="5"/>
      <c r="AD730" s="5"/>
      <c r="AE730" s="5"/>
    </row>
    <row r="731" spans="1:31" ht="15.75" customHeight="1">
      <c r="A731" s="5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5"/>
      <c r="T731" s="5"/>
      <c r="U731" s="5"/>
      <c r="V731" s="5"/>
      <c r="W731" s="5"/>
      <c r="X731" s="5"/>
      <c r="Y731" s="5"/>
      <c r="Z731" s="7"/>
      <c r="AA731" s="5"/>
      <c r="AB731" s="5"/>
      <c r="AC731" s="5"/>
      <c r="AD731" s="5"/>
      <c r="AE731" s="5"/>
    </row>
    <row r="732" spans="1:31" ht="15.75" customHeight="1">
      <c r="A732" s="5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5"/>
      <c r="T732" s="5"/>
      <c r="U732" s="5"/>
      <c r="V732" s="5"/>
      <c r="W732" s="5"/>
      <c r="X732" s="5"/>
      <c r="Y732" s="5"/>
      <c r="Z732" s="7"/>
      <c r="AA732" s="5"/>
      <c r="AB732" s="5"/>
      <c r="AC732" s="5"/>
      <c r="AD732" s="5"/>
      <c r="AE732" s="5"/>
    </row>
    <row r="733" spans="1:31" ht="15.75" customHeight="1">
      <c r="A733" s="5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5"/>
      <c r="T733" s="5"/>
      <c r="U733" s="5"/>
      <c r="V733" s="5"/>
      <c r="W733" s="5"/>
      <c r="X733" s="5"/>
      <c r="Y733" s="5"/>
      <c r="Z733" s="7"/>
      <c r="AA733" s="5"/>
      <c r="AB733" s="5"/>
      <c r="AC733" s="5"/>
      <c r="AD733" s="5"/>
      <c r="AE733" s="5"/>
    </row>
    <row r="734" spans="1:31" ht="15.75" customHeight="1">
      <c r="A734" s="5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5"/>
      <c r="T734" s="5"/>
      <c r="U734" s="5"/>
      <c r="V734" s="5"/>
      <c r="W734" s="5"/>
      <c r="X734" s="5"/>
      <c r="Y734" s="5"/>
      <c r="Z734" s="7"/>
      <c r="AA734" s="5"/>
      <c r="AB734" s="5"/>
      <c r="AC734" s="5"/>
      <c r="AD734" s="5"/>
      <c r="AE734" s="5"/>
    </row>
    <row r="735" spans="1:31" ht="15.75" customHeight="1">
      <c r="A735" s="5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5"/>
      <c r="T735" s="5"/>
      <c r="U735" s="5"/>
      <c r="V735" s="5"/>
      <c r="W735" s="5"/>
      <c r="X735" s="5"/>
      <c r="Y735" s="5"/>
      <c r="Z735" s="7"/>
      <c r="AA735" s="5"/>
      <c r="AB735" s="5"/>
      <c r="AC735" s="5"/>
      <c r="AD735" s="5"/>
      <c r="AE735" s="5"/>
    </row>
    <row r="736" spans="1:31" ht="15.75" customHeight="1">
      <c r="A736" s="5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5"/>
      <c r="T736" s="5"/>
      <c r="U736" s="5"/>
      <c r="V736" s="5"/>
      <c r="W736" s="5"/>
      <c r="X736" s="5"/>
      <c r="Y736" s="5"/>
      <c r="Z736" s="7"/>
      <c r="AA736" s="5"/>
      <c r="AB736" s="5"/>
      <c r="AC736" s="5"/>
      <c r="AD736" s="5"/>
      <c r="AE736" s="5"/>
    </row>
    <row r="737" spans="1:31" ht="15.75" customHeight="1">
      <c r="A737" s="5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5"/>
      <c r="T737" s="5"/>
      <c r="U737" s="5"/>
      <c r="V737" s="5"/>
      <c r="W737" s="5"/>
      <c r="X737" s="5"/>
      <c r="Y737" s="5"/>
      <c r="Z737" s="7"/>
      <c r="AA737" s="5"/>
      <c r="AB737" s="5"/>
      <c r="AC737" s="5"/>
      <c r="AD737" s="5"/>
      <c r="AE737" s="5"/>
    </row>
    <row r="738" spans="1:31" ht="15.75" customHeight="1">
      <c r="A738" s="5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5"/>
      <c r="T738" s="5"/>
      <c r="U738" s="5"/>
      <c r="V738" s="5"/>
      <c r="W738" s="5"/>
      <c r="X738" s="5"/>
      <c r="Y738" s="5"/>
      <c r="Z738" s="7"/>
      <c r="AA738" s="5"/>
      <c r="AB738" s="5"/>
      <c r="AC738" s="5"/>
      <c r="AD738" s="5"/>
      <c r="AE738" s="5"/>
    </row>
    <row r="739" spans="1:31" ht="15.75" customHeight="1">
      <c r="A739" s="5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5"/>
      <c r="T739" s="5"/>
      <c r="U739" s="5"/>
      <c r="V739" s="5"/>
      <c r="W739" s="5"/>
      <c r="X739" s="5"/>
      <c r="Y739" s="5"/>
      <c r="Z739" s="7"/>
      <c r="AA739" s="5"/>
      <c r="AB739" s="5"/>
      <c r="AC739" s="5"/>
      <c r="AD739" s="5"/>
      <c r="AE739" s="5"/>
    </row>
    <row r="740" spans="1:31" ht="15.75" customHeight="1">
      <c r="A740" s="5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5"/>
      <c r="T740" s="5"/>
      <c r="U740" s="5"/>
      <c r="V740" s="5"/>
      <c r="W740" s="5"/>
      <c r="X740" s="5"/>
      <c r="Y740" s="5"/>
      <c r="Z740" s="7"/>
      <c r="AA740" s="5"/>
      <c r="AB740" s="5"/>
      <c r="AC740" s="5"/>
      <c r="AD740" s="5"/>
      <c r="AE740" s="5"/>
    </row>
    <row r="741" spans="1:31" ht="15.75" customHeight="1">
      <c r="A741" s="5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5"/>
      <c r="T741" s="5"/>
      <c r="U741" s="5"/>
      <c r="V741" s="5"/>
      <c r="W741" s="5"/>
      <c r="X741" s="5"/>
      <c r="Y741" s="5"/>
      <c r="Z741" s="7"/>
      <c r="AA741" s="5"/>
      <c r="AB741" s="5"/>
      <c r="AC741" s="5"/>
      <c r="AD741" s="5"/>
      <c r="AE741" s="5"/>
    </row>
    <row r="742" spans="1:31" ht="15.75" customHeight="1">
      <c r="A742" s="5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5"/>
      <c r="T742" s="5"/>
      <c r="U742" s="5"/>
      <c r="V742" s="5"/>
      <c r="W742" s="5"/>
      <c r="X742" s="5"/>
      <c r="Y742" s="5"/>
      <c r="Z742" s="7"/>
      <c r="AA742" s="5"/>
      <c r="AB742" s="5"/>
      <c r="AC742" s="5"/>
      <c r="AD742" s="5"/>
      <c r="AE742" s="5"/>
    </row>
    <row r="743" spans="1:31" ht="15.75" customHeight="1">
      <c r="A743" s="5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5"/>
      <c r="T743" s="5"/>
      <c r="U743" s="5"/>
      <c r="V743" s="5"/>
      <c r="W743" s="5"/>
      <c r="X743" s="5"/>
      <c r="Y743" s="5"/>
      <c r="Z743" s="7"/>
      <c r="AA743" s="5"/>
      <c r="AB743" s="5"/>
      <c r="AC743" s="5"/>
      <c r="AD743" s="5"/>
      <c r="AE743" s="5"/>
    </row>
    <row r="744" spans="1:31" ht="15.75" customHeight="1">
      <c r="A744" s="5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5"/>
      <c r="T744" s="5"/>
      <c r="U744" s="5"/>
      <c r="V744" s="5"/>
      <c r="W744" s="5"/>
      <c r="X744" s="5"/>
      <c r="Y744" s="5"/>
      <c r="Z744" s="7"/>
      <c r="AA744" s="5"/>
      <c r="AB744" s="5"/>
      <c r="AC744" s="5"/>
      <c r="AD744" s="5"/>
      <c r="AE744" s="5"/>
    </row>
    <row r="745" spans="1:31" ht="15.75" customHeight="1">
      <c r="A745" s="5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5"/>
      <c r="T745" s="5"/>
      <c r="U745" s="5"/>
      <c r="V745" s="5"/>
      <c r="W745" s="5"/>
      <c r="X745" s="5"/>
      <c r="Y745" s="5"/>
      <c r="Z745" s="7"/>
      <c r="AA745" s="5"/>
      <c r="AB745" s="5"/>
      <c r="AC745" s="5"/>
      <c r="AD745" s="5"/>
      <c r="AE745" s="5"/>
    </row>
    <row r="746" spans="1:31" ht="15.75" customHeight="1">
      <c r="A746" s="5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5"/>
      <c r="T746" s="5"/>
      <c r="U746" s="5"/>
      <c r="V746" s="5"/>
      <c r="W746" s="5"/>
      <c r="X746" s="5"/>
      <c r="Y746" s="5"/>
      <c r="Z746" s="7"/>
      <c r="AA746" s="5"/>
      <c r="AB746" s="5"/>
      <c r="AC746" s="5"/>
      <c r="AD746" s="5"/>
      <c r="AE746" s="5"/>
    </row>
    <row r="747" spans="1:31" ht="15.75" customHeight="1">
      <c r="A747" s="5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5"/>
      <c r="T747" s="5"/>
      <c r="U747" s="5"/>
      <c r="V747" s="5"/>
      <c r="W747" s="5"/>
      <c r="X747" s="5"/>
      <c r="Y747" s="5"/>
      <c r="Z747" s="7"/>
      <c r="AA747" s="5"/>
      <c r="AB747" s="5"/>
      <c r="AC747" s="5"/>
      <c r="AD747" s="5"/>
      <c r="AE747" s="5"/>
    </row>
    <row r="748" spans="1:31" ht="15.75" customHeight="1">
      <c r="A748" s="5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5"/>
      <c r="T748" s="5"/>
      <c r="U748" s="5"/>
      <c r="V748" s="5"/>
      <c r="W748" s="5"/>
      <c r="X748" s="5"/>
      <c r="Y748" s="5"/>
      <c r="Z748" s="7"/>
      <c r="AA748" s="5"/>
      <c r="AB748" s="5"/>
      <c r="AC748" s="5"/>
      <c r="AD748" s="5"/>
      <c r="AE748" s="5"/>
    </row>
    <row r="749" spans="1:31" ht="15.75" customHeight="1">
      <c r="A749" s="5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5"/>
      <c r="T749" s="5"/>
      <c r="U749" s="5"/>
      <c r="V749" s="5"/>
      <c r="W749" s="5"/>
      <c r="X749" s="5"/>
      <c r="Y749" s="5"/>
      <c r="Z749" s="7"/>
      <c r="AA749" s="5"/>
      <c r="AB749" s="5"/>
      <c r="AC749" s="5"/>
      <c r="AD749" s="5"/>
      <c r="AE749" s="5"/>
    </row>
    <row r="750" spans="1:31" ht="15.75" customHeight="1">
      <c r="A750" s="5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5"/>
      <c r="T750" s="5"/>
      <c r="U750" s="5"/>
      <c r="V750" s="5"/>
      <c r="W750" s="5"/>
      <c r="X750" s="5"/>
      <c r="Y750" s="5"/>
      <c r="Z750" s="7"/>
      <c r="AA750" s="5"/>
      <c r="AB750" s="5"/>
      <c r="AC750" s="5"/>
      <c r="AD750" s="5"/>
      <c r="AE750" s="5"/>
    </row>
    <row r="751" spans="1:31" ht="15.75" customHeight="1">
      <c r="A751" s="5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5"/>
      <c r="T751" s="5"/>
      <c r="U751" s="5"/>
      <c r="V751" s="5"/>
      <c r="W751" s="5"/>
      <c r="X751" s="5"/>
      <c r="Y751" s="5"/>
      <c r="Z751" s="7"/>
      <c r="AA751" s="5"/>
      <c r="AB751" s="5"/>
      <c r="AC751" s="5"/>
      <c r="AD751" s="5"/>
      <c r="AE751" s="5"/>
    </row>
    <row r="752" spans="1:31" ht="15.75" customHeight="1">
      <c r="A752" s="5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5"/>
      <c r="T752" s="5"/>
      <c r="U752" s="5"/>
      <c r="V752" s="5"/>
      <c r="W752" s="5"/>
      <c r="X752" s="5"/>
      <c r="Y752" s="5"/>
      <c r="Z752" s="7"/>
      <c r="AA752" s="5"/>
      <c r="AB752" s="5"/>
      <c r="AC752" s="5"/>
      <c r="AD752" s="5"/>
      <c r="AE752" s="5"/>
    </row>
    <row r="753" spans="1:31" ht="15.75" customHeight="1">
      <c r="A753" s="5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5"/>
      <c r="T753" s="5"/>
      <c r="U753" s="5"/>
      <c r="V753" s="5"/>
      <c r="W753" s="5"/>
      <c r="X753" s="5"/>
      <c r="Y753" s="5"/>
      <c r="Z753" s="7"/>
      <c r="AA753" s="5"/>
      <c r="AB753" s="5"/>
      <c r="AC753" s="5"/>
      <c r="AD753" s="5"/>
      <c r="AE753" s="5"/>
    </row>
    <row r="754" spans="1:31" ht="15.75" customHeight="1">
      <c r="A754" s="5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5"/>
      <c r="T754" s="5"/>
      <c r="U754" s="5"/>
      <c r="V754" s="5"/>
      <c r="W754" s="5"/>
      <c r="X754" s="5"/>
      <c r="Y754" s="5"/>
      <c r="Z754" s="7"/>
      <c r="AA754" s="5"/>
      <c r="AB754" s="5"/>
      <c r="AC754" s="5"/>
      <c r="AD754" s="5"/>
      <c r="AE754" s="5"/>
    </row>
    <row r="755" spans="1:31" ht="15.75" customHeight="1">
      <c r="A755" s="5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5"/>
      <c r="T755" s="5"/>
      <c r="U755" s="5"/>
      <c r="V755" s="5"/>
      <c r="W755" s="5"/>
      <c r="X755" s="5"/>
      <c r="Y755" s="5"/>
      <c r="Z755" s="7"/>
      <c r="AA755" s="5"/>
      <c r="AB755" s="5"/>
      <c r="AC755" s="5"/>
      <c r="AD755" s="5"/>
      <c r="AE755" s="5"/>
    </row>
    <row r="756" spans="1:31" ht="15.75" customHeight="1">
      <c r="A756" s="5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5"/>
      <c r="T756" s="5"/>
      <c r="U756" s="5"/>
      <c r="V756" s="5"/>
      <c r="W756" s="5"/>
      <c r="X756" s="5"/>
      <c r="Y756" s="5"/>
      <c r="Z756" s="7"/>
      <c r="AA756" s="5"/>
      <c r="AB756" s="5"/>
      <c r="AC756" s="5"/>
      <c r="AD756" s="5"/>
      <c r="AE756" s="5"/>
    </row>
    <row r="757" spans="1:31" ht="15.75" customHeight="1">
      <c r="A757" s="5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5"/>
      <c r="T757" s="5"/>
      <c r="U757" s="5"/>
      <c r="V757" s="5"/>
      <c r="W757" s="5"/>
      <c r="X757" s="5"/>
      <c r="Y757" s="5"/>
      <c r="Z757" s="7"/>
      <c r="AA757" s="5"/>
      <c r="AB757" s="5"/>
      <c r="AC757" s="5"/>
      <c r="AD757" s="5"/>
      <c r="AE757" s="5"/>
    </row>
    <row r="758" spans="1:31" ht="15.75" customHeight="1">
      <c r="A758" s="5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5"/>
      <c r="T758" s="5"/>
      <c r="U758" s="5"/>
      <c r="V758" s="5"/>
      <c r="W758" s="5"/>
      <c r="X758" s="5"/>
      <c r="Y758" s="5"/>
      <c r="Z758" s="7"/>
      <c r="AA758" s="5"/>
      <c r="AB758" s="5"/>
      <c r="AC758" s="5"/>
      <c r="AD758" s="5"/>
      <c r="AE758" s="5"/>
    </row>
    <row r="759" spans="1:31" ht="15.75" customHeight="1">
      <c r="A759" s="5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5"/>
      <c r="T759" s="5"/>
      <c r="U759" s="5"/>
      <c r="V759" s="5"/>
      <c r="W759" s="5"/>
      <c r="X759" s="5"/>
      <c r="Y759" s="5"/>
      <c r="Z759" s="7"/>
      <c r="AA759" s="5"/>
      <c r="AB759" s="5"/>
      <c r="AC759" s="5"/>
      <c r="AD759" s="5"/>
      <c r="AE759" s="5"/>
    </row>
    <row r="760" spans="1:31" ht="15.75" customHeight="1">
      <c r="A760" s="5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5"/>
      <c r="T760" s="5"/>
      <c r="U760" s="5"/>
      <c r="V760" s="5"/>
      <c r="W760" s="5"/>
      <c r="X760" s="5"/>
      <c r="Y760" s="5"/>
      <c r="Z760" s="7"/>
      <c r="AA760" s="5"/>
      <c r="AB760" s="5"/>
      <c r="AC760" s="5"/>
      <c r="AD760" s="5"/>
      <c r="AE760" s="5"/>
    </row>
    <row r="761" spans="1:31" ht="15.75" customHeight="1">
      <c r="A761" s="5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5"/>
      <c r="T761" s="5"/>
      <c r="U761" s="5"/>
      <c r="V761" s="5"/>
      <c r="W761" s="5"/>
      <c r="X761" s="5"/>
      <c r="Y761" s="5"/>
      <c r="Z761" s="7"/>
      <c r="AA761" s="5"/>
      <c r="AB761" s="5"/>
      <c r="AC761" s="5"/>
      <c r="AD761" s="5"/>
      <c r="AE761" s="5"/>
    </row>
    <row r="762" spans="1:31" ht="15.75" customHeight="1">
      <c r="A762" s="5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5"/>
      <c r="T762" s="5"/>
      <c r="U762" s="5"/>
      <c r="V762" s="5"/>
      <c r="W762" s="5"/>
      <c r="X762" s="5"/>
      <c r="Y762" s="5"/>
      <c r="Z762" s="7"/>
      <c r="AA762" s="5"/>
      <c r="AB762" s="5"/>
      <c r="AC762" s="5"/>
      <c r="AD762" s="5"/>
      <c r="AE762" s="5"/>
    </row>
    <row r="763" spans="1:31" ht="15.75" customHeight="1">
      <c r="A763" s="5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5"/>
      <c r="T763" s="5"/>
      <c r="U763" s="5"/>
      <c r="V763" s="5"/>
      <c r="W763" s="5"/>
      <c r="X763" s="5"/>
      <c r="Y763" s="5"/>
      <c r="Z763" s="7"/>
      <c r="AA763" s="5"/>
      <c r="AB763" s="5"/>
      <c r="AC763" s="5"/>
      <c r="AD763" s="5"/>
      <c r="AE763" s="5"/>
    </row>
    <row r="764" spans="1:31" ht="15.75" customHeight="1">
      <c r="A764" s="5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5"/>
      <c r="T764" s="5"/>
      <c r="U764" s="5"/>
      <c r="V764" s="5"/>
      <c r="W764" s="5"/>
      <c r="X764" s="5"/>
      <c r="Y764" s="5"/>
      <c r="Z764" s="7"/>
      <c r="AA764" s="5"/>
      <c r="AB764" s="5"/>
      <c r="AC764" s="5"/>
      <c r="AD764" s="5"/>
      <c r="AE764" s="5"/>
    </row>
    <row r="765" spans="1:31" ht="15.75" customHeight="1">
      <c r="A765" s="5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5"/>
      <c r="T765" s="5"/>
      <c r="U765" s="5"/>
      <c r="V765" s="5"/>
      <c r="W765" s="5"/>
      <c r="X765" s="5"/>
      <c r="Y765" s="5"/>
      <c r="Z765" s="7"/>
      <c r="AA765" s="5"/>
      <c r="AB765" s="5"/>
      <c r="AC765" s="5"/>
      <c r="AD765" s="5"/>
      <c r="AE765" s="5"/>
    </row>
    <row r="766" spans="1:31" ht="15.75" customHeight="1">
      <c r="A766" s="5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5"/>
      <c r="T766" s="5"/>
      <c r="U766" s="5"/>
      <c r="V766" s="5"/>
      <c r="W766" s="5"/>
      <c r="X766" s="5"/>
      <c r="Y766" s="5"/>
      <c r="Z766" s="7"/>
      <c r="AA766" s="5"/>
      <c r="AB766" s="5"/>
      <c r="AC766" s="5"/>
      <c r="AD766" s="5"/>
      <c r="AE766" s="5"/>
    </row>
    <row r="767" spans="1:31" ht="15.75" customHeight="1">
      <c r="A767" s="5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5"/>
      <c r="T767" s="5"/>
      <c r="U767" s="5"/>
      <c r="V767" s="5"/>
      <c r="W767" s="5"/>
      <c r="X767" s="5"/>
      <c r="Y767" s="5"/>
      <c r="Z767" s="7"/>
      <c r="AA767" s="5"/>
      <c r="AB767" s="5"/>
      <c r="AC767" s="5"/>
      <c r="AD767" s="5"/>
      <c r="AE767" s="5"/>
    </row>
    <row r="768" spans="1:31" ht="15.75" customHeight="1">
      <c r="A768" s="5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5"/>
      <c r="T768" s="5"/>
      <c r="U768" s="5"/>
      <c r="V768" s="5"/>
      <c r="W768" s="5"/>
      <c r="X768" s="5"/>
      <c r="Y768" s="5"/>
      <c r="Z768" s="7"/>
      <c r="AA768" s="5"/>
      <c r="AB768" s="5"/>
      <c r="AC768" s="5"/>
      <c r="AD768" s="5"/>
      <c r="AE768" s="5"/>
    </row>
    <row r="769" spans="1:31" ht="15.75" customHeight="1">
      <c r="A769" s="5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5"/>
      <c r="T769" s="5"/>
      <c r="U769" s="5"/>
      <c r="V769" s="5"/>
      <c r="W769" s="5"/>
      <c r="X769" s="5"/>
      <c r="Y769" s="5"/>
      <c r="Z769" s="7"/>
      <c r="AA769" s="5"/>
      <c r="AB769" s="5"/>
      <c r="AC769" s="5"/>
      <c r="AD769" s="5"/>
      <c r="AE769" s="5"/>
    </row>
    <row r="770" spans="1:31" ht="15.75" customHeight="1">
      <c r="A770" s="5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5"/>
      <c r="T770" s="5"/>
      <c r="U770" s="5"/>
      <c r="V770" s="5"/>
      <c r="W770" s="5"/>
      <c r="X770" s="5"/>
      <c r="Y770" s="5"/>
      <c r="Z770" s="7"/>
      <c r="AA770" s="5"/>
      <c r="AB770" s="5"/>
      <c r="AC770" s="5"/>
      <c r="AD770" s="5"/>
      <c r="AE770" s="5"/>
    </row>
    <row r="771" spans="1:31" ht="15.75" customHeight="1">
      <c r="A771" s="5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5"/>
      <c r="T771" s="5"/>
      <c r="U771" s="5"/>
      <c r="V771" s="5"/>
      <c r="W771" s="5"/>
      <c r="X771" s="5"/>
      <c r="Y771" s="5"/>
      <c r="Z771" s="7"/>
      <c r="AA771" s="5"/>
      <c r="AB771" s="5"/>
      <c r="AC771" s="5"/>
      <c r="AD771" s="5"/>
      <c r="AE771" s="5"/>
    </row>
    <row r="772" spans="1:31" ht="15.75" customHeight="1">
      <c r="A772" s="5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5"/>
      <c r="T772" s="5"/>
      <c r="U772" s="5"/>
      <c r="V772" s="5"/>
      <c r="W772" s="5"/>
      <c r="X772" s="5"/>
      <c r="Y772" s="5"/>
      <c r="Z772" s="7"/>
      <c r="AA772" s="5"/>
      <c r="AB772" s="5"/>
      <c r="AC772" s="5"/>
      <c r="AD772" s="5"/>
      <c r="AE772" s="5"/>
    </row>
    <row r="773" spans="1:31" ht="15.75" customHeight="1">
      <c r="A773" s="5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5"/>
      <c r="T773" s="5"/>
      <c r="U773" s="5"/>
      <c r="V773" s="5"/>
      <c r="W773" s="5"/>
      <c r="X773" s="5"/>
      <c r="Y773" s="5"/>
      <c r="Z773" s="7"/>
      <c r="AA773" s="5"/>
      <c r="AB773" s="5"/>
      <c r="AC773" s="5"/>
      <c r="AD773" s="5"/>
      <c r="AE773" s="5"/>
    </row>
    <row r="774" spans="1:31" ht="15.75" customHeight="1">
      <c r="A774" s="5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5"/>
      <c r="T774" s="5"/>
      <c r="U774" s="5"/>
      <c r="V774" s="5"/>
      <c r="W774" s="5"/>
      <c r="X774" s="5"/>
      <c r="Y774" s="5"/>
      <c r="Z774" s="7"/>
      <c r="AA774" s="5"/>
      <c r="AB774" s="5"/>
      <c r="AC774" s="5"/>
      <c r="AD774" s="5"/>
      <c r="AE774" s="5"/>
    </row>
    <row r="775" spans="1:31" ht="15.75" customHeight="1">
      <c r="A775" s="5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5"/>
      <c r="T775" s="5"/>
      <c r="U775" s="5"/>
      <c r="V775" s="5"/>
      <c r="W775" s="5"/>
      <c r="X775" s="5"/>
      <c r="Y775" s="5"/>
      <c r="Z775" s="7"/>
      <c r="AA775" s="5"/>
      <c r="AB775" s="5"/>
      <c r="AC775" s="5"/>
      <c r="AD775" s="5"/>
      <c r="AE775" s="5"/>
    </row>
    <row r="776" spans="1:31" ht="15.75" customHeight="1">
      <c r="A776" s="5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5"/>
      <c r="T776" s="5"/>
      <c r="U776" s="5"/>
      <c r="V776" s="5"/>
      <c r="W776" s="5"/>
      <c r="X776" s="5"/>
      <c r="Y776" s="5"/>
      <c r="Z776" s="7"/>
      <c r="AA776" s="5"/>
      <c r="AB776" s="5"/>
      <c r="AC776" s="5"/>
      <c r="AD776" s="5"/>
      <c r="AE776" s="5"/>
    </row>
    <row r="777" spans="1:31" ht="15.75" customHeight="1">
      <c r="A777" s="5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5"/>
      <c r="T777" s="5"/>
      <c r="U777" s="5"/>
      <c r="V777" s="5"/>
      <c r="W777" s="5"/>
      <c r="X777" s="5"/>
      <c r="Y777" s="5"/>
      <c r="Z777" s="7"/>
      <c r="AA777" s="5"/>
      <c r="AB777" s="5"/>
      <c r="AC777" s="5"/>
      <c r="AD777" s="5"/>
      <c r="AE777" s="5"/>
    </row>
    <row r="778" spans="1:31" ht="15.75" customHeight="1">
      <c r="A778" s="5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5"/>
      <c r="T778" s="5"/>
      <c r="U778" s="5"/>
      <c r="V778" s="5"/>
      <c r="W778" s="5"/>
      <c r="X778" s="5"/>
      <c r="Y778" s="5"/>
      <c r="Z778" s="7"/>
      <c r="AA778" s="5"/>
      <c r="AB778" s="5"/>
      <c r="AC778" s="5"/>
      <c r="AD778" s="5"/>
      <c r="AE778" s="5"/>
    </row>
    <row r="779" spans="1:31" ht="15.75" customHeight="1">
      <c r="A779" s="5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5"/>
      <c r="T779" s="5"/>
      <c r="U779" s="5"/>
      <c r="V779" s="5"/>
      <c r="W779" s="5"/>
      <c r="X779" s="5"/>
      <c r="Y779" s="5"/>
      <c r="Z779" s="7"/>
      <c r="AA779" s="5"/>
      <c r="AB779" s="5"/>
      <c r="AC779" s="5"/>
      <c r="AD779" s="5"/>
      <c r="AE779" s="5"/>
    </row>
    <row r="780" spans="1:31" ht="15.75" customHeight="1">
      <c r="A780" s="5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5"/>
      <c r="T780" s="5"/>
      <c r="U780" s="5"/>
      <c r="V780" s="5"/>
      <c r="W780" s="5"/>
      <c r="X780" s="5"/>
      <c r="Y780" s="5"/>
      <c r="Z780" s="7"/>
      <c r="AA780" s="5"/>
      <c r="AB780" s="5"/>
      <c r="AC780" s="5"/>
      <c r="AD780" s="5"/>
      <c r="AE780" s="5"/>
    </row>
    <row r="781" spans="1:31" ht="15.75" customHeight="1">
      <c r="A781" s="5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5"/>
      <c r="T781" s="5"/>
      <c r="U781" s="5"/>
      <c r="V781" s="5"/>
      <c r="W781" s="5"/>
      <c r="X781" s="5"/>
      <c r="Y781" s="5"/>
      <c r="Z781" s="7"/>
      <c r="AA781" s="5"/>
      <c r="AB781" s="5"/>
      <c r="AC781" s="5"/>
      <c r="AD781" s="5"/>
      <c r="AE781" s="5"/>
    </row>
    <row r="782" spans="1:31" ht="15.75" customHeight="1">
      <c r="A782" s="5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5"/>
      <c r="T782" s="5"/>
      <c r="U782" s="5"/>
      <c r="V782" s="5"/>
      <c r="W782" s="5"/>
      <c r="X782" s="5"/>
      <c r="Y782" s="5"/>
      <c r="Z782" s="7"/>
      <c r="AA782" s="5"/>
      <c r="AB782" s="5"/>
      <c r="AC782" s="5"/>
      <c r="AD782" s="5"/>
      <c r="AE782" s="5"/>
    </row>
    <row r="783" spans="1:31" ht="15.75" customHeight="1">
      <c r="A783" s="5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5"/>
      <c r="T783" s="5"/>
      <c r="U783" s="5"/>
      <c r="V783" s="5"/>
      <c r="W783" s="5"/>
      <c r="X783" s="5"/>
      <c r="Y783" s="5"/>
      <c r="Z783" s="7"/>
      <c r="AA783" s="5"/>
      <c r="AB783" s="5"/>
      <c r="AC783" s="5"/>
      <c r="AD783" s="5"/>
      <c r="AE783" s="5"/>
    </row>
    <row r="784" spans="1:31" ht="15.75" customHeight="1">
      <c r="A784" s="5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5"/>
      <c r="T784" s="5"/>
      <c r="U784" s="5"/>
      <c r="V784" s="5"/>
      <c r="W784" s="5"/>
      <c r="X784" s="5"/>
      <c r="Y784" s="5"/>
      <c r="Z784" s="7"/>
      <c r="AA784" s="5"/>
      <c r="AB784" s="5"/>
      <c r="AC784" s="5"/>
      <c r="AD784" s="5"/>
      <c r="AE784" s="5"/>
    </row>
    <row r="785" spans="1:31" ht="15.75" customHeight="1">
      <c r="A785" s="5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5"/>
      <c r="T785" s="5"/>
      <c r="U785" s="5"/>
      <c r="V785" s="5"/>
      <c r="W785" s="5"/>
      <c r="X785" s="5"/>
      <c r="Y785" s="5"/>
      <c r="Z785" s="7"/>
      <c r="AA785" s="5"/>
      <c r="AB785" s="5"/>
      <c r="AC785" s="5"/>
      <c r="AD785" s="5"/>
      <c r="AE785" s="5"/>
    </row>
    <row r="786" spans="1:31" ht="15.75" customHeight="1">
      <c r="A786" s="5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5"/>
      <c r="T786" s="5"/>
      <c r="U786" s="5"/>
      <c r="V786" s="5"/>
      <c r="W786" s="5"/>
      <c r="X786" s="5"/>
      <c r="Y786" s="5"/>
      <c r="Z786" s="7"/>
      <c r="AA786" s="5"/>
      <c r="AB786" s="5"/>
      <c r="AC786" s="5"/>
      <c r="AD786" s="5"/>
      <c r="AE786" s="5"/>
    </row>
    <row r="787" spans="1:31" ht="15.75" customHeight="1">
      <c r="A787" s="5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5"/>
      <c r="T787" s="5"/>
      <c r="U787" s="5"/>
      <c r="V787" s="5"/>
      <c r="W787" s="5"/>
      <c r="X787" s="5"/>
      <c r="Y787" s="5"/>
      <c r="Z787" s="7"/>
      <c r="AA787" s="5"/>
      <c r="AB787" s="5"/>
      <c r="AC787" s="5"/>
      <c r="AD787" s="5"/>
      <c r="AE787" s="5"/>
    </row>
    <row r="788" spans="1:31" ht="15.75" customHeight="1">
      <c r="A788" s="5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5"/>
      <c r="T788" s="5"/>
      <c r="U788" s="5"/>
      <c r="V788" s="5"/>
      <c r="W788" s="5"/>
      <c r="X788" s="5"/>
      <c r="Y788" s="5"/>
      <c r="Z788" s="7"/>
      <c r="AA788" s="5"/>
      <c r="AB788" s="5"/>
      <c r="AC788" s="5"/>
      <c r="AD788" s="5"/>
      <c r="AE788" s="5"/>
    </row>
    <row r="789" spans="1:31" ht="15.75" customHeight="1">
      <c r="A789" s="5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5"/>
      <c r="T789" s="5"/>
      <c r="U789" s="5"/>
      <c r="V789" s="5"/>
      <c r="W789" s="5"/>
      <c r="X789" s="5"/>
      <c r="Y789" s="5"/>
      <c r="Z789" s="7"/>
      <c r="AA789" s="5"/>
      <c r="AB789" s="5"/>
      <c r="AC789" s="5"/>
      <c r="AD789" s="5"/>
      <c r="AE789" s="5"/>
    </row>
    <row r="790" spans="1:31" ht="15.75" customHeight="1">
      <c r="A790" s="5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5"/>
      <c r="T790" s="5"/>
      <c r="U790" s="5"/>
      <c r="V790" s="5"/>
      <c r="W790" s="5"/>
      <c r="X790" s="5"/>
      <c r="Y790" s="5"/>
      <c r="Z790" s="7"/>
      <c r="AA790" s="5"/>
      <c r="AB790" s="5"/>
      <c r="AC790" s="5"/>
      <c r="AD790" s="5"/>
      <c r="AE790" s="5"/>
    </row>
    <row r="791" spans="1:31" ht="15.75" customHeight="1">
      <c r="A791" s="5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5"/>
      <c r="T791" s="5"/>
      <c r="U791" s="5"/>
      <c r="V791" s="5"/>
      <c r="W791" s="5"/>
      <c r="X791" s="5"/>
      <c r="Y791" s="5"/>
      <c r="Z791" s="7"/>
      <c r="AA791" s="5"/>
      <c r="AB791" s="5"/>
      <c r="AC791" s="5"/>
      <c r="AD791" s="5"/>
      <c r="AE791" s="5"/>
    </row>
    <row r="792" spans="1:31" ht="15.75" customHeight="1">
      <c r="A792" s="5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5"/>
      <c r="T792" s="5"/>
      <c r="U792" s="5"/>
      <c r="V792" s="5"/>
      <c r="W792" s="5"/>
      <c r="X792" s="5"/>
      <c r="Y792" s="5"/>
      <c r="Z792" s="7"/>
      <c r="AA792" s="5"/>
      <c r="AB792" s="5"/>
      <c r="AC792" s="5"/>
      <c r="AD792" s="5"/>
      <c r="AE792" s="5"/>
    </row>
    <row r="793" spans="1:31" ht="15.75" customHeight="1">
      <c r="A793" s="5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5"/>
      <c r="T793" s="5"/>
      <c r="U793" s="5"/>
      <c r="V793" s="5"/>
      <c r="W793" s="5"/>
      <c r="X793" s="5"/>
      <c r="Y793" s="5"/>
      <c r="Z793" s="7"/>
      <c r="AA793" s="5"/>
      <c r="AB793" s="5"/>
      <c r="AC793" s="5"/>
      <c r="AD793" s="5"/>
      <c r="AE793" s="5"/>
    </row>
    <row r="794" spans="1:31" ht="15.75" customHeight="1">
      <c r="A794" s="5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5"/>
      <c r="T794" s="5"/>
      <c r="U794" s="5"/>
      <c r="V794" s="5"/>
      <c r="W794" s="5"/>
      <c r="X794" s="5"/>
      <c r="Y794" s="5"/>
      <c r="Z794" s="7"/>
      <c r="AA794" s="5"/>
      <c r="AB794" s="5"/>
      <c r="AC794" s="5"/>
      <c r="AD794" s="5"/>
      <c r="AE794" s="5"/>
    </row>
    <row r="795" spans="1:31" ht="15.75" customHeight="1">
      <c r="A795" s="5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5"/>
      <c r="T795" s="5"/>
      <c r="U795" s="5"/>
      <c r="V795" s="5"/>
      <c r="W795" s="5"/>
      <c r="X795" s="5"/>
      <c r="Y795" s="5"/>
      <c r="Z795" s="7"/>
      <c r="AA795" s="5"/>
      <c r="AB795" s="5"/>
      <c r="AC795" s="5"/>
      <c r="AD795" s="5"/>
      <c r="AE795" s="5"/>
    </row>
    <row r="796" spans="1:31" ht="15.75" customHeight="1">
      <c r="A796" s="5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5"/>
      <c r="T796" s="5"/>
      <c r="U796" s="5"/>
      <c r="V796" s="5"/>
      <c r="W796" s="5"/>
      <c r="X796" s="5"/>
      <c r="Y796" s="5"/>
      <c r="Z796" s="7"/>
      <c r="AA796" s="5"/>
      <c r="AB796" s="5"/>
      <c r="AC796" s="5"/>
      <c r="AD796" s="5"/>
      <c r="AE796" s="5"/>
    </row>
    <row r="797" spans="1:31" ht="15.75" customHeight="1">
      <c r="A797" s="5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5"/>
      <c r="T797" s="5"/>
      <c r="U797" s="5"/>
      <c r="V797" s="5"/>
      <c r="W797" s="5"/>
      <c r="X797" s="5"/>
      <c r="Y797" s="5"/>
      <c r="Z797" s="7"/>
      <c r="AA797" s="5"/>
      <c r="AB797" s="5"/>
      <c r="AC797" s="5"/>
      <c r="AD797" s="5"/>
      <c r="AE797" s="5"/>
    </row>
    <row r="798" spans="1:31" ht="15.75" customHeight="1">
      <c r="A798" s="5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5"/>
      <c r="T798" s="5"/>
      <c r="U798" s="5"/>
      <c r="V798" s="5"/>
      <c r="W798" s="5"/>
      <c r="X798" s="5"/>
      <c r="Y798" s="5"/>
      <c r="Z798" s="7"/>
      <c r="AA798" s="5"/>
      <c r="AB798" s="5"/>
      <c r="AC798" s="5"/>
      <c r="AD798" s="5"/>
      <c r="AE798" s="5"/>
    </row>
    <row r="799" spans="1:31" ht="15.75" customHeight="1">
      <c r="A799" s="5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5"/>
      <c r="T799" s="5"/>
      <c r="U799" s="5"/>
      <c r="V799" s="5"/>
      <c r="W799" s="5"/>
      <c r="X799" s="5"/>
      <c r="Y799" s="5"/>
      <c r="Z799" s="7"/>
      <c r="AA799" s="5"/>
      <c r="AB799" s="5"/>
      <c r="AC799" s="5"/>
      <c r="AD799" s="5"/>
      <c r="AE799" s="5"/>
    </row>
    <row r="800" spans="1:31" ht="15.75" customHeight="1">
      <c r="A800" s="5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5"/>
      <c r="T800" s="5"/>
      <c r="U800" s="5"/>
      <c r="V800" s="5"/>
      <c r="W800" s="5"/>
      <c r="X800" s="5"/>
      <c r="Y800" s="5"/>
      <c r="Z800" s="7"/>
      <c r="AA800" s="5"/>
      <c r="AB800" s="5"/>
      <c r="AC800" s="5"/>
      <c r="AD800" s="5"/>
      <c r="AE800" s="5"/>
    </row>
    <row r="801" spans="1:31" ht="15.75" customHeight="1">
      <c r="A801" s="5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5"/>
      <c r="T801" s="5"/>
      <c r="U801" s="5"/>
      <c r="V801" s="5"/>
      <c r="W801" s="5"/>
      <c r="X801" s="5"/>
      <c r="Y801" s="5"/>
      <c r="Z801" s="7"/>
      <c r="AA801" s="5"/>
      <c r="AB801" s="5"/>
      <c r="AC801" s="5"/>
      <c r="AD801" s="5"/>
      <c r="AE801" s="5"/>
    </row>
    <row r="802" spans="1:31" ht="15.75" customHeight="1">
      <c r="A802" s="5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5"/>
      <c r="T802" s="5"/>
      <c r="U802" s="5"/>
      <c r="V802" s="5"/>
      <c r="W802" s="5"/>
      <c r="X802" s="5"/>
      <c r="Y802" s="5"/>
      <c r="Z802" s="7"/>
      <c r="AA802" s="5"/>
      <c r="AB802" s="5"/>
      <c r="AC802" s="5"/>
      <c r="AD802" s="5"/>
      <c r="AE802" s="5"/>
    </row>
    <row r="803" spans="1:31" ht="15.75" customHeight="1">
      <c r="A803" s="5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5"/>
      <c r="T803" s="5"/>
      <c r="U803" s="5"/>
      <c r="V803" s="5"/>
      <c r="W803" s="5"/>
      <c r="X803" s="5"/>
      <c r="Y803" s="5"/>
      <c r="Z803" s="7"/>
      <c r="AA803" s="5"/>
      <c r="AB803" s="5"/>
      <c r="AC803" s="5"/>
      <c r="AD803" s="5"/>
      <c r="AE803" s="5"/>
    </row>
    <row r="804" spans="1:31" ht="15.75" customHeight="1">
      <c r="A804" s="5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5"/>
      <c r="T804" s="5"/>
      <c r="U804" s="5"/>
      <c r="V804" s="5"/>
      <c r="W804" s="5"/>
      <c r="X804" s="5"/>
      <c r="Y804" s="5"/>
      <c r="Z804" s="7"/>
      <c r="AA804" s="5"/>
      <c r="AB804" s="5"/>
      <c r="AC804" s="5"/>
      <c r="AD804" s="5"/>
      <c r="AE804" s="5"/>
    </row>
    <row r="805" spans="1:31" ht="15.75" customHeight="1">
      <c r="A805" s="5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5"/>
      <c r="T805" s="5"/>
      <c r="U805" s="5"/>
      <c r="V805" s="5"/>
      <c r="W805" s="5"/>
      <c r="X805" s="5"/>
      <c r="Y805" s="5"/>
      <c r="Z805" s="7"/>
      <c r="AA805" s="5"/>
      <c r="AB805" s="5"/>
      <c r="AC805" s="5"/>
      <c r="AD805" s="5"/>
      <c r="AE805" s="5"/>
    </row>
    <row r="806" spans="1:31" ht="15.75" customHeight="1">
      <c r="A806" s="5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5"/>
      <c r="T806" s="5"/>
      <c r="U806" s="5"/>
      <c r="V806" s="5"/>
      <c r="W806" s="5"/>
      <c r="X806" s="5"/>
      <c r="Y806" s="5"/>
      <c r="Z806" s="7"/>
      <c r="AA806" s="5"/>
      <c r="AB806" s="5"/>
      <c r="AC806" s="5"/>
      <c r="AD806" s="5"/>
      <c r="AE806" s="5"/>
    </row>
    <row r="807" spans="1:31" ht="15.75" customHeight="1">
      <c r="A807" s="5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5"/>
      <c r="T807" s="5"/>
      <c r="U807" s="5"/>
      <c r="V807" s="5"/>
      <c r="W807" s="5"/>
      <c r="X807" s="5"/>
      <c r="Y807" s="5"/>
      <c r="Z807" s="7"/>
      <c r="AA807" s="5"/>
      <c r="AB807" s="5"/>
      <c r="AC807" s="5"/>
      <c r="AD807" s="5"/>
      <c r="AE807" s="5"/>
    </row>
    <row r="808" spans="1:31" ht="15.75" customHeight="1">
      <c r="A808" s="5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5"/>
      <c r="T808" s="5"/>
      <c r="U808" s="5"/>
      <c r="V808" s="5"/>
      <c r="W808" s="5"/>
      <c r="X808" s="5"/>
      <c r="Y808" s="5"/>
      <c r="Z808" s="7"/>
      <c r="AA808" s="5"/>
      <c r="AB808" s="5"/>
      <c r="AC808" s="5"/>
      <c r="AD808" s="5"/>
      <c r="AE808" s="5"/>
    </row>
    <row r="809" spans="1:31" ht="15.75" customHeight="1">
      <c r="A809" s="5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5"/>
      <c r="T809" s="5"/>
      <c r="U809" s="5"/>
      <c r="V809" s="5"/>
      <c r="W809" s="5"/>
      <c r="X809" s="5"/>
      <c r="Y809" s="5"/>
      <c r="Z809" s="7"/>
      <c r="AA809" s="5"/>
      <c r="AB809" s="5"/>
      <c r="AC809" s="5"/>
      <c r="AD809" s="5"/>
      <c r="AE809" s="5"/>
    </row>
    <row r="810" spans="1:31" ht="15.75" customHeight="1">
      <c r="A810" s="5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5"/>
      <c r="T810" s="5"/>
      <c r="U810" s="5"/>
      <c r="V810" s="5"/>
      <c r="W810" s="5"/>
      <c r="X810" s="5"/>
      <c r="Y810" s="5"/>
      <c r="Z810" s="7"/>
      <c r="AA810" s="5"/>
      <c r="AB810" s="5"/>
      <c r="AC810" s="5"/>
      <c r="AD810" s="5"/>
      <c r="AE810" s="5"/>
    </row>
    <row r="811" spans="1:31" ht="15.75" customHeight="1">
      <c r="A811" s="5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5"/>
      <c r="T811" s="5"/>
      <c r="U811" s="5"/>
      <c r="V811" s="5"/>
      <c r="W811" s="5"/>
      <c r="X811" s="5"/>
      <c r="Y811" s="5"/>
      <c r="Z811" s="7"/>
      <c r="AA811" s="5"/>
      <c r="AB811" s="5"/>
      <c r="AC811" s="5"/>
      <c r="AD811" s="5"/>
      <c r="AE811" s="5"/>
    </row>
    <row r="812" spans="1:31" ht="15.75" customHeight="1">
      <c r="A812" s="5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5"/>
      <c r="T812" s="5"/>
      <c r="U812" s="5"/>
      <c r="V812" s="5"/>
      <c r="W812" s="5"/>
      <c r="X812" s="5"/>
      <c r="Y812" s="5"/>
      <c r="Z812" s="7"/>
      <c r="AA812" s="5"/>
      <c r="AB812" s="5"/>
      <c r="AC812" s="5"/>
      <c r="AD812" s="5"/>
      <c r="AE812" s="5"/>
    </row>
    <row r="813" spans="1:31" ht="15.75" customHeight="1">
      <c r="A813" s="5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5"/>
      <c r="T813" s="5"/>
      <c r="U813" s="5"/>
      <c r="V813" s="5"/>
      <c r="W813" s="5"/>
      <c r="X813" s="5"/>
      <c r="Y813" s="5"/>
      <c r="Z813" s="7"/>
      <c r="AA813" s="5"/>
      <c r="AB813" s="5"/>
      <c r="AC813" s="5"/>
      <c r="AD813" s="5"/>
      <c r="AE813" s="5"/>
    </row>
    <row r="814" spans="1:31" ht="15.75" customHeight="1">
      <c r="A814" s="5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5"/>
      <c r="T814" s="5"/>
      <c r="U814" s="5"/>
      <c r="V814" s="5"/>
      <c r="W814" s="5"/>
      <c r="X814" s="5"/>
      <c r="Y814" s="5"/>
      <c r="Z814" s="7"/>
      <c r="AA814" s="5"/>
      <c r="AB814" s="5"/>
      <c r="AC814" s="5"/>
      <c r="AD814" s="5"/>
      <c r="AE814" s="5"/>
    </row>
    <row r="815" spans="1:31" ht="15.75" customHeight="1">
      <c r="A815" s="5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5"/>
      <c r="T815" s="5"/>
      <c r="U815" s="5"/>
      <c r="V815" s="5"/>
      <c r="W815" s="5"/>
      <c r="X815" s="5"/>
      <c r="Y815" s="5"/>
      <c r="Z815" s="7"/>
      <c r="AA815" s="5"/>
      <c r="AB815" s="5"/>
      <c r="AC815" s="5"/>
      <c r="AD815" s="5"/>
      <c r="AE815" s="5"/>
    </row>
    <row r="816" spans="1:31" ht="15.75" customHeight="1">
      <c r="A816" s="5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5"/>
      <c r="T816" s="5"/>
      <c r="U816" s="5"/>
      <c r="V816" s="5"/>
      <c r="W816" s="5"/>
      <c r="X816" s="5"/>
      <c r="Y816" s="5"/>
      <c r="Z816" s="7"/>
      <c r="AA816" s="5"/>
      <c r="AB816" s="5"/>
      <c r="AC816" s="5"/>
      <c r="AD816" s="5"/>
      <c r="AE816" s="5"/>
    </row>
    <row r="817" spans="1:31" ht="15.75" customHeight="1">
      <c r="A817" s="5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5"/>
      <c r="T817" s="5"/>
      <c r="U817" s="5"/>
      <c r="V817" s="5"/>
      <c r="W817" s="5"/>
      <c r="X817" s="5"/>
      <c r="Y817" s="5"/>
      <c r="Z817" s="7"/>
      <c r="AA817" s="5"/>
      <c r="AB817" s="5"/>
      <c r="AC817" s="5"/>
      <c r="AD817" s="5"/>
      <c r="AE817" s="5"/>
    </row>
    <row r="818" spans="1:31" ht="15.75" customHeight="1">
      <c r="A818" s="5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5"/>
      <c r="T818" s="5"/>
      <c r="U818" s="5"/>
      <c r="V818" s="5"/>
      <c r="W818" s="5"/>
      <c r="X818" s="5"/>
      <c r="Y818" s="5"/>
      <c r="Z818" s="7"/>
      <c r="AA818" s="5"/>
      <c r="AB818" s="5"/>
      <c r="AC818" s="5"/>
      <c r="AD818" s="5"/>
      <c r="AE818" s="5"/>
    </row>
    <row r="819" spans="1:31" ht="15.75" customHeight="1">
      <c r="A819" s="5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5"/>
      <c r="T819" s="5"/>
      <c r="U819" s="5"/>
      <c r="V819" s="5"/>
      <c r="W819" s="5"/>
      <c r="X819" s="5"/>
      <c r="Y819" s="5"/>
      <c r="Z819" s="7"/>
      <c r="AA819" s="5"/>
      <c r="AB819" s="5"/>
      <c r="AC819" s="5"/>
      <c r="AD819" s="5"/>
      <c r="AE819" s="5"/>
    </row>
    <row r="820" spans="1:31" ht="15.75" customHeight="1">
      <c r="A820" s="5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5"/>
      <c r="T820" s="5"/>
      <c r="U820" s="5"/>
      <c r="V820" s="5"/>
      <c r="W820" s="5"/>
      <c r="X820" s="5"/>
      <c r="Y820" s="5"/>
      <c r="Z820" s="7"/>
      <c r="AA820" s="5"/>
      <c r="AB820" s="5"/>
      <c r="AC820" s="5"/>
      <c r="AD820" s="5"/>
      <c r="AE820" s="5"/>
    </row>
    <row r="821" spans="1:31" ht="15.75" customHeight="1">
      <c r="A821" s="5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5"/>
      <c r="T821" s="5"/>
      <c r="U821" s="5"/>
      <c r="V821" s="5"/>
      <c r="W821" s="5"/>
      <c r="X821" s="5"/>
      <c r="Y821" s="5"/>
      <c r="Z821" s="7"/>
      <c r="AA821" s="5"/>
      <c r="AB821" s="5"/>
      <c r="AC821" s="5"/>
      <c r="AD821" s="5"/>
      <c r="AE821" s="5"/>
    </row>
    <row r="822" spans="1:31" ht="15.75" customHeight="1">
      <c r="A822" s="5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5"/>
      <c r="T822" s="5"/>
      <c r="U822" s="5"/>
      <c r="V822" s="5"/>
      <c r="W822" s="5"/>
      <c r="X822" s="5"/>
      <c r="Y822" s="5"/>
      <c r="Z822" s="7"/>
      <c r="AA822" s="5"/>
      <c r="AB822" s="5"/>
      <c r="AC822" s="5"/>
      <c r="AD822" s="5"/>
      <c r="AE822" s="5"/>
    </row>
    <row r="823" spans="1:31" ht="15.75" customHeight="1">
      <c r="A823" s="5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5"/>
      <c r="T823" s="5"/>
      <c r="U823" s="5"/>
      <c r="V823" s="5"/>
      <c r="W823" s="5"/>
      <c r="X823" s="5"/>
      <c r="Y823" s="5"/>
      <c r="Z823" s="7"/>
      <c r="AA823" s="5"/>
      <c r="AB823" s="5"/>
      <c r="AC823" s="5"/>
      <c r="AD823" s="5"/>
      <c r="AE823" s="5"/>
    </row>
    <row r="824" spans="1:31" ht="15.75" customHeight="1">
      <c r="A824" s="5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5"/>
      <c r="T824" s="5"/>
      <c r="U824" s="5"/>
      <c r="V824" s="5"/>
      <c r="W824" s="5"/>
      <c r="X824" s="5"/>
      <c r="Y824" s="5"/>
      <c r="Z824" s="7"/>
      <c r="AA824" s="5"/>
      <c r="AB824" s="5"/>
      <c r="AC824" s="5"/>
      <c r="AD824" s="5"/>
      <c r="AE824" s="5"/>
    </row>
    <row r="825" spans="1:31" ht="15.75" customHeight="1">
      <c r="A825" s="5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5"/>
      <c r="T825" s="5"/>
      <c r="U825" s="5"/>
      <c r="V825" s="5"/>
      <c r="W825" s="5"/>
      <c r="X825" s="5"/>
      <c r="Y825" s="5"/>
      <c r="Z825" s="7"/>
      <c r="AA825" s="5"/>
      <c r="AB825" s="5"/>
      <c r="AC825" s="5"/>
      <c r="AD825" s="5"/>
      <c r="AE825" s="5"/>
    </row>
    <row r="826" spans="1:31" ht="15.75" customHeight="1">
      <c r="A826" s="5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5"/>
      <c r="T826" s="5"/>
      <c r="U826" s="5"/>
      <c r="V826" s="5"/>
      <c r="W826" s="5"/>
      <c r="X826" s="5"/>
      <c r="Y826" s="5"/>
      <c r="Z826" s="7"/>
      <c r="AA826" s="5"/>
      <c r="AB826" s="5"/>
      <c r="AC826" s="5"/>
      <c r="AD826" s="5"/>
      <c r="AE826" s="5"/>
    </row>
    <row r="827" spans="1:31" ht="15.75" customHeight="1">
      <c r="A827" s="5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5"/>
      <c r="T827" s="5"/>
      <c r="U827" s="5"/>
      <c r="V827" s="5"/>
      <c r="W827" s="5"/>
      <c r="X827" s="5"/>
      <c r="Y827" s="5"/>
      <c r="Z827" s="7"/>
      <c r="AA827" s="5"/>
      <c r="AB827" s="5"/>
      <c r="AC827" s="5"/>
      <c r="AD827" s="5"/>
      <c r="AE827" s="5"/>
    </row>
    <row r="828" spans="1:31" ht="15.75" customHeight="1">
      <c r="A828" s="5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5"/>
      <c r="T828" s="5"/>
      <c r="U828" s="5"/>
      <c r="V828" s="5"/>
      <c r="W828" s="5"/>
      <c r="X828" s="5"/>
      <c r="Y828" s="5"/>
      <c r="Z828" s="7"/>
      <c r="AA828" s="5"/>
      <c r="AB828" s="5"/>
      <c r="AC828" s="5"/>
      <c r="AD828" s="5"/>
      <c r="AE828" s="5"/>
    </row>
    <row r="829" spans="1:31" ht="15.75" customHeight="1">
      <c r="A829" s="5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5"/>
      <c r="T829" s="5"/>
      <c r="U829" s="5"/>
      <c r="V829" s="5"/>
      <c r="W829" s="5"/>
      <c r="X829" s="5"/>
      <c r="Y829" s="5"/>
      <c r="Z829" s="7"/>
      <c r="AA829" s="5"/>
      <c r="AB829" s="5"/>
      <c r="AC829" s="5"/>
      <c r="AD829" s="5"/>
      <c r="AE829" s="5"/>
    </row>
    <row r="830" spans="1:31" ht="15.75" customHeight="1">
      <c r="A830" s="5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5"/>
      <c r="T830" s="5"/>
      <c r="U830" s="5"/>
      <c r="V830" s="5"/>
      <c r="W830" s="5"/>
      <c r="X830" s="5"/>
      <c r="Y830" s="5"/>
      <c r="Z830" s="7"/>
      <c r="AA830" s="5"/>
      <c r="AB830" s="5"/>
      <c r="AC830" s="5"/>
      <c r="AD830" s="5"/>
      <c r="AE830" s="5"/>
    </row>
    <row r="831" spans="1:31" ht="15.75" customHeight="1">
      <c r="A831" s="5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5"/>
      <c r="T831" s="5"/>
      <c r="U831" s="5"/>
      <c r="V831" s="5"/>
      <c r="W831" s="5"/>
      <c r="X831" s="5"/>
      <c r="Y831" s="5"/>
      <c r="Z831" s="7"/>
      <c r="AA831" s="5"/>
      <c r="AB831" s="5"/>
      <c r="AC831" s="5"/>
      <c r="AD831" s="5"/>
      <c r="AE831" s="5"/>
    </row>
    <row r="832" spans="1:31" ht="15.75" customHeight="1">
      <c r="A832" s="5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5"/>
      <c r="T832" s="5"/>
      <c r="U832" s="5"/>
      <c r="V832" s="5"/>
      <c r="W832" s="5"/>
      <c r="X832" s="5"/>
      <c r="Y832" s="5"/>
      <c r="Z832" s="7"/>
      <c r="AA832" s="5"/>
      <c r="AB832" s="5"/>
      <c r="AC832" s="5"/>
      <c r="AD832" s="5"/>
      <c r="AE832" s="5"/>
    </row>
    <row r="833" spans="1:31" ht="15.75" customHeight="1">
      <c r="A833" s="5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5"/>
      <c r="T833" s="5"/>
      <c r="U833" s="5"/>
      <c r="V833" s="5"/>
      <c r="W833" s="5"/>
      <c r="X833" s="5"/>
      <c r="Y833" s="5"/>
      <c r="Z833" s="7"/>
      <c r="AA833" s="5"/>
      <c r="AB833" s="5"/>
      <c r="AC833" s="5"/>
      <c r="AD833" s="5"/>
      <c r="AE833" s="5"/>
    </row>
    <row r="834" spans="1:31" ht="15.75" customHeight="1">
      <c r="A834" s="5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5"/>
      <c r="T834" s="5"/>
      <c r="U834" s="5"/>
      <c r="V834" s="5"/>
      <c r="W834" s="5"/>
      <c r="X834" s="5"/>
      <c r="Y834" s="5"/>
      <c r="Z834" s="7"/>
      <c r="AA834" s="5"/>
      <c r="AB834" s="5"/>
      <c r="AC834" s="5"/>
      <c r="AD834" s="5"/>
      <c r="AE834" s="5"/>
    </row>
    <row r="835" spans="1:31" ht="15.75" customHeight="1">
      <c r="A835" s="5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5"/>
      <c r="T835" s="5"/>
      <c r="U835" s="5"/>
      <c r="V835" s="5"/>
      <c r="W835" s="5"/>
      <c r="X835" s="5"/>
      <c r="Y835" s="5"/>
      <c r="Z835" s="7"/>
      <c r="AA835" s="5"/>
      <c r="AB835" s="5"/>
      <c r="AC835" s="5"/>
      <c r="AD835" s="5"/>
      <c r="AE835" s="5"/>
    </row>
    <row r="836" spans="1:31" ht="15.75" customHeight="1">
      <c r="A836" s="5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5"/>
      <c r="T836" s="5"/>
      <c r="U836" s="5"/>
      <c r="V836" s="5"/>
      <c r="W836" s="5"/>
      <c r="X836" s="5"/>
      <c r="Y836" s="5"/>
      <c r="Z836" s="7"/>
      <c r="AA836" s="5"/>
      <c r="AB836" s="5"/>
      <c r="AC836" s="5"/>
      <c r="AD836" s="5"/>
      <c r="AE836" s="5"/>
    </row>
    <row r="837" spans="1:31" ht="15.75" customHeight="1">
      <c r="A837" s="5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5"/>
      <c r="T837" s="5"/>
      <c r="U837" s="5"/>
      <c r="V837" s="5"/>
      <c r="W837" s="5"/>
      <c r="X837" s="5"/>
      <c r="Y837" s="5"/>
      <c r="Z837" s="7"/>
      <c r="AA837" s="5"/>
      <c r="AB837" s="5"/>
      <c r="AC837" s="5"/>
      <c r="AD837" s="5"/>
      <c r="AE837" s="5"/>
    </row>
    <row r="838" spans="1:31" ht="15.75" customHeight="1">
      <c r="A838" s="5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5"/>
      <c r="T838" s="5"/>
      <c r="U838" s="5"/>
      <c r="V838" s="5"/>
      <c r="W838" s="5"/>
      <c r="X838" s="5"/>
      <c r="Y838" s="5"/>
      <c r="Z838" s="7"/>
      <c r="AA838" s="5"/>
      <c r="AB838" s="5"/>
      <c r="AC838" s="5"/>
      <c r="AD838" s="5"/>
      <c r="AE838" s="5"/>
    </row>
    <row r="839" spans="1:31" ht="15.75" customHeight="1">
      <c r="A839" s="5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5"/>
      <c r="T839" s="5"/>
      <c r="U839" s="5"/>
      <c r="V839" s="5"/>
      <c r="W839" s="5"/>
      <c r="X839" s="5"/>
      <c r="Y839" s="5"/>
      <c r="Z839" s="7"/>
      <c r="AA839" s="5"/>
      <c r="AB839" s="5"/>
      <c r="AC839" s="5"/>
      <c r="AD839" s="5"/>
      <c r="AE839" s="5"/>
    </row>
    <row r="840" spans="1:31" ht="15.75" customHeight="1">
      <c r="A840" s="5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5"/>
      <c r="T840" s="5"/>
      <c r="U840" s="5"/>
      <c r="V840" s="5"/>
      <c r="W840" s="5"/>
      <c r="X840" s="5"/>
      <c r="Y840" s="5"/>
      <c r="Z840" s="7"/>
      <c r="AA840" s="5"/>
      <c r="AB840" s="5"/>
      <c r="AC840" s="5"/>
      <c r="AD840" s="5"/>
      <c r="AE840" s="5"/>
    </row>
    <row r="841" spans="1:31" ht="15.75" customHeight="1">
      <c r="A841" s="5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5"/>
      <c r="T841" s="5"/>
      <c r="U841" s="5"/>
      <c r="V841" s="5"/>
      <c r="W841" s="5"/>
      <c r="X841" s="5"/>
      <c r="Y841" s="5"/>
      <c r="Z841" s="7"/>
      <c r="AA841" s="5"/>
      <c r="AB841" s="5"/>
      <c r="AC841" s="5"/>
      <c r="AD841" s="5"/>
      <c r="AE841" s="5"/>
    </row>
    <row r="842" spans="1:31" ht="15.75" customHeight="1">
      <c r="A842" s="5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5"/>
      <c r="T842" s="5"/>
      <c r="U842" s="5"/>
      <c r="V842" s="5"/>
      <c r="W842" s="5"/>
      <c r="X842" s="5"/>
      <c r="Y842" s="5"/>
      <c r="Z842" s="7"/>
      <c r="AA842" s="5"/>
      <c r="AB842" s="5"/>
      <c r="AC842" s="5"/>
      <c r="AD842" s="5"/>
      <c r="AE842" s="5"/>
    </row>
    <row r="843" spans="1:31" ht="15.75" customHeight="1">
      <c r="A843" s="5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5"/>
      <c r="T843" s="5"/>
      <c r="U843" s="5"/>
      <c r="V843" s="5"/>
      <c r="W843" s="5"/>
      <c r="X843" s="5"/>
      <c r="Y843" s="5"/>
      <c r="Z843" s="7"/>
      <c r="AA843" s="5"/>
      <c r="AB843" s="5"/>
      <c r="AC843" s="5"/>
      <c r="AD843" s="5"/>
      <c r="AE843" s="5"/>
    </row>
    <row r="844" spans="1:31" ht="15.75" customHeight="1">
      <c r="A844" s="5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5"/>
      <c r="T844" s="5"/>
      <c r="U844" s="5"/>
      <c r="V844" s="5"/>
      <c r="W844" s="5"/>
      <c r="X844" s="5"/>
      <c r="Y844" s="5"/>
      <c r="Z844" s="7"/>
      <c r="AA844" s="5"/>
      <c r="AB844" s="5"/>
      <c r="AC844" s="5"/>
      <c r="AD844" s="5"/>
      <c r="AE844" s="5"/>
    </row>
    <row r="845" spans="1:31" ht="15.75" customHeight="1">
      <c r="A845" s="5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5"/>
      <c r="T845" s="5"/>
      <c r="U845" s="5"/>
      <c r="V845" s="5"/>
      <c r="W845" s="5"/>
      <c r="X845" s="5"/>
      <c r="Y845" s="5"/>
      <c r="Z845" s="7"/>
      <c r="AA845" s="5"/>
      <c r="AB845" s="5"/>
      <c r="AC845" s="5"/>
      <c r="AD845" s="5"/>
      <c r="AE845" s="5"/>
    </row>
    <row r="846" spans="1:31" ht="15.75" customHeight="1">
      <c r="A846" s="5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5"/>
      <c r="T846" s="5"/>
      <c r="U846" s="5"/>
      <c r="V846" s="5"/>
      <c r="W846" s="5"/>
      <c r="X846" s="5"/>
      <c r="Y846" s="5"/>
      <c r="Z846" s="7"/>
      <c r="AA846" s="5"/>
      <c r="AB846" s="5"/>
      <c r="AC846" s="5"/>
      <c r="AD846" s="5"/>
      <c r="AE846" s="5"/>
    </row>
    <row r="847" spans="1:31" ht="15.75" customHeight="1">
      <c r="A847" s="5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5"/>
      <c r="T847" s="5"/>
      <c r="U847" s="5"/>
      <c r="V847" s="5"/>
      <c r="W847" s="5"/>
      <c r="X847" s="5"/>
      <c r="Y847" s="5"/>
      <c r="Z847" s="7"/>
      <c r="AA847" s="5"/>
      <c r="AB847" s="5"/>
      <c r="AC847" s="5"/>
      <c r="AD847" s="5"/>
      <c r="AE847" s="5"/>
    </row>
    <row r="848" spans="1:31" ht="15.75" customHeight="1">
      <c r="A848" s="5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5"/>
      <c r="T848" s="5"/>
      <c r="U848" s="5"/>
      <c r="V848" s="5"/>
      <c r="W848" s="5"/>
      <c r="X848" s="5"/>
      <c r="Y848" s="5"/>
      <c r="Z848" s="7"/>
      <c r="AA848" s="5"/>
      <c r="AB848" s="5"/>
      <c r="AC848" s="5"/>
      <c r="AD848" s="5"/>
      <c r="AE848" s="5"/>
    </row>
    <row r="849" spans="1:31" ht="15.75" customHeight="1">
      <c r="A849" s="5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5"/>
      <c r="T849" s="5"/>
      <c r="U849" s="5"/>
      <c r="V849" s="5"/>
      <c r="W849" s="5"/>
      <c r="X849" s="5"/>
      <c r="Y849" s="5"/>
      <c r="Z849" s="7"/>
      <c r="AA849" s="5"/>
      <c r="AB849" s="5"/>
      <c r="AC849" s="5"/>
      <c r="AD849" s="5"/>
      <c r="AE849" s="5"/>
    </row>
    <row r="850" spans="1:31" ht="15.75" customHeight="1">
      <c r="A850" s="5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5"/>
      <c r="T850" s="5"/>
      <c r="U850" s="5"/>
      <c r="V850" s="5"/>
      <c r="W850" s="5"/>
      <c r="X850" s="5"/>
      <c r="Y850" s="5"/>
      <c r="Z850" s="7"/>
      <c r="AA850" s="5"/>
      <c r="AB850" s="5"/>
      <c r="AC850" s="5"/>
      <c r="AD850" s="5"/>
      <c r="AE850" s="5"/>
    </row>
    <row r="851" spans="1:31" ht="15.75" customHeight="1">
      <c r="A851" s="5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5"/>
      <c r="T851" s="5"/>
      <c r="U851" s="5"/>
      <c r="V851" s="5"/>
      <c r="W851" s="5"/>
      <c r="X851" s="5"/>
      <c r="Y851" s="5"/>
      <c r="Z851" s="7"/>
      <c r="AA851" s="5"/>
      <c r="AB851" s="5"/>
      <c r="AC851" s="5"/>
      <c r="AD851" s="5"/>
      <c r="AE851" s="5"/>
    </row>
    <row r="852" spans="1:31" ht="15.75" customHeight="1">
      <c r="A852" s="5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5"/>
      <c r="T852" s="5"/>
      <c r="U852" s="5"/>
      <c r="V852" s="5"/>
      <c r="W852" s="5"/>
      <c r="X852" s="5"/>
      <c r="Y852" s="5"/>
      <c r="Z852" s="7"/>
      <c r="AA852" s="5"/>
      <c r="AB852" s="5"/>
      <c r="AC852" s="5"/>
      <c r="AD852" s="5"/>
      <c r="AE852" s="5"/>
    </row>
    <row r="853" spans="1:31" ht="15.75" customHeight="1">
      <c r="A853" s="5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5"/>
      <c r="T853" s="5"/>
      <c r="U853" s="5"/>
      <c r="V853" s="5"/>
      <c r="W853" s="5"/>
      <c r="X853" s="5"/>
      <c r="Y853" s="5"/>
      <c r="Z853" s="7"/>
      <c r="AA853" s="5"/>
      <c r="AB853" s="5"/>
      <c r="AC853" s="5"/>
      <c r="AD853" s="5"/>
      <c r="AE853" s="5"/>
    </row>
    <row r="854" spans="1:31" ht="15.75" customHeight="1">
      <c r="A854" s="5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5"/>
      <c r="T854" s="5"/>
      <c r="U854" s="5"/>
      <c r="V854" s="5"/>
      <c r="W854" s="5"/>
      <c r="X854" s="5"/>
      <c r="Y854" s="5"/>
      <c r="Z854" s="7"/>
      <c r="AA854" s="5"/>
      <c r="AB854" s="5"/>
      <c r="AC854" s="5"/>
      <c r="AD854" s="5"/>
      <c r="AE854" s="5"/>
    </row>
    <row r="855" spans="1:31" ht="15.75" customHeight="1">
      <c r="A855" s="5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5"/>
      <c r="T855" s="5"/>
      <c r="U855" s="5"/>
      <c r="V855" s="5"/>
      <c r="W855" s="5"/>
      <c r="X855" s="5"/>
      <c r="Y855" s="5"/>
      <c r="Z855" s="7"/>
      <c r="AA855" s="5"/>
      <c r="AB855" s="5"/>
      <c r="AC855" s="5"/>
      <c r="AD855" s="5"/>
      <c r="AE855" s="5"/>
    </row>
    <row r="856" spans="1:31" ht="15.75" customHeight="1">
      <c r="A856" s="5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5"/>
      <c r="T856" s="5"/>
      <c r="U856" s="5"/>
      <c r="V856" s="5"/>
      <c r="W856" s="5"/>
      <c r="X856" s="5"/>
      <c r="Y856" s="5"/>
      <c r="Z856" s="7"/>
      <c r="AA856" s="5"/>
      <c r="AB856" s="5"/>
      <c r="AC856" s="5"/>
      <c r="AD856" s="5"/>
      <c r="AE856" s="5"/>
    </row>
    <row r="857" spans="1:31" ht="15.75" customHeight="1">
      <c r="A857" s="5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5"/>
      <c r="T857" s="5"/>
      <c r="U857" s="5"/>
      <c r="V857" s="5"/>
      <c r="W857" s="5"/>
      <c r="X857" s="5"/>
      <c r="Y857" s="5"/>
      <c r="Z857" s="7"/>
      <c r="AA857" s="5"/>
      <c r="AB857" s="5"/>
      <c r="AC857" s="5"/>
      <c r="AD857" s="5"/>
      <c r="AE857" s="5"/>
    </row>
    <row r="858" spans="1:31" ht="15.75" customHeight="1">
      <c r="A858" s="5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5"/>
      <c r="T858" s="5"/>
      <c r="U858" s="5"/>
      <c r="V858" s="5"/>
      <c r="W858" s="5"/>
      <c r="X858" s="5"/>
      <c r="Y858" s="5"/>
      <c r="Z858" s="7"/>
      <c r="AA858" s="5"/>
      <c r="AB858" s="5"/>
      <c r="AC858" s="5"/>
      <c r="AD858" s="5"/>
      <c r="AE858" s="5"/>
    </row>
    <row r="859" spans="1:31" ht="15.75" customHeight="1">
      <c r="A859" s="5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5"/>
      <c r="T859" s="5"/>
      <c r="U859" s="5"/>
      <c r="V859" s="5"/>
      <c r="W859" s="5"/>
      <c r="X859" s="5"/>
      <c r="Y859" s="5"/>
      <c r="Z859" s="7"/>
      <c r="AA859" s="5"/>
      <c r="AB859" s="5"/>
      <c r="AC859" s="5"/>
      <c r="AD859" s="5"/>
      <c r="AE859" s="5"/>
    </row>
    <row r="860" spans="1:31" ht="15.75" customHeight="1">
      <c r="A860" s="5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5"/>
      <c r="T860" s="5"/>
      <c r="U860" s="5"/>
      <c r="V860" s="5"/>
      <c r="W860" s="5"/>
      <c r="X860" s="5"/>
      <c r="Y860" s="5"/>
      <c r="Z860" s="7"/>
      <c r="AA860" s="5"/>
      <c r="AB860" s="5"/>
      <c r="AC860" s="5"/>
      <c r="AD860" s="5"/>
      <c r="AE860" s="5"/>
    </row>
    <row r="861" spans="1:31" ht="15.75" customHeight="1">
      <c r="A861" s="5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5"/>
      <c r="T861" s="5"/>
      <c r="U861" s="5"/>
      <c r="V861" s="5"/>
      <c r="W861" s="5"/>
      <c r="X861" s="5"/>
      <c r="Y861" s="5"/>
      <c r="Z861" s="7"/>
      <c r="AA861" s="5"/>
      <c r="AB861" s="5"/>
      <c r="AC861" s="5"/>
      <c r="AD861" s="5"/>
      <c r="AE861" s="5"/>
    </row>
    <row r="862" spans="1:31" ht="15.75" customHeight="1">
      <c r="A862" s="5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5"/>
      <c r="T862" s="5"/>
      <c r="U862" s="5"/>
      <c r="V862" s="5"/>
      <c r="W862" s="5"/>
      <c r="X862" s="5"/>
      <c r="Y862" s="5"/>
      <c r="Z862" s="7"/>
      <c r="AA862" s="5"/>
      <c r="AB862" s="5"/>
      <c r="AC862" s="5"/>
      <c r="AD862" s="5"/>
      <c r="AE862" s="5"/>
    </row>
    <row r="863" spans="1:31" ht="15.75" customHeight="1">
      <c r="A863" s="5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5"/>
      <c r="T863" s="5"/>
      <c r="U863" s="5"/>
      <c r="V863" s="5"/>
      <c r="W863" s="5"/>
      <c r="X863" s="5"/>
      <c r="Y863" s="5"/>
      <c r="Z863" s="7"/>
      <c r="AA863" s="5"/>
      <c r="AB863" s="5"/>
      <c r="AC863" s="5"/>
      <c r="AD863" s="5"/>
      <c r="AE863" s="5"/>
    </row>
    <row r="864" spans="1:31" ht="15.75" customHeight="1">
      <c r="A864" s="5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5"/>
      <c r="T864" s="5"/>
      <c r="U864" s="5"/>
      <c r="V864" s="5"/>
      <c r="W864" s="5"/>
      <c r="X864" s="5"/>
      <c r="Y864" s="5"/>
      <c r="Z864" s="7"/>
      <c r="AA864" s="5"/>
      <c r="AB864" s="5"/>
      <c r="AC864" s="5"/>
      <c r="AD864" s="5"/>
      <c r="AE864" s="5"/>
    </row>
    <row r="865" spans="1:31" ht="15.75" customHeight="1">
      <c r="A865" s="5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5"/>
      <c r="T865" s="5"/>
      <c r="U865" s="5"/>
      <c r="V865" s="5"/>
      <c r="W865" s="5"/>
      <c r="X865" s="5"/>
      <c r="Y865" s="5"/>
      <c r="Z865" s="7"/>
      <c r="AA865" s="5"/>
      <c r="AB865" s="5"/>
      <c r="AC865" s="5"/>
      <c r="AD865" s="5"/>
      <c r="AE865" s="5"/>
    </row>
    <row r="866" spans="1:31" ht="15.75" customHeight="1">
      <c r="A866" s="5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5"/>
      <c r="T866" s="5"/>
      <c r="U866" s="5"/>
      <c r="V866" s="5"/>
      <c r="W866" s="5"/>
      <c r="X866" s="5"/>
      <c r="Y866" s="5"/>
      <c r="Z866" s="7"/>
      <c r="AA866" s="5"/>
      <c r="AB866" s="5"/>
      <c r="AC866" s="5"/>
      <c r="AD866" s="5"/>
      <c r="AE866" s="5"/>
    </row>
    <row r="867" spans="1:31" ht="15.75" customHeight="1">
      <c r="A867" s="5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5"/>
      <c r="T867" s="5"/>
      <c r="U867" s="5"/>
      <c r="V867" s="5"/>
      <c r="W867" s="5"/>
      <c r="X867" s="5"/>
      <c r="Y867" s="5"/>
      <c r="Z867" s="7"/>
      <c r="AA867" s="5"/>
      <c r="AB867" s="5"/>
      <c r="AC867" s="5"/>
      <c r="AD867" s="5"/>
      <c r="AE867" s="5"/>
    </row>
    <row r="868" spans="1:31" ht="15.75" customHeight="1">
      <c r="A868" s="5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5"/>
      <c r="T868" s="5"/>
      <c r="U868" s="5"/>
      <c r="V868" s="5"/>
      <c r="W868" s="5"/>
      <c r="X868" s="5"/>
      <c r="Y868" s="5"/>
      <c r="Z868" s="7"/>
      <c r="AA868" s="5"/>
      <c r="AB868" s="5"/>
      <c r="AC868" s="5"/>
      <c r="AD868" s="5"/>
      <c r="AE868" s="5"/>
    </row>
    <row r="869" spans="1:31" ht="15.75" customHeight="1">
      <c r="A869" s="5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5"/>
      <c r="T869" s="5"/>
      <c r="U869" s="5"/>
      <c r="V869" s="5"/>
      <c r="W869" s="5"/>
      <c r="X869" s="5"/>
      <c r="Y869" s="5"/>
      <c r="Z869" s="7"/>
      <c r="AA869" s="5"/>
      <c r="AB869" s="5"/>
      <c r="AC869" s="5"/>
      <c r="AD869" s="5"/>
      <c r="AE869" s="5"/>
    </row>
    <row r="870" spans="1:31" ht="15.75" customHeight="1">
      <c r="A870" s="5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5"/>
      <c r="T870" s="5"/>
      <c r="U870" s="5"/>
      <c r="V870" s="5"/>
      <c r="W870" s="5"/>
      <c r="X870" s="5"/>
      <c r="Y870" s="5"/>
      <c r="Z870" s="7"/>
      <c r="AA870" s="5"/>
      <c r="AB870" s="5"/>
      <c r="AC870" s="5"/>
      <c r="AD870" s="5"/>
      <c r="AE870" s="5"/>
    </row>
    <row r="871" spans="1:31" ht="15.75" customHeight="1">
      <c r="A871" s="5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5"/>
      <c r="T871" s="5"/>
      <c r="U871" s="5"/>
      <c r="V871" s="5"/>
      <c r="W871" s="5"/>
      <c r="X871" s="5"/>
      <c r="Y871" s="5"/>
      <c r="Z871" s="7"/>
      <c r="AA871" s="5"/>
      <c r="AB871" s="5"/>
      <c r="AC871" s="5"/>
      <c r="AD871" s="5"/>
      <c r="AE871" s="5"/>
    </row>
    <row r="872" spans="1:31" ht="15.75" customHeight="1">
      <c r="A872" s="5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5"/>
      <c r="T872" s="5"/>
      <c r="U872" s="5"/>
      <c r="V872" s="5"/>
      <c r="W872" s="5"/>
      <c r="X872" s="5"/>
      <c r="Y872" s="5"/>
      <c r="Z872" s="7"/>
      <c r="AA872" s="5"/>
      <c r="AB872" s="5"/>
      <c r="AC872" s="5"/>
      <c r="AD872" s="5"/>
      <c r="AE872" s="5"/>
    </row>
    <row r="873" spans="1:31" ht="15.75" customHeight="1">
      <c r="A873" s="5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5"/>
      <c r="T873" s="5"/>
      <c r="U873" s="5"/>
      <c r="V873" s="5"/>
      <c r="W873" s="5"/>
      <c r="X873" s="5"/>
      <c r="Y873" s="5"/>
      <c r="Z873" s="7"/>
      <c r="AA873" s="5"/>
      <c r="AB873" s="5"/>
      <c r="AC873" s="5"/>
      <c r="AD873" s="5"/>
      <c r="AE873" s="5"/>
    </row>
    <row r="874" spans="1:31" ht="15.75" customHeight="1">
      <c r="A874" s="5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5"/>
      <c r="T874" s="5"/>
      <c r="U874" s="5"/>
      <c r="V874" s="5"/>
      <c r="W874" s="5"/>
      <c r="X874" s="5"/>
      <c r="Y874" s="5"/>
      <c r="Z874" s="7"/>
      <c r="AA874" s="5"/>
      <c r="AB874" s="5"/>
      <c r="AC874" s="5"/>
      <c r="AD874" s="5"/>
      <c r="AE874" s="5"/>
    </row>
    <row r="875" spans="1:31" ht="15.75" customHeight="1">
      <c r="A875" s="5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5"/>
      <c r="T875" s="5"/>
      <c r="U875" s="5"/>
      <c r="V875" s="5"/>
      <c r="W875" s="5"/>
      <c r="X875" s="5"/>
      <c r="Y875" s="5"/>
      <c r="Z875" s="7"/>
      <c r="AA875" s="5"/>
      <c r="AB875" s="5"/>
      <c r="AC875" s="5"/>
      <c r="AD875" s="5"/>
      <c r="AE875" s="5"/>
    </row>
    <row r="876" spans="1:31" ht="15.75" customHeight="1">
      <c r="A876" s="5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5"/>
      <c r="T876" s="5"/>
      <c r="U876" s="5"/>
      <c r="V876" s="5"/>
      <c r="W876" s="5"/>
      <c r="X876" s="5"/>
      <c r="Y876" s="5"/>
      <c r="Z876" s="7"/>
      <c r="AA876" s="5"/>
      <c r="AB876" s="5"/>
      <c r="AC876" s="5"/>
      <c r="AD876" s="5"/>
      <c r="AE876" s="5"/>
    </row>
    <row r="877" spans="1:31" ht="15.75" customHeight="1">
      <c r="A877" s="5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5"/>
      <c r="T877" s="5"/>
      <c r="U877" s="5"/>
      <c r="V877" s="5"/>
      <c r="W877" s="5"/>
      <c r="X877" s="5"/>
      <c r="Y877" s="5"/>
      <c r="Z877" s="7"/>
      <c r="AA877" s="5"/>
      <c r="AB877" s="5"/>
      <c r="AC877" s="5"/>
      <c r="AD877" s="5"/>
      <c r="AE877" s="5"/>
    </row>
    <row r="878" spans="1:31" ht="15.75" customHeight="1">
      <c r="A878" s="5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5"/>
      <c r="T878" s="5"/>
      <c r="U878" s="5"/>
      <c r="V878" s="5"/>
      <c r="W878" s="5"/>
      <c r="X878" s="5"/>
      <c r="Y878" s="5"/>
      <c r="Z878" s="7"/>
      <c r="AA878" s="5"/>
      <c r="AB878" s="5"/>
      <c r="AC878" s="5"/>
      <c r="AD878" s="5"/>
      <c r="AE878" s="5"/>
    </row>
    <row r="879" spans="1:31" ht="15.75" customHeight="1">
      <c r="A879" s="5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5"/>
      <c r="T879" s="5"/>
      <c r="U879" s="5"/>
      <c r="V879" s="5"/>
      <c r="W879" s="5"/>
      <c r="X879" s="5"/>
      <c r="Y879" s="5"/>
      <c r="Z879" s="7"/>
      <c r="AA879" s="5"/>
      <c r="AB879" s="5"/>
      <c r="AC879" s="5"/>
      <c r="AD879" s="5"/>
      <c r="AE879" s="5"/>
    </row>
    <row r="880" spans="1:31" ht="15.75" customHeight="1">
      <c r="A880" s="5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5"/>
      <c r="T880" s="5"/>
      <c r="U880" s="5"/>
      <c r="V880" s="5"/>
      <c r="W880" s="5"/>
      <c r="X880" s="5"/>
      <c r="Y880" s="5"/>
      <c r="Z880" s="7"/>
      <c r="AA880" s="5"/>
      <c r="AB880" s="5"/>
      <c r="AC880" s="5"/>
      <c r="AD880" s="5"/>
      <c r="AE880" s="5"/>
    </row>
    <row r="881" spans="1:31" ht="15.75" customHeight="1">
      <c r="A881" s="5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5"/>
      <c r="T881" s="5"/>
      <c r="U881" s="5"/>
      <c r="V881" s="5"/>
      <c r="W881" s="5"/>
      <c r="X881" s="5"/>
      <c r="Y881" s="5"/>
      <c r="Z881" s="7"/>
      <c r="AA881" s="5"/>
      <c r="AB881" s="5"/>
      <c r="AC881" s="5"/>
      <c r="AD881" s="5"/>
      <c r="AE881" s="5"/>
    </row>
    <row r="882" spans="1:31" ht="15.75" customHeight="1">
      <c r="A882" s="5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5"/>
      <c r="T882" s="5"/>
      <c r="U882" s="5"/>
      <c r="V882" s="5"/>
      <c r="W882" s="5"/>
      <c r="X882" s="5"/>
      <c r="Y882" s="5"/>
      <c r="Z882" s="7"/>
      <c r="AA882" s="5"/>
      <c r="AB882" s="5"/>
      <c r="AC882" s="5"/>
      <c r="AD882" s="5"/>
      <c r="AE882" s="5"/>
    </row>
    <row r="883" spans="1:31" ht="15.75" customHeight="1">
      <c r="A883" s="5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5"/>
      <c r="T883" s="5"/>
      <c r="U883" s="5"/>
      <c r="V883" s="5"/>
      <c r="W883" s="5"/>
      <c r="X883" s="5"/>
      <c r="Y883" s="5"/>
      <c r="Z883" s="7"/>
      <c r="AA883" s="5"/>
      <c r="AB883" s="5"/>
      <c r="AC883" s="5"/>
      <c r="AD883" s="5"/>
      <c r="AE883" s="5"/>
    </row>
    <row r="884" spans="1:31" ht="15.75" customHeight="1">
      <c r="A884" s="5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5"/>
      <c r="T884" s="5"/>
      <c r="U884" s="5"/>
      <c r="V884" s="5"/>
      <c r="W884" s="5"/>
      <c r="X884" s="5"/>
      <c r="Y884" s="5"/>
      <c r="Z884" s="7"/>
      <c r="AA884" s="5"/>
      <c r="AB884" s="5"/>
      <c r="AC884" s="5"/>
      <c r="AD884" s="5"/>
      <c r="AE884" s="5"/>
    </row>
    <row r="885" spans="1:31" ht="15.75" customHeight="1">
      <c r="A885" s="5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5"/>
      <c r="T885" s="5"/>
      <c r="U885" s="5"/>
      <c r="V885" s="5"/>
      <c r="W885" s="5"/>
      <c r="X885" s="5"/>
      <c r="Y885" s="5"/>
      <c r="Z885" s="7"/>
      <c r="AA885" s="5"/>
      <c r="AB885" s="5"/>
      <c r="AC885" s="5"/>
      <c r="AD885" s="5"/>
      <c r="AE885" s="5"/>
    </row>
    <row r="886" spans="1:31" ht="15.75" customHeight="1">
      <c r="A886" s="5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5"/>
      <c r="T886" s="5"/>
      <c r="U886" s="5"/>
      <c r="V886" s="5"/>
      <c r="W886" s="5"/>
      <c r="X886" s="5"/>
      <c r="Y886" s="5"/>
      <c r="Z886" s="7"/>
      <c r="AA886" s="5"/>
      <c r="AB886" s="5"/>
      <c r="AC886" s="5"/>
      <c r="AD886" s="5"/>
      <c r="AE886" s="5"/>
    </row>
    <row r="887" spans="1:31" ht="15.75" customHeight="1">
      <c r="A887" s="5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5"/>
      <c r="T887" s="5"/>
      <c r="U887" s="5"/>
      <c r="V887" s="5"/>
      <c r="W887" s="5"/>
      <c r="X887" s="5"/>
      <c r="Y887" s="5"/>
      <c r="Z887" s="7"/>
      <c r="AA887" s="5"/>
      <c r="AB887" s="5"/>
      <c r="AC887" s="5"/>
      <c r="AD887" s="5"/>
      <c r="AE887" s="5"/>
    </row>
    <row r="888" spans="1:31" ht="15.75" customHeight="1">
      <c r="A888" s="5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5"/>
      <c r="T888" s="5"/>
      <c r="U888" s="5"/>
      <c r="V888" s="5"/>
      <c r="W888" s="5"/>
      <c r="X888" s="5"/>
      <c r="Y888" s="5"/>
      <c r="Z888" s="7"/>
      <c r="AA888" s="5"/>
      <c r="AB888" s="5"/>
      <c r="AC888" s="5"/>
      <c r="AD888" s="5"/>
      <c r="AE888" s="5"/>
    </row>
    <row r="889" spans="1:31" ht="15.75" customHeight="1">
      <c r="A889" s="5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5"/>
      <c r="T889" s="5"/>
      <c r="U889" s="5"/>
      <c r="V889" s="5"/>
      <c r="W889" s="5"/>
      <c r="X889" s="5"/>
      <c r="Y889" s="5"/>
      <c r="Z889" s="7"/>
      <c r="AA889" s="5"/>
      <c r="AB889" s="5"/>
      <c r="AC889" s="5"/>
      <c r="AD889" s="5"/>
      <c r="AE889" s="5"/>
    </row>
    <row r="890" spans="1:31" ht="15.75" customHeight="1">
      <c r="A890" s="5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5"/>
      <c r="T890" s="5"/>
      <c r="U890" s="5"/>
      <c r="V890" s="5"/>
      <c r="W890" s="5"/>
      <c r="X890" s="5"/>
      <c r="Y890" s="5"/>
      <c r="Z890" s="7"/>
      <c r="AA890" s="5"/>
      <c r="AB890" s="5"/>
      <c r="AC890" s="5"/>
      <c r="AD890" s="5"/>
      <c r="AE890" s="5"/>
    </row>
    <row r="891" spans="1:31" ht="15.75" customHeight="1">
      <c r="A891" s="5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5"/>
      <c r="T891" s="5"/>
      <c r="U891" s="5"/>
      <c r="V891" s="5"/>
      <c r="W891" s="5"/>
      <c r="X891" s="5"/>
      <c r="Y891" s="5"/>
      <c r="Z891" s="7"/>
      <c r="AA891" s="5"/>
      <c r="AB891" s="5"/>
      <c r="AC891" s="5"/>
      <c r="AD891" s="5"/>
      <c r="AE891" s="5"/>
    </row>
    <row r="892" spans="1:31" ht="15.75" customHeight="1">
      <c r="A892" s="5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5"/>
      <c r="T892" s="5"/>
      <c r="U892" s="5"/>
      <c r="V892" s="5"/>
      <c r="W892" s="5"/>
      <c r="X892" s="5"/>
      <c r="Y892" s="5"/>
      <c r="Z892" s="7"/>
      <c r="AA892" s="5"/>
      <c r="AB892" s="5"/>
      <c r="AC892" s="5"/>
      <c r="AD892" s="5"/>
      <c r="AE892" s="5"/>
    </row>
    <row r="893" spans="1:31" ht="15.75" customHeight="1">
      <c r="A893" s="5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5"/>
      <c r="T893" s="5"/>
      <c r="U893" s="5"/>
      <c r="V893" s="5"/>
      <c r="W893" s="5"/>
      <c r="X893" s="5"/>
      <c r="Y893" s="5"/>
      <c r="Z893" s="7"/>
      <c r="AA893" s="5"/>
      <c r="AB893" s="5"/>
      <c r="AC893" s="5"/>
      <c r="AD893" s="5"/>
      <c r="AE893" s="5"/>
    </row>
    <row r="894" spans="1:31" ht="15.75" customHeight="1">
      <c r="A894" s="5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5"/>
      <c r="T894" s="5"/>
      <c r="U894" s="5"/>
      <c r="V894" s="5"/>
      <c r="W894" s="5"/>
      <c r="X894" s="5"/>
      <c r="Y894" s="5"/>
      <c r="Z894" s="7"/>
      <c r="AA894" s="5"/>
      <c r="AB894" s="5"/>
      <c r="AC894" s="5"/>
      <c r="AD894" s="5"/>
      <c r="AE894" s="5"/>
    </row>
    <row r="895" spans="1:31" ht="15.75" customHeight="1">
      <c r="A895" s="5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5"/>
      <c r="T895" s="5"/>
      <c r="U895" s="5"/>
      <c r="V895" s="5"/>
      <c r="W895" s="5"/>
      <c r="X895" s="5"/>
      <c r="Y895" s="5"/>
      <c r="Z895" s="7"/>
      <c r="AA895" s="5"/>
      <c r="AB895" s="5"/>
      <c r="AC895" s="5"/>
      <c r="AD895" s="5"/>
      <c r="AE895" s="5"/>
    </row>
    <row r="896" spans="1:31" ht="15.75" customHeight="1">
      <c r="A896" s="5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5"/>
      <c r="T896" s="5"/>
      <c r="U896" s="5"/>
      <c r="V896" s="5"/>
      <c r="W896" s="5"/>
      <c r="X896" s="5"/>
      <c r="Y896" s="5"/>
      <c r="Z896" s="7"/>
      <c r="AA896" s="5"/>
      <c r="AB896" s="5"/>
      <c r="AC896" s="5"/>
      <c r="AD896" s="5"/>
      <c r="AE896" s="5"/>
    </row>
    <row r="897" spans="1:31" ht="15.75" customHeight="1">
      <c r="A897" s="5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5"/>
      <c r="T897" s="5"/>
      <c r="U897" s="5"/>
      <c r="V897" s="5"/>
      <c r="W897" s="5"/>
      <c r="X897" s="5"/>
      <c r="Y897" s="5"/>
      <c r="Z897" s="7"/>
      <c r="AA897" s="5"/>
      <c r="AB897" s="5"/>
      <c r="AC897" s="5"/>
      <c r="AD897" s="5"/>
      <c r="AE897" s="5"/>
    </row>
    <row r="898" spans="1:31" ht="15.75" customHeight="1">
      <c r="A898" s="5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5"/>
      <c r="T898" s="5"/>
      <c r="U898" s="5"/>
      <c r="V898" s="5"/>
      <c r="W898" s="5"/>
      <c r="X898" s="5"/>
      <c r="Y898" s="5"/>
      <c r="Z898" s="7"/>
      <c r="AA898" s="5"/>
      <c r="AB898" s="5"/>
      <c r="AC898" s="5"/>
      <c r="AD898" s="5"/>
      <c r="AE898" s="5"/>
    </row>
    <row r="899" spans="1:31" ht="15.75" customHeight="1">
      <c r="A899" s="5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5"/>
      <c r="T899" s="5"/>
      <c r="U899" s="5"/>
      <c r="V899" s="5"/>
      <c r="W899" s="5"/>
      <c r="X899" s="5"/>
      <c r="Y899" s="5"/>
      <c r="Z899" s="7"/>
      <c r="AA899" s="5"/>
      <c r="AB899" s="5"/>
      <c r="AC899" s="5"/>
      <c r="AD899" s="5"/>
      <c r="AE899" s="5"/>
    </row>
    <row r="900" spans="1:31" ht="15.75" customHeight="1">
      <c r="A900" s="5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5"/>
      <c r="T900" s="5"/>
      <c r="U900" s="5"/>
      <c r="V900" s="5"/>
      <c r="W900" s="5"/>
      <c r="X900" s="5"/>
      <c r="Y900" s="5"/>
      <c r="Z900" s="7"/>
      <c r="AA900" s="5"/>
      <c r="AB900" s="5"/>
      <c r="AC900" s="5"/>
      <c r="AD900" s="5"/>
      <c r="AE900" s="5"/>
    </row>
    <row r="901" spans="1:31" ht="15.75" customHeight="1">
      <c r="A901" s="5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5"/>
      <c r="T901" s="5"/>
      <c r="U901" s="5"/>
      <c r="V901" s="5"/>
      <c r="W901" s="5"/>
      <c r="X901" s="5"/>
      <c r="Y901" s="5"/>
      <c r="Z901" s="7"/>
      <c r="AA901" s="5"/>
      <c r="AB901" s="5"/>
      <c r="AC901" s="5"/>
      <c r="AD901" s="5"/>
      <c r="AE901" s="5"/>
    </row>
    <row r="902" spans="1:31" ht="15.75" customHeight="1">
      <c r="A902" s="5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5"/>
      <c r="T902" s="5"/>
      <c r="U902" s="5"/>
      <c r="V902" s="5"/>
      <c r="W902" s="5"/>
      <c r="X902" s="5"/>
      <c r="Y902" s="5"/>
      <c r="Z902" s="7"/>
      <c r="AA902" s="5"/>
      <c r="AB902" s="5"/>
      <c r="AC902" s="5"/>
      <c r="AD902" s="5"/>
      <c r="AE902" s="5"/>
    </row>
    <row r="903" spans="1:31" ht="15.75" customHeight="1">
      <c r="A903" s="5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5"/>
      <c r="T903" s="5"/>
      <c r="U903" s="5"/>
      <c r="V903" s="5"/>
      <c r="W903" s="5"/>
      <c r="X903" s="5"/>
      <c r="Y903" s="5"/>
      <c r="Z903" s="7"/>
      <c r="AA903" s="5"/>
      <c r="AB903" s="5"/>
      <c r="AC903" s="5"/>
      <c r="AD903" s="5"/>
      <c r="AE903" s="5"/>
    </row>
    <row r="904" spans="1:31" ht="15.75" customHeight="1">
      <c r="A904" s="5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5"/>
      <c r="T904" s="5"/>
      <c r="U904" s="5"/>
      <c r="V904" s="5"/>
      <c r="W904" s="5"/>
      <c r="X904" s="5"/>
      <c r="Y904" s="5"/>
      <c r="Z904" s="7"/>
      <c r="AA904" s="5"/>
      <c r="AB904" s="5"/>
      <c r="AC904" s="5"/>
      <c r="AD904" s="5"/>
      <c r="AE904" s="5"/>
    </row>
    <row r="905" spans="1:31" ht="15.75" customHeight="1">
      <c r="A905" s="5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5"/>
      <c r="T905" s="5"/>
      <c r="U905" s="5"/>
      <c r="V905" s="5"/>
      <c r="W905" s="5"/>
      <c r="X905" s="5"/>
      <c r="Y905" s="5"/>
      <c r="Z905" s="7"/>
      <c r="AA905" s="5"/>
      <c r="AB905" s="5"/>
      <c r="AC905" s="5"/>
      <c r="AD905" s="5"/>
      <c r="AE905" s="5"/>
    </row>
    <row r="906" spans="1:31" ht="15.75" customHeight="1">
      <c r="A906" s="5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5"/>
      <c r="T906" s="5"/>
      <c r="U906" s="5"/>
      <c r="V906" s="5"/>
      <c r="W906" s="5"/>
      <c r="X906" s="5"/>
      <c r="Y906" s="5"/>
      <c r="Z906" s="7"/>
      <c r="AA906" s="5"/>
      <c r="AB906" s="5"/>
      <c r="AC906" s="5"/>
      <c r="AD906" s="5"/>
      <c r="AE906" s="5"/>
    </row>
    <row r="907" spans="1:31" ht="15.75" customHeight="1">
      <c r="A907" s="5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5"/>
      <c r="T907" s="5"/>
      <c r="U907" s="5"/>
      <c r="V907" s="5"/>
      <c r="W907" s="5"/>
      <c r="X907" s="5"/>
      <c r="Y907" s="5"/>
      <c r="Z907" s="7"/>
      <c r="AA907" s="5"/>
      <c r="AB907" s="5"/>
      <c r="AC907" s="5"/>
      <c r="AD907" s="5"/>
      <c r="AE907" s="5"/>
    </row>
    <row r="908" spans="1:31" ht="15.75" customHeight="1">
      <c r="A908" s="5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5"/>
      <c r="T908" s="5"/>
      <c r="U908" s="5"/>
      <c r="V908" s="5"/>
      <c r="W908" s="5"/>
      <c r="X908" s="5"/>
      <c r="Y908" s="5"/>
      <c r="Z908" s="7"/>
      <c r="AA908" s="5"/>
      <c r="AB908" s="5"/>
      <c r="AC908" s="5"/>
      <c r="AD908" s="5"/>
      <c r="AE908" s="5"/>
    </row>
    <row r="909" spans="1:31" ht="15.75" customHeight="1">
      <c r="A909" s="5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5"/>
      <c r="T909" s="5"/>
      <c r="U909" s="5"/>
      <c r="V909" s="5"/>
      <c r="W909" s="5"/>
      <c r="X909" s="5"/>
      <c r="Y909" s="5"/>
      <c r="Z909" s="7"/>
      <c r="AA909" s="5"/>
      <c r="AB909" s="5"/>
      <c r="AC909" s="5"/>
      <c r="AD909" s="5"/>
      <c r="AE909" s="5"/>
    </row>
    <row r="910" spans="1:31" ht="15.75" customHeight="1">
      <c r="A910" s="5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5"/>
      <c r="T910" s="5"/>
      <c r="U910" s="5"/>
      <c r="V910" s="5"/>
      <c r="W910" s="5"/>
      <c r="X910" s="5"/>
      <c r="Y910" s="5"/>
      <c r="Z910" s="7"/>
      <c r="AA910" s="5"/>
      <c r="AB910" s="5"/>
      <c r="AC910" s="5"/>
      <c r="AD910" s="5"/>
      <c r="AE910" s="5"/>
    </row>
    <row r="911" spans="1:31" ht="15.75" customHeight="1">
      <c r="A911" s="5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5"/>
      <c r="T911" s="5"/>
      <c r="U911" s="5"/>
      <c r="V911" s="5"/>
      <c r="W911" s="5"/>
      <c r="X911" s="5"/>
      <c r="Y911" s="5"/>
      <c r="Z911" s="7"/>
      <c r="AA911" s="5"/>
      <c r="AB911" s="5"/>
      <c r="AC911" s="5"/>
      <c r="AD911" s="5"/>
      <c r="AE911" s="5"/>
    </row>
    <row r="912" spans="1:31" ht="15.75" customHeight="1">
      <c r="A912" s="5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5"/>
      <c r="T912" s="5"/>
      <c r="U912" s="5"/>
      <c r="V912" s="5"/>
      <c r="W912" s="5"/>
      <c r="X912" s="5"/>
      <c r="Y912" s="5"/>
      <c r="Z912" s="7"/>
      <c r="AA912" s="5"/>
      <c r="AB912" s="5"/>
      <c r="AC912" s="5"/>
      <c r="AD912" s="5"/>
      <c r="AE912" s="5"/>
    </row>
    <row r="913" spans="1:31" ht="15.75" customHeight="1">
      <c r="A913" s="5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5"/>
      <c r="T913" s="5"/>
      <c r="U913" s="5"/>
      <c r="V913" s="5"/>
      <c r="W913" s="5"/>
      <c r="X913" s="5"/>
      <c r="Y913" s="5"/>
      <c r="Z913" s="7"/>
      <c r="AA913" s="5"/>
      <c r="AB913" s="5"/>
      <c r="AC913" s="5"/>
      <c r="AD913" s="5"/>
      <c r="AE913" s="5"/>
    </row>
    <row r="914" spans="1:31" ht="15.75" customHeight="1">
      <c r="A914" s="5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5"/>
      <c r="T914" s="5"/>
      <c r="U914" s="5"/>
      <c r="V914" s="5"/>
      <c r="W914" s="5"/>
      <c r="X914" s="5"/>
      <c r="Y914" s="5"/>
      <c r="Z914" s="7"/>
      <c r="AA914" s="5"/>
      <c r="AB914" s="5"/>
      <c r="AC914" s="5"/>
      <c r="AD914" s="5"/>
      <c r="AE914" s="5"/>
    </row>
    <row r="915" spans="1:31" ht="15.75" customHeight="1">
      <c r="A915" s="5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5"/>
      <c r="T915" s="5"/>
      <c r="U915" s="5"/>
      <c r="V915" s="5"/>
      <c r="W915" s="5"/>
      <c r="X915" s="5"/>
      <c r="Y915" s="5"/>
      <c r="Z915" s="7"/>
      <c r="AA915" s="5"/>
      <c r="AB915" s="5"/>
      <c r="AC915" s="5"/>
      <c r="AD915" s="5"/>
      <c r="AE915" s="5"/>
    </row>
    <row r="916" spans="1:31" ht="15.75" customHeight="1">
      <c r="A916" s="5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5"/>
      <c r="T916" s="5"/>
      <c r="U916" s="5"/>
      <c r="V916" s="5"/>
      <c r="W916" s="5"/>
      <c r="X916" s="5"/>
      <c r="Y916" s="5"/>
      <c r="Z916" s="7"/>
      <c r="AA916" s="5"/>
      <c r="AB916" s="5"/>
      <c r="AC916" s="5"/>
      <c r="AD916" s="5"/>
      <c r="AE916" s="5"/>
    </row>
    <row r="917" spans="1:31" ht="15.75" customHeight="1">
      <c r="A917" s="5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5"/>
      <c r="T917" s="5"/>
      <c r="U917" s="5"/>
      <c r="V917" s="5"/>
      <c r="W917" s="5"/>
      <c r="X917" s="5"/>
      <c r="Y917" s="5"/>
      <c r="Z917" s="7"/>
      <c r="AA917" s="5"/>
      <c r="AB917" s="5"/>
      <c r="AC917" s="5"/>
      <c r="AD917" s="5"/>
      <c r="AE917" s="5"/>
    </row>
    <row r="918" spans="1:31" ht="15.75" customHeight="1">
      <c r="A918" s="5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5"/>
      <c r="T918" s="5"/>
      <c r="U918" s="5"/>
      <c r="V918" s="5"/>
      <c r="W918" s="5"/>
      <c r="X918" s="5"/>
      <c r="Y918" s="5"/>
      <c r="Z918" s="7"/>
      <c r="AA918" s="5"/>
      <c r="AB918" s="5"/>
      <c r="AC918" s="5"/>
      <c r="AD918" s="5"/>
      <c r="AE918" s="5"/>
    </row>
    <row r="919" spans="1:31" ht="15.75" customHeight="1">
      <c r="A919" s="5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5"/>
      <c r="T919" s="5"/>
      <c r="U919" s="5"/>
      <c r="V919" s="5"/>
      <c r="W919" s="5"/>
      <c r="X919" s="5"/>
      <c r="Y919" s="5"/>
      <c r="Z919" s="7"/>
      <c r="AA919" s="5"/>
      <c r="AB919" s="5"/>
      <c r="AC919" s="5"/>
      <c r="AD919" s="5"/>
      <c r="AE919" s="5"/>
    </row>
    <row r="920" spans="1:31" ht="15.75" customHeight="1">
      <c r="A920" s="5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5"/>
      <c r="T920" s="5"/>
      <c r="U920" s="5"/>
      <c r="V920" s="5"/>
      <c r="W920" s="5"/>
      <c r="X920" s="5"/>
      <c r="Y920" s="5"/>
      <c r="Z920" s="7"/>
      <c r="AA920" s="5"/>
      <c r="AB920" s="5"/>
      <c r="AC920" s="5"/>
      <c r="AD920" s="5"/>
      <c r="AE920" s="5"/>
    </row>
    <row r="921" spans="1:31" ht="15.75" customHeight="1">
      <c r="A921" s="5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5"/>
      <c r="T921" s="5"/>
      <c r="U921" s="5"/>
      <c r="V921" s="5"/>
      <c r="W921" s="5"/>
      <c r="X921" s="5"/>
      <c r="Y921" s="5"/>
      <c r="Z921" s="7"/>
      <c r="AA921" s="5"/>
      <c r="AB921" s="5"/>
      <c r="AC921" s="5"/>
      <c r="AD921" s="5"/>
      <c r="AE921" s="5"/>
    </row>
    <row r="922" spans="1:31" ht="15.75" customHeight="1">
      <c r="A922" s="5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5"/>
      <c r="T922" s="5"/>
      <c r="U922" s="5"/>
      <c r="V922" s="5"/>
      <c r="W922" s="5"/>
      <c r="X922" s="5"/>
      <c r="Y922" s="5"/>
      <c r="Z922" s="7"/>
      <c r="AA922" s="5"/>
      <c r="AB922" s="5"/>
      <c r="AC922" s="5"/>
      <c r="AD922" s="5"/>
      <c r="AE922" s="5"/>
    </row>
    <row r="923" spans="1:31" ht="15.75" customHeight="1">
      <c r="A923" s="5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5"/>
      <c r="T923" s="5"/>
      <c r="U923" s="5"/>
      <c r="V923" s="5"/>
      <c r="W923" s="5"/>
      <c r="X923" s="5"/>
      <c r="Y923" s="5"/>
      <c r="Z923" s="7"/>
      <c r="AA923" s="5"/>
      <c r="AB923" s="5"/>
      <c r="AC923" s="5"/>
      <c r="AD923" s="5"/>
      <c r="AE923" s="5"/>
    </row>
    <row r="924" spans="1:31" ht="15.75" customHeight="1">
      <c r="A924" s="5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5"/>
      <c r="T924" s="5"/>
      <c r="U924" s="5"/>
      <c r="V924" s="5"/>
      <c r="W924" s="5"/>
      <c r="X924" s="5"/>
      <c r="Y924" s="5"/>
      <c r="Z924" s="7"/>
      <c r="AA924" s="5"/>
      <c r="AB924" s="5"/>
      <c r="AC924" s="5"/>
      <c r="AD924" s="5"/>
      <c r="AE924" s="5"/>
    </row>
    <row r="925" spans="1:31" ht="15.75" customHeight="1">
      <c r="A925" s="5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5"/>
      <c r="T925" s="5"/>
      <c r="U925" s="5"/>
      <c r="V925" s="5"/>
      <c r="W925" s="5"/>
      <c r="X925" s="5"/>
      <c r="Y925" s="5"/>
      <c r="Z925" s="7"/>
      <c r="AA925" s="5"/>
      <c r="AB925" s="5"/>
      <c r="AC925" s="5"/>
      <c r="AD925" s="5"/>
      <c r="AE925" s="5"/>
    </row>
    <row r="926" spans="1:31" ht="15.75" customHeight="1">
      <c r="A926" s="5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5"/>
      <c r="T926" s="5"/>
      <c r="U926" s="5"/>
      <c r="V926" s="5"/>
      <c r="W926" s="5"/>
      <c r="X926" s="5"/>
      <c r="Y926" s="5"/>
      <c r="Z926" s="7"/>
      <c r="AA926" s="5"/>
      <c r="AB926" s="5"/>
      <c r="AC926" s="5"/>
      <c r="AD926" s="5"/>
      <c r="AE926" s="5"/>
    </row>
    <row r="927" spans="1:31" ht="15.75" customHeight="1">
      <c r="A927" s="5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5"/>
      <c r="T927" s="5"/>
      <c r="U927" s="5"/>
      <c r="V927" s="5"/>
      <c r="W927" s="5"/>
      <c r="X927" s="5"/>
      <c r="Y927" s="5"/>
      <c r="Z927" s="7"/>
      <c r="AA927" s="5"/>
      <c r="AB927" s="5"/>
      <c r="AC927" s="5"/>
      <c r="AD927" s="5"/>
      <c r="AE927" s="5"/>
    </row>
    <row r="928" spans="1:31" ht="15.75" customHeight="1">
      <c r="A928" s="5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5"/>
      <c r="T928" s="5"/>
      <c r="U928" s="5"/>
      <c r="V928" s="5"/>
      <c r="W928" s="5"/>
      <c r="X928" s="5"/>
      <c r="Y928" s="5"/>
      <c r="Z928" s="7"/>
      <c r="AA928" s="5"/>
      <c r="AB928" s="5"/>
      <c r="AC928" s="5"/>
      <c r="AD928" s="5"/>
      <c r="AE928" s="5"/>
    </row>
    <row r="929" spans="1:31" ht="15.75" customHeight="1">
      <c r="A929" s="5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5"/>
      <c r="T929" s="5"/>
      <c r="U929" s="5"/>
      <c r="V929" s="5"/>
      <c r="W929" s="5"/>
      <c r="X929" s="5"/>
      <c r="Y929" s="5"/>
      <c r="Z929" s="7"/>
      <c r="AA929" s="5"/>
      <c r="AB929" s="5"/>
      <c r="AC929" s="5"/>
      <c r="AD929" s="5"/>
      <c r="AE929" s="5"/>
    </row>
    <row r="930" spans="1:31" ht="15.75" customHeight="1">
      <c r="A930" s="5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5"/>
      <c r="T930" s="5"/>
      <c r="U930" s="5"/>
      <c r="V930" s="5"/>
      <c r="W930" s="5"/>
      <c r="X930" s="5"/>
      <c r="Y930" s="5"/>
      <c r="Z930" s="7"/>
      <c r="AA930" s="5"/>
      <c r="AB930" s="5"/>
      <c r="AC930" s="5"/>
      <c r="AD930" s="5"/>
      <c r="AE930" s="5"/>
    </row>
    <row r="931" spans="1:31" ht="15.75" customHeight="1">
      <c r="A931" s="5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5"/>
      <c r="T931" s="5"/>
      <c r="U931" s="5"/>
      <c r="V931" s="5"/>
      <c r="W931" s="5"/>
      <c r="X931" s="5"/>
      <c r="Y931" s="5"/>
      <c r="Z931" s="7"/>
      <c r="AA931" s="5"/>
      <c r="AB931" s="5"/>
      <c r="AC931" s="5"/>
      <c r="AD931" s="5"/>
      <c r="AE931" s="5"/>
    </row>
    <row r="932" spans="1:31" ht="15.75" customHeight="1">
      <c r="A932" s="5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5"/>
      <c r="T932" s="5"/>
      <c r="U932" s="5"/>
      <c r="V932" s="5"/>
      <c r="W932" s="5"/>
      <c r="X932" s="5"/>
      <c r="Y932" s="5"/>
      <c r="Z932" s="7"/>
      <c r="AA932" s="5"/>
      <c r="AB932" s="5"/>
      <c r="AC932" s="5"/>
      <c r="AD932" s="5"/>
      <c r="AE932" s="5"/>
    </row>
    <row r="933" spans="1:31" ht="15.75" customHeight="1">
      <c r="A933" s="5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5"/>
      <c r="T933" s="5"/>
      <c r="U933" s="5"/>
      <c r="V933" s="5"/>
      <c r="W933" s="5"/>
      <c r="X933" s="5"/>
      <c r="Y933" s="5"/>
      <c r="Z933" s="7"/>
      <c r="AA933" s="5"/>
      <c r="AB933" s="5"/>
      <c r="AC933" s="5"/>
      <c r="AD933" s="5"/>
      <c r="AE933" s="5"/>
    </row>
    <row r="934" spans="1:31" ht="15.75" customHeight="1">
      <c r="A934" s="5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5"/>
      <c r="T934" s="5"/>
      <c r="U934" s="5"/>
      <c r="V934" s="5"/>
      <c r="W934" s="5"/>
      <c r="X934" s="5"/>
      <c r="Y934" s="5"/>
      <c r="Z934" s="7"/>
      <c r="AA934" s="5"/>
      <c r="AB934" s="5"/>
      <c r="AC934" s="5"/>
      <c r="AD934" s="5"/>
      <c r="AE934" s="5"/>
    </row>
    <row r="935" spans="1:31" ht="15.75" customHeight="1">
      <c r="A935" s="5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5"/>
      <c r="T935" s="5"/>
      <c r="U935" s="5"/>
      <c r="V935" s="5"/>
      <c r="W935" s="5"/>
      <c r="X935" s="5"/>
      <c r="Y935" s="5"/>
      <c r="Z935" s="7"/>
      <c r="AA935" s="5"/>
      <c r="AB935" s="5"/>
      <c r="AC935" s="5"/>
      <c r="AD935" s="5"/>
      <c r="AE935" s="5"/>
    </row>
    <row r="936" spans="1:31" ht="15.75" customHeight="1">
      <c r="A936" s="5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5"/>
      <c r="T936" s="5"/>
      <c r="U936" s="5"/>
      <c r="V936" s="5"/>
      <c r="W936" s="5"/>
      <c r="X936" s="5"/>
      <c r="Y936" s="5"/>
      <c r="Z936" s="7"/>
      <c r="AA936" s="5"/>
      <c r="AB936" s="5"/>
      <c r="AC936" s="5"/>
      <c r="AD936" s="5"/>
      <c r="AE936" s="5"/>
    </row>
    <row r="937" spans="1:31" ht="15.75" customHeight="1">
      <c r="A937" s="5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5"/>
      <c r="T937" s="5"/>
      <c r="U937" s="5"/>
      <c r="V937" s="5"/>
      <c r="W937" s="5"/>
      <c r="X937" s="5"/>
      <c r="Y937" s="5"/>
      <c r="Z937" s="7"/>
      <c r="AA937" s="5"/>
      <c r="AB937" s="5"/>
      <c r="AC937" s="5"/>
      <c r="AD937" s="5"/>
      <c r="AE937" s="5"/>
    </row>
    <row r="938" spans="1:31" ht="15.75" customHeight="1">
      <c r="A938" s="5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5"/>
      <c r="T938" s="5"/>
      <c r="U938" s="5"/>
      <c r="V938" s="5"/>
      <c r="W938" s="5"/>
      <c r="X938" s="5"/>
      <c r="Y938" s="5"/>
      <c r="Z938" s="7"/>
      <c r="AA938" s="5"/>
      <c r="AB938" s="5"/>
      <c r="AC938" s="5"/>
      <c r="AD938" s="5"/>
      <c r="AE938" s="5"/>
    </row>
    <row r="939" spans="1:31" ht="15.75" customHeight="1">
      <c r="A939" s="5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5"/>
      <c r="T939" s="5"/>
      <c r="U939" s="5"/>
      <c r="V939" s="5"/>
      <c r="W939" s="5"/>
      <c r="X939" s="5"/>
      <c r="Y939" s="5"/>
      <c r="Z939" s="7"/>
      <c r="AA939" s="5"/>
      <c r="AB939" s="5"/>
      <c r="AC939" s="5"/>
      <c r="AD939" s="5"/>
      <c r="AE939" s="5"/>
    </row>
    <row r="940" spans="1:31" ht="15.75" customHeight="1">
      <c r="A940" s="5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5"/>
      <c r="T940" s="5"/>
      <c r="U940" s="5"/>
      <c r="V940" s="5"/>
      <c r="W940" s="5"/>
      <c r="X940" s="5"/>
      <c r="Y940" s="5"/>
      <c r="Z940" s="7"/>
      <c r="AA940" s="5"/>
      <c r="AB940" s="5"/>
      <c r="AC940" s="5"/>
      <c r="AD940" s="5"/>
      <c r="AE940" s="5"/>
    </row>
    <row r="941" spans="1:31" ht="15.75" customHeight="1">
      <c r="A941" s="5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5"/>
      <c r="T941" s="5"/>
      <c r="U941" s="5"/>
      <c r="V941" s="5"/>
      <c r="W941" s="5"/>
      <c r="X941" s="5"/>
      <c r="Y941" s="5"/>
      <c r="Z941" s="7"/>
      <c r="AA941" s="5"/>
      <c r="AB941" s="5"/>
      <c r="AC941" s="5"/>
      <c r="AD941" s="5"/>
      <c r="AE941" s="5"/>
    </row>
    <row r="942" spans="1:31" ht="15.75" customHeight="1">
      <c r="A942" s="5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5"/>
      <c r="T942" s="5"/>
      <c r="U942" s="5"/>
      <c r="V942" s="5"/>
      <c r="W942" s="5"/>
      <c r="X942" s="5"/>
      <c r="Y942" s="5"/>
      <c r="Z942" s="7"/>
      <c r="AA942" s="5"/>
      <c r="AB942" s="5"/>
      <c r="AC942" s="5"/>
      <c r="AD942" s="5"/>
      <c r="AE942" s="5"/>
    </row>
    <row r="943" spans="1:31" ht="15.75" customHeight="1">
      <c r="A943" s="5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5"/>
      <c r="T943" s="5"/>
      <c r="U943" s="5"/>
      <c r="V943" s="5"/>
      <c r="W943" s="5"/>
      <c r="X943" s="5"/>
      <c r="Y943" s="5"/>
      <c r="Z943" s="7"/>
      <c r="AA943" s="5"/>
      <c r="AB943" s="5"/>
      <c r="AC943" s="5"/>
      <c r="AD943" s="5"/>
      <c r="AE943" s="5"/>
    </row>
    <row r="944" spans="1:31" ht="15.75" customHeight="1">
      <c r="A944" s="5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5"/>
      <c r="T944" s="5"/>
      <c r="U944" s="5"/>
      <c r="V944" s="5"/>
      <c r="W944" s="5"/>
      <c r="X944" s="5"/>
      <c r="Y944" s="5"/>
      <c r="Z944" s="7"/>
      <c r="AA944" s="5"/>
      <c r="AB944" s="5"/>
      <c r="AC944" s="5"/>
      <c r="AD944" s="5"/>
      <c r="AE944" s="5"/>
    </row>
    <row r="945" spans="1:31" ht="15.75" customHeight="1">
      <c r="A945" s="5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5"/>
      <c r="T945" s="5"/>
      <c r="U945" s="5"/>
      <c r="V945" s="5"/>
      <c r="W945" s="5"/>
      <c r="X945" s="5"/>
      <c r="Y945" s="5"/>
      <c r="Z945" s="7"/>
      <c r="AA945" s="5"/>
      <c r="AB945" s="5"/>
      <c r="AC945" s="5"/>
      <c r="AD945" s="5"/>
      <c r="AE945" s="5"/>
    </row>
    <row r="946" spans="1:31" ht="15.75" customHeight="1">
      <c r="A946" s="5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5"/>
      <c r="T946" s="5"/>
      <c r="U946" s="5"/>
      <c r="V946" s="5"/>
      <c r="W946" s="5"/>
      <c r="X946" s="5"/>
      <c r="Y946" s="5"/>
      <c r="Z946" s="7"/>
      <c r="AA946" s="5"/>
      <c r="AB946" s="5"/>
      <c r="AC946" s="5"/>
      <c r="AD946" s="5"/>
      <c r="AE946" s="5"/>
    </row>
    <row r="947" spans="1:31" ht="15.75" customHeight="1">
      <c r="A947" s="5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5"/>
      <c r="T947" s="5"/>
      <c r="U947" s="5"/>
      <c r="V947" s="5"/>
      <c r="W947" s="5"/>
      <c r="X947" s="5"/>
      <c r="Y947" s="5"/>
      <c r="Z947" s="7"/>
      <c r="AA947" s="5"/>
      <c r="AB947" s="5"/>
      <c r="AC947" s="5"/>
      <c r="AD947" s="5"/>
      <c r="AE947" s="5"/>
    </row>
    <row r="948" spans="1:31" ht="15.75" customHeight="1">
      <c r="A948" s="5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5"/>
      <c r="T948" s="5"/>
      <c r="U948" s="5"/>
      <c r="V948" s="5"/>
      <c r="W948" s="5"/>
      <c r="X948" s="5"/>
      <c r="Y948" s="5"/>
      <c r="Z948" s="7"/>
      <c r="AA948" s="5"/>
      <c r="AB948" s="5"/>
      <c r="AC948" s="5"/>
      <c r="AD948" s="5"/>
      <c r="AE948" s="5"/>
    </row>
    <row r="949" spans="1:31" ht="15.75" customHeight="1">
      <c r="A949" s="5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5"/>
      <c r="T949" s="5"/>
      <c r="U949" s="5"/>
      <c r="V949" s="5"/>
      <c r="W949" s="5"/>
      <c r="X949" s="5"/>
      <c r="Y949" s="5"/>
      <c r="Z949" s="7"/>
      <c r="AA949" s="5"/>
      <c r="AB949" s="5"/>
      <c r="AC949" s="5"/>
      <c r="AD949" s="5"/>
      <c r="AE949" s="5"/>
    </row>
    <row r="950" spans="1:31" ht="15.75" customHeight="1">
      <c r="A950" s="5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5"/>
      <c r="T950" s="5"/>
      <c r="U950" s="5"/>
      <c r="V950" s="5"/>
      <c r="W950" s="5"/>
      <c r="X950" s="5"/>
      <c r="Y950" s="5"/>
      <c r="Z950" s="7"/>
      <c r="AA950" s="5"/>
      <c r="AB950" s="5"/>
      <c r="AC950" s="5"/>
      <c r="AD950" s="5"/>
      <c r="AE950" s="5"/>
    </row>
    <row r="951" spans="1:31" ht="15.75" customHeight="1">
      <c r="A951" s="5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5"/>
      <c r="T951" s="5"/>
      <c r="U951" s="5"/>
      <c r="V951" s="5"/>
      <c r="W951" s="5"/>
      <c r="X951" s="5"/>
      <c r="Y951" s="5"/>
      <c r="Z951" s="7"/>
      <c r="AA951" s="5"/>
      <c r="AB951" s="5"/>
      <c r="AC951" s="5"/>
      <c r="AD951" s="5"/>
      <c r="AE951" s="5"/>
    </row>
    <row r="952" spans="1:31" ht="15.75" customHeight="1">
      <c r="A952" s="5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5"/>
      <c r="T952" s="5"/>
      <c r="U952" s="5"/>
      <c r="V952" s="5"/>
      <c r="W952" s="5"/>
      <c r="X952" s="5"/>
      <c r="Y952" s="5"/>
      <c r="Z952" s="7"/>
      <c r="AA952" s="5"/>
      <c r="AB952" s="5"/>
      <c r="AC952" s="5"/>
      <c r="AD952" s="5"/>
      <c r="AE952" s="5"/>
    </row>
    <row r="953" spans="1:31" ht="15.75" customHeight="1">
      <c r="A953" s="5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5"/>
      <c r="T953" s="5"/>
      <c r="U953" s="5"/>
      <c r="V953" s="5"/>
      <c r="W953" s="5"/>
      <c r="X953" s="5"/>
      <c r="Y953" s="5"/>
      <c r="Z953" s="7"/>
      <c r="AA953" s="5"/>
      <c r="AB953" s="5"/>
      <c r="AC953" s="5"/>
      <c r="AD953" s="5"/>
      <c r="AE953" s="5"/>
    </row>
    <row r="954" spans="1:31" ht="15.75" customHeight="1">
      <c r="A954" s="5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5"/>
      <c r="T954" s="5"/>
      <c r="U954" s="5"/>
      <c r="V954" s="5"/>
      <c r="W954" s="5"/>
      <c r="X954" s="5"/>
      <c r="Y954" s="5"/>
      <c r="Z954" s="7"/>
      <c r="AA954" s="5"/>
      <c r="AB954" s="5"/>
      <c r="AC954" s="5"/>
      <c r="AD954" s="5"/>
      <c r="AE954" s="5"/>
    </row>
    <row r="955" spans="1:31" ht="15.75" customHeight="1">
      <c r="A955" s="5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5"/>
      <c r="T955" s="5"/>
      <c r="U955" s="5"/>
      <c r="V955" s="5"/>
      <c r="W955" s="5"/>
      <c r="X955" s="5"/>
      <c r="Y955" s="5"/>
      <c r="Z955" s="7"/>
      <c r="AA955" s="5"/>
      <c r="AB955" s="5"/>
      <c r="AC955" s="5"/>
      <c r="AD955" s="5"/>
      <c r="AE955" s="5"/>
    </row>
    <row r="956" spans="1:31" ht="15.75" customHeight="1">
      <c r="A956" s="5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5"/>
      <c r="T956" s="5"/>
      <c r="U956" s="5"/>
      <c r="V956" s="5"/>
      <c r="W956" s="5"/>
      <c r="X956" s="5"/>
      <c r="Y956" s="5"/>
      <c r="Z956" s="7"/>
      <c r="AA956" s="5"/>
      <c r="AB956" s="5"/>
      <c r="AC956" s="5"/>
      <c r="AD956" s="5"/>
      <c r="AE956" s="5"/>
    </row>
    <row r="957" spans="1:31" ht="15.75" customHeight="1">
      <c r="A957" s="5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5"/>
      <c r="T957" s="5"/>
      <c r="U957" s="5"/>
      <c r="V957" s="5"/>
      <c r="W957" s="5"/>
      <c r="X957" s="5"/>
      <c r="Y957" s="5"/>
      <c r="Z957" s="7"/>
      <c r="AA957" s="5"/>
      <c r="AB957" s="5"/>
      <c r="AC957" s="5"/>
      <c r="AD957" s="5"/>
      <c r="AE957" s="5"/>
    </row>
    <row r="958" spans="1:31" ht="15.75" customHeight="1">
      <c r="A958" s="5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5"/>
      <c r="T958" s="5"/>
      <c r="U958" s="5"/>
      <c r="V958" s="5"/>
      <c r="W958" s="5"/>
      <c r="X958" s="5"/>
      <c r="Y958" s="5"/>
      <c r="Z958" s="7"/>
      <c r="AA958" s="5"/>
      <c r="AB958" s="5"/>
      <c r="AC958" s="5"/>
      <c r="AD958" s="5"/>
      <c r="AE958" s="5"/>
    </row>
    <row r="959" spans="1:31" ht="15.75" customHeight="1">
      <c r="A959" s="5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5"/>
      <c r="T959" s="5"/>
      <c r="U959" s="5"/>
      <c r="V959" s="5"/>
      <c r="W959" s="5"/>
      <c r="X959" s="5"/>
      <c r="Y959" s="5"/>
      <c r="Z959" s="7"/>
      <c r="AA959" s="5"/>
      <c r="AB959" s="5"/>
      <c r="AC959" s="5"/>
      <c r="AD959" s="5"/>
      <c r="AE959" s="5"/>
    </row>
    <row r="960" spans="1:31" ht="15.75" customHeight="1">
      <c r="A960" s="5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5"/>
      <c r="T960" s="5"/>
      <c r="U960" s="5"/>
      <c r="V960" s="5"/>
      <c r="W960" s="5"/>
      <c r="X960" s="5"/>
      <c r="Y960" s="5"/>
      <c r="Z960" s="7"/>
      <c r="AA960" s="5"/>
      <c r="AB960" s="5"/>
      <c r="AC960" s="5"/>
      <c r="AD960" s="5"/>
      <c r="AE960" s="5"/>
    </row>
    <row r="961" spans="1:31" ht="15.75" customHeight="1">
      <c r="A961" s="5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5"/>
      <c r="T961" s="5"/>
      <c r="U961" s="5"/>
      <c r="V961" s="5"/>
      <c r="W961" s="5"/>
      <c r="X961" s="5"/>
      <c r="Y961" s="5"/>
      <c r="Z961" s="7"/>
      <c r="AA961" s="5"/>
      <c r="AB961" s="5"/>
      <c r="AC961" s="5"/>
      <c r="AD961" s="5"/>
      <c r="AE961" s="5"/>
    </row>
    <row r="962" spans="1:31" ht="15.75" customHeight="1">
      <c r="A962" s="5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5"/>
      <c r="T962" s="5"/>
      <c r="U962" s="5"/>
      <c r="V962" s="5"/>
      <c r="W962" s="5"/>
      <c r="X962" s="5"/>
      <c r="Y962" s="5"/>
      <c r="Z962" s="7"/>
      <c r="AA962" s="5"/>
      <c r="AB962" s="5"/>
      <c r="AC962" s="5"/>
      <c r="AD962" s="5"/>
      <c r="AE962" s="5"/>
    </row>
    <row r="963" spans="1:31" ht="15.75" customHeight="1">
      <c r="A963" s="5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5"/>
      <c r="T963" s="5"/>
      <c r="U963" s="5"/>
      <c r="V963" s="5"/>
      <c r="W963" s="5"/>
      <c r="X963" s="5"/>
      <c r="Y963" s="5"/>
      <c r="Z963" s="7"/>
      <c r="AA963" s="5"/>
      <c r="AB963" s="5"/>
      <c r="AC963" s="5"/>
      <c r="AD963" s="5"/>
      <c r="AE963" s="5"/>
    </row>
    <row r="964" spans="1:31" ht="15.75" customHeight="1">
      <c r="A964" s="5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5"/>
      <c r="T964" s="5"/>
      <c r="U964" s="5"/>
      <c r="V964" s="5"/>
      <c r="W964" s="5"/>
      <c r="X964" s="5"/>
      <c r="Y964" s="5"/>
      <c r="Z964" s="7"/>
      <c r="AA964" s="5"/>
      <c r="AB964" s="5"/>
      <c r="AC964" s="5"/>
      <c r="AD964" s="5"/>
      <c r="AE964" s="5"/>
    </row>
    <row r="965" spans="1:31" ht="15.75" customHeight="1">
      <c r="A965" s="5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5"/>
      <c r="T965" s="5"/>
      <c r="U965" s="5"/>
      <c r="V965" s="5"/>
      <c r="W965" s="5"/>
      <c r="X965" s="5"/>
      <c r="Y965" s="5"/>
      <c r="Z965" s="7"/>
      <c r="AA965" s="5"/>
      <c r="AB965" s="5"/>
      <c r="AC965" s="5"/>
      <c r="AD965" s="5"/>
      <c r="AE965" s="5"/>
    </row>
    <row r="966" spans="1:31" ht="15.75" customHeight="1">
      <c r="A966" s="5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5"/>
      <c r="T966" s="5"/>
      <c r="U966" s="5"/>
      <c r="V966" s="5"/>
      <c r="W966" s="5"/>
      <c r="X966" s="5"/>
      <c r="Y966" s="5"/>
      <c r="Z966" s="7"/>
      <c r="AA966" s="5"/>
      <c r="AB966" s="5"/>
      <c r="AC966" s="5"/>
      <c r="AD966" s="5"/>
      <c r="AE966" s="5"/>
    </row>
    <row r="967" spans="1:31" ht="15.75" customHeight="1">
      <c r="A967" s="5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5"/>
      <c r="T967" s="5"/>
      <c r="U967" s="5"/>
      <c r="V967" s="5"/>
      <c r="W967" s="5"/>
      <c r="X967" s="5"/>
      <c r="Y967" s="5"/>
      <c r="Z967" s="7"/>
      <c r="AA967" s="5"/>
      <c r="AB967" s="5"/>
      <c r="AC967" s="5"/>
      <c r="AD967" s="5"/>
      <c r="AE967" s="5"/>
    </row>
    <row r="968" spans="1:31" ht="15.75" customHeight="1">
      <c r="A968" s="5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5"/>
      <c r="T968" s="5"/>
      <c r="U968" s="5"/>
      <c r="V968" s="5"/>
      <c r="W968" s="5"/>
      <c r="X968" s="5"/>
      <c r="Y968" s="5"/>
      <c r="Z968" s="7"/>
      <c r="AA968" s="5"/>
      <c r="AB968" s="5"/>
      <c r="AC968" s="5"/>
      <c r="AD968" s="5"/>
      <c r="AE968" s="5"/>
    </row>
    <row r="969" spans="1:31" ht="15.75" customHeight="1">
      <c r="A969" s="5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5"/>
      <c r="T969" s="5"/>
      <c r="U969" s="5"/>
      <c r="V969" s="5"/>
      <c r="W969" s="5"/>
      <c r="X969" s="5"/>
      <c r="Y969" s="5"/>
      <c r="Z969" s="7"/>
      <c r="AA969" s="5"/>
      <c r="AB969" s="5"/>
      <c r="AC969" s="5"/>
      <c r="AD969" s="5"/>
      <c r="AE969" s="5"/>
    </row>
    <row r="970" spans="1:31" ht="15.75" customHeight="1">
      <c r="A970" s="5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5"/>
      <c r="T970" s="5"/>
      <c r="U970" s="5"/>
      <c r="V970" s="5"/>
      <c r="W970" s="5"/>
      <c r="X970" s="5"/>
      <c r="Y970" s="5"/>
      <c r="Z970" s="7"/>
      <c r="AA970" s="5"/>
      <c r="AB970" s="5"/>
      <c r="AC970" s="5"/>
      <c r="AD970" s="5"/>
      <c r="AE970" s="5"/>
    </row>
    <row r="971" spans="1:31" ht="15.75" customHeight="1">
      <c r="A971" s="5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5"/>
      <c r="T971" s="5"/>
      <c r="U971" s="5"/>
      <c r="V971" s="5"/>
      <c r="W971" s="5"/>
      <c r="X971" s="5"/>
      <c r="Y971" s="5"/>
      <c r="Z971" s="7"/>
      <c r="AA971" s="5"/>
      <c r="AB971" s="5"/>
      <c r="AC971" s="5"/>
      <c r="AD971" s="5"/>
      <c r="AE971" s="5"/>
    </row>
    <row r="972" spans="1:31" ht="15.75" customHeight="1">
      <c r="A972" s="5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5"/>
      <c r="T972" s="5"/>
      <c r="U972" s="5"/>
      <c r="V972" s="5"/>
      <c r="W972" s="5"/>
      <c r="X972" s="5"/>
      <c r="Y972" s="5"/>
      <c r="Z972" s="7"/>
      <c r="AA972" s="5"/>
      <c r="AB972" s="5"/>
      <c r="AC972" s="5"/>
      <c r="AD972" s="5"/>
      <c r="AE972" s="5"/>
    </row>
    <row r="973" spans="1:31" ht="15.75" customHeight="1">
      <c r="A973" s="5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5"/>
      <c r="T973" s="5"/>
      <c r="U973" s="5"/>
      <c r="V973" s="5"/>
      <c r="W973" s="5"/>
      <c r="X973" s="5"/>
      <c r="Y973" s="5"/>
      <c r="Z973" s="7"/>
      <c r="AA973" s="5"/>
      <c r="AB973" s="5"/>
      <c r="AC973" s="5"/>
      <c r="AD973" s="5"/>
      <c r="AE973" s="5"/>
    </row>
    <row r="974" spans="1:31" ht="15.75" customHeight="1">
      <c r="A974" s="5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5"/>
      <c r="T974" s="5"/>
      <c r="U974" s="5"/>
      <c r="V974" s="5"/>
      <c r="W974" s="5"/>
      <c r="X974" s="5"/>
      <c r="Y974" s="5"/>
      <c r="Z974" s="7"/>
      <c r="AA974" s="5"/>
      <c r="AB974" s="5"/>
      <c r="AC974" s="5"/>
      <c r="AD974" s="5"/>
      <c r="AE974" s="5"/>
    </row>
    <row r="975" spans="1:31" ht="15.75" customHeight="1">
      <c r="A975" s="5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5"/>
      <c r="T975" s="5"/>
      <c r="U975" s="5"/>
      <c r="V975" s="5"/>
      <c r="W975" s="5"/>
      <c r="X975" s="5"/>
      <c r="Y975" s="5"/>
      <c r="Z975" s="7"/>
      <c r="AA975" s="5"/>
      <c r="AB975" s="5"/>
      <c r="AC975" s="5"/>
      <c r="AD975" s="5"/>
      <c r="AE975" s="5"/>
    </row>
    <row r="976" spans="1:31" ht="15.75" customHeight="1">
      <c r="A976" s="5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5"/>
      <c r="T976" s="5"/>
      <c r="U976" s="5"/>
      <c r="V976" s="5"/>
      <c r="W976" s="5"/>
      <c r="X976" s="5"/>
      <c r="Y976" s="5"/>
      <c r="Z976" s="7"/>
      <c r="AA976" s="5"/>
      <c r="AB976" s="5"/>
      <c r="AC976" s="5"/>
      <c r="AD976" s="5"/>
      <c r="AE976" s="5"/>
    </row>
    <row r="977" spans="1:31" ht="15.75" customHeight="1">
      <c r="A977" s="5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5"/>
      <c r="T977" s="5"/>
      <c r="U977" s="5"/>
      <c r="V977" s="5"/>
      <c r="W977" s="5"/>
      <c r="X977" s="5"/>
      <c r="Y977" s="5"/>
      <c r="Z977" s="7"/>
      <c r="AA977" s="5"/>
      <c r="AB977" s="5"/>
      <c r="AC977" s="5"/>
      <c r="AD977" s="5"/>
      <c r="AE977" s="5"/>
    </row>
    <row r="978" spans="1:31" ht="15.75" customHeight="1">
      <c r="A978" s="5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5"/>
      <c r="T978" s="5"/>
      <c r="U978" s="5"/>
      <c r="V978" s="5"/>
      <c r="W978" s="5"/>
      <c r="X978" s="5"/>
      <c r="Y978" s="5"/>
      <c r="Z978" s="7"/>
      <c r="AA978" s="5"/>
      <c r="AB978" s="5"/>
      <c r="AC978" s="5"/>
      <c r="AD978" s="5"/>
      <c r="AE978" s="5"/>
    </row>
    <row r="979" spans="1:31" ht="15.75" customHeight="1">
      <c r="A979" s="5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5"/>
      <c r="T979" s="5"/>
      <c r="U979" s="5"/>
      <c r="V979" s="5"/>
      <c r="W979" s="5"/>
      <c r="X979" s="5"/>
      <c r="Y979" s="5"/>
      <c r="Z979" s="7"/>
      <c r="AA979" s="5"/>
      <c r="AB979" s="5"/>
      <c r="AC979" s="5"/>
      <c r="AD979" s="5"/>
      <c r="AE979" s="5"/>
    </row>
    <row r="980" spans="1:31" ht="15.75" customHeight="1">
      <c r="A980" s="5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5"/>
      <c r="T980" s="5"/>
      <c r="U980" s="5"/>
      <c r="V980" s="5"/>
      <c r="W980" s="5"/>
      <c r="X980" s="5"/>
      <c r="Y980" s="5"/>
      <c r="Z980" s="7"/>
      <c r="AA980" s="5"/>
      <c r="AB980" s="5"/>
      <c r="AC980" s="5"/>
      <c r="AD980" s="5"/>
      <c r="AE980" s="5"/>
    </row>
    <row r="981" spans="1:31" ht="15.75" customHeight="1">
      <c r="A981" s="5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5"/>
      <c r="T981" s="5"/>
      <c r="U981" s="5"/>
      <c r="V981" s="5"/>
      <c r="W981" s="5"/>
      <c r="X981" s="5"/>
      <c r="Y981" s="5"/>
      <c r="Z981" s="7"/>
      <c r="AA981" s="5"/>
      <c r="AB981" s="5"/>
      <c r="AC981" s="5"/>
      <c r="AD981" s="5"/>
      <c r="AE981" s="5"/>
    </row>
    <row r="982" spans="1:31" ht="15.75" customHeight="1">
      <c r="A982" s="5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5"/>
      <c r="T982" s="5"/>
      <c r="U982" s="5"/>
      <c r="V982" s="5"/>
      <c r="W982" s="5"/>
      <c r="X982" s="5"/>
      <c r="Y982" s="5"/>
      <c r="Z982" s="7"/>
      <c r="AA982" s="5"/>
      <c r="AB982" s="5"/>
      <c r="AC982" s="5"/>
      <c r="AD982" s="5"/>
      <c r="AE982" s="5"/>
    </row>
    <row r="983" spans="1:31" ht="15.75" customHeight="1">
      <c r="A983" s="5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5"/>
      <c r="T983" s="5"/>
      <c r="U983" s="5"/>
      <c r="V983" s="5"/>
      <c r="W983" s="5"/>
      <c r="X983" s="5"/>
      <c r="Y983" s="5"/>
      <c r="Z983" s="7"/>
      <c r="AA983" s="5"/>
      <c r="AB983" s="5"/>
      <c r="AC983" s="5"/>
      <c r="AD983" s="5"/>
      <c r="AE983" s="5"/>
    </row>
    <row r="984" spans="1:31" ht="15.75" customHeight="1">
      <c r="A984" s="5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5"/>
      <c r="T984" s="5"/>
      <c r="U984" s="5"/>
      <c r="V984" s="5"/>
      <c r="W984" s="5"/>
      <c r="X984" s="5"/>
      <c r="Y984" s="5"/>
      <c r="Z984" s="7"/>
      <c r="AA984" s="5"/>
      <c r="AB984" s="5"/>
      <c r="AC984" s="5"/>
      <c r="AD984" s="5"/>
      <c r="AE984" s="5"/>
    </row>
    <row r="985" spans="1:31" ht="15.75" customHeight="1">
      <c r="A985" s="5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5"/>
      <c r="T985" s="5"/>
      <c r="U985" s="5"/>
      <c r="V985" s="5"/>
      <c r="W985" s="5"/>
      <c r="X985" s="5"/>
      <c r="Y985" s="5"/>
      <c r="Z985" s="7"/>
      <c r="AA985" s="5"/>
      <c r="AB985" s="5"/>
      <c r="AC985" s="5"/>
      <c r="AD985" s="5"/>
      <c r="AE985" s="5"/>
    </row>
    <row r="986" spans="1:31" ht="15.75" customHeight="1">
      <c r="A986" s="5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5"/>
      <c r="T986" s="5"/>
      <c r="U986" s="5"/>
      <c r="V986" s="5"/>
      <c r="W986" s="5"/>
      <c r="X986" s="5"/>
      <c r="Y986" s="5"/>
      <c r="Z986" s="7"/>
      <c r="AA986" s="5"/>
      <c r="AB986" s="5"/>
      <c r="AC986" s="5"/>
      <c r="AD986" s="5"/>
      <c r="AE986" s="5"/>
    </row>
    <row r="987" spans="1:31" ht="15.75" customHeight="1">
      <c r="A987" s="5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5"/>
      <c r="T987" s="5"/>
      <c r="U987" s="5"/>
      <c r="V987" s="5"/>
      <c r="W987" s="5"/>
      <c r="X987" s="5"/>
      <c r="Y987" s="5"/>
      <c r="Z987" s="7"/>
      <c r="AA987" s="5"/>
      <c r="AB987" s="5"/>
      <c r="AC987" s="5"/>
      <c r="AD987" s="5"/>
      <c r="AE987" s="5"/>
    </row>
    <row r="988" spans="1:31" ht="15.75" customHeight="1">
      <c r="A988" s="5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5"/>
      <c r="T988" s="5"/>
      <c r="U988" s="5"/>
      <c r="V988" s="5"/>
      <c r="W988" s="5"/>
      <c r="X988" s="5"/>
      <c r="Y988" s="5"/>
      <c r="Z988" s="7"/>
      <c r="AA988" s="5"/>
      <c r="AB988" s="5"/>
      <c r="AC988" s="5"/>
      <c r="AD988" s="5"/>
      <c r="AE988" s="5"/>
    </row>
    <row r="989" spans="1:31" ht="15.75" customHeight="1">
      <c r="A989" s="5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5"/>
      <c r="T989" s="5"/>
      <c r="U989" s="5"/>
      <c r="V989" s="5"/>
      <c r="W989" s="5"/>
      <c r="X989" s="5"/>
      <c r="Y989" s="5"/>
      <c r="Z989" s="7"/>
      <c r="AA989" s="5"/>
      <c r="AB989" s="5"/>
      <c r="AC989" s="5"/>
      <c r="AD989" s="5"/>
      <c r="AE989" s="5"/>
    </row>
    <row r="990" spans="1:31" ht="15.75" customHeight="1">
      <c r="A990" s="5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5"/>
      <c r="T990" s="5"/>
      <c r="U990" s="5"/>
      <c r="V990" s="5"/>
      <c r="W990" s="5"/>
      <c r="X990" s="5"/>
      <c r="Y990" s="5"/>
      <c r="Z990" s="7"/>
      <c r="AA990" s="5"/>
      <c r="AB990" s="5"/>
      <c r="AC990" s="5"/>
      <c r="AD990" s="5"/>
      <c r="AE990" s="5"/>
    </row>
    <row r="991" spans="1:31" ht="15.75" customHeight="1">
      <c r="A991" s="5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5"/>
      <c r="T991" s="5"/>
      <c r="U991" s="5"/>
      <c r="V991" s="5"/>
      <c r="W991" s="5"/>
      <c r="X991" s="5"/>
      <c r="Y991" s="5"/>
      <c r="Z991" s="7"/>
      <c r="AA991" s="5"/>
      <c r="AB991" s="5"/>
      <c r="AC991" s="5"/>
      <c r="AD991" s="5"/>
      <c r="AE991" s="5"/>
    </row>
    <row r="992" spans="1:31" ht="15.75" customHeight="1">
      <c r="A992" s="5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5"/>
      <c r="T992" s="5"/>
      <c r="U992" s="5"/>
      <c r="V992" s="5"/>
      <c r="W992" s="5"/>
      <c r="X992" s="5"/>
      <c r="Y992" s="5"/>
      <c r="Z992" s="7"/>
      <c r="AA992" s="5"/>
      <c r="AB992" s="5"/>
      <c r="AC992" s="5"/>
      <c r="AD992" s="5"/>
      <c r="AE992" s="5"/>
    </row>
    <row r="993" spans="1:31" ht="15.75" customHeight="1">
      <c r="A993" s="5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5"/>
      <c r="T993" s="5"/>
      <c r="U993" s="5"/>
      <c r="V993" s="5"/>
      <c r="W993" s="5"/>
      <c r="X993" s="5"/>
      <c r="Y993" s="5"/>
      <c r="Z993" s="7"/>
      <c r="AA993" s="5"/>
      <c r="AB993" s="5"/>
      <c r="AC993" s="5"/>
      <c r="AD993" s="5"/>
      <c r="AE993" s="5"/>
    </row>
    <row r="994" spans="1:31" ht="15.75" customHeight="1">
      <c r="A994" s="5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5"/>
      <c r="T994" s="5"/>
      <c r="U994" s="5"/>
      <c r="V994" s="5"/>
      <c r="W994" s="5"/>
      <c r="X994" s="5"/>
      <c r="Y994" s="5"/>
      <c r="Z994" s="7"/>
      <c r="AA994" s="5"/>
      <c r="AB994" s="5"/>
      <c r="AC994" s="5"/>
      <c r="AD994" s="5"/>
      <c r="AE994" s="5"/>
    </row>
    <row r="995" spans="1:31" ht="15.75" customHeight="1">
      <c r="A995" s="5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5"/>
      <c r="T995" s="5"/>
      <c r="U995" s="5"/>
      <c r="V995" s="5"/>
      <c r="W995" s="5"/>
      <c r="X995" s="5"/>
      <c r="Y995" s="5"/>
      <c r="Z995" s="7"/>
      <c r="AA995" s="5"/>
      <c r="AB995" s="5"/>
      <c r="AC995" s="5"/>
      <c r="AD995" s="5"/>
      <c r="AE995" s="5"/>
    </row>
    <row r="996" spans="1:31" ht="15.75" customHeight="1">
      <c r="A996" s="5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5"/>
      <c r="T996" s="5"/>
      <c r="U996" s="5"/>
      <c r="V996" s="5"/>
      <c r="W996" s="5"/>
      <c r="X996" s="5"/>
      <c r="Y996" s="5"/>
      <c r="Z996" s="7"/>
      <c r="AA996" s="5"/>
      <c r="AB996" s="5"/>
      <c r="AC996" s="5"/>
      <c r="AD996" s="5"/>
      <c r="AE996" s="5"/>
    </row>
    <row r="997" spans="1:31" ht="15.75" customHeight="1">
      <c r="A997" s="5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5"/>
      <c r="T997" s="5"/>
      <c r="U997" s="5"/>
      <c r="V997" s="5"/>
      <c r="W997" s="5"/>
      <c r="X997" s="5"/>
      <c r="Y997" s="5"/>
      <c r="Z997" s="7"/>
      <c r="AA997" s="5"/>
      <c r="AB997" s="5"/>
      <c r="AC997" s="5"/>
      <c r="AD997" s="5"/>
      <c r="AE997" s="5"/>
    </row>
    <row r="998" spans="1:31" ht="15.75" customHeight="1">
      <c r="A998" s="5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5"/>
      <c r="T998" s="5"/>
      <c r="U998" s="5"/>
      <c r="V998" s="5"/>
      <c r="W998" s="5"/>
      <c r="X998" s="5"/>
      <c r="Y998" s="5"/>
      <c r="Z998" s="7"/>
      <c r="AA998" s="5"/>
      <c r="AB998" s="5"/>
      <c r="AC998" s="5"/>
      <c r="AD998" s="5"/>
      <c r="AE998" s="5"/>
    </row>
    <row r="999" spans="1:31" ht="15.75" customHeight="1">
      <c r="A999" s="5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5"/>
      <c r="T999" s="5"/>
      <c r="U999" s="5"/>
      <c r="V999" s="5"/>
      <c r="W999" s="5"/>
      <c r="X999" s="5"/>
      <c r="Y999" s="5"/>
      <c r="Z999" s="7"/>
      <c r="AA999" s="5"/>
      <c r="AB999" s="5"/>
      <c r="AC999" s="5"/>
      <c r="AD999" s="5"/>
      <c r="AE999" s="5"/>
    </row>
    <row r="1000" spans="1:31" ht="15.75" customHeight="1">
      <c r="A1000" s="5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5"/>
      <c r="T1000" s="5"/>
      <c r="U1000" s="5"/>
      <c r="V1000" s="5"/>
      <c r="W1000" s="5"/>
      <c r="X1000" s="5"/>
      <c r="Y1000" s="5"/>
      <c r="Z1000" s="7"/>
      <c r="AA1000" s="5"/>
      <c r="AB1000" s="5"/>
      <c r="AC1000" s="5"/>
      <c r="AD1000" s="5"/>
      <c r="AE1000" s="5"/>
    </row>
  </sheetData>
  <mergeCells count="99">
    <mergeCell ref="L42:N42"/>
    <mergeCell ref="L44:N44"/>
    <mergeCell ref="L32:M32"/>
    <mergeCell ref="L35:M35"/>
    <mergeCell ref="L36:M36"/>
    <mergeCell ref="N36:Q36"/>
    <mergeCell ref="L37:M37"/>
    <mergeCell ref="N37:Q37"/>
    <mergeCell ref="L39:N39"/>
    <mergeCell ref="V25:AE26"/>
    <mergeCell ref="O26:P26"/>
    <mergeCell ref="L33:M33"/>
    <mergeCell ref="L34:M34"/>
    <mergeCell ref="L40:N40"/>
    <mergeCell ref="O27:P27"/>
    <mergeCell ref="O28:P28"/>
    <mergeCell ref="O29:P29"/>
    <mergeCell ref="O30:P30"/>
    <mergeCell ref="B25:C25"/>
    <mergeCell ref="D25:E25"/>
    <mergeCell ref="I25:J25"/>
    <mergeCell ref="L25:Q25"/>
    <mergeCell ref="O22:P22"/>
    <mergeCell ref="G23:H23"/>
    <mergeCell ref="G24:H24"/>
    <mergeCell ref="G25:H25"/>
    <mergeCell ref="O23:P23"/>
    <mergeCell ref="O24:P24"/>
    <mergeCell ref="B21:C21"/>
    <mergeCell ref="D21:E21"/>
    <mergeCell ref="G21:H21"/>
    <mergeCell ref="I21:J21"/>
    <mergeCell ref="D22:E22"/>
    <mergeCell ref="D19:E19"/>
    <mergeCell ref="G19:H19"/>
    <mergeCell ref="I19:J19"/>
    <mergeCell ref="O19:P19"/>
    <mergeCell ref="B20:F20"/>
    <mergeCell ref="G20:K20"/>
    <mergeCell ref="O20:P20"/>
    <mergeCell ref="B19:C19"/>
    <mergeCell ref="E39:G39"/>
    <mergeCell ref="E40:G40"/>
    <mergeCell ref="E42:G42"/>
    <mergeCell ref="E44:G44"/>
    <mergeCell ref="B27:J28"/>
    <mergeCell ref="C30:D30"/>
    <mergeCell ref="C31:D31"/>
    <mergeCell ref="C32:D32"/>
    <mergeCell ref="C33:D33"/>
    <mergeCell ref="C34:D34"/>
    <mergeCell ref="C35:D35"/>
    <mergeCell ref="B24:C24"/>
    <mergeCell ref="D24:E24"/>
    <mergeCell ref="I24:J24"/>
    <mergeCell ref="C36:D36"/>
    <mergeCell ref="C37:D37"/>
    <mergeCell ref="G22:H22"/>
    <mergeCell ref="I22:J22"/>
    <mergeCell ref="B22:C22"/>
    <mergeCell ref="B23:C23"/>
    <mergeCell ref="D23:E23"/>
    <mergeCell ref="I23:J23"/>
    <mergeCell ref="B18:C18"/>
    <mergeCell ref="D18:E18"/>
    <mergeCell ref="G18:H18"/>
    <mergeCell ref="I18:J18"/>
    <mergeCell ref="O18:P18"/>
    <mergeCell ref="B17:C17"/>
    <mergeCell ref="D17:E17"/>
    <mergeCell ref="O17:P17"/>
    <mergeCell ref="G17:H17"/>
    <mergeCell ref="I17:J17"/>
    <mergeCell ref="B16:C16"/>
    <mergeCell ref="D16:E16"/>
    <mergeCell ref="G16:H16"/>
    <mergeCell ref="I16:J16"/>
    <mergeCell ref="O16:P16"/>
    <mergeCell ref="G15:H15"/>
    <mergeCell ref="I15:J15"/>
    <mergeCell ref="O15:P15"/>
    <mergeCell ref="F5:I5"/>
    <mergeCell ref="J5:M5"/>
    <mergeCell ref="F11:G11"/>
    <mergeCell ref="B14:F14"/>
    <mergeCell ref="G14:K14"/>
    <mergeCell ref="B15:C15"/>
    <mergeCell ref="D15:E15"/>
    <mergeCell ref="N5:Q6"/>
    <mergeCell ref="L6:M6"/>
    <mergeCell ref="S11:S14"/>
    <mergeCell ref="L14:Q14"/>
    <mergeCell ref="D2:H2"/>
    <mergeCell ref="K2:L2"/>
    <mergeCell ref="O2:Q2"/>
    <mergeCell ref="D3:E3"/>
    <mergeCell ref="K3:L3"/>
    <mergeCell ref="O3:Q3"/>
    <mergeCell ref="B5:E5"/>
  </mergeCells>
  <conditionalFormatting sqref="C35:D35">
    <cfRule type="expression" dxfId="5" priority="1" stopIfTrue="1">
      <formula>AND(ISNUMBER($C$35),$C$35&lt;80)</formula>
    </cfRule>
  </conditionalFormatting>
  <conditionalFormatting sqref="C35:D35">
    <cfRule type="expression" dxfId="4" priority="2" stopIfTrue="1">
      <formula>AND(ISNUMBER($C$35),$C$35&gt;120)</formula>
    </cfRule>
  </conditionalFormatting>
  <conditionalFormatting sqref="L35:M35">
    <cfRule type="expression" dxfId="3" priority="3" stopIfTrue="1">
      <formula>AND(ISNUMBER($L$35),$L$35&lt;2.25)</formula>
    </cfRule>
  </conditionalFormatting>
  <conditionalFormatting sqref="L35:M35">
    <cfRule type="expression" dxfId="2" priority="4" stopIfTrue="1">
      <formula>AND(ISNUMBER($L$35),$L$35&gt;2.75)</formula>
    </cfRule>
  </conditionalFormatting>
  <conditionalFormatting sqref="L34:M34">
    <cfRule type="expression" dxfId="1" priority="5" stopIfTrue="1">
      <formula>AND(ISNUMBER($L$34),$L$34&lt;9)</formula>
    </cfRule>
  </conditionalFormatting>
  <conditionalFormatting sqref="L34:M34">
    <cfRule type="expression" dxfId="0" priority="6" stopIfTrue="1">
      <formula>AND(ISNUMBER($L$34),$L$34&gt;11)</formula>
    </cfRule>
  </conditionalFormatting>
  <printOptions horizontalCentered="1" verticalCentered="1"/>
  <pageMargins left="0.25" right="0.25" top="0.75" bottom="0.5" header="0" footer="0"/>
  <pageSetup orientation="portrait"/>
  <headerFooter>
    <oddHeader>&amp;CSpreadsheet for U.S. EPA Method 201A - Determination of Filterable PM10 and PM2.5 Emissions TEST RESULTS and DATA ANALYSIS SHEET</oddHeader>
    <oddFooter>&amp;CCopyright 2017 by Environmental Supply Company, Inc.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138</vt:i4>
      </vt:variant>
    </vt:vector>
  </HeadingPairs>
  <TitlesOfParts>
    <vt:vector size="146" baseType="lpstr">
      <vt:lpstr>Notes</vt:lpstr>
      <vt:lpstr>Pre-Test</vt:lpstr>
      <vt:lpstr>Run 1</vt:lpstr>
      <vt:lpstr>Run 2</vt:lpstr>
      <vt:lpstr>Run 3</vt:lpstr>
      <vt:lpstr>Results - Run 1</vt:lpstr>
      <vt:lpstr>Results - Run 2</vt:lpstr>
      <vt:lpstr>Results - Run 3</vt:lpstr>
      <vt:lpstr>_</vt:lpstr>
      <vt:lpstr>A</vt:lpstr>
      <vt:lpstr>Ai</vt:lpstr>
      <vt:lpstr>An</vt:lpstr>
      <vt:lpstr>Bws_1</vt:lpstr>
      <vt:lpstr>Bws_2</vt:lpstr>
      <vt:lpstr>Bws_3</vt:lpstr>
      <vt:lpstr>Bwse</vt:lpstr>
      <vt:lpstr>Ca_1</vt:lpstr>
      <vt:lpstr>Ca_2</vt:lpstr>
      <vt:lpstr>Ca_3</vt:lpstr>
      <vt:lpstr>Cf_1</vt:lpstr>
      <vt:lpstr>Cf_2</vt:lpstr>
      <vt:lpstr>Cf_3</vt:lpstr>
      <vt:lpstr>Cfe</vt:lpstr>
      <vt:lpstr>COO</vt:lpstr>
      <vt:lpstr>Cp</vt:lpstr>
      <vt:lpstr>Cpp</vt:lpstr>
      <vt:lpstr>D50I_1</vt:lpstr>
      <vt:lpstr>D50I_2</vt:lpstr>
      <vt:lpstr>D50I_3</vt:lpstr>
      <vt:lpstr>D50IV_1</vt:lpstr>
      <vt:lpstr>D50IV_2</vt:lpstr>
      <vt:lpstr>D50IV_3</vt:lpstr>
      <vt:lpstr>D50LL</vt:lpstr>
      <vt:lpstr>D50LLh</vt:lpstr>
      <vt:lpstr>D50T</vt:lpstr>
      <vt:lpstr>Date</vt:lpstr>
      <vt:lpstr>dH_1</vt:lpstr>
      <vt:lpstr>dH_2</vt:lpstr>
      <vt:lpstr>dH_3</vt:lpstr>
      <vt:lpstr>dHa</vt:lpstr>
      <vt:lpstr>dHe</vt:lpstr>
      <vt:lpstr>dHh</vt:lpstr>
      <vt:lpstr>dHh_2</vt:lpstr>
      <vt:lpstr>dHh_3</vt:lpstr>
      <vt:lpstr>dHl</vt:lpstr>
      <vt:lpstr>dHl_2</vt:lpstr>
      <vt:lpstr>dHl_3</vt:lpstr>
      <vt:lpstr>Dn</vt:lpstr>
      <vt:lpstr>dP_1</vt:lpstr>
      <vt:lpstr>dP_2</vt:lpstr>
      <vt:lpstr>dP_3</vt:lpstr>
      <vt:lpstr>dPsqavg_1</vt:lpstr>
      <vt:lpstr>dPsqavg_2</vt:lpstr>
      <vt:lpstr>dPsqavg_3</vt:lpstr>
      <vt:lpstr>Kp</vt:lpstr>
      <vt:lpstr>M1_1</vt:lpstr>
      <vt:lpstr>M1_2</vt:lpstr>
      <vt:lpstr>M1_3</vt:lpstr>
      <vt:lpstr>M2_1</vt:lpstr>
      <vt:lpstr>M2_2</vt:lpstr>
      <vt:lpstr>M2_3</vt:lpstr>
      <vt:lpstr>M3_1</vt:lpstr>
      <vt:lpstr>M3_2</vt:lpstr>
      <vt:lpstr>M3_3</vt:lpstr>
      <vt:lpstr>M4_1</vt:lpstr>
      <vt:lpstr>M4_2</vt:lpstr>
      <vt:lpstr>M4_3</vt:lpstr>
      <vt:lpstr>MB</vt:lpstr>
      <vt:lpstr>Md</vt:lpstr>
      <vt:lpstr>Mw_1</vt:lpstr>
      <vt:lpstr>Mw_2</vt:lpstr>
      <vt:lpstr>Mw_3</vt:lpstr>
      <vt:lpstr>Mwe</vt:lpstr>
      <vt:lpstr>N_1</vt:lpstr>
      <vt:lpstr>N_2</vt:lpstr>
      <vt:lpstr>N_3</vt:lpstr>
      <vt:lpstr>NN</vt:lpstr>
      <vt:lpstr>Nr_1</vt:lpstr>
      <vt:lpstr>Nr_2</vt:lpstr>
      <vt:lpstr>Nr_3</vt:lpstr>
      <vt:lpstr>Nre</vt:lpstr>
      <vt:lpstr>OO</vt:lpstr>
      <vt:lpstr>Pbar_1</vt:lpstr>
      <vt:lpstr>Pbar_2</vt:lpstr>
      <vt:lpstr>Pbar_3</vt:lpstr>
      <vt:lpstr>Pbarp</vt:lpstr>
      <vt:lpstr>Pg_1</vt:lpstr>
      <vt:lpstr>Pg_2</vt:lpstr>
      <vt:lpstr>Pg_3</vt:lpstr>
      <vt:lpstr>Pgp</vt:lpstr>
      <vt:lpstr>Ps_1</vt:lpstr>
      <vt:lpstr>Ps_2</vt:lpstr>
      <vt:lpstr>Ps_3</vt:lpstr>
      <vt:lpstr>Psp</vt:lpstr>
      <vt:lpstr>Pstd</vt:lpstr>
      <vt:lpstr>Qs_1</vt:lpstr>
      <vt:lpstr>Qs_2</vt:lpstr>
      <vt:lpstr>Qs_3</vt:lpstr>
      <vt:lpstr>Qsd_1</vt:lpstr>
      <vt:lpstr>Qsd_2</vt:lpstr>
      <vt:lpstr>Qsd_3</vt:lpstr>
      <vt:lpstr>Qse</vt:lpstr>
      <vt:lpstr>Qsst_1</vt:lpstr>
      <vt:lpstr>Qsst_2</vt:lpstr>
      <vt:lpstr>Qsst_3</vt:lpstr>
      <vt:lpstr>Qsw_1</vt:lpstr>
      <vt:lpstr>Qsw_2</vt:lpstr>
      <vt:lpstr>Qsw_3</vt:lpstr>
      <vt:lpstr>Time_1</vt:lpstr>
      <vt:lpstr>Time_2</vt:lpstr>
      <vt:lpstr>Time_3</vt:lpstr>
      <vt:lpstr>Tm_1</vt:lpstr>
      <vt:lpstr>Tm_2</vt:lpstr>
      <vt:lpstr>Tm_3</vt:lpstr>
      <vt:lpstr>Tme</vt:lpstr>
      <vt:lpstr>Tr_1</vt:lpstr>
      <vt:lpstr>Tr_2</vt:lpstr>
      <vt:lpstr>Tr_3</vt:lpstr>
      <vt:lpstr>Ts_1</vt:lpstr>
      <vt:lpstr>Ts_2</vt:lpstr>
      <vt:lpstr>Ts_3</vt:lpstr>
      <vt:lpstr>Tse</vt:lpstr>
      <vt:lpstr>Tsh</vt:lpstr>
      <vt:lpstr>Tsh_2</vt:lpstr>
      <vt:lpstr>Tsh_3</vt:lpstr>
      <vt:lpstr>Tsl</vt:lpstr>
      <vt:lpstr>Tsl_2</vt:lpstr>
      <vt:lpstr>Tsl_3</vt:lpstr>
      <vt:lpstr>Tstd</vt:lpstr>
      <vt:lpstr>vis_1</vt:lpstr>
      <vt:lpstr>vis_2</vt:lpstr>
      <vt:lpstr>vis_3</vt:lpstr>
      <vt:lpstr>vise</vt:lpstr>
      <vt:lpstr>Vm_1</vt:lpstr>
      <vt:lpstr>Vm_2</vt:lpstr>
      <vt:lpstr>Vm_3</vt:lpstr>
      <vt:lpstr>Vms_1</vt:lpstr>
      <vt:lpstr>Vms_2</vt:lpstr>
      <vt:lpstr>Vms_3</vt:lpstr>
      <vt:lpstr>Vs_1</vt:lpstr>
      <vt:lpstr>Vs_2</vt:lpstr>
      <vt:lpstr>Vs_3</vt:lpstr>
      <vt:lpstr>Vws_1</vt:lpstr>
      <vt:lpstr>Vws_2</vt:lpstr>
      <vt:lpstr>Vws_3</vt:lpstr>
      <vt:lpstr>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2021-04-03T05:13:24Z</dcterms:modified>
</cp:coreProperties>
</file>