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9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\\Enviro-srv1\ESC\ES Files\Spreadsheets\PM10-2.5\"/>
    </mc:Choice>
  </mc:AlternateContent>
  <bookViews>
    <workbookView xWindow="-15" yWindow="-15" windowWidth="21570" windowHeight="5430" tabRatio="800" activeTab="2"/>
  </bookViews>
  <sheets>
    <sheet name="Notes" sheetId="7" r:id="rId1"/>
    <sheet name="Pre-Test" sheetId="8" r:id="rId2"/>
    <sheet name="Run 1" sheetId="1" r:id="rId3"/>
    <sheet name="Run 2" sheetId="10" r:id="rId4"/>
    <sheet name="Run 3" sheetId="11" r:id="rId5"/>
    <sheet name="Results - Run 1" sheetId="9" r:id="rId6"/>
    <sheet name="Results - Run 2" sheetId="12" r:id="rId7"/>
    <sheet name="Results - Run 3" sheetId="13" r:id="rId8"/>
  </sheets>
  <definedNames>
    <definedName name="_">'Results - Run 1'!$O$17</definedName>
    <definedName name="A">'Pre-Test'!$D$11</definedName>
    <definedName name="Ai">'Pre-Test'!$D$12</definedName>
    <definedName name="An">'Pre-Test'!$Q$14</definedName>
    <definedName name="Bws_1">'Results - Run 1'!$O$23</definedName>
    <definedName name="Bws_2">'Results - Run 2'!$O$23</definedName>
    <definedName name="Bws_3">'Results - Run 3'!$O$23</definedName>
    <definedName name="Bwse">'Pre-Test'!$D$7</definedName>
    <definedName name="Ca_1">'Results - Run 1'!$O$30</definedName>
    <definedName name="Ca_2">'Results - Run 2'!$O$30</definedName>
    <definedName name="Ca_3">'Results - Run 3'!$O$30</definedName>
    <definedName name="Cf_1">'Results - Run 1'!$L$33</definedName>
    <definedName name="Cf_2">'Results - Run 2'!$L$33</definedName>
    <definedName name="Cf_3">'Results - Run 3'!$L$33</definedName>
    <definedName name="Cfe">'Pre-Test'!$L$8</definedName>
    <definedName name="COO">'Pre-Test'!$G$7</definedName>
    <definedName name="Cp">'Pre-Test'!$P$12</definedName>
    <definedName name="Cpp">'Pre-Test'!$P$11</definedName>
    <definedName name="D50I_1">'Results - Run 1'!$L$34</definedName>
    <definedName name="D50I_2">'Results - Run 2'!$L$34</definedName>
    <definedName name="D50I_3">'Results - Run 3'!$L$34</definedName>
    <definedName name="D50IV_1">'Results - Run 1'!$L$35</definedName>
    <definedName name="D50IV_2">'Results - Run 2'!$L$35</definedName>
    <definedName name="D50IV_3">'Results - Run 3'!$L$35</definedName>
    <definedName name="D50LL">'Pre-Test'!$L$9</definedName>
    <definedName name="D50LLh">'Pre-Test'!$L$10</definedName>
    <definedName name="D50T">'Pre-Test'!$L$11</definedName>
    <definedName name="Date">'Results - Run 2'!$D$3</definedName>
    <definedName name="dH_1">'Run 1'!$N$48</definedName>
    <definedName name="dH_2">'Run 2'!$N$48</definedName>
    <definedName name="dH_3">'Run 3'!$N$48</definedName>
    <definedName name="dHa">'Pre-Test'!$Q$9</definedName>
    <definedName name="dHe">'Pre-Test'!$L$14</definedName>
    <definedName name="dHh">'Run 1'!$Q$9</definedName>
    <definedName name="dHh_2">'Run 2'!$Q$9</definedName>
    <definedName name="dHh_3">'Run 3'!$Q$9</definedName>
    <definedName name="dHl">'Run 1'!$O$9</definedName>
    <definedName name="dHl_2">'Run 2'!$O$9</definedName>
    <definedName name="dHl_3">'Run 3'!$O$9</definedName>
    <definedName name="Dn">'Pre-Test'!$Q$13</definedName>
    <definedName name="dP_1">'Run 1'!$F$48</definedName>
    <definedName name="dP_2">'Run 2'!$F$48</definedName>
    <definedName name="dP_3">'Run 3'!$F$48</definedName>
    <definedName name="dPsqavg_1">'Run 1'!$U$44</definedName>
    <definedName name="dPsqavg_2">'Run 2'!$U$44</definedName>
    <definedName name="dPsqavg_3">'Run 3'!$U$44</definedName>
    <definedName name="Kp">'Pre-Test'!$Y$11</definedName>
    <definedName name="M1_1">'Results - Run 1'!$D$19</definedName>
    <definedName name="M1_2">'Results - Run 2'!$D$19</definedName>
    <definedName name="M1_3">'Results - Run 3'!$D$19</definedName>
    <definedName name="M2_1">'Results - Run 1'!$D$25</definedName>
    <definedName name="M2_2">'Results - Run 2'!$D$25</definedName>
    <definedName name="M2_3">'Results - Run 3'!$D$25</definedName>
    <definedName name="M3_1">'Results - Run 1'!$I$25</definedName>
    <definedName name="M3_2">'Results - Run 2'!$I$25</definedName>
    <definedName name="M3_3">'Results - Run 3'!$I$25</definedName>
    <definedName name="M4_1">'Results - Run 1'!$I$19</definedName>
    <definedName name="M4_2">'Results - Run 2'!$I$19</definedName>
    <definedName name="M4_3">'Results - Run 3'!$I$19</definedName>
    <definedName name="MB">'Pre-Test'!$Q$7</definedName>
    <definedName name="Md">'Pre-Test'!$G$10</definedName>
    <definedName name="Mw_1">'Results - Run 1'!$H$10</definedName>
    <definedName name="Mw_2">'Results - Run 2'!$H$10</definedName>
    <definedName name="Mw_3">'Results - Run 3'!$H$10</definedName>
    <definedName name="Mwe">'Pre-Test'!$G$11</definedName>
    <definedName name="N_1">'Run 1'!$H$13</definedName>
    <definedName name="N_2">'Run 2'!$H$13</definedName>
    <definedName name="N_3">'Run 3'!$H$13</definedName>
    <definedName name="NN">'Pre-Test'!$G$9</definedName>
    <definedName name="Nr_1">'Results - Run 1'!$C$36</definedName>
    <definedName name="Nr_2">'Results - Run 2'!$C$36</definedName>
    <definedName name="Nr_3">'Results - Run 3'!$C$36</definedName>
    <definedName name="Nre">'Pre-Test'!$L$13</definedName>
    <definedName name="OO">'Pre-Test'!$G$8</definedName>
    <definedName name="Pbar_1">'Run 1'!$D$7</definedName>
    <definedName name="Pbar_2">'Run 2'!$D$7</definedName>
    <definedName name="Pbar_3">'Run 3'!$D$7</definedName>
    <definedName name="Pbarp">'Pre-Test'!$D$8</definedName>
    <definedName name="Pg_1">'Run 1'!$D$8</definedName>
    <definedName name="Pg_2">'Run 2'!$D$8</definedName>
    <definedName name="Pg_3">'Run 3'!$D$8</definedName>
    <definedName name="Pgp">'Pre-Test'!$D$9</definedName>
    <definedName name="_xlnm.Print_Area" localSheetId="0">Notes!$A$1:$J$35</definedName>
    <definedName name="_xlnm.Print_Area" localSheetId="1">'Pre-Test'!$A$1:$S$53</definedName>
    <definedName name="_xlnm.Print_Area" localSheetId="5">'Results - Run 1'!$A$1:$R$51</definedName>
    <definedName name="_xlnm.Print_Area" localSheetId="6">'Results - Run 2'!$A$1:$R$51</definedName>
    <definedName name="_xlnm.Print_Area" localSheetId="7">'Results - Run 3'!$A$1:$R$51</definedName>
    <definedName name="_xlnm.Print_Area" localSheetId="2">'Run 1'!$A$1:$S$56</definedName>
    <definedName name="_xlnm.Print_Area" localSheetId="3">'Run 2'!$A$1:$S$56</definedName>
    <definedName name="_xlnm.Print_Area" localSheetId="4">'Run 3'!$A$1:$S$56</definedName>
    <definedName name="Ps_1">'Run 1'!$D$9</definedName>
    <definedName name="Ps_2">'Run 2'!$D$9</definedName>
    <definedName name="Ps_3">'Run 3'!$D$9</definedName>
    <definedName name="Psp">'Pre-Test'!$D$10</definedName>
    <definedName name="Pstd">'Pre-Test'!$F$14</definedName>
    <definedName name="Qs_1">'Results - Run 1'!$C$34</definedName>
    <definedName name="Qs_2">'Results - Run 2'!$C$34</definedName>
    <definedName name="Qs_3">'Results - Run 3'!$C$34</definedName>
    <definedName name="Qsd_1">'Results - Run 1'!$L$36</definedName>
    <definedName name="Qsd_2">'Results - Run 2'!$L$36</definedName>
    <definedName name="Qsd_3">'Results - Run 3'!$L$36</definedName>
    <definedName name="Qse">'Pre-Test'!$L$12</definedName>
    <definedName name="Qsst_1">'Results - Run 1'!$C$33</definedName>
    <definedName name="Qsst_2">'Results - Run 2'!$C$33</definedName>
    <definedName name="Qsst_3">'Results - Run 3'!$C$33</definedName>
    <definedName name="Qsw_1">'Results - Run 1'!$L$37</definedName>
    <definedName name="Qsw_2">'Results - Run 2'!$L$37</definedName>
    <definedName name="Qsw_3">'Results - Run 3'!$L$37</definedName>
    <definedName name="Time_1">'Run 1'!$B$48</definedName>
    <definedName name="Time_2">'Run 2'!$B$48</definedName>
    <definedName name="Time_3">'Run 3'!$B$48</definedName>
    <definedName name="Tm_1">'Run 1'!$I$47</definedName>
    <definedName name="Tm_2">'Run 2'!$I$47</definedName>
    <definedName name="Tm_3">'Run 3'!$I$47</definedName>
    <definedName name="Tme">'Pre-Test'!$Q$10</definedName>
    <definedName name="Tr_1">'Run 1'!$H$14</definedName>
    <definedName name="Tr_2">'Run 2'!$H$14</definedName>
    <definedName name="Tr_3">'Run 3'!$H$14</definedName>
    <definedName name="Ts_1">'Run 1'!$K$47</definedName>
    <definedName name="Ts_2">'Run 2'!$K$47</definedName>
    <definedName name="Ts_3">'Run 3'!$K$47</definedName>
    <definedName name="Tse">'Pre-Test'!$I$46</definedName>
    <definedName name="Tsh">'Run 1'!$Q$6</definedName>
    <definedName name="Tsh_2">'Run 2'!$Q$6</definedName>
    <definedName name="Tsh_3">'Run 3'!$Q$6</definedName>
    <definedName name="Tsl">'Run 1'!$O$6</definedName>
    <definedName name="Tsl_2">'Run 2'!$O$6</definedName>
    <definedName name="Tsl_3">'Run 3'!$O$6</definedName>
    <definedName name="Tstd">'Pre-Test'!$F$15</definedName>
    <definedName name="vis_1">'Results - Run 1'!$L$32</definedName>
    <definedName name="vis_2">'Results - Run 2'!$L$32</definedName>
    <definedName name="vis_3">'Results - Run 3'!$L$32</definedName>
    <definedName name="vise">'Pre-Test'!$L$7</definedName>
    <definedName name="Vm_1">'Run 1'!$D$48</definedName>
    <definedName name="Vm_2">'Run 2'!$D$48</definedName>
    <definedName name="Vm_3">'Run 3'!$D$48</definedName>
    <definedName name="Vms_1">'Results - Run 1'!$C$31</definedName>
    <definedName name="Vms_2">'Results - Run 2'!$C$31</definedName>
    <definedName name="Vms_3">'Results - Run 3'!$C$31</definedName>
    <definedName name="Vs_1">'Results - Run 1'!$C$37</definedName>
    <definedName name="Vs_2">'Results - Run 2'!$C$37</definedName>
    <definedName name="Vs_3">'Results - Run 3'!$C$37</definedName>
    <definedName name="Vws_1">'Results - Run 1'!$O$22</definedName>
    <definedName name="Vws_2">'Results - Run 2'!$O$22</definedName>
    <definedName name="Vws_3">'Results - Run 3'!$O$22</definedName>
    <definedName name="Y">'Pre-Test'!$Q$8</definedName>
  </definedNames>
  <calcPr calcId="171027"/>
</workbook>
</file>

<file path=xl/calcChain.xml><?xml version="1.0" encoding="utf-8"?>
<calcChain xmlns="http://schemas.openxmlformats.org/spreadsheetml/2006/main">
  <c r="I25" i="13" l="1"/>
  <c r="D25" i="13"/>
  <c r="I19" i="13"/>
  <c r="D19" i="13"/>
  <c r="I25" i="12"/>
  <c r="I19" i="12"/>
  <c r="D25" i="12"/>
  <c r="D19" i="12"/>
  <c r="I25" i="9"/>
  <c r="D25" i="9"/>
  <c r="I19" i="9"/>
  <c r="D19" i="9"/>
  <c r="K3" i="13" l="1"/>
  <c r="K2" i="13"/>
  <c r="D12" i="8" l="1"/>
  <c r="C43" i="11" l="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J22" i="11" l="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21" i="11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21" i="10"/>
  <c r="G9" i="8"/>
  <c r="G10" i="8" s="1"/>
  <c r="D13" i="10" s="1"/>
  <c r="D10" i="8"/>
  <c r="Q14" i="8"/>
  <c r="F15" i="8"/>
  <c r="F22" i="8"/>
  <c r="G22" i="8" s="1"/>
  <c r="U22" i="8"/>
  <c r="U46" i="8" s="1"/>
  <c r="V22" i="8"/>
  <c r="B23" i="8"/>
  <c r="F23" i="8"/>
  <c r="G23" i="8" s="1"/>
  <c r="U23" i="8"/>
  <c r="V23" i="8"/>
  <c r="B24" i="8"/>
  <c r="F24" i="8"/>
  <c r="G24" i="8" s="1"/>
  <c r="U24" i="8"/>
  <c r="V24" i="8"/>
  <c r="B25" i="8"/>
  <c r="F25" i="8"/>
  <c r="G25" i="8" s="1"/>
  <c r="U25" i="8"/>
  <c r="V25" i="8"/>
  <c r="B26" i="8"/>
  <c r="F26" i="8"/>
  <c r="G26" i="8" s="1"/>
  <c r="U26" i="8"/>
  <c r="V26" i="8"/>
  <c r="B27" i="8"/>
  <c r="F27" i="8"/>
  <c r="G27" i="8" s="1"/>
  <c r="U27" i="8"/>
  <c r="V27" i="8"/>
  <c r="B28" i="8"/>
  <c r="F28" i="8"/>
  <c r="G28" i="8" s="1"/>
  <c r="U28" i="8"/>
  <c r="V28" i="8"/>
  <c r="B29" i="8"/>
  <c r="F29" i="8"/>
  <c r="G29" i="8" s="1"/>
  <c r="U29" i="8"/>
  <c r="V29" i="8"/>
  <c r="B30" i="8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F30" i="8"/>
  <c r="G30" i="8" s="1"/>
  <c r="U30" i="8"/>
  <c r="V30" i="8"/>
  <c r="F31" i="8"/>
  <c r="G31" i="8" s="1"/>
  <c r="U31" i="8"/>
  <c r="V31" i="8"/>
  <c r="F32" i="8"/>
  <c r="G32" i="8" s="1"/>
  <c r="U32" i="8"/>
  <c r="V32" i="8"/>
  <c r="F33" i="8"/>
  <c r="G33" i="8" s="1"/>
  <c r="U33" i="8"/>
  <c r="V33" i="8"/>
  <c r="F34" i="8"/>
  <c r="G34" i="8" s="1"/>
  <c r="U34" i="8"/>
  <c r="V34" i="8"/>
  <c r="F35" i="8"/>
  <c r="G35" i="8" s="1"/>
  <c r="U35" i="8"/>
  <c r="V35" i="8"/>
  <c r="F36" i="8"/>
  <c r="G36" i="8" s="1"/>
  <c r="U36" i="8"/>
  <c r="V36" i="8"/>
  <c r="F37" i="8"/>
  <c r="G37" i="8" s="1"/>
  <c r="U37" i="8"/>
  <c r="V37" i="8"/>
  <c r="F38" i="8"/>
  <c r="G38" i="8" s="1"/>
  <c r="U38" i="8"/>
  <c r="V38" i="8"/>
  <c r="F39" i="8"/>
  <c r="G39" i="8" s="1"/>
  <c r="U39" i="8"/>
  <c r="V39" i="8"/>
  <c r="F40" i="8"/>
  <c r="G40" i="8" s="1"/>
  <c r="U40" i="8"/>
  <c r="V40" i="8"/>
  <c r="F41" i="8"/>
  <c r="G41" i="8" s="1"/>
  <c r="U41" i="8"/>
  <c r="V41" i="8"/>
  <c r="F42" i="8"/>
  <c r="G42" i="8" s="1"/>
  <c r="U42" i="8"/>
  <c r="V42" i="8"/>
  <c r="F43" i="8"/>
  <c r="G43" i="8" s="1"/>
  <c r="U43" i="8"/>
  <c r="V43" i="8"/>
  <c r="F44" i="8"/>
  <c r="G44" i="8" s="1"/>
  <c r="U44" i="8"/>
  <c r="V44" i="8"/>
  <c r="F45" i="8"/>
  <c r="G45" i="8" s="1"/>
  <c r="U45" i="8"/>
  <c r="V45" i="8"/>
  <c r="E46" i="8"/>
  <c r="I46" i="8"/>
  <c r="L7" i="8" s="1"/>
  <c r="D2" i="9"/>
  <c r="K2" i="9"/>
  <c r="O2" i="9"/>
  <c r="D3" i="9"/>
  <c r="K3" i="9"/>
  <c r="O3" i="9"/>
  <c r="D6" i="9"/>
  <c r="H6" i="9"/>
  <c r="L6" i="9"/>
  <c r="D7" i="9"/>
  <c r="H7" i="9"/>
  <c r="L7" i="9"/>
  <c r="D8" i="9"/>
  <c r="L8" i="9"/>
  <c r="K9" i="9"/>
  <c r="M9" i="9"/>
  <c r="D10" i="9"/>
  <c r="K10" i="9"/>
  <c r="M10" i="9"/>
  <c r="D11" i="9"/>
  <c r="L11" i="9"/>
  <c r="P11" i="9"/>
  <c r="P12" i="9"/>
  <c r="O17" i="9"/>
  <c r="O18" i="9" s="1"/>
  <c r="D18" i="9"/>
  <c r="I18" i="9"/>
  <c r="O20" i="9"/>
  <c r="O22" i="9" s="1"/>
  <c r="D24" i="9"/>
  <c r="I24" i="9"/>
  <c r="E42" i="9"/>
  <c r="L42" i="9" s="1"/>
  <c r="O30" i="9"/>
  <c r="D2" i="12"/>
  <c r="K2" i="12"/>
  <c r="O2" i="12"/>
  <c r="D3" i="12"/>
  <c r="K3" i="12"/>
  <c r="O3" i="12"/>
  <c r="D6" i="12"/>
  <c r="H6" i="12"/>
  <c r="L6" i="12"/>
  <c r="D7" i="12"/>
  <c r="H7" i="12"/>
  <c r="L7" i="12"/>
  <c r="D8" i="12"/>
  <c r="L8" i="12"/>
  <c r="K9" i="12"/>
  <c r="M9" i="12"/>
  <c r="D10" i="12"/>
  <c r="K10" i="12"/>
  <c r="M10" i="12"/>
  <c r="D11" i="12"/>
  <c r="L11" i="12"/>
  <c r="P11" i="12"/>
  <c r="P12" i="12"/>
  <c r="O17" i="12"/>
  <c r="O18" i="12" s="1"/>
  <c r="D18" i="12"/>
  <c r="I18" i="12"/>
  <c r="E40" i="12"/>
  <c r="L40" i="12" s="1"/>
  <c r="O20" i="12"/>
  <c r="O22" i="12"/>
  <c r="O23" i="12" s="1"/>
  <c r="L32" i="12" s="1"/>
  <c r="C36" i="12" s="1"/>
  <c r="D24" i="12"/>
  <c r="I24" i="12"/>
  <c r="O30" i="12"/>
  <c r="D2" i="13"/>
  <c r="O2" i="13"/>
  <c r="D3" i="13"/>
  <c r="O3" i="13"/>
  <c r="D6" i="13"/>
  <c r="H6" i="13"/>
  <c r="L6" i="13"/>
  <c r="D7" i="13"/>
  <c r="H7" i="13"/>
  <c r="L7" i="13"/>
  <c r="D8" i="13"/>
  <c r="L8" i="13"/>
  <c r="K9" i="13"/>
  <c r="M9" i="13"/>
  <c r="D10" i="13"/>
  <c r="K10" i="13"/>
  <c r="M10" i="13"/>
  <c r="D11" i="13"/>
  <c r="L11" i="13"/>
  <c r="P11" i="13"/>
  <c r="P12" i="13"/>
  <c r="O17" i="13"/>
  <c r="O18" i="13" s="1"/>
  <c r="D18" i="13"/>
  <c r="I18" i="13"/>
  <c r="O20" i="13"/>
  <c r="O22" i="13" s="1"/>
  <c r="C32" i="13" s="1"/>
  <c r="D24" i="13"/>
  <c r="I24" i="13"/>
  <c r="E44" i="13"/>
  <c r="L44" i="13" s="1"/>
  <c r="O30" i="13"/>
  <c r="D2" i="1"/>
  <c r="O3" i="1"/>
  <c r="D6" i="1"/>
  <c r="H6" i="1"/>
  <c r="M6" i="1"/>
  <c r="H7" i="1"/>
  <c r="H8" i="1"/>
  <c r="D9" i="1"/>
  <c r="D9" i="9" s="1"/>
  <c r="G9" i="1"/>
  <c r="I9" i="1"/>
  <c r="D10" i="1"/>
  <c r="G10" i="1"/>
  <c r="I10" i="1"/>
  <c r="D11" i="1"/>
  <c r="H11" i="1"/>
  <c r="H12" i="1"/>
  <c r="L14" i="1"/>
  <c r="N14" i="1"/>
  <c r="D15" i="1"/>
  <c r="H15" i="1"/>
  <c r="U20" i="1"/>
  <c r="U44" i="1" s="1"/>
  <c r="W20" i="1"/>
  <c r="Y20" i="1"/>
  <c r="U21" i="1"/>
  <c r="W21" i="1"/>
  <c r="X21" i="1" s="1"/>
  <c r="Y21" i="1"/>
  <c r="Z21" i="1" s="1"/>
  <c r="J22" i="1"/>
  <c r="P22" i="1"/>
  <c r="Q22" i="1" s="1"/>
  <c r="U22" i="1"/>
  <c r="V22" i="1"/>
  <c r="W22" i="1"/>
  <c r="X22" i="1" s="1"/>
  <c r="Y22" i="1"/>
  <c r="J23" i="1"/>
  <c r="P23" i="1"/>
  <c r="AE23" i="1" s="1"/>
  <c r="AH23" i="1" s="1"/>
  <c r="AF23" i="1" s="1"/>
  <c r="AC23" i="1" s="1"/>
  <c r="U23" i="1"/>
  <c r="V23" i="1" s="1"/>
  <c r="W23" i="1"/>
  <c r="X23" i="1" s="1"/>
  <c r="Y23" i="1"/>
  <c r="AA23" i="1" s="1"/>
  <c r="J24" i="1"/>
  <c r="P24" i="1"/>
  <c r="R24" i="1" s="1"/>
  <c r="U24" i="1"/>
  <c r="V24" i="1" s="1"/>
  <c r="W24" i="1"/>
  <c r="X24" i="1" s="1"/>
  <c r="Y24" i="1"/>
  <c r="Z24" i="1" s="1"/>
  <c r="J25" i="1"/>
  <c r="P25" i="1"/>
  <c r="AE25" i="1" s="1"/>
  <c r="AH25" i="1" s="1"/>
  <c r="AF25" i="1" s="1"/>
  <c r="AC25" i="1" s="1"/>
  <c r="U25" i="1"/>
  <c r="V25" i="1" s="1"/>
  <c r="W25" i="1"/>
  <c r="X25" i="1" s="1"/>
  <c r="Y25" i="1"/>
  <c r="Z25" i="1" s="1"/>
  <c r="J26" i="1"/>
  <c r="P26" i="1"/>
  <c r="Q26" i="1" s="1"/>
  <c r="U26" i="1"/>
  <c r="V26" i="1" s="1"/>
  <c r="W26" i="1"/>
  <c r="X26" i="1" s="1"/>
  <c r="Y26" i="1"/>
  <c r="AA26" i="1" s="1"/>
  <c r="J27" i="1"/>
  <c r="P27" i="1"/>
  <c r="AE27" i="1" s="1"/>
  <c r="U27" i="1"/>
  <c r="V27" i="1"/>
  <c r="W27" i="1"/>
  <c r="X27" i="1" s="1"/>
  <c r="Y27" i="1"/>
  <c r="AA27" i="1" s="1"/>
  <c r="Z27" i="1"/>
  <c r="J28" i="1"/>
  <c r="P28" i="1"/>
  <c r="R28" i="1" s="1"/>
  <c r="U28" i="1"/>
  <c r="V28" i="1"/>
  <c r="W28" i="1"/>
  <c r="X28" i="1" s="1"/>
  <c r="Y28" i="1"/>
  <c r="Z28" i="1" s="1"/>
  <c r="J29" i="1"/>
  <c r="P29" i="1"/>
  <c r="AE29" i="1" s="1"/>
  <c r="AI29" i="1" s="1"/>
  <c r="AG29" i="1" s="1"/>
  <c r="AD29" i="1" s="1"/>
  <c r="U29" i="1"/>
  <c r="V29" i="1" s="1"/>
  <c r="W29" i="1"/>
  <c r="X29" i="1" s="1"/>
  <c r="Y29" i="1"/>
  <c r="Z29" i="1" s="1"/>
  <c r="J30" i="1"/>
  <c r="P30" i="1"/>
  <c r="Q30" i="1" s="1"/>
  <c r="U30" i="1"/>
  <c r="V30" i="1" s="1"/>
  <c r="W30" i="1"/>
  <c r="X30" i="1" s="1"/>
  <c r="Y30" i="1"/>
  <c r="AA30" i="1" s="1"/>
  <c r="J31" i="1"/>
  <c r="P31" i="1"/>
  <c r="AE31" i="1" s="1"/>
  <c r="AI31" i="1" s="1"/>
  <c r="AG31" i="1" s="1"/>
  <c r="AD31" i="1" s="1"/>
  <c r="U31" i="1"/>
  <c r="V31" i="1"/>
  <c r="W31" i="1"/>
  <c r="X31" i="1" s="1"/>
  <c r="Y31" i="1"/>
  <c r="AA31" i="1" s="1"/>
  <c r="J32" i="1"/>
  <c r="P32" i="1"/>
  <c r="R32" i="1" s="1"/>
  <c r="U32" i="1"/>
  <c r="V32" i="1" s="1"/>
  <c r="W32" i="1"/>
  <c r="X32" i="1" s="1"/>
  <c r="Y32" i="1"/>
  <c r="AA32" i="1" s="1"/>
  <c r="J33" i="1"/>
  <c r="P33" i="1"/>
  <c r="Q33" i="1" s="1"/>
  <c r="U33" i="1"/>
  <c r="V33" i="1" s="1"/>
  <c r="W33" i="1"/>
  <c r="X33" i="1" s="1"/>
  <c r="Y33" i="1"/>
  <c r="Z33" i="1" s="1"/>
  <c r="J34" i="1"/>
  <c r="P34" i="1"/>
  <c r="Q34" i="1" s="1"/>
  <c r="U34" i="1"/>
  <c r="V34" i="1"/>
  <c r="W34" i="1"/>
  <c r="X34" i="1" s="1"/>
  <c r="Y34" i="1"/>
  <c r="J35" i="1"/>
  <c r="P35" i="1"/>
  <c r="AE35" i="1" s="1"/>
  <c r="AH35" i="1" s="1"/>
  <c r="AF35" i="1" s="1"/>
  <c r="AC35" i="1" s="1"/>
  <c r="U35" i="1"/>
  <c r="V35" i="1"/>
  <c r="W35" i="1"/>
  <c r="X35" i="1" s="1"/>
  <c r="Y35" i="1"/>
  <c r="AA35" i="1" s="1"/>
  <c r="J36" i="1"/>
  <c r="P36" i="1"/>
  <c r="R36" i="1" s="1"/>
  <c r="U36" i="1"/>
  <c r="V36" i="1" s="1"/>
  <c r="W36" i="1"/>
  <c r="X36" i="1" s="1"/>
  <c r="Y36" i="1"/>
  <c r="Z36" i="1" s="1"/>
  <c r="J37" i="1"/>
  <c r="P37" i="1"/>
  <c r="AE37" i="1" s="1"/>
  <c r="U37" i="1"/>
  <c r="V37" i="1" s="1"/>
  <c r="W37" i="1"/>
  <c r="X37" i="1" s="1"/>
  <c r="Y37" i="1"/>
  <c r="Z37" i="1" s="1"/>
  <c r="J38" i="1"/>
  <c r="P38" i="1"/>
  <c r="Q38" i="1" s="1"/>
  <c r="U38" i="1"/>
  <c r="V38" i="1" s="1"/>
  <c r="W38" i="1"/>
  <c r="X38" i="1" s="1"/>
  <c r="Y38" i="1"/>
  <c r="AA38" i="1" s="1"/>
  <c r="J39" i="1"/>
  <c r="P39" i="1"/>
  <c r="AE39" i="1" s="1"/>
  <c r="AH39" i="1" s="1"/>
  <c r="AF39" i="1" s="1"/>
  <c r="AC39" i="1" s="1"/>
  <c r="U39" i="1"/>
  <c r="V39" i="1"/>
  <c r="W39" i="1"/>
  <c r="X39" i="1" s="1"/>
  <c r="Y39" i="1"/>
  <c r="AA39" i="1" s="1"/>
  <c r="J40" i="1"/>
  <c r="P40" i="1"/>
  <c r="R40" i="1" s="1"/>
  <c r="U40" i="1"/>
  <c r="V40" i="1" s="1"/>
  <c r="W40" i="1"/>
  <c r="X40" i="1" s="1"/>
  <c r="Y40" i="1"/>
  <c r="Z40" i="1" s="1"/>
  <c r="J41" i="1"/>
  <c r="P41" i="1"/>
  <c r="Q41" i="1" s="1"/>
  <c r="U41" i="1"/>
  <c r="V41" i="1"/>
  <c r="W41" i="1"/>
  <c r="X41" i="1" s="1"/>
  <c r="Y41" i="1"/>
  <c r="AA41" i="1" s="1"/>
  <c r="J42" i="1"/>
  <c r="P42" i="1"/>
  <c r="Q42" i="1" s="1"/>
  <c r="U42" i="1"/>
  <c r="V42" i="1" s="1"/>
  <c r="W42" i="1"/>
  <c r="X42" i="1" s="1"/>
  <c r="Y42" i="1"/>
  <c r="AA42" i="1" s="1"/>
  <c r="J43" i="1"/>
  <c r="P43" i="1"/>
  <c r="AE43" i="1" s="1"/>
  <c r="U43" i="1"/>
  <c r="V43" i="1"/>
  <c r="W43" i="1"/>
  <c r="X43" i="1" s="1"/>
  <c r="Y43" i="1"/>
  <c r="AA43" i="1"/>
  <c r="D48" i="1"/>
  <c r="C30" i="9" s="1"/>
  <c r="F48" i="1"/>
  <c r="P7" i="9"/>
  <c r="I48" i="1"/>
  <c r="I47" i="1" s="1"/>
  <c r="P8" i="9" s="1"/>
  <c r="K48" i="1"/>
  <c r="K47" i="1" s="1"/>
  <c r="P9" i="9" s="1"/>
  <c r="M48" i="1"/>
  <c r="N48" i="1"/>
  <c r="P10" i="9" s="1"/>
  <c r="D2" i="10"/>
  <c r="O3" i="10"/>
  <c r="D6" i="10"/>
  <c r="H6" i="10"/>
  <c r="M6" i="10"/>
  <c r="H7" i="10"/>
  <c r="H8" i="10"/>
  <c r="D9" i="10"/>
  <c r="D9" i="12" s="1"/>
  <c r="G9" i="10"/>
  <c r="I9" i="10"/>
  <c r="D10" i="10"/>
  <c r="G10" i="10"/>
  <c r="I10" i="10"/>
  <c r="D11" i="10"/>
  <c r="H11" i="10"/>
  <c r="H12" i="10"/>
  <c r="L14" i="10"/>
  <c r="N14" i="10"/>
  <c r="D15" i="10"/>
  <c r="H15" i="10"/>
  <c r="U20" i="10"/>
  <c r="W20" i="10"/>
  <c r="X20" i="10" s="1"/>
  <c r="X44" i="10" s="1"/>
  <c r="Y20" i="10"/>
  <c r="Y44" i="10" s="1"/>
  <c r="U21" i="10"/>
  <c r="W21" i="10"/>
  <c r="X21" i="10" s="1"/>
  <c r="Y21" i="10"/>
  <c r="AA21" i="10" s="1"/>
  <c r="P22" i="10"/>
  <c r="AE22" i="10" s="1"/>
  <c r="U22" i="10"/>
  <c r="V22" i="10"/>
  <c r="W22" i="10"/>
  <c r="X22" i="10" s="1"/>
  <c r="Y22" i="10"/>
  <c r="Z22" i="10" s="1"/>
  <c r="P23" i="10"/>
  <c r="R23" i="10" s="1"/>
  <c r="U23" i="10"/>
  <c r="V23" i="10"/>
  <c r="W23" i="10"/>
  <c r="X23" i="10" s="1"/>
  <c r="Y23" i="10"/>
  <c r="Z23" i="10"/>
  <c r="P24" i="10"/>
  <c r="AE24" i="10" s="1"/>
  <c r="U24" i="10"/>
  <c r="V24" i="10" s="1"/>
  <c r="W24" i="10"/>
  <c r="X24" i="10" s="1"/>
  <c r="Y24" i="10"/>
  <c r="Z24" i="10" s="1"/>
  <c r="P25" i="10"/>
  <c r="AE25" i="10" s="1"/>
  <c r="AH25" i="10" s="1"/>
  <c r="AF25" i="10" s="1"/>
  <c r="AC25" i="10" s="1"/>
  <c r="U25" i="10"/>
  <c r="V25" i="10"/>
  <c r="W25" i="10"/>
  <c r="X25" i="10" s="1"/>
  <c r="Y25" i="10"/>
  <c r="Z25" i="10" s="1"/>
  <c r="P26" i="10"/>
  <c r="Q26" i="10" s="1"/>
  <c r="U26" i="10"/>
  <c r="V26" i="10"/>
  <c r="W26" i="10"/>
  <c r="X26" i="10" s="1"/>
  <c r="Y26" i="10"/>
  <c r="AA26" i="10" s="1"/>
  <c r="P27" i="10"/>
  <c r="R27" i="10" s="1"/>
  <c r="U27" i="10"/>
  <c r="V27" i="10" s="1"/>
  <c r="W27" i="10"/>
  <c r="X27" i="10" s="1"/>
  <c r="Y27" i="10"/>
  <c r="AA27" i="10" s="1"/>
  <c r="Z27" i="10"/>
  <c r="P28" i="10"/>
  <c r="R28" i="10" s="1"/>
  <c r="U28" i="10"/>
  <c r="V28" i="10"/>
  <c r="W28" i="10"/>
  <c r="X28" i="10" s="1"/>
  <c r="Y28" i="10"/>
  <c r="P29" i="10"/>
  <c r="R29" i="10" s="1"/>
  <c r="U29" i="10"/>
  <c r="V29" i="10" s="1"/>
  <c r="W29" i="10"/>
  <c r="X29" i="10" s="1"/>
  <c r="Y29" i="10"/>
  <c r="Z29" i="10" s="1"/>
  <c r="P30" i="10"/>
  <c r="AE30" i="10" s="1"/>
  <c r="U30" i="10"/>
  <c r="V30" i="10" s="1"/>
  <c r="W30" i="10"/>
  <c r="X30" i="10" s="1"/>
  <c r="Y30" i="10"/>
  <c r="AA30" i="10" s="1"/>
  <c r="P31" i="10"/>
  <c r="AE31" i="10" s="1"/>
  <c r="AI31" i="10" s="1"/>
  <c r="AG31" i="10" s="1"/>
  <c r="AD31" i="10" s="1"/>
  <c r="U31" i="10"/>
  <c r="V31" i="10" s="1"/>
  <c r="W31" i="10"/>
  <c r="X31" i="10" s="1"/>
  <c r="Y31" i="10"/>
  <c r="Z31" i="10" s="1"/>
  <c r="P32" i="10"/>
  <c r="AE32" i="10" s="1"/>
  <c r="AI32" i="10" s="1"/>
  <c r="AG32" i="10" s="1"/>
  <c r="AD32" i="10" s="1"/>
  <c r="U32" i="10"/>
  <c r="V32" i="10" s="1"/>
  <c r="W32" i="10"/>
  <c r="X32" i="10" s="1"/>
  <c r="Y32" i="10"/>
  <c r="AA32" i="10" s="1"/>
  <c r="P33" i="10"/>
  <c r="Q33" i="10" s="1"/>
  <c r="U33" i="10"/>
  <c r="V33" i="10" s="1"/>
  <c r="W33" i="10"/>
  <c r="X33" i="10" s="1"/>
  <c r="Y33" i="10"/>
  <c r="AA33" i="10" s="1"/>
  <c r="P34" i="10"/>
  <c r="Q34" i="10" s="1"/>
  <c r="U34" i="10"/>
  <c r="V34" i="10" s="1"/>
  <c r="W34" i="10"/>
  <c r="X34" i="10" s="1"/>
  <c r="Y34" i="10"/>
  <c r="AA34" i="10" s="1"/>
  <c r="P35" i="10"/>
  <c r="AE35" i="10" s="1"/>
  <c r="AH35" i="10" s="1"/>
  <c r="AF35" i="10" s="1"/>
  <c r="AC35" i="10" s="1"/>
  <c r="U35" i="10"/>
  <c r="V35" i="10" s="1"/>
  <c r="W35" i="10"/>
  <c r="X35" i="10" s="1"/>
  <c r="Y35" i="10"/>
  <c r="AA35" i="10" s="1"/>
  <c r="P36" i="10"/>
  <c r="R36" i="10" s="1"/>
  <c r="U36" i="10"/>
  <c r="V36" i="10" s="1"/>
  <c r="W36" i="10"/>
  <c r="X36" i="10" s="1"/>
  <c r="Y36" i="10"/>
  <c r="AA36" i="10" s="1"/>
  <c r="P37" i="10"/>
  <c r="Q37" i="10" s="1"/>
  <c r="U37" i="10"/>
  <c r="V37" i="10" s="1"/>
  <c r="W37" i="10"/>
  <c r="X37" i="10" s="1"/>
  <c r="Y37" i="10"/>
  <c r="AA37" i="10" s="1"/>
  <c r="P38" i="10"/>
  <c r="AE38" i="10" s="1"/>
  <c r="AI38" i="10" s="1"/>
  <c r="AG38" i="10" s="1"/>
  <c r="AD38" i="10" s="1"/>
  <c r="U38" i="10"/>
  <c r="V38" i="10" s="1"/>
  <c r="W38" i="10"/>
  <c r="X38" i="10" s="1"/>
  <c r="Y38" i="10"/>
  <c r="AA38" i="10" s="1"/>
  <c r="P39" i="10"/>
  <c r="Q39" i="10" s="1"/>
  <c r="U39" i="10"/>
  <c r="V39" i="10"/>
  <c r="W39" i="10"/>
  <c r="X39" i="10" s="1"/>
  <c r="Y39" i="10"/>
  <c r="Z39" i="10"/>
  <c r="P40" i="10"/>
  <c r="Q40" i="10" s="1"/>
  <c r="U40" i="10"/>
  <c r="V40" i="10"/>
  <c r="W40" i="10"/>
  <c r="X40" i="10" s="1"/>
  <c r="Y40" i="10"/>
  <c r="Z40" i="10" s="1"/>
  <c r="P41" i="10"/>
  <c r="AE41" i="10" s="1"/>
  <c r="AI41" i="10" s="1"/>
  <c r="AG41" i="10" s="1"/>
  <c r="AD41" i="10" s="1"/>
  <c r="U41" i="10"/>
  <c r="V41" i="10"/>
  <c r="W41" i="10"/>
  <c r="X41" i="10" s="1"/>
  <c r="Y41" i="10"/>
  <c r="AA41" i="10"/>
  <c r="P42" i="10"/>
  <c r="AE42" i="10" s="1"/>
  <c r="AH42" i="10" s="1"/>
  <c r="AF42" i="10" s="1"/>
  <c r="AC42" i="10" s="1"/>
  <c r="U42" i="10"/>
  <c r="V42" i="10" s="1"/>
  <c r="W42" i="10"/>
  <c r="X42" i="10" s="1"/>
  <c r="Y42" i="10"/>
  <c r="Z42" i="10" s="1"/>
  <c r="P43" i="10"/>
  <c r="AE43" i="10" s="1"/>
  <c r="AI43" i="10" s="1"/>
  <c r="AG43" i="10" s="1"/>
  <c r="AD43" i="10" s="1"/>
  <c r="U43" i="10"/>
  <c r="V43" i="10"/>
  <c r="W43" i="10"/>
  <c r="X43" i="10" s="1"/>
  <c r="Y43" i="10"/>
  <c r="Z43" i="10" s="1"/>
  <c r="P8" i="12"/>
  <c r="D48" i="10"/>
  <c r="C30" i="12" s="1"/>
  <c r="F48" i="10"/>
  <c r="P7" i="12" s="1"/>
  <c r="I48" i="10"/>
  <c r="I47" i="10" s="1"/>
  <c r="K48" i="10"/>
  <c r="K47" i="10"/>
  <c r="P9" i="12" s="1"/>
  <c r="M48" i="10"/>
  <c r="N48" i="10"/>
  <c r="P10" i="12"/>
  <c r="D2" i="11"/>
  <c r="O3" i="11"/>
  <c r="D6" i="11"/>
  <c r="H6" i="11"/>
  <c r="M6" i="11"/>
  <c r="H7" i="11"/>
  <c r="H8" i="11"/>
  <c r="D9" i="11"/>
  <c r="D9" i="13" s="1"/>
  <c r="G9" i="11"/>
  <c r="I9" i="11"/>
  <c r="D10" i="11"/>
  <c r="G10" i="11"/>
  <c r="I10" i="11"/>
  <c r="D11" i="11"/>
  <c r="H11" i="11"/>
  <c r="D12" i="11"/>
  <c r="H12" i="11"/>
  <c r="L14" i="11"/>
  <c r="N14" i="11"/>
  <c r="D15" i="11"/>
  <c r="H15" i="11"/>
  <c r="U20" i="11"/>
  <c r="V20" i="11" s="1"/>
  <c r="V44" i="11" s="1"/>
  <c r="W20" i="11"/>
  <c r="Y20" i="11"/>
  <c r="U21" i="11"/>
  <c r="W21" i="11"/>
  <c r="X21" i="11" s="1"/>
  <c r="Y21" i="11"/>
  <c r="P22" i="11"/>
  <c r="Q22" i="11" s="1"/>
  <c r="U22" i="11"/>
  <c r="V22" i="11"/>
  <c r="W22" i="11"/>
  <c r="X22" i="11" s="1"/>
  <c r="Y22" i="11"/>
  <c r="AA22" i="11" s="1"/>
  <c r="P23" i="11"/>
  <c r="AE23" i="11" s="1"/>
  <c r="U23" i="11"/>
  <c r="V23" i="11" s="1"/>
  <c r="W23" i="11"/>
  <c r="X23" i="11" s="1"/>
  <c r="Y23" i="11"/>
  <c r="AA23" i="11" s="1"/>
  <c r="Z23" i="11"/>
  <c r="P24" i="11"/>
  <c r="U24" i="11"/>
  <c r="V24" i="11"/>
  <c r="W24" i="11"/>
  <c r="X24" i="11" s="1"/>
  <c r="Y24" i="11"/>
  <c r="Z24" i="11" s="1"/>
  <c r="P25" i="11"/>
  <c r="U25" i="11"/>
  <c r="V25" i="11" s="1"/>
  <c r="W25" i="11"/>
  <c r="X25" i="11" s="1"/>
  <c r="Y25" i="11"/>
  <c r="AA25" i="11" s="1"/>
  <c r="P26" i="11"/>
  <c r="U26" i="11"/>
  <c r="V26" i="11"/>
  <c r="W26" i="11"/>
  <c r="X26" i="11" s="1"/>
  <c r="Y26" i="11"/>
  <c r="AA26" i="11"/>
  <c r="P27" i="11"/>
  <c r="AE27" i="11" s="1"/>
  <c r="AI27" i="11" s="1"/>
  <c r="AG27" i="11" s="1"/>
  <c r="AD27" i="11" s="1"/>
  <c r="U27" i="11"/>
  <c r="V27" i="11"/>
  <c r="W27" i="11"/>
  <c r="X27" i="11" s="1"/>
  <c r="Y27" i="11"/>
  <c r="Z27" i="11" s="1"/>
  <c r="P28" i="11"/>
  <c r="R28" i="11" s="1"/>
  <c r="U28" i="11"/>
  <c r="V28" i="11"/>
  <c r="W28" i="11"/>
  <c r="X28" i="11" s="1"/>
  <c r="Y28" i="11"/>
  <c r="Z28" i="11"/>
  <c r="P29" i="11"/>
  <c r="Q29" i="11" s="1"/>
  <c r="U29" i="11"/>
  <c r="V29" i="11" s="1"/>
  <c r="W29" i="11"/>
  <c r="X29" i="11" s="1"/>
  <c r="Y29" i="11"/>
  <c r="P30" i="11"/>
  <c r="Q30" i="11" s="1"/>
  <c r="U30" i="11"/>
  <c r="V30" i="11"/>
  <c r="W30" i="11"/>
  <c r="X30" i="11" s="1"/>
  <c r="Y30" i="11"/>
  <c r="AA30" i="11" s="1"/>
  <c r="P31" i="11"/>
  <c r="R31" i="11" s="1"/>
  <c r="U31" i="11"/>
  <c r="V31" i="11" s="1"/>
  <c r="W31" i="11"/>
  <c r="X31" i="11" s="1"/>
  <c r="Y31" i="11"/>
  <c r="AA31" i="11" s="1"/>
  <c r="P32" i="11"/>
  <c r="Q32" i="11" s="1"/>
  <c r="U32" i="11"/>
  <c r="V32" i="11" s="1"/>
  <c r="W32" i="11"/>
  <c r="X32" i="11" s="1"/>
  <c r="Y32" i="11"/>
  <c r="P33" i="11"/>
  <c r="Q33" i="11" s="1"/>
  <c r="U33" i="11"/>
  <c r="V33" i="11"/>
  <c r="W33" i="11"/>
  <c r="X33" i="11" s="1"/>
  <c r="Y33" i="11"/>
  <c r="P34" i="11"/>
  <c r="U34" i="11"/>
  <c r="V34" i="11"/>
  <c r="W34" i="11"/>
  <c r="X34" i="11" s="1"/>
  <c r="Y34" i="11"/>
  <c r="AA34" i="11"/>
  <c r="Z34" i="11"/>
  <c r="P35" i="11"/>
  <c r="R35" i="11" s="1"/>
  <c r="U35" i="11"/>
  <c r="V35" i="11"/>
  <c r="W35" i="11"/>
  <c r="X35" i="11" s="1"/>
  <c r="Y35" i="11"/>
  <c r="AA35" i="11" s="1"/>
  <c r="P36" i="11"/>
  <c r="AE36" i="11" s="1"/>
  <c r="AI36" i="11" s="1"/>
  <c r="AG36" i="11" s="1"/>
  <c r="AD36" i="11" s="1"/>
  <c r="U36" i="11"/>
  <c r="V36" i="11" s="1"/>
  <c r="W36" i="11"/>
  <c r="X36" i="11" s="1"/>
  <c r="Y36" i="11"/>
  <c r="Z36" i="11" s="1"/>
  <c r="AA36" i="11"/>
  <c r="P37" i="11"/>
  <c r="AE37" i="11" s="1"/>
  <c r="U37" i="11"/>
  <c r="V37" i="11"/>
  <c r="W37" i="11"/>
  <c r="X37" i="11" s="1"/>
  <c r="Y37" i="11"/>
  <c r="P38" i="11"/>
  <c r="AE38" i="11" s="1"/>
  <c r="AI38" i="11" s="1"/>
  <c r="AG38" i="11" s="1"/>
  <c r="AD38" i="11" s="1"/>
  <c r="U38" i="11"/>
  <c r="V38" i="11" s="1"/>
  <c r="W38" i="11"/>
  <c r="X38" i="11" s="1"/>
  <c r="Y38" i="11"/>
  <c r="AA38" i="11" s="1"/>
  <c r="P39" i="11"/>
  <c r="AE39" i="11" s="1"/>
  <c r="AH39" i="11" s="1"/>
  <c r="AF39" i="11" s="1"/>
  <c r="AC39" i="11" s="1"/>
  <c r="U39" i="11"/>
  <c r="V39" i="11" s="1"/>
  <c r="W39" i="11"/>
  <c r="X39" i="11" s="1"/>
  <c r="Y39" i="11"/>
  <c r="P40" i="11"/>
  <c r="R40" i="11" s="1"/>
  <c r="U40" i="11"/>
  <c r="V40" i="11" s="1"/>
  <c r="W40" i="11"/>
  <c r="X40" i="11" s="1"/>
  <c r="Y40" i="11"/>
  <c r="AA40" i="11" s="1"/>
  <c r="P41" i="11"/>
  <c r="U41" i="11"/>
  <c r="V41" i="11" s="1"/>
  <c r="W41" i="11"/>
  <c r="X41" i="11" s="1"/>
  <c r="Y41" i="11"/>
  <c r="P42" i="11"/>
  <c r="Q42" i="11" s="1"/>
  <c r="U42" i="11"/>
  <c r="V42" i="11" s="1"/>
  <c r="W42" i="11"/>
  <c r="X42" i="11" s="1"/>
  <c r="Y42" i="11"/>
  <c r="AA42" i="11" s="1"/>
  <c r="P43" i="11"/>
  <c r="Q43" i="11" s="1"/>
  <c r="U43" i="11"/>
  <c r="V43" i="11" s="1"/>
  <c r="W43" i="11"/>
  <c r="X43" i="11" s="1"/>
  <c r="Y43" i="11"/>
  <c r="AA43" i="11" s="1"/>
  <c r="D48" i="11"/>
  <c r="C30" i="13" s="1"/>
  <c r="F48" i="11"/>
  <c r="P7" i="13" s="1"/>
  <c r="I48" i="11"/>
  <c r="I47" i="11" s="1"/>
  <c r="P8" i="13" s="1"/>
  <c r="K48" i="11"/>
  <c r="K47" i="11"/>
  <c r="P9" i="13" s="1"/>
  <c r="M48" i="11"/>
  <c r="N48" i="11"/>
  <c r="P10" i="13"/>
  <c r="E42" i="13"/>
  <c r="L42" i="13" s="1"/>
  <c r="E40" i="9"/>
  <c r="L40" i="9" s="1"/>
  <c r="E44" i="9"/>
  <c r="L44" i="9" s="1"/>
  <c r="Q6" i="1"/>
  <c r="Q8" i="1" s="1"/>
  <c r="P20" i="1"/>
  <c r="AE20" i="1" s="1"/>
  <c r="AI20" i="1" s="1"/>
  <c r="AG20" i="1" s="1"/>
  <c r="AD20" i="1" s="1"/>
  <c r="P21" i="11"/>
  <c r="AE21" i="11" s="1"/>
  <c r="AH21" i="11" s="1"/>
  <c r="AF21" i="11" s="1"/>
  <c r="AC21" i="11" s="1"/>
  <c r="V46" i="8"/>
  <c r="G46" i="8"/>
  <c r="AA24" i="1"/>
  <c r="Z36" i="10"/>
  <c r="Z30" i="10"/>
  <c r="Y44" i="11"/>
  <c r="AA28" i="11"/>
  <c r="Z34" i="10"/>
  <c r="AA28" i="1"/>
  <c r="AA29" i="1"/>
  <c r="V21" i="1"/>
  <c r="L8" i="8"/>
  <c r="L9" i="8" s="1"/>
  <c r="B48" i="11"/>
  <c r="H11" i="13" s="1"/>
  <c r="P20" i="11"/>
  <c r="AE20" i="11" s="1"/>
  <c r="AH20" i="11" s="1"/>
  <c r="AF20" i="11" s="1"/>
  <c r="AC20" i="11" s="1"/>
  <c r="AE22" i="11"/>
  <c r="AI22" i="11" s="1"/>
  <c r="AG22" i="11" s="1"/>
  <c r="AD22" i="11" s="1"/>
  <c r="Q24" i="11"/>
  <c r="AE24" i="11"/>
  <c r="AI24" i="11" s="1"/>
  <c r="AG24" i="11" s="1"/>
  <c r="AD24" i="11" s="1"/>
  <c r="C31" i="12"/>
  <c r="C33" i="12" s="1"/>
  <c r="C34" i="12" s="1"/>
  <c r="U44" i="10"/>
  <c r="Q6" i="11"/>
  <c r="Q8" i="11" s="1"/>
  <c r="R24" i="10"/>
  <c r="V20" i="1"/>
  <c r="V44" i="1" s="1"/>
  <c r="P48" i="1"/>
  <c r="W44" i="1"/>
  <c r="R41" i="1"/>
  <c r="Q36" i="1"/>
  <c r="R25" i="1"/>
  <c r="AH31" i="1"/>
  <c r="AF31" i="1" s="1"/>
  <c r="AC31" i="1" s="1"/>
  <c r="R34" i="1"/>
  <c r="AE32" i="1"/>
  <c r="AH32" i="1" s="1"/>
  <c r="AF32" i="1" s="1"/>
  <c r="AC32" i="1" s="1"/>
  <c r="R24" i="11"/>
  <c r="Q37" i="1"/>
  <c r="C46" i="8"/>
  <c r="Q6" i="10"/>
  <c r="Q8" i="10" s="1"/>
  <c r="O6" i="10"/>
  <c r="O8" i="10" s="1"/>
  <c r="K6" i="11"/>
  <c r="O6" i="1"/>
  <c r="O8" i="1" s="1"/>
  <c r="K6" i="1"/>
  <c r="K6" i="10"/>
  <c r="F46" i="8"/>
  <c r="R22" i="1"/>
  <c r="W44" i="10"/>
  <c r="AE30" i="1"/>
  <c r="AH30" i="1" s="1"/>
  <c r="AF30" i="1" s="1"/>
  <c r="AC30" i="1" s="1"/>
  <c r="Z35" i="10"/>
  <c r="Z31" i="1"/>
  <c r="Z32" i="10"/>
  <c r="Z43" i="1"/>
  <c r="H9" i="13"/>
  <c r="AI35" i="1"/>
  <c r="AG35" i="1" s="1"/>
  <c r="AD35" i="1" s="1"/>
  <c r="AH29" i="1"/>
  <c r="AF29" i="1" s="1"/>
  <c r="AC29" i="1" s="1"/>
  <c r="AA31" i="10"/>
  <c r="Z40" i="11"/>
  <c r="R22" i="11"/>
  <c r="Z26" i="10"/>
  <c r="AA24" i="10"/>
  <c r="AA40" i="1"/>
  <c r="Z39" i="1"/>
  <c r="L8" i="1"/>
  <c r="AA24" i="11"/>
  <c r="Z42" i="11"/>
  <c r="Z26" i="11"/>
  <c r="AA39" i="10"/>
  <c r="AA36" i="1"/>
  <c r="R29" i="1"/>
  <c r="AE34" i="1"/>
  <c r="AH34" i="1" s="1"/>
  <c r="AF34" i="1" s="1"/>
  <c r="AC34" i="1" s="1"/>
  <c r="Z43" i="11"/>
  <c r="Z41" i="10"/>
  <c r="Q29" i="1"/>
  <c r="L8" i="10"/>
  <c r="AA25" i="1"/>
  <c r="Q24" i="1"/>
  <c r="AE24" i="1"/>
  <c r="AH24" i="1" s="1"/>
  <c r="AF24" i="1" s="1"/>
  <c r="AC24" i="1" s="1"/>
  <c r="AE22" i="1"/>
  <c r="AH22" i="1" s="1"/>
  <c r="AF22" i="1" s="1"/>
  <c r="AC22" i="1" s="1"/>
  <c r="AI25" i="1"/>
  <c r="AG25" i="1" s="1"/>
  <c r="AD25" i="1" s="1"/>
  <c r="O23" i="13"/>
  <c r="L37" i="13" s="1"/>
  <c r="L36" i="13" s="1"/>
  <c r="R35" i="1"/>
  <c r="Z22" i="1"/>
  <c r="AA22" i="1"/>
  <c r="Q25" i="11"/>
  <c r="Z38" i="1"/>
  <c r="Z22" i="11"/>
  <c r="AA40" i="10"/>
  <c r="Z34" i="1"/>
  <c r="AA34" i="1"/>
  <c r="Q31" i="1"/>
  <c r="R31" i="1"/>
  <c r="L37" i="12"/>
  <c r="L36" i="12" s="1"/>
  <c r="O24" i="12"/>
  <c r="H10" i="12"/>
  <c r="L35" i="12" s="1"/>
  <c r="Z30" i="1"/>
  <c r="Y44" i="1"/>
  <c r="Z20" i="1"/>
  <c r="Z44" i="1" s="1"/>
  <c r="Z38" i="11"/>
  <c r="Z28" i="10"/>
  <c r="AA28" i="10"/>
  <c r="Q27" i="1"/>
  <c r="R27" i="1"/>
  <c r="R29" i="11"/>
  <c r="AA23" i="10"/>
  <c r="Z41" i="11"/>
  <c r="AA41" i="11"/>
  <c r="Z37" i="10"/>
  <c r="Z33" i="10"/>
  <c r="Z26" i="1"/>
  <c r="D13" i="11"/>
  <c r="H9" i="9"/>
  <c r="D13" i="1"/>
  <c r="H9" i="12"/>
  <c r="G11" i="8"/>
  <c r="D14" i="10" s="1"/>
  <c r="C32" i="12"/>
  <c r="D12" i="10"/>
  <c r="D12" i="1"/>
  <c r="H8" i="13"/>
  <c r="L8" i="11"/>
  <c r="H8" i="12"/>
  <c r="H8" i="9"/>
  <c r="X20" i="1"/>
  <c r="P21" i="1"/>
  <c r="R21" i="1" s="1"/>
  <c r="Q20" i="1"/>
  <c r="Z20" i="11"/>
  <c r="Z44" i="11" s="1"/>
  <c r="Q21" i="11"/>
  <c r="Z21" i="11"/>
  <c r="P48" i="10"/>
  <c r="V21" i="10"/>
  <c r="V21" i="11"/>
  <c r="V20" i="10"/>
  <c r="V44" i="10" s="1"/>
  <c r="AI20" i="11"/>
  <c r="AG20" i="11" s="1"/>
  <c r="AD20" i="11" s="1"/>
  <c r="AH22" i="11"/>
  <c r="AF22" i="11" s="1"/>
  <c r="AC22" i="11" s="1"/>
  <c r="P20" i="10"/>
  <c r="Q20" i="10" s="1"/>
  <c r="X44" i="1"/>
  <c r="B48" i="1"/>
  <c r="H11" i="9" s="1"/>
  <c r="AH20" i="1"/>
  <c r="AF20" i="1" s="1"/>
  <c r="AC20" i="1" s="1"/>
  <c r="L34" i="12"/>
  <c r="L33" i="12"/>
  <c r="O24" i="13"/>
  <c r="L32" i="13"/>
  <c r="C36" i="13" s="1"/>
  <c r="H10" i="13"/>
  <c r="L33" i="13" s="1"/>
  <c r="Q21" i="1"/>
  <c r="P21" i="10"/>
  <c r="AE21" i="10" s="1"/>
  <c r="B48" i="10"/>
  <c r="H11" i="12" s="1"/>
  <c r="Z21" i="10"/>
  <c r="J21" i="1"/>
  <c r="R20" i="1"/>
  <c r="AA20" i="1"/>
  <c r="AA44" i="1" s="1"/>
  <c r="R20" i="10"/>
  <c r="AA20" i="10"/>
  <c r="AA44" i="10" s="1"/>
  <c r="AA20" i="11"/>
  <c r="AA44" i="11" s="1"/>
  <c r="R21" i="11"/>
  <c r="AA21" i="11"/>
  <c r="Q20" i="11" l="1"/>
  <c r="R23" i="1"/>
  <c r="Q35" i="1"/>
  <c r="E42" i="12"/>
  <c r="L42" i="12" s="1"/>
  <c r="AI30" i="1"/>
  <c r="AG30" i="1" s="1"/>
  <c r="AD30" i="1" s="1"/>
  <c r="Z23" i="1"/>
  <c r="C31" i="9"/>
  <c r="E44" i="12"/>
  <c r="L44" i="12" s="1"/>
  <c r="C31" i="13"/>
  <c r="C33" i="13" s="1"/>
  <c r="C34" i="13" s="1"/>
  <c r="Z42" i="1"/>
  <c r="AE26" i="1"/>
  <c r="AH26" i="1" s="1"/>
  <c r="AF26" i="1" s="1"/>
  <c r="AC26" i="1" s="1"/>
  <c r="Q32" i="1"/>
  <c r="Q22" i="10"/>
  <c r="AE29" i="11"/>
  <c r="AI29" i="11" s="1"/>
  <c r="AG29" i="11" s="1"/>
  <c r="AD29" i="11" s="1"/>
  <c r="Z35" i="11"/>
  <c r="Z30" i="11"/>
  <c r="Z41" i="1"/>
  <c r="L34" i="13"/>
  <c r="Z20" i="10"/>
  <c r="Z44" i="10" s="1"/>
  <c r="D14" i="11"/>
  <c r="Z35" i="1"/>
  <c r="AA22" i="10"/>
  <c r="AH27" i="11"/>
  <c r="AF27" i="11" s="1"/>
  <c r="AC27" i="11" s="1"/>
  <c r="R20" i="11"/>
  <c r="AA21" i="1"/>
  <c r="C37" i="13"/>
  <c r="AE20" i="10"/>
  <c r="D14" i="1"/>
  <c r="C37" i="12"/>
  <c r="Q23" i="1"/>
  <c r="R27" i="11"/>
  <c r="R30" i="1"/>
  <c r="AI23" i="1"/>
  <c r="AG23" i="1" s="1"/>
  <c r="AD23" i="1" s="1"/>
  <c r="O6" i="11"/>
  <c r="O8" i="11" s="1"/>
  <c r="U44" i="11"/>
  <c r="L10" i="8"/>
  <c r="L11" i="8" s="1"/>
  <c r="L12" i="8" s="1"/>
  <c r="C35" i="12"/>
  <c r="AI22" i="1"/>
  <c r="AG22" i="1" s="1"/>
  <c r="AD22" i="1" s="1"/>
  <c r="AH24" i="11"/>
  <c r="AF24" i="11" s="1"/>
  <c r="AC24" i="11" s="1"/>
  <c r="Q27" i="11"/>
  <c r="R26" i="1"/>
  <c r="AA33" i="1"/>
  <c r="AA42" i="10"/>
  <c r="AE38" i="1"/>
  <c r="AI38" i="1" s="1"/>
  <c r="AG38" i="1" s="1"/>
  <c r="AD38" i="1" s="1"/>
  <c r="AA43" i="10"/>
  <c r="AA25" i="10"/>
  <c r="R38" i="1"/>
  <c r="R37" i="1"/>
  <c r="R30" i="11"/>
  <c r="Q25" i="1"/>
  <c r="R42" i="10"/>
  <c r="Z31" i="11"/>
  <c r="W44" i="11"/>
  <c r="X20" i="11"/>
  <c r="X44" i="11" s="1"/>
  <c r="R36" i="11"/>
  <c r="Q40" i="11"/>
  <c r="Q36" i="11"/>
  <c r="R23" i="11"/>
  <c r="AE30" i="11"/>
  <c r="Q23" i="11"/>
  <c r="AH36" i="11"/>
  <c r="AF36" i="11" s="1"/>
  <c r="AC36" i="11" s="1"/>
  <c r="R39" i="11"/>
  <c r="AE40" i="11"/>
  <c r="AI40" i="11" s="1"/>
  <c r="AG40" i="11" s="1"/>
  <c r="AD40" i="11" s="1"/>
  <c r="Q39" i="11"/>
  <c r="AH29" i="11"/>
  <c r="AF29" i="11" s="1"/>
  <c r="AC29" i="11" s="1"/>
  <c r="R37" i="11"/>
  <c r="AI37" i="11"/>
  <c r="AG37" i="11" s="1"/>
  <c r="AD37" i="11" s="1"/>
  <c r="AH37" i="11"/>
  <c r="AF37" i="11" s="1"/>
  <c r="AC37" i="11" s="1"/>
  <c r="AH38" i="11"/>
  <c r="AF38" i="11" s="1"/>
  <c r="AC38" i="11" s="1"/>
  <c r="Q37" i="11"/>
  <c r="AE43" i="11"/>
  <c r="AI43" i="11" s="1"/>
  <c r="AG43" i="11" s="1"/>
  <c r="AD43" i="11" s="1"/>
  <c r="R43" i="11"/>
  <c r="AI39" i="11"/>
  <c r="AG39" i="11" s="1"/>
  <c r="AD39" i="11" s="1"/>
  <c r="Q32" i="10"/>
  <c r="R40" i="10"/>
  <c r="Q25" i="10"/>
  <c r="AI25" i="10"/>
  <c r="AG25" i="10" s="1"/>
  <c r="AD25" i="10" s="1"/>
  <c r="AE23" i="10"/>
  <c r="AI23" i="10" s="1"/>
  <c r="AG23" i="10" s="1"/>
  <c r="AD23" i="10" s="1"/>
  <c r="Q30" i="10"/>
  <c r="AH32" i="10"/>
  <c r="AF32" i="10" s="1"/>
  <c r="AC32" i="10" s="1"/>
  <c r="AH38" i="10"/>
  <c r="AF38" i="10" s="1"/>
  <c r="AC38" i="10" s="1"/>
  <c r="Q38" i="10"/>
  <c r="Q23" i="10"/>
  <c r="Q31" i="10"/>
  <c r="R31" i="10"/>
  <c r="AE27" i="10"/>
  <c r="AI27" i="10" s="1"/>
  <c r="AG27" i="10" s="1"/>
  <c r="AD27" i="10" s="1"/>
  <c r="AH31" i="10"/>
  <c r="AF31" i="10" s="1"/>
  <c r="AC31" i="10" s="1"/>
  <c r="Q35" i="10"/>
  <c r="R25" i="10"/>
  <c r="Q29" i="10"/>
  <c r="AE40" i="10"/>
  <c r="AI40" i="10" s="1"/>
  <c r="AG40" i="10" s="1"/>
  <c r="AD40" i="10" s="1"/>
  <c r="Q42" i="10"/>
  <c r="Q36" i="10"/>
  <c r="R39" i="10"/>
  <c r="AE39" i="10"/>
  <c r="Q43" i="10"/>
  <c r="R41" i="10"/>
  <c r="AH43" i="10"/>
  <c r="AF43" i="10" s="1"/>
  <c r="AC43" i="10" s="1"/>
  <c r="Q41" i="10"/>
  <c r="R43" i="10"/>
  <c r="R35" i="10"/>
  <c r="AE29" i="10"/>
  <c r="AI29" i="10" s="1"/>
  <c r="AG29" i="10" s="1"/>
  <c r="AD29" i="10" s="1"/>
  <c r="R34" i="10"/>
  <c r="AE37" i="10"/>
  <c r="AH37" i="10" s="1"/>
  <c r="AF37" i="10" s="1"/>
  <c r="AC37" i="10" s="1"/>
  <c r="AI35" i="10"/>
  <c r="AG35" i="10" s="1"/>
  <c r="AD35" i="10" s="1"/>
  <c r="R30" i="10"/>
  <c r="Q27" i="10"/>
  <c r="AE33" i="10"/>
  <c r="AE36" i="10"/>
  <c r="R32" i="10"/>
  <c r="R38" i="10"/>
  <c r="AI24" i="10"/>
  <c r="AG24" i="10" s="1"/>
  <c r="AD24" i="10" s="1"/>
  <c r="AH24" i="10"/>
  <c r="AF24" i="10" s="1"/>
  <c r="AC24" i="10" s="1"/>
  <c r="AH22" i="10"/>
  <c r="AF22" i="10" s="1"/>
  <c r="AC22" i="10" s="1"/>
  <c r="AI22" i="10"/>
  <c r="AG22" i="10" s="1"/>
  <c r="AD22" i="10" s="1"/>
  <c r="AI30" i="10"/>
  <c r="AG30" i="10" s="1"/>
  <c r="AD30" i="10" s="1"/>
  <c r="AH30" i="10"/>
  <c r="AF30" i="10" s="1"/>
  <c r="AC30" i="10" s="1"/>
  <c r="AH23" i="10"/>
  <c r="AF23" i="10" s="1"/>
  <c r="AC23" i="10" s="1"/>
  <c r="R26" i="10"/>
  <c r="Q24" i="10"/>
  <c r="AE28" i="10"/>
  <c r="AH28" i="10" s="1"/>
  <c r="AF28" i="10" s="1"/>
  <c r="AC28" i="10" s="1"/>
  <c r="AE26" i="10"/>
  <c r="Q28" i="10"/>
  <c r="AI42" i="10"/>
  <c r="AG42" i="10" s="1"/>
  <c r="AD42" i="10" s="1"/>
  <c r="R22" i="10"/>
  <c r="AI24" i="1"/>
  <c r="AG24" i="1" s="1"/>
  <c r="AD24" i="1" s="1"/>
  <c r="AI34" i="1"/>
  <c r="AG34" i="1" s="1"/>
  <c r="AD34" i="1" s="1"/>
  <c r="AE42" i="1"/>
  <c r="AH42" i="1" s="1"/>
  <c r="AF42" i="1" s="1"/>
  <c r="AC42" i="1" s="1"/>
  <c r="AH38" i="1"/>
  <c r="AF38" i="1" s="1"/>
  <c r="AC38" i="1" s="1"/>
  <c r="AE40" i="1"/>
  <c r="AH40" i="1" s="1"/>
  <c r="AF40" i="1" s="1"/>
  <c r="AC40" i="1" s="1"/>
  <c r="AI39" i="1"/>
  <c r="AG39" i="1" s="1"/>
  <c r="AD39" i="1" s="1"/>
  <c r="AI26" i="1"/>
  <c r="AG26" i="1" s="1"/>
  <c r="AD26" i="1" s="1"/>
  <c r="AI32" i="1"/>
  <c r="AG32" i="1" s="1"/>
  <c r="AD32" i="1" s="1"/>
  <c r="AE28" i="1"/>
  <c r="Q40" i="1"/>
  <c r="Q28" i="1"/>
  <c r="AE21" i="1"/>
  <c r="AI21" i="1" s="1"/>
  <c r="AG21" i="1" s="1"/>
  <c r="AD21" i="1" s="1"/>
  <c r="R42" i="1"/>
  <c r="AE41" i="1"/>
  <c r="AE36" i="1"/>
  <c r="R43" i="1"/>
  <c r="AE33" i="1"/>
  <c r="R33" i="1"/>
  <c r="R39" i="1"/>
  <c r="Q43" i="1"/>
  <c r="Q39" i="1"/>
  <c r="AI43" i="1"/>
  <c r="AG43" i="1" s="1"/>
  <c r="AD43" i="1" s="1"/>
  <c r="AH43" i="1"/>
  <c r="AF43" i="1" s="1"/>
  <c r="AC43" i="1" s="1"/>
  <c r="L35" i="13"/>
  <c r="R41" i="11"/>
  <c r="AE41" i="11"/>
  <c r="AE35" i="11"/>
  <c r="Q35" i="11"/>
  <c r="AE34" i="11"/>
  <c r="R34" i="11"/>
  <c r="C35" i="13"/>
  <c r="AA27" i="11"/>
  <c r="Q28" i="11"/>
  <c r="AE28" i="11"/>
  <c r="Q38" i="11"/>
  <c r="R38" i="11"/>
  <c r="AA33" i="11"/>
  <c r="Z33" i="11"/>
  <c r="AE33" i="11"/>
  <c r="R33" i="11"/>
  <c r="Q34" i="11"/>
  <c r="Q41" i="11"/>
  <c r="AA39" i="11"/>
  <c r="Z39" i="11"/>
  <c r="AA37" i="11"/>
  <c r="Z37" i="11"/>
  <c r="AE31" i="11"/>
  <c r="Q31" i="11"/>
  <c r="AE26" i="11"/>
  <c r="Q26" i="11"/>
  <c r="AE25" i="11"/>
  <c r="R25" i="11"/>
  <c r="AH23" i="11"/>
  <c r="AF23" i="11" s="1"/>
  <c r="AC23" i="11" s="1"/>
  <c r="AI23" i="11"/>
  <c r="AG23" i="11" s="1"/>
  <c r="AD23" i="11" s="1"/>
  <c r="AH37" i="1"/>
  <c r="AF37" i="1" s="1"/>
  <c r="AC37" i="1" s="1"/>
  <c r="AI37" i="1"/>
  <c r="AG37" i="1" s="1"/>
  <c r="AD37" i="1" s="1"/>
  <c r="Z29" i="11"/>
  <c r="AA29" i="11"/>
  <c r="AH27" i="1"/>
  <c r="AF27" i="1" s="1"/>
  <c r="AC27" i="1" s="1"/>
  <c r="AI27" i="1"/>
  <c r="AG27" i="1" s="1"/>
  <c r="AD27" i="1" s="1"/>
  <c r="R33" i="10"/>
  <c r="R37" i="10"/>
  <c r="AE34" i="10"/>
  <c r="AH41" i="10"/>
  <c r="AF41" i="10" s="1"/>
  <c r="AC41" i="10" s="1"/>
  <c r="Z32" i="1"/>
  <c r="AA29" i="10"/>
  <c r="AA37" i="1"/>
  <c r="E40" i="13"/>
  <c r="L40" i="13" s="1"/>
  <c r="L13" i="8"/>
  <c r="L14" i="8" s="1"/>
  <c r="L7" i="11"/>
  <c r="N24" i="8"/>
  <c r="L7" i="1"/>
  <c r="Q7" i="11"/>
  <c r="N29" i="8"/>
  <c r="N31" i="8"/>
  <c r="N32" i="8"/>
  <c r="O7" i="1"/>
  <c r="N22" i="8"/>
  <c r="N27" i="8"/>
  <c r="O7" i="11"/>
  <c r="Q7" i="1"/>
  <c r="O7" i="10"/>
  <c r="L7" i="10"/>
  <c r="N33" i="8"/>
  <c r="N23" i="8"/>
  <c r="Q7" i="10"/>
  <c r="N30" i="8"/>
  <c r="N25" i="8"/>
  <c r="N26" i="8"/>
  <c r="N28" i="8"/>
  <c r="AH21" i="10"/>
  <c r="AF21" i="10" s="1"/>
  <c r="AC21" i="10" s="1"/>
  <c r="AI21" i="10"/>
  <c r="AG21" i="10" s="1"/>
  <c r="AD21" i="10" s="1"/>
  <c r="R21" i="10"/>
  <c r="AI37" i="10"/>
  <c r="AG37" i="10" s="1"/>
  <c r="AD37" i="10" s="1"/>
  <c r="AE42" i="11"/>
  <c r="R42" i="11"/>
  <c r="Q21" i="10"/>
  <c r="AH21" i="1"/>
  <c r="AF21" i="1" s="1"/>
  <c r="AC21" i="1" s="1"/>
  <c r="AI21" i="11"/>
  <c r="AG21" i="11" s="1"/>
  <c r="AD21" i="11" s="1"/>
  <c r="AE32" i="11"/>
  <c r="Z32" i="11"/>
  <c r="AA32" i="11"/>
  <c r="R26" i="11"/>
  <c r="R32" i="11"/>
  <c r="Z25" i="11"/>
  <c r="C32" i="9"/>
  <c r="O23" i="9"/>
  <c r="Z38" i="10"/>
  <c r="AH20" i="10" l="1"/>
  <c r="AF20" i="10" s="1"/>
  <c r="AC20" i="10" s="1"/>
  <c r="AI20" i="10"/>
  <c r="AG20" i="10" s="1"/>
  <c r="AD20" i="10" s="1"/>
  <c r="C35" i="9"/>
  <c r="C33" i="9"/>
  <c r="C34" i="9" s="1"/>
  <c r="AI30" i="11"/>
  <c r="AG30" i="11" s="1"/>
  <c r="AD30" i="11" s="1"/>
  <c r="AH30" i="11"/>
  <c r="AF30" i="11" s="1"/>
  <c r="AC30" i="11" s="1"/>
  <c r="AH40" i="11"/>
  <c r="AF40" i="11" s="1"/>
  <c r="AC40" i="11" s="1"/>
  <c r="AH43" i="11"/>
  <c r="AF43" i="11" s="1"/>
  <c r="AC43" i="11" s="1"/>
  <c r="AH40" i="10"/>
  <c r="AF40" i="10" s="1"/>
  <c r="AC40" i="10" s="1"/>
  <c r="AH27" i="10"/>
  <c r="AF27" i="10" s="1"/>
  <c r="AC27" i="10" s="1"/>
  <c r="AH29" i="10"/>
  <c r="AF29" i="10" s="1"/>
  <c r="AC29" i="10" s="1"/>
  <c r="AH36" i="10"/>
  <c r="AF36" i="10" s="1"/>
  <c r="AC36" i="10" s="1"/>
  <c r="AI36" i="10"/>
  <c r="AG36" i="10" s="1"/>
  <c r="AD36" i="10" s="1"/>
  <c r="AI33" i="10"/>
  <c r="AG33" i="10" s="1"/>
  <c r="AD33" i="10" s="1"/>
  <c r="AH33" i="10"/>
  <c r="AF33" i="10" s="1"/>
  <c r="AC33" i="10" s="1"/>
  <c r="AI39" i="10"/>
  <c r="AG39" i="10" s="1"/>
  <c r="AD39" i="10" s="1"/>
  <c r="AH39" i="10"/>
  <c r="AF39" i="10" s="1"/>
  <c r="AC39" i="10" s="1"/>
  <c r="AI28" i="10"/>
  <c r="AG28" i="10" s="1"/>
  <c r="AD28" i="10" s="1"/>
  <c r="AH26" i="10"/>
  <c r="AF26" i="10" s="1"/>
  <c r="AC26" i="10" s="1"/>
  <c r="AI26" i="10"/>
  <c r="AG26" i="10" s="1"/>
  <c r="AD26" i="10" s="1"/>
  <c r="AI42" i="1"/>
  <c r="AG42" i="1" s="1"/>
  <c r="AD42" i="1" s="1"/>
  <c r="AI40" i="1"/>
  <c r="AG40" i="1" s="1"/>
  <c r="AD40" i="1" s="1"/>
  <c r="AI28" i="1"/>
  <c r="AG28" i="1" s="1"/>
  <c r="AD28" i="1" s="1"/>
  <c r="AH28" i="1"/>
  <c r="AF28" i="1" s="1"/>
  <c r="AC28" i="1" s="1"/>
  <c r="AI36" i="1"/>
  <c r="AG36" i="1" s="1"/>
  <c r="AD36" i="1" s="1"/>
  <c r="AH36" i="1"/>
  <c r="AF36" i="1" s="1"/>
  <c r="AC36" i="1" s="1"/>
  <c r="AH41" i="1"/>
  <c r="AF41" i="1" s="1"/>
  <c r="AC41" i="1" s="1"/>
  <c r="AI41" i="1"/>
  <c r="AG41" i="1" s="1"/>
  <c r="AD41" i="1" s="1"/>
  <c r="AH33" i="1"/>
  <c r="AF33" i="1" s="1"/>
  <c r="AC33" i="1" s="1"/>
  <c r="AI33" i="1"/>
  <c r="AG33" i="1" s="1"/>
  <c r="AD33" i="1" s="1"/>
  <c r="AI28" i="11"/>
  <c r="AG28" i="11" s="1"/>
  <c r="AD28" i="11" s="1"/>
  <c r="AH28" i="11"/>
  <c r="AF28" i="11" s="1"/>
  <c r="AC28" i="11" s="1"/>
  <c r="AI35" i="11"/>
  <c r="AG35" i="11" s="1"/>
  <c r="AD35" i="11" s="1"/>
  <c r="AH35" i="11"/>
  <c r="AF35" i="11" s="1"/>
  <c r="AC35" i="11" s="1"/>
  <c r="AH26" i="11"/>
  <c r="AF26" i="11" s="1"/>
  <c r="AC26" i="11" s="1"/>
  <c r="AI26" i="11"/>
  <c r="AG26" i="11" s="1"/>
  <c r="AD26" i="11" s="1"/>
  <c r="AH41" i="11"/>
  <c r="AF41" i="11" s="1"/>
  <c r="AC41" i="11" s="1"/>
  <c r="AI41" i="11"/>
  <c r="AG41" i="11" s="1"/>
  <c r="AD41" i="11" s="1"/>
  <c r="AI34" i="11"/>
  <c r="AG34" i="11" s="1"/>
  <c r="AD34" i="11" s="1"/>
  <c r="AH34" i="11"/>
  <c r="AF34" i="11" s="1"/>
  <c r="AC34" i="11" s="1"/>
  <c r="AH34" i="10"/>
  <c r="AF34" i="10" s="1"/>
  <c r="AC34" i="10" s="1"/>
  <c r="AI34" i="10"/>
  <c r="AG34" i="10" s="1"/>
  <c r="AD34" i="10" s="1"/>
  <c r="AI25" i="11"/>
  <c r="AG25" i="11" s="1"/>
  <c r="AD25" i="11" s="1"/>
  <c r="AH25" i="11"/>
  <c r="AF25" i="11" s="1"/>
  <c r="AC25" i="11" s="1"/>
  <c r="AH31" i="11"/>
  <c r="AF31" i="11" s="1"/>
  <c r="AC31" i="11" s="1"/>
  <c r="AI31" i="11"/>
  <c r="AG31" i="11" s="1"/>
  <c r="AD31" i="11" s="1"/>
  <c r="AI33" i="11"/>
  <c r="AG33" i="11" s="1"/>
  <c r="AD33" i="11" s="1"/>
  <c r="AH33" i="11"/>
  <c r="AF33" i="11" s="1"/>
  <c r="AC33" i="11" s="1"/>
  <c r="AI32" i="11"/>
  <c r="AG32" i="11" s="1"/>
  <c r="AD32" i="11" s="1"/>
  <c r="AH32" i="11"/>
  <c r="AF32" i="11" s="1"/>
  <c r="AC32" i="11" s="1"/>
  <c r="AH42" i="11"/>
  <c r="AF42" i="11" s="1"/>
  <c r="AC42" i="11" s="1"/>
  <c r="AI42" i="11"/>
  <c r="AG42" i="11" s="1"/>
  <c r="AD42" i="11" s="1"/>
  <c r="X25" i="8"/>
  <c r="O25" i="8" s="1"/>
  <c r="Q25" i="8" s="1"/>
  <c r="Y25" i="8"/>
  <c r="P25" i="8" s="1"/>
  <c r="R25" i="8" s="1"/>
  <c r="X33" i="8"/>
  <c r="O33" i="8" s="1"/>
  <c r="Q33" i="8" s="1"/>
  <c r="Y33" i="8"/>
  <c r="P33" i="8" s="1"/>
  <c r="R33" i="8" s="1"/>
  <c r="X32" i="8"/>
  <c r="O32" i="8" s="1"/>
  <c r="Q32" i="8" s="1"/>
  <c r="Y32" i="8"/>
  <c r="P32" i="8" s="1"/>
  <c r="R32" i="8" s="1"/>
  <c r="Y30" i="8"/>
  <c r="P30" i="8" s="1"/>
  <c r="R30" i="8" s="1"/>
  <c r="X30" i="8"/>
  <c r="O30" i="8" s="1"/>
  <c r="Q30" i="8" s="1"/>
  <c r="X27" i="8"/>
  <c r="O27" i="8" s="1"/>
  <c r="Q27" i="8" s="1"/>
  <c r="Y27" i="8"/>
  <c r="P27" i="8" s="1"/>
  <c r="R27" i="8" s="1"/>
  <c r="Y31" i="8"/>
  <c r="P31" i="8" s="1"/>
  <c r="R31" i="8" s="1"/>
  <c r="X31" i="8"/>
  <c r="O31" i="8" s="1"/>
  <c r="Q31" i="8" s="1"/>
  <c r="Y24" i="8"/>
  <c r="P24" i="8" s="1"/>
  <c r="R24" i="8" s="1"/>
  <c r="X24" i="8"/>
  <c r="O24" i="8" s="1"/>
  <c r="Q24" i="8" s="1"/>
  <c r="Y28" i="8"/>
  <c r="P28" i="8" s="1"/>
  <c r="R28" i="8" s="1"/>
  <c r="X28" i="8"/>
  <c r="O28" i="8" s="1"/>
  <c r="Q28" i="8" s="1"/>
  <c r="Y22" i="8"/>
  <c r="P22" i="8" s="1"/>
  <c r="R22" i="8" s="1"/>
  <c r="X22" i="8"/>
  <c r="O22" i="8" s="1"/>
  <c r="Q22" i="8" s="1"/>
  <c r="Y29" i="8"/>
  <c r="P29" i="8" s="1"/>
  <c r="R29" i="8" s="1"/>
  <c r="X29" i="8"/>
  <c r="O29" i="8" s="1"/>
  <c r="Q29" i="8" s="1"/>
  <c r="L37" i="9"/>
  <c r="L36" i="9" s="1"/>
  <c r="L32" i="9"/>
  <c r="C36" i="9" s="1"/>
  <c r="O24" i="9"/>
  <c r="H10" i="9"/>
  <c r="X26" i="8"/>
  <c r="O26" i="8" s="1"/>
  <c r="Q26" i="8" s="1"/>
  <c r="Y26" i="8"/>
  <c r="P26" i="8" s="1"/>
  <c r="R26" i="8" s="1"/>
  <c r="Y23" i="8"/>
  <c r="P23" i="8" s="1"/>
  <c r="R23" i="8" s="1"/>
  <c r="X23" i="8"/>
  <c r="O23" i="8" s="1"/>
  <c r="Q23" i="8" s="1"/>
  <c r="L9" i="1"/>
  <c r="J20" i="11"/>
  <c r="Q9" i="1"/>
  <c r="O9" i="1"/>
  <c r="L9" i="11"/>
  <c r="J20" i="10"/>
  <c r="O9" i="10"/>
  <c r="Q9" i="10"/>
  <c r="O9" i="11"/>
  <c r="J20" i="1"/>
  <c r="L9" i="10"/>
  <c r="Q9" i="11"/>
  <c r="L34" i="9" l="1"/>
  <c r="C37" i="9"/>
  <c r="L33" i="9"/>
  <c r="L35" i="9"/>
</calcChain>
</file>

<file path=xl/comments1.xml><?xml version="1.0" encoding="utf-8"?>
<comments xmlns="http://schemas.openxmlformats.org/spreadsheetml/2006/main">
  <authors>
    <author>BARRY</author>
  </authors>
  <commentList>
    <comment ref="P11" authorId="0" shapeId="0">
      <text>
        <r>
          <rPr>
            <b/>
            <sz val="12"/>
            <color indexed="12"/>
            <rFont val="Verdana"/>
            <family val="2"/>
          </rPr>
          <t>Cp for preliminary traverse pitot, Method 2.</t>
        </r>
      </text>
    </comment>
    <comment ref="P12" authorId="0" shapeId="0">
      <text>
        <r>
          <rPr>
            <b/>
            <sz val="12"/>
            <color indexed="12"/>
            <rFont val="Verdana"/>
            <family val="2"/>
          </rPr>
          <t>Cp for PM10 Pitot.</t>
        </r>
        <r>
          <rPr>
            <sz val="12"/>
            <color indexed="12"/>
            <rFont val="Verdana"/>
            <family val="2"/>
          </rPr>
          <t xml:space="preserve">
</t>
        </r>
      </text>
    </comment>
    <comment ref="Q13" authorId="0" shapeId="0">
      <text>
        <r>
          <rPr>
            <b/>
            <sz val="12"/>
            <color indexed="39"/>
            <rFont val="Verdana"/>
            <family val="2"/>
          </rPr>
          <t>Choose the optimum nozzle size from the blue highlighted nozzles.</t>
        </r>
      </text>
    </comment>
  </commentList>
</comments>
</file>

<file path=xl/comments2.xml><?xml version="1.0" encoding="utf-8"?>
<comments xmlns="http://schemas.openxmlformats.org/spreadsheetml/2006/main">
  <authors>
    <author>BARRY</author>
    <author>David Hendricks</author>
  </authors>
  <commentList>
    <comment ref="G9" authorId="0" shapeId="0">
      <text>
        <r>
          <rPr>
            <b/>
            <sz val="10"/>
            <color indexed="12"/>
            <rFont val="Verdana"/>
            <family val="2"/>
          </rPr>
          <t>Cp for preliminary traverse pitot, Method 2.</t>
        </r>
      </text>
    </comment>
    <comment ref="G10" authorId="0" shapeId="0">
      <text>
        <r>
          <rPr>
            <b/>
            <sz val="10"/>
            <color indexed="12"/>
            <rFont val="Verdana"/>
            <family val="2"/>
          </rPr>
          <t>Cp for PM10 Pitot.</t>
        </r>
        <r>
          <rPr>
            <sz val="10"/>
            <color indexed="12"/>
            <rFont val="Verdana"/>
            <family val="2"/>
          </rPr>
          <t xml:space="preserve">
</t>
        </r>
      </text>
    </comment>
    <comment ref="H11" authorId="0" shapeId="0">
      <text>
        <r>
          <rPr>
            <b/>
            <sz val="9"/>
            <color indexed="39"/>
            <rFont val="Verdana"/>
            <family val="2"/>
          </rPr>
          <t>Nozzle is chosen on the Pre-Test Sheet.</t>
        </r>
      </text>
    </comment>
    <comment ref="C17" authorId="1" shapeId="0">
      <text>
        <r>
          <rPr>
            <b/>
            <sz val="8"/>
            <color indexed="81"/>
            <rFont val="Tahoma"/>
            <family val="2"/>
          </rPr>
          <t>Clock Time is calculated as the accumulated dwell times rounded to the nearest 15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BARRY</author>
    <author>David Hendricks</author>
  </authors>
  <commentList>
    <comment ref="G9" authorId="0" shapeId="0">
      <text>
        <r>
          <rPr>
            <b/>
            <sz val="10"/>
            <color indexed="12"/>
            <rFont val="Verdana"/>
            <family val="2"/>
          </rPr>
          <t>Cp for preliminary traverse pitot, Method 2.</t>
        </r>
      </text>
    </comment>
    <comment ref="G10" authorId="0" shapeId="0">
      <text>
        <r>
          <rPr>
            <b/>
            <sz val="10"/>
            <color indexed="12"/>
            <rFont val="Verdana"/>
            <family val="2"/>
          </rPr>
          <t>Cp for PM10 Pitot.</t>
        </r>
        <r>
          <rPr>
            <sz val="10"/>
            <color indexed="12"/>
            <rFont val="Verdana"/>
            <family val="2"/>
          </rPr>
          <t xml:space="preserve">
</t>
        </r>
      </text>
    </comment>
    <comment ref="H11" authorId="0" shapeId="0">
      <text>
        <r>
          <rPr>
            <b/>
            <sz val="9"/>
            <color indexed="39"/>
            <rFont val="Verdana"/>
            <family val="2"/>
          </rPr>
          <t>Nozzle is chosen on the Pre-Test Sheet.</t>
        </r>
      </text>
    </comment>
    <comment ref="C17" authorId="1" shapeId="0">
      <text>
        <r>
          <rPr>
            <b/>
            <sz val="8"/>
            <color indexed="81"/>
            <rFont val="Tahoma"/>
            <family val="2"/>
          </rPr>
          <t>Clock Time is calculated as the accumulated dwell times rounded to the nearest 15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BARRY</author>
    <author>David Hendricks</author>
  </authors>
  <commentList>
    <comment ref="G9" authorId="0" shapeId="0">
      <text>
        <r>
          <rPr>
            <b/>
            <sz val="10"/>
            <color indexed="12"/>
            <rFont val="Verdana"/>
            <family val="2"/>
          </rPr>
          <t>Cp for preliminary traverse pitot, Method 2.</t>
        </r>
      </text>
    </comment>
    <comment ref="G10" authorId="0" shapeId="0">
      <text>
        <r>
          <rPr>
            <b/>
            <sz val="10"/>
            <color indexed="12"/>
            <rFont val="Verdana"/>
            <family val="2"/>
          </rPr>
          <t>Cp for PM10 Pitot.</t>
        </r>
        <r>
          <rPr>
            <sz val="10"/>
            <color indexed="12"/>
            <rFont val="Verdana"/>
            <family val="2"/>
          </rPr>
          <t xml:space="preserve">
</t>
        </r>
      </text>
    </comment>
    <comment ref="H11" authorId="0" shapeId="0">
      <text>
        <r>
          <rPr>
            <b/>
            <sz val="9"/>
            <color indexed="39"/>
            <rFont val="Verdana"/>
            <family val="2"/>
          </rPr>
          <t>Nozzle is chosen on the Pre-Test Sheet.</t>
        </r>
      </text>
    </comment>
    <comment ref="C17" authorId="1" shapeId="0">
      <text>
        <r>
          <rPr>
            <b/>
            <sz val="8"/>
            <color indexed="81"/>
            <rFont val="Tahoma"/>
            <family val="2"/>
          </rPr>
          <t>Clock Time is calculated as the accumulated dwell times rounded to the nearest 15 seconds.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BARRY</author>
  </authors>
  <commentList>
    <comment ref="K9" authorId="0" shapeId="0">
      <text>
        <r>
          <rPr>
            <b/>
            <sz val="10"/>
            <color indexed="12"/>
            <rFont val="Verdana"/>
            <family val="2"/>
          </rPr>
          <t>Cp for preliminary traverse pitot, Method 2.</t>
        </r>
      </text>
    </comment>
    <comment ref="K10" authorId="0" shapeId="0">
      <text>
        <r>
          <rPr>
            <b/>
            <sz val="10"/>
            <color indexed="12"/>
            <rFont val="Verdana"/>
            <family val="2"/>
          </rPr>
          <t>Cp for PM10 Pitot.</t>
        </r>
        <r>
          <rPr>
            <sz val="10"/>
            <color indexed="12"/>
            <rFont val="Verdana"/>
            <family val="2"/>
          </rPr>
          <t xml:space="preserve">
</t>
        </r>
      </text>
    </comment>
    <comment ref="L11" authorId="0" shapeId="0">
      <text>
        <r>
          <rPr>
            <b/>
            <sz val="9"/>
            <color indexed="39"/>
            <rFont val="Verdana"/>
            <family val="2"/>
          </rPr>
          <t>Nozzle is chosen on the Pre-Test Sheet.</t>
        </r>
      </text>
    </comment>
  </commentList>
</comments>
</file>

<file path=xl/comments6.xml><?xml version="1.0" encoding="utf-8"?>
<comments xmlns="http://schemas.openxmlformats.org/spreadsheetml/2006/main">
  <authors>
    <author>BARRY</author>
  </authors>
  <commentList>
    <comment ref="K9" authorId="0" shapeId="0">
      <text>
        <r>
          <rPr>
            <b/>
            <sz val="10"/>
            <color indexed="12"/>
            <rFont val="Verdana"/>
            <family val="2"/>
          </rPr>
          <t>Cp for preliminary traverse pitot, Method 2.</t>
        </r>
      </text>
    </comment>
    <comment ref="K10" authorId="0" shapeId="0">
      <text>
        <r>
          <rPr>
            <b/>
            <sz val="10"/>
            <color indexed="12"/>
            <rFont val="Verdana"/>
            <family val="2"/>
          </rPr>
          <t>Cp for PM10 Pitot.</t>
        </r>
        <r>
          <rPr>
            <sz val="10"/>
            <color indexed="12"/>
            <rFont val="Verdana"/>
            <family val="2"/>
          </rPr>
          <t xml:space="preserve">
</t>
        </r>
      </text>
    </comment>
    <comment ref="L11" authorId="0" shapeId="0">
      <text>
        <r>
          <rPr>
            <b/>
            <sz val="9"/>
            <color indexed="39"/>
            <rFont val="Verdana"/>
            <family val="2"/>
          </rPr>
          <t>Nozzle is chosen on the Pre-Test Sheet.</t>
        </r>
      </text>
    </comment>
  </commentList>
</comments>
</file>

<file path=xl/comments7.xml><?xml version="1.0" encoding="utf-8"?>
<comments xmlns="http://schemas.openxmlformats.org/spreadsheetml/2006/main">
  <authors>
    <author>BARRY</author>
  </authors>
  <commentList>
    <comment ref="K9" authorId="0" shapeId="0">
      <text>
        <r>
          <rPr>
            <b/>
            <sz val="10"/>
            <color indexed="12"/>
            <rFont val="Verdana"/>
            <family val="2"/>
          </rPr>
          <t>Cp for preliminary traverse pitot, Method 2.</t>
        </r>
      </text>
    </comment>
    <comment ref="K10" authorId="0" shapeId="0">
      <text>
        <r>
          <rPr>
            <b/>
            <sz val="10"/>
            <color indexed="12"/>
            <rFont val="Verdana"/>
            <family val="2"/>
          </rPr>
          <t>Cp for PM10 Pitot.</t>
        </r>
        <r>
          <rPr>
            <sz val="10"/>
            <color indexed="12"/>
            <rFont val="Verdana"/>
            <family val="2"/>
          </rPr>
          <t xml:space="preserve">
</t>
        </r>
      </text>
    </comment>
    <comment ref="L11" authorId="0" shapeId="0">
      <text>
        <r>
          <rPr>
            <b/>
            <sz val="9"/>
            <color indexed="39"/>
            <rFont val="Verdana"/>
            <family val="2"/>
          </rPr>
          <t>Nozzle is chosen on the Pre-Test Sheet.</t>
        </r>
      </text>
    </comment>
  </commentList>
</comments>
</file>

<file path=xl/sharedStrings.xml><?xml version="1.0" encoding="utf-8"?>
<sst xmlns="http://schemas.openxmlformats.org/spreadsheetml/2006/main" count="1060" uniqueCount="277">
  <si>
    <t>Start Time:</t>
  </si>
  <si>
    <t>End Time:</t>
  </si>
  <si>
    <t>Md:</t>
  </si>
  <si>
    <t>lb/lb-mole</t>
  </si>
  <si>
    <t>in Hg</t>
  </si>
  <si>
    <t>%CO2:</t>
  </si>
  <si>
    <t>%</t>
  </si>
  <si>
    <t>%O2:</t>
  </si>
  <si>
    <t>Vacuum</t>
  </si>
  <si>
    <t>(in Hg)</t>
  </si>
  <si>
    <t>Pitot</t>
  </si>
  <si>
    <t>Ideal</t>
  </si>
  <si>
    <t>Actual</t>
  </si>
  <si>
    <t>Inlet</t>
  </si>
  <si>
    <t>Outlet</t>
  </si>
  <si>
    <t>Pump</t>
  </si>
  <si>
    <t>Stack</t>
  </si>
  <si>
    <t>Filter</t>
  </si>
  <si>
    <t>Probe</t>
  </si>
  <si>
    <t>Exit</t>
  </si>
  <si>
    <t>DGM</t>
  </si>
  <si>
    <t>Sample Point</t>
  </si>
  <si>
    <r>
      <t>Dry Gas Meter Reading (ft</t>
    </r>
    <r>
      <rPr>
        <b/>
        <vertAlign val="superscript"/>
        <sz val="10"/>
        <color indexed="18"/>
        <rFont val="Arial"/>
        <family val="2"/>
      </rPr>
      <t>3</t>
    </r>
    <r>
      <rPr>
        <b/>
        <sz val="10"/>
        <color indexed="18"/>
        <rFont val="Arial"/>
        <family val="2"/>
      </rPr>
      <t>)</t>
    </r>
  </si>
  <si>
    <r>
      <t>D</t>
    </r>
    <r>
      <rPr>
        <b/>
        <sz val="10"/>
        <color indexed="18"/>
        <rFont val="Arial"/>
        <family val="2"/>
      </rPr>
      <t>P</t>
    </r>
  </si>
  <si>
    <r>
      <t>D</t>
    </r>
    <r>
      <rPr>
        <b/>
        <sz val="10"/>
        <color indexed="18"/>
        <rFont val="Arial"/>
        <family val="2"/>
      </rPr>
      <t>H (in H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0)</t>
    </r>
  </si>
  <si>
    <t>Orifice Press.</t>
  </si>
  <si>
    <t>Vac.</t>
  </si>
  <si>
    <t>%N2/CO:</t>
  </si>
  <si>
    <t>DGM initial</t>
  </si>
  <si>
    <t>DGM final</t>
  </si>
  <si>
    <t>% Moisture:</t>
  </si>
  <si>
    <t>Barometric:</t>
  </si>
  <si>
    <t>Static Press:</t>
  </si>
  <si>
    <t>Stack Press:</t>
  </si>
  <si>
    <t>Cp:</t>
  </si>
  <si>
    <t>Y:</t>
  </si>
  <si>
    <r>
      <t>D</t>
    </r>
    <r>
      <rPr>
        <b/>
        <sz val="10"/>
        <color indexed="18"/>
        <rFont val="Arial"/>
        <family val="2"/>
      </rPr>
      <t>H@:</t>
    </r>
  </si>
  <si>
    <t>METER BOX:</t>
  </si>
  <si>
    <t>Stack Area:</t>
  </si>
  <si>
    <r>
      <t>ft</t>
    </r>
    <r>
      <rPr>
        <vertAlign val="superscript"/>
        <sz val="10"/>
        <color indexed="18"/>
        <rFont val="Arial"/>
        <family val="2"/>
      </rPr>
      <t>2</t>
    </r>
  </si>
  <si>
    <t># of Points:</t>
  </si>
  <si>
    <t>STACK DATA</t>
  </si>
  <si>
    <t>EQUIPMENT</t>
  </si>
  <si>
    <t>LEAK CHECKS</t>
  </si>
  <si>
    <t>Leak Rate</t>
  </si>
  <si>
    <t>cf</t>
  </si>
  <si>
    <t>cfm</t>
  </si>
  <si>
    <t>in. Hg</t>
  </si>
  <si>
    <t>ESTIMATES</t>
  </si>
  <si>
    <t>inches</t>
  </si>
  <si>
    <r>
      <t>in H</t>
    </r>
    <r>
      <rPr>
        <vertAlign val="subscript"/>
        <sz val="10"/>
        <color indexed="18"/>
        <rFont val="Arial"/>
        <family val="2"/>
      </rPr>
      <t>2</t>
    </r>
    <r>
      <rPr>
        <sz val="10"/>
        <color indexed="18"/>
        <rFont val="Arial"/>
        <family val="2"/>
      </rPr>
      <t>O</t>
    </r>
  </si>
  <si>
    <t>points</t>
  </si>
  <si>
    <t xml:space="preserve">Location: </t>
  </si>
  <si>
    <t xml:space="preserve">Date: </t>
  </si>
  <si>
    <t xml:space="preserve">RUN No. </t>
  </si>
  <si>
    <t xml:space="preserve">JOB No. </t>
  </si>
  <si>
    <t>Imp.</t>
  </si>
  <si>
    <t>Gas Temperatures (°F)</t>
  </si>
  <si>
    <t>°F</t>
  </si>
  <si>
    <t>Max</t>
  </si>
  <si>
    <t>Gas Temps</t>
  </si>
  <si>
    <t>(°F)</t>
  </si>
  <si>
    <t>% est.</t>
  </si>
  <si>
    <t>Project Leader     (signature/date)</t>
  </si>
  <si>
    <t>Durham, NC  27704</t>
  </si>
  <si>
    <t>www.environsupply.com</t>
  </si>
  <si>
    <t>for</t>
  </si>
  <si>
    <t>by</t>
  </si>
  <si>
    <t>Environmental Supply Company, Inc.</t>
  </si>
  <si>
    <t>(919) 956-9688</t>
  </si>
  <si>
    <t>Notes:</t>
  </si>
  <si>
    <t>1.</t>
  </si>
  <si>
    <t>This color designates data entry.</t>
  </si>
  <si>
    <t>2.</t>
  </si>
  <si>
    <t>This color designates calculations.</t>
  </si>
  <si>
    <t>3.</t>
  </si>
  <si>
    <t>Test Personnel     (signature/date)</t>
  </si>
  <si>
    <t>4.</t>
  </si>
  <si>
    <t>5.</t>
  </si>
  <si>
    <t>Tab button will move to next available data entry cell.</t>
  </si>
  <si>
    <t>min</t>
  </si>
  <si>
    <t>scf</t>
  </si>
  <si>
    <t>lb/hr</t>
  </si>
  <si>
    <t>gr/dscf</t>
  </si>
  <si>
    <t>Cp':</t>
  </si>
  <si>
    <r>
      <t>("H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O)</t>
    </r>
  </si>
  <si>
    <t>Nozzle</t>
  </si>
  <si>
    <t>Dn (in)</t>
  </si>
  <si>
    <t>Diam.</t>
  </si>
  <si>
    <t>Vn</t>
  </si>
  <si>
    <t>NOZZLE SELECTION</t>
  </si>
  <si>
    <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min</t>
    </r>
  </si>
  <si>
    <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max</t>
    </r>
  </si>
  <si>
    <r>
      <t>V</t>
    </r>
    <r>
      <rPr>
        <b/>
        <vertAlign val="subscript"/>
        <sz val="10"/>
        <color indexed="18"/>
        <rFont val="Arial"/>
        <family val="2"/>
      </rPr>
      <t>min</t>
    </r>
  </si>
  <si>
    <r>
      <t>V</t>
    </r>
    <r>
      <rPr>
        <b/>
        <vertAlign val="subscript"/>
        <sz val="10"/>
        <color indexed="18"/>
        <rFont val="Arial"/>
        <family val="2"/>
      </rPr>
      <t>max</t>
    </r>
  </si>
  <si>
    <t>S/N</t>
  </si>
  <si>
    <t>(fps)</t>
  </si>
  <si>
    <t>Est. Qs:</t>
  </si>
  <si>
    <r>
      <t xml:space="preserve">Est. </t>
    </r>
    <r>
      <rPr>
        <b/>
        <sz val="10"/>
        <color indexed="18"/>
        <rFont val="Symbol"/>
        <family val="1"/>
        <charset val="2"/>
      </rPr>
      <t>m</t>
    </r>
    <r>
      <rPr>
        <b/>
        <vertAlign val="subscript"/>
        <sz val="10"/>
        <color indexed="18"/>
        <rFont val="Arial"/>
        <family val="2"/>
      </rPr>
      <t>s</t>
    </r>
    <r>
      <rPr>
        <b/>
        <sz val="10"/>
        <color indexed="18"/>
        <rFont val="Arial"/>
        <family val="2"/>
      </rPr>
      <t>:</t>
    </r>
  </si>
  <si>
    <t>mpoise</t>
  </si>
  <si>
    <t>Nozzle Dia:</t>
  </si>
  <si>
    <r>
      <t xml:space="preserve">Est. </t>
    </r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H:</t>
    </r>
  </si>
  <si>
    <t>Qs (acfm)</t>
  </si>
  <si>
    <t>Ts-50°</t>
  </si>
  <si>
    <t>Ts+50°</t>
  </si>
  <si>
    <r>
      <t>+/- 50°F</t>
    </r>
    <r>
      <rPr>
        <b/>
        <sz val="10"/>
        <color indexed="18"/>
        <rFont val="Symbol"/>
        <family val="1"/>
        <charset val="2"/>
      </rPr>
      <t xml:space="preserve"> D</t>
    </r>
    <r>
      <rPr>
        <b/>
        <sz val="10"/>
        <color indexed="18"/>
        <rFont val="Arial"/>
        <family val="2"/>
      </rPr>
      <t>H</t>
    </r>
  </si>
  <si>
    <t>Ts (°F):</t>
  </si>
  <si>
    <t>Tm (°F):</t>
  </si>
  <si>
    <t>Null Angle °</t>
  </si>
  <si>
    <t>Cyclonic Flow Check</t>
  </si>
  <si>
    <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m</t>
    </r>
  </si>
  <si>
    <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s2</t>
    </r>
  </si>
  <si>
    <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s</t>
    </r>
  </si>
  <si>
    <t>Stack Temperature</t>
  </si>
  <si>
    <t>PRE-TEST CALCULATIONS</t>
  </si>
  <si>
    <t>PRELIMINARY TRAVERSE</t>
  </si>
  <si>
    <r>
      <t xml:space="preserve">Viscocity </t>
    </r>
    <r>
      <rPr>
        <b/>
        <sz val="10"/>
        <color indexed="18"/>
        <rFont val="Symbol"/>
        <family val="1"/>
        <charset val="2"/>
      </rPr>
      <t>m</t>
    </r>
    <r>
      <rPr>
        <b/>
        <vertAlign val="subscript"/>
        <sz val="10"/>
        <color indexed="18"/>
        <rFont val="Arial"/>
        <family val="2"/>
      </rPr>
      <t>s</t>
    </r>
    <r>
      <rPr>
        <b/>
        <sz val="10"/>
        <color indexed="18"/>
        <rFont val="Arial"/>
        <family val="2"/>
      </rPr>
      <t>:</t>
    </r>
  </si>
  <si>
    <r>
      <t>D</t>
    </r>
    <r>
      <rPr>
        <b/>
        <vertAlign val="subscript"/>
        <sz val="10"/>
        <color indexed="18"/>
        <rFont val="Arial"/>
        <family val="2"/>
      </rPr>
      <t>50LL</t>
    </r>
    <r>
      <rPr>
        <b/>
        <sz val="10"/>
        <color indexed="18"/>
        <rFont val="Arial"/>
        <family val="2"/>
      </rPr>
      <t>:</t>
    </r>
  </si>
  <si>
    <r>
      <t>D</t>
    </r>
    <r>
      <rPr>
        <b/>
        <vertAlign val="subscript"/>
        <sz val="10"/>
        <color indexed="18"/>
        <rFont val="Arial"/>
        <family val="2"/>
      </rPr>
      <t>50T</t>
    </r>
    <r>
      <rPr>
        <b/>
        <sz val="10"/>
        <color indexed="18"/>
        <rFont val="Arial"/>
        <family val="2"/>
      </rPr>
      <t>:</t>
    </r>
  </si>
  <si>
    <r>
      <t>m</t>
    </r>
    <r>
      <rPr>
        <sz val="11"/>
        <color indexed="18"/>
        <rFont val="Arial"/>
        <family val="2"/>
      </rPr>
      <t>m</t>
    </r>
  </si>
  <si>
    <t>Cunningham:</t>
  </si>
  <si>
    <t>acfm</t>
  </si>
  <si>
    <r>
      <t>Estimated T</t>
    </r>
    <r>
      <rPr>
        <b/>
        <vertAlign val="subscript"/>
        <sz val="10"/>
        <color indexed="18"/>
        <rFont val="Arial"/>
        <family val="2"/>
      </rPr>
      <t>m</t>
    </r>
    <r>
      <rPr>
        <b/>
        <sz val="10"/>
        <color indexed="18"/>
        <rFont val="Arial"/>
        <family val="2"/>
      </rPr>
      <t>:</t>
    </r>
  </si>
  <si>
    <r>
      <t>[N</t>
    </r>
    <r>
      <rPr>
        <b/>
        <vertAlign val="subscript"/>
        <sz val="10"/>
        <color indexed="18"/>
        <rFont val="Arial"/>
        <family val="2"/>
      </rPr>
      <t>re</t>
    </r>
    <r>
      <rPr>
        <b/>
        <sz val="10"/>
        <color indexed="18"/>
        <rFont val="Arial"/>
        <family val="2"/>
      </rPr>
      <t>&gt;3162] D</t>
    </r>
    <r>
      <rPr>
        <b/>
        <vertAlign val="subscript"/>
        <sz val="10"/>
        <color indexed="18"/>
        <rFont val="Arial"/>
        <family val="2"/>
      </rPr>
      <t>50LL</t>
    </r>
    <r>
      <rPr>
        <b/>
        <sz val="10"/>
        <color indexed="18"/>
        <rFont val="Arial"/>
        <family val="2"/>
      </rPr>
      <t>:</t>
    </r>
  </si>
  <si>
    <r>
      <t>N</t>
    </r>
    <r>
      <rPr>
        <b/>
        <vertAlign val="subscript"/>
        <sz val="10"/>
        <color indexed="18"/>
        <rFont val="Arial"/>
        <family val="2"/>
      </rPr>
      <t>re Actual</t>
    </r>
  </si>
  <si>
    <r>
      <t>Viscocity (</t>
    </r>
    <r>
      <rPr>
        <b/>
        <sz val="8"/>
        <color indexed="18"/>
        <rFont val="Symbol"/>
        <family val="1"/>
        <charset val="2"/>
      </rPr>
      <t>m</t>
    </r>
    <r>
      <rPr>
        <b/>
        <sz val="8"/>
        <color indexed="18"/>
        <rFont val="Arial"/>
        <family val="2"/>
      </rPr>
      <t>m)</t>
    </r>
  </si>
  <si>
    <r>
      <t>Q</t>
    </r>
    <r>
      <rPr>
        <b/>
        <vertAlign val="subscript"/>
        <sz val="10"/>
        <color indexed="18"/>
        <rFont val="Arial"/>
        <family val="2"/>
      </rPr>
      <t>Sst</t>
    </r>
    <r>
      <rPr>
        <b/>
        <sz val="10"/>
        <color indexed="18"/>
        <rFont val="Arial"/>
        <family val="2"/>
      </rPr>
      <t xml:space="preserve"> (dscfm)</t>
    </r>
  </si>
  <si>
    <r>
      <t>Re-estim. C</t>
    </r>
    <r>
      <rPr>
        <b/>
        <vertAlign val="subscript"/>
        <sz val="8"/>
        <color indexed="18"/>
        <rFont val="Arial"/>
        <family val="2"/>
      </rPr>
      <t>r50</t>
    </r>
  </si>
  <si>
    <t>Molecular Weight</t>
  </si>
  <si>
    <t>mg</t>
  </si>
  <si>
    <t>Container 1:</t>
  </si>
  <si>
    <t>Container 4:</t>
  </si>
  <si>
    <t>Container 2:</t>
  </si>
  <si>
    <t>Container 3:</t>
  </si>
  <si>
    <t>Container 6:</t>
  </si>
  <si>
    <t>ml</t>
  </si>
  <si>
    <t>Container 5:</t>
  </si>
  <si>
    <t>Container 7:</t>
  </si>
  <si>
    <t>g</t>
  </si>
  <si>
    <t>Run Time:</t>
  </si>
  <si>
    <t>°R</t>
  </si>
  <si>
    <t>AVERAGE TEST DATA</t>
  </si>
  <si>
    <t>Moisture Analysis</t>
  </si>
  <si>
    <r>
      <t>PM</t>
    </r>
    <r>
      <rPr>
        <b/>
        <vertAlign val="subscript"/>
        <sz val="10"/>
        <color indexed="18"/>
        <rFont val="Arial"/>
        <family val="2"/>
      </rPr>
      <t>2.5-10</t>
    </r>
    <r>
      <rPr>
        <b/>
        <sz val="10"/>
        <color indexed="18"/>
        <rFont val="Arial"/>
        <family val="2"/>
      </rPr>
      <t xml:space="preserve"> Recovery Analysis</t>
    </r>
  </si>
  <si>
    <t>Acetone Blank Analysis</t>
  </si>
  <si>
    <r>
      <t>V</t>
    </r>
    <r>
      <rPr>
        <b/>
        <vertAlign val="subscript"/>
        <sz val="10"/>
        <color indexed="18"/>
        <rFont val="Arial"/>
        <family val="2"/>
      </rPr>
      <t>s</t>
    </r>
    <r>
      <rPr>
        <b/>
        <sz val="10"/>
        <color indexed="18"/>
        <rFont val="Arial"/>
        <family val="2"/>
      </rPr>
      <t xml:space="preserve"> (fps)</t>
    </r>
  </si>
  <si>
    <r>
      <t>sqrt(</t>
    </r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P) (in. H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O)</t>
    </r>
  </si>
  <si>
    <r>
      <t>Acetone V</t>
    </r>
    <r>
      <rPr>
        <b/>
        <vertAlign val="subscript"/>
        <sz val="10"/>
        <color indexed="18"/>
        <rFont val="Arial"/>
        <family val="2"/>
      </rPr>
      <t>aw4</t>
    </r>
    <r>
      <rPr>
        <b/>
        <sz val="10"/>
        <color indexed="18"/>
        <rFont val="Arial"/>
        <family val="2"/>
      </rPr>
      <t>:</t>
    </r>
  </si>
  <si>
    <r>
      <t>Acetone W</t>
    </r>
    <r>
      <rPr>
        <b/>
        <vertAlign val="subscript"/>
        <sz val="10"/>
        <color indexed="18"/>
        <rFont val="Arial"/>
        <family val="2"/>
      </rPr>
      <t>a4</t>
    </r>
    <r>
      <rPr>
        <b/>
        <sz val="10"/>
        <color indexed="18"/>
        <rFont val="Arial"/>
        <family val="2"/>
      </rPr>
      <t>:</t>
    </r>
  </si>
  <si>
    <r>
      <t>(PM</t>
    </r>
    <r>
      <rPr>
        <b/>
        <vertAlign val="subscript"/>
        <sz val="10"/>
        <color indexed="18"/>
        <rFont val="Arial"/>
        <family val="2"/>
      </rPr>
      <t>2.5</t>
    </r>
    <r>
      <rPr>
        <b/>
        <sz val="10"/>
        <color indexed="18"/>
        <rFont val="Arial"/>
        <family val="2"/>
      </rPr>
      <t>) M</t>
    </r>
    <r>
      <rPr>
        <b/>
        <vertAlign val="subscript"/>
        <sz val="10"/>
        <color indexed="18"/>
        <rFont val="Arial"/>
        <family val="2"/>
      </rPr>
      <t>4</t>
    </r>
    <r>
      <rPr>
        <b/>
        <sz val="10"/>
        <color indexed="18"/>
        <rFont val="Arial"/>
        <family val="2"/>
      </rPr>
      <t>:</t>
    </r>
  </si>
  <si>
    <r>
      <t>Acetone V</t>
    </r>
    <r>
      <rPr>
        <b/>
        <vertAlign val="subscript"/>
        <sz val="10"/>
        <color indexed="18"/>
        <rFont val="Arial"/>
        <family val="2"/>
      </rPr>
      <t>aw3</t>
    </r>
    <r>
      <rPr>
        <b/>
        <sz val="10"/>
        <color indexed="18"/>
        <rFont val="Arial"/>
        <family val="2"/>
      </rPr>
      <t>:</t>
    </r>
  </si>
  <si>
    <r>
      <t>Acetone W</t>
    </r>
    <r>
      <rPr>
        <b/>
        <vertAlign val="subscript"/>
        <sz val="10"/>
        <color indexed="18"/>
        <rFont val="Arial"/>
        <family val="2"/>
      </rPr>
      <t>a3</t>
    </r>
    <r>
      <rPr>
        <b/>
        <sz val="10"/>
        <color indexed="18"/>
        <rFont val="Arial"/>
        <family val="2"/>
      </rPr>
      <t>:</t>
    </r>
  </si>
  <si>
    <r>
      <t>Acetone V</t>
    </r>
    <r>
      <rPr>
        <b/>
        <vertAlign val="subscript"/>
        <sz val="10"/>
        <color indexed="18"/>
        <rFont val="Arial"/>
        <family val="2"/>
      </rPr>
      <t>aw1</t>
    </r>
    <r>
      <rPr>
        <b/>
        <sz val="10"/>
        <color indexed="18"/>
        <rFont val="Arial"/>
        <family val="2"/>
      </rPr>
      <t>:</t>
    </r>
  </si>
  <si>
    <r>
      <t>Acetone W</t>
    </r>
    <r>
      <rPr>
        <b/>
        <vertAlign val="subscript"/>
        <sz val="10"/>
        <color indexed="18"/>
        <rFont val="Arial"/>
        <family val="2"/>
      </rPr>
      <t>a1</t>
    </r>
    <r>
      <rPr>
        <b/>
        <sz val="10"/>
        <color indexed="18"/>
        <rFont val="Arial"/>
        <family val="2"/>
      </rPr>
      <t>:</t>
    </r>
  </si>
  <si>
    <r>
      <t>(Filter) M</t>
    </r>
    <r>
      <rPr>
        <b/>
        <vertAlign val="subscript"/>
        <sz val="10"/>
        <color indexed="18"/>
        <rFont val="Arial"/>
        <family val="2"/>
      </rPr>
      <t>1</t>
    </r>
    <r>
      <rPr>
        <b/>
        <sz val="10"/>
        <color indexed="18"/>
        <rFont val="Arial"/>
        <family val="2"/>
      </rPr>
      <t>:</t>
    </r>
  </si>
  <si>
    <r>
      <t>Acetone V</t>
    </r>
    <r>
      <rPr>
        <b/>
        <vertAlign val="subscript"/>
        <sz val="10"/>
        <color indexed="18"/>
        <rFont val="Arial"/>
        <family val="2"/>
      </rPr>
      <t>aw2</t>
    </r>
    <r>
      <rPr>
        <b/>
        <sz val="10"/>
        <color indexed="18"/>
        <rFont val="Arial"/>
        <family val="2"/>
      </rPr>
      <t>:</t>
    </r>
  </si>
  <si>
    <r>
      <t>Acetone W</t>
    </r>
    <r>
      <rPr>
        <b/>
        <vertAlign val="subscript"/>
        <sz val="10"/>
        <color indexed="18"/>
        <rFont val="Arial"/>
        <family val="2"/>
      </rPr>
      <t>a2</t>
    </r>
    <r>
      <rPr>
        <b/>
        <sz val="10"/>
        <color indexed="18"/>
        <rFont val="Arial"/>
        <family val="2"/>
      </rPr>
      <t>:</t>
    </r>
  </si>
  <si>
    <r>
      <t>M</t>
    </r>
    <r>
      <rPr>
        <b/>
        <vertAlign val="subscript"/>
        <sz val="10"/>
        <color indexed="18"/>
        <rFont val="Arial"/>
        <family val="2"/>
      </rPr>
      <t>sg</t>
    </r>
    <r>
      <rPr>
        <b/>
        <sz val="10"/>
        <color indexed="18"/>
        <rFont val="Arial"/>
        <family val="2"/>
      </rPr>
      <t>:</t>
    </r>
  </si>
  <si>
    <r>
      <t>V</t>
    </r>
    <r>
      <rPr>
        <b/>
        <vertAlign val="subscript"/>
        <sz val="10"/>
        <color indexed="18"/>
        <rFont val="Arial"/>
        <family val="2"/>
      </rPr>
      <t>wsg(std)</t>
    </r>
    <r>
      <rPr>
        <b/>
        <sz val="10"/>
        <color indexed="18"/>
        <rFont val="Arial"/>
        <family val="2"/>
      </rPr>
      <t>:</t>
    </r>
  </si>
  <si>
    <r>
      <t>V</t>
    </r>
    <r>
      <rPr>
        <b/>
        <vertAlign val="subscript"/>
        <sz val="10"/>
        <color indexed="18"/>
        <rFont val="Arial"/>
        <family val="2"/>
      </rPr>
      <t>wc(std)</t>
    </r>
    <r>
      <rPr>
        <b/>
        <sz val="10"/>
        <color indexed="18"/>
        <rFont val="Arial"/>
        <family val="2"/>
      </rPr>
      <t>:</t>
    </r>
  </si>
  <si>
    <r>
      <t>V</t>
    </r>
    <r>
      <rPr>
        <b/>
        <vertAlign val="subscript"/>
        <sz val="10"/>
        <color indexed="18"/>
        <rFont val="Arial"/>
        <family val="2"/>
      </rPr>
      <t>ws</t>
    </r>
    <r>
      <rPr>
        <b/>
        <sz val="10"/>
        <color indexed="18"/>
        <rFont val="Arial"/>
        <family val="2"/>
      </rPr>
      <t>:</t>
    </r>
  </si>
  <si>
    <r>
      <t>B</t>
    </r>
    <r>
      <rPr>
        <b/>
        <vertAlign val="subscript"/>
        <sz val="10"/>
        <color indexed="18"/>
        <rFont val="Arial"/>
        <family val="2"/>
      </rPr>
      <t>ws</t>
    </r>
    <r>
      <rPr>
        <b/>
        <sz val="10"/>
        <color indexed="18"/>
        <rFont val="Arial"/>
        <family val="2"/>
      </rPr>
      <t>:</t>
    </r>
  </si>
  <si>
    <r>
      <t>Actual % H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O:</t>
    </r>
  </si>
  <si>
    <r>
      <t>Acetone Density</t>
    </r>
    <r>
      <rPr>
        <b/>
        <sz val="10"/>
        <color indexed="18"/>
        <rFont val="Symbol"/>
        <family val="1"/>
        <charset val="2"/>
      </rPr>
      <t xml:space="preserve"> r</t>
    </r>
    <r>
      <rPr>
        <b/>
        <vertAlign val="subscript"/>
        <sz val="10"/>
        <color indexed="18"/>
        <rFont val="Arial"/>
        <family val="2"/>
      </rPr>
      <t>a</t>
    </r>
    <r>
      <rPr>
        <b/>
        <sz val="10"/>
        <color indexed="18"/>
        <rFont val="Arial"/>
        <family val="2"/>
      </rPr>
      <t>:</t>
    </r>
  </si>
  <si>
    <r>
      <t>Blank Volume V</t>
    </r>
    <r>
      <rPr>
        <b/>
        <vertAlign val="subscript"/>
        <sz val="10"/>
        <color indexed="18"/>
        <rFont val="Arial"/>
        <family val="2"/>
      </rPr>
      <t>aw</t>
    </r>
    <r>
      <rPr>
        <b/>
        <sz val="10"/>
        <color indexed="18"/>
        <rFont val="Arial"/>
        <family val="2"/>
      </rPr>
      <t>:</t>
    </r>
  </si>
  <si>
    <r>
      <t>Blank Conc.C</t>
    </r>
    <r>
      <rPr>
        <b/>
        <vertAlign val="subscript"/>
        <sz val="10"/>
        <color indexed="18"/>
        <rFont val="Arial"/>
        <family val="2"/>
      </rPr>
      <t>a</t>
    </r>
    <r>
      <rPr>
        <b/>
        <sz val="10"/>
        <color indexed="18"/>
        <rFont val="Arial"/>
        <family val="2"/>
      </rPr>
      <t>:</t>
    </r>
  </si>
  <si>
    <r>
      <t xml:space="preserve">Average </t>
    </r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P:</t>
    </r>
  </si>
  <si>
    <r>
      <t>Average T</t>
    </r>
    <r>
      <rPr>
        <b/>
        <vertAlign val="subscript"/>
        <sz val="10"/>
        <color indexed="18"/>
        <rFont val="Arial"/>
        <family val="2"/>
      </rPr>
      <t>m</t>
    </r>
    <r>
      <rPr>
        <b/>
        <sz val="10"/>
        <color indexed="18"/>
        <rFont val="Arial"/>
        <family val="2"/>
      </rPr>
      <t>:</t>
    </r>
  </si>
  <si>
    <r>
      <t>Average T</t>
    </r>
    <r>
      <rPr>
        <b/>
        <vertAlign val="subscript"/>
        <sz val="10"/>
        <color indexed="18"/>
        <rFont val="Arial"/>
        <family val="2"/>
      </rPr>
      <t>s</t>
    </r>
    <r>
      <rPr>
        <b/>
        <sz val="10"/>
        <color indexed="18"/>
        <rFont val="Arial"/>
        <family val="2"/>
      </rPr>
      <t>:</t>
    </r>
  </si>
  <si>
    <r>
      <t xml:space="preserve">Average </t>
    </r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H:</t>
    </r>
  </si>
  <si>
    <t>Total PM:</t>
  </si>
  <si>
    <t>acf  -  [Actual Sample Volume]</t>
  </si>
  <si>
    <t>dscf  -  [Corrected Sample Volume (std)]</t>
  </si>
  <si>
    <t>scf  -  [Volume of Water Vapor]</t>
  </si>
  <si>
    <t>dscfm  -  [Corrected Dry Sampling Rate (std)]</t>
  </si>
  <si>
    <t>acfm  -  [Actual Final Sampling Rate]</t>
  </si>
  <si>
    <t>I:</t>
  </si>
  <si>
    <t>%  -  [Percent Isokinetic Sampling]</t>
  </si>
  <si>
    <t>[Actual Reynolds Number]</t>
  </si>
  <si>
    <r>
      <t>m</t>
    </r>
    <r>
      <rPr>
        <b/>
        <sz val="10"/>
        <color indexed="18"/>
        <rFont val="Arial"/>
        <family val="2"/>
      </rPr>
      <t>:</t>
    </r>
  </si>
  <si>
    <t>mpoise  -  [Actual Gas Viscosity]</t>
  </si>
  <si>
    <r>
      <t>C</t>
    </r>
    <r>
      <rPr>
        <b/>
        <sz val="10"/>
        <color indexed="18"/>
        <rFont val="Arial"/>
        <family val="2"/>
      </rPr>
      <t>:</t>
    </r>
  </si>
  <si>
    <r>
      <t>m</t>
    </r>
    <r>
      <rPr>
        <sz val="10"/>
        <color indexed="18"/>
        <rFont val="Arial"/>
        <family val="2"/>
      </rPr>
      <t xml:space="preserve">meter  -  D50 for Cyclone 1 </t>
    </r>
  </si>
  <si>
    <r>
      <t>m</t>
    </r>
    <r>
      <rPr>
        <sz val="10"/>
        <color indexed="18"/>
        <rFont val="Arial"/>
        <family val="2"/>
      </rPr>
      <t>meter  -  D50 for Cyclone IV</t>
    </r>
  </si>
  <si>
    <r>
      <t>D</t>
    </r>
    <r>
      <rPr>
        <b/>
        <vertAlign val="subscript"/>
        <sz val="10"/>
        <color indexed="18"/>
        <rFont val="Arial"/>
        <family val="2"/>
      </rPr>
      <t>50</t>
    </r>
    <r>
      <rPr>
        <b/>
        <sz val="10"/>
        <color indexed="18"/>
        <rFont val="Arial"/>
        <family val="2"/>
      </rPr>
      <t>:</t>
    </r>
  </si>
  <si>
    <r>
      <t>D</t>
    </r>
    <r>
      <rPr>
        <b/>
        <vertAlign val="subscript"/>
        <sz val="10"/>
        <color indexed="18"/>
        <rFont val="Arial"/>
        <family val="2"/>
      </rPr>
      <t>50IV</t>
    </r>
    <r>
      <rPr>
        <b/>
        <sz val="10"/>
        <color indexed="18"/>
        <rFont val="Arial"/>
        <family val="2"/>
      </rPr>
      <t>:</t>
    </r>
  </si>
  <si>
    <r>
      <t>Q</t>
    </r>
    <r>
      <rPr>
        <b/>
        <vertAlign val="subscript"/>
        <sz val="10"/>
        <color indexed="18"/>
        <rFont val="Arial"/>
        <family val="2"/>
      </rPr>
      <t>s</t>
    </r>
    <r>
      <rPr>
        <b/>
        <sz val="10"/>
        <color indexed="18"/>
        <rFont val="Arial"/>
        <family val="2"/>
      </rPr>
      <t>:</t>
    </r>
  </si>
  <si>
    <r>
      <t>Q</t>
    </r>
    <r>
      <rPr>
        <b/>
        <vertAlign val="subscript"/>
        <sz val="10"/>
        <color indexed="18"/>
        <rFont val="Arial"/>
        <family val="2"/>
      </rPr>
      <t>Sst</t>
    </r>
    <r>
      <rPr>
        <b/>
        <sz val="10"/>
        <color indexed="18"/>
        <rFont val="Arial"/>
        <family val="2"/>
      </rPr>
      <t>:</t>
    </r>
  </si>
  <si>
    <r>
      <t>V</t>
    </r>
    <r>
      <rPr>
        <b/>
        <vertAlign val="subscript"/>
        <sz val="10"/>
        <color indexed="18"/>
        <rFont val="Arial"/>
        <family val="2"/>
      </rPr>
      <t>ws</t>
    </r>
    <r>
      <rPr>
        <b/>
        <sz val="10"/>
        <color indexed="18"/>
        <rFont val="Arial"/>
        <family val="2"/>
      </rPr>
      <t>:</t>
    </r>
  </si>
  <si>
    <r>
      <t>V</t>
    </r>
    <r>
      <rPr>
        <b/>
        <vertAlign val="subscript"/>
        <sz val="10"/>
        <color indexed="18"/>
        <rFont val="Arial"/>
        <family val="2"/>
      </rPr>
      <t>ms</t>
    </r>
    <r>
      <rPr>
        <b/>
        <sz val="10"/>
        <color indexed="18"/>
        <rFont val="Arial"/>
        <family val="2"/>
      </rPr>
      <t>:</t>
    </r>
  </si>
  <si>
    <r>
      <t>V</t>
    </r>
    <r>
      <rPr>
        <b/>
        <vertAlign val="subscript"/>
        <sz val="10"/>
        <color indexed="18"/>
        <rFont val="Arial"/>
        <family val="2"/>
      </rPr>
      <t>m</t>
    </r>
    <r>
      <rPr>
        <b/>
        <sz val="10"/>
        <color indexed="18"/>
        <rFont val="Arial"/>
        <family val="2"/>
      </rPr>
      <t>:</t>
    </r>
  </si>
  <si>
    <t>[Cunningham Correction Factor]</t>
  </si>
  <si>
    <t>Silica Gel Tare:</t>
  </si>
  <si>
    <t>CALCULATIONS AND DATA ANALYSIS</t>
  </si>
  <si>
    <r>
      <t>V</t>
    </r>
    <r>
      <rPr>
        <b/>
        <vertAlign val="subscript"/>
        <sz val="10"/>
        <color indexed="18"/>
        <rFont val="Arial"/>
        <family val="2"/>
      </rPr>
      <t>s(avg)</t>
    </r>
    <r>
      <rPr>
        <b/>
        <sz val="10"/>
        <color indexed="18"/>
        <rFont val="Arial"/>
        <family val="2"/>
      </rPr>
      <t>:</t>
    </r>
  </si>
  <si>
    <r>
      <t>Q</t>
    </r>
    <r>
      <rPr>
        <b/>
        <vertAlign val="subscript"/>
        <sz val="10"/>
        <color indexed="18"/>
        <rFont val="Arial"/>
        <family val="2"/>
      </rPr>
      <t>sd(stack)</t>
    </r>
    <r>
      <rPr>
        <b/>
        <sz val="10"/>
        <color indexed="18"/>
        <rFont val="Arial"/>
        <family val="2"/>
      </rPr>
      <t>:</t>
    </r>
  </si>
  <si>
    <r>
      <t>Q</t>
    </r>
    <r>
      <rPr>
        <b/>
        <vertAlign val="subscript"/>
        <sz val="10"/>
        <color indexed="18"/>
        <rFont val="Arial"/>
        <family val="2"/>
      </rPr>
      <t>sw(stack)</t>
    </r>
    <r>
      <rPr>
        <b/>
        <sz val="10"/>
        <color indexed="18"/>
        <rFont val="Arial"/>
        <family val="2"/>
      </rPr>
      <t>:</t>
    </r>
  </si>
  <si>
    <t>Concentrations</t>
  </si>
  <si>
    <r>
      <t>PM</t>
    </r>
    <r>
      <rPr>
        <b/>
        <vertAlign val="subscript"/>
        <sz val="10"/>
        <color indexed="18"/>
        <rFont val="Arial"/>
        <family val="2"/>
      </rPr>
      <t>2.5</t>
    </r>
    <r>
      <rPr>
        <b/>
        <sz val="10"/>
        <color indexed="18"/>
        <rFont val="Arial"/>
        <family val="2"/>
      </rPr>
      <t>:</t>
    </r>
  </si>
  <si>
    <r>
      <t>PM</t>
    </r>
    <r>
      <rPr>
        <b/>
        <vertAlign val="subscript"/>
        <sz val="10"/>
        <color indexed="18"/>
        <rFont val="Arial"/>
        <family val="2"/>
      </rPr>
      <t>10</t>
    </r>
    <r>
      <rPr>
        <b/>
        <sz val="10"/>
        <color indexed="18"/>
        <rFont val="Arial"/>
        <family val="2"/>
      </rPr>
      <t>:</t>
    </r>
  </si>
  <si>
    <t>Emission Rates</t>
  </si>
  <si>
    <t>Actual Run Time</t>
  </si>
  <si>
    <t>fps</t>
  </si>
  <si>
    <r>
      <t>T</t>
    </r>
    <r>
      <rPr>
        <b/>
        <vertAlign val="subscript"/>
        <sz val="10"/>
        <color indexed="18"/>
        <rFont val="Arial"/>
        <family val="2"/>
      </rPr>
      <t>m (avg)</t>
    </r>
  </si>
  <si>
    <r>
      <t>T</t>
    </r>
    <r>
      <rPr>
        <b/>
        <vertAlign val="subscript"/>
        <sz val="10"/>
        <color indexed="18"/>
        <rFont val="Arial"/>
        <family val="2"/>
      </rPr>
      <t>s (avg)</t>
    </r>
  </si>
  <si>
    <r>
      <t>V</t>
    </r>
    <r>
      <rPr>
        <b/>
        <vertAlign val="subscript"/>
        <sz val="12"/>
        <color indexed="18"/>
        <rFont val="Arial"/>
        <family val="2"/>
      </rPr>
      <t>m</t>
    </r>
  </si>
  <si>
    <r>
      <t>in H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O</t>
    </r>
  </si>
  <si>
    <r>
      <t>D</t>
    </r>
    <r>
      <rPr>
        <b/>
        <sz val="12"/>
        <color indexed="18"/>
        <rFont val="Arial"/>
        <family val="2"/>
      </rPr>
      <t>P (avg)</t>
    </r>
  </si>
  <si>
    <r>
      <t>DH</t>
    </r>
    <r>
      <rPr>
        <b/>
        <sz val="10"/>
        <color indexed="18"/>
        <rFont val="Arial"/>
        <family val="2"/>
      </rPr>
      <t xml:space="preserve"> (avg)</t>
    </r>
  </si>
  <si>
    <r>
      <t>V</t>
    </r>
    <r>
      <rPr>
        <b/>
        <vertAlign val="subscript"/>
        <sz val="12"/>
        <color indexed="18"/>
        <rFont val="Arial"/>
        <family val="2"/>
      </rPr>
      <t>s (avg)</t>
    </r>
  </si>
  <si>
    <t>Averages</t>
  </si>
  <si>
    <t>Absolute Null Angle °</t>
  </si>
  <si>
    <r>
      <t>Estimated N</t>
    </r>
    <r>
      <rPr>
        <b/>
        <vertAlign val="subscript"/>
        <sz val="10"/>
        <color indexed="18"/>
        <rFont val="Arial"/>
        <family val="2"/>
      </rPr>
      <t>re</t>
    </r>
    <r>
      <rPr>
        <b/>
        <sz val="10"/>
        <color indexed="18"/>
        <rFont val="Arial"/>
        <family val="2"/>
      </rPr>
      <t>:</t>
    </r>
  </si>
  <si>
    <r>
      <t>Estimated Q</t>
    </r>
    <r>
      <rPr>
        <b/>
        <vertAlign val="subscript"/>
        <sz val="10"/>
        <color indexed="18"/>
        <rFont val="Arial"/>
        <family val="2"/>
      </rPr>
      <t>s</t>
    </r>
    <r>
      <rPr>
        <b/>
        <sz val="10"/>
        <color indexed="18"/>
        <rFont val="Arial"/>
        <family val="2"/>
      </rPr>
      <t>:</t>
    </r>
  </si>
  <si>
    <r>
      <t xml:space="preserve">Estimated </t>
    </r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H:</t>
    </r>
  </si>
  <si>
    <r>
      <t>R</t>
    </r>
    <r>
      <rPr>
        <b/>
        <vertAlign val="subscript"/>
        <sz val="12"/>
        <color indexed="18"/>
        <rFont val="Arial"/>
        <family val="2"/>
      </rPr>
      <t>(min)</t>
    </r>
  </si>
  <si>
    <r>
      <t>R</t>
    </r>
    <r>
      <rPr>
        <b/>
        <vertAlign val="subscript"/>
        <sz val="12"/>
        <color indexed="18"/>
        <rFont val="Arial"/>
        <family val="2"/>
      </rPr>
      <t>(max)</t>
    </r>
  </si>
  <si>
    <r>
      <t>(PM</t>
    </r>
    <r>
      <rPr>
        <b/>
        <vertAlign val="subscript"/>
        <sz val="10"/>
        <color indexed="18"/>
        <rFont val="Arial"/>
        <family val="2"/>
      </rPr>
      <t>10</t>
    </r>
    <r>
      <rPr>
        <b/>
        <sz val="10"/>
        <color indexed="18"/>
        <rFont val="Arial"/>
        <family val="2"/>
      </rPr>
      <t>-</t>
    </r>
    <r>
      <rPr>
        <b/>
        <vertAlign val="subscript"/>
        <sz val="10"/>
        <color indexed="18"/>
        <rFont val="Arial"/>
        <family val="2"/>
      </rPr>
      <t>2.5</t>
    </r>
    <r>
      <rPr>
        <b/>
        <sz val="10"/>
        <color indexed="18"/>
        <rFont val="Arial"/>
        <family val="2"/>
      </rPr>
      <t>) M</t>
    </r>
    <r>
      <rPr>
        <b/>
        <vertAlign val="subscript"/>
        <sz val="10"/>
        <color indexed="18"/>
        <rFont val="Arial"/>
        <family val="2"/>
      </rPr>
      <t>3</t>
    </r>
    <r>
      <rPr>
        <b/>
        <sz val="10"/>
        <color indexed="18"/>
        <rFont val="Arial"/>
        <family val="2"/>
      </rPr>
      <t>:</t>
    </r>
  </si>
  <si>
    <r>
      <t>(PM</t>
    </r>
    <r>
      <rPr>
        <b/>
        <vertAlign val="subscript"/>
        <sz val="10"/>
        <color indexed="18"/>
        <rFont val="Arial"/>
        <family val="2"/>
      </rPr>
      <t>2.5</t>
    </r>
    <r>
      <rPr>
        <b/>
        <sz val="10"/>
        <color indexed="18"/>
        <rFont val="Arial"/>
        <family val="2"/>
      </rPr>
      <t>) M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:</t>
    </r>
  </si>
  <si>
    <t>Cont. 4 Tare:</t>
  </si>
  <si>
    <t>Cont. 2 Tare:</t>
  </si>
  <si>
    <t>Cont. 3 Tare:</t>
  </si>
  <si>
    <t>C1 + Filter Tare:</t>
  </si>
  <si>
    <r>
      <t>H</t>
    </r>
    <r>
      <rPr>
        <vertAlign val="subscript"/>
        <sz val="10"/>
        <color indexed="18"/>
        <rFont val="Arial"/>
        <family val="2"/>
      </rPr>
      <t>2</t>
    </r>
    <r>
      <rPr>
        <sz val="10"/>
        <color indexed="18"/>
        <rFont val="Arial"/>
        <family val="2"/>
      </rPr>
      <t>0</t>
    </r>
  </si>
  <si>
    <t>Nozzle Area:</t>
  </si>
  <si>
    <r>
      <t>in</t>
    </r>
    <r>
      <rPr>
        <vertAlign val="superscript"/>
        <sz val="10"/>
        <color indexed="18"/>
        <rFont val="Arial"/>
        <family val="2"/>
      </rPr>
      <t>2</t>
    </r>
  </si>
  <si>
    <t>Actual Mw:</t>
  </si>
  <si>
    <r>
      <t>Est. M</t>
    </r>
    <r>
      <rPr>
        <b/>
        <vertAlign val="subscript"/>
        <sz val="10"/>
        <color indexed="18"/>
        <rFont val="Arial"/>
        <family val="2"/>
      </rPr>
      <t>w</t>
    </r>
    <r>
      <rPr>
        <b/>
        <sz val="10"/>
        <color indexed="18"/>
        <rFont val="Arial"/>
        <family val="2"/>
      </rPr>
      <t>:</t>
    </r>
  </si>
  <si>
    <r>
      <t>M</t>
    </r>
    <r>
      <rPr>
        <b/>
        <vertAlign val="subscript"/>
        <sz val="10"/>
        <color indexed="18"/>
        <rFont val="Arial"/>
        <family val="2"/>
      </rPr>
      <t>d</t>
    </r>
    <r>
      <rPr>
        <b/>
        <sz val="10"/>
        <color indexed="18"/>
        <rFont val="Arial"/>
        <family val="2"/>
      </rPr>
      <t>:</t>
    </r>
  </si>
  <si>
    <t>dscf/hr  -  [Dry Stack Flow Rate (std)]</t>
  </si>
  <si>
    <r>
      <t>%CO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:</t>
    </r>
  </si>
  <si>
    <r>
      <t>%O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:</t>
    </r>
  </si>
  <si>
    <r>
      <t>%N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/CO:</t>
    </r>
  </si>
  <si>
    <r>
      <t>N</t>
    </r>
    <r>
      <rPr>
        <b/>
        <vertAlign val="subscript"/>
        <sz val="10"/>
        <color indexed="18"/>
        <rFont val="Arial"/>
        <family val="2"/>
      </rPr>
      <t>re</t>
    </r>
    <r>
      <rPr>
        <b/>
        <sz val="10"/>
        <color indexed="18"/>
        <rFont val="Arial"/>
        <family val="2"/>
      </rPr>
      <t>:</t>
    </r>
  </si>
  <si>
    <r>
      <t xml:space="preserve"> D</t>
    </r>
    <r>
      <rPr>
        <b/>
        <vertAlign val="subscript"/>
        <sz val="10"/>
        <color indexed="18"/>
        <rFont val="Arial"/>
        <family val="2"/>
      </rPr>
      <t xml:space="preserve">50        [10 </t>
    </r>
    <r>
      <rPr>
        <b/>
        <vertAlign val="subscript"/>
        <sz val="10"/>
        <color indexed="18"/>
        <rFont val="Symbol"/>
        <family val="1"/>
        <charset val="2"/>
      </rPr>
      <t>m</t>
    </r>
    <r>
      <rPr>
        <b/>
        <vertAlign val="subscript"/>
        <sz val="10"/>
        <color indexed="18"/>
        <rFont val="Arial"/>
        <family val="2"/>
      </rPr>
      <t>m]</t>
    </r>
  </si>
  <si>
    <r>
      <t>D</t>
    </r>
    <r>
      <rPr>
        <b/>
        <vertAlign val="subscript"/>
        <sz val="10"/>
        <color indexed="18"/>
        <rFont val="Arial"/>
        <family val="2"/>
      </rPr>
      <t xml:space="preserve">50   [2.5 </t>
    </r>
    <r>
      <rPr>
        <b/>
        <vertAlign val="subscript"/>
        <sz val="10"/>
        <color indexed="18"/>
        <rFont val="Symbol"/>
        <family val="1"/>
        <charset val="2"/>
      </rPr>
      <t>m</t>
    </r>
    <r>
      <rPr>
        <b/>
        <vertAlign val="subscript"/>
        <sz val="10"/>
        <color indexed="18"/>
        <rFont val="Arial"/>
        <family val="2"/>
      </rPr>
      <t>m]</t>
    </r>
  </si>
  <si>
    <r>
      <t>V</t>
    </r>
    <r>
      <rPr>
        <b/>
        <vertAlign val="subscript"/>
        <sz val="10"/>
        <color indexed="18"/>
        <rFont val="Arial"/>
        <family val="2"/>
      </rPr>
      <t>ms</t>
    </r>
    <r>
      <rPr>
        <b/>
        <sz val="10"/>
        <color indexed="18"/>
        <rFont val="Arial"/>
        <family val="2"/>
      </rPr>
      <t xml:space="preserve"> (dscf)</t>
    </r>
  </si>
  <si>
    <t>Time</t>
  </si>
  <si>
    <t>min.</t>
  </si>
  <si>
    <t>scf/hr  -  [Wet Stack Flow Rate (std)]</t>
  </si>
  <si>
    <r>
      <t>&gt;PM</t>
    </r>
    <r>
      <rPr>
        <b/>
        <vertAlign val="subscript"/>
        <sz val="10"/>
        <color indexed="18"/>
        <rFont val="Arial"/>
        <family val="2"/>
      </rPr>
      <t>10</t>
    </r>
    <r>
      <rPr>
        <b/>
        <sz val="10"/>
        <color indexed="18"/>
        <rFont val="Arial"/>
        <family val="2"/>
      </rPr>
      <t xml:space="preserve"> Recovery Analysis</t>
    </r>
  </si>
  <si>
    <r>
      <t>&lt;PM</t>
    </r>
    <r>
      <rPr>
        <b/>
        <vertAlign val="subscript"/>
        <sz val="10"/>
        <color indexed="18"/>
        <rFont val="Arial"/>
        <family val="2"/>
      </rPr>
      <t>2.5</t>
    </r>
    <r>
      <rPr>
        <b/>
        <sz val="10"/>
        <color indexed="18"/>
        <rFont val="Arial"/>
        <family val="2"/>
      </rPr>
      <t xml:space="preserve"> Filter Analysis</t>
    </r>
  </si>
  <si>
    <r>
      <t>&lt;PM</t>
    </r>
    <r>
      <rPr>
        <b/>
        <vertAlign val="subscript"/>
        <sz val="10"/>
        <color indexed="18"/>
        <rFont val="Arial"/>
        <family val="2"/>
      </rPr>
      <t>2.5</t>
    </r>
    <r>
      <rPr>
        <b/>
        <sz val="10"/>
        <color indexed="18"/>
        <rFont val="Arial"/>
        <family val="2"/>
      </rPr>
      <t xml:space="preserve"> Recovery Analysis</t>
    </r>
  </si>
  <si>
    <t>STANDARD</t>
  </si>
  <si>
    <t>CONDITIONS</t>
  </si>
  <si>
    <t>inches Hg</t>
  </si>
  <si>
    <r>
      <t>T</t>
    </r>
    <r>
      <rPr>
        <b/>
        <vertAlign val="subscript"/>
        <sz val="10"/>
        <color indexed="18"/>
        <rFont val="Arial"/>
        <family val="2"/>
      </rPr>
      <t>std</t>
    </r>
    <r>
      <rPr>
        <b/>
        <sz val="10"/>
        <color indexed="18"/>
        <rFont val="Arial"/>
        <family val="2"/>
      </rPr>
      <t>:</t>
    </r>
  </si>
  <si>
    <r>
      <t>P</t>
    </r>
    <r>
      <rPr>
        <b/>
        <vertAlign val="subscript"/>
        <sz val="10"/>
        <color indexed="18"/>
        <rFont val="Arial"/>
        <family val="2"/>
      </rPr>
      <t>std</t>
    </r>
    <r>
      <rPr>
        <b/>
        <sz val="10"/>
        <color indexed="18"/>
        <rFont val="Arial"/>
        <family val="2"/>
      </rPr>
      <t>:</t>
    </r>
  </si>
  <si>
    <t>(absolute ° )</t>
  </si>
  <si>
    <t>no password for protection.</t>
  </si>
  <si>
    <t>All cells are protected except green data entry cells.  There is</t>
  </si>
  <si>
    <t>The Stack Area cell on the Pre-Test page will turn red if the</t>
  </si>
  <si>
    <t>stack area is too small or it will change to blue if blockage</t>
  </si>
  <si>
    <t xml:space="preserve">must be considered.  Nozzle calculations adjust for </t>
  </si>
  <si>
    <t>blockage if necessary.</t>
  </si>
  <si>
    <t>Container 7 Tare:</t>
  </si>
  <si>
    <r>
      <t xml:space="preserve">Preliminary </t>
    </r>
    <r>
      <rPr>
        <b/>
        <sz val="12"/>
        <color indexed="18"/>
        <rFont val="Symbol"/>
        <family val="1"/>
        <charset val="2"/>
      </rPr>
      <t>D</t>
    </r>
    <r>
      <rPr>
        <b/>
        <sz val="12"/>
        <color indexed="18"/>
        <rFont val="Arial"/>
        <family val="2"/>
      </rPr>
      <t>P (in. H</t>
    </r>
    <r>
      <rPr>
        <b/>
        <vertAlign val="subscript"/>
        <sz val="12"/>
        <color indexed="18"/>
        <rFont val="Arial"/>
        <family val="2"/>
      </rPr>
      <t>2</t>
    </r>
    <r>
      <rPr>
        <b/>
        <sz val="12"/>
        <color indexed="18"/>
        <rFont val="Arial"/>
        <family val="2"/>
      </rPr>
      <t>O)</t>
    </r>
  </si>
  <si>
    <r>
      <t>sqrt</t>
    </r>
    <r>
      <rPr>
        <b/>
        <sz val="10"/>
        <color indexed="18"/>
        <rFont val="GreekC"/>
      </rPr>
      <t>(</t>
    </r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m</t>
    </r>
    <r>
      <rPr>
        <b/>
        <sz val="10"/>
        <color indexed="18"/>
        <rFont val="Arial"/>
        <family val="2"/>
      </rPr>
      <t>)</t>
    </r>
  </si>
  <si>
    <r>
      <t>( inches H</t>
    </r>
    <r>
      <rPr>
        <b/>
        <vertAlign val="subscript"/>
        <sz val="10"/>
        <color indexed="18"/>
        <rFont val="Arial"/>
        <family val="2"/>
      </rPr>
      <t>2</t>
    </r>
    <r>
      <rPr>
        <b/>
        <sz val="10"/>
        <color indexed="18"/>
        <rFont val="Arial"/>
        <family val="2"/>
      </rPr>
      <t>O)</t>
    </r>
  </si>
  <si>
    <t>mg/ml</t>
  </si>
  <si>
    <r>
      <t>mg</t>
    </r>
    <r>
      <rPr>
        <vertAlign val="subscript"/>
        <sz val="10"/>
        <color indexed="18"/>
        <rFont val="Arial"/>
        <family val="2"/>
      </rPr>
      <t>r</t>
    </r>
    <r>
      <rPr>
        <sz val="10"/>
        <color indexed="18"/>
        <rFont val="Arial"/>
        <family val="2"/>
      </rPr>
      <t>/mg</t>
    </r>
    <r>
      <rPr>
        <vertAlign val="subscript"/>
        <sz val="10"/>
        <color indexed="18"/>
        <rFont val="Arial"/>
        <family val="2"/>
      </rPr>
      <t>v</t>
    </r>
  </si>
  <si>
    <t>Clock Time (min)</t>
  </si>
  <si>
    <t>U.S. EPA Method 201A  Determination of Filterable PM10 &amp; PM2.5 Emissions</t>
  </si>
  <si>
    <t>NOTE:  This spreadsheet contains circular references, therefore, iterative calculation must be turned on in Excel.  In the 2010 version of Excel, the iterative calculation selection is located in File/Options/Formulas.</t>
  </si>
  <si>
    <r>
      <t>R</t>
    </r>
    <r>
      <rPr>
        <b/>
        <vertAlign val="subscript"/>
        <sz val="9"/>
        <color indexed="18"/>
        <rFont val="Arial"/>
        <family val="2"/>
      </rPr>
      <t>max</t>
    </r>
  </si>
  <si>
    <r>
      <t>R</t>
    </r>
    <r>
      <rPr>
        <b/>
        <vertAlign val="subscript"/>
        <sz val="9"/>
        <color indexed="18"/>
        <rFont val="Arial"/>
        <family val="2"/>
      </rPr>
      <t>min</t>
    </r>
  </si>
  <si>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min</t>
    </r>
    <r>
      <rPr>
        <b/>
        <sz val="10"/>
        <color indexed="18"/>
        <rFont val="Arial"/>
        <family val="2"/>
      </rPr>
      <t xml:space="preserve">
(</t>
    </r>
    <r>
      <rPr>
        <b/>
        <sz val="8"/>
        <color indexed="18"/>
        <rFont val="Arial"/>
        <family val="2"/>
      </rPr>
      <t>in H</t>
    </r>
    <r>
      <rPr>
        <b/>
        <vertAlign val="subscript"/>
        <sz val="8"/>
        <color indexed="18"/>
        <rFont val="Arial"/>
        <family val="2"/>
      </rPr>
      <t>2</t>
    </r>
    <r>
      <rPr>
        <b/>
        <sz val="8"/>
        <color indexed="18"/>
        <rFont val="Arial"/>
        <family val="2"/>
      </rPr>
      <t>O</t>
    </r>
    <r>
      <rPr>
        <b/>
        <sz val="10"/>
        <color indexed="18"/>
        <rFont val="Arial"/>
        <family val="2"/>
      </rPr>
      <t>)</t>
    </r>
  </si>
  <si>
    <r>
      <t xml:space="preserve">Vn
</t>
    </r>
    <r>
      <rPr>
        <b/>
        <sz val="8"/>
        <color indexed="18"/>
        <rFont val="Arial"/>
        <family val="2"/>
      </rPr>
      <t>(fps)</t>
    </r>
  </si>
  <si>
    <r>
      <rPr>
        <b/>
        <sz val="10"/>
        <color indexed="18"/>
        <rFont val="Symbol"/>
        <family val="1"/>
        <charset val="2"/>
      </rPr>
      <t>D</t>
    </r>
    <r>
      <rPr>
        <b/>
        <sz val="10"/>
        <color indexed="18"/>
        <rFont val="Arial"/>
        <family val="2"/>
      </rPr>
      <t>P</t>
    </r>
    <r>
      <rPr>
        <b/>
        <vertAlign val="subscript"/>
        <sz val="10"/>
        <color indexed="18"/>
        <rFont val="Arial"/>
        <family val="2"/>
      </rPr>
      <t>max</t>
    </r>
    <r>
      <rPr>
        <b/>
        <sz val="10"/>
        <color indexed="18"/>
        <rFont val="Arial"/>
        <family val="2"/>
      </rPr>
      <t xml:space="preserve">
(</t>
    </r>
    <r>
      <rPr>
        <b/>
        <sz val="8"/>
        <color indexed="18"/>
        <rFont val="Arial"/>
        <family val="2"/>
      </rPr>
      <t>in H</t>
    </r>
    <r>
      <rPr>
        <b/>
        <vertAlign val="subscript"/>
        <sz val="8"/>
        <color indexed="18"/>
        <rFont val="Arial"/>
        <family val="2"/>
      </rPr>
      <t>2</t>
    </r>
    <r>
      <rPr>
        <b/>
        <sz val="8"/>
        <color indexed="18"/>
        <rFont val="Arial"/>
        <family val="2"/>
      </rPr>
      <t>O</t>
    </r>
    <r>
      <rPr>
        <b/>
        <sz val="10"/>
        <color indexed="18"/>
        <rFont val="Arial"/>
        <family val="2"/>
      </rPr>
      <t>)</t>
    </r>
  </si>
  <si>
    <r>
      <t>V</t>
    </r>
    <r>
      <rPr>
        <b/>
        <vertAlign val="subscript"/>
        <sz val="9"/>
        <color indexed="18"/>
        <rFont val="Arial"/>
        <family val="2"/>
      </rPr>
      <t xml:space="preserve">min
</t>
    </r>
    <r>
      <rPr>
        <b/>
        <vertAlign val="subscript"/>
        <sz val="10"/>
        <color indexed="18"/>
        <rFont val="Arial"/>
        <family val="2"/>
      </rPr>
      <t>(fps)</t>
    </r>
  </si>
  <si>
    <r>
      <t>V</t>
    </r>
    <r>
      <rPr>
        <b/>
        <vertAlign val="subscript"/>
        <sz val="9"/>
        <color indexed="18"/>
        <rFont val="Arial"/>
        <family val="2"/>
      </rPr>
      <t xml:space="preserve">max
</t>
    </r>
    <r>
      <rPr>
        <b/>
        <vertAlign val="subscript"/>
        <sz val="10"/>
        <color indexed="18"/>
        <rFont val="Arial"/>
        <family val="2"/>
      </rPr>
      <t>(fps)</t>
    </r>
  </si>
  <si>
    <r>
      <t>in H</t>
    </r>
    <r>
      <rPr>
        <vertAlign val="subscript"/>
        <sz val="9"/>
        <color indexed="18"/>
        <rFont val="Arial"/>
        <family val="2"/>
      </rPr>
      <t>2</t>
    </r>
    <r>
      <rPr>
        <sz val="9"/>
        <color indexed="18"/>
        <rFont val="Arial"/>
        <family val="2"/>
      </rPr>
      <t>O</t>
    </r>
  </si>
  <si>
    <t>fps  -  [Average Stack Velocity]</t>
  </si>
  <si>
    <t>Version 2.85 (May 22, 2017)</t>
  </si>
  <si>
    <t>Copyright 2017</t>
  </si>
  <si>
    <t>708 E Club Blvd</t>
  </si>
  <si>
    <t>Spreadsheet ES-Method 201A-MASTER-V2.85.xlsx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</si>
</sst>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000"/>
    <numFmt numFmtId="165" formatCode="0.000"/>
    <numFmt numFmtId="166" formatCode="0.0"/>
    <numFmt numFmtId="167" formatCode="0.00000"/>
    <numFmt numFmtId="168" formatCode="0.000000"/>
    <numFmt numFmtId="169" formatCode="0.0000000"/>
    <numFmt numFmtId="170" formatCode="d\-mmm\-yyyy"/>
    <numFmt numFmtId="171" formatCode="0.00000E+00"/>
  </numFmts>
  <fonts count="54">
    <font>
      <sz val="10"/>
      <name val="Arial"/>
    </font>
    <font>
      <b/>
      <sz val="10"/>
      <color indexed="18"/>
      <name val="Arial"/>
      <family val="2"/>
    </font>
    <font>
      <b/>
      <vertAlign val="subscript"/>
      <sz val="10"/>
      <color indexed="18"/>
      <name val="Arial"/>
      <family val="2"/>
    </font>
    <font>
      <b/>
      <sz val="10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b/>
      <sz val="11"/>
      <color indexed="18"/>
      <name val="Arial"/>
      <family val="2"/>
    </font>
    <font>
      <b/>
      <vertAlign val="superscript"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10"/>
      <color indexed="18"/>
      <name val="Symbol"/>
      <family val="1"/>
      <charset val="2"/>
    </font>
    <font>
      <sz val="10"/>
      <color indexed="18"/>
      <name val="Arial"/>
      <family val="2"/>
    </font>
    <font>
      <vertAlign val="superscript"/>
      <sz val="10"/>
      <color indexed="18"/>
      <name val="Arial"/>
      <family val="2"/>
    </font>
    <font>
      <b/>
      <sz val="12"/>
      <color indexed="18"/>
      <name val="Arial"/>
      <family val="2"/>
    </font>
    <font>
      <vertAlign val="subscript"/>
      <sz val="10"/>
      <color indexed="18"/>
      <name val="Arial"/>
      <family val="2"/>
    </font>
    <font>
      <sz val="10"/>
      <color indexed="9"/>
      <name val="Arial"/>
      <family val="2"/>
    </font>
    <font>
      <b/>
      <sz val="16"/>
      <color indexed="18"/>
      <name val="Arial"/>
      <family val="2"/>
    </font>
    <font>
      <sz val="8"/>
      <color indexed="18"/>
      <name val="Arial"/>
      <family val="2"/>
    </font>
    <font>
      <sz val="18"/>
      <color indexed="18"/>
      <name val="Arial"/>
      <family val="2"/>
    </font>
    <font>
      <sz val="10"/>
      <color indexed="53"/>
      <name val="Arial"/>
      <family val="2"/>
    </font>
    <font>
      <sz val="10"/>
      <color indexed="10"/>
      <name val="Arial"/>
      <family val="2"/>
    </font>
    <font>
      <b/>
      <sz val="14"/>
      <color indexed="18"/>
      <name val="Arial"/>
      <family val="2"/>
    </font>
    <font>
      <b/>
      <sz val="20"/>
      <color indexed="18"/>
      <name val="Arial"/>
      <family val="2"/>
    </font>
    <font>
      <b/>
      <sz val="9"/>
      <color indexed="39"/>
      <name val="Verdana"/>
      <family val="2"/>
    </font>
    <font>
      <sz val="14"/>
      <name val="Arial"/>
      <family val="2"/>
    </font>
    <font>
      <b/>
      <vertAlign val="subscript"/>
      <sz val="10"/>
      <color indexed="18"/>
      <name val="Symbol"/>
      <family val="1"/>
      <charset val="2"/>
    </font>
    <font>
      <sz val="10"/>
      <name val="Arial"/>
      <family val="2"/>
    </font>
    <font>
      <b/>
      <sz val="10"/>
      <color indexed="12"/>
      <name val="Verdana"/>
      <family val="2"/>
    </font>
    <font>
      <sz val="10"/>
      <color indexed="12"/>
      <name val="Verdana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6"/>
      <color indexed="9"/>
      <name val="Arial"/>
      <family val="2"/>
    </font>
    <font>
      <sz val="14"/>
      <color indexed="9"/>
      <name val="Arial"/>
      <family val="2"/>
    </font>
    <font>
      <b/>
      <sz val="10"/>
      <color indexed="18"/>
      <name val="GreekC"/>
    </font>
    <font>
      <b/>
      <vertAlign val="subscript"/>
      <sz val="12"/>
      <color indexed="18"/>
      <name val="Arial"/>
      <family val="2"/>
    </font>
    <font>
      <sz val="11"/>
      <color indexed="18"/>
      <name val="Symbol"/>
      <family val="1"/>
      <charset val="2"/>
    </font>
    <font>
      <sz val="11"/>
      <color indexed="18"/>
      <name val="Arial"/>
      <family val="2"/>
    </font>
    <font>
      <b/>
      <sz val="9"/>
      <color indexed="18"/>
      <name val="Arial"/>
      <family val="2"/>
    </font>
    <font>
      <sz val="9"/>
      <name val="Arial"/>
      <family val="2"/>
    </font>
    <font>
      <b/>
      <sz val="8"/>
      <color indexed="18"/>
      <name val="Symbol"/>
      <family val="1"/>
      <charset val="2"/>
    </font>
    <font>
      <sz val="8"/>
      <name val="Arial"/>
      <family val="2"/>
    </font>
    <font>
      <b/>
      <vertAlign val="subscript"/>
      <sz val="8"/>
      <color indexed="18"/>
      <name val="Arial"/>
      <family val="2"/>
    </font>
    <font>
      <sz val="10"/>
      <color indexed="18"/>
      <name val="Symbol"/>
      <family val="1"/>
      <charset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18"/>
      <name val="Symbol"/>
      <family val="1"/>
      <charset val="2"/>
    </font>
    <font>
      <sz val="14"/>
      <color indexed="18"/>
      <name val="Arial"/>
      <family val="2"/>
    </font>
    <font>
      <b/>
      <sz val="12"/>
      <color indexed="39"/>
      <name val="Verdana"/>
      <family val="2"/>
    </font>
    <font>
      <b/>
      <sz val="12"/>
      <color indexed="12"/>
      <name val="Verdana"/>
      <family val="2"/>
    </font>
    <font>
      <sz val="12"/>
      <color indexed="12"/>
      <name val="Verdan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vertAlign val="subscript"/>
      <sz val="9"/>
      <color indexed="18"/>
      <name val="Arial"/>
      <family val="2"/>
    </font>
    <font>
      <sz val="9"/>
      <color indexed="18"/>
      <name val="Arial"/>
      <family val="2"/>
    </font>
    <font>
      <vertAlign val="subscript"/>
      <sz val="9"/>
      <color indexed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04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0" fontId="12" fillId="0" borderId="0" xfId="0" applyFont="1"/>
    <xf numFmtId="0" fontId="12" fillId="0" borderId="0" xfId="0" quotePrefix="1" applyFont="1"/>
    <xf numFmtId="0" fontId="16" fillId="4" borderId="0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left" vertical="center" shrinkToFit="1"/>
    </xf>
    <xf numFmtId="2" fontId="4" fillId="4" borderId="0" xfId="0" applyNumberFormat="1" applyFont="1" applyFill="1" applyBorder="1" applyAlignment="1" applyProtection="1">
      <alignment horizontal="left" vertical="center" shrinkToFit="1"/>
    </xf>
    <xf numFmtId="0" fontId="4" fillId="4" borderId="0" xfId="0" applyFont="1" applyFill="1" applyBorder="1" applyAlignment="1" applyProtection="1">
      <alignment horizontal="left" vertical="center" shrinkToFit="1"/>
    </xf>
    <xf numFmtId="2" fontId="4" fillId="4" borderId="3" xfId="0" applyNumberFormat="1" applyFont="1" applyFill="1" applyBorder="1" applyAlignment="1" applyProtection="1">
      <alignment horizontal="left" vertical="center" shrinkToFit="1"/>
    </xf>
    <xf numFmtId="0" fontId="5" fillId="5" borderId="4" xfId="0" applyFont="1" applyFill="1" applyBorder="1" applyAlignment="1" applyProtection="1">
      <alignment horizontal="center" vertical="center" shrinkToFit="1"/>
    </xf>
    <xf numFmtId="0" fontId="9" fillId="5" borderId="5" xfId="0" applyFont="1" applyFill="1" applyBorder="1" applyAlignment="1" applyProtection="1">
      <alignment horizontal="center" vertical="center" shrinkToFit="1"/>
    </xf>
    <xf numFmtId="0" fontId="5" fillId="5" borderId="6" xfId="0" applyFont="1" applyFill="1" applyBorder="1" applyAlignment="1" applyProtection="1">
      <alignment horizontal="center" vertical="center" wrapText="1"/>
    </xf>
    <xf numFmtId="0" fontId="1" fillId="4" borderId="5" xfId="0" applyFont="1" applyFill="1" applyBorder="1" applyAlignment="1" applyProtection="1">
      <alignment horizontal="right" vertical="center"/>
    </xf>
    <xf numFmtId="0" fontId="1" fillId="0" borderId="5" xfId="0" applyFont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0" fillId="4" borderId="0" xfId="0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right" vertical="center" shrinkToFit="1"/>
    </xf>
    <xf numFmtId="0" fontId="1" fillId="0" borderId="0" xfId="0" applyFont="1" applyBorder="1" applyAlignment="1" applyProtection="1">
      <alignment horizontal="right" vertical="center" shrinkToFit="1"/>
    </xf>
    <xf numFmtId="0" fontId="1" fillId="4" borderId="2" xfId="0" applyFont="1" applyFill="1" applyBorder="1" applyAlignment="1" applyProtection="1">
      <alignment horizontal="right" vertical="center"/>
    </xf>
    <xf numFmtId="0" fontId="1" fillId="4" borderId="3" xfId="0" applyFont="1" applyFill="1" applyBorder="1" applyAlignment="1" applyProtection="1">
      <alignment horizontal="right" vertical="center" shrinkToFit="1"/>
    </xf>
    <xf numFmtId="1" fontId="29" fillId="4" borderId="0" xfId="0" applyNumberFormat="1" applyFont="1" applyFill="1" applyBorder="1" applyAlignment="1" applyProtection="1">
      <alignment horizontal="right" vertical="center"/>
    </xf>
    <xf numFmtId="165" fontId="28" fillId="4" borderId="0" xfId="0" applyNumberFormat="1" applyFont="1" applyFill="1" applyBorder="1" applyAlignment="1" applyProtection="1">
      <alignment horizontal="center" vertical="center"/>
    </xf>
    <xf numFmtId="1" fontId="30" fillId="4" borderId="0" xfId="0" applyNumberFormat="1" applyFont="1" applyFill="1" applyBorder="1" applyAlignment="1" applyProtection="1">
      <alignment horizontal="right" vertical="center"/>
    </xf>
    <xf numFmtId="0" fontId="31" fillId="4" borderId="0" xfId="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right" vertical="center"/>
    </xf>
    <xf numFmtId="2" fontId="4" fillId="3" borderId="1" xfId="0" applyNumberFormat="1" applyFont="1" applyFill="1" applyBorder="1" applyAlignment="1" applyProtection="1">
      <alignment horizontal="center" vertical="center" shrinkToFit="1"/>
    </xf>
    <xf numFmtId="165" fontId="4" fillId="3" borderId="7" xfId="0" applyNumberFormat="1" applyFont="1" applyFill="1" applyBorder="1" applyAlignment="1" applyProtection="1">
      <alignment horizontal="center" vertical="center" shrinkToFit="1"/>
    </xf>
    <xf numFmtId="2" fontId="4" fillId="3" borderId="8" xfId="0" applyNumberFormat="1" applyFont="1" applyFill="1" applyBorder="1" applyAlignment="1" applyProtection="1">
      <alignment horizontal="center" vertical="center" shrinkToFit="1"/>
    </xf>
    <xf numFmtId="0" fontId="5" fillId="5" borderId="5" xfId="0" applyFont="1" applyFill="1" applyBorder="1" applyAlignment="1" applyProtection="1">
      <alignment horizontal="center" vertical="center" shrinkToFit="1"/>
    </xf>
    <xf numFmtId="2" fontId="4" fillId="3" borderId="9" xfId="0" applyNumberFormat="1" applyFont="1" applyFill="1" applyBorder="1" applyAlignment="1" applyProtection="1">
      <alignment horizontal="center" vertical="center" shrinkToFit="1"/>
    </xf>
    <xf numFmtId="165" fontId="4" fillId="3" borderId="10" xfId="0" applyNumberFormat="1" applyFont="1" applyFill="1" applyBorder="1" applyAlignment="1" applyProtection="1">
      <alignment horizontal="center" vertical="center" shrinkToFit="1"/>
    </xf>
    <xf numFmtId="0" fontId="4" fillId="4" borderId="11" xfId="0" applyFont="1" applyFill="1" applyBorder="1" applyAlignment="1" applyProtection="1">
      <alignment horizontal="left" vertical="center" shrinkToFit="1"/>
    </xf>
    <xf numFmtId="2" fontId="4" fillId="4" borderId="12" xfId="0" applyNumberFormat="1" applyFont="1" applyFill="1" applyBorder="1" applyAlignment="1" applyProtection="1">
      <alignment horizontal="left" vertical="center" shrinkToFit="1"/>
    </xf>
    <xf numFmtId="0" fontId="4" fillId="4" borderId="12" xfId="0" applyFont="1" applyFill="1" applyBorder="1" applyAlignment="1" applyProtection="1">
      <alignment horizontal="left" vertical="center" shrinkToFit="1"/>
    </xf>
    <xf numFmtId="2" fontId="4" fillId="4" borderId="13" xfId="0" applyNumberFormat="1" applyFont="1" applyFill="1" applyBorder="1" applyAlignment="1" applyProtection="1">
      <alignment horizontal="left" vertical="center" shrinkToFit="1"/>
    </xf>
    <xf numFmtId="0" fontId="16" fillId="4" borderId="12" xfId="0" applyFont="1" applyFill="1" applyBorder="1" applyAlignment="1" applyProtection="1">
      <alignment horizontal="center" vertical="center" wrapText="1"/>
    </xf>
    <xf numFmtId="1" fontId="12" fillId="4" borderId="0" xfId="0" applyNumberFormat="1" applyFont="1" applyFill="1" applyBorder="1" applyAlignment="1" applyProtection="1">
      <alignment horizontal="right" vertical="center"/>
    </xf>
    <xf numFmtId="165" fontId="20" fillId="4" borderId="0" xfId="0" applyNumberFormat="1" applyFont="1" applyFill="1" applyBorder="1" applyAlignment="1" applyProtection="1">
      <alignment horizontal="center" vertical="center"/>
    </xf>
    <xf numFmtId="1" fontId="15" fillId="4" borderId="0" xfId="0" applyNumberFormat="1" applyFont="1" applyFill="1" applyBorder="1" applyAlignment="1" applyProtection="1">
      <alignment horizontal="right" vertical="center"/>
    </xf>
    <xf numFmtId="166" fontId="20" fillId="4" borderId="0" xfId="0" applyNumberFormat="1" applyFont="1" applyFill="1" applyBorder="1" applyAlignment="1" applyProtection="1">
      <alignment horizontal="center" vertical="center"/>
    </xf>
    <xf numFmtId="0" fontId="23" fillId="4" borderId="0" xfId="0" applyFont="1" applyFill="1" applyBorder="1" applyAlignment="1" applyProtection="1">
      <alignment horizontal="center" vertical="center"/>
    </xf>
    <xf numFmtId="165" fontId="4" fillId="3" borderId="14" xfId="0" applyNumberFormat="1" applyFont="1" applyFill="1" applyBorder="1" applyAlignment="1" applyProtection="1">
      <alignment horizontal="center" vertical="center" shrinkToFit="1"/>
    </xf>
    <xf numFmtId="2" fontId="4" fillId="3" borderId="15" xfId="0" applyNumberFormat="1" applyFont="1" applyFill="1" applyBorder="1" applyAlignment="1" applyProtection="1">
      <alignment horizontal="center" vertical="center" shrinkToFit="1"/>
    </xf>
    <xf numFmtId="165" fontId="4" fillId="3" borderId="16" xfId="0" applyNumberFormat="1" applyFont="1" applyFill="1" applyBorder="1" applyAlignment="1" applyProtection="1">
      <alignment horizontal="center" vertical="center" shrinkToFit="1"/>
    </xf>
    <xf numFmtId="165" fontId="4" fillId="3" borderId="9" xfId="0" applyNumberFormat="1" applyFont="1" applyFill="1" applyBorder="1" applyAlignment="1" applyProtection="1">
      <alignment horizontal="center" vertical="center" shrinkToFit="1"/>
    </xf>
    <xf numFmtId="0" fontId="10" fillId="4" borderId="0" xfId="0" applyFont="1" applyFill="1" applyBorder="1" applyAlignment="1" applyProtection="1">
      <alignment vertical="center"/>
    </xf>
    <xf numFmtId="0" fontId="1" fillId="4" borderId="0" xfId="0" applyFont="1" applyFill="1" applyBorder="1" applyAlignment="1" applyProtection="1">
      <alignment vertical="center"/>
    </xf>
    <xf numFmtId="0" fontId="3" fillId="4" borderId="0" xfId="0" applyFont="1" applyFill="1" applyBorder="1" applyAlignment="1" applyProtection="1">
      <alignment horizontal="center" vertical="center" shrinkToFit="1"/>
    </xf>
    <xf numFmtId="2" fontId="1" fillId="4" borderId="0" xfId="0" applyNumberFormat="1" applyFont="1" applyFill="1" applyBorder="1" applyAlignment="1" applyProtection="1">
      <alignment vertical="center" shrinkToFit="1"/>
    </xf>
    <xf numFmtId="3" fontId="1" fillId="4" borderId="0" xfId="0" applyNumberFormat="1" applyFont="1" applyFill="1" applyBorder="1" applyAlignment="1" applyProtection="1">
      <alignment vertical="center"/>
    </xf>
    <xf numFmtId="3" fontId="1" fillId="4" borderId="0" xfId="0" applyNumberFormat="1" applyFont="1" applyFill="1" applyBorder="1" applyAlignment="1" applyProtection="1">
      <alignment vertical="center" shrinkToFit="1"/>
    </xf>
    <xf numFmtId="166" fontId="1" fillId="4" borderId="0" xfId="0" applyNumberFormat="1" applyFont="1" applyFill="1" applyBorder="1" applyAlignment="1" applyProtection="1">
      <alignment horizontal="center" vertical="center" shrinkToFit="1"/>
    </xf>
    <xf numFmtId="166" fontId="1" fillId="4" borderId="0" xfId="0" applyNumberFormat="1" applyFont="1" applyFill="1" applyBorder="1" applyAlignment="1" applyProtection="1">
      <alignment horizontal="center" vertical="center"/>
    </xf>
    <xf numFmtId="164" fontId="1" fillId="4" borderId="0" xfId="0" applyNumberFormat="1" applyFont="1" applyFill="1" applyBorder="1" applyAlignment="1" applyProtection="1">
      <alignment horizontal="center" vertical="center" shrinkToFit="1"/>
    </xf>
    <xf numFmtId="0" fontId="15" fillId="4" borderId="0" xfId="0" applyFont="1" applyFill="1" applyBorder="1" applyAlignment="1" applyProtection="1">
      <alignment horizontal="center" vertical="center" textRotation="90"/>
    </xf>
    <xf numFmtId="0" fontId="5" fillId="5" borderId="2" xfId="0" applyFont="1" applyFill="1" applyBorder="1" applyAlignment="1" applyProtection="1">
      <alignment horizontal="center" vertical="center"/>
    </xf>
    <xf numFmtId="165" fontId="1" fillId="4" borderId="0" xfId="0" applyNumberFormat="1" applyFont="1" applyFill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 shrinkToFit="1"/>
    </xf>
    <xf numFmtId="165" fontId="1" fillId="4" borderId="3" xfId="0" applyNumberFormat="1" applyFont="1" applyFill="1" applyBorder="1" applyAlignment="1" applyProtection="1">
      <alignment horizontal="center" vertical="center" shrinkToFit="1"/>
    </xf>
    <xf numFmtId="0" fontId="1" fillId="4" borderId="4" xfId="0" applyFont="1" applyFill="1" applyBorder="1" applyAlignment="1" applyProtection="1">
      <alignment horizontal="right" vertical="center" shrinkToFit="1"/>
    </xf>
    <xf numFmtId="0" fontId="1" fillId="4" borderId="2" xfId="0" applyFont="1" applyFill="1" applyBorder="1" applyAlignment="1" applyProtection="1">
      <alignment horizontal="right" vertical="center" shrinkToFit="1"/>
    </xf>
    <xf numFmtId="0" fontId="1" fillId="5" borderId="17" xfId="0" applyFont="1" applyFill="1" applyBorder="1" applyAlignment="1" applyProtection="1">
      <alignment horizontal="center" vertical="center" shrinkToFit="1"/>
    </xf>
    <xf numFmtId="0" fontId="10" fillId="4" borderId="13" xfId="0" applyFont="1" applyFill="1" applyBorder="1" applyAlignment="1" applyProtection="1">
      <alignment horizontal="left" vertical="center"/>
    </xf>
    <xf numFmtId="2" fontId="4" fillId="3" borderId="18" xfId="0" applyNumberFormat="1" applyFont="1" applyFill="1" applyBorder="1" applyAlignment="1" applyProtection="1">
      <alignment horizontal="center" vertical="center" shrinkToFit="1"/>
    </xf>
    <xf numFmtId="2" fontId="4" fillId="4" borderId="19" xfId="0" applyNumberFormat="1" applyFont="1" applyFill="1" applyBorder="1" applyAlignment="1" applyProtection="1">
      <alignment horizontal="left" vertical="center" shrinkToFit="1"/>
    </xf>
    <xf numFmtId="0" fontId="4" fillId="4" borderId="19" xfId="0" applyFont="1" applyFill="1" applyBorder="1" applyAlignment="1" applyProtection="1">
      <alignment horizontal="left" vertical="center" shrinkToFit="1"/>
    </xf>
    <xf numFmtId="0" fontId="0" fillId="4" borderId="0" xfId="0" applyFill="1" applyBorder="1" applyAlignment="1" applyProtection="1">
      <alignment horizontal="right" vertical="center" shrinkToFit="1"/>
    </xf>
    <xf numFmtId="2" fontId="4" fillId="4" borderId="20" xfId="0" applyNumberFormat="1" applyFont="1" applyFill="1" applyBorder="1" applyAlignment="1" applyProtection="1">
      <alignment horizontal="left" vertical="center" shrinkToFit="1"/>
    </xf>
    <xf numFmtId="0" fontId="1" fillId="4" borderId="20" xfId="0" applyFont="1" applyFill="1" applyBorder="1" applyAlignment="1" applyProtection="1">
      <alignment horizontal="right" vertical="center" shrinkToFit="1"/>
    </xf>
    <xf numFmtId="2" fontId="4" fillId="4" borderId="21" xfId="0" applyNumberFormat="1" applyFont="1" applyFill="1" applyBorder="1" applyAlignment="1" applyProtection="1">
      <alignment horizontal="left" vertical="center" shrinkToFit="1"/>
    </xf>
    <xf numFmtId="164" fontId="4" fillId="3" borderId="8" xfId="0" applyNumberFormat="1" applyFont="1" applyFill="1" applyBorder="1" applyAlignment="1" applyProtection="1">
      <alignment horizontal="center" vertical="center" shrinkToFit="1"/>
    </xf>
    <xf numFmtId="164" fontId="4" fillId="3" borderId="1" xfId="0" applyNumberFormat="1" applyFont="1" applyFill="1" applyBorder="1" applyAlignment="1" applyProtection="1">
      <alignment horizontal="center" vertical="center" shrinkToFit="1"/>
    </xf>
    <xf numFmtId="164" fontId="4" fillId="3" borderId="15" xfId="0" applyNumberFormat="1" applyFont="1" applyFill="1" applyBorder="1" applyAlignment="1" applyProtection="1">
      <alignment horizontal="center" vertical="center" shrinkToFit="1"/>
    </xf>
    <xf numFmtId="165" fontId="4" fillId="3" borderId="22" xfId="0" applyNumberFormat="1" applyFont="1" applyFill="1" applyBorder="1" applyAlignment="1" applyProtection="1">
      <alignment horizontal="center" vertical="center" shrinkToFit="1"/>
    </xf>
    <xf numFmtId="0" fontId="4" fillId="4" borderId="0" xfId="0" applyFont="1" applyFill="1" applyBorder="1" applyAlignment="1" applyProtection="1">
      <alignment vertical="center"/>
    </xf>
    <xf numFmtId="0" fontId="4" fillId="0" borderId="3" xfId="0" applyFont="1" applyBorder="1" applyAlignment="1" applyProtection="1">
      <alignment vertical="center"/>
    </xf>
    <xf numFmtId="0" fontId="10" fillId="4" borderId="2" xfId="0" applyFont="1" applyFill="1" applyBorder="1" applyAlignment="1" applyProtection="1">
      <alignment vertical="center"/>
    </xf>
    <xf numFmtId="0" fontId="10" fillId="0" borderId="0" xfId="0" applyFont="1" applyBorder="1" applyAlignment="1" applyProtection="1">
      <alignment vertical="center"/>
    </xf>
    <xf numFmtId="0" fontId="4" fillId="4" borderId="3" xfId="0" applyFont="1" applyFill="1" applyBorder="1" applyAlignment="1" applyProtection="1">
      <alignment vertical="center"/>
    </xf>
    <xf numFmtId="164" fontId="4" fillId="3" borderId="9" xfId="0" applyNumberFormat="1" applyFont="1" applyFill="1" applyBorder="1" applyAlignment="1" applyProtection="1">
      <alignment horizontal="center" vertical="center" shrinkToFit="1"/>
    </xf>
    <xf numFmtId="0" fontId="9" fillId="5" borderId="23" xfId="0" applyFont="1" applyFill="1" applyBorder="1" applyAlignment="1" applyProtection="1">
      <alignment horizontal="center" vertical="center"/>
    </xf>
    <xf numFmtId="0" fontId="9" fillId="5" borderId="24" xfId="0" applyFont="1" applyFill="1" applyBorder="1" applyAlignment="1" applyProtection="1">
      <alignment horizontal="center" vertical="center"/>
    </xf>
    <xf numFmtId="164" fontId="4" fillId="3" borderId="25" xfId="0" applyNumberFormat="1" applyFont="1" applyFill="1" applyBorder="1" applyAlignment="1" applyProtection="1">
      <alignment horizontal="center" vertical="center" shrinkToFit="1"/>
    </xf>
    <xf numFmtId="164" fontId="1" fillId="4" borderId="0" xfId="0" applyNumberFormat="1" applyFont="1" applyFill="1" applyBorder="1" applyAlignment="1" applyProtection="1">
      <alignment vertical="center" shrinkToFit="1"/>
    </xf>
    <xf numFmtId="0" fontId="1" fillId="4" borderId="0" xfId="0" applyFont="1" applyFill="1" applyBorder="1" applyAlignment="1" applyProtection="1">
      <alignment horizontal="center" vertical="center"/>
    </xf>
    <xf numFmtId="0" fontId="12" fillId="4" borderId="0" xfId="0" applyFont="1" applyFill="1" applyBorder="1" applyAlignment="1" applyProtection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10" fillId="4" borderId="0" xfId="0" applyNumberFormat="1" applyFont="1" applyFill="1" applyBorder="1" applyAlignment="1" applyProtection="1">
      <alignment horizontal="center" vertical="center"/>
    </xf>
    <xf numFmtId="1" fontId="10" fillId="4" borderId="0" xfId="0" applyNumberFormat="1" applyFont="1" applyFill="1" applyBorder="1" applyAlignment="1" applyProtection="1">
      <alignment horizontal="center" vertical="center"/>
    </xf>
    <xf numFmtId="169" fontId="10" fillId="4" borderId="0" xfId="0" applyNumberFormat="1" applyFont="1" applyFill="1" applyBorder="1" applyAlignment="1" applyProtection="1">
      <alignment horizontal="center" vertical="center"/>
    </xf>
    <xf numFmtId="171" fontId="10" fillId="4" borderId="0" xfId="0" applyNumberFormat="1" applyFont="1" applyFill="1" applyBorder="1" applyAlignment="1" applyProtection="1">
      <alignment horizontal="center" vertical="center"/>
    </xf>
    <xf numFmtId="0" fontId="5" fillId="4" borderId="2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4" borderId="3" xfId="0" applyFont="1" applyFill="1" applyBorder="1" applyAlignment="1" applyProtection="1">
      <alignment horizontal="right" vertical="center"/>
    </xf>
    <xf numFmtId="2" fontId="4" fillId="3" borderId="25" xfId="0" applyNumberFormat="1" applyFont="1" applyFill="1" applyBorder="1" applyAlignment="1" applyProtection="1">
      <alignment horizontal="center" vertical="center" shrinkToFit="1"/>
    </xf>
    <xf numFmtId="0" fontId="10" fillId="4" borderId="4" xfId="0" applyFont="1" applyFill="1" applyBorder="1" applyAlignment="1" applyProtection="1">
      <alignment vertical="center"/>
    </xf>
    <xf numFmtId="0" fontId="10" fillId="4" borderId="11" xfId="0" applyFont="1" applyFill="1" applyBorder="1" applyAlignment="1" applyProtection="1">
      <alignment vertical="center"/>
    </xf>
    <xf numFmtId="0" fontId="10" fillId="4" borderId="0" xfId="0" applyFont="1" applyFill="1" applyAlignment="1" applyProtection="1">
      <alignment vertical="center"/>
    </xf>
    <xf numFmtId="0" fontId="14" fillId="4" borderId="0" xfId="0" applyFont="1" applyFill="1" applyBorder="1" applyAlignment="1" applyProtection="1">
      <alignment vertical="center"/>
    </xf>
    <xf numFmtId="0" fontId="10" fillId="4" borderId="0" xfId="0" applyFont="1" applyFill="1" applyBorder="1" applyAlignment="1" applyProtection="1">
      <alignment horizontal="center" vertical="center"/>
    </xf>
    <xf numFmtId="0" fontId="10" fillId="4" borderId="5" xfId="0" applyFont="1" applyFill="1" applyBorder="1" applyAlignment="1" applyProtection="1">
      <alignment vertical="center"/>
    </xf>
    <xf numFmtId="18" fontId="0" fillId="0" borderId="0" xfId="0" applyNumberFormat="1" applyBorder="1" applyAlignment="1" applyProtection="1">
      <alignment horizontal="left" vertical="center" indent="2" shrinkToFit="1"/>
    </xf>
    <xf numFmtId="0" fontId="10" fillId="4" borderId="12" xfId="0" applyFont="1" applyFill="1" applyBorder="1" applyAlignment="1" applyProtection="1">
      <alignment vertical="center"/>
    </xf>
    <xf numFmtId="18" fontId="0" fillId="4" borderId="0" xfId="0" applyNumberFormat="1" applyFill="1" applyBorder="1" applyAlignment="1" applyProtection="1">
      <alignment horizontal="left" vertical="center" indent="2" shrinkToFit="1"/>
    </xf>
    <xf numFmtId="18" fontId="1" fillId="4" borderId="0" xfId="0" applyNumberFormat="1" applyFont="1" applyFill="1" applyBorder="1" applyAlignment="1" applyProtection="1">
      <alignment vertical="center"/>
    </xf>
    <xf numFmtId="0" fontId="4" fillId="4" borderId="0" xfId="0" applyFont="1" applyFill="1" applyBorder="1" applyAlignment="1" applyProtection="1">
      <alignment horizontal="right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2" fontId="1" fillId="2" borderId="26" xfId="0" applyNumberFormat="1" applyFont="1" applyFill="1" applyBorder="1" applyAlignment="1" applyProtection="1">
      <alignment horizontal="center" vertical="center"/>
      <protection locked="0"/>
    </xf>
    <xf numFmtId="2" fontId="1" fillId="3" borderId="26" xfId="0" applyNumberFormat="1" applyFont="1" applyFill="1" applyBorder="1" applyAlignment="1" applyProtection="1">
      <alignment horizontal="center" vertical="center" shrinkToFit="1"/>
    </xf>
    <xf numFmtId="2" fontId="4" fillId="4" borderId="2" xfId="0" applyNumberFormat="1" applyFont="1" applyFill="1" applyBorder="1" applyAlignment="1" applyProtection="1">
      <alignment horizontal="left" vertical="center" shrinkToFit="1"/>
    </xf>
    <xf numFmtId="2" fontId="1" fillId="2" borderId="27" xfId="0" applyNumberFormat="1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1" fillId="4" borderId="12" xfId="0" applyFont="1" applyFill="1" applyBorder="1" applyAlignment="1" applyProtection="1">
      <alignment vertical="center"/>
    </xf>
    <xf numFmtId="2" fontId="1" fillId="3" borderId="27" xfId="0" applyNumberFormat="1" applyFont="1" applyFill="1" applyBorder="1" applyAlignment="1" applyProtection="1">
      <alignment horizontal="center" vertical="center"/>
    </xf>
    <xf numFmtId="0" fontId="34" fillId="4" borderId="0" xfId="0" applyFont="1" applyFill="1" applyBorder="1" applyAlignment="1" applyProtection="1">
      <alignment vertical="center"/>
    </xf>
    <xf numFmtId="0" fontId="9" fillId="4" borderId="0" xfId="0" applyFont="1" applyFill="1" applyBorder="1" applyAlignment="1" applyProtection="1">
      <alignment horizontal="right" vertical="center"/>
    </xf>
    <xf numFmtId="0" fontId="1" fillId="2" borderId="28" xfId="0" applyFont="1" applyFill="1" applyBorder="1" applyAlignment="1" applyProtection="1">
      <alignment horizontal="center" vertical="center"/>
      <protection locked="0"/>
    </xf>
    <xf numFmtId="2" fontId="4" fillId="4" borderId="12" xfId="0" applyNumberFormat="1" applyFont="1" applyFill="1" applyBorder="1" applyAlignment="1" applyProtection="1">
      <alignment horizontal="left" vertical="center"/>
    </xf>
    <xf numFmtId="0" fontId="1" fillId="4" borderId="5" xfId="0" applyFont="1" applyFill="1" applyBorder="1" applyAlignment="1" applyProtection="1">
      <alignment vertical="center"/>
    </xf>
    <xf numFmtId="2" fontId="1" fillId="2" borderId="27" xfId="0" applyNumberFormat="1" applyFont="1" applyFill="1" applyBorder="1" applyAlignment="1" applyProtection="1">
      <alignment horizontal="center" vertical="center" shrinkToFit="1"/>
      <protection locked="0"/>
    </xf>
    <xf numFmtId="0" fontId="5" fillId="4" borderId="29" xfId="0" applyFont="1" applyFill="1" applyBorder="1" applyAlignment="1" applyProtection="1">
      <alignment horizontal="right" vertical="center"/>
    </xf>
    <xf numFmtId="165" fontId="1" fillId="2" borderId="27" xfId="0" applyNumberFormat="1" applyFont="1" applyFill="1" applyBorder="1" applyAlignment="1" applyProtection="1">
      <alignment horizontal="center" vertical="center"/>
      <protection locked="0"/>
    </xf>
    <xf numFmtId="0" fontId="1" fillId="4" borderId="27" xfId="0" applyFont="1" applyFill="1" applyBorder="1" applyAlignment="1" applyProtection="1">
      <alignment horizontal="center" vertical="center"/>
    </xf>
    <xf numFmtId="0" fontId="10" fillId="4" borderId="3" xfId="0" applyFont="1" applyFill="1" applyBorder="1" applyAlignment="1" applyProtection="1">
      <alignment vertical="center"/>
    </xf>
    <xf numFmtId="0" fontId="10" fillId="4" borderId="13" xfId="0" applyFont="1" applyFill="1" applyBorder="1" applyAlignment="1" applyProtection="1">
      <alignment vertical="center"/>
    </xf>
    <xf numFmtId="165" fontId="1" fillId="2" borderId="27" xfId="0" applyNumberFormat="1" applyFont="1" applyFill="1" applyBorder="1" applyAlignment="1" applyProtection="1">
      <alignment horizontal="center" vertical="center" shrinkToFit="1"/>
      <protection locked="0"/>
    </xf>
    <xf numFmtId="0" fontId="1" fillId="3" borderId="26" xfId="0" applyFont="1" applyFill="1" applyBorder="1" applyAlignment="1" applyProtection="1">
      <alignment horizontal="center" vertical="center"/>
    </xf>
    <xf numFmtId="0" fontId="10" fillId="4" borderId="12" xfId="0" applyFont="1" applyFill="1" applyBorder="1" applyAlignment="1" applyProtection="1">
      <alignment horizontal="left" vertical="center"/>
    </xf>
    <xf numFmtId="0" fontId="1" fillId="3" borderId="3" xfId="0" applyFont="1" applyFill="1" applyBorder="1" applyAlignment="1" applyProtection="1">
      <alignment horizontal="center" vertical="center"/>
    </xf>
    <xf numFmtId="0" fontId="10" fillId="4" borderId="30" xfId="0" applyFont="1" applyFill="1" applyBorder="1" applyAlignment="1" applyProtection="1">
      <alignment vertical="center"/>
    </xf>
    <xf numFmtId="167" fontId="1" fillId="3" borderId="3" xfId="0" applyNumberFormat="1" applyFont="1" applyFill="1" applyBorder="1" applyAlignment="1" applyProtection="1">
      <alignment horizontal="center" vertical="center" shrinkToFit="1"/>
    </xf>
    <xf numFmtId="0" fontId="14" fillId="4" borderId="5" xfId="0" applyFont="1" applyFill="1" applyBorder="1" applyAlignment="1" applyProtection="1">
      <alignment vertical="center"/>
    </xf>
    <xf numFmtId="0" fontId="14" fillId="4" borderId="0" xfId="0" applyFont="1" applyFill="1" applyAlignment="1" applyProtection="1">
      <alignment vertical="center"/>
    </xf>
    <xf numFmtId="0" fontId="10" fillId="4" borderId="0" xfId="0" applyFont="1" applyFill="1" applyAlignment="1" applyProtection="1">
      <alignment horizontal="center" vertical="center"/>
    </xf>
    <xf numFmtId="0" fontId="19" fillId="4" borderId="0" xfId="0" applyFont="1" applyFill="1" applyBorder="1" applyAlignment="1" applyProtection="1">
      <alignment vertical="center"/>
    </xf>
    <xf numFmtId="0" fontId="10" fillId="5" borderId="4" xfId="0" applyFont="1" applyFill="1" applyBorder="1" applyAlignment="1" applyProtection="1">
      <alignment horizontal="center" vertical="center"/>
    </xf>
    <xf numFmtId="0" fontId="10" fillId="5" borderId="2" xfId="0" applyFont="1" applyFill="1" applyBorder="1" applyAlignment="1" applyProtection="1">
      <alignment horizontal="center" vertical="center"/>
    </xf>
    <xf numFmtId="0" fontId="9" fillId="5" borderId="2" xfId="0" applyFont="1" applyFill="1" applyBorder="1" applyAlignment="1" applyProtection="1">
      <alignment horizontal="center" vertical="center"/>
    </xf>
    <xf numFmtId="0" fontId="9" fillId="5" borderId="11" xfId="0" applyFont="1" applyFill="1" applyBorder="1" applyAlignment="1" applyProtection="1">
      <alignment horizontal="center" vertical="center"/>
    </xf>
    <xf numFmtId="0" fontId="1" fillId="5" borderId="5" xfId="0" applyFont="1" applyFill="1" applyBorder="1" applyAlignment="1" applyProtection="1">
      <alignment horizontal="center" vertical="center" shrinkToFit="1"/>
    </xf>
    <xf numFmtId="0" fontId="1" fillId="5" borderId="0" xfId="0" applyFont="1" applyFill="1" applyBorder="1" applyAlignment="1" applyProtection="1">
      <alignment horizontal="center" vertical="center"/>
    </xf>
    <xf numFmtId="0" fontId="9" fillId="5" borderId="0" xfId="0" applyFont="1" applyFill="1" applyBorder="1" applyAlignment="1" applyProtection="1">
      <alignment horizontal="center" vertical="center"/>
    </xf>
    <xf numFmtId="0" fontId="9" fillId="5" borderId="12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horizontal="center" vertical="center" shrinkToFit="1"/>
    </xf>
    <xf numFmtId="0" fontId="1" fillId="5" borderId="5" xfId="0" applyFont="1" applyFill="1" applyBorder="1" applyAlignment="1" applyProtection="1">
      <alignment horizontal="center" vertical="center"/>
    </xf>
    <xf numFmtId="0" fontId="4" fillId="4" borderId="31" xfId="0" applyFont="1" applyFill="1" applyBorder="1" applyAlignment="1" applyProtection="1">
      <alignment horizontal="center" vertical="center"/>
    </xf>
    <xf numFmtId="165" fontId="4" fillId="2" borderId="8" xfId="0" applyNumberFormat="1" applyFont="1" applyFill="1" applyBorder="1" applyAlignment="1" applyProtection="1">
      <alignment horizontal="center" vertical="center"/>
      <protection locked="0"/>
    </xf>
    <xf numFmtId="165" fontId="4" fillId="3" borderId="8" xfId="0" applyNumberFormat="1" applyFont="1" applyFill="1" applyBorder="1" applyAlignment="1" applyProtection="1">
      <alignment horizontal="center" vertical="center"/>
    </xf>
    <xf numFmtId="0" fontId="10" fillId="2" borderId="31" xfId="0" applyNumberFormat="1" applyFont="1" applyFill="1" applyBorder="1" applyAlignment="1" applyProtection="1">
      <alignment horizontal="center" vertical="center"/>
      <protection locked="0"/>
    </xf>
    <xf numFmtId="165" fontId="10" fillId="2" borderId="32" xfId="0" applyNumberFormat="1" applyFont="1" applyFill="1" applyBorder="1" applyAlignment="1" applyProtection="1">
      <alignment horizontal="center" vertical="center"/>
      <protection locked="0"/>
    </xf>
    <xf numFmtId="2" fontId="10" fillId="3" borderId="32" xfId="0" applyNumberFormat="1" applyFont="1" applyFill="1" applyBorder="1" applyAlignment="1" applyProtection="1">
      <alignment horizontal="center" vertical="center"/>
    </xf>
    <xf numFmtId="2" fontId="10" fillId="3" borderId="33" xfId="0" applyNumberFormat="1" applyFont="1" applyFill="1" applyBorder="1" applyAlignment="1" applyProtection="1">
      <alignment horizontal="center" vertical="center"/>
    </xf>
    <xf numFmtId="165" fontId="4" fillId="3" borderId="4" xfId="0" applyNumberFormat="1" applyFont="1" applyFill="1" applyBorder="1" applyAlignment="1" applyProtection="1">
      <alignment horizontal="center" vertical="center"/>
    </xf>
    <xf numFmtId="167" fontId="10" fillId="3" borderId="31" xfId="0" applyNumberFormat="1" applyFont="1" applyFill="1" applyBorder="1" applyAlignment="1" applyProtection="1">
      <alignment horizontal="center" vertical="center"/>
    </xf>
    <xf numFmtId="167" fontId="10" fillId="3" borderId="33" xfId="0" applyNumberFormat="1" applyFont="1" applyFill="1" applyBorder="1" applyAlignment="1" applyProtection="1">
      <alignment horizontal="center" vertical="center"/>
    </xf>
    <xf numFmtId="0" fontId="4" fillId="4" borderId="34" xfId="0" applyFont="1" applyFill="1" applyBorder="1" applyAlignment="1" applyProtection="1">
      <alignment horizontal="center" vertical="center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165" fontId="4" fillId="3" borderId="1" xfId="0" applyNumberFormat="1" applyFont="1" applyFill="1" applyBorder="1" applyAlignment="1" applyProtection="1">
      <alignment horizontal="center" vertical="center"/>
    </xf>
    <xf numFmtId="0" fontId="10" fillId="2" borderId="34" xfId="0" applyNumberFormat="1" applyFont="1" applyFill="1" applyBorder="1" applyAlignment="1" applyProtection="1">
      <alignment horizontal="center" vertical="center"/>
      <protection locked="0"/>
    </xf>
    <xf numFmtId="165" fontId="10" fillId="2" borderId="1" xfId="0" applyNumberFormat="1" applyFont="1" applyFill="1" applyBorder="1" applyAlignment="1" applyProtection="1">
      <alignment horizontal="center" vertical="center"/>
      <protection locked="0"/>
    </xf>
    <xf numFmtId="2" fontId="10" fillId="3" borderId="1" xfId="0" applyNumberFormat="1" applyFont="1" applyFill="1" applyBorder="1" applyAlignment="1" applyProtection="1">
      <alignment horizontal="center" vertical="center"/>
    </xf>
    <xf numFmtId="2" fontId="10" fillId="3" borderId="7" xfId="0" applyNumberFormat="1" applyFont="1" applyFill="1" applyBorder="1" applyAlignment="1" applyProtection="1">
      <alignment horizontal="center" vertical="center"/>
    </xf>
    <xf numFmtId="165" fontId="4" fillId="3" borderId="29" xfId="0" applyNumberFormat="1" applyFont="1" applyFill="1" applyBorder="1" applyAlignment="1" applyProtection="1">
      <alignment horizontal="center" vertical="center"/>
    </xf>
    <xf numFmtId="167" fontId="10" fillId="3" borderId="34" xfId="0" applyNumberFormat="1" applyFont="1" applyFill="1" applyBorder="1" applyAlignment="1" applyProtection="1">
      <alignment horizontal="center" vertical="center"/>
    </xf>
    <xf numFmtId="167" fontId="10" fillId="3" borderId="7" xfId="0" applyNumberFormat="1" applyFont="1" applyFill="1" applyBorder="1" applyAlignment="1" applyProtection="1">
      <alignment horizontal="center" vertical="center"/>
    </xf>
    <xf numFmtId="0" fontId="10" fillId="2" borderId="35" xfId="0" applyNumberFormat="1" applyFont="1" applyFill="1" applyBorder="1" applyAlignment="1" applyProtection="1">
      <alignment horizontal="center" vertical="center"/>
      <protection locked="0"/>
    </xf>
    <xf numFmtId="165" fontId="10" fillId="2" borderId="18" xfId="0" applyNumberFormat="1" applyFont="1" applyFill="1" applyBorder="1" applyAlignment="1" applyProtection="1">
      <alignment horizontal="center" vertical="center"/>
      <protection locked="0"/>
    </xf>
    <xf numFmtId="2" fontId="10" fillId="3" borderId="18" xfId="0" applyNumberFormat="1" applyFont="1" applyFill="1" applyBorder="1" applyAlignment="1" applyProtection="1">
      <alignment horizontal="center" vertical="center"/>
    </xf>
    <xf numFmtId="2" fontId="10" fillId="3" borderId="36" xfId="0" applyNumberFormat="1" applyFont="1" applyFill="1" applyBorder="1" applyAlignment="1" applyProtection="1">
      <alignment horizontal="center" vertical="center"/>
    </xf>
    <xf numFmtId="167" fontId="10" fillId="3" borderId="35" xfId="0" applyNumberFormat="1" applyFont="1" applyFill="1" applyBorder="1" applyAlignment="1" applyProtection="1">
      <alignment horizontal="center" vertical="center"/>
    </xf>
    <xf numFmtId="167" fontId="10" fillId="3" borderId="36" xfId="0" applyNumberFormat="1" applyFont="1" applyFill="1" applyBorder="1" applyAlignment="1" applyProtection="1">
      <alignment horizontal="center" vertical="center"/>
    </xf>
    <xf numFmtId="165" fontId="10" fillId="4" borderId="0" xfId="0" applyNumberFormat="1" applyFont="1" applyFill="1" applyBorder="1" applyAlignment="1" applyProtection="1">
      <alignment horizontal="center" vertical="center"/>
    </xf>
    <xf numFmtId="0" fontId="18" fillId="4" borderId="0" xfId="0" applyFont="1" applyFill="1" applyBorder="1" applyAlignment="1" applyProtection="1">
      <alignment vertical="center"/>
    </xf>
    <xf numFmtId="0" fontId="4" fillId="4" borderId="35" xfId="0" applyFont="1" applyFill="1" applyBorder="1" applyAlignment="1" applyProtection="1">
      <alignment horizontal="center" vertical="center"/>
    </xf>
    <xf numFmtId="165" fontId="4" fillId="2" borderId="37" xfId="0" applyNumberFormat="1" applyFont="1" applyFill="1" applyBorder="1" applyAlignment="1" applyProtection="1">
      <alignment horizontal="center" vertical="center"/>
      <protection locked="0"/>
    </xf>
    <xf numFmtId="165" fontId="4" fillId="3" borderId="18" xfId="0" applyNumberFormat="1" applyFont="1" applyFill="1" applyBorder="1" applyAlignment="1" applyProtection="1">
      <alignment horizontal="center" vertical="center"/>
    </xf>
    <xf numFmtId="165" fontId="4" fillId="3" borderId="35" xfId="0" applyNumberFormat="1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 applyProtection="1">
      <alignment horizontal="center" vertical="center"/>
    </xf>
    <xf numFmtId="165" fontId="4" fillId="3" borderId="38" xfId="0" applyNumberFormat="1" applyFont="1" applyFill="1" applyBorder="1" applyAlignment="1" applyProtection="1">
      <alignment horizontal="center" vertical="center"/>
    </xf>
    <xf numFmtId="165" fontId="4" fillId="3" borderId="39" xfId="0" applyNumberFormat="1" applyFont="1" applyFill="1" applyBorder="1" applyAlignment="1" applyProtection="1">
      <alignment horizontal="center" vertical="center"/>
    </xf>
    <xf numFmtId="165" fontId="4" fillId="4" borderId="0" xfId="0" applyNumberFormat="1" applyFont="1" applyFill="1" applyBorder="1" applyAlignment="1" applyProtection="1">
      <alignment horizontal="center" vertical="center" shrinkToFit="1"/>
    </xf>
    <xf numFmtId="0" fontId="10" fillId="4" borderId="0" xfId="0" applyFont="1" applyFill="1" applyBorder="1" applyAlignment="1" applyProtection="1">
      <alignment horizontal="center" vertical="center" shrinkToFit="1"/>
    </xf>
    <xf numFmtId="165" fontId="4" fillId="4" borderId="0" xfId="0" applyNumberFormat="1" applyFont="1" applyFill="1" applyBorder="1" applyAlignment="1" applyProtection="1">
      <alignment horizontal="center" vertical="center"/>
    </xf>
    <xf numFmtId="166" fontId="4" fillId="4" borderId="0" xfId="0" applyNumberFormat="1" applyFont="1" applyFill="1" applyBorder="1" applyAlignment="1" applyProtection="1">
      <alignment horizontal="center" vertical="center"/>
    </xf>
    <xf numFmtId="1" fontId="4" fillId="4" borderId="0" xfId="0" applyNumberFormat="1" applyFont="1" applyFill="1" applyBorder="1" applyAlignment="1" applyProtection="1">
      <alignment horizontal="center" vertical="center"/>
    </xf>
    <xf numFmtId="2" fontId="1" fillId="4" borderId="0" xfId="0" applyNumberFormat="1" applyFont="1" applyFill="1" applyBorder="1" applyAlignment="1" applyProtection="1">
      <alignment horizontal="right" vertical="center"/>
    </xf>
    <xf numFmtId="165" fontId="10" fillId="0" borderId="0" xfId="0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 applyProtection="1">
      <alignment vertical="center"/>
    </xf>
    <xf numFmtId="2" fontId="6" fillId="4" borderId="0" xfId="0" applyNumberFormat="1" applyFont="1" applyFill="1" applyBorder="1" applyAlignment="1" applyProtection="1">
      <alignment horizontal="center" vertical="center"/>
    </xf>
    <xf numFmtId="165" fontId="6" fillId="4" borderId="0" xfId="0" applyNumberFormat="1" applyFont="1" applyFill="1" applyBorder="1" applyAlignment="1" applyProtection="1">
      <alignment horizontal="center" vertical="center"/>
    </xf>
    <xf numFmtId="165" fontId="6" fillId="4" borderId="0" xfId="0" quotePrefix="1" applyNumberFormat="1" applyFont="1" applyFill="1" applyBorder="1" applyAlignment="1" applyProtection="1">
      <alignment horizontal="center" vertical="center"/>
    </xf>
    <xf numFmtId="166" fontId="6" fillId="4" borderId="0" xfId="0" applyNumberFormat="1" applyFont="1" applyFill="1" applyBorder="1" applyAlignment="1" applyProtection="1">
      <alignment horizontal="center" vertical="center"/>
    </xf>
    <xf numFmtId="165" fontId="1" fillId="4" borderId="3" xfId="0" applyNumberFormat="1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center" vertical="center"/>
    </xf>
    <xf numFmtId="169" fontId="10" fillId="4" borderId="0" xfId="0" applyNumberFormat="1" applyFont="1" applyFill="1" applyAlignment="1" applyProtection="1">
      <alignment horizontal="left" vertical="center"/>
    </xf>
    <xf numFmtId="0" fontId="10" fillId="0" borderId="0" xfId="0" applyFont="1" applyAlignment="1" applyProtection="1">
      <alignment vertical="center"/>
    </xf>
    <xf numFmtId="0" fontId="1" fillId="2" borderId="40" xfId="0" applyNumberFormat="1" applyFont="1" applyFill="1" applyBorder="1" applyAlignment="1" applyProtection="1">
      <alignment horizontal="center" vertical="center"/>
      <protection locked="0"/>
    </xf>
    <xf numFmtId="165" fontId="1" fillId="2" borderId="0" xfId="0" applyNumberFormat="1" applyFont="1" applyFill="1" applyBorder="1" applyAlignment="1" applyProtection="1">
      <alignment horizontal="center" vertical="center"/>
      <protection locked="0"/>
    </xf>
    <xf numFmtId="165" fontId="1" fillId="2" borderId="28" xfId="0" applyNumberFormat="1" applyFont="1" applyFill="1" applyBorder="1" applyAlignment="1" applyProtection="1">
      <alignment horizontal="center" vertical="center"/>
      <protection locked="0"/>
    </xf>
    <xf numFmtId="165" fontId="10" fillId="4" borderId="0" xfId="0" applyNumberFormat="1" applyFont="1" applyFill="1" applyAlignment="1" applyProtection="1">
      <alignment horizontal="center" vertical="center"/>
    </xf>
    <xf numFmtId="0" fontId="1" fillId="3" borderId="41" xfId="0" applyFont="1" applyFill="1" applyBorder="1" applyAlignment="1" applyProtection="1">
      <alignment horizontal="center" vertical="center"/>
    </xf>
    <xf numFmtId="0" fontId="1" fillId="3" borderId="12" xfId="0" applyFont="1" applyFill="1" applyBorder="1" applyAlignment="1" applyProtection="1">
      <alignment horizontal="center" vertical="center"/>
    </xf>
    <xf numFmtId="165" fontId="1" fillId="3" borderId="27" xfId="0" applyNumberFormat="1" applyFont="1" applyFill="1" applyBorder="1" applyAlignment="1" applyProtection="1">
      <alignment horizontal="center" vertical="center"/>
    </xf>
    <xf numFmtId="164" fontId="1" fillId="3" borderId="6" xfId="0" applyNumberFormat="1" applyFont="1" applyFill="1" applyBorder="1" applyAlignment="1" applyProtection="1">
      <alignment horizontal="center" vertical="center"/>
    </xf>
    <xf numFmtId="164" fontId="1" fillId="3" borderId="40" xfId="0" applyNumberFormat="1" applyFont="1" applyFill="1" applyBorder="1" applyAlignment="1" applyProtection="1">
      <alignment horizontal="center" vertical="center"/>
    </xf>
    <xf numFmtId="165" fontId="1" fillId="3" borderId="28" xfId="0" applyNumberFormat="1" applyFont="1" applyFill="1" applyBorder="1" applyAlignment="1" applyProtection="1">
      <alignment horizontal="center" vertical="center"/>
    </xf>
    <xf numFmtId="0" fontId="1" fillId="3" borderId="27" xfId="0" applyFont="1" applyFill="1" applyBorder="1" applyAlignment="1" applyProtection="1">
      <alignment horizontal="center" vertical="center"/>
    </xf>
    <xf numFmtId="0" fontId="1" fillId="3" borderId="40" xfId="0" applyFont="1" applyFill="1" applyBorder="1" applyAlignment="1" applyProtection="1">
      <alignment horizontal="center" vertical="center"/>
    </xf>
    <xf numFmtId="0" fontId="1" fillId="3" borderId="27" xfId="0" applyNumberFormat="1" applyFont="1" applyFill="1" applyBorder="1" applyAlignment="1" applyProtection="1">
      <alignment horizontal="center" vertical="center" shrinkToFit="1"/>
    </xf>
    <xf numFmtId="0" fontId="10" fillId="0" borderId="30" xfId="0" applyFont="1" applyBorder="1" applyAlignment="1" applyProtection="1">
      <alignment vertical="center"/>
    </xf>
    <xf numFmtId="165" fontId="1" fillId="3" borderId="3" xfId="0" applyNumberFormat="1" applyFont="1" applyFill="1" applyBorder="1" applyAlignment="1" applyProtection="1">
      <alignment horizontal="center" vertical="center"/>
    </xf>
    <xf numFmtId="165" fontId="1" fillId="3" borderId="13" xfId="0" applyNumberFormat="1" applyFont="1" applyFill="1" applyBorder="1" applyAlignment="1" applyProtection="1">
      <alignment horizontal="center" vertical="center"/>
    </xf>
    <xf numFmtId="165" fontId="1" fillId="3" borderId="27" xfId="0" applyNumberFormat="1" applyFont="1" applyFill="1" applyBorder="1" applyAlignment="1" applyProtection="1">
      <alignment horizontal="center" vertical="center" shrinkToFit="1"/>
    </xf>
    <xf numFmtId="2" fontId="1" fillId="3" borderId="6" xfId="0" applyNumberFormat="1" applyFont="1" applyFill="1" applyBorder="1" applyAlignment="1" applyProtection="1">
      <alignment horizontal="center" vertical="center"/>
    </xf>
    <xf numFmtId="164" fontId="1" fillId="3" borderId="42" xfId="0" applyNumberFormat="1" applyFont="1" applyFill="1" applyBorder="1" applyAlignment="1" applyProtection="1">
      <alignment horizontal="center" vertical="center"/>
    </xf>
    <xf numFmtId="0" fontId="4" fillId="4" borderId="11" xfId="0" applyFont="1" applyFill="1" applyBorder="1" applyAlignment="1" applyProtection="1">
      <alignment vertical="center"/>
    </xf>
    <xf numFmtId="0" fontId="1" fillId="4" borderId="4" xfId="0" applyFont="1" applyFill="1" applyBorder="1" applyAlignment="1" applyProtection="1">
      <alignment vertical="center"/>
    </xf>
    <xf numFmtId="166" fontId="1" fillId="3" borderId="6" xfId="0" applyNumberFormat="1" applyFont="1" applyFill="1" applyBorder="1" applyAlignment="1" applyProtection="1">
      <alignment horizontal="center" vertical="center" shrinkToFit="1"/>
    </xf>
    <xf numFmtId="0" fontId="4" fillId="4" borderId="12" xfId="0" applyFont="1" applyFill="1" applyBorder="1" applyAlignment="1" applyProtection="1">
      <alignment vertical="center"/>
    </xf>
    <xf numFmtId="0" fontId="10" fillId="0" borderId="5" xfId="0" applyFont="1" applyBorder="1" applyAlignment="1" applyProtection="1">
      <alignment vertical="center"/>
    </xf>
    <xf numFmtId="2" fontId="1" fillId="3" borderId="42" xfId="0" applyNumberFormat="1" applyFont="1" applyFill="1" applyBorder="1" applyAlignment="1" applyProtection="1">
      <alignment horizontal="center" vertical="center"/>
    </xf>
    <xf numFmtId="2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0" fillId="4" borderId="17" xfId="0" applyFont="1" applyFill="1" applyBorder="1" applyAlignment="1" applyProtection="1">
      <alignment vertical="center"/>
    </xf>
    <xf numFmtId="0" fontId="1" fillId="4" borderId="20" xfId="0" applyFont="1" applyFill="1" applyBorder="1" applyAlignment="1" applyProtection="1">
      <alignment horizontal="right" vertical="center"/>
    </xf>
    <xf numFmtId="1" fontId="1" fillId="3" borderId="20" xfId="0" applyNumberFormat="1" applyFont="1" applyFill="1" applyBorder="1" applyAlignment="1" applyProtection="1">
      <alignment horizontal="center" vertical="center"/>
    </xf>
    <xf numFmtId="2" fontId="1" fillId="3" borderId="20" xfId="0" applyNumberFormat="1" applyFont="1" applyFill="1" applyBorder="1" applyAlignment="1" applyProtection="1">
      <alignment horizontal="center" vertical="center"/>
    </xf>
    <xf numFmtId="0" fontId="4" fillId="4" borderId="13" xfId="0" applyFont="1" applyFill="1" applyBorder="1" applyAlignment="1" applyProtection="1">
      <alignment vertical="center"/>
    </xf>
    <xf numFmtId="0" fontId="5" fillId="5" borderId="43" xfId="0" applyFont="1" applyFill="1" applyBorder="1" applyAlignment="1" applyProtection="1">
      <alignment horizontal="center" vertical="center"/>
    </xf>
    <xf numFmtId="0" fontId="1" fillId="5" borderId="44" xfId="0" applyFont="1" applyFill="1" applyBorder="1" applyAlignment="1" applyProtection="1">
      <alignment horizontal="center" vertical="center"/>
    </xf>
    <xf numFmtId="0" fontId="5" fillId="5" borderId="45" xfId="0" applyFont="1" applyFill="1" applyBorder="1" applyAlignment="1" applyProtection="1">
      <alignment horizontal="center" vertical="center"/>
    </xf>
    <xf numFmtId="0" fontId="1" fillId="5" borderId="46" xfId="0" applyFont="1" applyFill="1" applyBorder="1" applyAlignment="1" applyProtection="1">
      <alignment horizontal="center" vertical="center"/>
    </xf>
    <xf numFmtId="0" fontId="5" fillId="5" borderId="47" xfId="0" applyFont="1" applyFill="1" applyBorder="1" applyAlignment="1" applyProtection="1">
      <alignment horizontal="center" vertical="center"/>
    </xf>
    <xf numFmtId="0" fontId="5" fillId="5" borderId="24" xfId="0" applyFont="1" applyFill="1" applyBorder="1" applyAlignment="1" applyProtection="1">
      <alignment horizontal="center" vertical="center"/>
    </xf>
    <xf numFmtId="0" fontId="1" fillId="5" borderId="48" xfId="0" applyFont="1" applyFill="1" applyBorder="1" applyAlignment="1" applyProtection="1">
      <alignment horizontal="center" vertical="center"/>
    </xf>
    <xf numFmtId="0" fontId="5" fillId="5" borderId="46" xfId="0" applyFont="1" applyFill="1" applyBorder="1" applyAlignment="1" applyProtection="1">
      <alignment horizontal="center" vertical="center"/>
    </xf>
    <xf numFmtId="0" fontId="5" fillId="5" borderId="45" xfId="0" applyFont="1" applyFill="1" applyBorder="1" applyAlignment="1" applyProtection="1">
      <alignment horizontal="center" vertical="center" shrinkToFit="1"/>
    </xf>
    <xf numFmtId="0" fontId="1" fillId="5" borderId="47" xfId="0" applyFont="1" applyFill="1" applyBorder="1" applyAlignment="1" applyProtection="1">
      <alignment horizontal="center" vertical="center"/>
    </xf>
    <xf numFmtId="0" fontId="1" fillId="5" borderId="49" xfId="0" applyFont="1" applyFill="1" applyBorder="1" applyAlignment="1" applyProtection="1">
      <alignment horizontal="center" vertical="center"/>
    </xf>
    <xf numFmtId="166" fontId="4" fillId="2" borderId="8" xfId="0" applyNumberFormat="1" applyFont="1" applyFill="1" applyBorder="1" applyAlignment="1" applyProtection="1">
      <alignment horizontal="center" vertical="center"/>
      <protection locked="0"/>
    </xf>
    <xf numFmtId="1" fontId="4" fillId="2" borderId="8" xfId="0" applyNumberFormat="1" applyFont="1" applyFill="1" applyBorder="1" applyAlignment="1" applyProtection="1">
      <alignment horizontal="center" vertical="center"/>
      <protection locked="0"/>
    </xf>
    <xf numFmtId="1" fontId="4" fillId="2" borderId="32" xfId="0" applyNumberFormat="1" applyFont="1" applyFill="1" applyBorder="1" applyAlignment="1" applyProtection="1">
      <alignment horizontal="center" vertical="center"/>
      <protection locked="0"/>
    </xf>
    <xf numFmtId="164" fontId="4" fillId="3" borderId="50" xfId="0" applyNumberFormat="1" applyFont="1" applyFill="1" applyBorder="1" applyAlignment="1" applyProtection="1">
      <alignment horizontal="center" vertical="center"/>
    </xf>
    <xf numFmtId="165" fontId="10" fillId="3" borderId="31" xfId="0" applyNumberFormat="1" applyFont="1" applyFill="1" applyBorder="1" applyAlignment="1" applyProtection="1">
      <alignment horizontal="center" vertical="center"/>
    </xf>
    <xf numFmtId="2" fontId="10" fillId="3" borderId="25" xfId="0" applyNumberFormat="1" applyFont="1" applyFill="1" applyBorder="1" applyAlignment="1" applyProtection="1">
      <alignment horizontal="center" vertical="center"/>
    </xf>
    <xf numFmtId="166" fontId="4" fillId="2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164" fontId="4" fillId="3" borderId="51" xfId="0" applyNumberFormat="1" applyFont="1" applyFill="1" applyBorder="1" applyAlignment="1" applyProtection="1">
      <alignment horizontal="center" vertical="center"/>
    </xf>
    <xf numFmtId="165" fontId="10" fillId="3" borderId="34" xfId="0" applyNumberFormat="1" applyFont="1" applyFill="1" applyBorder="1" applyAlignment="1" applyProtection="1">
      <alignment horizontal="center" vertical="center"/>
    </xf>
    <xf numFmtId="165" fontId="4" fillId="2" borderId="9" xfId="0" applyNumberFormat="1" applyFont="1" applyFill="1" applyBorder="1" applyAlignment="1" applyProtection="1">
      <alignment horizontal="center" vertical="center"/>
      <protection locked="0"/>
    </xf>
    <xf numFmtId="166" fontId="4" fillId="2" borderId="9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/>
      <protection locked="0"/>
    </xf>
    <xf numFmtId="1" fontId="4" fillId="2" borderId="18" xfId="0" applyNumberFormat="1" applyFont="1" applyFill="1" applyBorder="1" applyAlignment="1" applyProtection="1">
      <alignment horizontal="center" vertical="center"/>
      <protection locked="0"/>
    </xf>
    <xf numFmtId="164" fontId="4" fillId="3" borderId="18" xfId="0" applyNumberFormat="1" applyFont="1" applyFill="1" applyBorder="1" applyAlignment="1" applyProtection="1">
      <alignment horizontal="center" vertical="center"/>
    </xf>
    <xf numFmtId="165" fontId="10" fillId="3" borderId="52" xfId="0" applyNumberFormat="1" applyFont="1" applyFill="1" applyBorder="1" applyAlignment="1" applyProtection="1">
      <alignment horizontal="center" vertical="center"/>
    </xf>
    <xf numFmtId="2" fontId="10" fillId="3" borderId="15" xfId="0" applyNumberFormat="1" applyFont="1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vertical="center"/>
    </xf>
    <xf numFmtId="0" fontId="10" fillId="4" borderId="0" xfId="0" applyFont="1" applyFill="1" applyAlignment="1" applyProtection="1">
      <alignment horizontal="left" vertical="center"/>
    </xf>
    <xf numFmtId="166" fontId="1" fillId="3" borderId="53" xfId="0" applyNumberFormat="1" applyFont="1" applyFill="1" applyBorder="1" applyAlignment="1" applyProtection="1">
      <alignment horizontal="center" vertical="center"/>
    </xf>
    <xf numFmtId="0" fontId="1" fillId="3" borderId="51" xfId="0" applyNumberFormat="1" applyFont="1" applyFill="1" applyBorder="1" applyAlignment="1" applyProtection="1">
      <alignment vertical="center"/>
    </xf>
    <xf numFmtId="2" fontId="1" fillId="3" borderId="54" xfId="0" applyNumberFormat="1" applyFont="1" applyFill="1" applyBorder="1" applyAlignment="1" applyProtection="1">
      <alignment horizontal="center" vertical="center"/>
    </xf>
    <xf numFmtId="0" fontId="1" fillId="3" borderId="42" xfId="0" applyFont="1" applyFill="1" applyBorder="1" applyAlignment="1" applyProtection="1">
      <alignment horizontal="center" vertical="center"/>
    </xf>
    <xf numFmtId="165" fontId="1" fillId="3" borderId="55" xfId="0" applyNumberFormat="1" applyFont="1" applyFill="1" applyBorder="1" applyAlignment="1" applyProtection="1">
      <alignment vertical="center" shrinkToFit="1"/>
    </xf>
    <xf numFmtId="0" fontId="1" fillId="3" borderId="42" xfId="0" applyFont="1" applyFill="1" applyBorder="1" applyAlignment="1" applyProtection="1">
      <alignment vertical="center" shrinkToFit="1"/>
    </xf>
    <xf numFmtId="166" fontId="1" fillId="3" borderId="56" xfId="0" applyNumberFormat="1" applyFont="1" applyFill="1" applyBorder="1" applyAlignment="1" applyProtection="1">
      <alignment horizontal="center" vertical="center"/>
    </xf>
    <xf numFmtId="0" fontId="1" fillId="3" borderId="57" xfId="0" applyNumberFormat="1" applyFont="1" applyFill="1" applyBorder="1" applyAlignment="1" applyProtection="1">
      <alignment vertical="center"/>
    </xf>
    <xf numFmtId="1" fontId="1" fillId="3" borderId="55" xfId="0" applyNumberFormat="1" applyFont="1" applyFill="1" applyBorder="1" applyAlignment="1" applyProtection="1">
      <alignment horizontal="center" vertical="center"/>
    </xf>
    <xf numFmtId="165" fontId="1" fillId="3" borderId="55" xfId="0" applyNumberFormat="1" applyFont="1" applyFill="1" applyBorder="1" applyAlignment="1" applyProtection="1">
      <alignment horizontal="center" vertical="center" shrinkToFit="1"/>
    </xf>
    <xf numFmtId="165" fontId="1" fillId="3" borderId="58" xfId="0" applyNumberFormat="1" applyFont="1" applyFill="1" applyBorder="1" applyAlignment="1" applyProtection="1">
      <alignment vertical="center" shrinkToFit="1"/>
    </xf>
    <xf numFmtId="165" fontId="1" fillId="3" borderId="59" xfId="0" applyNumberFormat="1" applyFont="1" applyFill="1" applyBorder="1" applyAlignment="1" applyProtection="1">
      <alignment vertical="center" shrinkToFit="1"/>
    </xf>
    <xf numFmtId="165" fontId="14" fillId="4" borderId="0" xfId="0" applyNumberFormat="1" applyFont="1" applyFill="1" applyBorder="1" applyAlignment="1" applyProtection="1">
      <alignment vertical="center"/>
    </xf>
    <xf numFmtId="0" fontId="1" fillId="4" borderId="0" xfId="0" applyFont="1" applyFill="1" applyBorder="1" applyAlignment="1" applyProtection="1">
      <alignment vertical="center" shrinkToFit="1"/>
    </xf>
    <xf numFmtId="165" fontId="1" fillId="4" borderId="0" xfId="0" applyNumberFormat="1" applyFont="1" applyFill="1" applyBorder="1" applyAlignment="1" applyProtection="1">
      <alignment vertical="center" shrinkToFit="1"/>
    </xf>
    <xf numFmtId="2" fontId="1" fillId="3" borderId="26" xfId="0" applyNumberFormat="1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vertical="center"/>
    </xf>
    <xf numFmtId="2" fontId="5" fillId="3" borderId="26" xfId="0" applyNumberFormat="1" applyFont="1" applyFill="1" applyBorder="1" applyAlignment="1" applyProtection="1">
      <alignment horizontal="center" vertical="center" shrinkToFit="1"/>
    </xf>
    <xf numFmtId="0" fontId="5" fillId="4" borderId="5" xfId="0" applyFont="1" applyFill="1" applyBorder="1" applyAlignment="1" applyProtection="1">
      <alignment vertical="center"/>
    </xf>
    <xf numFmtId="166" fontId="5" fillId="3" borderId="27" xfId="0" applyNumberFormat="1" applyFont="1" applyFill="1" applyBorder="1" applyAlignment="1" applyProtection="1">
      <alignment horizontal="center" vertical="center" shrinkToFit="1"/>
    </xf>
    <xf numFmtId="0" fontId="1" fillId="4" borderId="60" xfId="0" applyFont="1" applyFill="1" applyBorder="1" applyAlignment="1" applyProtection="1">
      <alignment vertical="center"/>
    </xf>
    <xf numFmtId="0" fontId="1" fillId="4" borderId="6" xfId="0" applyFont="1" applyFill="1" applyBorder="1" applyAlignment="1" applyProtection="1">
      <alignment horizontal="right" vertical="center"/>
    </xf>
    <xf numFmtId="0" fontId="10" fillId="4" borderId="60" xfId="0" applyFont="1" applyFill="1" applyBorder="1" applyAlignment="1" applyProtection="1">
      <alignment vertical="center"/>
    </xf>
    <xf numFmtId="2" fontId="5" fillId="3" borderId="0" xfId="0" applyNumberFormat="1" applyFont="1" applyFill="1" applyBorder="1" applyAlignment="1" applyProtection="1">
      <alignment horizontal="center" vertical="center" shrinkToFit="1"/>
    </xf>
    <xf numFmtId="2" fontId="1" fillId="3" borderId="3" xfId="0" applyNumberFormat="1" applyFont="1" applyFill="1" applyBorder="1" applyAlignment="1" applyProtection="1">
      <alignment horizontal="center" vertical="center"/>
    </xf>
    <xf numFmtId="164" fontId="1" fillId="3" borderId="3" xfId="0" applyNumberFormat="1" applyFont="1" applyFill="1" applyBorder="1" applyAlignment="1" applyProtection="1">
      <alignment horizontal="center" vertical="center"/>
    </xf>
    <xf numFmtId="0" fontId="10" fillId="4" borderId="3" xfId="0" applyFont="1" applyFill="1" applyBorder="1" applyAlignment="1" applyProtection="1">
      <alignment horizontal="left" vertical="center"/>
    </xf>
    <xf numFmtId="2" fontId="1" fillId="4" borderId="0" xfId="0" applyNumberFormat="1" applyFont="1" applyFill="1" applyBorder="1" applyAlignment="1" applyProtection="1">
      <alignment horizontal="center" vertical="center"/>
    </xf>
    <xf numFmtId="0" fontId="10" fillId="4" borderId="0" xfId="0" applyFont="1" applyFill="1" applyBorder="1" applyAlignment="1" applyProtection="1">
      <alignment horizontal="left" vertical="center"/>
    </xf>
    <xf numFmtId="2" fontId="1" fillId="3" borderId="3" xfId="0" applyNumberFormat="1" applyFont="1" applyFill="1" applyBorder="1" applyAlignment="1" applyProtection="1">
      <alignment horizontal="center" vertical="center" shrinkToFit="1"/>
    </xf>
    <xf numFmtId="0" fontId="5" fillId="4" borderId="0" xfId="0" applyFont="1" applyFill="1" applyBorder="1" applyAlignment="1" applyProtection="1">
      <alignment vertical="center"/>
    </xf>
    <xf numFmtId="0" fontId="5" fillId="4" borderId="0" xfId="0" applyFont="1" applyFill="1" applyBorder="1" applyAlignment="1" applyProtection="1">
      <alignment horizontal="center" vertical="center"/>
    </xf>
    <xf numFmtId="0" fontId="10" fillId="4" borderId="13" xfId="0" applyFont="1" applyFill="1" applyBorder="1" applyAlignment="1" applyProtection="1">
      <alignment vertical="center" shrinkToFit="1"/>
    </xf>
    <xf numFmtId="0" fontId="41" fillId="4" borderId="0" xfId="0" applyFont="1" applyFill="1" applyBorder="1" applyAlignment="1" applyProtection="1">
      <alignment vertical="center"/>
    </xf>
    <xf numFmtId="0" fontId="10" fillId="4" borderId="0" xfId="0" applyFont="1" applyFill="1" applyBorder="1" applyAlignment="1" applyProtection="1">
      <alignment horizontal="right" vertical="center"/>
    </xf>
    <xf numFmtId="168" fontId="12" fillId="4" borderId="0" xfId="0" applyNumberFormat="1" applyFont="1" applyFill="1" applyBorder="1" applyAlignment="1" applyProtection="1">
      <alignment horizontal="center" vertical="center"/>
    </xf>
    <xf numFmtId="168" fontId="42" fillId="4" borderId="0" xfId="0" applyNumberFormat="1" applyFont="1" applyFill="1" applyBorder="1" applyAlignment="1" applyProtection="1">
      <alignment horizontal="center" vertical="center"/>
    </xf>
    <xf numFmtId="166" fontId="4" fillId="2" borderId="18" xfId="0" applyNumberFormat="1" applyFont="1" applyFill="1" applyBorder="1" applyAlignment="1" applyProtection="1">
      <alignment horizontal="center" vertical="center"/>
      <protection locked="0"/>
    </xf>
    <xf numFmtId="165" fontId="4" fillId="2" borderId="18" xfId="0" applyNumberFormat="1" applyFont="1" applyFill="1" applyBorder="1" applyAlignment="1" applyProtection="1">
      <alignment horizontal="center" vertical="center"/>
      <protection locked="0"/>
    </xf>
    <xf numFmtId="164" fontId="4" fillId="3" borderId="1" xfId="0" applyNumberFormat="1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 applyProtection="1">
      <alignment vertical="top" wrapText="1"/>
    </xf>
    <xf numFmtId="0" fontId="10" fillId="4" borderId="0" xfId="0" applyFont="1" applyFill="1" applyBorder="1" applyAlignment="1" applyProtection="1">
      <alignment vertical="top" wrapText="1"/>
    </xf>
    <xf numFmtId="165" fontId="10" fillId="3" borderId="35" xfId="0" applyNumberFormat="1" applyFont="1" applyFill="1" applyBorder="1" applyAlignment="1" applyProtection="1">
      <alignment horizontal="center" vertical="center"/>
    </xf>
    <xf numFmtId="165" fontId="10" fillId="3" borderId="32" xfId="0" applyNumberFormat="1" applyFont="1" applyFill="1" applyBorder="1" applyAlignment="1" applyProtection="1">
      <alignment horizontal="center" vertical="center"/>
    </xf>
    <xf numFmtId="165" fontId="10" fillId="3" borderId="1" xfId="0" applyNumberFormat="1" applyFont="1" applyFill="1" applyBorder="1" applyAlignment="1" applyProtection="1">
      <alignment horizontal="center" vertical="center"/>
    </xf>
    <xf numFmtId="165" fontId="10" fillId="3" borderId="18" xfId="0" applyNumberFormat="1" applyFont="1" applyFill="1" applyBorder="1" applyAlignment="1" applyProtection="1">
      <alignment horizontal="center" vertical="center"/>
    </xf>
    <xf numFmtId="2" fontId="4" fillId="3" borderId="33" xfId="0" applyNumberFormat="1" applyFont="1" applyFill="1" applyBorder="1" applyAlignment="1" applyProtection="1">
      <alignment horizontal="center" vertical="center" shrinkToFit="1"/>
    </xf>
    <xf numFmtId="2" fontId="4" fillId="3" borderId="7" xfId="0" applyNumberFormat="1" applyFont="1" applyFill="1" applyBorder="1" applyAlignment="1" applyProtection="1">
      <alignment horizontal="center" vertical="center" shrinkToFit="1"/>
    </xf>
    <xf numFmtId="2" fontId="4" fillId="3" borderId="36" xfId="0" applyNumberFormat="1" applyFont="1" applyFill="1" applyBorder="1" applyAlignment="1" applyProtection="1">
      <alignment horizontal="center" vertical="center" shrinkToFit="1"/>
    </xf>
    <xf numFmtId="166" fontId="1" fillId="3" borderId="27" xfId="0" applyNumberFormat="1" applyFont="1" applyFill="1" applyBorder="1" applyAlignment="1" applyProtection="1">
      <alignment horizontal="center" vertical="center" shrinkToFit="1"/>
    </xf>
    <xf numFmtId="2" fontId="52" fillId="4" borderId="13" xfId="0" applyNumberFormat="1" applyFont="1" applyFill="1" applyBorder="1" applyAlignment="1" applyProtection="1">
      <alignment horizontal="left" vertical="center" shrinkToFit="1"/>
    </xf>
    <xf numFmtId="0" fontId="4" fillId="4" borderId="31" xfId="0" applyFont="1" applyFill="1" applyBorder="1" applyAlignment="1" applyProtection="1">
      <alignment horizontal="center" vertical="center"/>
      <protection locked="0"/>
    </xf>
    <xf numFmtId="0" fontId="4" fillId="4" borderId="34" xfId="0" applyFont="1" applyFill="1" applyBorder="1" applyAlignment="1" applyProtection="1">
      <alignment horizontal="center" vertical="center"/>
      <protection locked="0"/>
    </xf>
    <xf numFmtId="0" fontId="4" fillId="4" borderId="35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/>
    <xf numFmtId="0" fontId="17" fillId="3" borderId="0" xfId="0" applyFont="1" applyFill="1" applyBorder="1" applyAlignment="1">
      <alignment horizontal="center" vertical="center"/>
    </xf>
    <xf numFmtId="0" fontId="17" fillId="3" borderId="0" xfId="0" applyFont="1" applyFill="1" applyBorder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12" fillId="0" borderId="0" xfId="0" applyFont="1" applyAlignment="1">
      <alignment horizontal="left" shrinkToFit="1"/>
    </xf>
    <xf numFmtId="0" fontId="4" fillId="0" borderId="0" xfId="0" applyFont="1" applyAlignment="1">
      <alignment horizontal="left" shrinkToFit="1"/>
    </xf>
    <xf numFmtId="0" fontId="15" fillId="3" borderId="17" xfId="0" applyFont="1" applyFill="1" applyBorder="1" applyAlignment="1"/>
    <xf numFmtId="0" fontId="0" fillId="0" borderId="21" xfId="0" applyBorder="1" applyAlignment="1"/>
    <xf numFmtId="0" fontId="17" fillId="3" borderId="0" xfId="0" applyFont="1" applyFill="1" applyBorder="1" applyAlignment="1">
      <alignment horizontal="center" vertical="center" shrinkToFit="1"/>
    </xf>
    <xf numFmtId="0" fontId="17" fillId="3" borderId="0" xfId="0" applyFont="1" applyFill="1" applyBorder="1" applyAlignment="1">
      <alignment shrinkToFit="1"/>
    </xf>
    <xf numFmtId="166" fontId="4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7" xfId="0" applyBorder="1" applyAlignment="1" applyProtection="1">
      <alignment horizontal="center" vertical="center" shrinkToFit="1"/>
      <protection locked="0"/>
    </xf>
    <xf numFmtId="166" fontId="10" fillId="3" borderId="1" xfId="0" applyNumberFormat="1" applyFont="1" applyFill="1" applyBorder="1" applyAlignment="1" applyProtection="1">
      <alignment horizontal="center" vertical="center"/>
    </xf>
    <xf numFmtId="166" fontId="10" fillId="3" borderId="53" xfId="0" applyNumberFormat="1" applyFont="1" applyFill="1" applyBorder="1" applyAlignment="1" applyProtection="1">
      <alignment horizontal="center" vertical="center"/>
    </xf>
    <xf numFmtId="166" fontId="10" fillId="3" borderId="7" xfId="0" applyNumberFormat="1" applyFont="1" applyFill="1" applyBorder="1" applyAlignment="1" applyProtection="1">
      <alignment horizontal="center" vertical="center"/>
    </xf>
    <xf numFmtId="0" fontId="12" fillId="5" borderId="43" xfId="0" applyFont="1" applyFill="1" applyBorder="1" applyAlignment="1" applyProtection="1">
      <alignment horizontal="center" vertical="center" wrapText="1"/>
    </xf>
    <xf numFmtId="0" fontId="12" fillId="5" borderId="45" xfId="0" applyFont="1" applyFill="1" applyBorder="1" applyAlignment="1" applyProtection="1">
      <alignment horizontal="center" vertical="center" wrapText="1"/>
    </xf>
    <xf numFmtId="166" fontId="10" fillId="3" borderId="18" xfId="0" applyNumberFormat="1" applyFont="1" applyFill="1" applyBorder="1" applyAlignment="1" applyProtection="1">
      <alignment horizontal="center" vertical="center"/>
    </xf>
    <xf numFmtId="166" fontId="10" fillId="3" borderId="36" xfId="0" applyNumberFormat="1" applyFont="1" applyFill="1" applyBorder="1" applyAlignment="1" applyProtection="1">
      <alignment horizontal="center" vertical="center"/>
    </xf>
    <xf numFmtId="166" fontId="10" fillId="3" borderId="30" xfId="0" applyNumberFormat="1" applyFont="1" applyFill="1" applyBorder="1" applyAlignment="1" applyProtection="1">
      <alignment horizontal="center" vertical="center"/>
    </xf>
    <xf numFmtId="166" fontId="10" fillId="3" borderId="13" xfId="0" applyNumberFormat="1" applyFont="1" applyFill="1" applyBorder="1" applyAlignment="1" applyProtection="1">
      <alignment horizontal="center" vertical="center"/>
    </xf>
    <xf numFmtId="165" fontId="4" fillId="3" borderId="1" xfId="0" applyNumberFormat="1" applyFont="1" applyFill="1" applyBorder="1" applyAlignment="1" applyProtection="1">
      <alignment horizontal="center" vertical="center" shrinkToFit="1"/>
    </xf>
    <xf numFmtId="165" fontId="0" fillId="0" borderId="1" xfId="0" applyNumberFormat="1" applyBorder="1" applyAlignment="1" applyProtection="1">
      <alignment horizontal="center" vertical="center" shrinkToFit="1"/>
    </xf>
    <xf numFmtId="0" fontId="1" fillId="4" borderId="4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4" borderId="11" xfId="0" applyFont="1" applyFill="1" applyBorder="1" applyAlignment="1" applyProtection="1">
      <alignment horizontal="center" vertical="center" wrapText="1"/>
    </xf>
    <xf numFmtId="0" fontId="1" fillId="4" borderId="5" xfId="0" applyFont="1" applyFill="1" applyBorder="1" applyAlignment="1" applyProtection="1">
      <alignment horizontal="center" vertical="center" wrapText="1"/>
    </xf>
    <xf numFmtId="0" fontId="1" fillId="4" borderId="0" xfId="0" applyFont="1" applyFill="1" applyBorder="1" applyAlignment="1" applyProtection="1">
      <alignment horizontal="center" vertical="center" wrapText="1"/>
    </xf>
    <xf numFmtId="0" fontId="1" fillId="4" borderId="12" xfId="0" applyFont="1" applyFill="1" applyBorder="1" applyAlignment="1" applyProtection="1">
      <alignment horizontal="center" vertical="center" wrapText="1"/>
    </xf>
    <xf numFmtId="0" fontId="1" fillId="4" borderId="30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horizontal="center" vertical="center" wrapText="1"/>
    </xf>
    <xf numFmtId="0" fontId="1" fillId="4" borderId="13" xfId="0" applyFont="1" applyFill="1" applyBorder="1" applyAlignment="1" applyProtection="1">
      <alignment horizontal="center" vertical="center" wrapText="1"/>
    </xf>
    <xf numFmtId="0" fontId="1" fillId="5" borderId="4" xfId="0" applyFont="1" applyFill="1" applyBorder="1" applyAlignment="1" applyProtection="1">
      <alignment horizontal="center" vertical="center" wrapText="1"/>
    </xf>
    <xf numFmtId="0" fontId="1" fillId="5" borderId="11" xfId="0" applyFont="1" applyFill="1" applyBorder="1" applyAlignment="1" applyProtection="1">
      <alignment horizontal="center" vertical="center" wrapText="1"/>
    </xf>
    <xf numFmtId="0" fontId="1" fillId="5" borderId="30" xfId="0" applyFont="1" applyFill="1" applyBorder="1" applyAlignment="1" applyProtection="1">
      <alignment horizontal="center" vertical="center" wrapText="1"/>
    </xf>
    <xf numFmtId="0" fontId="1" fillId="5" borderId="13" xfId="0" applyFont="1" applyFill="1" applyBorder="1" applyAlignment="1" applyProtection="1">
      <alignment horizontal="center" vertical="center" wrapText="1"/>
    </xf>
    <xf numFmtId="166" fontId="10" fillId="3" borderId="32" xfId="0" applyNumberFormat="1" applyFont="1" applyFill="1" applyBorder="1" applyAlignment="1" applyProtection="1">
      <alignment horizontal="center" vertical="center"/>
    </xf>
    <xf numFmtId="166" fontId="10" fillId="3" borderId="61" xfId="0" applyNumberFormat="1" applyFont="1" applyFill="1" applyBorder="1" applyAlignment="1" applyProtection="1">
      <alignment horizontal="center" vertical="center"/>
    </xf>
    <xf numFmtId="0" fontId="9" fillId="5" borderId="28" xfId="0" applyFont="1" applyFill="1" applyBorder="1" applyAlignment="1" applyProtection="1">
      <alignment horizontal="center" vertical="center" shrinkToFit="1"/>
    </xf>
    <xf numFmtId="0" fontId="5" fillId="5" borderId="62" xfId="0" applyFont="1" applyFill="1" applyBorder="1" applyAlignment="1" applyProtection="1">
      <alignment horizontal="center" vertical="center" shrinkToFit="1"/>
    </xf>
    <xf numFmtId="165" fontId="4" fillId="3" borderId="8" xfId="0" applyNumberFormat="1" applyFont="1" applyFill="1" applyBorder="1" applyAlignment="1" applyProtection="1">
      <alignment horizontal="center" vertical="center" shrinkToFit="1"/>
    </xf>
    <xf numFmtId="165" fontId="0" fillId="0" borderId="8" xfId="0" applyNumberFormat="1" applyBorder="1" applyAlignment="1" applyProtection="1">
      <alignment horizontal="center" vertical="center" shrinkToFit="1"/>
    </xf>
    <xf numFmtId="165" fontId="4" fillId="3" borderId="53" xfId="0" applyNumberFormat="1" applyFont="1" applyFill="1" applyBorder="1" applyAlignment="1" applyProtection="1">
      <alignment horizontal="center" vertical="center" shrinkToFit="1"/>
    </xf>
    <xf numFmtId="165" fontId="4" fillId="3" borderId="51" xfId="0" applyNumberFormat="1" applyFont="1" applyFill="1" applyBorder="1" applyAlignment="1" applyProtection="1">
      <alignment horizontal="center" vertical="center" shrinkToFit="1"/>
    </xf>
    <xf numFmtId="0" fontId="1" fillId="2" borderId="6" xfId="0" applyFont="1" applyFill="1" applyBorder="1" applyAlignment="1" applyProtection="1">
      <alignment horizontal="left" vertical="center" indent="1" shrinkToFit="1"/>
      <protection locked="0"/>
    </xf>
    <xf numFmtId="0" fontId="0" fillId="0" borderId="6" xfId="0" applyBorder="1" applyAlignment="1" applyProtection="1">
      <alignment horizontal="left" vertical="center" indent="1"/>
      <protection locked="0"/>
    </xf>
    <xf numFmtId="49" fontId="1" fillId="2" borderId="6" xfId="0" applyNumberFormat="1" applyFont="1" applyFill="1" applyBorder="1" applyAlignment="1" applyProtection="1">
      <alignment horizontal="left" vertical="center" indent="1" shrinkToFit="1"/>
      <protection locked="0"/>
    </xf>
    <xf numFmtId="49" fontId="0" fillId="0" borderId="6" xfId="0" applyNumberFormat="1" applyBorder="1" applyAlignment="1" applyProtection="1">
      <alignment horizontal="left" vertical="center" indent="1"/>
      <protection locked="0"/>
    </xf>
    <xf numFmtId="0" fontId="1" fillId="4" borderId="60" xfId="0" applyFont="1" applyFill="1" applyBorder="1" applyAlignment="1" applyProtection="1">
      <alignment horizontal="right" vertical="center" shrinkToFit="1"/>
    </xf>
    <xf numFmtId="0" fontId="0" fillId="0" borderId="6" xfId="0" applyBorder="1" applyAlignment="1" applyProtection="1">
      <alignment horizontal="right" vertical="center" shrinkToFit="1"/>
    </xf>
    <xf numFmtId="2" fontId="1" fillId="3" borderId="27" xfId="0" applyNumberFormat="1" applyFont="1" applyFill="1" applyBorder="1" applyAlignment="1" applyProtection="1">
      <alignment horizontal="center" vertical="center" shrinkToFit="1"/>
    </xf>
    <xf numFmtId="2" fontId="3" fillId="0" borderId="27" xfId="0" applyNumberFormat="1" applyFont="1" applyBorder="1" applyAlignment="1" applyProtection="1">
      <alignment horizontal="center" vertical="center" shrinkToFit="1"/>
    </xf>
    <xf numFmtId="49" fontId="1" fillId="2" borderId="26" xfId="0" applyNumberFormat="1" applyFont="1" applyFill="1" applyBorder="1" applyAlignment="1" applyProtection="1">
      <alignment horizontal="center" vertical="center" shrinkToFit="1"/>
      <protection locked="0"/>
    </xf>
    <xf numFmtId="49" fontId="0" fillId="0" borderId="41" xfId="0" applyNumberFormat="1" applyBorder="1" applyAlignment="1" applyProtection="1">
      <alignment horizontal="center" vertical="center" shrinkToFit="1"/>
      <protection locked="0"/>
    </xf>
    <xf numFmtId="0" fontId="12" fillId="5" borderId="4" xfId="0" applyFont="1" applyFill="1" applyBorder="1" applyAlignment="1" applyProtection="1">
      <alignment horizontal="center" vertical="center" shrinkToFit="1"/>
    </xf>
    <xf numFmtId="0" fontId="0" fillId="5" borderId="2" xfId="0" applyFill="1" applyBorder="1" applyAlignment="1" applyProtection="1">
      <alignment horizontal="center" vertical="center" shrinkToFit="1"/>
    </xf>
    <xf numFmtId="0" fontId="0" fillId="5" borderId="11" xfId="0" applyFill="1" applyBorder="1" applyAlignment="1" applyProtection="1">
      <alignment horizontal="center" vertical="center" shrinkToFit="1"/>
    </xf>
    <xf numFmtId="0" fontId="0" fillId="0" borderId="30" xfId="0" applyBorder="1" applyAlignment="1" applyProtection="1">
      <alignment vertical="center" shrinkToFit="1"/>
    </xf>
    <xf numFmtId="0" fontId="0" fillId="0" borderId="3" xfId="0" applyBorder="1" applyAlignment="1" applyProtection="1">
      <alignment vertical="center" shrinkToFit="1"/>
    </xf>
    <xf numFmtId="0" fontId="0" fillId="0" borderId="13" xfId="0" applyBorder="1" applyAlignment="1" applyProtection="1">
      <alignment vertical="center" shrinkToFit="1"/>
    </xf>
    <xf numFmtId="164" fontId="1" fillId="3" borderId="27" xfId="0" applyNumberFormat="1" applyFont="1" applyFill="1" applyBorder="1" applyAlignment="1" applyProtection="1">
      <alignment horizontal="center" vertical="center" shrinkToFit="1"/>
    </xf>
    <xf numFmtId="164" fontId="3" fillId="0" borderId="27" xfId="0" applyNumberFormat="1" applyFont="1" applyBorder="1" applyAlignment="1" applyProtection="1">
      <alignment horizontal="center" vertical="center" shrinkToFit="1"/>
    </xf>
    <xf numFmtId="0" fontId="5" fillId="5" borderId="0" xfId="0" applyFont="1" applyFill="1" applyBorder="1" applyAlignment="1" applyProtection="1">
      <alignment horizontal="center" vertical="center" shrinkToFit="1"/>
    </xf>
    <xf numFmtId="0" fontId="0" fillId="0" borderId="12" xfId="0" applyBorder="1" applyAlignment="1" applyProtection="1">
      <alignment horizontal="center" vertical="center" shrinkToFit="1"/>
    </xf>
    <xf numFmtId="21" fontId="1" fillId="2" borderId="6" xfId="0" applyNumberFormat="1" applyFont="1" applyFill="1" applyBorder="1" applyAlignment="1" applyProtection="1">
      <alignment horizontal="center" vertical="center" shrinkToFit="1"/>
      <protection locked="0"/>
    </xf>
    <xf numFmtId="21" fontId="0" fillId="0" borderId="6" xfId="0" applyNumberFormat="1" applyBorder="1" applyAlignment="1" applyProtection="1">
      <alignment horizontal="center" vertical="center" shrinkToFit="1"/>
      <protection locked="0"/>
    </xf>
    <xf numFmtId="0" fontId="1" fillId="4" borderId="0" xfId="0" applyFont="1" applyFill="1" applyBorder="1" applyAlignment="1" applyProtection="1">
      <alignment horizontal="right" vertical="center" shrinkToFit="1"/>
    </xf>
    <xf numFmtId="0" fontId="0" fillId="0" borderId="0" xfId="0" applyBorder="1" applyAlignment="1" applyProtection="1">
      <alignment horizontal="right" vertical="center" shrinkToFit="1"/>
    </xf>
    <xf numFmtId="2" fontId="1" fillId="3" borderId="26" xfId="0" applyNumberFormat="1" applyFont="1" applyFill="1" applyBorder="1" applyAlignment="1" applyProtection="1">
      <alignment horizontal="center" vertical="center" shrinkToFit="1"/>
    </xf>
    <xf numFmtId="2" fontId="3" fillId="0" borderId="26" xfId="0" applyNumberFormat="1" applyFont="1" applyBorder="1" applyAlignment="1" applyProtection="1">
      <alignment horizontal="center" vertical="center" shrinkToFit="1"/>
    </xf>
    <xf numFmtId="0" fontId="21" fillId="5" borderId="4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0" fillId="0" borderId="30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1" fontId="1" fillId="3" borderId="27" xfId="0" applyNumberFormat="1" applyFont="1" applyFill="1" applyBorder="1" applyAlignment="1" applyProtection="1">
      <alignment horizontal="center" vertical="center" shrinkToFit="1"/>
    </xf>
    <xf numFmtId="1" fontId="3" fillId="0" borderId="27" xfId="0" applyNumberFormat="1" applyFont="1" applyBorder="1" applyAlignment="1" applyProtection="1">
      <alignment horizontal="center" vertical="center" shrinkToFit="1"/>
    </xf>
    <xf numFmtId="0" fontId="1" fillId="4" borderId="5" xfId="0" applyFont="1" applyFill="1" applyBorder="1" applyAlignment="1" applyProtection="1">
      <alignment horizontal="right" vertical="center" shrinkToFit="1"/>
    </xf>
    <xf numFmtId="165" fontId="1" fillId="3" borderId="42" xfId="0" applyNumberFormat="1" applyFont="1" applyFill="1" applyBorder="1" applyAlignment="1" applyProtection="1">
      <alignment horizontal="center" vertical="center" shrinkToFit="1"/>
    </xf>
    <xf numFmtId="165" fontId="3" fillId="0" borderId="42" xfId="0" applyNumberFormat="1" applyFont="1" applyBorder="1" applyAlignment="1" applyProtection="1">
      <alignment horizontal="center" vertical="center" shrinkToFit="1"/>
    </xf>
    <xf numFmtId="0" fontId="5" fillId="5" borderId="5" xfId="0" applyFont="1" applyFill="1" applyBorder="1" applyAlignment="1" applyProtection="1">
      <alignment horizontal="center" vertical="center"/>
    </xf>
    <xf numFmtId="0" fontId="5" fillId="5" borderId="12" xfId="0" applyFont="1" applyFill="1" applyBorder="1" applyAlignment="1" applyProtection="1">
      <alignment horizontal="center" vertical="center"/>
    </xf>
    <xf numFmtId="0" fontId="5" fillId="5" borderId="4" xfId="0" applyFont="1" applyFill="1" applyBorder="1" applyAlignment="1" applyProtection="1">
      <alignment horizontal="center" vertical="center" wrapText="1"/>
    </xf>
    <xf numFmtId="0" fontId="5" fillId="5" borderId="11" xfId="0" applyFont="1" applyFill="1" applyBorder="1" applyAlignment="1" applyProtection="1">
      <alignment horizontal="center" vertical="center" wrapText="1"/>
    </xf>
    <xf numFmtId="0" fontId="5" fillId="5" borderId="5" xfId="0" applyFont="1" applyFill="1" applyBorder="1" applyAlignment="1" applyProtection="1">
      <alignment horizontal="center" vertical="center" wrapText="1"/>
    </xf>
    <xf numFmtId="0" fontId="5" fillId="5" borderId="12" xfId="0" applyFont="1" applyFill="1" applyBorder="1" applyAlignment="1" applyProtection="1">
      <alignment horizontal="center" vertical="center" wrapText="1"/>
    </xf>
    <xf numFmtId="0" fontId="1" fillId="4" borderId="30" xfId="0" applyFont="1" applyFill="1" applyBorder="1" applyAlignment="1" applyProtection="1">
      <alignment horizontal="right" vertical="center" shrinkToFit="1"/>
    </xf>
    <xf numFmtId="0" fontId="0" fillId="0" borderId="3" xfId="0" applyBorder="1" applyAlignment="1" applyProtection="1">
      <alignment horizontal="right" vertical="center" shrinkToFit="1"/>
    </xf>
    <xf numFmtId="0" fontId="1" fillId="5" borderId="4" xfId="0" applyFont="1" applyFill="1" applyBorder="1" applyAlignment="1" applyProtection="1">
      <alignment horizontal="center" vertical="center" shrinkToFit="1"/>
    </xf>
    <xf numFmtId="0" fontId="1" fillId="5" borderId="2" xfId="0" applyFont="1" applyFill="1" applyBorder="1" applyAlignment="1" applyProtection="1">
      <alignment horizontal="center" vertical="center" shrinkToFit="1"/>
    </xf>
    <xf numFmtId="0" fontId="1" fillId="5" borderId="50" xfId="0" applyFont="1" applyFill="1" applyBorder="1" applyAlignment="1" applyProtection="1">
      <alignment horizontal="center" vertical="center" shrinkToFit="1"/>
    </xf>
    <xf numFmtId="166" fontId="0" fillId="0" borderId="1" xfId="0" applyNumberFormat="1" applyBorder="1" applyAlignment="1" applyProtection="1">
      <alignment horizontal="center" vertical="center" shrinkToFit="1"/>
      <protection locked="0"/>
    </xf>
    <xf numFmtId="0" fontId="8" fillId="5" borderId="43" xfId="0" applyFont="1" applyFill="1" applyBorder="1" applyAlignment="1" applyProtection="1">
      <alignment horizontal="center" vertical="center" textRotation="90" wrapText="1"/>
    </xf>
    <xf numFmtId="0" fontId="8" fillId="5" borderId="45" xfId="0" applyFont="1" applyFill="1" applyBorder="1" applyAlignment="1" applyProtection="1">
      <alignment horizontal="center" vertical="center" textRotation="90" wrapText="1"/>
    </xf>
    <xf numFmtId="0" fontId="21" fillId="5" borderId="4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</xf>
    <xf numFmtId="0" fontId="0" fillId="0" borderId="11" xfId="0" applyBorder="1" applyAlignment="1" applyProtection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</xf>
    <xf numFmtId="0" fontId="20" fillId="5" borderId="4" xfId="0" applyFont="1" applyFill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</xf>
    <xf numFmtId="0" fontId="20" fillId="5" borderId="4" xfId="0" applyFont="1" applyFill="1" applyBorder="1" applyAlignment="1" applyProtection="1">
      <alignment horizontal="center" vertical="center" shrinkToFit="1"/>
    </xf>
    <xf numFmtId="0" fontId="0" fillId="0" borderId="2" xfId="0" applyBorder="1" applyAlignment="1" applyProtection="1">
      <alignment vertical="center" shrinkToFit="1"/>
    </xf>
    <xf numFmtId="0" fontId="0" fillId="0" borderId="11" xfId="0" applyBorder="1" applyAlignment="1" applyProtection="1">
      <alignment vertical="center" shrinkToFit="1"/>
    </xf>
    <xf numFmtId="0" fontId="0" fillId="0" borderId="5" xfId="0" applyBorder="1" applyAlignment="1" applyProtection="1">
      <alignment vertical="center" shrinkToFit="1"/>
    </xf>
    <xf numFmtId="0" fontId="0" fillId="0" borderId="0" xfId="0" applyBorder="1" applyAlignment="1" applyProtection="1">
      <alignment vertical="center" shrinkToFit="1"/>
    </xf>
    <xf numFmtId="0" fontId="0" fillId="0" borderId="12" xfId="0" applyBorder="1" applyAlignment="1" applyProtection="1">
      <alignment vertical="center" shrinkToFit="1"/>
    </xf>
    <xf numFmtId="170" fontId="1" fillId="2" borderId="27" xfId="0" applyNumberFormat="1" applyFont="1" applyFill="1" applyBorder="1" applyAlignment="1" applyProtection="1">
      <alignment horizontal="center" vertical="center" shrinkToFit="1"/>
      <protection locked="0"/>
    </xf>
    <xf numFmtId="0" fontId="1" fillId="4" borderId="2" xfId="0" applyFont="1" applyFill="1" applyBorder="1" applyAlignment="1" applyProtection="1">
      <alignment horizontal="right" vertical="center" shrinkToFit="1"/>
    </xf>
    <xf numFmtId="0" fontId="0" fillId="0" borderId="2" xfId="0" applyBorder="1" applyAlignment="1" applyProtection="1">
      <alignment horizontal="right" vertical="center" shrinkToFit="1"/>
    </xf>
    <xf numFmtId="166" fontId="4" fillId="2" borderId="8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0" fontId="1" fillId="5" borderId="0" xfId="0" applyFont="1" applyFill="1" applyBorder="1" applyAlignment="1" applyProtection="1">
      <alignment horizontal="center" vertical="center" shrinkToFit="1"/>
    </xf>
    <xf numFmtId="0" fontId="12" fillId="5" borderId="2" xfId="0" applyFont="1" applyFill="1" applyBorder="1" applyAlignment="1" applyProtection="1">
      <alignment horizontal="center" vertical="center" shrinkToFit="1"/>
    </xf>
    <xf numFmtId="0" fontId="12" fillId="5" borderId="11" xfId="0" applyFont="1" applyFill="1" applyBorder="1" applyAlignment="1" applyProtection="1">
      <alignment horizontal="center" vertical="center" shrinkToFit="1"/>
    </xf>
    <xf numFmtId="0" fontId="12" fillId="5" borderId="60" xfId="0" applyFont="1" applyFill="1" applyBorder="1" applyAlignment="1" applyProtection="1">
      <alignment horizontal="center" vertical="center" shrinkToFit="1"/>
    </xf>
    <xf numFmtId="0" fontId="12" fillId="5" borderId="6" xfId="0" applyFont="1" applyFill="1" applyBorder="1" applyAlignment="1" applyProtection="1">
      <alignment horizontal="center" vertical="center" shrinkToFit="1"/>
    </xf>
    <xf numFmtId="0" fontId="12" fillId="5" borderId="19" xfId="0" applyFont="1" applyFill="1" applyBorder="1" applyAlignment="1" applyProtection="1">
      <alignment horizontal="center" vertical="center" shrinkToFit="1"/>
    </xf>
    <xf numFmtId="0" fontId="1" fillId="5" borderId="2" xfId="0" applyFont="1" applyFill="1" applyBorder="1" applyAlignment="1" applyProtection="1">
      <alignment horizontal="center" vertical="center" wrapText="1" shrinkToFit="1"/>
    </xf>
    <xf numFmtId="0" fontId="0" fillId="0" borderId="11" xfId="0" applyBorder="1" applyAlignment="1" applyProtection="1">
      <alignment horizontal="center" vertical="center" wrapText="1" shrinkToFit="1"/>
    </xf>
    <xf numFmtId="0" fontId="0" fillId="0" borderId="6" xfId="0" applyBorder="1" applyAlignment="1" applyProtection="1">
      <alignment vertical="center" wrapText="1" shrinkToFit="1"/>
    </xf>
    <xf numFmtId="0" fontId="0" fillId="0" borderId="19" xfId="0" applyBorder="1" applyAlignment="1" applyProtection="1">
      <alignment vertical="center" wrapText="1" shrinkToFit="1"/>
    </xf>
    <xf numFmtId="0" fontId="1" fillId="5" borderId="30" xfId="0" applyFont="1" applyFill="1" applyBorder="1" applyAlignment="1" applyProtection="1">
      <alignment horizontal="center" vertical="center" shrinkToFit="1"/>
    </xf>
    <xf numFmtId="0" fontId="1" fillId="5" borderId="3" xfId="0" applyFont="1" applyFill="1" applyBorder="1" applyAlignment="1" applyProtection="1">
      <alignment horizontal="center" vertical="center" shrinkToFit="1"/>
    </xf>
    <xf numFmtId="0" fontId="1" fillId="5" borderId="57" xfId="0" applyFont="1" applyFill="1" applyBorder="1" applyAlignment="1" applyProtection="1">
      <alignment horizontal="center" vertical="center" shrinkToFit="1"/>
    </xf>
    <xf numFmtId="166" fontId="4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36" xfId="0" applyBorder="1" applyAlignment="1" applyProtection="1">
      <alignment horizontal="center" vertical="center" shrinkToFit="1"/>
      <protection locked="0"/>
    </xf>
    <xf numFmtId="165" fontId="4" fillId="3" borderId="63" xfId="0" applyNumberFormat="1" applyFont="1" applyFill="1" applyBorder="1" applyAlignment="1" applyProtection="1">
      <alignment horizontal="center" vertical="center" shrinkToFit="1"/>
    </xf>
    <xf numFmtId="0" fontId="0" fillId="3" borderId="21" xfId="0" applyFill="1" applyBorder="1" applyAlignment="1" applyProtection="1">
      <alignment horizontal="center" vertical="center" shrinkToFit="1"/>
    </xf>
    <xf numFmtId="166" fontId="0" fillId="0" borderId="18" xfId="0" applyNumberFormat="1" applyBorder="1" applyAlignment="1" applyProtection="1">
      <alignment horizontal="center" vertical="center" shrinkToFit="1"/>
      <protection locked="0"/>
    </xf>
    <xf numFmtId="166" fontId="4" fillId="2" borderId="64" xfId="0" applyNumberFormat="1" applyFont="1" applyFill="1" applyBorder="1" applyAlignment="1" applyProtection="1">
      <alignment horizontal="center" vertical="center" shrinkToFit="1"/>
      <protection locked="0"/>
    </xf>
    <xf numFmtId="166" fontId="0" fillId="0" borderId="50" xfId="0" applyNumberFormat="1" applyBorder="1" applyAlignment="1" applyProtection="1">
      <alignment horizontal="center" vertical="center" shrinkToFit="1"/>
      <protection locked="0"/>
    </xf>
    <xf numFmtId="165" fontId="4" fillId="3" borderId="18" xfId="0" applyNumberFormat="1" applyFont="1" applyFill="1" applyBorder="1" applyAlignment="1" applyProtection="1">
      <alignment horizontal="center" vertical="center" shrinkToFit="1"/>
    </xf>
    <xf numFmtId="165" fontId="0" fillId="0" borderId="18" xfId="0" applyNumberFormat="1" applyBorder="1" applyAlignment="1" applyProtection="1">
      <alignment horizontal="center" vertical="center" shrinkToFit="1"/>
    </xf>
    <xf numFmtId="0" fontId="4" fillId="4" borderId="2" xfId="0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3" borderId="65" xfId="0" applyNumberFormat="1" applyFill="1" applyBorder="1" applyAlignment="1" applyProtection="1">
      <alignment horizontal="center" vertical="center" shrinkToFit="1"/>
    </xf>
    <xf numFmtId="166" fontId="4" fillId="3" borderId="66" xfId="0" applyNumberFormat="1" applyFont="1" applyFill="1" applyBorder="1" applyAlignment="1" applyProtection="1">
      <alignment horizontal="center" vertical="center" shrinkToFit="1"/>
    </xf>
    <xf numFmtId="166" fontId="0" fillId="3" borderId="38" xfId="0" applyNumberFormat="1" applyFill="1" applyBorder="1" applyAlignment="1" applyProtection="1">
      <alignment horizontal="center" vertical="center" shrinkToFit="1"/>
    </xf>
    <xf numFmtId="0" fontId="1" fillId="5" borderId="43" xfId="0" applyFont="1" applyFill="1" applyBorder="1" applyAlignment="1" applyProtection="1">
      <alignment horizontal="center" vertical="center" wrapText="1"/>
    </xf>
    <xf numFmtId="0" fontId="25" fillId="0" borderId="39" xfId="0" applyFont="1" applyBorder="1" applyAlignment="1" applyProtection="1">
      <alignment horizontal="center" vertical="center"/>
    </xf>
    <xf numFmtId="0" fontId="1" fillId="5" borderId="43" xfId="0" applyFont="1" applyFill="1" applyBorder="1" applyAlignment="1" applyProtection="1">
      <alignment horizontal="center" vertical="center"/>
    </xf>
    <xf numFmtId="165" fontId="1" fillId="5" borderId="43" xfId="0" applyNumberFormat="1" applyFont="1" applyFill="1" applyBorder="1" applyAlignment="1" applyProtection="1">
      <alignment horizontal="center" vertical="center" wrapText="1"/>
    </xf>
    <xf numFmtId="165" fontId="25" fillId="0" borderId="45" xfId="0" applyNumberFormat="1" applyFont="1" applyBorder="1" applyAlignment="1" applyProtection="1">
      <alignment horizontal="center" vertical="center" wrapText="1"/>
    </xf>
    <xf numFmtId="165" fontId="25" fillId="0" borderId="39" xfId="0" applyNumberFormat="1" applyFont="1" applyBorder="1" applyAlignment="1" applyProtection="1">
      <alignment horizontal="center" vertical="center" wrapText="1"/>
    </xf>
    <xf numFmtId="49" fontId="1" fillId="3" borderId="6" xfId="0" applyNumberFormat="1" applyFont="1" applyFill="1" applyBorder="1" applyAlignment="1" applyProtection="1">
      <alignment horizontal="left" vertical="center" indent="1" shrinkToFit="1"/>
    </xf>
    <xf numFmtId="0" fontId="4" fillId="2" borderId="6" xfId="0" applyFont="1" applyFill="1" applyBorder="1" applyAlignment="1" applyProtection="1">
      <alignment horizontal="left" vertical="center" indent="1" shrinkToFit="1"/>
      <protection locked="0"/>
    </xf>
    <xf numFmtId="0" fontId="0" fillId="0" borderId="6" xfId="0" applyBorder="1" applyAlignment="1" applyProtection="1">
      <alignment horizontal="left" vertical="center" indent="1" shrinkToFit="1"/>
      <protection locked="0"/>
    </xf>
    <xf numFmtId="0" fontId="0" fillId="0" borderId="6" xfId="0" applyBorder="1" applyAlignment="1" applyProtection="1">
      <alignment vertical="center"/>
      <protection locked="0"/>
    </xf>
    <xf numFmtId="49" fontId="4" fillId="3" borderId="6" xfId="0" applyNumberFormat="1" applyFont="1" applyFill="1" applyBorder="1" applyAlignment="1" applyProtection="1">
      <alignment horizontal="left" vertical="center" indent="1" shrinkToFit="1"/>
    </xf>
    <xf numFmtId="49" fontId="0" fillId="3" borderId="6" xfId="0" applyNumberFormat="1" applyFill="1" applyBorder="1" applyAlignment="1" applyProtection="1">
      <alignment horizontal="left" vertical="center" indent="1" shrinkToFit="1"/>
    </xf>
    <xf numFmtId="49" fontId="0" fillId="3" borderId="6" xfId="0" applyNumberFormat="1" applyFill="1" applyBorder="1" applyAlignment="1" applyProtection="1">
      <alignment vertical="center"/>
    </xf>
    <xf numFmtId="0" fontId="12" fillId="5" borderId="4" xfId="0" applyFont="1" applyFill="1" applyBorder="1" applyAlignment="1" applyProtection="1">
      <alignment horizontal="center" vertical="center"/>
    </xf>
    <xf numFmtId="0" fontId="12" fillId="5" borderId="2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vertical="center"/>
    </xf>
    <xf numFmtId="0" fontId="0" fillId="0" borderId="11" xfId="0" applyBorder="1" applyAlignment="1" applyProtection="1">
      <alignment vertical="center"/>
    </xf>
    <xf numFmtId="0" fontId="1" fillId="2" borderId="67" xfId="0" applyFont="1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21" fontId="1" fillId="2" borderId="6" xfId="0" applyNumberFormat="1" applyFont="1" applyFill="1" applyBorder="1" applyAlignment="1" applyProtection="1">
      <alignment horizontal="left" vertical="center" indent="1" shrinkToFit="1"/>
      <protection locked="0"/>
    </xf>
    <xf numFmtId="21" fontId="1" fillId="2" borderId="27" xfId="0" applyNumberFormat="1" applyFont="1" applyFill="1" applyBorder="1" applyAlignment="1" applyProtection="1">
      <alignment horizontal="left" vertical="center" indent="1" shrinkToFit="1"/>
      <protection locked="0"/>
    </xf>
    <xf numFmtId="0" fontId="1" fillId="5" borderId="17" xfId="0" quotePrefix="1" applyFont="1" applyFill="1" applyBorder="1" applyAlignment="1" applyProtection="1">
      <alignment horizontal="center" vertical="center" shrinkToFit="1"/>
    </xf>
    <xf numFmtId="0" fontId="1" fillId="5" borderId="20" xfId="0" applyFont="1" applyFill="1" applyBorder="1" applyAlignment="1" applyProtection="1">
      <alignment horizontal="center" vertical="center" shrinkToFit="1"/>
    </xf>
    <xf numFmtId="0" fontId="1" fillId="5" borderId="21" xfId="0" applyFont="1" applyFill="1" applyBorder="1" applyAlignment="1" applyProtection="1">
      <alignment horizontal="center" vertical="center" shrinkToFit="1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 vertical="center"/>
      <protection locked="0"/>
    </xf>
    <xf numFmtId="0" fontId="8" fillId="5" borderId="43" xfId="0" applyFont="1" applyFill="1" applyBorder="1" applyAlignment="1" applyProtection="1">
      <alignment horizontal="center" vertical="center" wrapText="1"/>
    </xf>
    <xf numFmtId="0" fontId="39" fillId="0" borderId="45" xfId="0" applyFont="1" applyBorder="1" applyAlignment="1" applyProtection="1">
      <alignment horizontal="center" vertical="center" wrapText="1"/>
    </xf>
    <xf numFmtId="0" fontId="25" fillId="0" borderId="39" xfId="0" applyFont="1" applyBorder="1" applyAlignment="1" applyProtection="1">
      <alignment horizontal="center" vertical="center" wrapText="1"/>
    </xf>
    <xf numFmtId="0" fontId="1" fillId="5" borderId="11" xfId="0" applyFont="1" applyFill="1" applyBorder="1" applyAlignment="1" applyProtection="1">
      <alignment horizontal="center" vertical="center" wrapText="1" shrinkToFit="1"/>
    </xf>
    <xf numFmtId="0" fontId="0" fillId="0" borderId="12" xfId="0" applyBorder="1" applyAlignment="1" applyProtection="1">
      <alignment horizontal="center" vertical="center" wrapText="1" shrinkToFit="1"/>
    </xf>
    <xf numFmtId="0" fontId="1" fillId="5" borderId="43" xfId="0" applyFont="1" applyFill="1" applyBorder="1" applyAlignment="1" applyProtection="1">
      <alignment horizontal="center" vertical="center" wrapText="1" shrinkToFit="1"/>
    </xf>
    <xf numFmtId="0" fontId="25" fillId="0" borderId="45" xfId="0" applyFont="1" applyBorder="1" applyAlignment="1" applyProtection="1">
      <alignment horizontal="center" vertical="center" wrapText="1" shrinkToFit="1"/>
    </xf>
    <xf numFmtId="3" fontId="1" fillId="4" borderId="0" xfId="0" applyNumberFormat="1" applyFont="1" applyFill="1" applyBorder="1" applyAlignment="1" applyProtection="1">
      <alignment vertical="center" shrinkToFit="1"/>
    </xf>
    <xf numFmtId="0" fontId="0" fillId="4" borderId="0" xfId="0" applyFill="1" applyBorder="1" applyAlignment="1" applyProtection="1">
      <alignment vertical="center" shrinkToFit="1"/>
    </xf>
    <xf numFmtId="0" fontId="1" fillId="4" borderId="0" xfId="0" applyFont="1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2" fontId="1" fillId="4" borderId="0" xfId="0" applyNumberFormat="1" applyFont="1" applyFill="1" applyBorder="1" applyAlignment="1" applyProtection="1">
      <alignment vertical="center" shrinkToFit="1"/>
    </xf>
    <xf numFmtId="2" fontId="0" fillId="4" borderId="0" xfId="0" applyNumberFormat="1" applyFill="1" applyBorder="1" applyAlignment="1" applyProtection="1">
      <alignment vertical="center" shrinkToFit="1"/>
    </xf>
    <xf numFmtId="165" fontId="1" fillId="3" borderId="42" xfId="0" applyNumberFormat="1" applyFont="1" applyFill="1" applyBorder="1" applyAlignment="1" applyProtection="1">
      <alignment vertical="center" shrinkToFit="1"/>
    </xf>
    <xf numFmtId="0" fontId="0" fillId="0" borderId="58" xfId="0" applyBorder="1" applyAlignment="1" applyProtection="1">
      <alignment vertical="center" shrinkToFit="1"/>
    </xf>
    <xf numFmtId="164" fontId="1" fillId="4" borderId="0" xfId="0" applyNumberFormat="1" applyFont="1" applyFill="1" applyBorder="1" applyAlignment="1" applyProtection="1">
      <alignment vertical="center" shrinkToFit="1"/>
    </xf>
    <xf numFmtId="0" fontId="5" fillId="5" borderId="2" xfId="0" applyFont="1" applyFill="1" applyBorder="1" applyAlignment="1" applyProtection="1">
      <alignment horizontal="center" vertical="center" shrinkToFit="1"/>
    </xf>
    <xf numFmtId="0" fontId="10" fillId="0" borderId="2" xfId="0" applyFont="1" applyBorder="1" applyAlignment="1" applyProtection="1">
      <alignment horizontal="center" vertical="center" shrinkToFit="1"/>
    </xf>
    <xf numFmtId="0" fontId="5" fillId="4" borderId="0" xfId="0" applyFont="1" applyFill="1" applyBorder="1" applyAlignment="1" applyProtection="1">
      <alignment horizontal="center" vertical="center" shrinkToFit="1"/>
    </xf>
    <xf numFmtId="0" fontId="0" fillId="0" borderId="2" xfId="0" applyBorder="1" applyAlignment="1" applyProtection="1">
      <alignment vertical="center" wrapText="1"/>
    </xf>
    <xf numFmtId="0" fontId="0" fillId="0" borderId="60" xfId="0" applyBorder="1" applyAlignment="1" applyProtection="1">
      <alignment vertical="center" wrapText="1"/>
    </xf>
    <xf numFmtId="0" fontId="0" fillId="0" borderId="6" xfId="0" applyBorder="1" applyAlignment="1" applyProtection="1">
      <alignment vertical="center" wrapText="1"/>
    </xf>
    <xf numFmtId="0" fontId="0" fillId="0" borderId="6" xfId="0" applyBorder="1" applyAlignment="1" applyProtection="1">
      <alignment vertical="center"/>
    </xf>
    <xf numFmtId="0" fontId="9" fillId="5" borderId="2" xfId="0" applyFont="1" applyFill="1" applyBorder="1" applyAlignment="1" applyProtection="1">
      <alignment horizontal="center" vertical="center" wrapText="1"/>
    </xf>
    <xf numFmtId="165" fontId="1" fillId="3" borderId="42" xfId="0" applyNumberFormat="1" applyFont="1" applyFill="1" applyBorder="1" applyAlignment="1" applyProtection="1">
      <alignment horizontal="center" vertical="center"/>
    </xf>
    <xf numFmtId="0" fontId="25" fillId="0" borderId="42" xfId="0" applyFont="1" applyBorder="1" applyAlignment="1" applyProtection="1">
      <alignment horizontal="center" vertical="center"/>
    </xf>
    <xf numFmtId="0" fontId="43" fillId="0" borderId="2" xfId="0" applyFont="1" applyBorder="1" applyAlignment="1" applyProtection="1">
      <alignment vertical="center"/>
    </xf>
    <xf numFmtId="0" fontId="43" fillId="0" borderId="11" xfId="0" applyFont="1" applyBorder="1" applyAlignment="1" applyProtection="1">
      <alignment vertical="center"/>
    </xf>
    <xf numFmtId="0" fontId="43" fillId="0" borderId="6" xfId="0" applyFont="1" applyBorder="1" applyAlignment="1" applyProtection="1">
      <alignment vertical="center"/>
    </xf>
    <xf numFmtId="0" fontId="43" fillId="0" borderId="19" xfId="0" applyFont="1" applyBorder="1" applyAlignment="1" applyProtection="1">
      <alignment vertical="center"/>
    </xf>
    <xf numFmtId="0" fontId="44" fillId="5" borderId="2" xfId="0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 shrinkToFit="1"/>
    </xf>
    <xf numFmtId="164" fontId="4" fillId="2" borderId="8" xfId="0" applyNumberFormat="1" applyFont="1" applyFill="1" applyBorder="1" applyAlignment="1" applyProtection="1">
      <alignment horizontal="center" vertical="center" shrinkToFit="1"/>
      <protection locked="0"/>
    </xf>
    <xf numFmtId="164" fontId="4" fillId="2" borderId="1" xfId="0" applyNumberFormat="1" applyFont="1" applyFill="1" applyBorder="1" applyAlignment="1" applyProtection="1">
      <alignment horizontal="center" vertical="center" shrinkToFit="1"/>
      <protection locked="0"/>
    </xf>
    <xf numFmtId="164" fontId="4" fillId="2" borderId="14" xfId="0" applyNumberFormat="1" applyFont="1" applyFill="1" applyBorder="1" applyAlignment="1" applyProtection="1">
      <alignment horizontal="center" vertical="center" shrinkToFit="1"/>
      <protection locked="0"/>
    </xf>
    <xf numFmtId="164" fontId="4" fillId="2" borderId="22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alignment horizontal="center" vertical="center"/>
      <protection locked="0"/>
    </xf>
    <xf numFmtId="0" fontId="1" fillId="2" borderId="5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 applyProtection="1">
      <alignment horizontal="center" vertical="center" textRotation="90" wrapText="1"/>
    </xf>
    <xf numFmtId="0" fontId="8" fillId="5" borderId="5" xfId="0" applyFont="1" applyFill="1" applyBorder="1" applyAlignment="1" applyProtection="1">
      <alignment horizontal="center" vertical="center" textRotation="90" wrapText="1"/>
    </xf>
    <xf numFmtId="0" fontId="36" fillId="5" borderId="43" xfId="0" applyFont="1" applyFill="1" applyBorder="1" applyAlignment="1" applyProtection="1">
      <alignment horizontal="center" vertical="center" wrapText="1"/>
    </xf>
    <xf numFmtId="0" fontId="37" fillId="0" borderId="45" xfId="0" applyFont="1" applyBorder="1" applyAlignment="1" applyProtection="1">
      <alignment horizontal="center" vertical="center" wrapText="1"/>
    </xf>
    <xf numFmtId="0" fontId="37" fillId="0" borderId="39" xfId="0" applyFont="1" applyBorder="1" applyAlignment="1" applyProtection="1">
      <alignment horizontal="center" vertical="center" wrapText="1"/>
    </xf>
    <xf numFmtId="0" fontId="12" fillId="5" borderId="17" xfId="0" applyFont="1" applyFill="1" applyBorder="1" applyAlignment="1" applyProtection="1">
      <alignment horizontal="center" vertical="center" shrinkToFit="1"/>
    </xf>
    <xf numFmtId="0" fontId="0" fillId="5" borderId="20" xfId="0" applyFill="1" applyBorder="1" applyAlignment="1" applyProtection="1">
      <alignment horizontal="center" vertical="center" shrinkToFit="1"/>
    </xf>
    <xf numFmtId="0" fontId="5" fillId="5" borderId="2" xfId="0" applyFont="1" applyFill="1" applyBorder="1" applyAlignment="1" applyProtection="1">
      <alignment horizontal="center" vertical="center" wrapText="1"/>
    </xf>
    <xf numFmtId="0" fontId="5" fillId="5" borderId="0" xfId="0" applyFont="1" applyFill="1" applyBorder="1" applyAlignment="1" applyProtection="1">
      <alignment horizontal="center" vertical="center" wrapText="1"/>
    </xf>
    <xf numFmtId="164" fontId="1" fillId="3" borderId="51" xfId="0" applyNumberFormat="1" applyFont="1" applyFill="1" applyBorder="1" applyAlignment="1" applyProtection="1">
      <alignment horizontal="center" vertical="center"/>
    </xf>
    <xf numFmtId="164" fontId="0" fillId="3" borderId="1" xfId="0" applyNumberFormat="1" applyFill="1" applyBorder="1" applyAlignment="1" applyProtection="1">
      <alignment horizontal="center" vertical="center"/>
    </xf>
    <xf numFmtId="0" fontId="1" fillId="5" borderId="17" xfId="0" applyFont="1" applyFill="1" applyBorder="1" applyAlignment="1" applyProtection="1">
      <alignment horizontal="center" vertical="center"/>
    </xf>
    <xf numFmtId="0" fontId="1" fillId="5" borderId="20" xfId="0" applyFont="1" applyFill="1" applyBorder="1" applyAlignment="1" applyProtection="1">
      <alignment horizontal="center" vertical="center"/>
    </xf>
    <xf numFmtId="0" fontId="0" fillId="0" borderId="20" xfId="0" applyBorder="1" applyAlignment="1" applyProtection="1">
      <alignment vertical="center"/>
    </xf>
    <xf numFmtId="0" fontId="5" fillId="5" borderId="60" xfId="0" applyFont="1" applyFill="1" applyBorder="1" applyAlignment="1" applyProtection="1">
      <alignment horizontal="center" vertical="center"/>
    </xf>
    <xf numFmtId="0" fontId="5" fillId="5" borderId="6" xfId="0" applyFont="1" applyFill="1" applyBorder="1" applyAlignment="1" applyProtection="1">
      <alignment horizontal="center" vertical="center"/>
    </xf>
    <xf numFmtId="0" fontId="5" fillId="5" borderId="68" xfId="0" applyFont="1" applyFill="1" applyBorder="1" applyAlignment="1" applyProtection="1">
      <alignment horizontal="center" vertical="center" shrinkToFit="1"/>
    </xf>
    <xf numFmtId="0" fontId="5" fillId="5" borderId="26" xfId="0" applyFont="1" applyFill="1" applyBorder="1" applyAlignment="1" applyProtection="1">
      <alignment horizontal="center" vertical="center" shrinkToFit="1"/>
    </xf>
    <xf numFmtId="0" fontId="5" fillId="5" borderId="41" xfId="0" applyFont="1" applyFill="1" applyBorder="1" applyAlignment="1" applyProtection="1">
      <alignment horizontal="center" vertical="center" shrinkToFit="1"/>
    </xf>
    <xf numFmtId="0" fontId="1" fillId="5" borderId="60" xfId="0" applyFont="1" applyFill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9" fillId="5" borderId="6" xfId="0" applyFont="1" applyFill="1" applyBorder="1" applyAlignment="1" applyProtection="1">
      <alignment horizontal="center" vertical="center" shrinkToFit="1"/>
    </xf>
    <xf numFmtId="0" fontId="9" fillId="5" borderId="19" xfId="0" applyFont="1" applyFill="1" applyBorder="1" applyAlignment="1" applyProtection="1">
      <alignment horizontal="center" vertical="center" shrinkToFit="1"/>
    </xf>
    <xf numFmtId="0" fontId="5" fillId="5" borderId="11" xfId="0" applyFont="1" applyFill="1" applyBorder="1" applyAlignment="1" applyProtection="1">
      <alignment horizontal="center" vertical="center" shrinkToFit="1"/>
    </xf>
    <xf numFmtId="0" fontId="1" fillId="2" borderId="58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shrinkToFit="1"/>
    </xf>
    <xf numFmtId="0" fontId="0" fillId="0" borderId="11" xfId="0" applyBorder="1" applyAlignment="1" applyProtection="1">
      <alignment horizontal="center" vertical="center" shrinkToFit="1"/>
    </xf>
    <xf numFmtId="164" fontId="0" fillId="3" borderId="53" xfId="0" applyNumberForma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0" fillId="0" borderId="55" xfId="0" applyBorder="1" applyAlignment="1" applyProtection="1">
      <alignment horizontal="center" vertical="center"/>
      <protection locked="0"/>
    </xf>
    <xf numFmtId="0" fontId="10" fillId="4" borderId="0" xfId="0" applyFont="1" applyFill="1" applyBorder="1" applyAlignment="1" applyProtection="1">
      <alignment horizontal="left" vertical="center" shrinkToFit="1"/>
    </xf>
    <xf numFmtId="167" fontId="12" fillId="3" borderId="6" xfId="0" applyNumberFormat="1" applyFont="1" applyFill="1" applyBorder="1" applyAlignment="1" applyProtection="1">
      <alignment horizontal="center" vertical="center"/>
    </xf>
    <xf numFmtId="167" fontId="42" fillId="3" borderId="6" xfId="0" applyNumberFormat="1" applyFont="1" applyFill="1" applyBorder="1" applyAlignment="1" applyProtection="1">
      <alignment horizontal="center" vertical="center"/>
    </xf>
    <xf numFmtId="164" fontId="12" fillId="3" borderId="6" xfId="0" applyNumberFormat="1" applyFont="1" applyFill="1" applyBorder="1" applyAlignment="1" applyProtection="1">
      <alignment horizontal="center" vertical="center"/>
    </xf>
    <xf numFmtId="164" fontId="42" fillId="3" borderId="6" xfId="0" applyNumberFormat="1" applyFont="1" applyFill="1" applyBorder="1" applyAlignment="1" applyProtection="1">
      <alignment horizontal="center" vertical="center"/>
    </xf>
    <xf numFmtId="1" fontId="1" fillId="3" borderId="27" xfId="0" applyNumberFormat="1" applyFont="1" applyFill="1" applyBorder="1" applyAlignment="1" applyProtection="1">
      <alignment horizontal="center" vertical="center"/>
    </xf>
    <xf numFmtId="2" fontId="1" fillId="3" borderId="27" xfId="0" applyNumberFormat="1" applyFont="1" applyFill="1" applyBorder="1" applyAlignment="1" applyProtection="1">
      <alignment horizontal="center" vertical="center"/>
    </xf>
    <xf numFmtId="4" fontId="1" fillId="3" borderId="27" xfId="0" applyNumberFormat="1" applyFont="1" applyFill="1" applyBorder="1" applyAlignment="1" applyProtection="1">
      <alignment horizontal="center" vertical="center"/>
    </xf>
    <xf numFmtId="164" fontId="1" fillId="3" borderId="0" xfId="0" applyNumberFormat="1" applyFont="1" applyFill="1" applyBorder="1" applyAlignment="1" applyProtection="1">
      <alignment horizontal="center" vertical="center"/>
    </xf>
    <xf numFmtId="164" fontId="1" fillId="3" borderId="27" xfId="0" applyNumberFormat="1" applyFont="1" applyFill="1" applyBorder="1" applyAlignment="1" applyProtection="1">
      <alignment horizontal="center" vertical="center"/>
    </xf>
    <xf numFmtId="167" fontId="1" fillId="3" borderId="27" xfId="0" applyNumberFormat="1" applyFont="1" applyFill="1" applyBorder="1" applyAlignment="1" applyProtection="1">
      <alignment horizontal="center" vertical="center"/>
    </xf>
    <xf numFmtId="167" fontId="1" fillId="3" borderId="0" xfId="0" applyNumberFormat="1" applyFont="1" applyFill="1" applyBorder="1" applyAlignment="1" applyProtection="1">
      <alignment horizontal="center" vertical="center"/>
    </xf>
    <xf numFmtId="165" fontId="1" fillId="3" borderId="27" xfId="0" applyNumberFormat="1" applyFont="1" applyFill="1" applyBorder="1" applyAlignment="1" applyProtection="1">
      <alignment horizontal="center" vertical="center"/>
    </xf>
    <xf numFmtId="165" fontId="1" fillId="3" borderId="6" xfId="0" applyNumberFormat="1" applyFont="1" applyFill="1" applyBorder="1" applyAlignment="1" applyProtection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0" fontId="5" fillId="4" borderId="4" xfId="0" applyFont="1" applyFill="1" applyBorder="1" applyAlignment="1" applyProtection="1">
      <alignment horizontal="right" vertical="center" shrinkToFit="1"/>
    </xf>
    <xf numFmtId="0" fontId="5" fillId="4" borderId="5" xfId="0" applyFont="1" applyFill="1" applyBorder="1" applyAlignment="1" applyProtection="1">
      <alignment horizontal="right" vertical="center" shrinkToFit="1"/>
    </xf>
    <xf numFmtId="0" fontId="0" fillId="0" borderId="0" xfId="0" applyAlignment="1" applyProtection="1">
      <alignment horizontal="right" vertical="center" shrinkToFit="1"/>
    </xf>
    <xf numFmtId="0" fontId="5" fillId="2" borderId="2" xfId="0" applyFont="1" applyFill="1" applyBorder="1" applyAlignment="1" applyProtection="1">
      <alignment horizontal="center" vertical="center" shrinkToFit="1"/>
      <protection locked="0"/>
    </xf>
    <xf numFmtId="165" fontId="5" fillId="3" borderId="42" xfId="0" applyNumberFormat="1" applyFont="1" applyFill="1" applyBorder="1" applyAlignment="1" applyProtection="1">
      <alignment horizontal="center" vertical="center" shrinkToFit="1"/>
    </xf>
    <xf numFmtId="0" fontId="5" fillId="2" borderId="6" xfId="0" applyFont="1" applyFill="1" applyBorder="1" applyAlignment="1" applyProtection="1">
      <alignment horizontal="center" vertical="center" shrinkToFit="1"/>
      <protection locked="0"/>
    </xf>
    <xf numFmtId="0" fontId="5" fillId="3" borderId="0" xfId="0" applyFont="1" applyFill="1" applyBorder="1" applyAlignment="1" applyProtection="1">
      <alignment horizontal="center" vertical="center" shrinkToFit="1"/>
    </xf>
    <xf numFmtId="0" fontId="1" fillId="5" borderId="21" xfId="0" applyFont="1" applyFill="1" applyBorder="1" applyAlignment="1" applyProtection="1">
      <alignment horizontal="center" vertical="center"/>
    </xf>
    <xf numFmtId="0" fontId="1" fillId="5" borderId="4" xfId="0" applyFont="1" applyFill="1" applyBorder="1" applyAlignment="1" applyProtection="1">
      <alignment horizontal="center" vertical="center"/>
    </xf>
    <xf numFmtId="0" fontId="1" fillId="5" borderId="2" xfId="0" applyFont="1" applyFill="1" applyBorder="1" applyAlignment="1" applyProtection="1">
      <alignment horizontal="center" vertical="center"/>
    </xf>
    <xf numFmtId="0" fontId="1" fillId="5" borderId="11" xfId="0" applyFont="1" applyFill="1" applyBorder="1" applyAlignment="1" applyProtection="1">
      <alignment horizontal="center" vertical="center"/>
    </xf>
    <xf numFmtId="0" fontId="5" fillId="2" borderId="26" xfId="0" applyFont="1" applyFill="1" applyBorder="1" applyAlignment="1" applyProtection="1">
      <alignment horizontal="center" vertical="center" shrinkToFit="1"/>
      <protection locked="0"/>
    </xf>
    <xf numFmtId="0" fontId="5" fillId="2" borderId="27" xfId="0" applyFont="1" applyFill="1" applyBorder="1" applyAlignment="1" applyProtection="1">
      <alignment horizontal="center" vertical="center" shrinkToFit="1"/>
      <protection locked="0"/>
    </xf>
    <xf numFmtId="0" fontId="10" fillId="4" borderId="0" xfId="0" applyFont="1" applyFill="1" applyBorder="1" applyAlignment="1" applyProtection="1">
      <alignment horizontal="center" vertical="center"/>
    </xf>
    <xf numFmtId="165" fontId="5" fillId="3" borderId="27" xfId="0" applyNumberFormat="1" applyFont="1" applyFill="1" applyBorder="1" applyAlignment="1" applyProtection="1">
      <alignment horizontal="center" vertical="center" shrinkToFit="1"/>
    </xf>
    <xf numFmtId="0" fontId="5" fillId="2" borderId="0" xfId="0" applyFont="1" applyFill="1" applyBorder="1" applyAlignment="1" applyProtection="1">
      <alignment horizontal="center" vertical="center" shrinkToFit="1"/>
      <protection locked="0"/>
    </xf>
    <xf numFmtId="0" fontId="5" fillId="3" borderId="42" xfId="0" applyFont="1" applyFill="1" applyBorder="1" applyAlignment="1" applyProtection="1">
      <alignment horizontal="center" vertical="center" shrinkToFit="1"/>
    </xf>
    <xf numFmtId="0" fontId="5" fillId="4" borderId="30" xfId="0" applyFont="1" applyFill="1" applyBorder="1" applyAlignment="1" applyProtection="1">
      <alignment horizontal="right" vertical="center" shrinkToFit="1"/>
    </xf>
    <xf numFmtId="165" fontId="5" fillId="3" borderId="0" xfId="0" applyNumberFormat="1" applyFont="1" applyFill="1" applyBorder="1" applyAlignment="1" applyProtection="1">
      <alignment horizontal="center" vertical="center" shrinkToFit="1"/>
    </xf>
    <xf numFmtId="0" fontId="45" fillId="5" borderId="0" xfId="0" applyFont="1" applyFill="1" applyBorder="1" applyAlignment="1" applyProtection="1">
      <alignment horizontal="center" vertical="center" shrinkToFit="1"/>
    </xf>
    <xf numFmtId="0" fontId="23" fillId="5" borderId="0" xfId="0" applyFont="1" applyFill="1" applyBorder="1" applyAlignment="1" applyProtection="1">
      <alignment horizontal="center" vertical="center" shrinkToFit="1"/>
    </xf>
    <xf numFmtId="0" fontId="23" fillId="5" borderId="69" xfId="0" applyFont="1" applyFill="1" applyBorder="1" applyAlignment="1" applyProtection="1">
      <alignment horizontal="center" vertical="center" shrinkToFit="1"/>
    </xf>
    <xf numFmtId="21" fontId="1" fillId="3" borderId="6" xfId="0" applyNumberFormat="1" applyFont="1" applyFill="1" applyBorder="1" applyAlignment="1" applyProtection="1">
      <alignment horizontal="left" vertical="center" indent="1" shrinkToFit="1"/>
    </xf>
    <xf numFmtId="170" fontId="1" fillId="3" borderId="27" xfId="0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 applyProtection="1">
      <alignment horizontal="center" vertical="center" shrinkToFit="1"/>
    </xf>
    <xf numFmtId="0" fontId="0" fillId="0" borderId="3" xfId="0" applyBorder="1" applyAlignment="1" applyProtection="1">
      <alignment horizontal="center" vertical="center" shrinkToFit="1"/>
    </xf>
    <xf numFmtId="0" fontId="0" fillId="0" borderId="13" xfId="0" applyBorder="1" applyAlignment="1" applyProtection="1">
      <alignment horizontal="center" vertical="center" shrinkToFit="1"/>
    </xf>
    <xf numFmtId="0" fontId="0" fillId="5" borderId="21" xfId="0" applyFill="1" applyBorder="1" applyAlignment="1" applyProtection="1">
      <alignment horizontal="center" vertical="center" shrinkToFit="1"/>
    </xf>
    <xf numFmtId="166" fontId="5" fillId="3" borderId="42" xfId="0" applyNumberFormat="1" applyFont="1" applyFill="1" applyBorder="1" applyAlignment="1" applyProtection="1">
      <alignment horizontal="center" vertical="center" shrinkToFit="1"/>
    </xf>
    <xf numFmtId="0" fontId="1" fillId="3" borderId="6" xfId="0" applyFont="1" applyFill="1" applyBorder="1" applyAlignment="1" applyProtection="1">
      <alignment horizontal="left" vertical="center" indent="1" shrinkToFit="1"/>
    </xf>
    <xf numFmtId="0" fontId="4" fillId="3" borderId="6" xfId="0" applyFont="1" applyFill="1" applyBorder="1" applyAlignment="1" applyProtection="1">
      <alignment horizontal="left" vertical="center" indent="1" shrinkToFit="1"/>
    </xf>
    <xf numFmtId="0" fontId="0" fillId="3" borderId="6" xfId="0" applyFill="1" applyBorder="1" applyAlignment="1" applyProtection="1">
      <alignment horizontal="left" vertical="center" indent="1" shrinkToFit="1"/>
    </xf>
    <xf numFmtId="49" fontId="1" fillId="3" borderId="27" xfId="0" applyNumberFormat="1" applyFont="1" applyFill="1" applyBorder="1" applyAlignment="1" applyProtection="1">
      <alignment horizontal="left" vertical="center" indent="1" shrinkToFit="1"/>
    </xf>
    <xf numFmtId="49" fontId="4" fillId="3" borderId="27" xfId="0" applyNumberFormat="1" applyFont="1" applyFill="1" applyBorder="1" applyAlignment="1" applyProtection="1">
      <alignment horizontal="left" vertical="center" indent="1" shrinkToFit="1"/>
    </xf>
    <xf numFmtId="49" fontId="0" fillId="3" borderId="27" xfId="0" applyNumberFormat="1" applyFill="1" applyBorder="1" applyAlignment="1" applyProtection="1">
      <alignment horizontal="left" vertical="center" indent="1" shrinkToFit="1"/>
    </xf>
  </cellXfs>
  <cellStyles count="1">
    <cellStyle name="Normal" xfId="0" builtinId="0"/>
  </cellStyles>
  <dxfs count="45"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8"/>
      </font>
      <fill>
        <patternFill>
          <bgColor indexed="42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48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18"/>
      </font>
      <fill>
        <patternFill>
          <bgColor indexed="42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48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/>
        <right/>
        <top/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9"/>
      </font>
      <fill>
        <patternFill>
          <bgColor indexed="1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zoomScaleNormal="100" zoomScaleSheetLayoutView="100" workbookViewId="0">
      <selection activeCell="A2" sqref="A2:J2"/>
    </sheetView>
  </sheetViews>
  <sheetFormatPr defaultRowHeight="12.75"/>
  <cols>
    <col min="1" max="16384" width="9.140625" style="1"/>
  </cols>
  <sheetData>
    <row r="1" spans="1:10" ht="23.25">
      <c r="A1" s="315" t="s">
        <v>276</v>
      </c>
      <c r="B1" s="316"/>
      <c r="C1" s="316"/>
      <c r="D1" s="316"/>
      <c r="E1" s="316"/>
      <c r="F1" s="316"/>
      <c r="G1" s="316"/>
      <c r="H1" s="316"/>
      <c r="I1" s="316"/>
      <c r="J1" s="316"/>
    </row>
    <row r="2" spans="1:10" ht="23.25">
      <c r="A2" s="315" t="s">
        <v>273</v>
      </c>
      <c r="B2" s="316"/>
      <c r="C2" s="316"/>
      <c r="D2" s="316"/>
      <c r="E2" s="316"/>
      <c r="F2" s="316"/>
      <c r="G2" s="316"/>
      <c r="H2" s="316"/>
      <c r="I2" s="316"/>
      <c r="J2" s="316"/>
    </row>
    <row r="3" spans="1:10" ht="15.75">
      <c r="A3" s="313" t="s">
        <v>66</v>
      </c>
      <c r="B3" s="314"/>
      <c r="C3" s="314"/>
      <c r="D3" s="314"/>
      <c r="E3" s="314"/>
      <c r="F3" s="314"/>
      <c r="G3" s="314"/>
      <c r="H3" s="314"/>
      <c r="I3" s="314"/>
      <c r="J3" s="314"/>
    </row>
    <row r="4" spans="1:10">
      <c r="A4" s="317"/>
      <c r="B4" s="318"/>
      <c r="C4" s="318"/>
      <c r="D4" s="318"/>
      <c r="E4" s="318"/>
      <c r="F4" s="318"/>
      <c r="G4" s="318"/>
      <c r="H4" s="318"/>
      <c r="I4" s="318"/>
      <c r="J4" s="318"/>
    </row>
    <row r="5" spans="1:10" ht="23.25">
      <c r="A5" s="323" t="s">
        <v>262</v>
      </c>
      <c r="B5" s="324"/>
      <c r="C5" s="324"/>
      <c r="D5" s="324"/>
      <c r="E5" s="324"/>
      <c r="F5" s="324"/>
      <c r="G5" s="324"/>
      <c r="H5" s="324"/>
      <c r="I5" s="324"/>
      <c r="J5" s="324"/>
    </row>
    <row r="6" spans="1:10">
      <c r="A6" s="317"/>
      <c r="B6" s="318"/>
      <c r="C6" s="318"/>
      <c r="D6" s="318"/>
      <c r="E6" s="318"/>
      <c r="F6" s="318"/>
      <c r="G6" s="318"/>
      <c r="H6" s="318"/>
      <c r="I6" s="318"/>
      <c r="J6" s="318"/>
    </row>
    <row r="7" spans="1:10">
      <c r="A7" s="317"/>
      <c r="B7" s="318"/>
      <c r="C7" s="318"/>
      <c r="D7" s="318"/>
      <c r="E7" s="318"/>
      <c r="F7" s="318"/>
      <c r="G7" s="318"/>
      <c r="H7" s="318"/>
      <c r="I7" s="318"/>
      <c r="J7" s="318"/>
    </row>
    <row r="8" spans="1:10" ht="15.75">
      <c r="A8" s="313"/>
      <c r="B8" s="314"/>
      <c r="C8" s="314"/>
      <c r="D8" s="314"/>
      <c r="E8" s="314"/>
      <c r="F8" s="314"/>
      <c r="G8" s="314"/>
      <c r="H8" s="314"/>
      <c r="I8" s="314"/>
      <c r="J8" s="314"/>
    </row>
    <row r="9" spans="1:10" ht="15.75">
      <c r="A9" s="313" t="s">
        <v>274</v>
      </c>
      <c r="B9" s="314"/>
      <c r="C9" s="314"/>
      <c r="D9" s="314"/>
      <c r="E9" s="314"/>
      <c r="F9" s="314"/>
      <c r="G9" s="314"/>
      <c r="H9" s="314"/>
      <c r="I9" s="314"/>
      <c r="J9" s="314"/>
    </row>
    <row r="10" spans="1:10" ht="15.75">
      <c r="A10" s="313" t="s">
        <v>67</v>
      </c>
      <c r="B10" s="314"/>
      <c r="C10" s="314"/>
      <c r="D10" s="314"/>
      <c r="E10" s="314"/>
      <c r="F10" s="314"/>
      <c r="G10" s="314"/>
      <c r="H10" s="314"/>
      <c r="I10" s="314"/>
      <c r="J10" s="314"/>
    </row>
    <row r="11" spans="1:10" ht="15.75">
      <c r="A11" s="313" t="s">
        <v>68</v>
      </c>
      <c r="B11" s="314"/>
      <c r="C11" s="314"/>
      <c r="D11" s="314"/>
      <c r="E11" s="314"/>
      <c r="F11" s="314"/>
      <c r="G11" s="314"/>
      <c r="H11" s="314"/>
      <c r="I11" s="314"/>
      <c r="J11" s="314"/>
    </row>
    <row r="12" spans="1:10" ht="15.75">
      <c r="A12" s="313" t="s">
        <v>275</v>
      </c>
      <c r="B12" s="314"/>
      <c r="C12" s="314"/>
      <c r="D12" s="314"/>
      <c r="E12" s="314"/>
      <c r="F12" s="314"/>
      <c r="G12" s="314"/>
      <c r="H12" s="314"/>
      <c r="I12" s="314"/>
      <c r="J12" s="314"/>
    </row>
    <row r="13" spans="1:10" ht="15.75">
      <c r="A13" s="313" t="s">
        <v>64</v>
      </c>
      <c r="B13" s="314"/>
      <c r="C13" s="314"/>
      <c r="D13" s="314"/>
      <c r="E13" s="314"/>
      <c r="F13" s="314"/>
      <c r="G13" s="314"/>
      <c r="H13" s="314"/>
      <c r="I13" s="314"/>
      <c r="J13" s="314"/>
    </row>
    <row r="14" spans="1:10" ht="15.75">
      <c r="A14" s="313" t="s">
        <v>69</v>
      </c>
      <c r="B14" s="314"/>
      <c r="C14" s="314"/>
      <c r="D14" s="314"/>
      <c r="E14" s="314"/>
      <c r="F14" s="314"/>
      <c r="G14" s="314"/>
      <c r="H14" s="314"/>
      <c r="I14" s="314"/>
      <c r="J14" s="314"/>
    </row>
    <row r="15" spans="1:10" ht="15.75">
      <c r="A15" s="313"/>
      <c r="B15" s="314"/>
      <c r="C15" s="314"/>
      <c r="D15" s="314"/>
      <c r="E15" s="314"/>
      <c r="F15" s="314"/>
      <c r="G15" s="314"/>
      <c r="H15" s="314"/>
      <c r="I15" s="314"/>
      <c r="J15" s="314"/>
    </row>
    <row r="16" spans="1:10" ht="15.75">
      <c r="A16" s="313" t="s">
        <v>65</v>
      </c>
      <c r="B16" s="314"/>
      <c r="C16" s="314"/>
      <c r="D16" s="314"/>
      <c r="E16" s="314"/>
      <c r="F16" s="314"/>
      <c r="G16" s="314"/>
      <c r="H16" s="314"/>
      <c r="I16" s="314"/>
      <c r="J16" s="314"/>
    </row>
    <row r="19" spans="1:10" ht="13.5" thickBot="1"/>
    <row r="20" spans="1:10" ht="21" thickBot="1">
      <c r="A20" s="321" t="s">
        <v>70</v>
      </c>
      <c r="B20" s="322"/>
    </row>
    <row r="23" spans="1:10" ht="15.75">
      <c r="A23" s="5" t="s">
        <v>71</v>
      </c>
      <c r="B23" s="2"/>
      <c r="C23" s="4" t="s">
        <v>72</v>
      </c>
      <c r="D23" s="4"/>
      <c r="E23" s="4"/>
      <c r="F23" s="4"/>
    </row>
    <row r="24" spans="1:10" ht="15.75">
      <c r="A24" s="4"/>
      <c r="C24" s="4"/>
      <c r="D24" s="4"/>
      <c r="E24" s="4"/>
      <c r="F24" s="4"/>
    </row>
    <row r="25" spans="1:10" ht="15.75">
      <c r="A25" s="5" t="s">
        <v>73</v>
      </c>
      <c r="B25" s="3"/>
      <c r="C25" s="4" t="s">
        <v>74</v>
      </c>
      <c r="D25" s="4"/>
      <c r="E25" s="4"/>
      <c r="F25" s="4"/>
    </row>
    <row r="26" spans="1:10" ht="15.75">
      <c r="A26" s="4"/>
    </row>
    <row r="27" spans="1:10" ht="15.75">
      <c r="A27" s="5" t="s">
        <v>75</v>
      </c>
      <c r="B27" s="4" t="s">
        <v>79</v>
      </c>
    </row>
    <row r="29" spans="1:10" ht="15.75">
      <c r="A29" s="5" t="s">
        <v>77</v>
      </c>
      <c r="B29" s="4" t="s">
        <v>250</v>
      </c>
    </row>
    <row r="30" spans="1:10" ht="15.75">
      <c r="B30" s="4" t="s">
        <v>249</v>
      </c>
    </row>
    <row r="32" spans="1:10" ht="15.75">
      <c r="A32" s="5" t="s">
        <v>78</v>
      </c>
      <c r="B32" s="319" t="s">
        <v>251</v>
      </c>
      <c r="C32" s="320"/>
      <c r="D32" s="320"/>
      <c r="E32" s="320"/>
      <c r="F32" s="320"/>
      <c r="G32" s="320"/>
      <c r="H32" s="320"/>
      <c r="I32" s="320"/>
      <c r="J32" s="320"/>
    </row>
    <row r="33" spans="2:10" ht="15.75">
      <c r="B33" s="319" t="s">
        <v>252</v>
      </c>
      <c r="C33" s="320"/>
      <c r="D33" s="320"/>
      <c r="E33" s="320"/>
      <c r="F33" s="320"/>
      <c r="G33" s="320"/>
      <c r="H33" s="320"/>
      <c r="I33" s="320"/>
      <c r="J33" s="320"/>
    </row>
    <row r="34" spans="2:10" ht="15.75">
      <c r="B34" s="319" t="s">
        <v>253</v>
      </c>
      <c r="C34" s="320"/>
      <c r="D34" s="320"/>
      <c r="E34" s="320"/>
      <c r="F34" s="320"/>
      <c r="G34" s="320"/>
      <c r="H34" s="320"/>
      <c r="I34" s="320"/>
      <c r="J34" s="320"/>
    </row>
    <row r="35" spans="2:10" ht="15.75">
      <c r="B35" s="319" t="s">
        <v>254</v>
      </c>
      <c r="C35" s="320"/>
      <c r="D35" s="320"/>
      <c r="E35" s="320"/>
      <c r="F35" s="320"/>
      <c r="G35" s="320"/>
      <c r="H35" s="320"/>
      <c r="I35" s="320"/>
      <c r="J35" s="320"/>
    </row>
  </sheetData>
  <sheetProtection sheet="1" objects="1" scenarios="1"/>
  <mergeCells count="21">
    <mergeCell ref="A1:J1"/>
    <mergeCell ref="A4:J4"/>
    <mergeCell ref="A5:J5"/>
    <mergeCell ref="A6:J6"/>
    <mergeCell ref="A3:J3"/>
    <mergeCell ref="B35:J35"/>
    <mergeCell ref="A20:B20"/>
    <mergeCell ref="B32:J32"/>
    <mergeCell ref="B33:J33"/>
    <mergeCell ref="B34:J34"/>
    <mergeCell ref="A16:J16"/>
    <mergeCell ref="A14:J14"/>
    <mergeCell ref="A15:J15"/>
    <mergeCell ref="A11:J11"/>
    <mergeCell ref="A12:J12"/>
    <mergeCell ref="A10:J10"/>
    <mergeCell ref="A13:J13"/>
    <mergeCell ref="A2:J2"/>
    <mergeCell ref="A7:J7"/>
    <mergeCell ref="A8:J8"/>
    <mergeCell ref="A9:J9"/>
  </mergeCells>
  <phoneticPr fontId="0" type="noConversion"/>
  <printOptions horizontalCentered="1"/>
  <pageMargins left="0.75" right="0.75" top="1" bottom="1" header="0.5" footer="0.5"/>
  <pageSetup scale="9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D1440"/>
  <sheetViews>
    <sheetView zoomScaleNormal="100" workbookViewId="0">
      <selection activeCell="D2" sqref="D2:H2"/>
    </sheetView>
  </sheetViews>
  <sheetFormatPr defaultColWidth="6.28515625" defaultRowHeight="15" customHeight="1"/>
  <cols>
    <col min="1" max="1" width="1" style="99" customWidth="1"/>
    <col min="2" max="2" width="4.85546875" style="197" customWidth="1"/>
    <col min="3" max="3" width="8.42578125" style="197" customWidth="1"/>
    <col min="4" max="4" width="7.42578125" style="197" customWidth="1"/>
    <col min="5" max="6" width="8.85546875" style="197" customWidth="1"/>
    <col min="7" max="8" width="6.28515625" style="197" customWidth="1"/>
    <col min="9" max="9" width="6.42578125" style="197" customWidth="1"/>
    <col min="10" max="10" width="6.28515625" style="197" customWidth="1"/>
    <col min="11" max="11" width="1" style="197" customWidth="1"/>
    <col min="12" max="12" width="7.42578125" style="197" customWidth="1"/>
    <col min="13" max="16" width="6.28515625" style="197" customWidth="1"/>
    <col min="17" max="17" width="6.42578125" style="197" customWidth="1"/>
    <col min="18" max="18" width="6.28515625" style="197" customWidth="1"/>
    <col min="19" max="20" width="1" style="99" customWidth="1"/>
    <col min="21" max="21" width="9.7109375" style="99" customWidth="1"/>
    <col min="22" max="22" width="6.28515625" style="99" customWidth="1"/>
    <col min="23" max="23" width="6.28515625" style="134" customWidth="1"/>
    <col min="24" max="24" width="9.7109375" style="135" customWidth="1"/>
    <col min="25" max="25" width="13.7109375" style="135" bestFit="1" customWidth="1"/>
    <col min="26" max="26" width="6.42578125" style="99" customWidth="1"/>
    <col min="27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98"/>
      <c r="W1" s="100"/>
      <c r="X1" s="101"/>
      <c r="Y1" s="101"/>
      <c r="Z1" s="47"/>
    </row>
    <row r="2" spans="1:26" ht="15" customHeight="1">
      <c r="A2" s="102"/>
      <c r="B2" s="48"/>
      <c r="C2" s="16" t="s">
        <v>52</v>
      </c>
      <c r="D2" s="361"/>
      <c r="E2" s="361"/>
      <c r="F2" s="361"/>
      <c r="G2" s="361"/>
      <c r="H2" s="361"/>
      <c r="I2" s="48"/>
      <c r="J2" s="16" t="s">
        <v>0</v>
      </c>
      <c r="K2" s="379"/>
      <c r="L2" s="380"/>
      <c r="M2" s="380"/>
      <c r="N2" s="103"/>
      <c r="O2" s="16" t="s">
        <v>54</v>
      </c>
      <c r="P2" s="359"/>
      <c r="Q2" s="360"/>
      <c r="R2" s="360"/>
      <c r="S2" s="104"/>
      <c r="U2" s="47"/>
      <c r="V2" s="47"/>
      <c r="W2" s="100"/>
      <c r="X2" s="87"/>
      <c r="Y2" s="88"/>
      <c r="Z2" s="47"/>
    </row>
    <row r="3" spans="1:26" ht="15" customHeight="1">
      <c r="A3" s="102"/>
      <c r="B3" s="48"/>
      <c r="C3" s="16" t="s">
        <v>53</v>
      </c>
      <c r="D3" s="425"/>
      <c r="E3" s="425"/>
      <c r="F3" s="48"/>
      <c r="G3" s="48"/>
      <c r="H3" s="48"/>
      <c r="I3" s="48"/>
      <c r="J3" s="16" t="s">
        <v>1</v>
      </c>
      <c r="K3" s="379"/>
      <c r="L3" s="380"/>
      <c r="M3" s="380"/>
      <c r="N3" s="105"/>
      <c r="O3" s="16" t="s">
        <v>55</v>
      </c>
      <c r="P3" s="361"/>
      <c r="Q3" s="362"/>
      <c r="R3" s="362"/>
      <c r="S3" s="104"/>
      <c r="U3" s="18"/>
      <c r="V3" s="86"/>
      <c r="W3" s="16"/>
      <c r="X3" s="87"/>
      <c r="Y3" s="88"/>
      <c r="Z3" s="47"/>
    </row>
    <row r="4" spans="1:26" ht="6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6"/>
      <c r="S4" s="104"/>
      <c r="U4" s="47"/>
      <c r="V4" s="16"/>
      <c r="W4" s="58"/>
      <c r="X4" s="89"/>
      <c r="Y4" s="89"/>
      <c r="Z4" s="47"/>
    </row>
    <row r="5" spans="1:26" ht="15" customHeight="1">
      <c r="A5" s="102"/>
      <c r="B5" s="416" t="s">
        <v>41</v>
      </c>
      <c r="C5" s="411"/>
      <c r="D5" s="411"/>
      <c r="E5" s="411"/>
      <c r="F5" s="411"/>
      <c r="G5" s="411"/>
      <c r="H5" s="411"/>
      <c r="I5" s="419" t="s">
        <v>114</v>
      </c>
      <c r="J5" s="420"/>
      <c r="K5" s="420"/>
      <c r="L5" s="420"/>
      <c r="M5" s="420"/>
      <c r="N5" s="421"/>
      <c r="O5" s="369" t="s">
        <v>42</v>
      </c>
      <c r="P5" s="370"/>
      <c r="Q5" s="370"/>
      <c r="R5" s="371"/>
      <c r="S5" s="104"/>
      <c r="U5" s="47"/>
      <c r="V5" s="16"/>
      <c r="W5" s="86"/>
      <c r="X5" s="89"/>
      <c r="Y5" s="89"/>
      <c r="Z5" s="47"/>
    </row>
    <row r="6" spans="1:26" ht="15" customHeight="1" thickBot="1">
      <c r="A6" s="102"/>
      <c r="B6" s="417"/>
      <c r="C6" s="418"/>
      <c r="D6" s="418"/>
      <c r="E6" s="418"/>
      <c r="F6" s="418"/>
      <c r="G6" s="418"/>
      <c r="H6" s="418"/>
      <c r="I6" s="422"/>
      <c r="J6" s="423"/>
      <c r="K6" s="423"/>
      <c r="L6" s="423"/>
      <c r="M6" s="423"/>
      <c r="N6" s="424"/>
      <c r="O6" s="372"/>
      <c r="P6" s="373"/>
      <c r="Q6" s="373"/>
      <c r="R6" s="374"/>
      <c r="S6" s="104"/>
      <c r="U6" s="47"/>
      <c r="V6" s="16"/>
      <c r="W6" s="58"/>
      <c r="X6" s="89"/>
      <c r="Y6" s="89"/>
      <c r="Z6" s="47"/>
    </row>
    <row r="7" spans="1:26" ht="15" customHeight="1">
      <c r="A7" s="102"/>
      <c r="B7" s="97"/>
      <c r="C7" s="20" t="s">
        <v>30</v>
      </c>
      <c r="D7" s="108"/>
      <c r="E7" s="7" t="s">
        <v>62</v>
      </c>
      <c r="F7" s="20" t="s">
        <v>230</v>
      </c>
      <c r="G7" s="109"/>
      <c r="H7" s="33" t="s">
        <v>6</v>
      </c>
      <c r="I7" s="426" t="s">
        <v>116</v>
      </c>
      <c r="J7" s="427"/>
      <c r="K7" s="427"/>
      <c r="L7" s="383" t="str">
        <f>IF(ISNUMBER(Tse),-150.3162+13.4622*SQRT(Tse+460)+3861530/(Tse+460)^2+0.591123*(1-Bwse/100)*OO-91.9723*Bwse/100+0.0000151761*Bwse/100*(Tse+460)^2,"-")</f>
        <v>-</v>
      </c>
      <c r="M7" s="384"/>
      <c r="N7" s="111" t="s">
        <v>99</v>
      </c>
      <c r="O7" s="97"/>
      <c r="P7" s="20" t="s">
        <v>37</v>
      </c>
      <c r="Q7" s="367"/>
      <c r="R7" s="368"/>
      <c r="S7" s="104"/>
      <c r="U7" s="47"/>
      <c r="V7" s="47"/>
      <c r="W7" s="100"/>
      <c r="X7" s="89"/>
      <c r="Y7" s="90"/>
      <c r="Z7" s="47"/>
    </row>
    <row r="8" spans="1:26" ht="15" customHeight="1">
      <c r="A8" s="102"/>
      <c r="B8" s="102"/>
      <c r="C8" s="16" t="s">
        <v>31</v>
      </c>
      <c r="D8" s="112"/>
      <c r="E8" s="8" t="s">
        <v>4</v>
      </c>
      <c r="F8" s="16" t="s">
        <v>231</v>
      </c>
      <c r="G8" s="112"/>
      <c r="H8" s="35" t="s">
        <v>6</v>
      </c>
      <c r="I8" s="381" t="s">
        <v>120</v>
      </c>
      <c r="J8" s="382"/>
      <c r="K8" s="382"/>
      <c r="L8" s="375" t="str">
        <f>IF(ISNUMBER(vise),1+0.0057193*(vise/Psp/2.25)*SQRT((Tse+460)/Mwe),"-")</f>
        <v>-</v>
      </c>
      <c r="M8" s="376"/>
      <c r="N8" s="47"/>
      <c r="O8" s="102"/>
      <c r="P8" s="94" t="s">
        <v>35</v>
      </c>
      <c r="Q8" s="123"/>
      <c r="R8" s="114"/>
      <c r="S8" s="104"/>
      <c r="W8" s="47"/>
      <c r="X8" s="89"/>
      <c r="Y8" s="91"/>
      <c r="Z8" s="47"/>
    </row>
    <row r="9" spans="1:26" ht="15" customHeight="1">
      <c r="A9" s="102"/>
      <c r="B9" s="102"/>
      <c r="C9" s="16" t="s">
        <v>32</v>
      </c>
      <c r="D9" s="112"/>
      <c r="E9" s="8" t="s">
        <v>50</v>
      </c>
      <c r="F9" s="16" t="s">
        <v>232</v>
      </c>
      <c r="G9" s="115" t="str">
        <f>IF(AND(ISNUMBER(COO),ISNUMBER(OO)),100-COO-OO,"-")</f>
        <v>-</v>
      </c>
      <c r="H9" s="35" t="s">
        <v>6</v>
      </c>
      <c r="I9" s="381" t="s">
        <v>117</v>
      </c>
      <c r="J9" s="382"/>
      <c r="K9" s="382"/>
      <c r="L9" s="365" t="str">
        <f>IF(ISNUMBER(Cfe),9.507*Cfe^0.3007*(Mwe*Psp/(Tse+460))^0.1993,"-")</f>
        <v>-</v>
      </c>
      <c r="M9" s="366"/>
      <c r="N9" s="116" t="s">
        <v>119</v>
      </c>
      <c r="O9" s="102"/>
      <c r="P9" s="117" t="s">
        <v>36</v>
      </c>
      <c r="Q9" s="200"/>
      <c r="R9" s="34" t="s">
        <v>50</v>
      </c>
      <c r="S9" s="104"/>
      <c r="W9" s="47"/>
      <c r="X9" s="89"/>
      <c r="Y9" s="89"/>
      <c r="Z9" s="47"/>
    </row>
    <row r="10" spans="1:26" ht="15" customHeight="1">
      <c r="A10" s="102"/>
      <c r="B10" s="102"/>
      <c r="C10" s="16" t="s">
        <v>33</v>
      </c>
      <c r="D10" s="115" t="str">
        <f>IF(AND(ISNUMBER(Pgp),ISNUMBER(Pbarp)),Pbarp+Pgp/13.6,"-")</f>
        <v>-</v>
      </c>
      <c r="E10" s="8" t="s">
        <v>4</v>
      </c>
      <c r="F10" s="16" t="s">
        <v>228</v>
      </c>
      <c r="G10" s="115" t="str">
        <f>IF(ISNUMBER(NN),0.44*COO+0.32*OO+0.28*NN,"-")</f>
        <v>-</v>
      </c>
      <c r="H10" s="34" t="s">
        <v>3</v>
      </c>
      <c r="I10" s="381" t="s">
        <v>123</v>
      </c>
      <c r="J10" s="382"/>
      <c r="K10" s="382"/>
      <c r="L10" s="365" t="str">
        <f>IF(ISNUMBER(Cfe),IF(Nre&gt;3162,10.0959*Cfe^0.44*(Mwe*Psp/(Tse+460))^0.06,"-"),"-")</f>
        <v>-</v>
      </c>
      <c r="M10" s="366"/>
      <c r="N10" s="116" t="s">
        <v>119</v>
      </c>
      <c r="O10" s="363" t="s">
        <v>122</v>
      </c>
      <c r="P10" s="364"/>
      <c r="Q10" s="118"/>
      <c r="R10" s="119" t="s">
        <v>58</v>
      </c>
      <c r="S10" s="104"/>
      <c r="W10" s="100"/>
      <c r="X10" s="89"/>
      <c r="Y10" s="92"/>
      <c r="Z10" s="47"/>
    </row>
    <row r="11" spans="1:26" ht="15" customHeight="1">
      <c r="A11" s="102"/>
      <c r="B11" s="120"/>
      <c r="C11" s="16" t="s">
        <v>38</v>
      </c>
      <c r="D11" s="121"/>
      <c r="E11" s="76" t="s">
        <v>39</v>
      </c>
      <c r="F11" s="16" t="s">
        <v>227</v>
      </c>
      <c r="G11" s="115" t="str">
        <f>IF(ISNUMBER(Md),Md*(1-Bwse/100)+18*Bwse/100,"-")</f>
        <v>-</v>
      </c>
      <c r="H11" s="34" t="s">
        <v>3</v>
      </c>
      <c r="I11" s="381" t="s">
        <v>118</v>
      </c>
      <c r="J11" s="382"/>
      <c r="K11" s="382"/>
      <c r="L11" s="365" t="str">
        <f>IF(ISNUMBER(D50LLh),(11+D50LLh)/2,IF(ISNUMBER(D50LL),(11+D50LL)/2,"-"))</f>
        <v>-</v>
      </c>
      <c r="M11" s="366"/>
      <c r="N11" s="116" t="s">
        <v>119</v>
      </c>
      <c r="O11" s="122" t="s">
        <v>84</v>
      </c>
      <c r="P11" s="123"/>
      <c r="Q11" s="124" t="s">
        <v>95</v>
      </c>
      <c r="R11" s="198"/>
      <c r="S11" s="104"/>
      <c r="W11" s="100"/>
      <c r="X11" s="89"/>
      <c r="Y11" s="89"/>
      <c r="Z11" s="47"/>
    </row>
    <row r="12" spans="1:26" ht="15" customHeight="1" thickBot="1">
      <c r="A12" s="102"/>
      <c r="B12" s="102"/>
      <c r="C12" s="16" t="s">
        <v>38</v>
      </c>
      <c r="D12" s="308" t="str">
        <f>IF(ISNUMBER(A),A*144,"-")</f>
        <v>-</v>
      </c>
      <c r="E12" s="77" t="s">
        <v>225</v>
      </c>
      <c r="F12" s="125"/>
      <c r="G12" s="125"/>
      <c r="H12" s="126"/>
      <c r="I12" s="381" t="s">
        <v>213</v>
      </c>
      <c r="J12" s="382"/>
      <c r="K12" s="382"/>
      <c r="L12" s="375" t="str">
        <f>IF(ISNUMBER(D50T),0.07296*vise*((Tse+460)/Mwe/Psp)^0.2949*(1/D50T)^1.4102,"-")</f>
        <v>-</v>
      </c>
      <c r="M12" s="376"/>
      <c r="N12" s="47" t="s">
        <v>121</v>
      </c>
      <c r="O12" s="122" t="s">
        <v>34</v>
      </c>
      <c r="P12" s="127"/>
      <c r="Q12" s="124" t="s">
        <v>95</v>
      </c>
      <c r="R12" s="198"/>
      <c r="S12" s="104"/>
      <c r="W12" s="100"/>
      <c r="X12" s="89"/>
      <c r="Y12" s="89"/>
      <c r="Z12" s="47"/>
    </row>
    <row r="13" spans="1:26" ht="15" customHeight="1">
      <c r="A13" s="102"/>
      <c r="B13" s="404" t="s">
        <v>243</v>
      </c>
      <c r="C13" s="405"/>
      <c r="D13" s="406"/>
      <c r="E13" s="20" t="s">
        <v>246</v>
      </c>
      <c r="F13" s="128">
        <v>68</v>
      </c>
      <c r="G13" s="78" t="s">
        <v>58</v>
      </c>
      <c r="H13" s="98"/>
      <c r="I13" s="393" t="s">
        <v>212</v>
      </c>
      <c r="J13" s="382"/>
      <c r="K13" s="382"/>
      <c r="L13" s="391" t="str">
        <f>IF(ISNUMBER(Qse),864000*Psp*Mwe/(Tse+460)*Qse/vise,"-")</f>
        <v>-</v>
      </c>
      <c r="M13" s="392"/>
      <c r="N13" s="47"/>
      <c r="O13" s="102"/>
      <c r="P13" s="16" t="s">
        <v>100</v>
      </c>
      <c r="Q13" s="199"/>
      <c r="R13" s="129" t="s">
        <v>49</v>
      </c>
      <c r="S13" s="104"/>
      <c r="W13" s="100"/>
      <c r="X13" s="89"/>
      <c r="Y13" s="89"/>
      <c r="Z13" s="47"/>
    </row>
    <row r="14" spans="1:26" ht="15" customHeight="1" thickBot="1">
      <c r="A14" s="102"/>
      <c r="B14" s="440" t="s">
        <v>244</v>
      </c>
      <c r="C14" s="441"/>
      <c r="D14" s="442"/>
      <c r="E14" s="26" t="s">
        <v>247</v>
      </c>
      <c r="F14" s="130">
        <v>29.92</v>
      </c>
      <c r="G14" s="125" t="s">
        <v>245</v>
      </c>
      <c r="H14" s="126"/>
      <c r="I14" s="402" t="s">
        <v>214</v>
      </c>
      <c r="J14" s="403"/>
      <c r="K14" s="403"/>
      <c r="L14" s="394" t="str">
        <f>IF(ISNUMBER(Nre),(Qse*(1-Bwse/100)*Psp/(Tse+460))^2*1.083*(Tme+460)*Md*dHa/Pbarp,"-")</f>
        <v>-</v>
      </c>
      <c r="M14" s="395"/>
      <c r="N14" s="10" t="s">
        <v>50</v>
      </c>
      <c r="O14" s="131"/>
      <c r="P14" s="26" t="s">
        <v>224</v>
      </c>
      <c r="Q14" s="132" t="str">
        <f>IF(ISNUMBER(Dn),PI()*Dn^2/4/144,"-")</f>
        <v>-</v>
      </c>
      <c r="R14" s="64" t="s">
        <v>39</v>
      </c>
      <c r="S14" s="104"/>
      <c r="W14" s="100"/>
      <c r="X14" s="89"/>
      <c r="Y14" s="89"/>
      <c r="Z14" s="47"/>
    </row>
    <row r="15" spans="1:26" ht="5.25" customHeight="1" thickBot="1">
      <c r="A15" s="102"/>
      <c r="B15" s="47"/>
      <c r="C15" s="47"/>
      <c r="D15" s="47"/>
      <c r="E15" s="47"/>
      <c r="F15" s="100">
        <f>IF(ISNUMBER(F13),F13+460,"")</f>
        <v>528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104"/>
      <c r="W15" s="100"/>
      <c r="X15" s="89"/>
      <c r="Y15" s="89"/>
      <c r="Z15" s="47"/>
    </row>
    <row r="16" spans="1:26" ht="15" customHeight="1">
      <c r="A16" s="102"/>
      <c r="B16" s="410" t="s">
        <v>115</v>
      </c>
      <c r="C16" s="411"/>
      <c r="D16" s="411"/>
      <c r="E16" s="411"/>
      <c r="F16" s="411"/>
      <c r="G16" s="411"/>
      <c r="H16" s="411"/>
      <c r="I16" s="411"/>
      <c r="J16" s="412"/>
      <c r="K16" s="133"/>
      <c r="L16" s="385" t="s">
        <v>90</v>
      </c>
      <c r="M16" s="386"/>
      <c r="N16" s="386"/>
      <c r="O16" s="386"/>
      <c r="P16" s="386"/>
      <c r="Q16" s="386"/>
      <c r="R16" s="387"/>
      <c r="S16" s="104"/>
    </row>
    <row r="17" spans="1:25" ht="15" customHeight="1" thickBot="1">
      <c r="A17" s="102"/>
      <c r="B17" s="413"/>
      <c r="C17" s="414"/>
      <c r="D17" s="414"/>
      <c r="E17" s="414"/>
      <c r="F17" s="414"/>
      <c r="G17" s="414"/>
      <c r="H17" s="414"/>
      <c r="I17" s="414"/>
      <c r="J17" s="415"/>
      <c r="K17" s="133"/>
      <c r="L17" s="388"/>
      <c r="M17" s="389"/>
      <c r="N17" s="389"/>
      <c r="O17" s="389"/>
      <c r="P17" s="389"/>
      <c r="Q17" s="389"/>
      <c r="R17" s="390"/>
      <c r="S17" s="104"/>
      <c r="W17" s="99"/>
    </row>
    <row r="18" spans="1:25" ht="4.5" customHeight="1" thickBot="1">
      <c r="A18" s="102"/>
      <c r="B18" s="47"/>
      <c r="C18" s="47"/>
      <c r="D18" s="47"/>
      <c r="E18" s="47"/>
      <c r="F18" s="47"/>
      <c r="G18" s="47"/>
      <c r="H18" s="47"/>
      <c r="I18" s="47"/>
      <c r="J18" s="47"/>
      <c r="K18" s="136"/>
      <c r="L18" s="47"/>
      <c r="M18" s="47"/>
      <c r="N18" s="47"/>
      <c r="O18" s="47"/>
      <c r="P18" s="47"/>
      <c r="Q18" s="47"/>
      <c r="R18" s="47"/>
      <c r="S18" s="104"/>
      <c r="W18" s="99"/>
    </row>
    <row r="19" spans="1:25" ht="15" customHeight="1" thickBot="1">
      <c r="A19" s="102"/>
      <c r="B19" s="408" t="s">
        <v>21</v>
      </c>
      <c r="C19" s="436" t="s">
        <v>109</v>
      </c>
      <c r="D19" s="437"/>
      <c r="E19" s="369" t="s">
        <v>256</v>
      </c>
      <c r="F19" s="431"/>
      <c r="G19" s="431"/>
      <c r="H19" s="432"/>
      <c r="I19" s="398" t="s">
        <v>113</v>
      </c>
      <c r="J19" s="399"/>
      <c r="K19" s="100"/>
      <c r="L19" s="137"/>
      <c r="M19" s="138"/>
      <c r="N19" s="138"/>
      <c r="O19" s="138"/>
      <c r="P19" s="138"/>
      <c r="Q19" s="139"/>
      <c r="R19" s="140"/>
      <c r="S19" s="104"/>
      <c r="W19" s="99"/>
    </row>
    <row r="20" spans="1:25" ht="15" customHeight="1" thickBot="1">
      <c r="A20" s="102"/>
      <c r="B20" s="409"/>
      <c r="C20" s="438"/>
      <c r="D20" s="439"/>
      <c r="E20" s="433"/>
      <c r="F20" s="434"/>
      <c r="G20" s="434"/>
      <c r="H20" s="435"/>
      <c r="I20" s="400"/>
      <c r="J20" s="401"/>
      <c r="K20" s="100"/>
      <c r="L20" s="141" t="s">
        <v>86</v>
      </c>
      <c r="M20" s="142" t="s">
        <v>88</v>
      </c>
      <c r="N20" s="142" t="s">
        <v>89</v>
      </c>
      <c r="O20" s="142" t="s">
        <v>93</v>
      </c>
      <c r="P20" s="142" t="s">
        <v>94</v>
      </c>
      <c r="Q20" s="143" t="s">
        <v>91</v>
      </c>
      <c r="R20" s="144" t="s">
        <v>92</v>
      </c>
      <c r="S20" s="104"/>
      <c r="V20" s="347" t="s">
        <v>211</v>
      </c>
      <c r="W20" s="348"/>
      <c r="X20" s="330" t="s">
        <v>215</v>
      </c>
      <c r="Y20" s="330" t="s">
        <v>216</v>
      </c>
    </row>
    <row r="21" spans="1:25" ht="15" customHeight="1" thickBot="1">
      <c r="A21" s="102"/>
      <c r="B21" s="409"/>
      <c r="C21" s="430" t="s">
        <v>108</v>
      </c>
      <c r="D21" s="378"/>
      <c r="E21" s="82" t="s">
        <v>110</v>
      </c>
      <c r="F21" s="83" t="s">
        <v>112</v>
      </c>
      <c r="G21" s="353" t="s">
        <v>111</v>
      </c>
      <c r="H21" s="354"/>
      <c r="I21" s="396" t="s">
        <v>61</v>
      </c>
      <c r="J21" s="397"/>
      <c r="K21" s="100"/>
      <c r="L21" s="146" t="s">
        <v>95</v>
      </c>
      <c r="M21" s="145" t="s">
        <v>87</v>
      </c>
      <c r="N21" s="142" t="s">
        <v>96</v>
      </c>
      <c r="O21" s="142" t="s">
        <v>96</v>
      </c>
      <c r="P21" s="142" t="s">
        <v>96</v>
      </c>
      <c r="Q21" s="377" t="s">
        <v>258</v>
      </c>
      <c r="R21" s="378" t="s">
        <v>85</v>
      </c>
      <c r="S21" s="104"/>
      <c r="U21" s="63" t="s">
        <v>257</v>
      </c>
      <c r="V21" s="349"/>
      <c r="W21" s="350"/>
      <c r="X21" s="331"/>
      <c r="Y21" s="331"/>
    </row>
    <row r="22" spans="1:25" ht="15" customHeight="1">
      <c r="A22" s="102"/>
      <c r="B22" s="147">
        <v>1</v>
      </c>
      <c r="C22" s="448"/>
      <c r="D22" s="449"/>
      <c r="E22" s="148"/>
      <c r="F22" s="149" t="str">
        <f>IF(ISNUMBER(E22),E22*(Cp/Cpp)^2,"-")</f>
        <v>-</v>
      </c>
      <c r="G22" s="355" t="str">
        <f t="shared" ref="G22:G45" si="0">IF(ISNUMBER(F22),IF(A&lt;7.227,F22*(1/(1-22/Ai))^2,"-"),"-")</f>
        <v>-</v>
      </c>
      <c r="H22" s="356"/>
      <c r="I22" s="428"/>
      <c r="J22" s="429"/>
      <c r="K22" s="100"/>
      <c r="L22" s="150"/>
      <c r="M22" s="151"/>
      <c r="N22" s="152" t="str">
        <f>IF(ISNUMBER(Qse),3.055775*Qse/(M22)^2,"-")</f>
        <v>-</v>
      </c>
      <c r="O22" s="152" t="str">
        <f>IF(ISNUMBER(X22),N22*X22,"-")</f>
        <v>-</v>
      </c>
      <c r="P22" s="152" t="str">
        <f>IF(ISNUMBER(Y22),N22*Y22,"-")</f>
        <v>-</v>
      </c>
      <c r="Q22" s="152" t="str">
        <f>IF(ISNUMBER(O22),0.00013686*Psp*Mwe*(O22)^2/(Tse+460)/Cp^2,"-")</f>
        <v>-</v>
      </c>
      <c r="R22" s="153" t="str">
        <f>IF(ISNUMBER(P22),0.00013686*Psp*Mwe*(P22)^2/(Tse+460)/Cp^2,"-")</f>
        <v>-</v>
      </c>
      <c r="S22" s="104"/>
      <c r="U22" s="154" t="str">
        <f>IF(ISNUMBER(E22),SQRT(E22),"-")</f>
        <v>-</v>
      </c>
      <c r="V22" s="351" t="str">
        <f>IF(ISNUMBER(C22),ABS(C22),"-")</f>
        <v>-</v>
      </c>
      <c r="W22" s="352"/>
      <c r="X22" s="155" t="str">
        <f>IF(ISNUMBER(N22),IF((0.2603*vise*SQRT(Qse))/(N22)^1.5&gt;0.3072,0.5,(0.2457+SQRT(0.3072-(0.2603*vise*SQRT(Qse))/(N22)^1.5))),"-")</f>
        <v>-</v>
      </c>
      <c r="Y22" s="156" t="str">
        <f>IF(ISNUMBER(N22),IF((0.4457+SQRT(0.569+(0.2603*vise*SQRT(Qse))/(N22)^1.5))&gt;1.5,1.5,(0.4457+SQRT(0.569+(0.2603*vise*SQRT(Qse))/(N22)^1.5))),"-")</f>
        <v>-</v>
      </c>
    </row>
    <row r="23" spans="1:25" ht="15" customHeight="1">
      <c r="A23" s="102"/>
      <c r="B23" s="157">
        <f>B22+1</f>
        <v>2</v>
      </c>
      <c r="C23" s="325"/>
      <c r="D23" s="407"/>
      <c r="E23" s="158"/>
      <c r="F23" s="159" t="str">
        <f t="shared" ref="F23:F45" si="1">IF(ISNUMBER(E23),E23*(Cp/Cpp)^2,"-")</f>
        <v>-</v>
      </c>
      <c r="G23" s="357" t="str">
        <f t="shared" si="0"/>
        <v>-</v>
      </c>
      <c r="H23" s="358"/>
      <c r="I23" s="325"/>
      <c r="J23" s="326"/>
      <c r="K23" s="100"/>
      <c r="L23" s="160"/>
      <c r="M23" s="161"/>
      <c r="N23" s="162" t="str">
        <f t="shared" ref="N23:N33" si="2">IF(ISNUMBER(Qse),3.055775*Qse/(M23)^2,"-")</f>
        <v>-</v>
      </c>
      <c r="O23" s="162" t="str">
        <f t="shared" ref="O23:O33" si="3">IF(ISNUMBER(X23),N23*X23,"-")</f>
        <v>-</v>
      </c>
      <c r="P23" s="162" t="str">
        <f t="shared" ref="P23:P33" si="4">IF(ISNUMBER(Y23),N23*Y23,"-")</f>
        <v>-</v>
      </c>
      <c r="Q23" s="162" t="str">
        <f t="shared" ref="Q23:Q33" si="5">IF(ISNUMBER(O23),0.00013686*Psp*Mwe*(O23)^2/(Tse+460)/Cp^2,"-")</f>
        <v>-</v>
      </c>
      <c r="R23" s="163" t="str">
        <f t="shared" ref="R23:R33" si="6">IF(ISNUMBER(P23),0.00013686*Psp*Mwe*(P23)^2/(Tse+460)/Cp^2,"-")</f>
        <v>-</v>
      </c>
      <c r="S23" s="104"/>
      <c r="U23" s="164" t="str">
        <f>IF(ISNUMBER(E23),SQRT(E23),"-")</f>
        <v>-</v>
      </c>
      <c r="V23" s="327" t="str">
        <f t="shared" ref="V23:V45" si="7">IF(ISNUMBER(C23),ABS(C23),"-")</f>
        <v>-</v>
      </c>
      <c r="W23" s="328"/>
      <c r="X23" s="165" t="str">
        <f t="shared" ref="X23:X33" si="8">IF(ISNUMBER(N23),IF((0.2603*vise*SQRT(Qse))/(N23)^1.5&gt;0.3072,0.5,(0.2457+SQRT(0.3072-(0.2603*vise*SQRT(Qse))/(N23)^1.5))),"-")</f>
        <v>-</v>
      </c>
      <c r="Y23" s="166" t="str">
        <f t="shared" ref="Y23:Y33" si="9">IF(ISNUMBER(N23),IF((0.4457+SQRT(0.569+(0.2603*vise*SQRT(Qse))/(N23)^1.5))&gt;1.5,1.5,(0.4457+SQRT(0.569+(0.2603*vise*SQRT(Qse))/(N23)^1.5))),"-")</f>
        <v>-</v>
      </c>
    </row>
    <row r="24" spans="1:25" ht="15" customHeight="1">
      <c r="A24" s="102"/>
      <c r="B24" s="157">
        <f t="shared" ref="B24:B45" si="10">B23+1</f>
        <v>3</v>
      </c>
      <c r="C24" s="325"/>
      <c r="D24" s="407"/>
      <c r="E24" s="158"/>
      <c r="F24" s="159" t="str">
        <f t="shared" si="1"/>
        <v>-</v>
      </c>
      <c r="G24" s="357" t="str">
        <f t="shared" si="0"/>
        <v>-</v>
      </c>
      <c r="H24" s="358"/>
      <c r="I24" s="325"/>
      <c r="J24" s="326"/>
      <c r="K24" s="100"/>
      <c r="L24" s="160"/>
      <c r="M24" s="161"/>
      <c r="N24" s="162" t="str">
        <f t="shared" si="2"/>
        <v>-</v>
      </c>
      <c r="O24" s="162" t="str">
        <f t="shared" si="3"/>
        <v>-</v>
      </c>
      <c r="P24" s="162" t="str">
        <f t="shared" si="4"/>
        <v>-</v>
      </c>
      <c r="Q24" s="162" t="str">
        <f t="shared" si="5"/>
        <v>-</v>
      </c>
      <c r="R24" s="163" t="str">
        <f t="shared" si="6"/>
        <v>-</v>
      </c>
      <c r="S24" s="104"/>
      <c r="U24" s="164" t="str">
        <f t="shared" ref="U24:U45" si="11">IF(ISNUMBER(E24),SQRT(E24),"-")</f>
        <v>-</v>
      </c>
      <c r="V24" s="327" t="str">
        <f t="shared" si="7"/>
        <v>-</v>
      </c>
      <c r="W24" s="328"/>
      <c r="X24" s="165" t="str">
        <f t="shared" si="8"/>
        <v>-</v>
      </c>
      <c r="Y24" s="166" t="str">
        <f t="shared" si="9"/>
        <v>-</v>
      </c>
    </row>
    <row r="25" spans="1:25" ht="15" customHeight="1">
      <c r="A25" s="102"/>
      <c r="B25" s="157">
        <f t="shared" si="10"/>
        <v>4</v>
      </c>
      <c r="C25" s="325"/>
      <c r="D25" s="407"/>
      <c r="E25" s="158"/>
      <c r="F25" s="159" t="str">
        <f t="shared" si="1"/>
        <v>-</v>
      </c>
      <c r="G25" s="336" t="str">
        <f t="shared" si="0"/>
        <v>-</v>
      </c>
      <c r="H25" s="337"/>
      <c r="I25" s="325"/>
      <c r="J25" s="326"/>
      <c r="K25" s="100"/>
      <c r="L25" s="160"/>
      <c r="M25" s="161"/>
      <c r="N25" s="162" t="str">
        <f t="shared" si="2"/>
        <v>-</v>
      </c>
      <c r="O25" s="162" t="str">
        <f t="shared" si="3"/>
        <v>-</v>
      </c>
      <c r="P25" s="162" t="str">
        <f t="shared" si="4"/>
        <v>-</v>
      </c>
      <c r="Q25" s="162" t="str">
        <f t="shared" si="5"/>
        <v>-</v>
      </c>
      <c r="R25" s="163" t="str">
        <f t="shared" si="6"/>
        <v>-</v>
      </c>
      <c r="S25" s="104"/>
      <c r="U25" s="164" t="str">
        <f t="shared" si="11"/>
        <v>-</v>
      </c>
      <c r="V25" s="327" t="str">
        <f t="shared" si="7"/>
        <v>-</v>
      </c>
      <c r="W25" s="328"/>
      <c r="X25" s="165" t="str">
        <f t="shared" si="8"/>
        <v>-</v>
      </c>
      <c r="Y25" s="166" t="str">
        <f t="shared" si="9"/>
        <v>-</v>
      </c>
    </row>
    <row r="26" spans="1:25" ht="15" customHeight="1">
      <c r="A26" s="102"/>
      <c r="B26" s="157">
        <f t="shared" si="10"/>
        <v>5</v>
      </c>
      <c r="C26" s="325"/>
      <c r="D26" s="407"/>
      <c r="E26" s="158"/>
      <c r="F26" s="159" t="str">
        <f t="shared" si="1"/>
        <v>-</v>
      </c>
      <c r="G26" s="336" t="str">
        <f t="shared" si="0"/>
        <v>-</v>
      </c>
      <c r="H26" s="337"/>
      <c r="I26" s="325"/>
      <c r="J26" s="326"/>
      <c r="K26" s="100"/>
      <c r="L26" s="160"/>
      <c r="M26" s="161"/>
      <c r="N26" s="162" t="str">
        <f t="shared" si="2"/>
        <v>-</v>
      </c>
      <c r="O26" s="162" t="str">
        <f t="shared" si="3"/>
        <v>-</v>
      </c>
      <c r="P26" s="162" t="str">
        <f t="shared" si="4"/>
        <v>-</v>
      </c>
      <c r="Q26" s="162" t="str">
        <f t="shared" si="5"/>
        <v>-</v>
      </c>
      <c r="R26" s="163" t="str">
        <f t="shared" si="6"/>
        <v>-</v>
      </c>
      <c r="S26" s="104"/>
      <c r="U26" s="164" t="str">
        <f t="shared" si="11"/>
        <v>-</v>
      </c>
      <c r="V26" s="327" t="str">
        <f t="shared" si="7"/>
        <v>-</v>
      </c>
      <c r="W26" s="328"/>
      <c r="X26" s="165" t="str">
        <f t="shared" si="8"/>
        <v>-</v>
      </c>
      <c r="Y26" s="166" t="str">
        <f t="shared" si="9"/>
        <v>-</v>
      </c>
    </row>
    <row r="27" spans="1:25" ht="15" customHeight="1">
      <c r="A27" s="102"/>
      <c r="B27" s="157">
        <f t="shared" si="10"/>
        <v>6</v>
      </c>
      <c r="C27" s="325"/>
      <c r="D27" s="407"/>
      <c r="E27" s="158"/>
      <c r="F27" s="159" t="str">
        <f t="shared" si="1"/>
        <v>-</v>
      </c>
      <c r="G27" s="336" t="str">
        <f t="shared" si="0"/>
        <v>-</v>
      </c>
      <c r="H27" s="337"/>
      <c r="I27" s="325"/>
      <c r="J27" s="326"/>
      <c r="K27" s="100"/>
      <c r="L27" s="160"/>
      <c r="M27" s="161"/>
      <c r="N27" s="162" t="str">
        <f t="shared" si="2"/>
        <v>-</v>
      </c>
      <c r="O27" s="162" t="str">
        <f t="shared" si="3"/>
        <v>-</v>
      </c>
      <c r="P27" s="162" t="str">
        <f t="shared" si="4"/>
        <v>-</v>
      </c>
      <c r="Q27" s="162" t="str">
        <f t="shared" si="5"/>
        <v>-</v>
      </c>
      <c r="R27" s="163" t="str">
        <f t="shared" si="6"/>
        <v>-</v>
      </c>
      <c r="S27" s="104"/>
      <c r="U27" s="164" t="str">
        <f t="shared" si="11"/>
        <v>-</v>
      </c>
      <c r="V27" s="327" t="str">
        <f t="shared" si="7"/>
        <v>-</v>
      </c>
      <c r="W27" s="328"/>
      <c r="X27" s="165" t="str">
        <f t="shared" si="8"/>
        <v>-</v>
      </c>
      <c r="Y27" s="166" t="str">
        <f t="shared" si="9"/>
        <v>-</v>
      </c>
    </row>
    <row r="28" spans="1:25" ht="15" customHeight="1">
      <c r="A28" s="102"/>
      <c r="B28" s="157">
        <f t="shared" si="10"/>
        <v>7</v>
      </c>
      <c r="C28" s="325"/>
      <c r="D28" s="407"/>
      <c r="E28" s="158"/>
      <c r="F28" s="159" t="str">
        <f t="shared" si="1"/>
        <v>-</v>
      </c>
      <c r="G28" s="336" t="str">
        <f t="shared" si="0"/>
        <v>-</v>
      </c>
      <c r="H28" s="337"/>
      <c r="I28" s="325"/>
      <c r="J28" s="326"/>
      <c r="K28" s="100"/>
      <c r="L28" s="160"/>
      <c r="M28" s="161"/>
      <c r="N28" s="162" t="str">
        <f t="shared" si="2"/>
        <v>-</v>
      </c>
      <c r="O28" s="162" t="str">
        <f t="shared" si="3"/>
        <v>-</v>
      </c>
      <c r="P28" s="162" t="str">
        <f t="shared" si="4"/>
        <v>-</v>
      </c>
      <c r="Q28" s="162" t="str">
        <f t="shared" si="5"/>
        <v>-</v>
      </c>
      <c r="R28" s="163" t="str">
        <f t="shared" si="6"/>
        <v>-</v>
      </c>
      <c r="S28" s="104"/>
      <c r="U28" s="164" t="str">
        <f t="shared" si="11"/>
        <v>-</v>
      </c>
      <c r="V28" s="327" t="str">
        <f t="shared" si="7"/>
        <v>-</v>
      </c>
      <c r="W28" s="328"/>
      <c r="X28" s="165" t="str">
        <f t="shared" si="8"/>
        <v>-</v>
      </c>
      <c r="Y28" s="166" t="str">
        <f t="shared" si="9"/>
        <v>-</v>
      </c>
    </row>
    <row r="29" spans="1:25" ht="15" customHeight="1">
      <c r="A29" s="102"/>
      <c r="B29" s="157">
        <f t="shared" si="10"/>
        <v>8</v>
      </c>
      <c r="C29" s="325"/>
      <c r="D29" s="407"/>
      <c r="E29" s="158"/>
      <c r="F29" s="159" t="str">
        <f t="shared" si="1"/>
        <v>-</v>
      </c>
      <c r="G29" s="336" t="str">
        <f t="shared" si="0"/>
        <v>-</v>
      </c>
      <c r="H29" s="337"/>
      <c r="I29" s="325"/>
      <c r="J29" s="326"/>
      <c r="K29" s="100"/>
      <c r="L29" s="160"/>
      <c r="M29" s="161"/>
      <c r="N29" s="162" t="str">
        <f t="shared" si="2"/>
        <v>-</v>
      </c>
      <c r="O29" s="162" t="str">
        <f t="shared" si="3"/>
        <v>-</v>
      </c>
      <c r="P29" s="162" t="str">
        <f t="shared" si="4"/>
        <v>-</v>
      </c>
      <c r="Q29" s="162" t="str">
        <f t="shared" si="5"/>
        <v>-</v>
      </c>
      <c r="R29" s="163" t="str">
        <f t="shared" si="6"/>
        <v>-</v>
      </c>
      <c r="S29" s="104"/>
      <c r="U29" s="164" t="str">
        <f t="shared" si="11"/>
        <v>-</v>
      </c>
      <c r="V29" s="327" t="str">
        <f t="shared" si="7"/>
        <v>-</v>
      </c>
      <c r="W29" s="328"/>
      <c r="X29" s="165" t="str">
        <f t="shared" si="8"/>
        <v>-</v>
      </c>
      <c r="Y29" s="166" t="str">
        <f t="shared" si="9"/>
        <v>-</v>
      </c>
    </row>
    <row r="30" spans="1:25" ht="15" customHeight="1">
      <c r="A30" s="102"/>
      <c r="B30" s="157">
        <f t="shared" si="10"/>
        <v>9</v>
      </c>
      <c r="C30" s="325"/>
      <c r="D30" s="407"/>
      <c r="E30" s="158"/>
      <c r="F30" s="159" t="str">
        <f t="shared" si="1"/>
        <v>-</v>
      </c>
      <c r="G30" s="336" t="str">
        <f t="shared" si="0"/>
        <v>-</v>
      </c>
      <c r="H30" s="337"/>
      <c r="I30" s="325"/>
      <c r="J30" s="326"/>
      <c r="K30" s="100"/>
      <c r="L30" s="160"/>
      <c r="M30" s="161"/>
      <c r="N30" s="162" t="str">
        <f t="shared" si="2"/>
        <v>-</v>
      </c>
      <c r="O30" s="162" t="str">
        <f t="shared" si="3"/>
        <v>-</v>
      </c>
      <c r="P30" s="162" t="str">
        <f t="shared" si="4"/>
        <v>-</v>
      </c>
      <c r="Q30" s="162" t="str">
        <f t="shared" si="5"/>
        <v>-</v>
      </c>
      <c r="R30" s="163" t="str">
        <f t="shared" si="6"/>
        <v>-</v>
      </c>
      <c r="S30" s="104"/>
      <c r="U30" s="164" t="str">
        <f t="shared" si="11"/>
        <v>-</v>
      </c>
      <c r="V30" s="327" t="str">
        <f t="shared" si="7"/>
        <v>-</v>
      </c>
      <c r="W30" s="328"/>
      <c r="X30" s="165" t="str">
        <f t="shared" si="8"/>
        <v>-</v>
      </c>
      <c r="Y30" s="166" t="str">
        <f t="shared" si="9"/>
        <v>-</v>
      </c>
    </row>
    <row r="31" spans="1:25" ht="15" customHeight="1">
      <c r="A31" s="102"/>
      <c r="B31" s="157">
        <f t="shared" si="10"/>
        <v>10</v>
      </c>
      <c r="C31" s="325"/>
      <c r="D31" s="407"/>
      <c r="E31" s="158"/>
      <c r="F31" s="159" t="str">
        <f t="shared" si="1"/>
        <v>-</v>
      </c>
      <c r="G31" s="336" t="str">
        <f t="shared" si="0"/>
        <v>-</v>
      </c>
      <c r="H31" s="337"/>
      <c r="I31" s="325"/>
      <c r="J31" s="326"/>
      <c r="K31" s="100"/>
      <c r="L31" s="160"/>
      <c r="M31" s="161"/>
      <c r="N31" s="162" t="str">
        <f t="shared" si="2"/>
        <v>-</v>
      </c>
      <c r="O31" s="162" t="str">
        <f t="shared" si="3"/>
        <v>-</v>
      </c>
      <c r="P31" s="162" t="str">
        <f t="shared" si="4"/>
        <v>-</v>
      </c>
      <c r="Q31" s="162" t="str">
        <f t="shared" si="5"/>
        <v>-</v>
      </c>
      <c r="R31" s="163" t="str">
        <f t="shared" si="6"/>
        <v>-</v>
      </c>
      <c r="S31" s="104"/>
      <c r="U31" s="164" t="str">
        <f t="shared" si="11"/>
        <v>-</v>
      </c>
      <c r="V31" s="327" t="str">
        <f t="shared" si="7"/>
        <v>-</v>
      </c>
      <c r="W31" s="328"/>
      <c r="X31" s="165" t="str">
        <f t="shared" si="8"/>
        <v>-</v>
      </c>
      <c r="Y31" s="166" t="str">
        <f t="shared" si="9"/>
        <v>-</v>
      </c>
    </row>
    <row r="32" spans="1:25" ht="15" customHeight="1">
      <c r="A32" s="102"/>
      <c r="B32" s="157">
        <f t="shared" si="10"/>
        <v>11</v>
      </c>
      <c r="C32" s="325"/>
      <c r="D32" s="407"/>
      <c r="E32" s="158"/>
      <c r="F32" s="159" t="str">
        <f t="shared" si="1"/>
        <v>-</v>
      </c>
      <c r="G32" s="336" t="str">
        <f t="shared" si="0"/>
        <v>-</v>
      </c>
      <c r="H32" s="337"/>
      <c r="I32" s="325"/>
      <c r="J32" s="326"/>
      <c r="K32" s="100"/>
      <c r="L32" s="160"/>
      <c r="M32" s="161"/>
      <c r="N32" s="162" t="str">
        <f t="shared" si="2"/>
        <v>-</v>
      </c>
      <c r="O32" s="162" t="str">
        <f t="shared" si="3"/>
        <v>-</v>
      </c>
      <c r="P32" s="162" t="str">
        <f t="shared" si="4"/>
        <v>-</v>
      </c>
      <c r="Q32" s="162" t="str">
        <f t="shared" si="5"/>
        <v>-</v>
      </c>
      <c r="R32" s="163" t="str">
        <f t="shared" si="6"/>
        <v>-</v>
      </c>
      <c r="S32" s="104"/>
      <c r="U32" s="164" t="str">
        <f t="shared" si="11"/>
        <v>-</v>
      </c>
      <c r="V32" s="327" t="str">
        <f t="shared" si="7"/>
        <v>-</v>
      </c>
      <c r="W32" s="328"/>
      <c r="X32" s="165" t="str">
        <f t="shared" si="8"/>
        <v>-</v>
      </c>
      <c r="Y32" s="166" t="str">
        <f t="shared" si="9"/>
        <v>-</v>
      </c>
    </row>
    <row r="33" spans="1:30" ht="15" customHeight="1" thickBot="1">
      <c r="A33" s="102"/>
      <c r="B33" s="157">
        <f t="shared" si="10"/>
        <v>12</v>
      </c>
      <c r="C33" s="325"/>
      <c r="D33" s="407"/>
      <c r="E33" s="158"/>
      <c r="F33" s="159" t="str">
        <f t="shared" si="1"/>
        <v>-</v>
      </c>
      <c r="G33" s="336" t="str">
        <f t="shared" si="0"/>
        <v>-</v>
      </c>
      <c r="H33" s="337"/>
      <c r="I33" s="325"/>
      <c r="J33" s="326"/>
      <c r="K33" s="100"/>
      <c r="L33" s="167"/>
      <c r="M33" s="168"/>
      <c r="N33" s="169" t="str">
        <f t="shared" si="2"/>
        <v>-</v>
      </c>
      <c r="O33" s="169" t="str">
        <f t="shared" si="3"/>
        <v>-</v>
      </c>
      <c r="P33" s="169" t="str">
        <f t="shared" si="4"/>
        <v>-</v>
      </c>
      <c r="Q33" s="169" t="str">
        <f t="shared" si="5"/>
        <v>-</v>
      </c>
      <c r="R33" s="170" t="str">
        <f t="shared" si="6"/>
        <v>-</v>
      </c>
      <c r="S33" s="104"/>
      <c r="U33" s="164" t="str">
        <f t="shared" si="11"/>
        <v>-</v>
      </c>
      <c r="V33" s="327" t="str">
        <f t="shared" si="7"/>
        <v>-</v>
      </c>
      <c r="W33" s="328"/>
      <c r="X33" s="171" t="str">
        <f t="shared" si="8"/>
        <v>-</v>
      </c>
      <c r="Y33" s="172" t="str">
        <f t="shared" si="9"/>
        <v>-</v>
      </c>
    </row>
    <row r="34" spans="1:30" ht="15" customHeight="1" thickBot="1">
      <c r="A34" s="102"/>
      <c r="B34" s="157">
        <f t="shared" si="10"/>
        <v>13</v>
      </c>
      <c r="C34" s="325"/>
      <c r="D34" s="407"/>
      <c r="E34" s="158"/>
      <c r="F34" s="159" t="str">
        <f t="shared" si="1"/>
        <v>-</v>
      </c>
      <c r="G34" s="336" t="str">
        <f t="shared" si="0"/>
        <v>-</v>
      </c>
      <c r="H34" s="337"/>
      <c r="I34" s="325"/>
      <c r="J34" s="326"/>
      <c r="K34" s="100"/>
      <c r="L34" s="47"/>
      <c r="M34" s="47"/>
      <c r="N34" s="47"/>
      <c r="O34" s="47"/>
      <c r="P34" s="47"/>
      <c r="Q34" s="47"/>
      <c r="R34" s="47"/>
      <c r="S34" s="104"/>
      <c r="U34" s="164" t="str">
        <f t="shared" si="11"/>
        <v>-</v>
      </c>
      <c r="V34" s="327" t="str">
        <f t="shared" si="7"/>
        <v>-</v>
      </c>
      <c r="W34" s="329"/>
      <c r="X34" s="101"/>
      <c r="Y34" s="101"/>
    </row>
    <row r="35" spans="1:30" ht="15" customHeight="1">
      <c r="A35" s="102"/>
      <c r="B35" s="157">
        <f t="shared" si="10"/>
        <v>14</v>
      </c>
      <c r="C35" s="325"/>
      <c r="D35" s="407"/>
      <c r="E35" s="158"/>
      <c r="F35" s="159" t="str">
        <f t="shared" si="1"/>
        <v>-</v>
      </c>
      <c r="G35" s="336" t="str">
        <f t="shared" si="0"/>
        <v>-</v>
      </c>
      <c r="H35" s="337"/>
      <c r="I35" s="325"/>
      <c r="J35" s="326"/>
      <c r="K35" s="100"/>
      <c r="L35" s="338" t="s">
        <v>263</v>
      </c>
      <c r="M35" s="339"/>
      <c r="N35" s="339"/>
      <c r="O35" s="339"/>
      <c r="P35" s="339"/>
      <c r="Q35" s="339"/>
      <c r="R35" s="340"/>
      <c r="S35" s="104"/>
      <c r="U35" s="164" t="str">
        <f t="shared" si="11"/>
        <v>-</v>
      </c>
      <c r="V35" s="327" t="str">
        <f t="shared" si="7"/>
        <v>-</v>
      </c>
      <c r="W35" s="329"/>
      <c r="X35" s="101"/>
      <c r="Y35" s="101"/>
    </row>
    <row r="36" spans="1:30" ht="15" customHeight="1">
      <c r="A36" s="102"/>
      <c r="B36" s="157">
        <f t="shared" si="10"/>
        <v>15</v>
      </c>
      <c r="C36" s="325"/>
      <c r="D36" s="407"/>
      <c r="E36" s="158"/>
      <c r="F36" s="159" t="str">
        <f t="shared" si="1"/>
        <v>-</v>
      </c>
      <c r="G36" s="336" t="str">
        <f t="shared" si="0"/>
        <v>-</v>
      </c>
      <c r="H36" s="337"/>
      <c r="I36" s="325"/>
      <c r="J36" s="326"/>
      <c r="K36" s="100"/>
      <c r="L36" s="341"/>
      <c r="M36" s="342"/>
      <c r="N36" s="342"/>
      <c r="O36" s="342"/>
      <c r="P36" s="342"/>
      <c r="Q36" s="342"/>
      <c r="R36" s="343"/>
      <c r="S36" s="104"/>
      <c r="U36" s="164" t="str">
        <f t="shared" si="11"/>
        <v>-</v>
      </c>
      <c r="V36" s="327" t="str">
        <f t="shared" si="7"/>
        <v>-</v>
      </c>
      <c r="W36" s="329"/>
      <c r="X36" s="101"/>
      <c r="Y36" s="101"/>
    </row>
    <row r="37" spans="1:30" ht="15" customHeight="1">
      <c r="A37" s="102"/>
      <c r="B37" s="157">
        <f t="shared" si="10"/>
        <v>16</v>
      </c>
      <c r="C37" s="325"/>
      <c r="D37" s="407"/>
      <c r="E37" s="158"/>
      <c r="F37" s="159" t="str">
        <f t="shared" si="1"/>
        <v>-</v>
      </c>
      <c r="G37" s="336" t="str">
        <f t="shared" si="0"/>
        <v>-</v>
      </c>
      <c r="H37" s="337"/>
      <c r="I37" s="325"/>
      <c r="J37" s="326"/>
      <c r="K37" s="100"/>
      <c r="L37" s="341"/>
      <c r="M37" s="342"/>
      <c r="N37" s="342"/>
      <c r="O37" s="342"/>
      <c r="P37" s="342"/>
      <c r="Q37" s="342"/>
      <c r="R37" s="343"/>
      <c r="S37" s="104"/>
      <c r="U37" s="164" t="str">
        <f t="shared" si="11"/>
        <v>-</v>
      </c>
      <c r="V37" s="327" t="str">
        <f t="shared" si="7"/>
        <v>-</v>
      </c>
      <c r="W37" s="329"/>
      <c r="X37" s="101"/>
      <c r="Y37" s="101"/>
    </row>
    <row r="38" spans="1:30" ht="15" customHeight="1">
      <c r="A38" s="102"/>
      <c r="B38" s="157">
        <f t="shared" si="10"/>
        <v>17</v>
      </c>
      <c r="C38" s="325"/>
      <c r="D38" s="407"/>
      <c r="E38" s="158"/>
      <c r="F38" s="159" t="str">
        <f t="shared" si="1"/>
        <v>-</v>
      </c>
      <c r="G38" s="336" t="str">
        <f t="shared" si="0"/>
        <v>-</v>
      </c>
      <c r="H38" s="337"/>
      <c r="I38" s="325"/>
      <c r="J38" s="326"/>
      <c r="K38" s="100"/>
      <c r="L38" s="341"/>
      <c r="M38" s="342"/>
      <c r="N38" s="342"/>
      <c r="O38" s="342"/>
      <c r="P38" s="342"/>
      <c r="Q38" s="342"/>
      <c r="R38" s="343"/>
      <c r="S38" s="104"/>
      <c r="U38" s="164" t="str">
        <f t="shared" si="11"/>
        <v>-</v>
      </c>
      <c r="V38" s="327" t="str">
        <f t="shared" si="7"/>
        <v>-</v>
      </c>
      <c r="W38" s="329"/>
      <c r="X38" s="101"/>
      <c r="Y38" s="101"/>
    </row>
    <row r="39" spans="1:30" ht="15" customHeight="1" thickBot="1">
      <c r="A39" s="102"/>
      <c r="B39" s="157">
        <f t="shared" si="10"/>
        <v>18</v>
      </c>
      <c r="C39" s="325"/>
      <c r="D39" s="407"/>
      <c r="E39" s="158"/>
      <c r="F39" s="159" t="str">
        <f t="shared" si="1"/>
        <v>-</v>
      </c>
      <c r="G39" s="336" t="str">
        <f t="shared" si="0"/>
        <v>-</v>
      </c>
      <c r="H39" s="337"/>
      <c r="I39" s="325"/>
      <c r="J39" s="326"/>
      <c r="K39" s="100"/>
      <c r="L39" s="344"/>
      <c r="M39" s="345"/>
      <c r="N39" s="345"/>
      <c r="O39" s="345"/>
      <c r="P39" s="345"/>
      <c r="Q39" s="345"/>
      <c r="R39" s="346"/>
      <c r="S39" s="104"/>
      <c r="U39" s="164" t="str">
        <f t="shared" si="11"/>
        <v>-</v>
      </c>
      <c r="V39" s="327" t="str">
        <f t="shared" si="7"/>
        <v>-</v>
      </c>
      <c r="W39" s="329"/>
      <c r="X39" s="101"/>
      <c r="Y39" s="101"/>
    </row>
    <row r="40" spans="1:30" ht="15" customHeight="1">
      <c r="A40" s="102"/>
      <c r="B40" s="157">
        <f t="shared" si="10"/>
        <v>19</v>
      </c>
      <c r="C40" s="325"/>
      <c r="D40" s="407"/>
      <c r="E40" s="158"/>
      <c r="F40" s="159" t="str">
        <f t="shared" si="1"/>
        <v>-</v>
      </c>
      <c r="G40" s="336" t="str">
        <f t="shared" si="0"/>
        <v>-</v>
      </c>
      <c r="H40" s="337"/>
      <c r="I40" s="325"/>
      <c r="J40" s="326"/>
      <c r="K40" s="100"/>
      <c r="L40" s="299"/>
      <c r="M40" s="299"/>
      <c r="N40" s="299"/>
      <c r="O40" s="299"/>
      <c r="P40" s="299"/>
      <c r="Q40" s="299"/>
      <c r="R40" s="299"/>
      <c r="S40" s="104"/>
      <c r="U40" s="164" t="str">
        <f t="shared" si="11"/>
        <v>-</v>
      </c>
      <c r="V40" s="327" t="str">
        <f t="shared" si="7"/>
        <v>-</v>
      </c>
      <c r="W40" s="329"/>
      <c r="X40" s="101"/>
      <c r="Y40" s="101"/>
    </row>
    <row r="41" spans="1:30" ht="15" customHeight="1">
      <c r="A41" s="102"/>
      <c r="B41" s="157">
        <f t="shared" si="10"/>
        <v>20</v>
      </c>
      <c r="C41" s="325"/>
      <c r="D41" s="407"/>
      <c r="E41" s="158"/>
      <c r="F41" s="159" t="str">
        <f t="shared" si="1"/>
        <v>-</v>
      </c>
      <c r="G41" s="336" t="str">
        <f t="shared" si="0"/>
        <v>-</v>
      </c>
      <c r="H41" s="337"/>
      <c r="I41" s="325"/>
      <c r="J41" s="326"/>
      <c r="K41" s="100"/>
      <c r="L41" s="300"/>
      <c r="M41" s="300"/>
      <c r="N41" s="300"/>
      <c r="O41" s="300"/>
      <c r="P41" s="300"/>
      <c r="Q41" s="300"/>
      <c r="R41" s="300"/>
      <c r="S41" s="104"/>
      <c r="U41" s="164" t="str">
        <f t="shared" si="11"/>
        <v>-</v>
      </c>
      <c r="V41" s="327" t="str">
        <f t="shared" si="7"/>
        <v>-</v>
      </c>
      <c r="W41" s="329"/>
      <c r="X41" s="101"/>
      <c r="Y41" s="101"/>
    </row>
    <row r="42" spans="1:30" ht="15" customHeight="1">
      <c r="A42" s="102"/>
      <c r="B42" s="157">
        <f t="shared" si="10"/>
        <v>21</v>
      </c>
      <c r="C42" s="325"/>
      <c r="D42" s="407"/>
      <c r="E42" s="158"/>
      <c r="F42" s="159" t="str">
        <f t="shared" si="1"/>
        <v>-</v>
      </c>
      <c r="G42" s="336" t="str">
        <f t="shared" si="0"/>
        <v>-</v>
      </c>
      <c r="H42" s="337"/>
      <c r="I42" s="325"/>
      <c r="J42" s="326"/>
      <c r="K42" s="100"/>
      <c r="L42" s="300"/>
      <c r="M42" s="300"/>
      <c r="N42" s="300"/>
      <c r="O42" s="300"/>
      <c r="P42" s="300"/>
      <c r="Q42" s="300"/>
      <c r="R42" s="300"/>
      <c r="S42" s="104"/>
      <c r="U42" s="164" t="str">
        <f t="shared" si="11"/>
        <v>-</v>
      </c>
      <c r="V42" s="327" t="str">
        <f t="shared" si="7"/>
        <v>-</v>
      </c>
      <c r="W42" s="329"/>
      <c r="X42" s="101"/>
      <c r="Y42" s="101"/>
    </row>
    <row r="43" spans="1:30" ht="15" customHeight="1">
      <c r="A43" s="102"/>
      <c r="B43" s="157">
        <f t="shared" si="10"/>
        <v>22</v>
      </c>
      <c r="C43" s="325"/>
      <c r="D43" s="407"/>
      <c r="E43" s="158"/>
      <c r="F43" s="159" t="str">
        <f t="shared" si="1"/>
        <v>-</v>
      </c>
      <c r="G43" s="336" t="str">
        <f t="shared" si="0"/>
        <v>-</v>
      </c>
      <c r="H43" s="337"/>
      <c r="I43" s="325"/>
      <c r="J43" s="326"/>
      <c r="K43" s="47"/>
      <c r="L43" s="47"/>
      <c r="M43" s="47"/>
      <c r="N43" s="173"/>
      <c r="O43" s="47"/>
      <c r="P43" s="47"/>
      <c r="Q43" s="47"/>
      <c r="R43" s="174"/>
      <c r="S43" s="104"/>
      <c r="T43" s="47"/>
      <c r="U43" s="164" t="str">
        <f t="shared" si="11"/>
        <v>-</v>
      </c>
      <c r="V43" s="327" t="str">
        <f t="shared" si="7"/>
        <v>-</v>
      </c>
      <c r="W43" s="329"/>
      <c r="X43" s="101"/>
      <c r="Y43" s="101"/>
    </row>
    <row r="44" spans="1:30" ht="15" customHeight="1">
      <c r="A44" s="102"/>
      <c r="B44" s="157">
        <f t="shared" si="10"/>
        <v>23</v>
      </c>
      <c r="C44" s="325"/>
      <c r="D44" s="407"/>
      <c r="E44" s="158"/>
      <c r="F44" s="159" t="str">
        <f t="shared" si="1"/>
        <v>-</v>
      </c>
      <c r="G44" s="336" t="str">
        <f t="shared" si="0"/>
        <v>-</v>
      </c>
      <c r="H44" s="337"/>
      <c r="I44" s="325"/>
      <c r="J44" s="326"/>
      <c r="K44" s="47"/>
      <c r="L44" s="47"/>
      <c r="M44" s="47"/>
      <c r="N44" s="173"/>
      <c r="O44" s="47"/>
      <c r="P44" s="47"/>
      <c r="Q44" s="47"/>
      <c r="R44" s="47"/>
      <c r="S44" s="104"/>
      <c r="U44" s="164" t="str">
        <f t="shared" si="11"/>
        <v>-</v>
      </c>
      <c r="V44" s="327" t="str">
        <f t="shared" si="7"/>
        <v>-</v>
      </c>
      <c r="W44" s="329"/>
      <c r="X44" s="101"/>
      <c r="Y44" s="101"/>
    </row>
    <row r="45" spans="1:30" ht="15" customHeight="1" thickBot="1">
      <c r="A45" s="102"/>
      <c r="B45" s="175">
        <f t="shared" si="10"/>
        <v>24</v>
      </c>
      <c r="C45" s="443"/>
      <c r="D45" s="447"/>
      <c r="E45" s="176"/>
      <c r="F45" s="177" t="str">
        <f t="shared" si="1"/>
        <v>-</v>
      </c>
      <c r="G45" s="450" t="str">
        <f t="shared" si="0"/>
        <v>-</v>
      </c>
      <c r="H45" s="451"/>
      <c r="I45" s="443"/>
      <c r="J45" s="444"/>
      <c r="K45" s="174"/>
      <c r="L45" s="47"/>
      <c r="M45" s="47"/>
      <c r="N45" s="173"/>
      <c r="O45" s="47"/>
      <c r="P45" s="47"/>
      <c r="Q45" s="47"/>
      <c r="R45" s="47"/>
      <c r="S45" s="104"/>
      <c r="U45" s="178" t="str">
        <f t="shared" si="11"/>
        <v>-</v>
      </c>
      <c r="V45" s="332" t="str">
        <f t="shared" si="7"/>
        <v>-</v>
      </c>
      <c r="W45" s="333"/>
      <c r="X45" s="101"/>
      <c r="Y45" s="101"/>
      <c r="Z45" s="47"/>
      <c r="AA45" s="47"/>
      <c r="AB45" s="47"/>
      <c r="AC45" s="47"/>
      <c r="AD45" s="47"/>
    </row>
    <row r="46" spans="1:30" ht="15" customHeight="1" thickBot="1">
      <c r="A46" s="102"/>
      <c r="B46" s="179"/>
      <c r="C46" s="455" t="str">
        <f>IF(ISNUMBER(V22),AVERAGE(V22:W45),"-")</f>
        <v>-</v>
      </c>
      <c r="D46" s="456"/>
      <c r="E46" s="180" t="str">
        <f>IF(ISNUMBER(E22),AVERAGE(E22:E45),"-")</f>
        <v>-</v>
      </c>
      <c r="F46" s="180" t="str">
        <f>IF(ISNUMBER(F22),AVERAGE(F22:F45),"-")</f>
        <v>-</v>
      </c>
      <c r="G46" s="445" t="str">
        <f>IF(ISNUMBER(G22),AVERAGE(G22:H45),"-")</f>
        <v>-</v>
      </c>
      <c r="H46" s="454"/>
      <c r="I46" s="445" t="str">
        <f>IF(ISNUMBER(I22),AVERAGE(I22:J45),"-")</f>
        <v>-</v>
      </c>
      <c r="J46" s="446"/>
      <c r="K46" s="22"/>
      <c r="L46" s="22"/>
      <c r="M46" s="23"/>
      <c r="N46" s="173"/>
      <c r="O46" s="47"/>
      <c r="P46" s="24"/>
      <c r="Q46" s="25"/>
      <c r="R46" s="25"/>
      <c r="S46" s="104"/>
      <c r="U46" s="181" t="str">
        <f>IF(ISNUMBER(U22),AVERAGE(U22:U45),"-")</f>
        <v>-</v>
      </c>
      <c r="V46" s="334" t="str">
        <f>IF(ISNUMBER(V22),AVERAGE(V22:W45),"-")</f>
        <v>-</v>
      </c>
      <c r="W46" s="335"/>
      <c r="X46" s="101"/>
      <c r="Y46" s="101"/>
      <c r="Z46" s="47"/>
      <c r="AA46" s="47"/>
      <c r="AB46" s="47"/>
      <c r="AC46" s="47"/>
      <c r="AD46" s="47"/>
    </row>
    <row r="47" spans="1:30" ht="15" customHeight="1">
      <c r="A47" s="102"/>
      <c r="B47" s="179"/>
      <c r="C47" s="452" t="s">
        <v>248</v>
      </c>
      <c r="D47" s="453"/>
      <c r="E47" s="182"/>
      <c r="F47" s="183"/>
      <c r="G47" s="184"/>
      <c r="H47" s="185"/>
      <c r="I47" s="185"/>
      <c r="J47" s="186"/>
      <c r="K47" s="22"/>
      <c r="L47" s="22"/>
      <c r="M47" s="23"/>
      <c r="N47" s="173"/>
      <c r="O47" s="47"/>
      <c r="P47" s="24"/>
      <c r="Q47" s="25"/>
      <c r="R47" s="25"/>
      <c r="S47" s="104"/>
      <c r="T47" s="47"/>
      <c r="U47" s="47"/>
      <c r="V47" s="47"/>
      <c r="W47" s="100"/>
      <c r="X47" s="101"/>
      <c r="Y47" s="101"/>
      <c r="Z47" s="47"/>
      <c r="AA47" s="47"/>
      <c r="AB47" s="47"/>
      <c r="AC47" s="47"/>
      <c r="AD47" s="47"/>
    </row>
    <row r="48" spans="1:30" ht="15" customHeight="1">
      <c r="A48" s="102"/>
      <c r="B48" s="179"/>
      <c r="C48" s="179"/>
      <c r="D48" s="187"/>
      <c r="E48" s="182"/>
      <c r="F48" s="183"/>
      <c r="G48" s="184"/>
      <c r="H48" s="185"/>
      <c r="I48" s="185"/>
      <c r="J48" s="186"/>
      <c r="K48" s="22"/>
      <c r="L48" s="22"/>
      <c r="M48" s="23"/>
      <c r="N48" s="173"/>
      <c r="O48" s="47"/>
      <c r="P48" s="24"/>
      <c r="Q48" s="25"/>
      <c r="R48" s="25"/>
      <c r="S48" s="104"/>
      <c r="T48" s="47"/>
      <c r="U48" s="47"/>
      <c r="V48" s="47"/>
      <c r="W48" s="100"/>
      <c r="X48" s="101"/>
      <c r="Y48" s="101"/>
      <c r="Z48" s="47"/>
      <c r="AA48" s="47"/>
      <c r="AB48" s="47"/>
      <c r="AC48" s="47"/>
      <c r="AD48" s="47"/>
    </row>
    <row r="49" spans="1:19" ht="15" customHeight="1">
      <c r="A49" s="102"/>
      <c r="B49" s="179"/>
      <c r="C49" s="179"/>
      <c r="D49" s="187"/>
      <c r="E49" s="182"/>
      <c r="F49" s="183"/>
      <c r="G49" s="184"/>
      <c r="H49" s="185"/>
      <c r="I49" s="185"/>
      <c r="J49" s="186"/>
      <c r="K49" s="22"/>
      <c r="L49" s="22"/>
      <c r="M49" s="23"/>
      <c r="N49" s="188"/>
      <c r="O49" s="47"/>
      <c r="P49" s="24"/>
      <c r="Q49" s="25"/>
      <c r="R49" s="25"/>
      <c r="S49" s="104"/>
    </row>
    <row r="50" spans="1:19" ht="15" customHeight="1" thickBot="1">
      <c r="A50" s="102"/>
      <c r="B50" s="125"/>
      <c r="C50" s="125"/>
      <c r="D50" s="125"/>
      <c r="E50" s="125"/>
      <c r="F50" s="125"/>
      <c r="G50" s="125"/>
      <c r="H50" s="125"/>
      <c r="I50" s="125"/>
      <c r="J50" s="47"/>
      <c r="K50" s="125"/>
      <c r="L50" s="125"/>
      <c r="M50" s="125"/>
      <c r="N50" s="125"/>
      <c r="O50" s="125"/>
      <c r="P50" s="125"/>
      <c r="Q50" s="125"/>
      <c r="R50" s="125"/>
      <c r="S50" s="104"/>
    </row>
    <row r="51" spans="1:19" ht="15" customHeight="1">
      <c r="A51" s="102"/>
      <c r="B51" s="189"/>
      <c r="C51" s="189" t="s">
        <v>76</v>
      </c>
      <c r="D51" s="190"/>
      <c r="E51" s="190"/>
      <c r="F51" s="191"/>
      <c r="G51" s="192"/>
      <c r="H51" s="193"/>
      <c r="I51" s="193"/>
      <c r="J51" s="47"/>
      <c r="K51" s="189"/>
      <c r="L51" s="189" t="s">
        <v>63</v>
      </c>
      <c r="M51" s="190"/>
      <c r="N51" s="190"/>
      <c r="O51" s="191"/>
      <c r="P51" s="192"/>
      <c r="Q51" s="193"/>
      <c r="R51" s="193"/>
      <c r="S51" s="104"/>
    </row>
    <row r="52" spans="1:19" ht="5.25" customHeight="1" thickBot="1">
      <c r="A52" s="131"/>
      <c r="B52" s="125"/>
      <c r="C52" s="125"/>
      <c r="D52" s="125"/>
      <c r="E52" s="125"/>
      <c r="F52" s="125"/>
      <c r="G52" s="125"/>
      <c r="H52" s="194"/>
      <c r="I52" s="125"/>
      <c r="J52" s="125"/>
      <c r="K52" s="125"/>
      <c r="L52" s="195"/>
      <c r="M52" s="194"/>
      <c r="N52" s="125"/>
      <c r="O52" s="195"/>
      <c r="P52" s="195"/>
      <c r="Q52" s="195"/>
      <c r="R52" s="195"/>
      <c r="S52" s="126"/>
    </row>
    <row r="53" spans="1:19" ht="15" customHeight="1">
      <c r="B53" s="99"/>
      <c r="C53" s="99"/>
      <c r="D53" s="99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</row>
    <row r="54" spans="1:19" ht="15" customHeight="1"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</row>
    <row r="55" spans="1:19" ht="15" customHeight="1">
      <c r="B55" s="99"/>
      <c r="C55" s="99"/>
      <c r="D55" s="99"/>
      <c r="E55" s="99"/>
      <c r="F55" s="99"/>
      <c r="G55" s="196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</row>
    <row r="56" spans="1:19" ht="15" customHeight="1"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</row>
    <row r="57" spans="1:19" ht="15" customHeight="1"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</row>
    <row r="58" spans="1:1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</row>
    <row r="59" spans="1:19" ht="15" customHeight="1"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</row>
    <row r="60" spans="1:1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</row>
    <row r="61" spans="1:1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1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</row>
    <row r="63" spans="1:1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1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N1439" s="99"/>
      <c r="O1439" s="99"/>
      <c r="P1439" s="99"/>
      <c r="Q1439" s="99"/>
      <c r="R1439" s="99"/>
    </row>
    <row r="1440" spans="2:18" ht="15" customHeight="1">
      <c r="B1440" s="99"/>
      <c r="C1440" s="99"/>
      <c r="D1440" s="99"/>
      <c r="E1440" s="99"/>
      <c r="F1440" s="99"/>
      <c r="G1440" s="99"/>
      <c r="H1440" s="99"/>
      <c r="I1440" s="99"/>
      <c r="J1440" s="99"/>
      <c r="K1440" s="99"/>
      <c r="L1440" s="99"/>
      <c r="M1440" s="99"/>
      <c r="N1440" s="99"/>
      <c r="O1440" s="99"/>
      <c r="P1440" s="99"/>
      <c r="Q1440" s="99"/>
      <c r="R1440" s="99"/>
    </row>
  </sheetData>
  <sheetProtection sheet="1" objects="1" scenarios="1"/>
  <mergeCells count="144">
    <mergeCell ref="C47:D47"/>
    <mergeCell ref="G46:H46"/>
    <mergeCell ref="G35:H35"/>
    <mergeCell ref="G36:H36"/>
    <mergeCell ref="G29:H29"/>
    <mergeCell ref="G30:H30"/>
    <mergeCell ref="G31:H31"/>
    <mergeCell ref="G32:H32"/>
    <mergeCell ref="C46:D46"/>
    <mergeCell ref="C40:D40"/>
    <mergeCell ref="G42:H42"/>
    <mergeCell ref="I43:J43"/>
    <mergeCell ref="I44:J44"/>
    <mergeCell ref="I45:J45"/>
    <mergeCell ref="I46:J46"/>
    <mergeCell ref="C45:D45"/>
    <mergeCell ref="C22:D22"/>
    <mergeCell ref="C29:D29"/>
    <mergeCell ref="C30:D30"/>
    <mergeCell ref="C27:D27"/>
    <mergeCell ref="C25:D25"/>
    <mergeCell ref="C26:D26"/>
    <mergeCell ref="C23:D23"/>
    <mergeCell ref="G43:H43"/>
    <mergeCell ref="G44:H44"/>
    <mergeCell ref="G45:H45"/>
    <mergeCell ref="C43:D43"/>
    <mergeCell ref="C44:D44"/>
    <mergeCell ref="C32:D32"/>
    <mergeCell ref="C35:D35"/>
    <mergeCell ref="C42:D42"/>
    <mergeCell ref="C39:D39"/>
    <mergeCell ref="C37:D37"/>
    <mergeCell ref="C38:D38"/>
    <mergeCell ref="C41:D41"/>
    <mergeCell ref="B13:D13"/>
    <mergeCell ref="C28:D28"/>
    <mergeCell ref="C36:D36"/>
    <mergeCell ref="C33:D33"/>
    <mergeCell ref="D2:H2"/>
    <mergeCell ref="B19:B21"/>
    <mergeCell ref="B16:J17"/>
    <mergeCell ref="C34:D34"/>
    <mergeCell ref="C31:D31"/>
    <mergeCell ref="C24:D24"/>
    <mergeCell ref="B5:H6"/>
    <mergeCell ref="I5:N6"/>
    <mergeCell ref="L8:M8"/>
    <mergeCell ref="D3:E3"/>
    <mergeCell ref="I7:K7"/>
    <mergeCell ref="I8:K8"/>
    <mergeCell ref="I22:J22"/>
    <mergeCell ref="C21:D21"/>
    <mergeCell ref="E19:H20"/>
    <mergeCell ref="C19:D20"/>
    <mergeCell ref="B14:D14"/>
    <mergeCell ref="G25:H25"/>
    <mergeCell ref="G26:H26"/>
    <mergeCell ref="G27:H27"/>
    <mergeCell ref="P2:R2"/>
    <mergeCell ref="P3:R3"/>
    <mergeCell ref="O10:P10"/>
    <mergeCell ref="L10:M10"/>
    <mergeCell ref="Q7:R7"/>
    <mergeCell ref="O5:R6"/>
    <mergeCell ref="L9:M9"/>
    <mergeCell ref="L12:M12"/>
    <mergeCell ref="Q21:R21"/>
    <mergeCell ref="K2:M2"/>
    <mergeCell ref="K3:M3"/>
    <mergeCell ref="I9:K9"/>
    <mergeCell ref="L7:M7"/>
    <mergeCell ref="L16:R17"/>
    <mergeCell ref="L13:M13"/>
    <mergeCell ref="I12:K12"/>
    <mergeCell ref="I13:K13"/>
    <mergeCell ref="I11:K11"/>
    <mergeCell ref="I10:K10"/>
    <mergeCell ref="L11:M11"/>
    <mergeCell ref="L14:M14"/>
    <mergeCell ref="I21:J21"/>
    <mergeCell ref="I19:J20"/>
    <mergeCell ref="I14:K14"/>
    <mergeCell ref="G28:H28"/>
    <mergeCell ref="G41:H41"/>
    <mergeCell ref="L35:R39"/>
    <mergeCell ref="I39:J39"/>
    <mergeCell ref="I40:J40"/>
    <mergeCell ref="I41:J41"/>
    <mergeCell ref="V20:W21"/>
    <mergeCell ref="V22:W22"/>
    <mergeCell ref="V23:W23"/>
    <mergeCell ref="V24:W24"/>
    <mergeCell ref="V25:W25"/>
    <mergeCell ref="V26:W26"/>
    <mergeCell ref="G37:H37"/>
    <mergeCell ref="G38:H38"/>
    <mergeCell ref="G39:H39"/>
    <mergeCell ref="G40:H40"/>
    <mergeCell ref="G33:H33"/>
    <mergeCell ref="G34:H34"/>
    <mergeCell ref="I23:J23"/>
    <mergeCell ref="I24:J24"/>
    <mergeCell ref="G21:H21"/>
    <mergeCell ref="G22:H22"/>
    <mergeCell ref="G23:H23"/>
    <mergeCell ref="G24:H24"/>
    <mergeCell ref="I42:J42"/>
    <mergeCell ref="V40:W40"/>
    <mergeCell ref="V33:W33"/>
    <mergeCell ref="V34:W34"/>
    <mergeCell ref="V35:W35"/>
    <mergeCell ref="V36:W36"/>
    <mergeCell ref="Y20:Y21"/>
    <mergeCell ref="V45:W45"/>
    <mergeCell ref="V46:W46"/>
    <mergeCell ref="X20:X21"/>
    <mergeCell ref="V41:W41"/>
    <mergeCell ref="V42:W42"/>
    <mergeCell ref="V43:W43"/>
    <mergeCell ref="V44:W44"/>
    <mergeCell ref="V37:W37"/>
    <mergeCell ref="I33:J33"/>
    <mergeCell ref="I25:J25"/>
    <mergeCell ref="I32:J32"/>
    <mergeCell ref="I30:J30"/>
    <mergeCell ref="I31:J31"/>
    <mergeCell ref="I26:J26"/>
    <mergeCell ref="I27:J27"/>
    <mergeCell ref="I28:J28"/>
    <mergeCell ref="I29:J29"/>
    <mergeCell ref="I34:J34"/>
    <mergeCell ref="V27:W27"/>
    <mergeCell ref="V28:W28"/>
    <mergeCell ref="V29:W29"/>
    <mergeCell ref="V30:W30"/>
    <mergeCell ref="V31:W31"/>
    <mergeCell ref="V32:W32"/>
    <mergeCell ref="V38:W38"/>
    <mergeCell ref="V39:W39"/>
    <mergeCell ref="I38:J38"/>
    <mergeCell ref="I35:J35"/>
    <mergeCell ref="I36:J36"/>
    <mergeCell ref="I37:J37"/>
  </mergeCells>
  <phoneticPr fontId="0" type="noConversion"/>
  <conditionalFormatting sqref="L22:M33 N43:N49 Q22:R33">
    <cfRule type="expression" dxfId="44" priority="1" stopIfTrue="1">
      <formula>IF(ISNUMBER($G22),AND($Q22&lt;MIN($G$22:$G$45),$R22&gt;MAX($G$22:$G$45)),AND($Q22&lt;MIN($F$22:$F$45),$R22&gt;MAX($F$22:$F$45)))</formula>
    </cfRule>
  </conditionalFormatting>
  <conditionalFormatting sqref="C46:D46">
    <cfRule type="expression" dxfId="43" priority="2" stopIfTrue="1">
      <formula>AND(ISNUMBER($C$46),OR($C$46&gt;20,$C$46=20))</formula>
    </cfRule>
  </conditionalFormatting>
  <conditionalFormatting sqref="V46:W46">
    <cfRule type="expression" dxfId="42" priority="3" stopIfTrue="1">
      <formula>AND(ISNUMBER($V$46),OR($V$46&gt;20,$V$46=20))</formula>
    </cfRule>
  </conditionalFormatting>
  <conditionalFormatting sqref="D11">
    <cfRule type="expression" dxfId="41" priority="4" stopIfTrue="1">
      <formula>AND(ISNUMBER(D11),D11&lt;3.602)</formula>
    </cfRule>
    <cfRule type="cellIs" dxfId="40" priority="5" stopIfTrue="1" operator="between">
      <formula>3.602</formula>
      <formula>7.227</formula>
    </cfRule>
    <cfRule type="expression" dxfId="39" priority="6" stopIfTrue="1">
      <formula>ISBLANK(D11)</formula>
    </cfRule>
  </conditionalFormatting>
  <conditionalFormatting sqref="D12">
    <cfRule type="expression" dxfId="38" priority="7" stopIfTrue="1">
      <formula>AND(ISNUMBER(D12),D12&lt;(3.602*144))</formula>
    </cfRule>
    <cfRule type="cellIs" dxfId="37" priority="8" stopIfTrue="1" operator="between">
      <formula>(3.602*144)</formula>
      <formula>(7.227*144)</formula>
    </cfRule>
    <cfRule type="expression" dxfId="36" priority="9" stopIfTrue="1">
      <formula>ISBLANK(D12)</formula>
    </cfRule>
  </conditionalFormatting>
  <printOptions horizontalCentered="1" verticalCentered="1"/>
  <pageMargins left="0.25" right="0.25" top="0.75" bottom="0.5" header="0.25" footer="0"/>
  <pageSetup scale="92" orientation="portrait" blackAndWhite="1" r:id="rId1"/>
  <headerFooter alignWithMargins="0">
    <oddHeader>&amp;CSpreadsheet for U.S. EPA Method 201A - Determination of Filterable PM10 and PM2.5 Emissions
&amp;12PRELIMINARY TEST DATA SHEET</oddHeader>
    <oddFooter>&amp;CCopyright 2017  Environmental Supply Company Inc.</oddFooter>
  </headerFooter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1444"/>
  <sheetViews>
    <sheetView tabSelected="1" zoomScaleNormal="100" zoomScaleSheetLayoutView="75" workbookViewId="0">
      <selection activeCell="D2" sqref="D2:H2"/>
    </sheetView>
  </sheetViews>
  <sheetFormatPr defaultColWidth="6.28515625" defaultRowHeight="15" customHeight="1"/>
  <cols>
    <col min="1" max="1" width="1" style="99" customWidth="1"/>
    <col min="2" max="2" width="6.28515625" style="197" customWidth="1"/>
    <col min="3" max="3" width="6.7109375" style="197" customWidth="1"/>
    <col min="4" max="8" width="6.28515625" style="197" customWidth="1"/>
    <col min="9" max="9" width="6.42578125" style="197" customWidth="1"/>
    <col min="10" max="11" width="6.28515625" style="197" customWidth="1"/>
    <col min="12" max="12" width="7.42578125" style="197" customWidth="1"/>
    <col min="13" max="13" width="6.28515625" style="197" customWidth="1"/>
    <col min="14" max="14" width="7.5703125" style="197" customWidth="1"/>
    <col min="15" max="15" width="7.42578125" style="197" customWidth="1"/>
    <col min="16" max="16" width="7.85546875" style="197" customWidth="1"/>
    <col min="17" max="17" width="7.42578125" style="197" customWidth="1"/>
    <col min="18" max="18" width="6.28515625" style="197" customWidth="1"/>
    <col min="19" max="20" width="1" style="99" customWidth="1"/>
    <col min="21" max="21" width="9.85546875" style="201" customWidth="1"/>
    <col min="22" max="25" width="8.7109375" style="99" customWidth="1"/>
    <col min="26" max="26" width="8.7109375" style="135" customWidth="1"/>
    <col min="27" max="27" width="8.7109375" style="99" customWidth="1"/>
    <col min="28" max="28" width="1" style="99" customWidth="1"/>
    <col min="29" max="35" width="7.7109375" style="99" customWidth="1"/>
    <col min="36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98"/>
    </row>
    <row r="2" spans="1:26" ht="15" customHeight="1">
      <c r="A2" s="102"/>
      <c r="B2" s="48"/>
      <c r="C2" s="16" t="s">
        <v>52</v>
      </c>
      <c r="D2" s="463" t="str">
        <f>IF(ISTEXT('Pre-Test'!D2:H2),'Pre-Test'!D2:H2,"")</f>
        <v/>
      </c>
      <c r="E2" s="463"/>
      <c r="F2" s="463"/>
      <c r="G2" s="463"/>
      <c r="H2" s="463"/>
      <c r="I2" s="48"/>
      <c r="J2" s="16" t="s">
        <v>0</v>
      </c>
      <c r="K2" s="476"/>
      <c r="L2" s="476"/>
      <c r="M2" s="48"/>
      <c r="N2" s="16" t="s">
        <v>54</v>
      </c>
      <c r="O2" s="359"/>
      <c r="P2" s="464"/>
      <c r="Q2" s="465"/>
      <c r="R2" s="466"/>
      <c r="S2" s="104"/>
    </row>
    <row r="3" spans="1:26" ht="15" customHeight="1">
      <c r="A3" s="102"/>
      <c r="B3" s="48"/>
      <c r="C3" s="16" t="s">
        <v>53</v>
      </c>
      <c r="D3" s="425"/>
      <c r="E3" s="425"/>
      <c r="F3" s="48"/>
      <c r="G3" s="48"/>
      <c r="H3" s="48"/>
      <c r="I3" s="48"/>
      <c r="J3" s="16" t="s">
        <v>1</v>
      </c>
      <c r="K3" s="477"/>
      <c r="L3" s="477"/>
      <c r="M3" s="48"/>
      <c r="N3" s="16" t="s">
        <v>55</v>
      </c>
      <c r="O3" s="463" t="str">
        <f>IF(ISTEXT('Pre-Test'!P3),'Pre-Test'!P3,"")</f>
        <v/>
      </c>
      <c r="P3" s="467"/>
      <c r="Q3" s="468"/>
      <c r="R3" s="469"/>
      <c r="S3" s="104"/>
    </row>
    <row r="4" spans="1:26" ht="6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6"/>
      <c r="S4" s="104"/>
    </row>
    <row r="5" spans="1:26" ht="15" customHeight="1" thickBot="1">
      <c r="A5" s="102"/>
      <c r="B5" s="528" t="s">
        <v>41</v>
      </c>
      <c r="C5" s="529"/>
      <c r="D5" s="529"/>
      <c r="E5" s="529"/>
      <c r="F5" s="369" t="s">
        <v>42</v>
      </c>
      <c r="G5" s="370"/>
      <c r="H5" s="370"/>
      <c r="I5" s="370"/>
      <c r="J5" s="534" t="s">
        <v>48</v>
      </c>
      <c r="K5" s="535"/>
      <c r="L5" s="535"/>
      <c r="M5" s="536"/>
      <c r="N5" s="478" t="s">
        <v>105</v>
      </c>
      <c r="O5" s="479"/>
      <c r="P5" s="479"/>
      <c r="Q5" s="480"/>
      <c r="R5" s="47"/>
      <c r="S5" s="104"/>
      <c r="U5" s="135"/>
      <c r="Z5" s="99"/>
    </row>
    <row r="6" spans="1:26" ht="15" customHeight="1">
      <c r="A6" s="102"/>
      <c r="B6" s="97"/>
      <c r="C6" s="20" t="s">
        <v>30</v>
      </c>
      <c r="D6" s="128" t="str">
        <f>IF(ISNUMBER(Bwse),Bwse,"-")</f>
        <v>-</v>
      </c>
      <c r="E6" s="7" t="s">
        <v>62</v>
      </c>
      <c r="F6" s="97"/>
      <c r="G6" s="20" t="s">
        <v>37</v>
      </c>
      <c r="H6" s="367" t="str">
        <f>IF(ISTEXT(MB),MB,"-")</f>
        <v>-</v>
      </c>
      <c r="I6" s="368"/>
      <c r="J6" s="61" t="s">
        <v>106</v>
      </c>
      <c r="K6" s="128" t="str">
        <f>IF(ISNUMBER(Tse),Tse,"-")</f>
        <v>-</v>
      </c>
      <c r="L6" s="62" t="s">
        <v>107</v>
      </c>
      <c r="M6" s="202" t="str">
        <f>IF(ISNUMBER(Tme),Tme,"-")</f>
        <v>-</v>
      </c>
      <c r="N6" s="58" t="s">
        <v>103</v>
      </c>
      <c r="O6" s="203" t="str">
        <f>IF(ISNUMBER(Tse),Tse-50,"-")</f>
        <v>-</v>
      </c>
      <c r="P6" s="20" t="s">
        <v>104</v>
      </c>
      <c r="Q6" s="203" t="str">
        <f>IF(ISNUMBER(Tse),Tse+50,"-")</f>
        <v>-</v>
      </c>
      <c r="R6" s="47"/>
      <c r="S6" s="104"/>
      <c r="U6" s="135"/>
      <c r="Z6" s="99"/>
    </row>
    <row r="7" spans="1:26" ht="15" customHeight="1">
      <c r="A7" s="102"/>
      <c r="B7" s="102"/>
      <c r="C7" s="16" t="s">
        <v>31</v>
      </c>
      <c r="D7" s="112"/>
      <c r="E7" s="8" t="s">
        <v>4</v>
      </c>
      <c r="F7" s="102"/>
      <c r="G7" s="94" t="s">
        <v>35</v>
      </c>
      <c r="H7" s="204" t="str">
        <f>IF(ISNUMBER(Y),Y,"-")</f>
        <v>-</v>
      </c>
      <c r="I7" s="114"/>
      <c r="J7" s="102"/>
      <c r="K7" s="14" t="s">
        <v>97</v>
      </c>
      <c r="L7" s="205" t="str">
        <f>IF(ISNUMBER(Qse),Qse,"-")</f>
        <v>-</v>
      </c>
      <c r="M7" s="104" t="s">
        <v>46</v>
      </c>
      <c r="N7" s="18" t="s">
        <v>97</v>
      </c>
      <c r="O7" s="206" t="str">
        <f>IF(ISNUMBER(Qse),0.002837*vise*((Tsl+460)/Mwe/Ps_1)^0.2949,"-")</f>
        <v>-</v>
      </c>
      <c r="P7" s="18" t="s">
        <v>97</v>
      </c>
      <c r="Q7" s="206" t="str">
        <f>IF(ISNUMBER(Qse),0.002837*vise*((Tsh+460)/Mwe/Ps_1)^0.2949,"-")</f>
        <v>-</v>
      </c>
      <c r="R7" s="47"/>
      <c r="S7" s="104"/>
      <c r="U7" s="135"/>
      <c r="Z7" s="99"/>
    </row>
    <row r="8" spans="1:26" ht="15" customHeight="1">
      <c r="A8" s="102"/>
      <c r="B8" s="102"/>
      <c r="C8" s="16" t="s">
        <v>32</v>
      </c>
      <c r="D8" s="112"/>
      <c r="E8" s="8" t="s">
        <v>50</v>
      </c>
      <c r="F8" s="102"/>
      <c r="G8" s="117" t="s">
        <v>36</v>
      </c>
      <c r="H8" s="207" t="str">
        <f>IF(ISNUMBER(dHa),dHa,"-")</f>
        <v>-</v>
      </c>
      <c r="I8" s="8" t="s">
        <v>50</v>
      </c>
      <c r="J8" s="102"/>
      <c r="K8" s="15" t="s">
        <v>98</v>
      </c>
      <c r="L8" s="208" t="str">
        <f>IF(ISNUMBER(vise),vise,"-")</f>
        <v>-</v>
      </c>
      <c r="M8" s="34" t="s">
        <v>99</v>
      </c>
      <c r="N8" s="59" t="s">
        <v>98</v>
      </c>
      <c r="O8" s="209" t="str">
        <f>IF(ISNUMBER(Tsl),-150.3162+13.4622*SQRT(Tsl+460)+3861530/(Tsl+460)^2+0.591123*(1-Bwse/100)*OO/100-91.9723*Bwse/100+0.0000151761*Bwse/100*(Tsl+460)^2,"-")</f>
        <v>-</v>
      </c>
      <c r="P8" s="19" t="s">
        <v>98</v>
      </c>
      <c r="Q8" s="209" t="str">
        <f>IF(ISNUMBER(Tsh),-150.3162+13.4622*SQRT(Tsh+460)+3861530/(Tsh+460)^2+0.591123*(1-Bwse/100)*OO/100-91.9723*Bwse/100+0.0000151761*Bwse/100*(Tsh+460)^2,"-")</f>
        <v>-</v>
      </c>
      <c r="R8" s="47"/>
      <c r="S8" s="104"/>
      <c r="U8" s="135"/>
      <c r="Z8" s="99"/>
    </row>
    <row r="9" spans="1:26" ht="15" customHeight="1" thickBot="1">
      <c r="A9" s="102"/>
      <c r="B9" s="102"/>
      <c r="C9" s="16" t="s">
        <v>33</v>
      </c>
      <c r="D9" s="115" t="str">
        <f>IF(AND(ISNUMBER(Pg_1),ISNUMBER(Pbar_1)),Pbar_1+Pg_1/13.6,"-")</f>
        <v>-</v>
      </c>
      <c r="E9" s="8" t="s">
        <v>4</v>
      </c>
      <c r="F9" s="122" t="s">
        <v>84</v>
      </c>
      <c r="G9" s="204" t="str">
        <f>IF(ISNUMBER(Cpp),Cpp,"-")</f>
        <v>-</v>
      </c>
      <c r="H9" s="124" t="s">
        <v>95</v>
      </c>
      <c r="I9" s="210" t="str">
        <f>IF(OR(ISNUMBER('Pre-Test'!R11),ISTEXT('Pre-Test'!R11)),'Pre-Test'!R11,"-")</f>
        <v>-</v>
      </c>
      <c r="J9" s="211"/>
      <c r="K9" s="26" t="s">
        <v>101</v>
      </c>
      <c r="L9" s="212" t="str">
        <f>IF(ISNUMBER(dHe),dHe,"-")</f>
        <v>-</v>
      </c>
      <c r="M9" s="309" t="s">
        <v>271</v>
      </c>
      <c r="N9" s="60" t="s">
        <v>101</v>
      </c>
      <c r="O9" s="213" t="str">
        <f>IF(ISNUMBER(dHe),(Qse*(1-Bwse/100)*Ps_1/(Tsl+460))^2*(Tme+460)*Md*(1.083)*dHa/Pbar_1,"-")</f>
        <v>-</v>
      </c>
      <c r="P9" s="21" t="s">
        <v>101</v>
      </c>
      <c r="Q9" s="213" t="str">
        <f>IF(ISNUMBER(dHe),(Qse*(1-Bwse/100)*Ps_1/(Tsh+460))^2*(Tme+460)*Md*(1.083)*dHa/Pbar_1,"-")</f>
        <v>-</v>
      </c>
      <c r="R9" s="47"/>
      <c r="S9" s="104"/>
      <c r="U9" s="135"/>
      <c r="Z9" s="99"/>
    </row>
    <row r="10" spans="1:26" ht="15" customHeight="1" thickBot="1">
      <c r="A10" s="102"/>
      <c r="B10" s="102"/>
      <c r="C10" s="16" t="s">
        <v>230</v>
      </c>
      <c r="D10" s="115" t="str">
        <f>IF(ISNUMBER(COO),COO,"-")</f>
        <v>-</v>
      </c>
      <c r="E10" s="9" t="s">
        <v>6</v>
      </c>
      <c r="F10" s="122" t="s">
        <v>34</v>
      </c>
      <c r="G10" s="214" t="str">
        <f>IF(ISNUMBER(Cp),Cp,"-")</f>
        <v>-</v>
      </c>
      <c r="H10" s="124" t="s">
        <v>95</v>
      </c>
      <c r="I10" s="210" t="str">
        <f>IF(OR(ISNUMBER('Pre-Test'!R11),ISTEXT('Pre-Test'!R11)),'Pre-Test'!R11,"-")</f>
        <v>-</v>
      </c>
      <c r="J10" s="470" t="s">
        <v>43</v>
      </c>
      <c r="K10" s="471"/>
      <c r="L10" s="471"/>
      <c r="M10" s="471"/>
      <c r="N10" s="471"/>
      <c r="O10" s="471"/>
      <c r="P10" s="472"/>
      <c r="Q10" s="473"/>
      <c r="R10" s="47"/>
      <c r="S10" s="104"/>
    </row>
    <row r="11" spans="1:26" ht="15" customHeight="1" thickBot="1">
      <c r="A11" s="102"/>
      <c r="B11" s="102"/>
      <c r="C11" s="16" t="s">
        <v>231</v>
      </c>
      <c r="D11" s="215" t="str">
        <f>IF(ISNUMBER(OO),OO,"-")</f>
        <v>-</v>
      </c>
      <c r="E11" s="9" t="s">
        <v>6</v>
      </c>
      <c r="F11" s="102"/>
      <c r="G11" s="16" t="s">
        <v>100</v>
      </c>
      <c r="H11" s="216" t="str">
        <f>IF(ISNUMBER(Dn),Dn,"-")</f>
        <v>-</v>
      </c>
      <c r="I11" s="129" t="s">
        <v>49</v>
      </c>
      <c r="J11" s="97"/>
      <c r="K11" s="20" t="s">
        <v>28</v>
      </c>
      <c r="L11" s="474"/>
      <c r="M11" s="475"/>
      <c r="N11" s="481"/>
      <c r="O11" s="482"/>
      <c r="P11" s="78" t="s">
        <v>45</v>
      </c>
      <c r="Q11" s="217"/>
      <c r="R11" s="47"/>
      <c r="S11" s="104"/>
    </row>
    <row r="12" spans="1:26" ht="15" customHeight="1">
      <c r="A12" s="102"/>
      <c r="B12" s="102"/>
      <c r="C12" s="16" t="s">
        <v>232</v>
      </c>
      <c r="D12" s="115" t="str">
        <f>IF(ISNUMBER(NN),NN,"-")</f>
        <v>-</v>
      </c>
      <c r="E12" s="9" t="s">
        <v>6</v>
      </c>
      <c r="F12" s="218"/>
      <c r="G12" s="20" t="s">
        <v>38</v>
      </c>
      <c r="H12" s="219" t="str">
        <f>IF(ISNUMBER(A),A,"-")</f>
        <v>-</v>
      </c>
      <c r="I12" s="33" t="s">
        <v>39</v>
      </c>
      <c r="J12" s="102"/>
      <c r="K12" s="16" t="s">
        <v>29</v>
      </c>
      <c r="L12" s="521"/>
      <c r="M12" s="522"/>
      <c r="N12" s="519"/>
      <c r="O12" s="520"/>
      <c r="P12" s="47" t="s">
        <v>45</v>
      </c>
      <c r="Q12" s="220"/>
      <c r="R12" s="47"/>
      <c r="S12" s="104"/>
    </row>
    <row r="13" spans="1:26" ht="15" customHeight="1">
      <c r="A13" s="102"/>
      <c r="B13" s="102"/>
      <c r="C13" s="16" t="s">
        <v>228</v>
      </c>
      <c r="D13" s="215" t="str">
        <f>IF(ISNUMBER(Md),Md,"-")</f>
        <v>-</v>
      </c>
      <c r="E13" s="8" t="s">
        <v>3</v>
      </c>
      <c r="F13" s="102"/>
      <c r="G13" s="16" t="s">
        <v>40</v>
      </c>
      <c r="H13" s="113"/>
      <c r="I13" s="104" t="s">
        <v>51</v>
      </c>
      <c r="J13" s="221"/>
      <c r="K13" s="48" t="s">
        <v>237</v>
      </c>
      <c r="L13" s="521"/>
      <c r="M13" s="522"/>
      <c r="N13" s="519"/>
      <c r="O13" s="520"/>
      <c r="P13" s="79" t="s">
        <v>238</v>
      </c>
      <c r="Q13" s="104"/>
      <c r="R13" s="47"/>
      <c r="S13" s="104"/>
    </row>
    <row r="14" spans="1:26" ht="15" customHeight="1" thickBot="1">
      <c r="A14" s="102"/>
      <c r="B14" s="131"/>
      <c r="C14" s="26" t="s">
        <v>227</v>
      </c>
      <c r="D14" s="222" t="str">
        <f>IF(ISNUMBER(Mwe),Mwe,"-")</f>
        <v>-</v>
      </c>
      <c r="E14" s="10" t="s">
        <v>3</v>
      </c>
      <c r="F14" s="402" t="s">
        <v>139</v>
      </c>
      <c r="G14" s="403"/>
      <c r="H14" s="223"/>
      <c r="I14" s="126" t="s">
        <v>80</v>
      </c>
      <c r="J14" s="102"/>
      <c r="K14" s="16" t="s">
        <v>44</v>
      </c>
      <c r="L14" s="532" t="str">
        <f>IF(ISNUMBER(L13),(L12-L11)/L13,"-")</f>
        <v>-</v>
      </c>
      <c r="M14" s="533"/>
      <c r="N14" s="532" t="str">
        <f>IF(ISNUMBER(N13),(N12-N11)/N13,"-")</f>
        <v>-</v>
      </c>
      <c r="O14" s="551"/>
      <c r="P14" s="47" t="s">
        <v>46</v>
      </c>
      <c r="Q14" s="220"/>
      <c r="R14" s="47"/>
      <c r="S14" s="104"/>
      <c r="U14" s="99"/>
      <c r="Z14" s="99"/>
    </row>
    <row r="15" spans="1:26" ht="15" customHeight="1" thickBot="1">
      <c r="A15" s="102"/>
      <c r="B15" s="224"/>
      <c r="C15" s="225" t="s">
        <v>246</v>
      </c>
      <c r="D15" s="226">
        <f>IF(ISNUMBER(Tstd),Tstd,"-")</f>
        <v>528</v>
      </c>
      <c r="E15" s="69" t="s">
        <v>140</v>
      </c>
      <c r="F15" s="70"/>
      <c r="G15" s="70" t="s">
        <v>247</v>
      </c>
      <c r="H15" s="227">
        <f>IF(ISNUMBER(Pstd),Pstd,"-")</f>
        <v>29.92</v>
      </c>
      <c r="I15" s="71" t="s">
        <v>4</v>
      </c>
      <c r="J15" s="131"/>
      <c r="K15" s="26" t="s">
        <v>8</v>
      </c>
      <c r="L15" s="547"/>
      <c r="M15" s="548"/>
      <c r="N15" s="552"/>
      <c r="O15" s="553"/>
      <c r="P15" s="80" t="s">
        <v>47</v>
      </c>
      <c r="Q15" s="228"/>
      <c r="R15" s="47"/>
      <c r="S15" s="104"/>
      <c r="U15" s="99"/>
      <c r="Z15" s="99"/>
    </row>
    <row r="16" spans="1:26" ht="5.25" customHeight="1" thickBot="1">
      <c r="A16" s="102"/>
      <c r="B16" s="47"/>
      <c r="C16" s="47"/>
      <c r="D16" s="47"/>
      <c r="E16" s="47"/>
      <c r="F16" s="47"/>
      <c r="G16" s="47"/>
      <c r="H16" s="47"/>
      <c r="I16" s="47"/>
      <c r="J16" s="47"/>
      <c r="K16" s="16"/>
      <c r="L16" s="86"/>
      <c r="M16" s="17"/>
      <c r="N16" s="86"/>
      <c r="O16" s="17"/>
      <c r="P16" s="76"/>
      <c r="Q16" s="76"/>
      <c r="R16" s="47"/>
      <c r="S16" s="104"/>
    </row>
    <row r="17" spans="1:35" ht="15" customHeight="1" thickBot="1">
      <c r="A17" s="102"/>
      <c r="B17" s="523" t="s">
        <v>21</v>
      </c>
      <c r="C17" s="525" t="s">
        <v>261</v>
      </c>
      <c r="D17" s="530" t="s">
        <v>22</v>
      </c>
      <c r="E17" s="399"/>
      <c r="F17" s="11" t="s">
        <v>10</v>
      </c>
      <c r="G17" s="539" t="s">
        <v>57</v>
      </c>
      <c r="H17" s="540"/>
      <c r="I17" s="541"/>
      <c r="J17" s="499" t="s">
        <v>25</v>
      </c>
      <c r="K17" s="546"/>
      <c r="L17" s="229" t="s">
        <v>15</v>
      </c>
      <c r="M17" s="404" t="s">
        <v>60</v>
      </c>
      <c r="N17" s="549"/>
      <c r="O17" s="550"/>
      <c r="P17" s="17"/>
      <c r="Q17" s="58"/>
      <c r="R17" s="79"/>
      <c r="S17" s="104"/>
    </row>
    <row r="18" spans="1:35" ht="15" customHeight="1">
      <c r="A18" s="102"/>
      <c r="B18" s="524"/>
      <c r="C18" s="526"/>
      <c r="D18" s="531"/>
      <c r="E18" s="401"/>
      <c r="F18" s="12" t="s">
        <v>23</v>
      </c>
      <c r="G18" s="537" t="s">
        <v>20</v>
      </c>
      <c r="H18" s="538"/>
      <c r="I18" s="230"/>
      <c r="J18" s="544" t="s">
        <v>24</v>
      </c>
      <c r="K18" s="545"/>
      <c r="L18" s="231" t="s">
        <v>26</v>
      </c>
      <c r="M18" s="542" t="s">
        <v>61</v>
      </c>
      <c r="N18" s="543"/>
      <c r="O18" s="232" t="s">
        <v>56</v>
      </c>
      <c r="P18" s="486" t="s">
        <v>102</v>
      </c>
      <c r="Q18" s="457" t="s">
        <v>234</v>
      </c>
      <c r="R18" s="457" t="s">
        <v>235</v>
      </c>
      <c r="S18" s="104"/>
      <c r="U18" s="460" t="s">
        <v>146</v>
      </c>
      <c r="V18" s="459" t="s">
        <v>145</v>
      </c>
      <c r="W18" s="457" t="s">
        <v>236</v>
      </c>
      <c r="X18" s="486" t="s">
        <v>126</v>
      </c>
      <c r="Y18" s="483" t="s">
        <v>125</v>
      </c>
      <c r="Z18" s="488" t="s">
        <v>124</v>
      </c>
      <c r="AA18" s="483" t="s">
        <v>127</v>
      </c>
      <c r="AC18" s="460" t="s">
        <v>266</v>
      </c>
      <c r="AD18" s="460" t="s">
        <v>268</v>
      </c>
      <c r="AE18" s="457" t="s">
        <v>267</v>
      </c>
      <c r="AF18" s="457" t="s">
        <v>269</v>
      </c>
      <c r="AG18" s="457" t="s">
        <v>270</v>
      </c>
      <c r="AH18" s="459" t="s">
        <v>265</v>
      </c>
      <c r="AI18" s="459" t="s">
        <v>264</v>
      </c>
    </row>
    <row r="19" spans="1:35" ht="15" customHeight="1" thickBot="1">
      <c r="A19" s="102"/>
      <c r="B19" s="524"/>
      <c r="C19" s="527"/>
      <c r="D19" s="531"/>
      <c r="E19" s="401"/>
      <c r="F19" s="30" t="s">
        <v>85</v>
      </c>
      <c r="G19" s="233" t="s">
        <v>13</v>
      </c>
      <c r="H19" s="234" t="s">
        <v>14</v>
      </c>
      <c r="I19" s="230" t="s">
        <v>16</v>
      </c>
      <c r="J19" s="235" t="s">
        <v>11</v>
      </c>
      <c r="K19" s="236" t="s">
        <v>12</v>
      </c>
      <c r="L19" s="237" t="s">
        <v>9</v>
      </c>
      <c r="M19" s="238" t="s">
        <v>18</v>
      </c>
      <c r="N19" s="239" t="s">
        <v>17</v>
      </c>
      <c r="O19" s="230" t="s">
        <v>19</v>
      </c>
      <c r="P19" s="487"/>
      <c r="Q19" s="485"/>
      <c r="R19" s="485"/>
      <c r="S19" s="104"/>
      <c r="U19" s="461"/>
      <c r="V19" s="458"/>
      <c r="W19" s="485"/>
      <c r="X19" s="487"/>
      <c r="Y19" s="484"/>
      <c r="Z19" s="489"/>
      <c r="AA19" s="484"/>
      <c r="AC19" s="461"/>
      <c r="AD19" s="462"/>
      <c r="AE19" s="458"/>
      <c r="AF19" s="458"/>
      <c r="AG19" s="458"/>
      <c r="AH19" s="458"/>
      <c r="AI19" s="458"/>
    </row>
    <row r="20" spans="1:35" ht="15" customHeight="1">
      <c r="A20" s="102"/>
      <c r="B20" s="310">
        <v>1</v>
      </c>
      <c r="C20" s="96" t="str">
        <f>IF(ISNUMBER(F20),MAX(ROUND(Cp/Cpp*U20/'Pre-Test'!$U$46*Tr_1*4/N_1,0)/4,2),"-")</f>
        <v>-</v>
      </c>
      <c r="D20" s="515"/>
      <c r="E20" s="515"/>
      <c r="F20" s="148"/>
      <c r="G20" s="240"/>
      <c r="H20" s="240"/>
      <c r="I20" s="241"/>
      <c r="J20" s="149" t="str">
        <f>IF(ISNUMBER(I20),(Qse*(1-Bwse/100)*Ps_1/(I20+460))^2*1.083*(H20+460)*Md*dHa/Pbar_1,dHe)</f>
        <v>-</v>
      </c>
      <c r="K20" s="148"/>
      <c r="L20" s="242"/>
      <c r="M20" s="242"/>
      <c r="N20" s="242"/>
      <c r="O20" s="242"/>
      <c r="P20" s="243" t="str">
        <f>IF(ISNUMBER(D21),((D21-D20)*Y*(I20+460)/(AVERAGE(G20:H20)+460)*(Pbar_1+K20/13.6)/Ps_1)/(1-Bwse/100)/C20,"-")</f>
        <v>-</v>
      </c>
      <c r="Q20" s="29" t="str">
        <f>IF(ISNUMBER(P20),0.15625*((I20+460)/Mwe/Ps_1)^0.2091*(Y20/P20)^0.7091,"-")</f>
        <v>-</v>
      </c>
      <c r="R20" s="96" t="str">
        <f>IF(ISNUMBER(P20),IF(Z20&lt;3162,0.0024302*(Y20/P20)^1.1791*SQRT(1/AA20)*((I20+460)/Ps_1/Mwe)^0.679,0.019723*(Y20/P20)^0.8058*SQRT(1/AA20)*((I20+460)/Ps_1/Mwe)^0.3058),"-")</f>
        <v>-</v>
      </c>
      <c r="S20" s="104"/>
      <c r="U20" s="244" t="str">
        <f>IF(ISNUMBER(F20),SQRT(F20),"-")</f>
        <v>-</v>
      </c>
      <c r="V20" s="245" t="str">
        <f>IF(ISNUMBER(U20),85.49*Cp*U20*SQRT((I20+460)/Ps_1/Mwe),"-")</f>
        <v>-</v>
      </c>
      <c r="W20" s="84" t="str">
        <f>IF(ISNUMBER(D21),Tstd/Pstd*Y*(D21-D20)*(Pbar_1+K20/13.6)/(AVERAGE(G20:H20)+460),"-")</f>
        <v>-</v>
      </c>
      <c r="X20" s="72" t="str">
        <f>IF(ISNUMBER(W20),W20/C20,"-")</f>
        <v>-</v>
      </c>
      <c r="Y20" s="29" t="str">
        <f>IF(ISNUMBER(I20),-150.3162+13.4622*SQRT(I20+460)+3861530/(I20+460)^2+0.591123*(1-Bwse/100)*OO-91.9723*Bwse/100+0.0000151761*Bwse/100*(I20+460)^2,"-")</f>
        <v>-</v>
      </c>
      <c r="Z20" s="29" t="str">
        <f>IF(ISNUMBER(Y20),864000*Ps_1*Mwe/(I20+460)*P20/Y20,"-")</f>
        <v>-</v>
      </c>
      <c r="AA20" s="32" t="str">
        <f>IF(ISNUMBER(Y20),1+0.0057193*(Y20/Ps_1/(IF(ISNUMBER(R20),R20,2.5))*SQRT((I20+460)/Mwe)),"-")</f>
        <v>-</v>
      </c>
      <c r="AC20" s="244" t="str">
        <f t="shared" ref="AC20:AC43" si="0">IF(ISNUMBER(AF20),0.00013686*Ps_1*Mwe*(AF20)^2/(I20+460)/Cp^2,"-")</f>
        <v>-</v>
      </c>
      <c r="AD20" s="302" t="str">
        <f t="shared" ref="AD20:AD43" si="1">IF(ISNUMBER(AG20),0.00013686*Ps_1*Mwe*(AG20)^2/(I20+460)/Cp^2,"-")</f>
        <v>-</v>
      </c>
      <c r="AE20" s="152" t="str">
        <f t="shared" ref="AE20:AE43" si="2">IF(ISNUMBER(P20),3.055775*P20/(Dn)^2,"-")</f>
        <v>-</v>
      </c>
      <c r="AF20" s="152" t="str">
        <f>IF(ISNUMBER(AH20),AE20*AH20,"-")</f>
        <v>-</v>
      </c>
      <c r="AG20" s="152" t="str">
        <f>IF(ISNUMBER(AI20),AE20*AI20,"-")</f>
        <v>-</v>
      </c>
      <c r="AH20" s="152" t="str">
        <f>IF(ISNUMBER(AE20),IF((0.2603*Y20*SQRT(P20))/(AE20)^1.5&gt;0.3072,0.5,(0.2457+SQRT(0.3072-(0.2603*Y20*SQRT(P20))/(AE20)^1.5))),"-")</f>
        <v>-</v>
      </c>
      <c r="AI20" s="305" t="str">
        <f>IF(ISNUMBER(AE20),IF((0.4457+SQRT(0.569+(0.2603*Y20*SQRT(P20))/(AE20)^1.5))&gt;1.5,1.5,(0.4457+SQRT(0.569+(0.2603*Y20*SQRT(P20))/(AE20)^1.5))),"-")</f>
        <v>-</v>
      </c>
    </row>
    <row r="21" spans="1:35" ht="15" customHeight="1">
      <c r="A21" s="102"/>
      <c r="B21" s="311">
        <v>2</v>
      </c>
      <c r="C21" s="27" t="str">
        <f>IF(2&gt;N_1,"-",IF(ISNUMBER(F21),MAX(ROUND(Cp/Cpp*U21/'Pre-Test'!$U$46*Tr_1*4/N_1,0)/4,2)+C20,"-"))</f>
        <v>-</v>
      </c>
      <c r="D21" s="516"/>
      <c r="E21" s="516"/>
      <c r="F21" s="158"/>
      <c r="G21" s="246"/>
      <c r="H21" s="246"/>
      <c r="I21" s="247"/>
      <c r="J21" s="159" t="str">
        <f>IF(ISNUMBER(I21),(Qse*(1-Bwse/100)*Ps_1/(I21+460))^2*1.083*(H21+460)*Md*dHa/Pbar_1,"-")</f>
        <v>-</v>
      </c>
      <c r="K21" s="158"/>
      <c r="L21" s="247"/>
      <c r="M21" s="247"/>
      <c r="N21" s="247"/>
      <c r="O21" s="247"/>
      <c r="P21" s="248" t="str">
        <f>IF(ISNUMBER(D22),((D22-D21)*Y*(I21+460)/(AVERAGE(G21:H21)+460)*(Pbar_1+K21/13.6)/Ps_1)/(1-Bwse/100)/(C21-C20),"-")</f>
        <v>-</v>
      </c>
      <c r="Q21" s="27" t="str">
        <f>IF(ISNUMBER(P21),0.15625*((I21+460)/Mwe/Ps_1)^0.2091*(Y21/P21)^0.7091,"-")</f>
        <v>-</v>
      </c>
      <c r="R21" s="27" t="str">
        <f>IF(ISNUMBER(P21),IF(Z21&lt;3162,0.0024302*(Y21/P21)^1.1791*SQRT(1/AA21)*((I21+460)/Ps_1/Mwe)^0.679,0.019723*(Y21/P21)^0.8058*SQRT(1/AA21)*((I21+460)/Ps_1/Mwe)^0.3058),"-")</f>
        <v>-</v>
      </c>
      <c r="S21" s="104"/>
      <c r="U21" s="249" t="str">
        <f t="shared" ref="U21:U42" si="3">IF(ISNUMBER(F21),SQRT(F21),"-")</f>
        <v>-</v>
      </c>
      <c r="V21" s="162" t="str">
        <f>IF(ISNUMBER(U21),85.49*Cp*U21*SQRT((I21+460)/Ps_1/Mwe),"-")</f>
        <v>-</v>
      </c>
      <c r="W21" s="73" t="str">
        <f>IF(ISNUMBER(D22),Tstd/Pstd*Y*(D22-D21)*(Pbar_1+K21/13.6)/(AVERAGE(G21:H21)+460),"-")</f>
        <v>-</v>
      </c>
      <c r="X21" s="73" t="str">
        <f>IF(ISNUMBER(W21),W21/(C21-C20),"-")</f>
        <v>-</v>
      </c>
      <c r="Y21" s="27" t="str">
        <f>IF(ISNUMBER(I21),-150.3162+13.4622*SQRT(I21+460)+3861530/(I21+460)^2+0.591123*(1-Bwse/100)*OO-91.9723*Bwse/100+0.0000151761*Bwse/100*(I21+460)^2,"-")</f>
        <v>-</v>
      </c>
      <c r="Z21" s="27" t="str">
        <f>IF(ISNUMBER(Y21),864000*Ps_1*Mwe/(I21+460)*P21/Y21,"-")</f>
        <v>-</v>
      </c>
      <c r="AA21" s="28" t="str">
        <f>IF(ISNUMBER(Y21),1+0.0057193*(Y21/Ps_1/(IF(ISNUMBER(R21),R21,2.5))*SQRT((I21+460)/Mwe)),"-")</f>
        <v>-</v>
      </c>
      <c r="AC21" s="249" t="str">
        <f t="shared" si="0"/>
        <v>-</v>
      </c>
      <c r="AD21" s="303" t="str">
        <f t="shared" si="1"/>
        <v>-</v>
      </c>
      <c r="AE21" s="162" t="str">
        <f t="shared" si="2"/>
        <v>-</v>
      </c>
      <c r="AF21" s="162" t="str">
        <f t="shared" ref="AF21:AF43" si="4">IF(ISNUMBER(AH21),AE21*AH21,"-")</f>
        <v>-</v>
      </c>
      <c r="AG21" s="162" t="str">
        <f t="shared" ref="AG21:AG43" si="5">IF(ISNUMBER(AI21),AE21*AI21,"-")</f>
        <v>-</v>
      </c>
      <c r="AH21" s="162" t="str">
        <f t="shared" ref="AH21:AH43" si="6">IF(ISNUMBER(AE21),IF((0.2603*Y21*SQRT(P21))/(AE21)^1.5&gt;0.3072,0.5,(0.2457+SQRT(0.3072-(0.2603*Y21*SQRT(P21))/(AE21)^1.5))),"-")</f>
        <v>-</v>
      </c>
      <c r="AI21" s="306" t="str">
        <f t="shared" ref="AI21:AI43" si="7">IF(ISNUMBER(AE21),IF((0.4457+SQRT(0.569+(0.2603*Y21*SQRT(P21))/(AE21)^1.5))&gt;1.5,1.5,(0.4457+SQRT(0.569+(0.2603*Y21*SQRT(P21))/(AE21)^1.5))),"-")</f>
        <v>-</v>
      </c>
    </row>
    <row r="22" spans="1:35" ht="15" customHeight="1">
      <c r="A22" s="102"/>
      <c r="B22" s="311">
        <v>3</v>
      </c>
      <c r="C22" s="27" t="str">
        <f>IF(3&gt;N_1,"-",IF(ISNUMBER(F22),MAX(ROUND(Cp/Cpp*U22/'Pre-Test'!$U$46*Tr_1*4/N_1,0)/4,2)+C21,"-"))</f>
        <v>-</v>
      </c>
      <c r="D22" s="516"/>
      <c r="E22" s="516"/>
      <c r="F22" s="158"/>
      <c r="G22" s="246"/>
      <c r="H22" s="246"/>
      <c r="I22" s="247"/>
      <c r="J22" s="159" t="str">
        <f t="shared" ref="J22:J43" si="8">IF(ISNUMBER(I22),(Qse*(1-Bwse/100)*Ps_1/(I22+460))^2*1.083*(H22+460)*Md*dHa/Pbar_1,"-")</f>
        <v>-</v>
      </c>
      <c r="K22" s="158"/>
      <c r="L22" s="247"/>
      <c r="M22" s="247"/>
      <c r="N22" s="247"/>
      <c r="O22" s="247"/>
      <c r="P22" s="248" t="str">
        <f t="shared" ref="P22:P43" si="9">IF(ISNUMBER(D23),((D23-D22)*Y*(I22+460)/(AVERAGE(G22:H22)+460)*(Pbar_1+K22/13.6)/Ps_1)/(1-Bwse/100)/(C22-C21),"-")</f>
        <v>-</v>
      </c>
      <c r="Q22" s="27" t="str">
        <f t="shared" ref="Q22:Q43" si="10">IF(ISNUMBER(P22),0.15625*((I22+460)/Mwe/Ps_1)^0.2091*(Y22/P22)^0.7091,"-")</f>
        <v>-</v>
      </c>
      <c r="R22" s="27" t="str">
        <f t="shared" ref="R22:R43" si="11">IF(ISNUMBER(P22),IF(Z22&lt;3162,0.0024302*(Y22/P22)^1.1791*SQRT(1/AA22)*((I22+460)/Ps_1/Mwe)^0.679,0.019723*(Y22/P22)^0.8058*SQRT(1/AA22)*((I22+460)/Ps_1/Mwe)^0.3058),"-")</f>
        <v>-</v>
      </c>
      <c r="S22" s="104"/>
      <c r="U22" s="249" t="str">
        <f t="shared" si="3"/>
        <v>-</v>
      </c>
      <c r="V22" s="162" t="str">
        <f t="shared" ref="V22:V43" si="12">IF(ISNUMBER(U22),85.49*Cp*U22*SQRT((I22+460)/Ps_1/Mwe),"-")</f>
        <v>-</v>
      </c>
      <c r="W22" s="73" t="str">
        <f t="shared" ref="W22:W43" si="13">IF(ISNUMBER(D23),Tstd/Pstd*Y*(D23-D22)*(Pbar_1+K22/13.6)/(AVERAGE(G22:H22)+460),"-")</f>
        <v>-</v>
      </c>
      <c r="X22" s="73" t="str">
        <f>IF(ISNUMBER(W22),W22/(C22-C21),"-")</f>
        <v>-</v>
      </c>
      <c r="Y22" s="27" t="str">
        <f t="shared" ref="Y22:Y43" si="14">IF(ISNUMBER(I22),-150.3162+13.4622*SQRT(I22+460)+3861530/(I22+460)^2+0.591123*(1-Bwse/100)*OO-91.9723*Bwse/100+0.0000151761*Bwse/100*(I22+460)^2,"-")</f>
        <v>-</v>
      </c>
      <c r="Z22" s="27" t="str">
        <f t="shared" ref="Z22:Z43" si="15">IF(ISNUMBER(Y22),864000*Ps_1*Mwe/(I22+460)*P22/Y22,"-")</f>
        <v>-</v>
      </c>
      <c r="AA22" s="28" t="str">
        <f t="shared" ref="AA22:AA43" si="16">IF(ISNUMBER(Y22),1+0.0057193*(Y22/Ps_1/(IF(ISNUMBER(R22),R22,2.5))*SQRT((I22+460)/Mwe)),"-")</f>
        <v>-</v>
      </c>
      <c r="AC22" s="249" t="str">
        <f t="shared" si="0"/>
        <v>-</v>
      </c>
      <c r="AD22" s="303" t="str">
        <f t="shared" si="1"/>
        <v>-</v>
      </c>
      <c r="AE22" s="162" t="str">
        <f t="shared" si="2"/>
        <v>-</v>
      </c>
      <c r="AF22" s="162" t="str">
        <f t="shared" si="4"/>
        <v>-</v>
      </c>
      <c r="AG22" s="162" t="str">
        <f t="shared" si="5"/>
        <v>-</v>
      </c>
      <c r="AH22" s="162" t="str">
        <f t="shared" si="6"/>
        <v>-</v>
      </c>
      <c r="AI22" s="306" t="str">
        <f t="shared" si="7"/>
        <v>-</v>
      </c>
    </row>
    <row r="23" spans="1:35" ht="15" customHeight="1">
      <c r="A23" s="102"/>
      <c r="B23" s="311">
        <v>4</v>
      </c>
      <c r="C23" s="27" t="str">
        <f>IF(4&gt;N_1,"-",IF(ISNUMBER(F23),MAX(ROUND(Cp/Cpp*U23/'Pre-Test'!$U$46*Tr_1*4/N_1,0)/4,2)+C22,"-"))</f>
        <v>-</v>
      </c>
      <c r="D23" s="516"/>
      <c r="E23" s="516"/>
      <c r="F23" s="158"/>
      <c r="G23" s="246"/>
      <c r="H23" s="246"/>
      <c r="I23" s="247"/>
      <c r="J23" s="159" t="str">
        <f t="shared" si="8"/>
        <v>-</v>
      </c>
      <c r="K23" s="158"/>
      <c r="L23" s="247"/>
      <c r="M23" s="247"/>
      <c r="N23" s="247"/>
      <c r="O23" s="247"/>
      <c r="P23" s="248" t="str">
        <f t="shared" si="9"/>
        <v>-</v>
      </c>
      <c r="Q23" s="27" t="str">
        <f t="shared" si="10"/>
        <v>-</v>
      </c>
      <c r="R23" s="27" t="str">
        <f t="shared" si="11"/>
        <v>-</v>
      </c>
      <c r="S23" s="104"/>
      <c r="U23" s="249" t="str">
        <f t="shared" si="3"/>
        <v>-</v>
      </c>
      <c r="V23" s="162" t="str">
        <f t="shared" si="12"/>
        <v>-</v>
      </c>
      <c r="W23" s="73" t="str">
        <f t="shared" si="13"/>
        <v>-</v>
      </c>
      <c r="X23" s="73" t="str">
        <f t="shared" ref="X23:X43" si="17">IF(ISNUMBER(W23),W23/(C23-C22),"-")</f>
        <v>-</v>
      </c>
      <c r="Y23" s="27" t="str">
        <f t="shared" si="14"/>
        <v>-</v>
      </c>
      <c r="Z23" s="27" t="str">
        <f t="shared" si="15"/>
        <v>-</v>
      </c>
      <c r="AA23" s="28" t="str">
        <f t="shared" si="16"/>
        <v>-</v>
      </c>
      <c r="AC23" s="249" t="str">
        <f t="shared" si="0"/>
        <v>-</v>
      </c>
      <c r="AD23" s="303" t="str">
        <f t="shared" si="1"/>
        <v>-</v>
      </c>
      <c r="AE23" s="162" t="str">
        <f t="shared" si="2"/>
        <v>-</v>
      </c>
      <c r="AF23" s="162" t="str">
        <f t="shared" si="4"/>
        <v>-</v>
      </c>
      <c r="AG23" s="162" t="str">
        <f t="shared" si="5"/>
        <v>-</v>
      </c>
      <c r="AH23" s="162" t="str">
        <f t="shared" si="6"/>
        <v>-</v>
      </c>
      <c r="AI23" s="306" t="str">
        <f t="shared" si="7"/>
        <v>-</v>
      </c>
    </row>
    <row r="24" spans="1:35" ht="15" customHeight="1">
      <c r="A24" s="102"/>
      <c r="B24" s="311">
        <v>5</v>
      </c>
      <c r="C24" s="27" t="str">
        <f>IF(5&gt;N_1,"-",IF(ISNUMBER(F24),MAX(ROUND(Cp/Cpp*U24/'Pre-Test'!$U$46*Tr_1*4/N_1,0)/4,2)+C23,"-"))</f>
        <v>-</v>
      </c>
      <c r="D24" s="516"/>
      <c r="E24" s="516"/>
      <c r="F24" s="158"/>
      <c r="G24" s="246"/>
      <c r="H24" s="246"/>
      <c r="I24" s="247"/>
      <c r="J24" s="159" t="str">
        <f t="shared" si="8"/>
        <v>-</v>
      </c>
      <c r="K24" s="158"/>
      <c r="L24" s="247"/>
      <c r="M24" s="247"/>
      <c r="N24" s="247"/>
      <c r="O24" s="247"/>
      <c r="P24" s="248" t="str">
        <f t="shared" si="9"/>
        <v>-</v>
      </c>
      <c r="Q24" s="27" t="str">
        <f t="shared" si="10"/>
        <v>-</v>
      </c>
      <c r="R24" s="27" t="str">
        <f t="shared" si="11"/>
        <v>-</v>
      </c>
      <c r="S24" s="104"/>
      <c r="U24" s="249" t="str">
        <f t="shared" si="3"/>
        <v>-</v>
      </c>
      <c r="V24" s="162" t="str">
        <f t="shared" si="12"/>
        <v>-</v>
      </c>
      <c r="W24" s="73" t="str">
        <f t="shared" si="13"/>
        <v>-</v>
      </c>
      <c r="X24" s="73" t="str">
        <f t="shared" si="17"/>
        <v>-</v>
      </c>
      <c r="Y24" s="27" t="str">
        <f t="shared" si="14"/>
        <v>-</v>
      </c>
      <c r="Z24" s="27" t="str">
        <f t="shared" si="15"/>
        <v>-</v>
      </c>
      <c r="AA24" s="28" t="str">
        <f t="shared" si="16"/>
        <v>-</v>
      </c>
      <c r="AC24" s="249" t="str">
        <f t="shared" si="0"/>
        <v>-</v>
      </c>
      <c r="AD24" s="303" t="str">
        <f t="shared" si="1"/>
        <v>-</v>
      </c>
      <c r="AE24" s="162" t="str">
        <f t="shared" si="2"/>
        <v>-</v>
      </c>
      <c r="AF24" s="162" t="str">
        <f t="shared" si="4"/>
        <v>-</v>
      </c>
      <c r="AG24" s="162" t="str">
        <f t="shared" si="5"/>
        <v>-</v>
      </c>
      <c r="AH24" s="162" t="str">
        <f t="shared" si="6"/>
        <v>-</v>
      </c>
      <c r="AI24" s="306" t="str">
        <f t="shared" si="7"/>
        <v>-</v>
      </c>
    </row>
    <row r="25" spans="1:35" ht="15" customHeight="1">
      <c r="A25" s="102"/>
      <c r="B25" s="311">
        <v>6</v>
      </c>
      <c r="C25" s="27" t="str">
        <f>IF(6&gt;N_1,"-",IF(ISNUMBER(F25),MAX(ROUND(Cp/Cpp*U25/'Pre-Test'!$U$46*Tr_1*4/N_1,0)/4,2)+C24,"-"))</f>
        <v>-</v>
      </c>
      <c r="D25" s="516"/>
      <c r="E25" s="516"/>
      <c r="F25" s="158"/>
      <c r="G25" s="246"/>
      <c r="H25" s="246"/>
      <c r="I25" s="247"/>
      <c r="J25" s="159" t="str">
        <f t="shared" si="8"/>
        <v>-</v>
      </c>
      <c r="K25" s="158"/>
      <c r="L25" s="247"/>
      <c r="M25" s="247"/>
      <c r="N25" s="247"/>
      <c r="O25" s="247"/>
      <c r="P25" s="248" t="str">
        <f t="shared" si="9"/>
        <v>-</v>
      </c>
      <c r="Q25" s="27" t="str">
        <f t="shared" si="10"/>
        <v>-</v>
      </c>
      <c r="R25" s="27" t="str">
        <f t="shared" si="11"/>
        <v>-</v>
      </c>
      <c r="S25" s="104"/>
      <c r="U25" s="249" t="str">
        <f t="shared" si="3"/>
        <v>-</v>
      </c>
      <c r="V25" s="162" t="str">
        <f t="shared" si="12"/>
        <v>-</v>
      </c>
      <c r="W25" s="73" t="str">
        <f t="shared" si="13"/>
        <v>-</v>
      </c>
      <c r="X25" s="73" t="str">
        <f t="shared" si="17"/>
        <v>-</v>
      </c>
      <c r="Y25" s="27" t="str">
        <f t="shared" si="14"/>
        <v>-</v>
      </c>
      <c r="Z25" s="27" t="str">
        <f t="shared" si="15"/>
        <v>-</v>
      </c>
      <c r="AA25" s="28" t="str">
        <f t="shared" si="16"/>
        <v>-</v>
      </c>
      <c r="AC25" s="249" t="str">
        <f t="shared" si="0"/>
        <v>-</v>
      </c>
      <c r="AD25" s="303" t="str">
        <f t="shared" si="1"/>
        <v>-</v>
      </c>
      <c r="AE25" s="162" t="str">
        <f t="shared" si="2"/>
        <v>-</v>
      </c>
      <c r="AF25" s="162" t="str">
        <f t="shared" si="4"/>
        <v>-</v>
      </c>
      <c r="AG25" s="162" t="str">
        <f t="shared" si="5"/>
        <v>-</v>
      </c>
      <c r="AH25" s="162" t="str">
        <f t="shared" si="6"/>
        <v>-</v>
      </c>
      <c r="AI25" s="306" t="str">
        <f t="shared" si="7"/>
        <v>-</v>
      </c>
    </row>
    <row r="26" spans="1:35" ht="15" customHeight="1">
      <c r="A26" s="102"/>
      <c r="B26" s="311">
        <v>7</v>
      </c>
      <c r="C26" s="27" t="str">
        <f>IF(7&gt;N_1,"-",IF(ISNUMBER(F26),MAX(ROUND(Cp/Cpp*U26/'Pre-Test'!$U$46*Tr_1*4/N_1,0)/4,2)+C25,"-"))</f>
        <v>-</v>
      </c>
      <c r="D26" s="516"/>
      <c r="E26" s="516"/>
      <c r="F26" s="158"/>
      <c r="G26" s="246"/>
      <c r="H26" s="246"/>
      <c r="I26" s="247"/>
      <c r="J26" s="159" t="str">
        <f t="shared" si="8"/>
        <v>-</v>
      </c>
      <c r="K26" s="158"/>
      <c r="L26" s="247"/>
      <c r="M26" s="247"/>
      <c r="N26" s="247"/>
      <c r="O26" s="247"/>
      <c r="P26" s="248" t="str">
        <f t="shared" si="9"/>
        <v>-</v>
      </c>
      <c r="Q26" s="27" t="str">
        <f t="shared" si="10"/>
        <v>-</v>
      </c>
      <c r="R26" s="27" t="str">
        <f t="shared" si="11"/>
        <v>-</v>
      </c>
      <c r="S26" s="104"/>
      <c r="U26" s="249" t="str">
        <f t="shared" si="3"/>
        <v>-</v>
      </c>
      <c r="V26" s="162" t="str">
        <f t="shared" si="12"/>
        <v>-</v>
      </c>
      <c r="W26" s="73" t="str">
        <f t="shared" si="13"/>
        <v>-</v>
      </c>
      <c r="X26" s="73" t="str">
        <f t="shared" si="17"/>
        <v>-</v>
      </c>
      <c r="Y26" s="27" t="str">
        <f t="shared" si="14"/>
        <v>-</v>
      </c>
      <c r="Z26" s="27" t="str">
        <f t="shared" si="15"/>
        <v>-</v>
      </c>
      <c r="AA26" s="28" t="str">
        <f t="shared" si="16"/>
        <v>-</v>
      </c>
      <c r="AC26" s="249" t="str">
        <f t="shared" si="0"/>
        <v>-</v>
      </c>
      <c r="AD26" s="303" t="str">
        <f t="shared" si="1"/>
        <v>-</v>
      </c>
      <c r="AE26" s="162" t="str">
        <f t="shared" si="2"/>
        <v>-</v>
      </c>
      <c r="AF26" s="162" t="str">
        <f t="shared" si="4"/>
        <v>-</v>
      </c>
      <c r="AG26" s="162" t="str">
        <f t="shared" si="5"/>
        <v>-</v>
      </c>
      <c r="AH26" s="162" t="str">
        <f t="shared" si="6"/>
        <v>-</v>
      </c>
      <c r="AI26" s="306" t="str">
        <f t="shared" si="7"/>
        <v>-</v>
      </c>
    </row>
    <row r="27" spans="1:35" ht="15" customHeight="1">
      <c r="A27" s="102"/>
      <c r="B27" s="311">
        <v>8</v>
      </c>
      <c r="C27" s="27" t="str">
        <f>IF(8&gt;N_1,"-",IF(ISNUMBER(F27),MAX(ROUND(Cp/Cpp*U27/'Pre-Test'!$U$46*Tr_1*4/N_1,0)/4,2)+C26,"-"))</f>
        <v>-</v>
      </c>
      <c r="D27" s="516"/>
      <c r="E27" s="516"/>
      <c r="F27" s="158"/>
      <c r="G27" s="246"/>
      <c r="H27" s="246"/>
      <c r="I27" s="247"/>
      <c r="J27" s="159" t="str">
        <f t="shared" si="8"/>
        <v>-</v>
      </c>
      <c r="K27" s="158"/>
      <c r="L27" s="247"/>
      <c r="M27" s="247"/>
      <c r="N27" s="247"/>
      <c r="O27" s="247"/>
      <c r="P27" s="248" t="str">
        <f t="shared" si="9"/>
        <v>-</v>
      </c>
      <c r="Q27" s="27" t="str">
        <f t="shared" si="10"/>
        <v>-</v>
      </c>
      <c r="R27" s="27" t="str">
        <f t="shared" si="11"/>
        <v>-</v>
      </c>
      <c r="S27" s="104"/>
      <c r="U27" s="249" t="str">
        <f t="shared" si="3"/>
        <v>-</v>
      </c>
      <c r="V27" s="162" t="str">
        <f t="shared" si="12"/>
        <v>-</v>
      </c>
      <c r="W27" s="73" t="str">
        <f t="shared" si="13"/>
        <v>-</v>
      </c>
      <c r="X27" s="73" t="str">
        <f t="shared" si="17"/>
        <v>-</v>
      </c>
      <c r="Y27" s="27" t="str">
        <f t="shared" si="14"/>
        <v>-</v>
      </c>
      <c r="Z27" s="27" t="str">
        <f t="shared" si="15"/>
        <v>-</v>
      </c>
      <c r="AA27" s="28" t="str">
        <f t="shared" si="16"/>
        <v>-</v>
      </c>
      <c r="AC27" s="249" t="str">
        <f t="shared" si="0"/>
        <v>-</v>
      </c>
      <c r="AD27" s="303" t="str">
        <f t="shared" si="1"/>
        <v>-</v>
      </c>
      <c r="AE27" s="162" t="str">
        <f t="shared" si="2"/>
        <v>-</v>
      </c>
      <c r="AF27" s="162" t="str">
        <f t="shared" si="4"/>
        <v>-</v>
      </c>
      <c r="AG27" s="162" t="str">
        <f t="shared" si="5"/>
        <v>-</v>
      </c>
      <c r="AH27" s="162" t="str">
        <f t="shared" si="6"/>
        <v>-</v>
      </c>
      <c r="AI27" s="306" t="str">
        <f t="shared" si="7"/>
        <v>-</v>
      </c>
    </row>
    <row r="28" spans="1:35" ht="15" customHeight="1">
      <c r="A28" s="102"/>
      <c r="B28" s="311">
        <v>9</v>
      </c>
      <c r="C28" s="27" t="str">
        <f>IF(9&gt;N_1,"-",IF(ISNUMBER(F28),MAX(ROUND(Cp/Cpp*U28/'Pre-Test'!$U$46*Tr_1*4/N_1,0)/4,2)+C27,"-"))</f>
        <v>-</v>
      </c>
      <c r="D28" s="516"/>
      <c r="E28" s="516"/>
      <c r="F28" s="158"/>
      <c r="G28" s="246"/>
      <c r="H28" s="246"/>
      <c r="I28" s="247"/>
      <c r="J28" s="159" t="str">
        <f t="shared" si="8"/>
        <v>-</v>
      </c>
      <c r="K28" s="158"/>
      <c r="L28" s="247"/>
      <c r="M28" s="247"/>
      <c r="N28" s="247"/>
      <c r="O28" s="247"/>
      <c r="P28" s="248" t="str">
        <f t="shared" si="9"/>
        <v>-</v>
      </c>
      <c r="Q28" s="27" t="str">
        <f t="shared" si="10"/>
        <v>-</v>
      </c>
      <c r="R28" s="27" t="str">
        <f t="shared" si="11"/>
        <v>-</v>
      </c>
      <c r="S28" s="104"/>
      <c r="U28" s="249" t="str">
        <f t="shared" si="3"/>
        <v>-</v>
      </c>
      <c r="V28" s="162" t="str">
        <f t="shared" si="12"/>
        <v>-</v>
      </c>
      <c r="W28" s="73" t="str">
        <f t="shared" si="13"/>
        <v>-</v>
      </c>
      <c r="X28" s="73" t="str">
        <f t="shared" si="17"/>
        <v>-</v>
      </c>
      <c r="Y28" s="27" t="str">
        <f t="shared" si="14"/>
        <v>-</v>
      </c>
      <c r="Z28" s="27" t="str">
        <f t="shared" si="15"/>
        <v>-</v>
      </c>
      <c r="AA28" s="28" t="str">
        <f t="shared" si="16"/>
        <v>-</v>
      </c>
      <c r="AC28" s="249" t="str">
        <f t="shared" si="0"/>
        <v>-</v>
      </c>
      <c r="AD28" s="303" t="str">
        <f t="shared" si="1"/>
        <v>-</v>
      </c>
      <c r="AE28" s="162" t="str">
        <f t="shared" si="2"/>
        <v>-</v>
      </c>
      <c r="AF28" s="162" t="str">
        <f t="shared" si="4"/>
        <v>-</v>
      </c>
      <c r="AG28" s="162" t="str">
        <f t="shared" si="5"/>
        <v>-</v>
      </c>
      <c r="AH28" s="162" t="str">
        <f t="shared" si="6"/>
        <v>-</v>
      </c>
      <c r="AI28" s="306" t="str">
        <f t="shared" si="7"/>
        <v>-</v>
      </c>
    </row>
    <row r="29" spans="1:35" ht="15" customHeight="1">
      <c r="A29" s="102"/>
      <c r="B29" s="311">
        <v>10</v>
      </c>
      <c r="C29" s="27" t="str">
        <f>IF(10&gt;N_1,"-",IF(ISNUMBER(F29),MAX(ROUND(Cp/Cpp*U29/'Pre-Test'!$U$46*Tr_1*4/N_1,0)/4,2)+C28,"-"))</f>
        <v>-</v>
      </c>
      <c r="D29" s="516"/>
      <c r="E29" s="516"/>
      <c r="F29" s="158"/>
      <c r="G29" s="246"/>
      <c r="H29" s="246"/>
      <c r="I29" s="247"/>
      <c r="J29" s="159" t="str">
        <f t="shared" si="8"/>
        <v>-</v>
      </c>
      <c r="K29" s="158"/>
      <c r="L29" s="247"/>
      <c r="M29" s="247"/>
      <c r="N29" s="247"/>
      <c r="O29" s="247"/>
      <c r="P29" s="248" t="str">
        <f t="shared" si="9"/>
        <v>-</v>
      </c>
      <c r="Q29" s="27" t="str">
        <f t="shared" si="10"/>
        <v>-</v>
      </c>
      <c r="R29" s="27" t="str">
        <f t="shared" si="11"/>
        <v>-</v>
      </c>
      <c r="S29" s="104"/>
      <c r="U29" s="249" t="str">
        <f t="shared" si="3"/>
        <v>-</v>
      </c>
      <c r="V29" s="162" t="str">
        <f t="shared" si="12"/>
        <v>-</v>
      </c>
      <c r="W29" s="73" t="str">
        <f t="shared" si="13"/>
        <v>-</v>
      </c>
      <c r="X29" s="73" t="str">
        <f t="shared" si="17"/>
        <v>-</v>
      </c>
      <c r="Y29" s="27" t="str">
        <f t="shared" si="14"/>
        <v>-</v>
      </c>
      <c r="Z29" s="27" t="str">
        <f t="shared" si="15"/>
        <v>-</v>
      </c>
      <c r="AA29" s="28" t="str">
        <f t="shared" si="16"/>
        <v>-</v>
      </c>
      <c r="AC29" s="249" t="str">
        <f t="shared" si="0"/>
        <v>-</v>
      </c>
      <c r="AD29" s="303" t="str">
        <f t="shared" si="1"/>
        <v>-</v>
      </c>
      <c r="AE29" s="162" t="str">
        <f t="shared" si="2"/>
        <v>-</v>
      </c>
      <c r="AF29" s="162" t="str">
        <f t="shared" si="4"/>
        <v>-</v>
      </c>
      <c r="AG29" s="162" t="str">
        <f t="shared" si="5"/>
        <v>-</v>
      </c>
      <c r="AH29" s="162" t="str">
        <f t="shared" si="6"/>
        <v>-</v>
      </c>
      <c r="AI29" s="306" t="str">
        <f t="shared" si="7"/>
        <v>-</v>
      </c>
    </row>
    <row r="30" spans="1:35" ht="15" customHeight="1">
      <c r="A30" s="102"/>
      <c r="B30" s="311">
        <v>11</v>
      </c>
      <c r="C30" s="27" t="str">
        <f>IF(11&gt;N_1,"-",IF(ISNUMBER(F30),MAX(ROUND(Cp/Cpp*U30/'Pre-Test'!$U$46*Tr_1*4/N_1,0)/4,2)+C29,"-"))</f>
        <v>-</v>
      </c>
      <c r="D30" s="516"/>
      <c r="E30" s="516"/>
      <c r="F30" s="158"/>
      <c r="G30" s="246"/>
      <c r="H30" s="246"/>
      <c r="I30" s="247"/>
      <c r="J30" s="159" t="str">
        <f t="shared" si="8"/>
        <v>-</v>
      </c>
      <c r="K30" s="158"/>
      <c r="L30" s="247"/>
      <c r="M30" s="247"/>
      <c r="N30" s="247"/>
      <c r="O30" s="247"/>
      <c r="P30" s="248" t="str">
        <f t="shared" si="9"/>
        <v>-</v>
      </c>
      <c r="Q30" s="27" t="str">
        <f t="shared" si="10"/>
        <v>-</v>
      </c>
      <c r="R30" s="27" t="str">
        <f t="shared" si="11"/>
        <v>-</v>
      </c>
      <c r="S30" s="104"/>
      <c r="U30" s="249" t="str">
        <f t="shared" si="3"/>
        <v>-</v>
      </c>
      <c r="V30" s="162" t="str">
        <f t="shared" si="12"/>
        <v>-</v>
      </c>
      <c r="W30" s="73" t="str">
        <f t="shared" si="13"/>
        <v>-</v>
      </c>
      <c r="X30" s="73" t="str">
        <f t="shared" si="17"/>
        <v>-</v>
      </c>
      <c r="Y30" s="27" t="str">
        <f t="shared" si="14"/>
        <v>-</v>
      </c>
      <c r="Z30" s="27" t="str">
        <f t="shared" si="15"/>
        <v>-</v>
      </c>
      <c r="AA30" s="28" t="str">
        <f t="shared" si="16"/>
        <v>-</v>
      </c>
      <c r="AC30" s="249" t="str">
        <f t="shared" si="0"/>
        <v>-</v>
      </c>
      <c r="AD30" s="303" t="str">
        <f t="shared" si="1"/>
        <v>-</v>
      </c>
      <c r="AE30" s="162" t="str">
        <f t="shared" si="2"/>
        <v>-</v>
      </c>
      <c r="AF30" s="162" t="str">
        <f t="shared" si="4"/>
        <v>-</v>
      </c>
      <c r="AG30" s="162" t="str">
        <f t="shared" si="5"/>
        <v>-</v>
      </c>
      <c r="AH30" s="162" t="str">
        <f t="shared" si="6"/>
        <v>-</v>
      </c>
      <c r="AI30" s="306" t="str">
        <f t="shared" si="7"/>
        <v>-</v>
      </c>
    </row>
    <row r="31" spans="1:35" ht="15" customHeight="1">
      <c r="A31" s="102"/>
      <c r="B31" s="311">
        <v>12</v>
      </c>
      <c r="C31" s="27" t="str">
        <f>IF(12&gt;N_1,"-",IF(ISNUMBER(F31),MAX(ROUND(Cp/Cpp*U31/'Pre-Test'!$U$46*Tr_1*4/N_1,0)/4,2)+C30,"-"))</f>
        <v>-</v>
      </c>
      <c r="D31" s="516"/>
      <c r="E31" s="516"/>
      <c r="F31" s="158"/>
      <c r="G31" s="246"/>
      <c r="H31" s="246"/>
      <c r="I31" s="247"/>
      <c r="J31" s="159" t="str">
        <f t="shared" si="8"/>
        <v>-</v>
      </c>
      <c r="K31" s="158"/>
      <c r="L31" s="247"/>
      <c r="M31" s="247"/>
      <c r="N31" s="247"/>
      <c r="O31" s="247"/>
      <c r="P31" s="248" t="str">
        <f t="shared" si="9"/>
        <v>-</v>
      </c>
      <c r="Q31" s="27" t="str">
        <f t="shared" si="10"/>
        <v>-</v>
      </c>
      <c r="R31" s="27" t="str">
        <f t="shared" si="11"/>
        <v>-</v>
      </c>
      <c r="S31" s="104"/>
      <c r="U31" s="249" t="str">
        <f t="shared" si="3"/>
        <v>-</v>
      </c>
      <c r="V31" s="162" t="str">
        <f t="shared" si="12"/>
        <v>-</v>
      </c>
      <c r="W31" s="73" t="str">
        <f t="shared" si="13"/>
        <v>-</v>
      </c>
      <c r="X31" s="73" t="str">
        <f t="shared" si="17"/>
        <v>-</v>
      </c>
      <c r="Y31" s="27" t="str">
        <f t="shared" si="14"/>
        <v>-</v>
      </c>
      <c r="Z31" s="27" t="str">
        <f t="shared" si="15"/>
        <v>-</v>
      </c>
      <c r="AA31" s="28" t="str">
        <f t="shared" si="16"/>
        <v>-</v>
      </c>
      <c r="AC31" s="249" t="str">
        <f t="shared" si="0"/>
        <v>-</v>
      </c>
      <c r="AD31" s="303" t="str">
        <f t="shared" si="1"/>
        <v>-</v>
      </c>
      <c r="AE31" s="162" t="str">
        <f t="shared" si="2"/>
        <v>-</v>
      </c>
      <c r="AF31" s="162" t="str">
        <f t="shared" si="4"/>
        <v>-</v>
      </c>
      <c r="AG31" s="162" t="str">
        <f t="shared" si="5"/>
        <v>-</v>
      </c>
      <c r="AH31" s="162" t="str">
        <f t="shared" si="6"/>
        <v>-</v>
      </c>
      <c r="AI31" s="306" t="str">
        <f t="shared" si="7"/>
        <v>-</v>
      </c>
    </row>
    <row r="32" spans="1:35" ht="15" customHeight="1">
      <c r="A32" s="102"/>
      <c r="B32" s="311">
        <v>13</v>
      </c>
      <c r="C32" s="27" t="str">
        <f>IF(13&gt;N_1,"-",IF(ISNUMBER(F32),MAX(ROUND(Cp/Cpp*U32/'Pre-Test'!$U$46*Tr_1*4/N_1,0)/4,2)+C31,"-"))</f>
        <v>-</v>
      </c>
      <c r="D32" s="516"/>
      <c r="E32" s="516"/>
      <c r="F32" s="158"/>
      <c r="G32" s="246"/>
      <c r="H32" s="246"/>
      <c r="I32" s="247"/>
      <c r="J32" s="159" t="str">
        <f t="shared" si="8"/>
        <v>-</v>
      </c>
      <c r="K32" s="158"/>
      <c r="L32" s="247"/>
      <c r="M32" s="247"/>
      <c r="N32" s="247"/>
      <c r="O32" s="247"/>
      <c r="P32" s="248" t="str">
        <f t="shared" si="9"/>
        <v>-</v>
      </c>
      <c r="Q32" s="27" t="str">
        <f t="shared" si="10"/>
        <v>-</v>
      </c>
      <c r="R32" s="27" t="str">
        <f t="shared" si="11"/>
        <v>-</v>
      </c>
      <c r="S32" s="104"/>
      <c r="U32" s="249" t="str">
        <f t="shared" si="3"/>
        <v>-</v>
      </c>
      <c r="V32" s="162" t="str">
        <f t="shared" si="12"/>
        <v>-</v>
      </c>
      <c r="W32" s="73" t="str">
        <f t="shared" si="13"/>
        <v>-</v>
      </c>
      <c r="X32" s="73" t="str">
        <f t="shared" si="17"/>
        <v>-</v>
      </c>
      <c r="Y32" s="27" t="str">
        <f t="shared" si="14"/>
        <v>-</v>
      </c>
      <c r="Z32" s="27" t="str">
        <f t="shared" si="15"/>
        <v>-</v>
      </c>
      <c r="AA32" s="28" t="str">
        <f t="shared" si="16"/>
        <v>-</v>
      </c>
      <c r="AC32" s="249" t="str">
        <f t="shared" si="0"/>
        <v>-</v>
      </c>
      <c r="AD32" s="303" t="str">
        <f t="shared" si="1"/>
        <v>-</v>
      </c>
      <c r="AE32" s="162" t="str">
        <f t="shared" si="2"/>
        <v>-</v>
      </c>
      <c r="AF32" s="162" t="str">
        <f t="shared" si="4"/>
        <v>-</v>
      </c>
      <c r="AG32" s="162" t="str">
        <f t="shared" si="5"/>
        <v>-</v>
      </c>
      <c r="AH32" s="162" t="str">
        <f t="shared" si="6"/>
        <v>-</v>
      </c>
      <c r="AI32" s="306" t="str">
        <f t="shared" si="7"/>
        <v>-</v>
      </c>
    </row>
    <row r="33" spans="1:35" ht="15" customHeight="1">
      <c r="A33" s="102"/>
      <c r="B33" s="311">
        <v>14</v>
      </c>
      <c r="C33" s="27" t="str">
        <f>IF(14&gt;N_1,"-",IF(ISNUMBER(F33),MAX(ROUND(Cp/Cpp*U33/'Pre-Test'!$U$46*Tr_1*4/N_1,0)/4,2)+C32,"-"))</f>
        <v>-</v>
      </c>
      <c r="D33" s="516"/>
      <c r="E33" s="516"/>
      <c r="F33" s="158"/>
      <c r="G33" s="246"/>
      <c r="H33" s="246"/>
      <c r="I33" s="247"/>
      <c r="J33" s="159" t="str">
        <f t="shared" si="8"/>
        <v>-</v>
      </c>
      <c r="K33" s="158"/>
      <c r="L33" s="247"/>
      <c r="M33" s="247"/>
      <c r="N33" s="247"/>
      <c r="O33" s="247"/>
      <c r="P33" s="248" t="str">
        <f t="shared" si="9"/>
        <v>-</v>
      </c>
      <c r="Q33" s="27" t="str">
        <f t="shared" si="10"/>
        <v>-</v>
      </c>
      <c r="R33" s="27" t="str">
        <f t="shared" si="11"/>
        <v>-</v>
      </c>
      <c r="S33" s="104"/>
      <c r="U33" s="249" t="str">
        <f t="shared" si="3"/>
        <v>-</v>
      </c>
      <c r="V33" s="162" t="str">
        <f t="shared" si="12"/>
        <v>-</v>
      </c>
      <c r="W33" s="73" t="str">
        <f t="shared" si="13"/>
        <v>-</v>
      </c>
      <c r="X33" s="73" t="str">
        <f t="shared" si="17"/>
        <v>-</v>
      </c>
      <c r="Y33" s="27" t="str">
        <f t="shared" si="14"/>
        <v>-</v>
      </c>
      <c r="Z33" s="27" t="str">
        <f t="shared" si="15"/>
        <v>-</v>
      </c>
      <c r="AA33" s="28" t="str">
        <f t="shared" si="16"/>
        <v>-</v>
      </c>
      <c r="AC33" s="249" t="str">
        <f t="shared" si="0"/>
        <v>-</v>
      </c>
      <c r="AD33" s="303" t="str">
        <f t="shared" si="1"/>
        <v>-</v>
      </c>
      <c r="AE33" s="162" t="str">
        <f t="shared" si="2"/>
        <v>-</v>
      </c>
      <c r="AF33" s="162" t="str">
        <f t="shared" si="4"/>
        <v>-</v>
      </c>
      <c r="AG33" s="162" t="str">
        <f t="shared" si="5"/>
        <v>-</v>
      </c>
      <c r="AH33" s="162" t="str">
        <f t="shared" si="6"/>
        <v>-</v>
      </c>
      <c r="AI33" s="306" t="str">
        <f t="shared" si="7"/>
        <v>-</v>
      </c>
    </row>
    <row r="34" spans="1:35" ht="15" customHeight="1">
      <c r="A34" s="102"/>
      <c r="B34" s="311">
        <v>15</v>
      </c>
      <c r="C34" s="27" t="str">
        <f>IF(15&gt;N_1,"-",IF(ISNUMBER(F34),MAX(ROUND(Cp/Cpp*U34/'Pre-Test'!$U$46*Tr_1*4/N_1,0)/4,2)+C33,"-"))</f>
        <v>-</v>
      </c>
      <c r="D34" s="516"/>
      <c r="E34" s="516"/>
      <c r="F34" s="158"/>
      <c r="G34" s="246"/>
      <c r="H34" s="246"/>
      <c r="I34" s="247"/>
      <c r="J34" s="159" t="str">
        <f t="shared" si="8"/>
        <v>-</v>
      </c>
      <c r="K34" s="158"/>
      <c r="L34" s="247"/>
      <c r="M34" s="247"/>
      <c r="N34" s="247"/>
      <c r="O34" s="247"/>
      <c r="P34" s="248" t="str">
        <f t="shared" si="9"/>
        <v>-</v>
      </c>
      <c r="Q34" s="27" t="str">
        <f t="shared" si="10"/>
        <v>-</v>
      </c>
      <c r="R34" s="27" t="str">
        <f t="shared" si="11"/>
        <v>-</v>
      </c>
      <c r="S34" s="104"/>
      <c r="U34" s="249" t="str">
        <f t="shared" si="3"/>
        <v>-</v>
      </c>
      <c r="V34" s="162" t="str">
        <f t="shared" si="12"/>
        <v>-</v>
      </c>
      <c r="W34" s="73" t="str">
        <f t="shared" si="13"/>
        <v>-</v>
      </c>
      <c r="X34" s="73" t="str">
        <f t="shared" si="17"/>
        <v>-</v>
      </c>
      <c r="Y34" s="27" t="str">
        <f t="shared" si="14"/>
        <v>-</v>
      </c>
      <c r="Z34" s="27" t="str">
        <f t="shared" si="15"/>
        <v>-</v>
      </c>
      <c r="AA34" s="28" t="str">
        <f t="shared" si="16"/>
        <v>-</v>
      </c>
      <c r="AC34" s="249" t="str">
        <f t="shared" si="0"/>
        <v>-</v>
      </c>
      <c r="AD34" s="303" t="str">
        <f t="shared" si="1"/>
        <v>-</v>
      </c>
      <c r="AE34" s="162" t="str">
        <f t="shared" si="2"/>
        <v>-</v>
      </c>
      <c r="AF34" s="162" t="str">
        <f t="shared" si="4"/>
        <v>-</v>
      </c>
      <c r="AG34" s="162" t="str">
        <f t="shared" si="5"/>
        <v>-</v>
      </c>
      <c r="AH34" s="162" t="str">
        <f t="shared" si="6"/>
        <v>-</v>
      </c>
      <c r="AI34" s="306" t="str">
        <f t="shared" si="7"/>
        <v>-</v>
      </c>
    </row>
    <row r="35" spans="1:35" ht="15" customHeight="1">
      <c r="A35" s="102"/>
      <c r="B35" s="311">
        <v>16</v>
      </c>
      <c r="C35" s="27" t="str">
        <f>IF(16&gt;N_1,"-",IF(ISNUMBER(F35),MAX(ROUND(Cp/Cpp*U35/'Pre-Test'!$U$46*Tr_1*4/N_1,0)/4,2)+C34,"-"))</f>
        <v>-</v>
      </c>
      <c r="D35" s="516"/>
      <c r="E35" s="516"/>
      <c r="F35" s="158"/>
      <c r="G35" s="246"/>
      <c r="H35" s="246"/>
      <c r="I35" s="247"/>
      <c r="J35" s="159" t="str">
        <f t="shared" si="8"/>
        <v>-</v>
      </c>
      <c r="K35" s="158"/>
      <c r="L35" s="247"/>
      <c r="M35" s="247"/>
      <c r="N35" s="247"/>
      <c r="O35" s="247"/>
      <c r="P35" s="248" t="str">
        <f t="shared" si="9"/>
        <v>-</v>
      </c>
      <c r="Q35" s="27" t="str">
        <f t="shared" si="10"/>
        <v>-</v>
      </c>
      <c r="R35" s="27" t="str">
        <f t="shared" si="11"/>
        <v>-</v>
      </c>
      <c r="S35" s="104"/>
      <c r="U35" s="249" t="str">
        <f t="shared" si="3"/>
        <v>-</v>
      </c>
      <c r="V35" s="162" t="str">
        <f t="shared" si="12"/>
        <v>-</v>
      </c>
      <c r="W35" s="73" t="str">
        <f t="shared" si="13"/>
        <v>-</v>
      </c>
      <c r="X35" s="73" t="str">
        <f t="shared" si="17"/>
        <v>-</v>
      </c>
      <c r="Y35" s="27" t="str">
        <f t="shared" si="14"/>
        <v>-</v>
      </c>
      <c r="Z35" s="27" t="str">
        <f t="shared" si="15"/>
        <v>-</v>
      </c>
      <c r="AA35" s="28" t="str">
        <f t="shared" si="16"/>
        <v>-</v>
      </c>
      <c r="AC35" s="249" t="str">
        <f t="shared" si="0"/>
        <v>-</v>
      </c>
      <c r="AD35" s="303" t="str">
        <f t="shared" si="1"/>
        <v>-</v>
      </c>
      <c r="AE35" s="162" t="str">
        <f t="shared" si="2"/>
        <v>-</v>
      </c>
      <c r="AF35" s="162" t="str">
        <f t="shared" si="4"/>
        <v>-</v>
      </c>
      <c r="AG35" s="162" t="str">
        <f t="shared" si="5"/>
        <v>-</v>
      </c>
      <c r="AH35" s="162" t="str">
        <f t="shared" si="6"/>
        <v>-</v>
      </c>
      <c r="AI35" s="306" t="str">
        <f t="shared" si="7"/>
        <v>-</v>
      </c>
    </row>
    <row r="36" spans="1:35" ht="15" customHeight="1">
      <c r="A36" s="102"/>
      <c r="B36" s="311">
        <v>17</v>
      </c>
      <c r="C36" s="27" t="str">
        <f>IF(17&gt;N_1,"-",IF(ISNUMBER(F36),MAX(ROUND(Cp/Cpp*U36/'Pre-Test'!$U$46*Tr_1*4/N_1,0)/4,2)+C35,"-"))</f>
        <v>-</v>
      </c>
      <c r="D36" s="516"/>
      <c r="E36" s="516"/>
      <c r="F36" s="158"/>
      <c r="G36" s="246"/>
      <c r="H36" s="246"/>
      <c r="I36" s="247"/>
      <c r="J36" s="159" t="str">
        <f t="shared" si="8"/>
        <v>-</v>
      </c>
      <c r="K36" s="158"/>
      <c r="L36" s="247"/>
      <c r="M36" s="247"/>
      <c r="N36" s="247"/>
      <c r="O36" s="247"/>
      <c r="P36" s="248" t="str">
        <f t="shared" si="9"/>
        <v>-</v>
      </c>
      <c r="Q36" s="27" t="str">
        <f t="shared" si="10"/>
        <v>-</v>
      </c>
      <c r="R36" s="27" t="str">
        <f t="shared" si="11"/>
        <v>-</v>
      </c>
      <c r="S36" s="104"/>
      <c r="U36" s="249" t="str">
        <f t="shared" si="3"/>
        <v>-</v>
      </c>
      <c r="V36" s="162" t="str">
        <f t="shared" si="12"/>
        <v>-</v>
      </c>
      <c r="W36" s="73" t="str">
        <f t="shared" si="13"/>
        <v>-</v>
      </c>
      <c r="X36" s="73" t="str">
        <f t="shared" si="17"/>
        <v>-</v>
      </c>
      <c r="Y36" s="27" t="str">
        <f t="shared" si="14"/>
        <v>-</v>
      </c>
      <c r="Z36" s="27" t="str">
        <f t="shared" si="15"/>
        <v>-</v>
      </c>
      <c r="AA36" s="28" t="str">
        <f t="shared" si="16"/>
        <v>-</v>
      </c>
      <c r="AC36" s="249" t="str">
        <f t="shared" si="0"/>
        <v>-</v>
      </c>
      <c r="AD36" s="303" t="str">
        <f t="shared" si="1"/>
        <v>-</v>
      </c>
      <c r="AE36" s="162" t="str">
        <f t="shared" si="2"/>
        <v>-</v>
      </c>
      <c r="AF36" s="162" t="str">
        <f t="shared" si="4"/>
        <v>-</v>
      </c>
      <c r="AG36" s="162" t="str">
        <f t="shared" si="5"/>
        <v>-</v>
      </c>
      <c r="AH36" s="162" t="str">
        <f t="shared" si="6"/>
        <v>-</v>
      </c>
      <c r="AI36" s="306" t="str">
        <f t="shared" si="7"/>
        <v>-</v>
      </c>
    </row>
    <row r="37" spans="1:35" ht="15" customHeight="1">
      <c r="A37" s="102"/>
      <c r="B37" s="311">
        <v>18</v>
      </c>
      <c r="C37" s="27" t="str">
        <f>IF(18&gt;N_1,"-",IF(ISNUMBER(F37),MAX(ROUND(Cp/Cpp*U37/'Pre-Test'!$U$46*Tr_1*4/N_1,0)/4,2)+C36,"-"))</f>
        <v>-</v>
      </c>
      <c r="D37" s="516"/>
      <c r="E37" s="516"/>
      <c r="F37" s="158"/>
      <c r="G37" s="246"/>
      <c r="H37" s="246"/>
      <c r="I37" s="247"/>
      <c r="J37" s="159" t="str">
        <f t="shared" si="8"/>
        <v>-</v>
      </c>
      <c r="K37" s="158"/>
      <c r="L37" s="247"/>
      <c r="M37" s="247"/>
      <c r="N37" s="247"/>
      <c r="O37" s="247"/>
      <c r="P37" s="248" t="str">
        <f t="shared" si="9"/>
        <v>-</v>
      </c>
      <c r="Q37" s="27" t="str">
        <f t="shared" si="10"/>
        <v>-</v>
      </c>
      <c r="R37" s="27" t="str">
        <f t="shared" si="11"/>
        <v>-</v>
      </c>
      <c r="S37" s="104"/>
      <c r="U37" s="249" t="str">
        <f t="shared" si="3"/>
        <v>-</v>
      </c>
      <c r="V37" s="162" t="str">
        <f t="shared" si="12"/>
        <v>-</v>
      </c>
      <c r="W37" s="73" t="str">
        <f t="shared" si="13"/>
        <v>-</v>
      </c>
      <c r="X37" s="73" t="str">
        <f t="shared" si="17"/>
        <v>-</v>
      </c>
      <c r="Y37" s="27" t="str">
        <f t="shared" si="14"/>
        <v>-</v>
      </c>
      <c r="Z37" s="27" t="str">
        <f t="shared" si="15"/>
        <v>-</v>
      </c>
      <c r="AA37" s="28" t="str">
        <f t="shared" si="16"/>
        <v>-</v>
      </c>
      <c r="AC37" s="249" t="str">
        <f t="shared" si="0"/>
        <v>-</v>
      </c>
      <c r="AD37" s="303" t="str">
        <f t="shared" si="1"/>
        <v>-</v>
      </c>
      <c r="AE37" s="162" t="str">
        <f t="shared" si="2"/>
        <v>-</v>
      </c>
      <c r="AF37" s="162" t="str">
        <f t="shared" si="4"/>
        <v>-</v>
      </c>
      <c r="AG37" s="162" t="str">
        <f t="shared" si="5"/>
        <v>-</v>
      </c>
      <c r="AH37" s="162" t="str">
        <f t="shared" si="6"/>
        <v>-</v>
      </c>
      <c r="AI37" s="306" t="str">
        <f t="shared" si="7"/>
        <v>-</v>
      </c>
    </row>
    <row r="38" spans="1:35" ht="15" customHeight="1">
      <c r="A38" s="102"/>
      <c r="B38" s="311">
        <v>19</v>
      </c>
      <c r="C38" s="27" t="str">
        <f>IF(19&gt;N_1,"-",IF(ISNUMBER(F38),MAX(ROUND(Cp/Cpp*U38/'Pre-Test'!$U$46*Tr_1*4/N_1,0)/4,2)+C37,"-"))</f>
        <v>-</v>
      </c>
      <c r="D38" s="516"/>
      <c r="E38" s="516"/>
      <c r="F38" s="158"/>
      <c r="G38" s="246"/>
      <c r="H38" s="246"/>
      <c r="I38" s="247"/>
      <c r="J38" s="159" t="str">
        <f t="shared" si="8"/>
        <v>-</v>
      </c>
      <c r="K38" s="158"/>
      <c r="L38" s="247"/>
      <c r="M38" s="247"/>
      <c r="N38" s="247"/>
      <c r="O38" s="247"/>
      <c r="P38" s="248" t="str">
        <f t="shared" si="9"/>
        <v>-</v>
      </c>
      <c r="Q38" s="27" t="str">
        <f t="shared" si="10"/>
        <v>-</v>
      </c>
      <c r="R38" s="27" t="str">
        <f t="shared" si="11"/>
        <v>-</v>
      </c>
      <c r="S38" s="104"/>
      <c r="U38" s="249" t="str">
        <f t="shared" si="3"/>
        <v>-</v>
      </c>
      <c r="V38" s="162" t="str">
        <f t="shared" si="12"/>
        <v>-</v>
      </c>
      <c r="W38" s="73" t="str">
        <f t="shared" si="13"/>
        <v>-</v>
      </c>
      <c r="X38" s="73" t="str">
        <f t="shared" si="17"/>
        <v>-</v>
      </c>
      <c r="Y38" s="27" t="str">
        <f t="shared" si="14"/>
        <v>-</v>
      </c>
      <c r="Z38" s="27" t="str">
        <f t="shared" si="15"/>
        <v>-</v>
      </c>
      <c r="AA38" s="28" t="str">
        <f t="shared" si="16"/>
        <v>-</v>
      </c>
      <c r="AC38" s="249" t="str">
        <f t="shared" si="0"/>
        <v>-</v>
      </c>
      <c r="AD38" s="303" t="str">
        <f t="shared" si="1"/>
        <v>-</v>
      </c>
      <c r="AE38" s="162" t="str">
        <f t="shared" si="2"/>
        <v>-</v>
      </c>
      <c r="AF38" s="162" t="str">
        <f t="shared" si="4"/>
        <v>-</v>
      </c>
      <c r="AG38" s="162" t="str">
        <f t="shared" si="5"/>
        <v>-</v>
      </c>
      <c r="AH38" s="162" t="str">
        <f t="shared" si="6"/>
        <v>-</v>
      </c>
      <c r="AI38" s="306" t="str">
        <f t="shared" si="7"/>
        <v>-</v>
      </c>
    </row>
    <row r="39" spans="1:35" ht="15" customHeight="1">
      <c r="A39" s="102"/>
      <c r="B39" s="311">
        <v>20</v>
      </c>
      <c r="C39" s="27" t="str">
        <f>IF(20&gt;N_1,"-",IF(ISNUMBER(F39),MAX(ROUND(Cp/Cpp*U39/'Pre-Test'!$U$46*Tr_1*4/N_1,0)/4,2)+C38,"-"))</f>
        <v>-</v>
      </c>
      <c r="D39" s="516"/>
      <c r="E39" s="516"/>
      <c r="F39" s="158"/>
      <c r="G39" s="246"/>
      <c r="H39" s="246"/>
      <c r="I39" s="247"/>
      <c r="J39" s="159" t="str">
        <f t="shared" si="8"/>
        <v>-</v>
      </c>
      <c r="K39" s="158"/>
      <c r="L39" s="247"/>
      <c r="M39" s="247"/>
      <c r="N39" s="247"/>
      <c r="O39" s="247"/>
      <c r="P39" s="248" t="str">
        <f t="shared" si="9"/>
        <v>-</v>
      </c>
      <c r="Q39" s="27" t="str">
        <f t="shared" si="10"/>
        <v>-</v>
      </c>
      <c r="R39" s="27" t="str">
        <f t="shared" si="11"/>
        <v>-</v>
      </c>
      <c r="S39" s="104"/>
      <c r="U39" s="249" t="str">
        <f t="shared" si="3"/>
        <v>-</v>
      </c>
      <c r="V39" s="162" t="str">
        <f t="shared" si="12"/>
        <v>-</v>
      </c>
      <c r="W39" s="73" t="str">
        <f t="shared" si="13"/>
        <v>-</v>
      </c>
      <c r="X39" s="73" t="str">
        <f t="shared" si="17"/>
        <v>-</v>
      </c>
      <c r="Y39" s="27" t="str">
        <f t="shared" si="14"/>
        <v>-</v>
      </c>
      <c r="Z39" s="27" t="str">
        <f t="shared" si="15"/>
        <v>-</v>
      </c>
      <c r="AA39" s="28" t="str">
        <f t="shared" si="16"/>
        <v>-</v>
      </c>
      <c r="AC39" s="249" t="str">
        <f t="shared" si="0"/>
        <v>-</v>
      </c>
      <c r="AD39" s="303" t="str">
        <f t="shared" si="1"/>
        <v>-</v>
      </c>
      <c r="AE39" s="162" t="str">
        <f t="shared" si="2"/>
        <v>-</v>
      </c>
      <c r="AF39" s="162" t="str">
        <f t="shared" si="4"/>
        <v>-</v>
      </c>
      <c r="AG39" s="162" t="str">
        <f t="shared" si="5"/>
        <v>-</v>
      </c>
      <c r="AH39" s="162" t="str">
        <f t="shared" si="6"/>
        <v>-</v>
      </c>
      <c r="AI39" s="306" t="str">
        <f t="shared" si="7"/>
        <v>-</v>
      </c>
    </row>
    <row r="40" spans="1:35" ht="15" customHeight="1">
      <c r="A40" s="102"/>
      <c r="B40" s="311">
        <v>21</v>
      </c>
      <c r="C40" s="27" t="str">
        <f>IF(21&gt;N_1,"-",IF(ISNUMBER(F40),MAX(ROUND(Cp/Cpp*U40/'Pre-Test'!$U$46*Tr_1*4/N_1,0)/4,2)+C39,"-"))</f>
        <v>-</v>
      </c>
      <c r="D40" s="516"/>
      <c r="E40" s="516"/>
      <c r="F40" s="158"/>
      <c r="G40" s="246"/>
      <c r="H40" s="246"/>
      <c r="I40" s="247"/>
      <c r="J40" s="159" t="str">
        <f t="shared" si="8"/>
        <v>-</v>
      </c>
      <c r="K40" s="158"/>
      <c r="L40" s="247"/>
      <c r="M40" s="247"/>
      <c r="N40" s="247"/>
      <c r="O40" s="247"/>
      <c r="P40" s="248" t="str">
        <f t="shared" si="9"/>
        <v>-</v>
      </c>
      <c r="Q40" s="27" t="str">
        <f t="shared" si="10"/>
        <v>-</v>
      </c>
      <c r="R40" s="27" t="str">
        <f t="shared" si="11"/>
        <v>-</v>
      </c>
      <c r="S40" s="104"/>
      <c r="U40" s="249" t="str">
        <f t="shared" si="3"/>
        <v>-</v>
      </c>
      <c r="V40" s="162" t="str">
        <f t="shared" si="12"/>
        <v>-</v>
      </c>
      <c r="W40" s="73" t="str">
        <f t="shared" si="13"/>
        <v>-</v>
      </c>
      <c r="X40" s="73" t="str">
        <f t="shared" si="17"/>
        <v>-</v>
      </c>
      <c r="Y40" s="27" t="str">
        <f t="shared" si="14"/>
        <v>-</v>
      </c>
      <c r="Z40" s="27" t="str">
        <f t="shared" si="15"/>
        <v>-</v>
      </c>
      <c r="AA40" s="28" t="str">
        <f t="shared" si="16"/>
        <v>-</v>
      </c>
      <c r="AC40" s="249" t="str">
        <f t="shared" si="0"/>
        <v>-</v>
      </c>
      <c r="AD40" s="303" t="str">
        <f t="shared" si="1"/>
        <v>-</v>
      </c>
      <c r="AE40" s="162" t="str">
        <f t="shared" si="2"/>
        <v>-</v>
      </c>
      <c r="AF40" s="162" t="str">
        <f t="shared" si="4"/>
        <v>-</v>
      </c>
      <c r="AG40" s="162" t="str">
        <f t="shared" si="5"/>
        <v>-</v>
      </c>
      <c r="AH40" s="162" t="str">
        <f t="shared" si="6"/>
        <v>-</v>
      </c>
      <c r="AI40" s="306" t="str">
        <f t="shared" si="7"/>
        <v>-</v>
      </c>
    </row>
    <row r="41" spans="1:35" ht="15" customHeight="1">
      <c r="A41" s="102"/>
      <c r="B41" s="311">
        <v>22</v>
      </c>
      <c r="C41" s="27" t="str">
        <f>IF(22&gt;N_1,"-",IF(ISNUMBER(F41),MAX(ROUND(Cp/Cpp*U41/'Pre-Test'!$U$46*Tr_1*4/N_1,0)/4,2)+C40,"-"))</f>
        <v>-</v>
      </c>
      <c r="D41" s="516"/>
      <c r="E41" s="516"/>
      <c r="F41" s="158"/>
      <c r="G41" s="246"/>
      <c r="H41" s="246"/>
      <c r="I41" s="247"/>
      <c r="J41" s="159" t="str">
        <f t="shared" si="8"/>
        <v>-</v>
      </c>
      <c r="K41" s="158"/>
      <c r="L41" s="247"/>
      <c r="M41" s="247"/>
      <c r="N41" s="247"/>
      <c r="O41" s="247"/>
      <c r="P41" s="248" t="str">
        <f t="shared" si="9"/>
        <v>-</v>
      </c>
      <c r="Q41" s="27" t="str">
        <f t="shared" si="10"/>
        <v>-</v>
      </c>
      <c r="R41" s="27" t="str">
        <f t="shared" si="11"/>
        <v>-</v>
      </c>
      <c r="S41" s="104"/>
      <c r="U41" s="249" t="str">
        <f t="shared" si="3"/>
        <v>-</v>
      </c>
      <c r="V41" s="162" t="str">
        <f t="shared" si="12"/>
        <v>-</v>
      </c>
      <c r="W41" s="73" t="str">
        <f t="shared" si="13"/>
        <v>-</v>
      </c>
      <c r="X41" s="73" t="str">
        <f t="shared" si="17"/>
        <v>-</v>
      </c>
      <c r="Y41" s="27" t="str">
        <f t="shared" si="14"/>
        <v>-</v>
      </c>
      <c r="Z41" s="27" t="str">
        <f t="shared" si="15"/>
        <v>-</v>
      </c>
      <c r="AA41" s="28" t="str">
        <f t="shared" si="16"/>
        <v>-</v>
      </c>
      <c r="AC41" s="249" t="str">
        <f t="shared" si="0"/>
        <v>-</v>
      </c>
      <c r="AD41" s="303" t="str">
        <f t="shared" si="1"/>
        <v>-</v>
      </c>
      <c r="AE41" s="162" t="str">
        <f t="shared" si="2"/>
        <v>-</v>
      </c>
      <c r="AF41" s="162" t="str">
        <f t="shared" si="4"/>
        <v>-</v>
      </c>
      <c r="AG41" s="162" t="str">
        <f t="shared" si="5"/>
        <v>-</v>
      </c>
      <c r="AH41" s="162" t="str">
        <f t="shared" si="6"/>
        <v>-</v>
      </c>
      <c r="AI41" s="306" t="str">
        <f t="shared" si="7"/>
        <v>-</v>
      </c>
    </row>
    <row r="42" spans="1:35" ht="15" customHeight="1">
      <c r="A42" s="102"/>
      <c r="B42" s="311">
        <v>23</v>
      </c>
      <c r="C42" s="27" t="str">
        <f>IF(23&gt;N_1,"-",IF(ISNUMBER(F42),MAX(ROUND(Cp/Cpp*U42/'Pre-Test'!$U$46*Tr_1*4/N_1,0)/4,2)+C41,"-"))</f>
        <v>-</v>
      </c>
      <c r="D42" s="516"/>
      <c r="E42" s="516"/>
      <c r="F42" s="158"/>
      <c r="G42" s="246"/>
      <c r="H42" s="246"/>
      <c r="I42" s="247"/>
      <c r="J42" s="159" t="str">
        <f t="shared" si="8"/>
        <v>-</v>
      </c>
      <c r="K42" s="158"/>
      <c r="L42" s="247"/>
      <c r="M42" s="247"/>
      <c r="N42" s="247"/>
      <c r="O42" s="247"/>
      <c r="P42" s="248" t="str">
        <f t="shared" si="9"/>
        <v>-</v>
      </c>
      <c r="Q42" s="27" t="str">
        <f t="shared" si="10"/>
        <v>-</v>
      </c>
      <c r="R42" s="27" t="str">
        <f t="shared" si="11"/>
        <v>-</v>
      </c>
      <c r="S42" s="104"/>
      <c r="U42" s="249" t="str">
        <f t="shared" si="3"/>
        <v>-</v>
      </c>
      <c r="V42" s="162" t="str">
        <f t="shared" si="12"/>
        <v>-</v>
      </c>
      <c r="W42" s="73" t="str">
        <f t="shared" si="13"/>
        <v>-</v>
      </c>
      <c r="X42" s="73" t="str">
        <f t="shared" si="17"/>
        <v>-</v>
      </c>
      <c r="Y42" s="27" t="str">
        <f t="shared" si="14"/>
        <v>-</v>
      </c>
      <c r="Z42" s="27" t="str">
        <f t="shared" si="15"/>
        <v>-</v>
      </c>
      <c r="AA42" s="28" t="str">
        <f t="shared" si="16"/>
        <v>-</v>
      </c>
      <c r="AC42" s="249" t="str">
        <f t="shared" si="0"/>
        <v>-</v>
      </c>
      <c r="AD42" s="303" t="str">
        <f t="shared" si="1"/>
        <v>-</v>
      </c>
      <c r="AE42" s="162" t="str">
        <f t="shared" si="2"/>
        <v>-</v>
      </c>
      <c r="AF42" s="162" t="str">
        <f t="shared" si="4"/>
        <v>-</v>
      </c>
      <c r="AG42" s="162" t="str">
        <f t="shared" si="5"/>
        <v>-</v>
      </c>
      <c r="AH42" s="162" t="str">
        <f t="shared" si="6"/>
        <v>-</v>
      </c>
      <c r="AI42" s="306" t="str">
        <f t="shared" si="7"/>
        <v>-</v>
      </c>
    </row>
    <row r="43" spans="1:35" ht="15" customHeight="1" thickBot="1">
      <c r="A43" s="102"/>
      <c r="B43" s="312">
        <v>24</v>
      </c>
      <c r="C43" s="65" t="str">
        <f>IF(24&gt;N_1,"-",IF(ISNUMBER(F43),MAX(ROUND(Cp/Cpp*U43/'Pre-Test'!$U$46*Tr_1*4/N_1,0)/4,2)+C42,"-"))</f>
        <v>-</v>
      </c>
      <c r="D43" s="516"/>
      <c r="E43" s="516"/>
      <c r="F43" s="250"/>
      <c r="G43" s="251"/>
      <c r="H43" s="296"/>
      <c r="I43" s="253"/>
      <c r="J43" s="177" t="str">
        <f t="shared" si="8"/>
        <v>-</v>
      </c>
      <c r="K43" s="297"/>
      <c r="L43" s="253"/>
      <c r="M43" s="253"/>
      <c r="N43" s="253"/>
      <c r="O43" s="253"/>
      <c r="P43" s="254" t="str">
        <f t="shared" si="9"/>
        <v>-</v>
      </c>
      <c r="Q43" s="65" t="str">
        <f t="shared" si="10"/>
        <v>-</v>
      </c>
      <c r="R43" s="65" t="str">
        <f t="shared" si="11"/>
        <v>-</v>
      </c>
      <c r="S43" s="104"/>
      <c r="U43" s="255" t="str">
        <f>IF(ISNUMBER(F43),SQRT(F43),"-")</f>
        <v>-</v>
      </c>
      <c r="V43" s="256" t="str">
        <f t="shared" si="12"/>
        <v>-</v>
      </c>
      <c r="W43" s="74" t="str">
        <f t="shared" si="13"/>
        <v>-</v>
      </c>
      <c r="X43" s="74" t="str">
        <f t="shared" si="17"/>
        <v>-</v>
      </c>
      <c r="Y43" s="44" t="str">
        <f t="shared" si="14"/>
        <v>-</v>
      </c>
      <c r="Z43" s="44" t="str">
        <f t="shared" si="15"/>
        <v>-</v>
      </c>
      <c r="AA43" s="45" t="str">
        <f t="shared" si="16"/>
        <v>-</v>
      </c>
      <c r="AC43" s="301" t="str">
        <f t="shared" si="0"/>
        <v>-</v>
      </c>
      <c r="AD43" s="304" t="str">
        <f t="shared" si="1"/>
        <v>-</v>
      </c>
      <c r="AE43" s="169" t="str">
        <f t="shared" si="2"/>
        <v>-</v>
      </c>
      <c r="AF43" s="169" t="str">
        <f t="shared" si="4"/>
        <v>-</v>
      </c>
      <c r="AG43" s="169" t="str">
        <f t="shared" si="5"/>
        <v>-</v>
      </c>
      <c r="AH43" s="169" t="str">
        <f t="shared" si="6"/>
        <v>-</v>
      </c>
      <c r="AI43" s="307" t="str">
        <f t="shared" si="7"/>
        <v>-</v>
      </c>
    </row>
    <row r="44" spans="1:35" ht="15" customHeight="1" thickBot="1">
      <c r="A44" s="102"/>
      <c r="B44" s="179"/>
      <c r="C44" s="187"/>
      <c r="D44" s="517"/>
      <c r="E44" s="518"/>
      <c r="F44" s="38"/>
      <c r="G44" s="38"/>
      <c r="H44" s="39"/>
      <c r="I44" s="39"/>
      <c r="J44" s="257"/>
      <c r="K44" s="40"/>
      <c r="L44" s="40"/>
      <c r="M44" s="41"/>
      <c r="N44" s="42"/>
      <c r="O44" s="40"/>
      <c r="P44" s="40"/>
      <c r="Q44" s="41"/>
      <c r="R44" s="42"/>
      <c r="S44" s="104"/>
      <c r="U44" s="43" t="str">
        <f>IF(ISNUMBER(U20),AVERAGE(U20:U43),"-")</f>
        <v>-</v>
      </c>
      <c r="V44" s="46" t="str">
        <f>IF(ISNUMBER(V20),AVERAGE(V20:V43),"-")</f>
        <v>-</v>
      </c>
      <c r="W44" s="81" t="str">
        <f>IF(ISNUMBER(W20),SUM(W20:W43),"-")</f>
        <v>-</v>
      </c>
      <c r="X44" s="81" t="str">
        <f>IF(ISNUMBER(X20),SUM(X20:X43),"-")</f>
        <v>-</v>
      </c>
      <c r="Y44" s="31" t="str">
        <f>IF(ISNUMBER(Y20),AVERAGE(Y20:Y43),"-")</f>
        <v>-</v>
      </c>
      <c r="Z44" s="31" t="str">
        <f>IF(ISNUMBER(Z20),AVERAGE(Z20:Z43),"-")</f>
        <v>-</v>
      </c>
      <c r="AA44" s="75" t="str">
        <f>IF(ISNUMBER(AA20),AVERAGE(AA20:AA43),"-")</f>
        <v>-</v>
      </c>
      <c r="AB44" s="258" t="s">
        <v>210</v>
      </c>
    </row>
    <row r="45" spans="1:35" ht="15" customHeight="1" thickBot="1">
      <c r="A45" s="102"/>
      <c r="B45" s="179"/>
      <c r="C45" s="179"/>
      <c r="D45" s="182"/>
      <c r="E45" s="183"/>
      <c r="F45" s="38"/>
      <c r="G45" s="38"/>
      <c r="H45" s="39"/>
      <c r="I45" s="39"/>
      <c r="J45" s="257"/>
      <c r="K45" s="40"/>
      <c r="L45" s="40"/>
      <c r="M45" s="42"/>
      <c r="N45" s="42"/>
      <c r="O45" s="40"/>
      <c r="P45" s="40"/>
      <c r="Q45" s="42"/>
      <c r="R45" s="42"/>
      <c r="S45" s="104"/>
    </row>
    <row r="46" spans="1:35" ht="15" customHeight="1">
      <c r="A46" s="102"/>
      <c r="B46" s="398" t="s">
        <v>201</v>
      </c>
      <c r="C46" s="502"/>
      <c r="D46" s="471" t="s">
        <v>205</v>
      </c>
      <c r="E46" s="472"/>
      <c r="F46" s="513" t="s">
        <v>207</v>
      </c>
      <c r="G46" s="472"/>
      <c r="H46" s="472"/>
      <c r="I46" s="499" t="s">
        <v>203</v>
      </c>
      <c r="J46" s="500"/>
      <c r="K46" s="499" t="s">
        <v>204</v>
      </c>
      <c r="L46" s="500"/>
      <c r="M46" s="57" t="s">
        <v>59</v>
      </c>
      <c r="N46" s="506" t="s">
        <v>208</v>
      </c>
      <c r="O46" s="506"/>
      <c r="P46" s="471" t="s">
        <v>209</v>
      </c>
      <c r="Q46" s="509"/>
      <c r="R46" s="510"/>
      <c r="S46" s="104"/>
    </row>
    <row r="47" spans="1:35" ht="17.25" customHeight="1">
      <c r="A47" s="102"/>
      <c r="B47" s="503"/>
      <c r="C47" s="504"/>
      <c r="D47" s="505"/>
      <c r="E47" s="505"/>
      <c r="F47" s="505"/>
      <c r="G47" s="505"/>
      <c r="H47" s="505"/>
      <c r="I47" s="259" t="str">
        <f>IF(ISNUMBER(I48),I48+459.67,"-")</f>
        <v>-</v>
      </c>
      <c r="J47" s="260" t="s">
        <v>140</v>
      </c>
      <c r="K47" s="259" t="str">
        <f>IF(ISNUMBER(K48),K48+459.67,"-")</f>
        <v>-</v>
      </c>
      <c r="L47" s="260" t="s">
        <v>140</v>
      </c>
      <c r="M47" s="13" t="s">
        <v>26</v>
      </c>
      <c r="N47" s="418"/>
      <c r="O47" s="418"/>
      <c r="P47" s="511"/>
      <c r="Q47" s="511"/>
      <c r="R47" s="512"/>
      <c r="S47" s="104"/>
    </row>
    <row r="48" spans="1:35" ht="18" customHeight="1" thickBot="1">
      <c r="A48" s="102"/>
      <c r="B48" s="261" t="str">
        <f>IF(ISNUMBER(C20),MAX(C20:C43),"-")</f>
        <v>-</v>
      </c>
      <c r="C48" s="262" t="s">
        <v>80</v>
      </c>
      <c r="D48" s="263" t="str">
        <f>IF(ISNUMBER(D20),MAX(D20:E44)-MIN(D20:E44),"-")</f>
        <v>-</v>
      </c>
      <c r="E48" s="264" t="s">
        <v>45</v>
      </c>
      <c r="F48" s="263" t="str">
        <f>IF(ISNUMBER(F20),AVERAGE($F$20:$F$43),"-")</f>
        <v>-</v>
      </c>
      <c r="G48" s="496" t="s">
        <v>206</v>
      </c>
      <c r="H48" s="497"/>
      <c r="I48" s="265" t="str">
        <f>IF(ISNUMBER(G20),AVERAGE($G$20:$H$43),"-")</f>
        <v>-</v>
      </c>
      <c r="J48" s="266" t="s">
        <v>58</v>
      </c>
      <c r="K48" s="265" t="str">
        <f>IF(ISNUMBER(I20),AVERAGE($I$20:$I$43),"-")</f>
        <v>-</v>
      </c>
      <c r="L48" s="266" t="s">
        <v>58</v>
      </c>
      <c r="M48" s="267">
        <f>MAX(L20:L43)</f>
        <v>0</v>
      </c>
      <c r="N48" s="268" t="str">
        <f>IF(ISNUMBER(K20),AVERAGE($K$20:$K$43),"-")</f>
        <v>-</v>
      </c>
      <c r="O48" s="269" t="s">
        <v>206</v>
      </c>
      <c r="P48" s="507" t="str">
        <f>IF(ISNUMBER($F$20),85.49*Cp*dPsqavg_1*SQRT(Ts_1/Ps_1/Mwe),"-")</f>
        <v>-</v>
      </c>
      <c r="Q48" s="508"/>
      <c r="R48" s="270" t="s">
        <v>202</v>
      </c>
      <c r="S48" s="104"/>
    </row>
    <row r="49" spans="1:29" ht="15" customHeight="1">
      <c r="A49" s="102"/>
      <c r="B49" s="56"/>
      <c r="C49" s="47"/>
      <c r="D49" s="47"/>
      <c r="E49" s="47"/>
      <c r="F49" s="47"/>
      <c r="G49" s="100"/>
      <c r="H49" s="47"/>
      <c r="I49" s="271"/>
      <c r="J49" s="100"/>
      <c r="K49" s="271"/>
      <c r="L49" s="47"/>
      <c r="M49" s="47"/>
      <c r="N49" s="47"/>
      <c r="O49" s="47"/>
      <c r="P49" s="47"/>
      <c r="Q49" s="47"/>
      <c r="R49" s="47"/>
      <c r="S49" s="104"/>
    </row>
    <row r="50" spans="1:29" ht="15" customHeight="1">
      <c r="A50" s="102"/>
      <c r="B50" s="56"/>
      <c r="C50" s="501"/>
      <c r="D50" s="501"/>
      <c r="E50" s="501"/>
      <c r="F50" s="501"/>
      <c r="G50" s="48"/>
      <c r="H50" s="492"/>
      <c r="I50" s="493"/>
      <c r="J50" s="493"/>
      <c r="K50" s="492"/>
      <c r="L50" s="493"/>
      <c r="M50" s="493"/>
      <c r="N50" s="514"/>
      <c r="O50" s="514"/>
      <c r="P50" s="491"/>
      <c r="Q50" s="514"/>
      <c r="R50" s="491"/>
      <c r="S50" s="104"/>
    </row>
    <row r="51" spans="1:29" ht="15" customHeight="1">
      <c r="A51" s="102"/>
      <c r="B51" s="56"/>
      <c r="C51" s="85"/>
      <c r="D51" s="272"/>
      <c r="E51" s="85"/>
      <c r="F51" s="272"/>
      <c r="G51" s="49"/>
      <c r="H51" s="494"/>
      <c r="I51" s="495"/>
      <c r="J51" s="51"/>
      <c r="K51" s="494"/>
      <c r="L51" s="495"/>
      <c r="M51" s="52"/>
      <c r="N51" s="53"/>
      <c r="O51" s="498"/>
      <c r="P51" s="491"/>
      <c r="Q51" s="50"/>
      <c r="R51" s="48"/>
      <c r="S51" s="104"/>
    </row>
    <row r="52" spans="1:29" ht="15" customHeight="1">
      <c r="A52" s="102"/>
      <c r="B52" s="56"/>
      <c r="C52" s="273"/>
      <c r="D52" s="272"/>
      <c r="E52" s="273"/>
      <c r="F52" s="272"/>
      <c r="G52" s="54"/>
      <c r="H52" s="490"/>
      <c r="I52" s="491"/>
      <c r="J52" s="51"/>
      <c r="K52" s="490"/>
      <c r="L52" s="491"/>
      <c r="M52" s="52"/>
      <c r="N52" s="55"/>
      <c r="O52" s="498"/>
      <c r="P52" s="491"/>
      <c r="Q52" s="50"/>
      <c r="R52" s="48"/>
      <c r="S52" s="104"/>
    </row>
    <row r="53" spans="1:29" ht="15" customHeight="1">
      <c r="A53" s="102"/>
      <c r="B53" s="47"/>
      <c r="C53" s="79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104"/>
    </row>
    <row r="54" spans="1:29" ht="15" customHeight="1" thickBot="1">
      <c r="A54" s="102"/>
      <c r="B54" s="125"/>
      <c r="C54" s="125"/>
      <c r="D54" s="125"/>
      <c r="E54" s="125"/>
      <c r="F54" s="125"/>
      <c r="G54" s="125"/>
      <c r="H54" s="125"/>
      <c r="I54" s="125"/>
      <c r="J54" s="47"/>
      <c r="K54" s="125"/>
      <c r="L54" s="125"/>
      <c r="M54" s="125"/>
      <c r="N54" s="125"/>
      <c r="O54" s="125"/>
      <c r="P54" s="125"/>
      <c r="Q54" s="125"/>
      <c r="R54" s="125"/>
      <c r="S54" s="104"/>
      <c r="U54" s="173"/>
      <c r="V54" s="47"/>
      <c r="W54" s="47"/>
      <c r="X54" s="47"/>
      <c r="Y54" s="47"/>
      <c r="Z54" s="101"/>
      <c r="AA54" s="47"/>
      <c r="AB54" s="47"/>
      <c r="AC54" s="47"/>
    </row>
    <row r="55" spans="1:29" ht="15" customHeight="1">
      <c r="A55" s="102"/>
      <c r="B55" s="189"/>
      <c r="C55" s="189" t="s">
        <v>76</v>
      </c>
      <c r="D55" s="190"/>
      <c r="E55" s="190"/>
      <c r="F55" s="191"/>
      <c r="G55" s="192"/>
      <c r="H55" s="193"/>
      <c r="I55" s="193"/>
      <c r="J55" s="47"/>
      <c r="K55" s="189"/>
      <c r="L55" s="189" t="s">
        <v>63</v>
      </c>
      <c r="M55" s="190"/>
      <c r="N55" s="190"/>
      <c r="O55" s="191"/>
      <c r="P55" s="192"/>
      <c r="Q55" s="193"/>
      <c r="R55" s="193"/>
      <c r="S55" s="104"/>
      <c r="U55" s="173"/>
      <c r="V55" s="47"/>
      <c r="W55" s="47"/>
      <c r="X55" s="47"/>
      <c r="Y55" s="47"/>
      <c r="Z55" s="101"/>
      <c r="AA55" s="47"/>
      <c r="AB55" s="47"/>
      <c r="AC55" s="47"/>
    </row>
    <row r="56" spans="1:29" ht="5.25" customHeight="1" thickBot="1">
      <c r="A56" s="131"/>
      <c r="B56" s="125"/>
      <c r="C56" s="125"/>
      <c r="D56" s="125"/>
      <c r="E56" s="125"/>
      <c r="F56" s="125"/>
      <c r="G56" s="125"/>
      <c r="H56" s="194"/>
      <c r="I56" s="125"/>
      <c r="J56" s="125"/>
      <c r="K56" s="125"/>
      <c r="L56" s="195"/>
      <c r="M56" s="194"/>
      <c r="N56" s="125"/>
      <c r="O56" s="195"/>
      <c r="P56" s="195"/>
      <c r="Q56" s="195"/>
      <c r="R56" s="195"/>
      <c r="S56" s="126"/>
      <c r="T56" s="47"/>
      <c r="U56" s="173"/>
      <c r="V56" s="47"/>
      <c r="W56" s="47"/>
      <c r="X56" s="47"/>
      <c r="Y56" s="47"/>
      <c r="Z56" s="101"/>
      <c r="AA56" s="47"/>
      <c r="AB56" s="47"/>
      <c r="AC56" s="47"/>
    </row>
    <row r="57" spans="1:29" ht="15" customHeight="1">
      <c r="B57" s="99"/>
      <c r="C57" s="99"/>
      <c r="D57" s="99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173"/>
      <c r="V57" s="47"/>
      <c r="W57" s="47"/>
      <c r="X57" s="47"/>
      <c r="Y57" s="47"/>
      <c r="Z57" s="101"/>
      <c r="AA57" s="47"/>
      <c r="AB57" s="47"/>
      <c r="AC57" s="47"/>
    </row>
    <row r="58" spans="1:2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</row>
    <row r="59" spans="1:29" ht="15" customHeight="1">
      <c r="B59" s="99"/>
      <c r="C59" s="99"/>
      <c r="D59" s="99"/>
      <c r="E59" s="99"/>
      <c r="F59" s="99"/>
      <c r="G59" s="196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</row>
    <row r="60" spans="1:2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</row>
    <row r="61" spans="1:2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2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</row>
    <row r="63" spans="1:2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2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N1439" s="99"/>
      <c r="O1439" s="99"/>
      <c r="P1439" s="99"/>
      <c r="Q1439" s="99"/>
      <c r="R1439" s="99"/>
    </row>
    <row r="1440" spans="2:18" ht="15" customHeight="1">
      <c r="B1440" s="99"/>
      <c r="C1440" s="99"/>
      <c r="D1440" s="99"/>
      <c r="E1440" s="99"/>
      <c r="F1440" s="99"/>
      <c r="G1440" s="99"/>
      <c r="H1440" s="99"/>
      <c r="I1440" s="99"/>
      <c r="J1440" s="99"/>
      <c r="K1440" s="99"/>
      <c r="L1440" s="99"/>
      <c r="M1440" s="99"/>
      <c r="N1440" s="99"/>
      <c r="O1440" s="99"/>
      <c r="P1440" s="99"/>
      <c r="Q1440" s="99"/>
      <c r="R1440" s="99"/>
    </row>
    <row r="1441" spans="2:18" ht="15" customHeight="1">
      <c r="B1441" s="99"/>
      <c r="C1441" s="99"/>
      <c r="D1441" s="99"/>
      <c r="E1441" s="99"/>
      <c r="F1441" s="99"/>
      <c r="G1441" s="99"/>
      <c r="H1441" s="99"/>
      <c r="I1441" s="99"/>
      <c r="J1441" s="99"/>
      <c r="K1441" s="99"/>
      <c r="L1441" s="99"/>
      <c r="M1441" s="99"/>
      <c r="N1441" s="99"/>
      <c r="O1441" s="99"/>
      <c r="P1441" s="99"/>
      <c r="Q1441" s="99"/>
      <c r="R1441" s="99"/>
    </row>
    <row r="1442" spans="2:18" ht="15" customHeight="1">
      <c r="B1442" s="99"/>
      <c r="C1442" s="99"/>
      <c r="D1442" s="99"/>
      <c r="E1442" s="99"/>
      <c r="F1442" s="99"/>
      <c r="G1442" s="99"/>
      <c r="H1442" s="99"/>
      <c r="I1442" s="99"/>
      <c r="J1442" s="99"/>
      <c r="K1442" s="99"/>
      <c r="L1442" s="99"/>
      <c r="M1442" s="99"/>
      <c r="N1442" s="99"/>
      <c r="O1442" s="99"/>
      <c r="P1442" s="99"/>
      <c r="Q1442" s="99"/>
      <c r="R1442" s="99"/>
    </row>
    <row r="1443" spans="2:18" ht="15" customHeight="1">
      <c r="B1443" s="99"/>
      <c r="C1443" s="99"/>
      <c r="D1443" s="99"/>
      <c r="E1443" s="99"/>
      <c r="F1443" s="99"/>
      <c r="G1443" s="99"/>
      <c r="H1443" s="99"/>
      <c r="I1443" s="99"/>
      <c r="J1443" s="99"/>
      <c r="K1443" s="99"/>
      <c r="L1443" s="99"/>
      <c r="M1443" s="99"/>
      <c r="N1443" s="99"/>
      <c r="O1443" s="99"/>
      <c r="P1443" s="99"/>
      <c r="Q1443" s="99"/>
      <c r="R1443" s="99"/>
    </row>
    <row r="1444" spans="2:18" ht="15" customHeight="1">
      <c r="B1444" s="99"/>
      <c r="C1444" s="99"/>
      <c r="D1444" s="99"/>
      <c r="E1444" s="99"/>
      <c r="F1444" s="99"/>
      <c r="G1444" s="99"/>
      <c r="H1444" s="99"/>
      <c r="I1444" s="99"/>
      <c r="J1444" s="99"/>
      <c r="K1444" s="99"/>
      <c r="L1444" s="99"/>
      <c r="M1444" s="99"/>
      <c r="N1444" s="99"/>
      <c r="O1444" s="99"/>
      <c r="P1444" s="99"/>
      <c r="Q1444" s="99"/>
      <c r="R1444" s="99"/>
    </row>
  </sheetData>
  <sheetProtection sheet="1" objects="1" scenarios="1"/>
  <mergeCells count="95">
    <mergeCell ref="R18:R19"/>
    <mergeCell ref="J18:K18"/>
    <mergeCell ref="N13:O13"/>
    <mergeCell ref="J17:K17"/>
    <mergeCell ref="L15:M15"/>
    <mergeCell ref="Q18:Q19"/>
    <mergeCell ref="M17:O17"/>
    <mergeCell ref="N14:O14"/>
    <mergeCell ref="N15:O15"/>
    <mergeCell ref="P18:P19"/>
    <mergeCell ref="N12:O12"/>
    <mergeCell ref="L13:M13"/>
    <mergeCell ref="B17:B19"/>
    <mergeCell ref="C17:C19"/>
    <mergeCell ref="B5:E5"/>
    <mergeCell ref="D17:E19"/>
    <mergeCell ref="L12:M12"/>
    <mergeCell ref="L14:M14"/>
    <mergeCell ref="F5:I5"/>
    <mergeCell ref="H6:I6"/>
    <mergeCell ref="J5:M5"/>
    <mergeCell ref="F14:G14"/>
    <mergeCell ref="G18:H18"/>
    <mergeCell ref="G17:I17"/>
    <mergeCell ref="M18:N18"/>
    <mergeCell ref="D21:E21"/>
    <mergeCell ref="D29:E29"/>
    <mergeCell ref="D43:E43"/>
    <mergeCell ref="D36:E36"/>
    <mergeCell ref="D37:E37"/>
    <mergeCell ref="D23:E23"/>
    <mergeCell ref="D38:E38"/>
    <mergeCell ref="D39:E39"/>
    <mergeCell ref="D22:E22"/>
    <mergeCell ref="D40:E40"/>
    <mergeCell ref="D41:E41"/>
    <mergeCell ref="D42:E42"/>
    <mergeCell ref="D20:E20"/>
    <mergeCell ref="O52:P52"/>
    <mergeCell ref="D28:E28"/>
    <mergeCell ref="D24:E24"/>
    <mergeCell ref="D25:E25"/>
    <mergeCell ref="D26:E26"/>
    <mergeCell ref="D27:E27"/>
    <mergeCell ref="D44:E44"/>
    <mergeCell ref="H51:I51"/>
    <mergeCell ref="K46:L46"/>
    <mergeCell ref="D30:E30"/>
    <mergeCell ref="D35:E35"/>
    <mergeCell ref="D31:E31"/>
    <mergeCell ref="D32:E32"/>
    <mergeCell ref="D33:E33"/>
    <mergeCell ref="D34:E34"/>
    <mergeCell ref="G48:H48"/>
    <mergeCell ref="O51:P51"/>
    <mergeCell ref="I46:J46"/>
    <mergeCell ref="C50:D50"/>
    <mergeCell ref="E50:F50"/>
    <mergeCell ref="B46:C47"/>
    <mergeCell ref="D46:E47"/>
    <mergeCell ref="N46:O47"/>
    <mergeCell ref="P48:Q48"/>
    <mergeCell ref="P46:R47"/>
    <mergeCell ref="F46:H47"/>
    <mergeCell ref="Q50:R50"/>
    <mergeCell ref="N50:P50"/>
    <mergeCell ref="H52:I52"/>
    <mergeCell ref="H50:J50"/>
    <mergeCell ref="K50:M50"/>
    <mergeCell ref="K51:L51"/>
    <mergeCell ref="K52:L52"/>
    <mergeCell ref="AA18:AA19"/>
    <mergeCell ref="U18:U19"/>
    <mergeCell ref="V18:V19"/>
    <mergeCell ref="W18:W19"/>
    <mergeCell ref="X18:X19"/>
    <mergeCell ref="Z18:Z19"/>
    <mergeCell ref="Y18:Y19"/>
    <mergeCell ref="D2:H2"/>
    <mergeCell ref="O2:R2"/>
    <mergeCell ref="O3:R3"/>
    <mergeCell ref="J10:Q10"/>
    <mergeCell ref="L11:M11"/>
    <mergeCell ref="K2:L2"/>
    <mergeCell ref="K3:L3"/>
    <mergeCell ref="N5:Q5"/>
    <mergeCell ref="N11:O11"/>
    <mergeCell ref="D3:E3"/>
    <mergeCell ref="AF18:AF19"/>
    <mergeCell ref="AG18:AG19"/>
    <mergeCell ref="AH18:AH19"/>
    <mergeCell ref="AI18:AI19"/>
    <mergeCell ref="AC18:AC19"/>
    <mergeCell ref="AD18:AD19"/>
    <mergeCell ref="AE18:AE19"/>
  </mergeCells>
  <phoneticPr fontId="0" type="noConversion"/>
  <conditionalFormatting sqref="Q20:Q43">
    <cfRule type="expression" dxfId="35" priority="5" stopIfTrue="1">
      <formula>OR(AND(ISNUMBER(Q20),Q20&lt;9),AND(ISNUMBER(Q20),Q20&gt;11))</formula>
    </cfRule>
  </conditionalFormatting>
  <conditionalFormatting sqref="R20:R43">
    <cfRule type="expression" dxfId="34" priority="6" stopIfTrue="1">
      <formula>OR(AND(ISNUMBER(R20),R20&lt;2.25),AND(ISNUMBER(R20),R20&gt;2.75))</formula>
    </cfRule>
  </conditionalFormatting>
  <conditionalFormatting sqref="AC20:AC43">
    <cfRule type="expression" dxfId="33" priority="3">
      <formula>AND(ISNUMBER(F20),AC20&lt;F20)</formula>
    </cfRule>
    <cfRule type="expression" dxfId="32" priority="4" stopIfTrue="1">
      <formula>AND(ISNUMBER(F20),AC20&gt;F20)</formula>
    </cfRule>
  </conditionalFormatting>
  <conditionalFormatting sqref="AD20:AD43">
    <cfRule type="expression" dxfId="31" priority="1">
      <formula>AND(ISNUMBER(F20),AD20&gt;F20)</formula>
    </cfRule>
    <cfRule type="expression" dxfId="30" priority="2" stopIfTrue="1">
      <formula>AND(ISNUMBER(F20),AD20&lt;F20)</formula>
    </cfRule>
  </conditionalFormatting>
  <printOptions horizontalCentered="1" verticalCentered="1"/>
  <pageMargins left="0.25" right="0.25" top="0.5" bottom="0.5" header="0.25" footer="0.25"/>
  <pageSetup scale="90" orientation="portrait" blackAndWhite="1" r:id="rId1"/>
  <headerFooter alignWithMargins="0">
    <oddHeader>&amp;CSpreadsheet for U.S. EPA Method 201A - Determination of Filterable PM10 and PM2.5 Emissions
&amp;12TEST DATA SHEET</oddHeader>
    <oddFooter>&amp;CCopyright 2017 by Environmental Supply Company, Inc.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1444"/>
  <sheetViews>
    <sheetView zoomScaleNormal="100" zoomScaleSheetLayoutView="75" workbookViewId="0">
      <selection activeCell="A10" sqref="A10:J10"/>
    </sheetView>
  </sheetViews>
  <sheetFormatPr defaultColWidth="6.28515625" defaultRowHeight="15" customHeight="1"/>
  <cols>
    <col min="1" max="1" width="1" style="99" customWidth="1"/>
    <col min="2" max="2" width="6.28515625" style="197" customWidth="1"/>
    <col min="3" max="3" width="6.7109375" style="197" customWidth="1"/>
    <col min="4" max="8" width="6.28515625" style="197" customWidth="1"/>
    <col min="9" max="9" width="6.42578125" style="197" customWidth="1"/>
    <col min="10" max="11" width="6.28515625" style="197" customWidth="1"/>
    <col min="12" max="12" width="7.42578125" style="197" customWidth="1"/>
    <col min="13" max="13" width="6.28515625" style="197" customWidth="1"/>
    <col min="14" max="14" width="7.5703125" style="197" customWidth="1"/>
    <col min="15" max="15" width="7.42578125" style="197" customWidth="1"/>
    <col min="16" max="16" width="7.85546875" style="197" customWidth="1"/>
    <col min="17" max="17" width="7.42578125" style="197" customWidth="1"/>
    <col min="18" max="18" width="6.28515625" style="197" customWidth="1"/>
    <col min="19" max="20" width="1" style="99" customWidth="1"/>
    <col min="21" max="21" width="9.85546875" style="201" customWidth="1"/>
    <col min="22" max="25" width="8.7109375" style="99" customWidth="1"/>
    <col min="26" max="26" width="8.7109375" style="135" customWidth="1"/>
    <col min="27" max="27" width="8.7109375" style="99" customWidth="1"/>
    <col min="28" max="28" width="1" style="99" customWidth="1"/>
    <col min="29" max="35" width="7.7109375" style="99" customWidth="1"/>
    <col min="36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98"/>
    </row>
    <row r="2" spans="1:26" ht="15" customHeight="1">
      <c r="A2" s="102"/>
      <c r="B2" s="48"/>
      <c r="C2" s="16" t="s">
        <v>52</v>
      </c>
      <c r="D2" s="463" t="str">
        <f>IF(ISTEXT('Pre-Test'!D2:H2),'Pre-Test'!D2:H2,"")</f>
        <v/>
      </c>
      <c r="E2" s="463"/>
      <c r="F2" s="463"/>
      <c r="G2" s="463"/>
      <c r="H2" s="463"/>
      <c r="I2" s="48"/>
      <c r="J2" s="16" t="s">
        <v>0</v>
      </c>
      <c r="K2" s="476"/>
      <c r="L2" s="476"/>
      <c r="M2" s="48"/>
      <c r="N2" s="16" t="s">
        <v>54</v>
      </c>
      <c r="O2" s="359"/>
      <c r="P2" s="464"/>
      <c r="Q2" s="465"/>
      <c r="R2" s="466"/>
      <c r="S2" s="104"/>
    </row>
    <row r="3" spans="1:26" ht="15" customHeight="1">
      <c r="A3" s="102"/>
      <c r="B3" s="48"/>
      <c r="C3" s="16" t="s">
        <v>53</v>
      </c>
      <c r="D3" s="425"/>
      <c r="E3" s="425"/>
      <c r="F3" s="48"/>
      <c r="G3" s="48"/>
      <c r="H3" s="48"/>
      <c r="I3" s="48"/>
      <c r="J3" s="16" t="s">
        <v>1</v>
      </c>
      <c r="K3" s="477"/>
      <c r="L3" s="477"/>
      <c r="M3" s="48"/>
      <c r="N3" s="16" t="s">
        <v>55</v>
      </c>
      <c r="O3" s="463" t="str">
        <f>IF(ISTEXT('Pre-Test'!P3),'Pre-Test'!P3,"")</f>
        <v/>
      </c>
      <c r="P3" s="467"/>
      <c r="Q3" s="468"/>
      <c r="R3" s="469"/>
      <c r="S3" s="104"/>
    </row>
    <row r="4" spans="1:26" ht="6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6"/>
      <c r="S4" s="104"/>
    </row>
    <row r="5" spans="1:26" ht="15" customHeight="1" thickBot="1">
      <c r="A5" s="102"/>
      <c r="B5" s="528" t="s">
        <v>41</v>
      </c>
      <c r="C5" s="529"/>
      <c r="D5" s="529"/>
      <c r="E5" s="529"/>
      <c r="F5" s="369" t="s">
        <v>42</v>
      </c>
      <c r="G5" s="370"/>
      <c r="H5" s="370"/>
      <c r="I5" s="370"/>
      <c r="J5" s="534" t="s">
        <v>48</v>
      </c>
      <c r="K5" s="535"/>
      <c r="L5" s="535"/>
      <c r="M5" s="536"/>
      <c r="N5" s="478" t="s">
        <v>105</v>
      </c>
      <c r="O5" s="479"/>
      <c r="P5" s="479"/>
      <c r="Q5" s="480"/>
      <c r="R5" s="47"/>
      <c r="S5" s="104"/>
      <c r="U5" s="135"/>
      <c r="Z5" s="99"/>
    </row>
    <row r="6" spans="1:26" ht="15" customHeight="1">
      <c r="A6" s="102"/>
      <c r="B6" s="97"/>
      <c r="C6" s="20" t="s">
        <v>30</v>
      </c>
      <c r="D6" s="128" t="str">
        <f>IF(ISNUMBER(Bwse),Bwse,"-")</f>
        <v>-</v>
      </c>
      <c r="E6" s="7" t="s">
        <v>62</v>
      </c>
      <c r="F6" s="97"/>
      <c r="G6" s="20" t="s">
        <v>37</v>
      </c>
      <c r="H6" s="367" t="str">
        <f>IF(ISTEXT(MB),MB,"-")</f>
        <v>-</v>
      </c>
      <c r="I6" s="368"/>
      <c r="J6" s="61" t="s">
        <v>106</v>
      </c>
      <c r="K6" s="128" t="str">
        <f>IF(ISNUMBER(Tse),Tse,"-")</f>
        <v>-</v>
      </c>
      <c r="L6" s="62" t="s">
        <v>107</v>
      </c>
      <c r="M6" s="202" t="str">
        <f>IF(ISNUMBER(Tme),Tme,"-")</f>
        <v>-</v>
      </c>
      <c r="N6" s="58" t="s">
        <v>103</v>
      </c>
      <c r="O6" s="203" t="str">
        <f>IF(ISNUMBER(Ts_1),Ts_1-460-50,IF(ISNUMBER(Tse),Tse-460-50,"-"))</f>
        <v>-</v>
      </c>
      <c r="P6" s="20" t="s">
        <v>104</v>
      </c>
      <c r="Q6" s="203" t="str">
        <f>IF(ISNUMBER(Ts_1),Ts_1-460+50,IF(ISNUMBER(Tse),Tse-460+50,"-"))</f>
        <v>-</v>
      </c>
      <c r="R6" s="47"/>
      <c r="S6" s="104"/>
      <c r="U6" s="135"/>
      <c r="Z6" s="99"/>
    </row>
    <row r="7" spans="1:26" ht="15" customHeight="1">
      <c r="A7" s="102"/>
      <c r="B7" s="102"/>
      <c r="C7" s="16" t="s">
        <v>31</v>
      </c>
      <c r="D7" s="112"/>
      <c r="E7" s="8" t="s">
        <v>4</v>
      </c>
      <c r="F7" s="102"/>
      <c r="G7" s="94" t="s">
        <v>35</v>
      </c>
      <c r="H7" s="204" t="str">
        <f>IF(ISNUMBER(Y),Y,"-")</f>
        <v>-</v>
      </c>
      <c r="I7" s="114"/>
      <c r="J7" s="102"/>
      <c r="K7" s="14" t="s">
        <v>97</v>
      </c>
      <c r="L7" s="205" t="str">
        <f>IF(ISNUMBER(Qse),Qse,"-")</f>
        <v>-</v>
      </c>
      <c r="M7" s="104" t="s">
        <v>46</v>
      </c>
      <c r="N7" s="18" t="s">
        <v>97</v>
      </c>
      <c r="O7" s="206" t="str">
        <f>IF(ISNUMBER(Qse),0.002837*vise*((Tsl_2+460)/Mwe/Ps_2)^0.2949,"-")</f>
        <v>-</v>
      </c>
      <c r="P7" s="18" t="s">
        <v>97</v>
      </c>
      <c r="Q7" s="206" t="str">
        <f>IF(ISNUMBER(Qse),0.002837*vise*((Tsh_2+460)/Mwe/Ps_2)^0.2949,"-")</f>
        <v>-</v>
      </c>
      <c r="R7" s="47"/>
      <c r="S7" s="104"/>
      <c r="U7" s="135"/>
      <c r="Z7" s="99"/>
    </row>
    <row r="8" spans="1:26" ht="15" customHeight="1">
      <c r="A8" s="102"/>
      <c r="B8" s="102"/>
      <c r="C8" s="16" t="s">
        <v>32</v>
      </c>
      <c r="D8" s="112"/>
      <c r="E8" s="8" t="s">
        <v>50</v>
      </c>
      <c r="F8" s="102"/>
      <c r="G8" s="117" t="s">
        <v>36</v>
      </c>
      <c r="H8" s="207" t="str">
        <f>IF(ISNUMBER(dHa),dHa,"-")</f>
        <v>-</v>
      </c>
      <c r="I8" s="8" t="s">
        <v>50</v>
      </c>
      <c r="J8" s="102"/>
      <c r="K8" s="15" t="s">
        <v>98</v>
      </c>
      <c r="L8" s="208" t="str">
        <f>IF(ISNUMBER(vise),vise,"-")</f>
        <v>-</v>
      </c>
      <c r="M8" s="34" t="s">
        <v>99</v>
      </c>
      <c r="N8" s="59" t="s">
        <v>98</v>
      </c>
      <c r="O8" s="209" t="str">
        <f>IF(ISNUMBER(Tsl_2),-150.3162+13.4622*SQRT(Tsl_2+460)+3861530/(Tsl_2+460)^2+0.591123*(1-Bwse/100)*OO/100-91.9723*Bwse/100+0.0000151761*Bwse/100*(Tsl_2+460)^2,"-")</f>
        <v>-</v>
      </c>
      <c r="P8" s="19" t="s">
        <v>98</v>
      </c>
      <c r="Q8" s="209" t="str">
        <f>IF(ISNUMBER(Tsh_2),-150.3162+13.4622*SQRT(Tsh_2+460)+3861530/(Tsh_2+460)^2+0.591123*(1-Bwse/100)*OO/100-91.9723*Bwse/100+0.0000151761*Bwse/100*(Tsh_2+460)^2,"-")</f>
        <v>-</v>
      </c>
      <c r="R8" s="47"/>
      <c r="S8" s="104"/>
      <c r="U8" s="135"/>
      <c r="Z8" s="99"/>
    </row>
    <row r="9" spans="1:26" ht="15" customHeight="1" thickBot="1">
      <c r="A9" s="102"/>
      <c r="B9" s="102"/>
      <c r="C9" s="16" t="s">
        <v>33</v>
      </c>
      <c r="D9" s="115" t="str">
        <f>IF(AND(ISNUMBER(Pg_2),ISNUMBER(Pbar_2)),Pbar_2+Pg_2/13.6,"-")</f>
        <v>-</v>
      </c>
      <c r="E9" s="8" t="s">
        <v>4</v>
      </c>
      <c r="F9" s="122" t="s">
        <v>84</v>
      </c>
      <c r="G9" s="204" t="str">
        <f>IF(ISNUMBER(Cpp),Cpp,"-")</f>
        <v>-</v>
      </c>
      <c r="H9" s="124" t="s">
        <v>95</v>
      </c>
      <c r="I9" s="210" t="str">
        <f>IF(OR(ISNUMBER('Pre-Test'!R11),ISTEXT('Pre-Test'!R11)),'Pre-Test'!R11,"-")</f>
        <v>-</v>
      </c>
      <c r="J9" s="211"/>
      <c r="K9" s="26" t="s">
        <v>101</v>
      </c>
      <c r="L9" s="212" t="str">
        <f>IF(ISNUMBER(dHe),dHe,"-")</f>
        <v>-</v>
      </c>
      <c r="M9" s="309" t="s">
        <v>271</v>
      </c>
      <c r="N9" s="60" t="s">
        <v>101</v>
      </c>
      <c r="O9" s="213" t="str">
        <f>IF(ISNUMBER(dHe),(Qse*(1-Bwse/100)*Ps_2/(Tsl_2+460))^2*(Tme+460)*Md*(1.083)*dHa/Pbar_2,"-")</f>
        <v>-</v>
      </c>
      <c r="P9" s="21" t="s">
        <v>101</v>
      </c>
      <c r="Q9" s="213" t="str">
        <f>IF(ISNUMBER(dHe),(Qse*(1-Bwse/100)*Ps_2/(Tsh_2+460))^2*(Tme+460)*Md*(1.083)*dHa/Pbar_2,"-")</f>
        <v>-</v>
      </c>
      <c r="R9" s="47"/>
      <c r="S9" s="104"/>
      <c r="U9" s="135"/>
      <c r="Z9" s="99"/>
    </row>
    <row r="10" spans="1:26" ht="15" customHeight="1" thickBot="1">
      <c r="A10" s="102"/>
      <c r="B10" s="102"/>
      <c r="C10" s="16" t="s">
        <v>230</v>
      </c>
      <c r="D10" s="115" t="str">
        <f>IF(ISNUMBER(COO),COO,"-")</f>
        <v>-</v>
      </c>
      <c r="E10" s="9" t="s">
        <v>6</v>
      </c>
      <c r="F10" s="122" t="s">
        <v>34</v>
      </c>
      <c r="G10" s="214" t="str">
        <f>IF(ISNUMBER(Cp),Cp,"-")</f>
        <v>-</v>
      </c>
      <c r="H10" s="124" t="s">
        <v>95</v>
      </c>
      <c r="I10" s="210" t="str">
        <f>IF(OR(ISNUMBER('Pre-Test'!R11),ISTEXT('Pre-Test'!R11)),'Pre-Test'!R11,"-")</f>
        <v>-</v>
      </c>
      <c r="J10" s="470" t="s">
        <v>43</v>
      </c>
      <c r="K10" s="471"/>
      <c r="L10" s="471"/>
      <c r="M10" s="471"/>
      <c r="N10" s="471"/>
      <c r="O10" s="471"/>
      <c r="P10" s="472"/>
      <c r="Q10" s="473"/>
      <c r="R10" s="47"/>
      <c r="S10" s="104"/>
    </row>
    <row r="11" spans="1:26" ht="15" customHeight="1" thickBot="1">
      <c r="A11" s="102"/>
      <c r="B11" s="102"/>
      <c r="C11" s="16" t="s">
        <v>231</v>
      </c>
      <c r="D11" s="215" t="str">
        <f>IF(ISNUMBER(OO),OO,"-")</f>
        <v>-</v>
      </c>
      <c r="E11" s="9" t="s">
        <v>6</v>
      </c>
      <c r="F11" s="102"/>
      <c r="G11" s="16" t="s">
        <v>100</v>
      </c>
      <c r="H11" s="216" t="str">
        <f>IF(ISNUMBER(Dn),Dn,"-")</f>
        <v>-</v>
      </c>
      <c r="I11" s="129" t="s">
        <v>49</v>
      </c>
      <c r="J11" s="97"/>
      <c r="K11" s="20" t="s">
        <v>28</v>
      </c>
      <c r="L11" s="474"/>
      <c r="M11" s="475"/>
      <c r="N11" s="481"/>
      <c r="O11" s="482"/>
      <c r="P11" s="78" t="s">
        <v>45</v>
      </c>
      <c r="Q11" s="217"/>
      <c r="R11" s="47"/>
      <c r="S11" s="104"/>
    </row>
    <row r="12" spans="1:26" ht="15" customHeight="1">
      <c r="A12" s="102"/>
      <c r="B12" s="102"/>
      <c r="C12" s="16" t="s">
        <v>232</v>
      </c>
      <c r="D12" s="115" t="str">
        <f>IF(ISNUMBER(NN),NN,"-")</f>
        <v>-</v>
      </c>
      <c r="E12" s="9" t="s">
        <v>6</v>
      </c>
      <c r="F12" s="218"/>
      <c r="G12" s="20" t="s">
        <v>38</v>
      </c>
      <c r="H12" s="219" t="str">
        <f>IF(ISNUMBER(A),A,"-")</f>
        <v>-</v>
      </c>
      <c r="I12" s="33" t="s">
        <v>39</v>
      </c>
      <c r="J12" s="102"/>
      <c r="K12" s="16" t="s">
        <v>29</v>
      </c>
      <c r="L12" s="521"/>
      <c r="M12" s="522"/>
      <c r="N12" s="519"/>
      <c r="O12" s="520"/>
      <c r="P12" s="47" t="s">
        <v>45</v>
      </c>
      <c r="Q12" s="220"/>
      <c r="R12" s="47"/>
      <c r="S12" s="104"/>
    </row>
    <row r="13" spans="1:26" ht="15" customHeight="1">
      <c r="A13" s="102"/>
      <c r="B13" s="102"/>
      <c r="C13" s="16" t="s">
        <v>228</v>
      </c>
      <c r="D13" s="215" t="str">
        <f>IF(ISNUMBER(Md),Md,"-")</f>
        <v>-</v>
      </c>
      <c r="E13" s="8" t="s">
        <v>3</v>
      </c>
      <c r="F13" s="102"/>
      <c r="G13" s="16" t="s">
        <v>40</v>
      </c>
      <c r="H13" s="113"/>
      <c r="I13" s="104" t="s">
        <v>51</v>
      </c>
      <c r="J13" s="221"/>
      <c r="K13" s="48" t="s">
        <v>237</v>
      </c>
      <c r="L13" s="521"/>
      <c r="M13" s="522"/>
      <c r="N13" s="519"/>
      <c r="O13" s="520"/>
      <c r="P13" s="79" t="s">
        <v>238</v>
      </c>
      <c r="Q13" s="104"/>
      <c r="R13" s="47"/>
      <c r="S13" s="104"/>
    </row>
    <row r="14" spans="1:26" ht="15" customHeight="1" thickBot="1">
      <c r="A14" s="102"/>
      <c r="B14" s="131"/>
      <c r="C14" s="26" t="s">
        <v>227</v>
      </c>
      <c r="D14" s="222" t="str">
        <f>IF(ISNUMBER(Mwe),Mwe,"-")</f>
        <v>-</v>
      </c>
      <c r="E14" s="10" t="s">
        <v>3</v>
      </c>
      <c r="F14" s="402" t="s">
        <v>139</v>
      </c>
      <c r="G14" s="403"/>
      <c r="H14" s="223"/>
      <c r="I14" s="126" t="s">
        <v>80</v>
      </c>
      <c r="J14" s="102"/>
      <c r="K14" s="16" t="s">
        <v>44</v>
      </c>
      <c r="L14" s="532" t="str">
        <f>IF(ISNUMBER(L13),(L12-L11)/L13,"-")</f>
        <v>-</v>
      </c>
      <c r="M14" s="533"/>
      <c r="N14" s="532" t="str">
        <f>IF(ISNUMBER(N13),(N12-N11)/N13,"-")</f>
        <v>-</v>
      </c>
      <c r="O14" s="551"/>
      <c r="P14" s="47" t="s">
        <v>46</v>
      </c>
      <c r="Q14" s="220"/>
      <c r="R14" s="47"/>
      <c r="S14" s="104"/>
      <c r="U14" s="99"/>
      <c r="Z14" s="99"/>
    </row>
    <row r="15" spans="1:26" ht="15" customHeight="1" thickBot="1">
      <c r="A15" s="102"/>
      <c r="B15" s="224"/>
      <c r="C15" s="225" t="s">
        <v>246</v>
      </c>
      <c r="D15" s="226">
        <f>IF(ISNUMBER(Tstd),Tstd,"-")</f>
        <v>528</v>
      </c>
      <c r="E15" s="69" t="s">
        <v>140</v>
      </c>
      <c r="F15" s="70"/>
      <c r="G15" s="70" t="s">
        <v>247</v>
      </c>
      <c r="H15" s="227">
        <f>IF(ISNUMBER(Pstd),Pstd,"-")</f>
        <v>29.92</v>
      </c>
      <c r="I15" s="71" t="s">
        <v>4</v>
      </c>
      <c r="J15" s="131"/>
      <c r="K15" s="26" t="s">
        <v>8</v>
      </c>
      <c r="L15" s="547"/>
      <c r="M15" s="548"/>
      <c r="N15" s="552"/>
      <c r="O15" s="553"/>
      <c r="P15" s="80" t="s">
        <v>47</v>
      </c>
      <c r="Q15" s="228"/>
      <c r="R15" s="47"/>
      <c r="S15" s="104"/>
      <c r="U15" s="99"/>
      <c r="Z15" s="99"/>
    </row>
    <row r="16" spans="1:26" ht="5.25" customHeight="1" thickBot="1">
      <c r="A16" s="102"/>
      <c r="B16" s="47"/>
      <c r="C16" s="47"/>
      <c r="D16" s="47"/>
      <c r="E16" s="47"/>
      <c r="F16" s="47"/>
      <c r="G16" s="47"/>
      <c r="H16" s="47"/>
      <c r="I16" s="47"/>
      <c r="J16" s="47"/>
      <c r="K16" s="16"/>
      <c r="L16" s="86"/>
      <c r="M16" s="17"/>
      <c r="N16" s="86"/>
      <c r="O16" s="17"/>
      <c r="P16" s="76"/>
      <c r="Q16" s="76"/>
      <c r="R16" s="47"/>
      <c r="S16" s="104"/>
    </row>
    <row r="17" spans="1:35" ht="15" customHeight="1" thickBot="1">
      <c r="A17" s="102"/>
      <c r="B17" s="523" t="s">
        <v>21</v>
      </c>
      <c r="C17" s="525" t="s">
        <v>261</v>
      </c>
      <c r="D17" s="530" t="s">
        <v>22</v>
      </c>
      <c r="E17" s="399"/>
      <c r="F17" s="11" t="s">
        <v>10</v>
      </c>
      <c r="G17" s="539" t="s">
        <v>57</v>
      </c>
      <c r="H17" s="540"/>
      <c r="I17" s="541"/>
      <c r="J17" s="499" t="s">
        <v>25</v>
      </c>
      <c r="K17" s="546"/>
      <c r="L17" s="229" t="s">
        <v>15</v>
      </c>
      <c r="M17" s="404" t="s">
        <v>60</v>
      </c>
      <c r="N17" s="549"/>
      <c r="O17" s="550"/>
      <c r="P17" s="17"/>
      <c r="Q17" s="58"/>
      <c r="R17" s="79"/>
      <c r="S17" s="104"/>
    </row>
    <row r="18" spans="1:35" ht="15" customHeight="1">
      <c r="A18" s="102"/>
      <c r="B18" s="524"/>
      <c r="C18" s="526"/>
      <c r="D18" s="531"/>
      <c r="E18" s="401"/>
      <c r="F18" s="12" t="s">
        <v>23</v>
      </c>
      <c r="G18" s="537" t="s">
        <v>20</v>
      </c>
      <c r="H18" s="538"/>
      <c r="I18" s="230"/>
      <c r="J18" s="544" t="s">
        <v>24</v>
      </c>
      <c r="K18" s="545"/>
      <c r="L18" s="231" t="s">
        <v>26</v>
      </c>
      <c r="M18" s="542" t="s">
        <v>61</v>
      </c>
      <c r="N18" s="543"/>
      <c r="O18" s="232" t="s">
        <v>56</v>
      </c>
      <c r="P18" s="486" t="s">
        <v>102</v>
      </c>
      <c r="Q18" s="457" t="s">
        <v>234</v>
      </c>
      <c r="R18" s="457" t="s">
        <v>235</v>
      </c>
      <c r="S18" s="104"/>
      <c r="U18" s="460" t="s">
        <v>146</v>
      </c>
      <c r="V18" s="459" t="s">
        <v>145</v>
      </c>
      <c r="W18" s="457" t="s">
        <v>236</v>
      </c>
      <c r="X18" s="486" t="s">
        <v>126</v>
      </c>
      <c r="Y18" s="483" t="s">
        <v>125</v>
      </c>
      <c r="Z18" s="488" t="s">
        <v>124</v>
      </c>
      <c r="AA18" s="483" t="s">
        <v>127</v>
      </c>
      <c r="AC18" s="460" t="s">
        <v>266</v>
      </c>
      <c r="AD18" s="460" t="s">
        <v>268</v>
      </c>
      <c r="AE18" s="457" t="s">
        <v>267</v>
      </c>
      <c r="AF18" s="457" t="s">
        <v>269</v>
      </c>
      <c r="AG18" s="457" t="s">
        <v>270</v>
      </c>
      <c r="AH18" s="459" t="s">
        <v>265</v>
      </c>
      <c r="AI18" s="459" t="s">
        <v>264</v>
      </c>
    </row>
    <row r="19" spans="1:35" ht="15" customHeight="1" thickBot="1">
      <c r="A19" s="102"/>
      <c r="B19" s="524"/>
      <c r="C19" s="527"/>
      <c r="D19" s="531"/>
      <c r="E19" s="401"/>
      <c r="F19" s="30" t="s">
        <v>85</v>
      </c>
      <c r="G19" s="233" t="s">
        <v>13</v>
      </c>
      <c r="H19" s="234" t="s">
        <v>14</v>
      </c>
      <c r="I19" s="230" t="s">
        <v>16</v>
      </c>
      <c r="J19" s="235" t="s">
        <v>11</v>
      </c>
      <c r="K19" s="236" t="s">
        <v>12</v>
      </c>
      <c r="L19" s="237" t="s">
        <v>9</v>
      </c>
      <c r="M19" s="238" t="s">
        <v>18</v>
      </c>
      <c r="N19" s="239" t="s">
        <v>17</v>
      </c>
      <c r="O19" s="230" t="s">
        <v>19</v>
      </c>
      <c r="P19" s="487"/>
      <c r="Q19" s="485"/>
      <c r="R19" s="485"/>
      <c r="S19" s="104"/>
      <c r="U19" s="461"/>
      <c r="V19" s="458"/>
      <c r="W19" s="485"/>
      <c r="X19" s="487"/>
      <c r="Y19" s="484"/>
      <c r="Z19" s="489"/>
      <c r="AA19" s="484"/>
      <c r="AC19" s="461"/>
      <c r="AD19" s="462"/>
      <c r="AE19" s="458"/>
      <c r="AF19" s="458"/>
      <c r="AG19" s="458"/>
      <c r="AH19" s="458"/>
      <c r="AI19" s="458"/>
    </row>
    <row r="20" spans="1:35" ht="15" customHeight="1">
      <c r="A20" s="102"/>
      <c r="B20" s="310">
        <v>1</v>
      </c>
      <c r="C20" s="96" t="str">
        <f>IF(ISNUMBER(F20),MAX(ROUND(Cp/Cpp*U20/'Pre-Test'!$U$46*Tr_2*4/N_2,0)/4,2),"-")</f>
        <v>-</v>
      </c>
      <c r="D20" s="515"/>
      <c r="E20" s="515"/>
      <c r="F20" s="148"/>
      <c r="G20" s="240"/>
      <c r="H20" s="240"/>
      <c r="I20" s="241"/>
      <c r="J20" s="149" t="str">
        <f>IF(ISNUMBER(I20),(Qse*(1-Bwse/100)*Ps_2/(I20+460))^2*1.083*(H20+460)*Md*dHa/Pbar_2,dHe)</f>
        <v>-</v>
      </c>
      <c r="K20" s="148"/>
      <c r="L20" s="242"/>
      <c r="M20" s="242"/>
      <c r="N20" s="242"/>
      <c r="O20" s="242"/>
      <c r="P20" s="243" t="str">
        <f>IF(ISNUMBER(D21),((D21-D20)*Y*(I20+460)/(AVERAGE(G20:H20)+460)*(Pbar_2+K20/13.6)/Ps_2)/(1-Bwse/100)/C20,"-")</f>
        <v>-</v>
      </c>
      <c r="Q20" s="29" t="str">
        <f>IF(ISNUMBER(P20),0.15625*((I20+460)/Mwe/Ps_2)^0.2091*(Y20/P20)^0.7091,"-")</f>
        <v>-</v>
      </c>
      <c r="R20" s="96" t="str">
        <f>IF(ISNUMBER(P20),IF(Z20&lt;3162,0.0024302*(Y20/P20)^1.1791*SQRT(1/AA20)*((I20+460)/Ps_2/Mwe)^0.679,0.019723*(Y20/P20)^0.8058*SQRT(1/AA20)*((I20+460)/Ps_2/Mwe)^0.3058),"-")</f>
        <v>-</v>
      </c>
      <c r="S20" s="104"/>
      <c r="U20" s="244" t="str">
        <f t="shared" ref="U20:U43" si="0">IF(ISNUMBER(F20),SQRT(F20),"-")</f>
        <v>-</v>
      </c>
      <c r="V20" s="245" t="str">
        <f>IF(ISNUMBER(U20),85.49*Cp*U20*SQRT((I20+460)/Ps_2/Mwe),"-")</f>
        <v>-</v>
      </c>
      <c r="W20" s="84" t="str">
        <f>IF(ISNUMBER(D21),Tstd/Pstd*Y*(D21-D20)*(Pbar_2+K20/13.6)/(AVERAGE(G20:H20)+460),"-")</f>
        <v>-</v>
      </c>
      <c r="X20" s="72" t="str">
        <f>IF(ISNUMBER(W20),W20/C20,"-")</f>
        <v>-</v>
      </c>
      <c r="Y20" s="29" t="str">
        <f t="shared" ref="Y20:Y43" si="1">IF(ISNUMBER(I20),-150.3162+13.4622*SQRT(I20+460)+3861530/(I20+460)^2+0.591123*(1-Bwse/100)*OO-91.9723*Bwse/100+0.0000151761*Bwse/100*(I20+460)^2,"-")</f>
        <v>-</v>
      </c>
      <c r="Z20" s="29" t="str">
        <f>IF(ISNUMBER(Y20),864000*Ps_2*Mwe/(I20+460)*P20/Y20,"-")</f>
        <v>-</v>
      </c>
      <c r="AA20" s="32" t="str">
        <f>IF(ISNUMBER(Y20),1+0.0057193*(Y20/Ps_2/(IF(ISNUMBER(R20),R20,2.5))*SQRT((I20+460)/Mwe)),"-")</f>
        <v>-</v>
      </c>
      <c r="AC20" s="244" t="str">
        <f t="shared" ref="AC20:AC43" si="2">IF(ISNUMBER(AF20),0.00013686*Ps_2*Mwe*(AF20)^2/(I20+460)/Cp^2,"-")</f>
        <v>-</v>
      </c>
      <c r="AD20" s="302" t="str">
        <f t="shared" ref="AD20:AD43" si="3">IF(ISNUMBER(AG20),0.00013686*Ps_2*Mwe*(AG20)^2/(I20+460)/Cp^2,"-")</f>
        <v>-</v>
      </c>
      <c r="AE20" s="152" t="str">
        <f t="shared" ref="AE20:AE43" si="4">IF(ISNUMBER(P20),3.055775*P20/(Dn)^2,"-")</f>
        <v>-</v>
      </c>
      <c r="AF20" s="152" t="str">
        <f>IF(ISNUMBER(AH20),AE20*AH20,"-")</f>
        <v>-</v>
      </c>
      <c r="AG20" s="152" t="str">
        <f>IF(ISNUMBER(AI20),AE20*AI20,"-")</f>
        <v>-</v>
      </c>
      <c r="AH20" s="152" t="str">
        <f>IF(ISNUMBER(AE20),IF((0.2603*Y20*SQRT(P20))/(AE20)^1.5&gt;0.3072,0.5,(0.2457+SQRT(0.3072-(0.2603*Y20*SQRT(P20))/(AE20)^1.5))),"-")</f>
        <v>-</v>
      </c>
      <c r="AI20" s="305" t="str">
        <f>IF(ISNUMBER(AE20),IF((0.4457+SQRT(0.569+(0.2603*Y20*SQRT(P20))/(AE20)^1.5))&gt;1.5,1.5,(0.4457+SQRT(0.569+(0.2603*Y20*SQRT(P20))/(AE20)^1.5))),"-")</f>
        <v>-</v>
      </c>
    </row>
    <row r="21" spans="1:35" ht="15" customHeight="1">
      <c r="A21" s="102"/>
      <c r="B21" s="311">
        <v>2</v>
      </c>
      <c r="C21" s="27" t="str">
        <f>IF(2&gt;N_2,"-",IF(ISNUMBER(F21),MAX(ROUND(Cp/Cpp*U21/'Pre-Test'!$U$46*Tr_2*4/N_2,0)/4,2)+C20,"-"))</f>
        <v>-</v>
      </c>
      <c r="D21" s="516"/>
      <c r="E21" s="516"/>
      <c r="F21" s="158"/>
      <c r="G21" s="246"/>
      <c r="H21" s="246"/>
      <c r="I21" s="247"/>
      <c r="J21" s="159" t="str">
        <f t="shared" ref="J21:J43" si="5">IF(ISNUMBER(I21),(Qse*(1-Bwse/100)*Ps_2/(I21+460))^2*1.083*(H21+460)*Md*dHa/Pbar_2,"-")</f>
        <v>-</v>
      </c>
      <c r="K21" s="158"/>
      <c r="L21" s="247"/>
      <c r="M21" s="247"/>
      <c r="N21" s="247"/>
      <c r="O21" s="247"/>
      <c r="P21" s="298" t="str">
        <f>IF(ISNUMBER(D22),((D22-D21)*Y*(I21+460)/(AVERAGE(G21:H21)+460)*(Pbar_2+K21/13.6)/Ps_2)/(1-Bwse/100)/(C21-C20),"-")</f>
        <v>-</v>
      </c>
      <c r="Q21" s="27" t="str">
        <f>IF(ISNUMBER(P21),0.15625*((I21+460)/Mwe/Ps_2)^0.2091*(Y21/P21)^0.7091,"-")</f>
        <v>-</v>
      </c>
      <c r="R21" s="27" t="str">
        <f>IF(ISNUMBER(P21),IF(Z21&lt;3162,0.0024302*(Y21/P21)^1.1791*SQRT(1/AA21)*((I21+460)/Ps_2/Mwe)^0.679,0.019723*(Y21/P21)^0.8058*SQRT(1/AA21)*((I21+460)/Ps_2/Mwe)^0.3058),"-")</f>
        <v>-</v>
      </c>
      <c r="S21" s="104"/>
      <c r="U21" s="249" t="str">
        <f t="shared" si="0"/>
        <v>-</v>
      </c>
      <c r="V21" s="162" t="str">
        <f>IF(ISNUMBER(U21),85.49*Cp*U21*SQRT((I21+460)/Ps_2/Mwe),"-")</f>
        <v>-</v>
      </c>
      <c r="W21" s="73" t="str">
        <f>IF(ISNUMBER(D22),Tstd/Pstd*Y*(D22-D21)*(Pbar_2+K21/13.6)/(AVERAGE(G21:H21)+460),"-")</f>
        <v>-</v>
      </c>
      <c r="X21" s="73" t="str">
        <f>IF(ISNUMBER(W21),W21/(C21-C20),"-")</f>
        <v>-</v>
      </c>
      <c r="Y21" s="27" t="str">
        <f t="shared" si="1"/>
        <v>-</v>
      </c>
      <c r="Z21" s="27" t="str">
        <f>IF(ISNUMBER(Y21),864000*Ps_2*Mwe/(I21+460)*P21/Y21,"-")</f>
        <v>-</v>
      </c>
      <c r="AA21" s="28" t="str">
        <f>IF(ISNUMBER(Y21),1+0.0057193*(Y21/Ps_2/(IF(ISNUMBER(R21),R21,2.5))*SQRT((I21+460)/Mwe)),"-")</f>
        <v>-</v>
      </c>
      <c r="AC21" s="249" t="str">
        <f t="shared" si="2"/>
        <v>-</v>
      </c>
      <c r="AD21" s="303" t="str">
        <f t="shared" si="3"/>
        <v>-</v>
      </c>
      <c r="AE21" s="162" t="str">
        <f t="shared" si="4"/>
        <v>-</v>
      </c>
      <c r="AF21" s="162" t="str">
        <f t="shared" ref="AF21:AF43" si="6">IF(ISNUMBER(AH21),AE21*AH21,"-")</f>
        <v>-</v>
      </c>
      <c r="AG21" s="162" t="str">
        <f t="shared" ref="AG21:AG43" si="7">IF(ISNUMBER(AI21),AE21*AI21,"-")</f>
        <v>-</v>
      </c>
      <c r="AH21" s="162" t="str">
        <f t="shared" ref="AH21:AH43" si="8">IF(ISNUMBER(AE21),IF((0.2603*Y21*SQRT(P21))/(AE21)^1.5&gt;0.3072,0.5,(0.2457+SQRT(0.3072-(0.2603*Y21*SQRT(P21))/(AE21)^1.5))),"-")</f>
        <v>-</v>
      </c>
      <c r="AI21" s="306" t="str">
        <f t="shared" ref="AI21:AI43" si="9">IF(ISNUMBER(AE21),IF((0.4457+SQRT(0.569+(0.2603*Y21*SQRT(P21))/(AE21)^1.5))&gt;1.5,1.5,(0.4457+SQRT(0.569+(0.2603*Y21*SQRT(P21))/(AE21)^1.5))),"-")</f>
        <v>-</v>
      </c>
    </row>
    <row r="22" spans="1:35" ht="15" customHeight="1">
      <c r="A22" s="102"/>
      <c r="B22" s="311">
        <v>3</v>
      </c>
      <c r="C22" s="27" t="str">
        <f>IF(3&gt;N_2,"-",IF(ISNUMBER(F22),MAX(ROUND(Cp/Cpp*U22/'Pre-Test'!$U$46*Tr_2*4/N_2,0)/4,2)+C21,"-"))</f>
        <v>-</v>
      </c>
      <c r="D22" s="516"/>
      <c r="E22" s="516"/>
      <c r="F22" s="158"/>
      <c r="G22" s="246"/>
      <c r="H22" s="246"/>
      <c r="I22" s="247"/>
      <c r="J22" s="159" t="str">
        <f t="shared" si="5"/>
        <v>-</v>
      </c>
      <c r="K22" s="158"/>
      <c r="L22" s="247"/>
      <c r="M22" s="247"/>
      <c r="N22" s="247"/>
      <c r="O22" s="247"/>
      <c r="P22" s="298" t="str">
        <f t="shared" ref="P22:P43" si="10">IF(ISNUMBER(D23),((D23-D22)*Y*(I22+460)/(AVERAGE(G22:H22)+460)*(Pbar_2+K22/13.6)/Ps_2)/(1-Bwse/100)/(C22-C21),"-")</f>
        <v>-</v>
      </c>
      <c r="Q22" s="27" t="str">
        <f t="shared" ref="Q22:Q43" si="11">IF(ISNUMBER(P22),0.15625*((I22+460)/Mwe/Ps_2)^0.2091*(Y22/P22)^0.7091,"-")</f>
        <v>-</v>
      </c>
      <c r="R22" s="27" t="str">
        <f t="shared" ref="R22:R43" si="12">IF(ISNUMBER(P22),IF(Z22&lt;3162,0.0024302*(Y22/P22)^1.1791*SQRT(1/AA22)*((I22+460)/Ps_2/Mwe)^0.679,0.019723*(Y22/P22)^0.8058*SQRT(1/AA22)*((I22+460)/Ps_2/Mwe)^0.3058),"-")</f>
        <v>-</v>
      </c>
      <c r="S22" s="104"/>
      <c r="U22" s="249" t="str">
        <f t="shared" si="0"/>
        <v>-</v>
      </c>
      <c r="V22" s="162" t="str">
        <f t="shared" ref="V22:V43" si="13">IF(ISNUMBER(U22),85.49*Cp*U22*SQRT((I22+460)/Ps_2/Mwe),"-")</f>
        <v>-</v>
      </c>
      <c r="W22" s="73" t="str">
        <f t="shared" ref="W22:W43" si="14">IF(ISNUMBER(D23),Tstd/Pstd*Y*(D23-D22)*(Pbar_2+K22/13.6)/(AVERAGE(G22:H22)+460),"-")</f>
        <v>-</v>
      </c>
      <c r="X22" s="73" t="str">
        <f>IF(ISNUMBER(W22),W22/(C22-C21),"-")</f>
        <v>-</v>
      </c>
      <c r="Y22" s="27" t="str">
        <f t="shared" si="1"/>
        <v>-</v>
      </c>
      <c r="Z22" s="27" t="str">
        <f t="shared" ref="Z22:Z43" si="15">IF(ISNUMBER(Y22),864000*Ps_2*Mwe/(I22+460)*P22/Y22,"-")</f>
        <v>-</v>
      </c>
      <c r="AA22" s="28" t="str">
        <f t="shared" ref="AA22:AA43" si="16">IF(ISNUMBER(Y22),1+0.0057193*(Y22/Ps_2/(IF(ISNUMBER(R22),R22,2.5))*SQRT((I22+460)/Mwe)),"-")</f>
        <v>-</v>
      </c>
      <c r="AC22" s="249" t="str">
        <f t="shared" si="2"/>
        <v>-</v>
      </c>
      <c r="AD22" s="303" t="str">
        <f t="shared" si="3"/>
        <v>-</v>
      </c>
      <c r="AE22" s="162" t="str">
        <f t="shared" si="4"/>
        <v>-</v>
      </c>
      <c r="AF22" s="162" t="str">
        <f t="shared" si="6"/>
        <v>-</v>
      </c>
      <c r="AG22" s="162" t="str">
        <f t="shared" si="7"/>
        <v>-</v>
      </c>
      <c r="AH22" s="162" t="str">
        <f t="shared" si="8"/>
        <v>-</v>
      </c>
      <c r="AI22" s="306" t="str">
        <f t="shared" si="9"/>
        <v>-</v>
      </c>
    </row>
    <row r="23" spans="1:35" ht="15" customHeight="1">
      <c r="A23" s="102"/>
      <c r="B23" s="311">
        <v>4</v>
      </c>
      <c r="C23" s="27" t="str">
        <f>IF(4&gt;N_2,"-",IF(ISNUMBER(F23),MAX(ROUND(Cp/Cpp*U23/'Pre-Test'!$U$46*Tr_2*4/N_2,0)/4,2)+C22,"-"))</f>
        <v>-</v>
      </c>
      <c r="D23" s="516"/>
      <c r="E23" s="516"/>
      <c r="F23" s="158"/>
      <c r="G23" s="246"/>
      <c r="H23" s="246"/>
      <c r="I23" s="247"/>
      <c r="J23" s="159" t="str">
        <f t="shared" si="5"/>
        <v>-</v>
      </c>
      <c r="K23" s="158"/>
      <c r="L23" s="247"/>
      <c r="M23" s="247"/>
      <c r="N23" s="247"/>
      <c r="O23" s="247"/>
      <c r="P23" s="298" t="str">
        <f t="shared" si="10"/>
        <v>-</v>
      </c>
      <c r="Q23" s="27" t="str">
        <f t="shared" si="11"/>
        <v>-</v>
      </c>
      <c r="R23" s="27" t="str">
        <f t="shared" si="12"/>
        <v>-</v>
      </c>
      <c r="S23" s="104"/>
      <c r="U23" s="249" t="str">
        <f t="shared" si="0"/>
        <v>-</v>
      </c>
      <c r="V23" s="162" t="str">
        <f t="shared" si="13"/>
        <v>-</v>
      </c>
      <c r="W23" s="73" t="str">
        <f t="shared" si="14"/>
        <v>-</v>
      </c>
      <c r="X23" s="73" t="str">
        <f t="shared" ref="X23:X43" si="17">IF(ISNUMBER(W23),W23/(C23-C22),"-")</f>
        <v>-</v>
      </c>
      <c r="Y23" s="27" t="str">
        <f t="shared" si="1"/>
        <v>-</v>
      </c>
      <c r="Z23" s="27" t="str">
        <f t="shared" si="15"/>
        <v>-</v>
      </c>
      <c r="AA23" s="28" t="str">
        <f t="shared" si="16"/>
        <v>-</v>
      </c>
      <c r="AC23" s="249" t="str">
        <f t="shared" si="2"/>
        <v>-</v>
      </c>
      <c r="AD23" s="303" t="str">
        <f t="shared" si="3"/>
        <v>-</v>
      </c>
      <c r="AE23" s="162" t="str">
        <f t="shared" si="4"/>
        <v>-</v>
      </c>
      <c r="AF23" s="162" t="str">
        <f t="shared" si="6"/>
        <v>-</v>
      </c>
      <c r="AG23" s="162" t="str">
        <f t="shared" si="7"/>
        <v>-</v>
      </c>
      <c r="AH23" s="162" t="str">
        <f t="shared" si="8"/>
        <v>-</v>
      </c>
      <c r="AI23" s="306" t="str">
        <f t="shared" si="9"/>
        <v>-</v>
      </c>
    </row>
    <row r="24" spans="1:35" ht="15" customHeight="1">
      <c r="A24" s="102"/>
      <c r="B24" s="311">
        <v>5</v>
      </c>
      <c r="C24" s="27" t="str">
        <f>IF(5&gt;N_2,"-",IF(ISNUMBER(F24),MAX(ROUND(Cp/Cpp*U24/'Pre-Test'!$U$46*Tr_2*4/N_2,0)/4,2)+C23,"-"))</f>
        <v>-</v>
      </c>
      <c r="D24" s="516"/>
      <c r="E24" s="516"/>
      <c r="F24" s="158"/>
      <c r="G24" s="246"/>
      <c r="H24" s="246"/>
      <c r="I24" s="247"/>
      <c r="J24" s="159" t="str">
        <f t="shared" si="5"/>
        <v>-</v>
      </c>
      <c r="K24" s="158"/>
      <c r="L24" s="247"/>
      <c r="M24" s="247"/>
      <c r="N24" s="247"/>
      <c r="O24" s="247"/>
      <c r="P24" s="298" t="str">
        <f t="shared" si="10"/>
        <v>-</v>
      </c>
      <c r="Q24" s="27" t="str">
        <f t="shared" si="11"/>
        <v>-</v>
      </c>
      <c r="R24" s="27" t="str">
        <f t="shared" si="12"/>
        <v>-</v>
      </c>
      <c r="S24" s="104"/>
      <c r="U24" s="249" t="str">
        <f t="shared" si="0"/>
        <v>-</v>
      </c>
      <c r="V24" s="162" t="str">
        <f t="shared" si="13"/>
        <v>-</v>
      </c>
      <c r="W24" s="73" t="str">
        <f t="shared" si="14"/>
        <v>-</v>
      </c>
      <c r="X24" s="73" t="str">
        <f t="shared" si="17"/>
        <v>-</v>
      </c>
      <c r="Y24" s="27" t="str">
        <f t="shared" si="1"/>
        <v>-</v>
      </c>
      <c r="Z24" s="27" t="str">
        <f t="shared" si="15"/>
        <v>-</v>
      </c>
      <c r="AA24" s="28" t="str">
        <f t="shared" si="16"/>
        <v>-</v>
      </c>
      <c r="AC24" s="249" t="str">
        <f t="shared" si="2"/>
        <v>-</v>
      </c>
      <c r="AD24" s="303" t="str">
        <f t="shared" si="3"/>
        <v>-</v>
      </c>
      <c r="AE24" s="162" t="str">
        <f t="shared" si="4"/>
        <v>-</v>
      </c>
      <c r="AF24" s="162" t="str">
        <f t="shared" si="6"/>
        <v>-</v>
      </c>
      <c r="AG24" s="162" t="str">
        <f t="shared" si="7"/>
        <v>-</v>
      </c>
      <c r="AH24" s="162" t="str">
        <f t="shared" si="8"/>
        <v>-</v>
      </c>
      <c r="AI24" s="306" t="str">
        <f t="shared" si="9"/>
        <v>-</v>
      </c>
    </row>
    <row r="25" spans="1:35" ht="15" customHeight="1">
      <c r="A25" s="102"/>
      <c r="B25" s="311">
        <v>6</v>
      </c>
      <c r="C25" s="27" t="str">
        <f>IF(6&gt;N_2,"-",IF(ISNUMBER(F25),MAX(ROUND(Cp/Cpp*U25/'Pre-Test'!$U$46*Tr_2*4/N_2,0)/4,2)+C24,"-"))</f>
        <v>-</v>
      </c>
      <c r="D25" s="516"/>
      <c r="E25" s="516"/>
      <c r="F25" s="158"/>
      <c r="G25" s="246"/>
      <c r="H25" s="246"/>
      <c r="I25" s="247"/>
      <c r="J25" s="159" t="str">
        <f t="shared" si="5"/>
        <v>-</v>
      </c>
      <c r="K25" s="158"/>
      <c r="L25" s="247"/>
      <c r="M25" s="247"/>
      <c r="N25" s="247"/>
      <c r="O25" s="247"/>
      <c r="P25" s="298" t="str">
        <f t="shared" si="10"/>
        <v>-</v>
      </c>
      <c r="Q25" s="27" t="str">
        <f t="shared" si="11"/>
        <v>-</v>
      </c>
      <c r="R25" s="27" t="str">
        <f t="shared" si="12"/>
        <v>-</v>
      </c>
      <c r="S25" s="104"/>
      <c r="U25" s="249" t="str">
        <f t="shared" si="0"/>
        <v>-</v>
      </c>
      <c r="V25" s="162" t="str">
        <f t="shared" si="13"/>
        <v>-</v>
      </c>
      <c r="W25" s="73" t="str">
        <f t="shared" si="14"/>
        <v>-</v>
      </c>
      <c r="X25" s="73" t="str">
        <f t="shared" si="17"/>
        <v>-</v>
      </c>
      <c r="Y25" s="27" t="str">
        <f t="shared" si="1"/>
        <v>-</v>
      </c>
      <c r="Z25" s="27" t="str">
        <f t="shared" si="15"/>
        <v>-</v>
      </c>
      <c r="AA25" s="28" t="str">
        <f t="shared" si="16"/>
        <v>-</v>
      </c>
      <c r="AC25" s="249" t="str">
        <f t="shared" si="2"/>
        <v>-</v>
      </c>
      <c r="AD25" s="303" t="str">
        <f t="shared" si="3"/>
        <v>-</v>
      </c>
      <c r="AE25" s="162" t="str">
        <f t="shared" si="4"/>
        <v>-</v>
      </c>
      <c r="AF25" s="162" t="str">
        <f t="shared" si="6"/>
        <v>-</v>
      </c>
      <c r="AG25" s="162" t="str">
        <f t="shared" si="7"/>
        <v>-</v>
      </c>
      <c r="AH25" s="162" t="str">
        <f t="shared" si="8"/>
        <v>-</v>
      </c>
      <c r="AI25" s="306" t="str">
        <f t="shared" si="9"/>
        <v>-</v>
      </c>
    </row>
    <row r="26" spans="1:35" ht="15" customHeight="1">
      <c r="A26" s="102"/>
      <c r="B26" s="311">
        <v>7</v>
      </c>
      <c r="C26" s="27" t="str">
        <f>IF(7&gt;N_2,"-",IF(ISNUMBER(F26),MAX(ROUND(Cp/Cpp*U26/'Pre-Test'!$U$46*Tr_2*4/N_2,0)/4,2)+C25,"-"))</f>
        <v>-</v>
      </c>
      <c r="D26" s="516"/>
      <c r="E26" s="516"/>
      <c r="F26" s="158"/>
      <c r="G26" s="246"/>
      <c r="H26" s="246"/>
      <c r="I26" s="247"/>
      <c r="J26" s="159" t="str">
        <f t="shared" si="5"/>
        <v>-</v>
      </c>
      <c r="K26" s="158"/>
      <c r="L26" s="247"/>
      <c r="M26" s="247"/>
      <c r="N26" s="247"/>
      <c r="O26" s="247"/>
      <c r="P26" s="298" t="str">
        <f t="shared" si="10"/>
        <v>-</v>
      </c>
      <c r="Q26" s="27" t="str">
        <f t="shared" si="11"/>
        <v>-</v>
      </c>
      <c r="R26" s="27" t="str">
        <f t="shared" si="12"/>
        <v>-</v>
      </c>
      <c r="S26" s="104"/>
      <c r="U26" s="249" t="str">
        <f t="shared" si="0"/>
        <v>-</v>
      </c>
      <c r="V26" s="162" t="str">
        <f t="shared" si="13"/>
        <v>-</v>
      </c>
      <c r="W26" s="73" t="str">
        <f t="shared" si="14"/>
        <v>-</v>
      </c>
      <c r="X26" s="73" t="str">
        <f t="shared" si="17"/>
        <v>-</v>
      </c>
      <c r="Y26" s="27" t="str">
        <f t="shared" si="1"/>
        <v>-</v>
      </c>
      <c r="Z26" s="27" t="str">
        <f t="shared" si="15"/>
        <v>-</v>
      </c>
      <c r="AA26" s="28" t="str">
        <f t="shared" si="16"/>
        <v>-</v>
      </c>
      <c r="AC26" s="249" t="str">
        <f t="shared" si="2"/>
        <v>-</v>
      </c>
      <c r="AD26" s="303" t="str">
        <f t="shared" si="3"/>
        <v>-</v>
      </c>
      <c r="AE26" s="162" t="str">
        <f t="shared" si="4"/>
        <v>-</v>
      </c>
      <c r="AF26" s="162" t="str">
        <f t="shared" si="6"/>
        <v>-</v>
      </c>
      <c r="AG26" s="162" t="str">
        <f t="shared" si="7"/>
        <v>-</v>
      </c>
      <c r="AH26" s="162" t="str">
        <f t="shared" si="8"/>
        <v>-</v>
      </c>
      <c r="AI26" s="306" t="str">
        <f t="shared" si="9"/>
        <v>-</v>
      </c>
    </row>
    <row r="27" spans="1:35" ht="15" customHeight="1">
      <c r="A27" s="102"/>
      <c r="B27" s="311">
        <v>8</v>
      </c>
      <c r="C27" s="27" t="str">
        <f>IF(8&gt;N_2,"-",IF(ISNUMBER(F27),MAX(ROUND(Cp/Cpp*U27/'Pre-Test'!$U$46*Tr_2*4/N_2,0)/4,2)+C26,"-"))</f>
        <v>-</v>
      </c>
      <c r="D27" s="516"/>
      <c r="E27" s="516"/>
      <c r="F27" s="158"/>
      <c r="G27" s="246"/>
      <c r="H27" s="246"/>
      <c r="I27" s="247"/>
      <c r="J27" s="159" t="str">
        <f t="shared" si="5"/>
        <v>-</v>
      </c>
      <c r="K27" s="158"/>
      <c r="L27" s="247"/>
      <c r="M27" s="247"/>
      <c r="N27" s="247"/>
      <c r="O27" s="247"/>
      <c r="P27" s="298" t="str">
        <f t="shared" si="10"/>
        <v>-</v>
      </c>
      <c r="Q27" s="27" t="str">
        <f t="shared" si="11"/>
        <v>-</v>
      </c>
      <c r="R27" s="27" t="str">
        <f t="shared" si="12"/>
        <v>-</v>
      </c>
      <c r="S27" s="104"/>
      <c r="U27" s="249" t="str">
        <f t="shared" si="0"/>
        <v>-</v>
      </c>
      <c r="V27" s="162" t="str">
        <f t="shared" si="13"/>
        <v>-</v>
      </c>
      <c r="W27" s="73" t="str">
        <f t="shared" si="14"/>
        <v>-</v>
      </c>
      <c r="X27" s="73" t="str">
        <f t="shared" si="17"/>
        <v>-</v>
      </c>
      <c r="Y27" s="27" t="str">
        <f t="shared" si="1"/>
        <v>-</v>
      </c>
      <c r="Z27" s="27" t="str">
        <f t="shared" si="15"/>
        <v>-</v>
      </c>
      <c r="AA27" s="28" t="str">
        <f t="shared" si="16"/>
        <v>-</v>
      </c>
      <c r="AC27" s="249" t="str">
        <f t="shared" si="2"/>
        <v>-</v>
      </c>
      <c r="AD27" s="303" t="str">
        <f t="shared" si="3"/>
        <v>-</v>
      </c>
      <c r="AE27" s="162" t="str">
        <f t="shared" si="4"/>
        <v>-</v>
      </c>
      <c r="AF27" s="162" t="str">
        <f t="shared" si="6"/>
        <v>-</v>
      </c>
      <c r="AG27" s="162" t="str">
        <f t="shared" si="7"/>
        <v>-</v>
      </c>
      <c r="AH27" s="162" t="str">
        <f t="shared" si="8"/>
        <v>-</v>
      </c>
      <c r="AI27" s="306" t="str">
        <f t="shared" si="9"/>
        <v>-</v>
      </c>
    </row>
    <row r="28" spans="1:35" ht="15" customHeight="1">
      <c r="A28" s="102"/>
      <c r="B28" s="311">
        <v>9</v>
      </c>
      <c r="C28" s="27" t="str">
        <f>IF(9&gt;N_2,"-",IF(ISNUMBER(F28),MAX(ROUND(Cp/Cpp*U28/'Pre-Test'!$U$46*Tr_2*4/N_2,0)/4,2)+C27,"-"))</f>
        <v>-</v>
      </c>
      <c r="D28" s="516"/>
      <c r="E28" s="516"/>
      <c r="F28" s="158"/>
      <c r="G28" s="246"/>
      <c r="H28" s="246"/>
      <c r="I28" s="247"/>
      <c r="J28" s="159" t="str">
        <f t="shared" si="5"/>
        <v>-</v>
      </c>
      <c r="K28" s="158"/>
      <c r="L28" s="247"/>
      <c r="M28" s="247"/>
      <c r="N28" s="247"/>
      <c r="O28" s="247"/>
      <c r="P28" s="298" t="str">
        <f t="shared" si="10"/>
        <v>-</v>
      </c>
      <c r="Q28" s="27" t="str">
        <f t="shared" si="11"/>
        <v>-</v>
      </c>
      <c r="R28" s="27" t="str">
        <f t="shared" si="12"/>
        <v>-</v>
      </c>
      <c r="S28" s="104"/>
      <c r="U28" s="249" t="str">
        <f t="shared" si="0"/>
        <v>-</v>
      </c>
      <c r="V28" s="162" t="str">
        <f t="shared" si="13"/>
        <v>-</v>
      </c>
      <c r="W28" s="73" t="str">
        <f t="shared" si="14"/>
        <v>-</v>
      </c>
      <c r="X28" s="73" t="str">
        <f t="shared" si="17"/>
        <v>-</v>
      </c>
      <c r="Y28" s="27" t="str">
        <f t="shared" si="1"/>
        <v>-</v>
      </c>
      <c r="Z28" s="27" t="str">
        <f t="shared" si="15"/>
        <v>-</v>
      </c>
      <c r="AA28" s="28" t="str">
        <f t="shared" si="16"/>
        <v>-</v>
      </c>
      <c r="AC28" s="249" t="str">
        <f t="shared" si="2"/>
        <v>-</v>
      </c>
      <c r="AD28" s="303" t="str">
        <f t="shared" si="3"/>
        <v>-</v>
      </c>
      <c r="AE28" s="162" t="str">
        <f t="shared" si="4"/>
        <v>-</v>
      </c>
      <c r="AF28" s="162" t="str">
        <f t="shared" si="6"/>
        <v>-</v>
      </c>
      <c r="AG28" s="162" t="str">
        <f t="shared" si="7"/>
        <v>-</v>
      </c>
      <c r="AH28" s="162" t="str">
        <f t="shared" si="8"/>
        <v>-</v>
      </c>
      <c r="AI28" s="306" t="str">
        <f t="shared" si="9"/>
        <v>-</v>
      </c>
    </row>
    <row r="29" spans="1:35" ht="15" customHeight="1">
      <c r="A29" s="102"/>
      <c r="B29" s="311">
        <v>10</v>
      </c>
      <c r="C29" s="27" t="str">
        <f>IF(10&gt;N_2,"-",IF(ISNUMBER(F29),MAX(ROUND(Cp/Cpp*U29/'Pre-Test'!$U$46*Tr_2*4/N_2,0)/4,2)+C28,"-"))</f>
        <v>-</v>
      </c>
      <c r="D29" s="516"/>
      <c r="E29" s="516"/>
      <c r="F29" s="158"/>
      <c r="G29" s="246"/>
      <c r="H29" s="246"/>
      <c r="I29" s="247"/>
      <c r="J29" s="159" t="str">
        <f t="shared" si="5"/>
        <v>-</v>
      </c>
      <c r="K29" s="158"/>
      <c r="L29" s="247"/>
      <c r="M29" s="247"/>
      <c r="N29" s="247"/>
      <c r="O29" s="247"/>
      <c r="P29" s="298" t="str">
        <f t="shared" si="10"/>
        <v>-</v>
      </c>
      <c r="Q29" s="27" t="str">
        <f t="shared" si="11"/>
        <v>-</v>
      </c>
      <c r="R29" s="27" t="str">
        <f t="shared" si="12"/>
        <v>-</v>
      </c>
      <c r="S29" s="104"/>
      <c r="U29" s="249" t="str">
        <f t="shared" si="0"/>
        <v>-</v>
      </c>
      <c r="V29" s="162" t="str">
        <f t="shared" si="13"/>
        <v>-</v>
      </c>
      <c r="W29" s="73" t="str">
        <f t="shared" si="14"/>
        <v>-</v>
      </c>
      <c r="X29" s="73" t="str">
        <f t="shared" si="17"/>
        <v>-</v>
      </c>
      <c r="Y29" s="27" t="str">
        <f t="shared" si="1"/>
        <v>-</v>
      </c>
      <c r="Z29" s="27" t="str">
        <f t="shared" si="15"/>
        <v>-</v>
      </c>
      <c r="AA29" s="28" t="str">
        <f t="shared" si="16"/>
        <v>-</v>
      </c>
      <c r="AC29" s="249" t="str">
        <f t="shared" si="2"/>
        <v>-</v>
      </c>
      <c r="AD29" s="303" t="str">
        <f t="shared" si="3"/>
        <v>-</v>
      </c>
      <c r="AE29" s="162" t="str">
        <f t="shared" si="4"/>
        <v>-</v>
      </c>
      <c r="AF29" s="162" t="str">
        <f t="shared" si="6"/>
        <v>-</v>
      </c>
      <c r="AG29" s="162" t="str">
        <f t="shared" si="7"/>
        <v>-</v>
      </c>
      <c r="AH29" s="162" t="str">
        <f t="shared" si="8"/>
        <v>-</v>
      </c>
      <c r="AI29" s="306" t="str">
        <f t="shared" si="9"/>
        <v>-</v>
      </c>
    </row>
    <row r="30" spans="1:35" ht="15" customHeight="1">
      <c r="A30" s="102"/>
      <c r="B30" s="311">
        <v>11</v>
      </c>
      <c r="C30" s="27" t="str">
        <f>IF(11&gt;N_2,"-",IF(ISNUMBER(F30),MAX(ROUND(Cp/Cpp*U30/'Pre-Test'!$U$46*Tr_2*4/N_2,0)/4,2)+C29,"-"))</f>
        <v>-</v>
      </c>
      <c r="D30" s="516"/>
      <c r="E30" s="516"/>
      <c r="F30" s="158"/>
      <c r="G30" s="246"/>
      <c r="H30" s="246"/>
      <c r="I30" s="247"/>
      <c r="J30" s="159" t="str">
        <f t="shared" si="5"/>
        <v>-</v>
      </c>
      <c r="K30" s="158"/>
      <c r="L30" s="247"/>
      <c r="M30" s="247"/>
      <c r="N30" s="247"/>
      <c r="O30" s="247"/>
      <c r="P30" s="298" t="str">
        <f t="shared" si="10"/>
        <v>-</v>
      </c>
      <c r="Q30" s="27" t="str">
        <f t="shared" si="11"/>
        <v>-</v>
      </c>
      <c r="R30" s="27" t="str">
        <f t="shared" si="12"/>
        <v>-</v>
      </c>
      <c r="S30" s="104"/>
      <c r="U30" s="249" t="str">
        <f t="shared" si="0"/>
        <v>-</v>
      </c>
      <c r="V30" s="162" t="str">
        <f t="shared" si="13"/>
        <v>-</v>
      </c>
      <c r="W30" s="73" t="str">
        <f t="shared" si="14"/>
        <v>-</v>
      </c>
      <c r="X30" s="73" t="str">
        <f t="shared" si="17"/>
        <v>-</v>
      </c>
      <c r="Y30" s="27" t="str">
        <f t="shared" si="1"/>
        <v>-</v>
      </c>
      <c r="Z30" s="27" t="str">
        <f t="shared" si="15"/>
        <v>-</v>
      </c>
      <c r="AA30" s="28" t="str">
        <f t="shared" si="16"/>
        <v>-</v>
      </c>
      <c r="AC30" s="249" t="str">
        <f t="shared" si="2"/>
        <v>-</v>
      </c>
      <c r="AD30" s="303" t="str">
        <f t="shared" si="3"/>
        <v>-</v>
      </c>
      <c r="AE30" s="162" t="str">
        <f t="shared" si="4"/>
        <v>-</v>
      </c>
      <c r="AF30" s="162" t="str">
        <f t="shared" si="6"/>
        <v>-</v>
      </c>
      <c r="AG30" s="162" t="str">
        <f t="shared" si="7"/>
        <v>-</v>
      </c>
      <c r="AH30" s="162" t="str">
        <f t="shared" si="8"/>
        <v>-</v>
      </c>
      <c r="AI30" s="306" t="str">
        <f t="shared" si="9"/>
        <v>-</v>
      </c>
    </row>
    <row r="31" spans="1:35" ht="15" customHeight="1">
      <c r="A31" s="102"/>
      <c r="B31" s="311">
        <v>12</v>
      </c>
      <c r="C31" s="27" t="str">
        <f>IF(12&gt;N_2,"-",IF(ISNUMBER(F31),MAX(ROUND(Cp/Cpp*U31/'Pre-Test'!$U$46*Tr_2*4/N_2,0)/4,2)+C30,"-"))</f>
        <v>-</v>
      </c>
      <c r="D31" s="516"/>
      <c r="E31" s="516"/>
      <c r="F31" s="158"/>
      <c r="G31" s="246"/>
      <c r="H31" s="246"/>
      <c r="I31" s="247"/>
      <c r="J31" s="159" t="str">
        <f t="shared" si="5"/>
        <v>-</v>
      </c>
      <c r="K31" s="158"/>
      <c r="L31" s="247"/>
      <c r="M31" s="247"/>
      <c r="N31" s="247"/>
      <c r="O31" s="247"/>
      <c r="P31" s="298" t="str">
        <f t="shared" si="10"/>
        <v>-</v>
      </c>
      <c r="Q31" s="27" t="str">
        <f t="shared" si="11"/>
        <v>-</v>
      </c>
      <c r="R31" s="27" t="str">
        <f t="shared" si="12"/>
        <v>-</v>
      </c>
      <c r="S31" s="104"/>
      <c r="U31" s="249" t="str">
        <f t="shared" si="0"/>
        <v>-</v>
      </c>
      <c r="V31" s="162" t="str">
        <f t="shared" si="13"/>
        <v>-</v>
      </c>
      <c r="W31" s="73" t="str">
        <f t="shared" si="14"/>
        <v>-</v>
      </c>
      <c r="X31" s="73" t="str">
        <f t="shared" si="17"/>
        <v>-</v>
      </c>
      <c r="Y31" s="27" t="str">
        <f t="shared" si="1"/>
        <v>-</v>
      </c>
      <c r="Z31" s="27" t="str">
        <f t="shared" si="15"/>
        <v>-</v>
      </c>
      <c r="AA31" s="28" t="str">
        <f t="shared" si="16"/>
        <v>-</v>
      </c>
      <c r="AC31" s="249" t="str">
        <f t="shared" si="2"/>
        <v>-</v>
      </c>
      <c r="AD31" s="303" t="str">
        <f t="shared" si="3"/>
        <v>-</v>
      </c>
      <c r="AE31" s="162" t="str">
        <f t="shared" si="4"/>
        <v>-</v>
      </c>
      <c r="AF31" s="162" t="str">
        <f t="shared" si="6"/>
        <v>-</v>
      </c>
      <c r="AG31" s="162" t="str">
        <f t="shared" si="7"/>
        <v>-</v>
      </c>
      <c r="AH31" s="162" t="str">
        <f t="shared" si="8"/>
        <v>-</v>
      </c>
      <c r="AI31" s="306" t="str">
        <f t="shared" si="9"/>
        <v>-</v>
      </c>
    </row>
    <row r="32" spans="1:35" ht="15" customHeight="1">
      <c r="A32" s="102"/>
      <c r="B32" s="311">
        <v>13</v>
      </c>
      <c r="C32" s="27" t="str">
        <f>IF(13&gt;N_2,"-",IF(ISNUMBER(F32),MAX(ROUND(Cp/Cpp*U32/'Pre-Test'!$U$46*Tr_2*4/N_2,0)/4,2)+C31,"-"))</f>
        <v>-</v>
      </c>
      <c r="D32" s="516"/>
      <c r="E32" s="516"/>
      <c r="F32" s="158"/>
      <c r="G32" s="246"/>
      <c r="H32" s="246"/>
      <c r="I32" s="247"/>
      <c r="J32" s="159" t="str">
        <f t="shared" si="5"/>
        <v>-</v>
      </c>
      <c r="K32" s="158"/>
      <c r="L32" s="247"/>
      <c r="M32" s="247"/>
      <c r="N32" s="247"/>
      <c r="O32" s="247"/>
      <c r="P32" s="298" t="str">
        <f t="shared" si="10"/>
        <v>-</v>
      </c>
      <c r="Q32" s="27" t="str">
        <f t="shared" si="11"/>
        <v>-</v>
      </c>
      <c r="R32" s="27" t="str">
        <f t="shared" si="12"/>
        <v>-</v>
      </c>
      <c r="S32" s="104"/>
      <c r="U32" s="249" t="str">
        <f t="shared" si="0"/>
        <v>-</v>
      </c>
      <c r="V32" s="162" t="str">
        <f t="shared" si="13"/>
        <v>-</v>
      </c>
      <c r="W32" s="73" t="str">
        <f t="shared" si="14"/>
        <v>-</v>
      </c>
      <c r="X32" s="73" t="str">
        <f t="shared" si="17"/>
        <v>-</v>
      </c>
      <c r="Y32" s="27" t="str">
        <f t="shared" si="1"/>
        <v>-</v>
      </c>
      <c r="Z32" s="27" t="str">
        <f t="shared" si="15"/>
        <v>-</v>
      </c>
      <c r="AA32" s="28" t="str">
        <f t="shared" si="16"/>
        <v>-</v>
      </c>
      <c r="AC32" s="249" t="str">
        <f t="shared" si="2"/>
        <v>-</v>
      </c>
      <c r="AD32" s="303" t="str">
        <f t="shared" si="3"/>
        <v>-</v>
      </c>
      <c r="AE32" s="162" t="str">
        <f t="shared" si="4"/>
        <v>-</v>
      </c>
      <c r="AF32" s="162" t="str">
        <f t="shared" si="6"/>
        <v>-</v>
      </c>
      <c r="AG32" s="162" t="str">
        <f t="shared" si="7"/>
        <v>-</v>
      </c>
      <c r="AH32" s="162" t="str">
        <f t="shared" si="8"/>
        <v>-</v>
      </c>
      <c r="AI32" s="306" t="str">
        <f t="shared" si="9"/>
        <v>-</v>
      </c>
    </row>
    <row r="33" spans="1:35" ht="15" customHeight="1">
      <c r="A33" s="102"/>
      <c r="B33" s="311">
        <v>14</v>
      </c>
      <c r="C33" s="27" t="str">
        <f>IF(14&gt;N_2,"-",IF(ISNUMBER(F33),MAX(ROUND(Cp/Cpp*U33/'Pre-Test'!$U$46*Tr_2*4/N_2,0)/4,2)+C32,"-"))</f>
        <v>-</v>
      </c>
      <c r="D33" s="516"/>
      <c r="E33" s="516"/>
      <c r="F33" s="158"/>
      <c r="G33" s="246"/>
      <c r="H33" s="246"/>
      <c r="I33" s="247"/>
      <c r="J33" s="159" t="str">
        <f t="shared" si="5"/>
        <v>-</v>
      </c>
      <c r="K33" s="158"/>
      <c r="L33" s="247"/>
      <c r="M33" s="247"/>
      <c r="N33" s="247"/>
      <c r="O33" s="247"/>
      <c r="P33" s="298" t="str">
        <f t="shared" si="10"/>
        <v>-</v>
      </c>
      <c r="Q33" s="27" t="str">
        <f t="shared" si="11"/>
        <v>-</v>
      </c>
      <c r="R33" s="27" t="str">
        <f t="shared" si="12"/>
        <v>-</v>
      </c>
      <c r="S33" s="104"/>
      <c r="U33" s="249" t="str">
        <f t="shared" si="0"/>
        <v>-</v>
      </c>
      <c r="V33" s="162" t="str">
        <f t="shared" si="13"/>
        <v>-</v>
      </c>
      <c r="W33" s="73" t="str">
        <f t="shared" si="14"/>
        <v>-</v>
      </c>
      <c r="X33" s="73" t="str">
        <f t="shared" si="17"/>
        <v>-</v>
      </c>
      <c r="Y33" s="27" t="str">
        <f t="shared" si="1"/>
        <v>-</v>
      </c>
      <c r="Z33" s="27" t="str">
        <f t="shared" si="15"/>
        <v>-</v>
      </c>
      <c r="AA33" s="28" t="str">
        <f t="shared" si="16"/>
        <v>-</v>
      </c>
      <c r="AC33" s="249" t="str">
        <f t="shared" si="2"/>
        <v>-</v>
      </c>
      <c r="AD33" s="303" t="str">
        <f t="shared" si="3"/>
        <v>-</v>
      </c>
      <c r="AE33" s="162" t="str">
        <f t="shared" si="4"/>
        <v>-</v>
      </c>
      <c r="AF33" s="162" t="str">
        <f t="shared" si="6"/>
        <v>-</v>
      </c>
      <c r="AG33" s="162" t="str">
        <f t="shared" si="7"/>
        <v>-</v>
      </c>
      <c r="AH33" s="162" t="str">
        <f t="shared" si="8"/>
        <v>-</v>
      </c>
      <c r="AI33" s="306" t="str">
        <f t="shared" si="9"/>
        <v>-</v>
      </c>
    </row>
    <row r="34" spans="1:35" ht="15" customHeight="1">
      <c r="A34" s="102"/>
      <c r="B34" s="311">
        <v>15</v>
      </c>
      <c r="C34" s="27" t="str">
        <f>IF(15&gt;N_2,"-",IF(ISNUMBER(F34),MAX(ROUND(Cp/Cpp*U34/'Pre-Test'!$U$46*Tr_2*4/N_2,0)/4,2)+C33,"-"))</f>
        <v>-</v>
      </c>
      <c r="D34" s="516"/>
      <c r="E34" s="516"/>
      <c r="F34" s="158"/>
      <c r="G34" s="246"/>
      <c r="H34" s="246"/>
      <c r="I34" s="247"/>
      <c r="J34" s="159" t="str">
        <f t="shared" si="5"/>
        <v>-</v>
      </c>
      <c r="K34" s="158"/>
      <c r="L34" s="247"/>
      <c r="M34" s="247"/>
      <c r="N34" s="247"/>
      <c r="O34" s="247"/>
      <c r="P34" s="298" t="str">
        <f t="shared" si="10"/>
        <v>-</v>
      </c>
      <c r="Q34" s="27" t="str">
        <f t="shared" si="11"/>
        <v>-</v>
      </c>
      <c r="R34" s="27" t="str">
        <f t="shared" si="12"/>
        <v>-</v>
      </c>
      <c r="S34" s="104"/>
      <c r="U34" s="249" t="str">
        <f t="shared" si="0"/>
        <v>-</v>
      </c>
      <c r="V34" s="162" t="str">
        <f t="shared" si="13"/>
        <v>-</v>
      </c>
      <c r="W34" s="73" t="str">
        <f t="shared" si="14"/>
        <v>-</v>
      </c>
      <c r="X34" s="73" t="str">
        <f t="shared" si="17"/>
        <v>-</v>
      </c>
      <c r="Y34" s="27" t="str">
        <f t="shared" si="1"/>
        <v>-</v>
      </c>
      <c r="Z34" s="27" t="str">
        <f t="shared" si="15"/>
        <v>-</v>
      </c>
      <c r="AA34" s="28" t="str">
        <f t="shared" si="16"/>
        <v>-</v>
      </c>
      <c r="AC34" s="249" t="str">
        <f t="shared" si="2"/>
        <v>-</v>
      </c>
      <c r="AD34" s="303" t="str">
        <f t="shared" si="3"/>
        <v>-</v>
      </c>
      <c r="AE34" s="162" t="str">
        <f t="shared" si="4"/>
        <v>-</v>
      </c>
      <c r="AF34" s="162" t="str">
        <f t="shared" si="6"/>
        <v>-</v>
      </c>
      <c r="AG34" s="162" t="str">
        <f t="shared" si="7"/>
        <v>-</v>
      </c>
      <c r="AH34" s="162" t="str">
        <f t="shared" si="8"/>
        <v>-</v>
      </c>
      <c r="AI34" s="306" t="str">
        <f t="shared" si="9"/>
        <v>-</v>
      </c>
    </row>
    <row r="35" spans="1:35" ht="15" customHeight="1">
      <c r="A35" s="102"/>
      <c r="B35" s="311">
        <v>16</v>
      </c>
      <c r="C35" s="27" t="str">
        <f>IF(16&gt;N_2,"-",IF(ISNUMBER(F35),MAX(ROUND(Cp/Cpp*U35/'Pre-Test'!$U$46*Tr_2*4/N_2,0)/4,2)+C34,"-"))</f>
        <v>-</v>
      </c>
      <c r="D35" s="516"/>
      <c r="E35" s="516"/>
      <c r="F35" s="158"/>
      <c r="G35" s="246"/>
      <c r="H35" s="246"/>
      <c r="I35" s="247"/>
      <c r="J35" s="159" t="str">
        <f t="shared" si="5"/>
        <v>-</v>
      </c>
      <c r="K35" s="158"/>
      <c r="L35" s="247"/>
      <c r="M35" s="247"/>
      <c r="N35" s="247"/>
      <c r="O35" s="247"/>
      <c r="P35" s="298" t="str">
        <f t="shared" si="10"/>
        <v>-</v>
      </c>
      <c r="Q35" s="27" t="str">
        <f t="shared" si="11"/>
        <v>-</v>
      </c>
      <c r="R35" s="27" t="str">
        <f t="shared" si="12"/>
        <v>-</v>
      </c>
      <c r="S35" s="104"/>
      <c r="U35" s="249" t="str">
        <f t="shared" si="0"/>
        <v>-</v>
      </c>
      <c r="V35" s="162" t="str">
        <f t="shared" si="13"/>
        <v>-</v>
      </c>
      <c r="W35" s="73" t="str">
        <f t="shared" si="14"/>
        <v>-</v>
      </c>
      <c r="X35" s="73" t="str">
        <f t="shared" si="17"/>
        <v>-</v>
      </c>
      <c r="Y35" s="27" t="str">
        <f t="shared" si="1"/>
        <v>-</v>
      </c>
      <c r="Z35" s="27" t="str">
        <f t="shared" si="15"/>
        <v>-</v>
      </c>
      <c r="AA35" s="28" t="str">
        <f t="shared" si="16"/>
        <v>-</v>
      </c>
      <c r="AC35" s="249" t="str">
        <f t="shared" si="2"/>
        <v>-</v>
      </c>
      <c r="AD35" s="303" t="str">
        <f t="shared" si="3"/>
        <v>-</v>
      </c>
      <c r="AE35" s="162" t="str">
        <f t="shared" si="4"/>
        <v>-</v>
      </c>
      <c r="AF35" s="162" t="str">
        <f t="shared" si="6"/>
        <v>-</v>
      </c>
      <c r="AG35" s="162" t="str">
        <f t="shared" si="7"/>
        <v>-</v>
      </c>
      <c r="AH35" s="162" t="str">
        <f t="shared" si="8"/>
        <v>-</v>
      </c>
      <c r="AI35" s="306" t="str">
        <f t="shared" si="9"/>
        <v>-</v>
      </c>
    </row>
    <row r="36" spans="1:35" ht="15" customHeight="1">
      <c r="A36" s="102"/>
      <c r="B36" s="311">
        <v>17</v>
      </c>
      <c r="C36" s="27" t="str">
        <f>IF(17&gt;N_2,"-",IF(ISNUMBER(F36),MAX(ROUND(Cp/Cpp*U36/'Pre-Test'!$U$46*Tr_2*4/N_2,0)/4,2)+C35,"-"))</f>
        <v>-</v>
      </c>
      <c r="D36" s="516"/>
      <c r="E36" s="516"/>
      <c r="F36" s="158"/>
      <c r="G36" s="246"/>
      <c r="H36" s="246"/>
      <c r="I36" s="247"/>
      <c r="J36" s="159" t="str">
        <f t="shared" si="5"/>
        <v>-</v>
      </c>
      <c r="K36" s="158"/>
      <c r="L36" s="247"/>
      <c r="M36" s="247"/>
      <c r="N36" s="247"/>
      <c r="O36" s="247"/>
      <c r="P36" s="298" t="str">
        <f t="shared" si="10"/>
        <v>-</v>
      </c>
      <c r="Q36" s="27" t="str">
        <f t="shared" si="11"/>
        <v>-</v>
      </c>
      <c r="R36" s="27" t="str">
        <f t="shared" si="12"/>
        <v>-</v>
      </c>
      <c r="S36" s="104"/>
      <c r="U36" s="249" t="str">
        <f t="shared" si="0"/>
        <v>-</v>
      </c>
      <c r="V36" s="162" t="str">
        <f t="shared" si="13"/>
        <v>-</v>
      </c>
      <c r="W36" s="73" t="str">
        <f t="shared" si="14"/>
        <v>-</v>
      </c>
      <c r="X36" s="73" t="str">
        <f t="shared" si="17"/>
        <v>-</v>
      </c>
      <c r="Y36" s="27" t="str">
        <f t="shared" si="1"/>
        <v>-</v>
      </c>
      <c r="Z36" s="27" t="str">
        <f t="shared" si="15"/>
        <v>-</v>
      </c>
      <c r="AA36" s="28" t="str">
        <f t="shared" si="16"/>
        <v>-</v>
      </c>
      <c r="AC36" s="249" t="str">
        <f t="shared" si="2"/>
        <v>-</v>
      </c>
      <c r="AD36" s="303" t="str">
        <f t="shared" si="3"/>
        <v>-</v>
      </c>
      <c r="AE36" s="162" t="str">
        <f t="shared" si="4"/>
        <v>-</v>
      </c>
      <c r="AF36" s="162" t="str">
        <f t="shared" si="6"/>
        <v>-</v>
      </c>
      <c r="AG36" s="162" t="str">
        <f t="shared" si="7"/>
        <v>-</v>
      </c>
      <c r="AH36" s="162" t="str">
        <f t="shared" si="8"/>
        <v>-</v>
      </c>
      <c r="AI36" s="306" t="str">
        <f t="shared" si="9"/>
        <v>-</v>
      </c>
    </row>
    <row r="37" spans="1:35" ht="15" customHeight="1">
      <c r="A37" s="102"/>
      <c r="B37" s="311">
        <v>18</v>
      </c>
      <c r="C37" s="27" t="str">
        <f>IF(18&gt;N_2,"-",IF(ISNUMBER(F37),MAX(ROUND(Cp/Cpp*U37/'Pre-Test'!$U$46*Tr_2*4/N_2,0)/4,2)+C36,"-"))</f>
        <v>-</v>
      </c>
      <c r="D37" s="516"/>
      <c r="E37" s="516"/>
      <c r="F37" s="158"/>
      <c r="G37" s="246"/>
      <c r="H37" s="246"/>
      <c r="I37" s="247"/>
      <c r="J37" s="159" t="str">
        <f t="shared" si="5"/>
        <v>-</v>
      </c>
      <c r="K37" s="158"/>
      <c r="L37" s="247"/>
      <c r="M37" s="247"/>
      <c r="N37" s="247"/>
      <c r="O37" s="247"/>
      <c r="P37" s="298" t="str">
        <f t="shared" si="10"/>
        <v>-</v>
      </c>
      <c r="Q37" s="27" t="str">
        <f t="shared" si="11"/>
        <v>-</v>
      </c>
      <c r="R37" s="27" t="str">
        <f t="shared" si="12"/>
        <v>-</v>
      </c>
      <c r="S37" s="104"/>
      <c r="U37" s="249" t="str">
        <f t="shared" si="0"/>
        <v>-</v>
      </c>
      <c r="V37" s="162" t="str">
        <f t="shared" si="13"/>
        <v>-</v>
      </c>
      <c r="W37" s="73" t="str">
        <f t="shared" si="14"/>
        <v>-</v>
      </c>
      <c r="X37" s="73" t="str">
        <f t="shared" si="17"/>
        <v>-</v>
      </c>
      <c r="Y37" s="27" t="str">
        <f t="shared" si="1"/>
        <v>-</v>
      </c>
      <c r="Z37" s="27" t="str">
        <f t="shared" si="15"/>
        <v>-</v>
      </c>
      <c r="AA37" s="28" t="str">
        <f t="shared" si="16"/>
        <v>-</v>
      </c>
      <c r="AC37" s="249" t="str">
        <f t="shared" si="2"/>
        <v>-</v>
      </c>
      <c r="AD37" s="303" t="str">
        <f t="shared" si="3"/>
        <v>-</v>
      </c>
      <c r="AE37" s="162" t="str">
        <f t="shared" si="4"/>
        <v>-</v>
      </c>
      <c r="AF37" s="162" t="str">
        <f t="shared" si="6"/>
        <v>-</v>
      </c>
      <c r="AG37" s="162" t="str">
        <f t="shared" si="7"/>
        <v>-</v>
      </c>
      <c r="AH37" s="162" t="str">
        <f t="shared" si="8"/>
        <v>-</v>
      </c>
      <c r="AI37" s="306" t="str">
        <f t="shared" si="9"/>
        <v>-</v>
      </c>
    </row>
    <row r="38" spans="1:35" ht="15" customHeight="1">
      <c r="A38" s="102"/>
      <c r="B38" s="311">
        <v>19</v>
      </c>
      <c r="C38" s="27" t="str">
        <f>IF(19&gt;N_2,"-",IF(ISNUMBER(F38),MAX(ROUND(Cp/Cpp*U38/'Pre-Test'!$U$46*Tr_2*4/N_2,0)/4,2)+C37,"-"))</f>
        <v>-</v>
      </c>
      <c r="D38" s="516"/>
      <c r="E38" s="516"/>
      <c r="F38" s="158"/>
      <c r="G38" s="246"/>
      <c r="H38" s="246"/>
      <c r="I38" s="247"/>
      <c r="J38" s="159" t="str">
        <f t="shared" si="5"/>
        <v>-</v>
      </c>
      <c r="K38" s="158"/>
      <c r="L38" s="247"/>
      <c r="M38" s="247"/>
      <c r="N38" s="247"/>
      <c r="O38" s="247"/>
      <c r="P38" s="298" t="str">
        <f t="shared" si="10"/>
        <v>-</v>
      </c>
      <c r="Q38" s="27" t="str">
        <f t="shared" si="11"/>
        <v>-</v>
      </c>
      <c r="R38" s="27" t="str">
        <f t="shared" si="12"/>
        <v>-</v>
      </c>
      <c r="S38" s="104"/>
      <c r="U38" s="249" t="str">
        <f t="shared" si="0"/>
        <v>-</v>
      </c>
      <c r="V38" s="162" t="str">
        <f t="shared" si="13"/>
        <v>-</v>
      </c>
      <c r="W38" s="73" t="str">
        <f t="shared" si="14"/>
        <v>-</v>
      </c>
      <c r="X38" s="73" t="str">
        <f t="shared" si="17"/>
        <v>-</v>
      </c>
      <c r="Y38" s="27" t="str">
        <f t="shared" si="1"/>
        <v>-</v>
      </c>
      <c r="Z38" s="27" t="str">
        <f t="shared" si="15"/>
        <v>-</v>
      </c>
      <c r="AA38" s="28" t="str">
        <f t="shared" si="16"/>
        <v>-</v>
      </c>
      <c r="AC38" s="249" t="str">
        <f t="shared" si="2"/>
        <v>-</v>
      </c>
      <c r="AD38" s="303" t="str">
        <f t="shared" si="3"/>
        <v>-</v>
      </c>
      <c r="AE38" s="162" t="str">
        <f t="shared" si="4"/>
        <v>-</v>
      </c>
      <c r="AF38" s="162" t="str">
        <f t="shared" si="6"/>
        <v>-</v>
      </c>
      <c r="AG38" s="162" t="str">
        <f t="shared" si="7"/>
        <v>-</v>
      </c>
      <c r="AH38" s="162" t="str">
        <f t="shared" si="8"/>
        <v>-</v>
      </c>
      <c r="AI38" s="306" t="str">
        <f t="shared" si="9"/>
        <v>-</v>
      </c>
    </row>
    <row r="39" spans="1:35" ht="15" customHeight="1">
      <c r="A39" s="102"/>
      <c r="B39" s="311">
        <v>20</v>
      </c>
      <c r="C39" s="27" t="str">
        <f>IF(20&gt;N_2,"-",IF(ISNUMBER(F39),MAX(ROUND(Cp/Cpp*U39/'Pre-Test'!$U$46*Tr_2*4/N_2,0)/4,2)+C38,"-"))</f>
        <v>-</v>
      </c>
      <c r="D39" s="516"/>
      <c r="E39" s="516"/>
      <c r="F39" s="158"/>
      <c r="G39" s="246"/>
      <c r="H39" s="246"/>
      <c r="I39" s="247"/>
      <c r="J39" s="159" t="str">
        <f t="shared" si="5"/>
        <v>-</v>
      </c>
      <c r="K39" s="158"/>
      <c r="L39" s="247"/>
      <c r="M39" s="247"/>
      <c r="N39" s="247"/>
      <c r="O39" s="247"/>
      <c r="P39" s="298" t="str">
        <f t="shared" si="10"/>
        <v>-</v>
      </c>
      <c r="Q39" s="27" t="str">
        <f t="shared" si="11"/>
        <v>-</v>
      </c>
      <c r="R39" s="27" t="str">
        <f t="shared" si="12"/>
        <v>-</v>
      </c>
      <c r="S39" s="104"/>
      <c r="U39" s="249" t="str">
        <f t="shared" si="0"/>
        <v>-</v>
      </c>
      <c r="V39" s="162" t="str">
        <f t="shared" si="13"/>
        <v>-</v>
      </c>
      <c r="W39" s="73" t="str">
        <f t="shared" si="14"/>
        <v>-</v>
      </c>
      <c r="X39" s="73" t="str">
        <f t="shared" si="17"/>
        <v>-</v>
      </c>
      <c r="Y39" s="27" t="str">
        <f t="shared" si="1"/>
        <v>-</v>
      </c>
      <c r="Z39" s="27" t="str">
        <f t="shared" si="15"/>
        <v>-</v>
      </c>
      <c r="AA39" s="28" t="str">
        <f t="shared" si="16"/>
        <v>-</v>
      </c>
      <c r="AC39" s="249" t="str">
        <f t="shared" si="2"/>
        <v>-</v>
      </c>
      <c r="AD39" s="303" t="str">
        <f t="shared" si="3"/>
        <v>-</v>
      </c>
      <c r="AE39" s="162" t="str">
        <f t="shared" si="4"/>
        <v>-</v>
      </c>
      <c r="AF39" s="162" t="str">
        <f t="shared" si="6"/>
        <v>-</v>
      </c>
      <c r="AG39" s="162" t="str">
        <f t="shared" si="7"/>
        <v>-</v>
      </c>
      <c r="AH39" s="162" t="str">
        <f t="shared" si="8"/>
        <v>-</v>
      </c>
      <c r="AI39" s="306" t="str">
        <f t="shared" si="9"/>
        <v>-</v>
      </c>
    </row>
    <row r="40" spans="1:35" ht="15" customHeight="1">
      <c r="A40" s="102"/>
      <c r="B40" s="311">
        <v>21</v>
      </c>
      <c r="C40" s="27" t="str">
        <f>IF(21&gt;N_2,"-",IF(ISNUMBER(F40),MAX(ROUND(Cp/Cpp*U40/'Pre-Test'!$U$46*Tr_2*4/N_2,0)/4,2)+C39,"-"))</f>
        <v>-</v>
      </c>
      <c r="D40" s="516"/>
      <c r="E40" s="516"/>
      <c r="F40" s="158"/>
      <c r="G40" s="246"/>
      <c r="H40" s="246"/>
      <c r="I40" s="247"/>
      <c r="J40" s="159" t="str">
        <f t="shared" si="5"/>
        <v>-</v>
      </c>
      <c r="K40" s="158"/>
      <c r="L40" s="247"/>
      <c r="M40" s="247"/>
      <c r="N40" s="247"/>
      <c r="O40" s="247"/>
      <c r="P40" s="298" t="str">
        <f t="shared" si="10"/>
        <v>-</v>
      </c>
      <c r="Q40" s="27" t="str">
        <f t="shared" si="11"/>
        <v>-</v>
      </c>
      <c r="R40" s="27" t="str">
        <f t="shared" si="12"/>
        <v>-</v>
      </c>
      <c r="S40" s="104"/>
      <c r="U40" s="249" t="str">
        <f t="shared" si="0"/>
        <v>-</v>
      </c>
      <c r="V40" s="162" t="str">
        <f t="shared" si="13"/>
        <v>-</v>
      </c>
      <c r="W40" s="73" t="str">
        <f t="shared" si="14"/>
        <v>-</v>
      </c>
      <c r="X40" s="73" t="str">
        <f t="shared" si="17"/>
        <v>-</v>
      </c>
      <c r="Y40" s="27" t="str">
        <f t="shared" si="1"/>
        <v>-</v>
      </c>
      <c r="Z40" s="27" t="str">
        <f t="shared" si="15"/>
        <v>-</v>
      </c>
      <c r="AA40" s="28" t="str">
        <f t="shared" si="16"/>
        <v>-</v>
      </c>
      <c r="AC40" s="249" t="str">
        <f t="shared" si="2"/>
        <v>-</v>
      </c>
      <c r="AD40" s="303" t="str">
        <f t="shared" si="3"/>
        <v>-</v>
      </c>
      <c r="AE40" s="162" t="str">
        <f t="shared" si="4"/>
        <v>-</v>
      </c>
      <c r="AF40" s="162" t="str">
        <f t="shared" si="6"/>
        <v>-</v>
      </c>
      <c r="AG40" s="162" t="str">
        <f t="shared" si="7"/>
        <v>-</v>
      </c>
      <c r="AH40" s="162" t="str">
        <f t="shared" si="8"/>
        <v>-</v>
      </c>
      <c r="AI40" s="306" t="str">
        <f t="shared" si="9"/>
        <v>-</v>
      </c>
    </row>
    <row r="41" spans="1:35" ht="15" customHeight="1">
      <c r="A41" s="102"/>
      <c r="B41" s="311">
        <v>22</v>
      </c>
      <c r="C41" s="27" t="str">
        <f>IF(22&gt;N_2,"-",IF(ISNUMBER(F41),MAX(ROUND(Cp/Cpp*U41/'Pre-Test'!$U$46*Tr_2*4/N_2,0)/4,2)+C40,"-"))</f>
        <v>-</v>
      </c>
      <c r="D41" s="516"/>
      <c r="E41" s="516"/>
      <c r="F41" s="158"/>
      <c r="G41" s="246"/>
      <c r="H41" s="246"/>
      <c r="I41" s="247"/>
      <c r="J41" s="159" t="str">
        <f t="shared" si="5"/>
        <v>-</v>
      </c>
      <c r="K41" s="158"/>
      <c r="L41" s="247"/>
      <c r="M41" s="247"/>
      <c r="N41" s="247"/>
      <c r="O41" s="247"/>
      <c r="P41" s="298" t="str">
        <f t="shared" si="10"/>
        <v>-</v>
      </c>
      <c r="Q41" s="27" t="str">
        <f t="shared" si="11"/>
        <v>-</v>
      </c>
      <c r="R41" s="27" t="str">
        <f t="shared" si="12"/>
        <v>-</v>
      </c>
      <c r="S41" s="104"/>
      <c r="U41" s="249" t="str">
        <f t="shared" si="0"/>
        <v>-</v>
      </c>
      <c r="V41" s="162" t="str">
        <f t="shared" si="13"/>
        <v>-</v>
      </c>
      <c r="W41" s="73" t="str">
        <f t="shared" si="14"/>
        <v>-</v>
      </c>
      <c r="X41" s="73" t="str">
        <f t="shared" si="17"/>
        <v>-</v>
      </c>
      <c r="Y41" s="27" t="str">
        <f t="shared" si="1"/>
        <v>-</v>
      </c>
      <c r="Z41" s="27" t="str">
        <f t="shared" si="15"/>
        <v>-</v>
      </c>
      <c r="AA41" s="28" t="str">
        <f t="shared" si="16"/>
        <v>-</v>
      </c>
      <c r="AC41" s="249" t="str">
        <f t="shared" si="2"/>
        <v>-</v>
      </c>
      <c r="AD41" s="303" t="str">
        <f t="shared" si="3"/>
        <v>-</v>
      </c>
      <c r="AE41" s="162" t="str">
        <f t="shared" si="4"/>
        <v>-</v>
      </c>
      <c r="AF41" s="162" t="str">
        <f t="shared" si="6"/>
        <v>-</v>
      </c>
      <c r="AG41" s="162" t="str">
        <f t="shared" si="7"/>
        <v>-</v>
      </c>
      <c r="AH41" s="162" t="str">
        <f t="shared" si="8"/>
        <v>-</v>
      </c>
      <c r="AI41" s="306" t="str">
        <f t="shared" si="9"/>
        <v>-</v>
      </c>
    </row>
    <row r="42" spans="1:35" ht="15" customHeight="1">
      <c r="A42" s="102"/>
      <c r="B42" s="311">
        <v>23</v>
      </c>
      <c r="C42" s="27" t="str">
        <f>IF(23&gt;N_2,"-",IF(ISNUMBER(F42),MAX(ROUND(Cp/Cpp*U42/'Pre-Test'!$U$46*Tr_2*4/N_2,0)/4,2)+C41,"-"))</f>
        <v>-</v>
      </c>
      <c r="D42" s="516"/>
      <c r="E42" s="516"/>
      <c r="F42" s="158"/>
      <c r="G42" s="246"/>
      <c r="H42" s="246"/>
      <c r="I42" s="247"/>
      <c r="J42" s="159" t="str">
        <f t="shared" si="5"/>
        <v>-</v>
      </c>
      <c r="K42" s="158"/>
      <c r="L42" s="247"/>
      <c r="M42" s="247"/>
      <c r="N42" s="247"/>
      <c r="O42" s="247"/>
      <c r="P42" s="298" t="str">
        <f t="shared" si="10"/>
        <v>-</v>
      </c>
      <c r="Q42" s="27" t="str">
        <f t="shared" si="11"/>
        <v>-</v>
      </c>
      <c r="R42" s="27" t="str">
        <f t="shared" si="12"/>
        <v>-</v>
      </c>
      <c r="S42" s="104"/>
      <c r="U42" s="249" t="str">
        <f t="shared" si="0"/>
        <v>-</v>
      </c>
      <c r="V42" s="162" t="str">
        <f t="shared" si="13"/>
        <v>-</v>
      </c>
      <c r="W42" s="73" t="str">
        <f t="shared" si="14"/>
        <v>-</v>
      </c>
      <c r="X42" s="73" t="str">
        <f t="shared" si="17"/>
        <v>-</v>
      </c>
      <c r="Y42" s="27" t="str">
        <f t="shared" si="1"/>
        <v>-</v>
      </c>
      <c r="Z42" s="27" t="str">
        <f t="shared" si="15"/>
        <v>-</v>
      </c>
      <c r="AA42" s="28" t="str">
        <f t="shared" si="16"/>
        <v>-</v>
      </c>
      <c r="AC42" s="249" t="str">
        <f t="shared" si="2"/>
        <v>-</v>
      </c>
      <c r="AD42" s="303" t="str">
        <f t="shared" si="3"/>
        <v>-</v>
      </c>
      <c r="AE42" s="162" t="str">
        <f t="shared" si="4"/>
        <v>-</v>
      </c>
      <c r="AF42" s="162" t="str">
        <f t="shared" si="6"/>
        <v>-</v>
      </c>
      <c r="AG42" s="162" t="str">
        <f t="shared" si="7"/>
        <v>-</v>
      </c>
      <c r="AH42" s="162" t="str">
        <f t="shared" si="8"/>
        <v>-</v>
      </c>
      <c r="AI42" s="306" t="str">
        <f t="shared" si="9"/>
        <v>-</v>
      </c>
    </row>
    <row r="43" spans="1:35" ht="15" customHeight="1" thickBot="1">
      <c r="A43" s="102"/>
      <c r="B43" s="312">
        <v>24</v>
      </c>
      <c r="C43" s="65" t="str">
        <f>IF(24&gt;N_2,"-",IF(ISNUMBER(F43),MAX(ROUND(Cp/Cpp*U43/'Pre-Test'!$U$46*Tr_2*4/N_2,0)/4,2)+C42,"-"))</f>
        <v>-</v>
      </c>
      <c r="D43" s="516"/>
      <c r="E43" s="516"/>
      <c r="F43" s="250"/>
      <c r="G43" s="251"/>
      <c r="H43" s="251"/>
      <c r="I43" s="252"/>
      <c r="J43" s="177" t="str">
        <f t="shared" si="5"/>
        <v>-</v>
      </c>
      <c r="K43" s="250"/>
      <c r="L43" s="253"/>
      <c r="M43" s="253"/>
      <c r="N43" s="253"/>
      <c r="O43" s="253"/>
      <c r="P43" s="254" t="str">
        <f t="shared" si="10"/>
        <v>-</v>
      </c>
      <c r="Q43" s="65" t="str">
        <f t="shared" si="11"/>
        <v>-</v>
      </c>
      <c r="R43" s="65" t="str">
        <f t="shared" si="12"/>
        <v>-</v>
      </c>
      <c r="S43" s="104"/>
      <c r="U43" s="255" t="str">
        <f t="shared" si="0"/>
        <v>-</v>
      </c>
      <c r="V43" s="256" t="str">
        <f t="shared" si="13"/>
        <v>-</v>
      </c>
      <c r="W43" s="74" t="str">
        <f t="shared" si="14"/>
        <v>-</v>
      </c>
      <c r="X43" s="74" t="str">
        <f t="shared" si="17"/>
        <v>-</v>
      </c>
      <c r="Y43" s="44" t="str">
        <f t="shared" si="1"/>
        <v>-</v>
      </c>
      <c r="Z43" s="44" t="str">
        <f t="shared" si="15"/>
        <v>-</v>
      </c>
      <c r="AA43" s="45" t="str">
        <f t="shared" si="16"/>
        <v>-</v>
      </c>
      <c r="AC43" s="301" t="str">
        <f t="shared" si="2"/>
        <v>-</v>
      </c>
      <c r="AD43" s="304" t="str">
        <f t="shared" si="3"/>
        <v>-</v>
      </c>
      <c r="AE43" s="169" t="str">
        <f t="shared" si="4"/>
        <v>-</v>
      </c>
      <c r="AF43" s="169" t="str">
        <f t="shared" si="6"/>
        <v>-</v>
      </c>
      <c r="AG43" s="169" t="str">
        <f t="shared" si="7"/>
        <v>-</v>
      </c>
      <c r="AH43" s="169" t="str">
        <f t="shared" si="8"/>
        <v>-</v>
      </c>
      <c r="AI43" s="307" t="str">
        <f t="shared" si="9"/>
        <v>-</v>
      </c>
    </row>
    <row r="44" spans="1:35" ht="15" customHeight="1" thickBot="1">
      <c r="A44" s="102"/>
      <c r="B44" s="179"/>
      <c r="C44" s="187"/>
      <c r="D44" s="517"/>
      <c r="E44" s="518"/>
      <c r="F44" s="38"/>
      <c r="G44" s="38"/>
      <c r="H44" s="39"/>
      <c r="I44" s="39"/>
      <c r="J44" s="257"/>
      <c r="K44" s="40"/>
      <c r="L44" s="40"/>
      <c r="M44" s="41"/>
      <c r="N44" s="42"/>
      <c r="O44" s="40"/>
      <c r="P44" s="40"/>
      <c r="Q44" s="41"/>
      <c r="R44" s="42"/>
      <c r="S44" s="104"/>
      <c r="U44" s="43" t="str">
        <f>IF(ISNUMBER(U20),AVERAGE(U20:U43),"-")</f>
        <v>-</v>
      </c>
      <c r="V44" s="46" t="str">
        <f>IF(ISNUMBER(V20),AVERAGE(V20:V43),"-")</f>
        <v>-</v>
      </c>
      <c r="W44" s="81" t="str">
        <f>IF(ISNUMBER(W20),SUM(W20:W43),"-")</f>
        <v>-</v>
      </c>
      <c r="X44" s="81" t="str">
        <f>IF(ISNUMBER(X20),SUM(X20:X43),"-")</f>
        <v>-</v>
      </c>
      <c r="Y44" s="31" t="str">
        <f>IF(ISNUMBER(Y20),AVERAGE(Y20:Y43),"-")</f>
        <v>-</v>
      </c>
      <c r="Z44" s="31" t="str">
        <f>IF(ISNUMBER(Z20),AVERAGE(Z20:Z43),"-")</f>
        <v>-</v>
      </c>
      <c r="AA44" s="75" t="str">
        <f>IF(ISNUMBER(AA20),AVERAGE(AA20:AA43),"-")</f>
        <v>-</v>
      </c>
      <c r="AB44" s="258" t="s">
        <v>210</v>
      </c>
    </row>
    <row r="45" spans="1:35" ht="15" customHeight="1" thickBot="1">
      <c r="A45" s="102"/>
      <c r="B45" s="179"/>
      <c r="C45" s="179"/>
      <c r="D45" s="182"/>
      <c r="E45" s="183"/>
      <c r="F45" s="38"/>
      <c r="G45" s="38"/>
      <c r="H45" s="39"/>
      <c r="I45" s="39"/>
      <c r="J45" s="257"/>
      <c r="K45" s="40"/>
      <c r="L45" s="40"/>
      <c r="M45" s="42"/>
      <c r="N45" s="42"/>
      <c r="O45" s="40"/>
      <c r="P45" s="40"/>
      <c r="Q45" s="42"/>
      <c r="R45" s="42"/>
      <c r="S45" s="104"/>
    </row>
    <row r="46" spans="1:35" ht="15" customHeight="1">
      <c r="A46" s="102"/>
      <c r="B46" s="398" t="s">
        <v>201</v>
      </c>
      <c r="C46" s="502"/>
      <c r="D46" s="471" t="s">
        <v>205</v>
      </c>
      <c r="E46" s="472"/>
      <c r="F46" s="513" t="s">
        <v>207</v>
      </c>
      <c r="G46" s="472"/>
      <c r="H46" s="472"/>
      <c r="I46" s="499" t="s">
        <v>203</v>
      </c>
      <c r="J46" s="500"/>
      <c r="K46" s="499" t="s">
        <v>204</v>
      </c>
      <c r="L46" s="500"/>
      <c r="M46" s="57" t="s">
        <v>59</v>
      </c>
      <c r="N46" s="506" t="s">
        <v>208</v>
      </c>
      <c r="O46" s="506"/>
      <c r="P46" s="471" t="s">
        <v>209</v>
      </c>
      <c r="Q46" s="509"/>
      <c r="R46" s="510"/>
      <c r="S46" s="104"/>
    </row>
    <row r="47" spans="1:35" ht="17.25" customHeight="1">
      <c r="A47" s="102"/>
      <c r="B47" s="503"/>
      <c r="C47" s="504"/>
      <c r="D47" s="505"/>
      <c r="E47" s="505"/>
      <c r="F47" s="505"/>
      <c r="G47" s="505"/>
      <c r="H47" s="505"/>
      <c r="I47" s="259" t="str">
        <f>IF(ISNUMBER(I48),I48+459.67,"-")</f>
        <v>-</v>
      </c>
      <c r="J47" s="260" t="s">
        <v>140</v>
      </c>
      <c r="K47" s="259" t="str">
        <f>IF(ISNUMBER(K48),K48+459.67,"-")</f>
        <v>-</v>
      </c>
      <c r="L47" s="260" t="s">
        <v>140</v>
      </c>
      <c r="M47" s="13" t="s">
        <v>26</v>
      </c>
      <c r="N47" s="418"/>
      <c r="O47" s="418"/>
      <c r="P47" s="511"/>
      <c r="Q47" s="511"/>
      <c r="R47" s="512"/>
      <c r="S47" s="104"/>
    </row>
    <row r="48" spans="1:35" ht="18" customHeight="1" thickBot="1">
      <c r="A48" s="102"/>
      <c r="B48" s="261" t="str">
        <f>IF(ISNUMBER(C20),MAX(C20:C43),"-")</f>
        <v>-</v>
      </c>
      <c r="C48" s="262" t="s">
        <v>80</v>
      </c>
      <c r="D48" s="263" t="str">
        <f>IF(ISNUMBER(D20),MAX(D20:E44)-MIN(D20:E44),"-")</f>
        <v>-</v>
      </c>
      <c r="E48" s="264" t="s">
        <v>45</v>
      </c>
      <c r="F48" s="263" t="str">
        <f>IF(ISNUMBER(F20),AVERAGE($F$20:$F$43),"-")</f>
        <v>-</v>
      </c>
      <c r="G48" s="496" t="s">
        <v>206</v>
      </c>
      <c r="H48" s="497"/>
      <c r="I48" s="265" t="str">
        <f>IF(ISNUMBER(G20),AVERAGE($G$20:$H$43),"-")</f>
        <v>-</v>
      </c>
      <c r="J48" s="266" t="s">
        <v>58</v>
      </c>
      <c r="K48" s="265" t="str">
        <f>IF(ISNUMBER(I20),AVERAGE($I$20:$I$43),"-")</f>
        <v>-</v>
      </c>
      <c r="L48" s="266" t="s">
        <v>58</v>
      </c>
      <c r="M48" s="267">
        <f>MAX(L20:L43)</f>
        <v>0</v>
      </c>
      <c r="N48" s="268" t="str">
        <f>IF(ISNUMBER(K20),AVERAGE($K$20:$K$43),"-")</f>
        <v>-</v>
      </c>
      <c r="O48" s="269" t="s">
        <v>206</v>
      </c>
      <c r="P48" s="507" t="str">
        <f>IF(ISNUMBER($F$20),85.49*Cp*dPsqavg_2*SQRT(Ts_2/Ps_2/Mwe),"-")</f>
        <v>-</v>
      </c>
      <c r="Q48" s="508"/>
      <c r="R48" s="270" t="s">
        <v>202</v>
      </c>
      <c r="S48" s="104"/>
    </row>
    <row r="49" spans="1:29" ht="15" customHeight="1">
      <c r="A49" s="102"/>
      <c r="B49" s="56"/>
      <c r="C49" s="47"/>
      <c r="D49" s="47"/>
      <c r="E49" s="47"/>
      <c r="F49" s="47"/>
      <c r="G49" s="100"/>
      <c r="H49" s="47"/>
      <c r="I49" s="271"/>
      <c r="J49" s="100"/>
      <c r="K49" s="271"/>
      <c r="L49" s="47"/>
      <c r="M49" s="47"/>
      <c r="N49" s="47"/>
      <c r="O49" s="47"/>
      <c r="P49" s="47"/>
      <c r="Q49" s="47"/>
      <c r="R49" s="47"/>
      <c r="S49" s="104"/>
    </row>
    <row r="50" spans="1:29" ht="15" customHeight="1">
      <c r="A50" s="102"/>
      <c r="B50" s="56"/>
      <c r="C50" s="501"/>
      <c r="D50" s="501"/>
      <c r="E50" s="501"/>
      <c r="F50" s="501"/>
      <c r="G50" s="48"/>
      <c r="H50" s="492"/>
      <c r="I50" s="493"/>
      <c r="J50" s="493"/>
      <c r="K50" s="492"/>
      <c r="L50" s="493"/>
      <c r="M50" s="493"/>
      <c r="N50" s="514"/>
      <c r="O50" s="514"/>
      <c r="P50" s="491"/>
      <c r="Q50" s="514"/>
      <c r="R50" s="491"/>
      <c r="S50" s="104"/>
    </row>
    <row r="51" spans="1:29" ht="15" customHeight="1">
      <c r="A51" s="102"/>
      <c r="B51" s="56"/>
      <c r="C51" s="85"/>
      <c r="D51" s="272"/>
      <c r="E51" s="85"/>
      <c r="F51" s="272"/>
      <c r="G51" s="49"/>
      <c r="H51" s="494"/>
      <c r="I51" s="495"/>
      <c r="J51" s="51"/>
      <c r="K51" s="494"/>
      <c r="L51" s="495"/>
      <c r="M51" s="52"/>
      <c r="N51" s="53"/>
      <c r="O51" s="498"/>
      <c r="P51" s="491"/>
      <c r="Q51" s="50"/>
      <c r="R51" s="48"/>
      <c r="S51" s="104"/>
    </row>
    <row r="52" spans="1:29" ht="15" customHeight="1">
      <c r="A52" s="102"/>
      <c r="B52" s="56"/>
      <c r="C52" s="273"/>
      <c r="D52" s="272"/>
      <c r="E52" s="273"/>
      <c r="F52" s="272"/>
      <c r="G52" s="54"/>
      <c r="H52" s="490"/>
      <c r="I52" s="491"/>
      <c r="J52" s="51"/>
      <c r="K52" s="490"/>
      <c r="L52" s="491"/>
      <c r="M52" s="52"/>
      <c r="N52" s="55"/>
      <c r="O52" s="498"/>
      <c r="P52" s="491"/>
      <c r="Q52" s="50"/>
      <c r="R52" s="48"/>
      <c r="S52" s="104"/>
    </row>
    <row r="53" spans="1:29" ht="15" customHeight="1">
      <c r="A53" s="102"/>
      <c r="B53" s="47"/>
      <c r="C53" s="79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104"/>
    </row>
    <row r="54" spans="1:29" ht="15" customHeight="1" thickBot="1">
      <c r="A54" s="102"/>
      <c r="B54" s="125"/>
      <c r="C54" s="125"/>
      <c r="D54" s="125"/>
      <c r="E54" s="125"/>
      <c r="F54" s="125"/>
      <c r="G54" s="125"/>
      <c r="H54" s="125"/>
      <c r="I54" s="125"/>
      <c r="J54" s="47"/>
      <c r="K54" s="125"/>
      <c r="L54" s="125"/>
      <c r="M54" s="125"/>
      <c r="N54" s="125"/>
      <c r="O54" s="125"/>
      <c r="P54" s="125"/>
      <c r="Q54" s="125"/>
      <c r="R54" s="125"/>
      <c r="S54" s="104"/>
      <c r="U54" s="173"/>
      <c r="V54" s="47"/>
      <c r="W54" s="47"/>
      <c r="X54" s="47"/>
      <c r="Y54" s="47"/>
      <c r="Z54" s="101"/>
      <c r="AA54" s="47"/>
      <c r="AB54" s="47"/>
      <c r="AC54" s="47"/>
    </row>
    <row r="55" spans="1:29" ht="15" customHeight="1">
      <c r="A55" s="102"/>
      <c r="B55" s="189"/>
      <c r="C55" s="189" t="s">
        <v>76</v>
      </c>
      <c r="D55" s="190"/>
      <c r="E55" s="190"/>
      <c r="F55" s="191"/>
      <c r="G55" s="192"/>
      <c r="H55" s="193"/>
      <c r="I55" s="193"/>
      <c r="J55" s="47"/>
      <c r="K55" s="189"/>
      <c r="L55" s="189" t="s">
        <v>63</v>
      </c>
      <c r="M55" s="190"/>
      <c r="N55" s="190"/>
      <c r="O55" s="191"/>
      <c r="P55" s="192"/>
      <c r="Q55" s="193"/>
      <c r="R55" s="193"/>
      <c r="S55" s="104"/>
      <c r="U55" s="173"/>
      <c r="V55" s="47"/>
      <c r="W55" s="47"/>
      <c r="X55" s="47"/>
      <c r="Y55" s="47"/>
      <c r="Z55" s="101"/>
      <c r="AA55" s="47"/>
      <c r="AB55" s="47"/>
      <c r="AC55" s="47"/>
    </row>
    <row r="56" spans="1:29" ht="5.25" customHeight="1" thickBot="1">
      <c r="A56" s="131"/>
      <c r="B56" s="125"/>
      <c r="C56" s="125"/>
      <c r="D56" s="125"/>
      <c r="E56" s="125"/>
      <c r="F56" s="125"/>
      <c r="G56" s="125"/>
      <c r="H56" s="194"/>
      <c r="I56" s="125"/>
      <c r="J56" s="125"/>
      <c r="K56" s="125"/>
      <c r="L56" s="195"/>
      <c r="M56" s="194"/>
      <c r="N56" s="125"/>
      <c r="O56" s="195"/>
      <c r="P56" s="195"/>
      <c r="Q56" s="195"/>
      <c r="R56" s="195"/>
      <c r="S56" s="126"/>
      <c r="T56" s="47"/>
      <c r="U56" s="173"/>
      <c r="V56" s="47"/>
      <c r="W56" s="47"/>
      <c r="X56" s="47"/>
      <c r="Y56" s="47"/>
      <c r="Z56" s="101"/>
      <c r="AA56" s="47"/>
      <c r="AB56" s="47"/>
      <c r="AC56" s="47"/>
    </row>
    <row r="57" spans="1:29" ht="15" customHeight="1">
      <c r="B57" s="99"/>
      <c r="C57" s="99"/>
      <c r="D57" s="99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173"/>
      <c r="V57" s="47"/>
      <c r="W57" s="47"/>
      <c r="X57" s="47"/>
      <c r="Y57" s="47"/>
      <c r="Z57" s="101"/>
      <c r="AA57" s="47"/>
      <c r="AB57" s="47"/>
      <c r="AC57" s="47"/>
    </row>
    <row r="58" spans="1:2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</row>
    <row r="59" spans="1:29" ht="15" customHeight="1">
      <c r="B59" s="99"/>
      <c r="C59" s="99"/>
      <c r="D59" s="99"/>
      <c r="E59" s="99"/>
      <c r="F59" s="99"/>
      <c r="G59" s="196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</row>
    <row r="60" spans="1:2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</row>
    <row r="61" spans="1:2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2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</row>
    <row r="63" spans="1:2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2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N1439" s="99"/>
      <c r="O1439" s="99"/>
      <c r="P1439" s="99"/>
      <c r="Q1439" s="99"/>
      <c r="R1439" s="99"/>
    </row>
    <row r="1440" spans="2:18" ht="15" customHeight="1">
      <c r="B1440" s="99"/>
      <c r="C1440" s="99"/>
      <c r="D1440" s="99"/>
      <c r="E1440" s="99"/>
      <c r="F1440" s="99"/>
      <c r="G1440" s="99"/>
      <c r="H1440" s="99"/>
      <c r="I1440" s="99"/>
      <c r="J1440" s="99"/>
      <c r="K1440" s="99"/>
      <c r="L1440" s="99"/>
      <c r="M1440" s="99"/>
      <c r="N1440" s="99"/>
      <c r="O1440" s="99"/>
      <c r="P1440" s="99"/>
      <c r="Q1440" s="99"/>
      <c r="R1440" s="99"/>
    </row>
    <row r="1441" spans="2:18" ht="15" customHeight="1">
      <c r="B1441" s="99"/>
      <c r="C1441" s="99"/>
      <c r="D1441" s="99"/>
      <c r="E1441" s="99"/>
      <c r="F1441" s="99"/>
      <c r="G1441" s="99"/>
      <c r="H1441" s="99"/>
      <c r="I1441" s="99"/>
      <c r="J1441" s="99"/>
      <c r="K1441" s="99"/>
      <c r="L1441" s="99"/>
      <c r="M1441" s="99"/>
      <c r="N1441" s="99"/>
      <c r="O1441" s="99"/>
      <c r="P1441" s="99"/>
      <c r="Q1441" s="99"/>
      <c r="R1441" s="99"/>
    </row>
    <row r="1442" spans="2:18" ht="15" customHeight="1">
      <c r="B1442" s="99"/>
      <c r="C1442" s="99"/>
      <c r="D1442" s="99"/>
      <c r="E1442" s="99"/>
      <c r="F1442" s="99"/>
      <c r="G1442" s="99"/>
      <c r="H1442" s="99"/>
      <c r="I1442" s="99"/>
      <c r="J1442" s="99"/>
      <c r="K1442" s="99"/>
      <c r="L1442" s="99"/>
      <c r="M1442" s="99"/>
      <c r="N1442" s="99"/>
      <c r="O1442" s="99"/>
      <c r="P1442" s="99"/>
      <c r="Q1442" s="99"/>
      <c r="R1442" s="99"/>
    </row>
    <row r="1443" spans="2:18" ht="15" customHeight="1">
      <c r="B1443" s="99"/>
      <c r="C1443" s="99"/>
      <c r="D1443" s="99"/>
      <c r="E1443" s="99"/>
      <c r="F1443" s="99"/>
      <c r="G1443" s="99"/>
      <c r="H1443" s="99"/>
      <c r="I1443" s="99"/>
      <c r="J1443" s="99"/>
      <c r="K1443" s="99"/>
      <c r="L1443" s="99"/>
      <c r="M1443" s="99"/>
      <c r="N1443" s="99"/>
      <c r="O1443" s="99"/>
      <c r="P1443" s="99"/>
      <c r="Q1443" s="99"/>
      <c r="R1443" s="99"/>
    </row>
    <row r="1444" spans="2:18" ht="15" customHeight="1">
      <c r="B1444" s="99"/>
      <c r="C1444" s="99"/>
      <c r="D1444" s="99"/>
      <c r="E1444" s="99"/>
      <c r="F1444" s="99"/>
      <c r="G1444" s="99"/>
      <c r="H1444" s="99"/>
      <c r="I1444" s="99"/>
      <c r="J1444" s="99"/>
      <c r="K1444" s="99"/>
      <c r="L1444" s="99"/>
      <c r="M1444" s="99"/>
      <c r="N1444" s="99"/>
      <c r="O1444" s="99"/>
      <c r="P1444" s="99"/>
      <c r="Q1444" s="99"/>
      <c r="R1444" s="99"/>
    </row>
  </sheetData>
  <sheetProtection sheet="1" objects="1" scenarios="1"/>
  <mergeCells count="95">
    <mergeCell ref="O52:P52"/>
    <mergeCell ref="H51:I51"/>
    <mergeCell ref="K3:L3"/>
    <mergeCell ref="AA18:AA19"/>
    <mergeCell ref="U18:U19"/>
    <mergeCell ref="V18:V19"/>
    <mergeCell ref="W18:W19"/>
    <mergeCell ref="X18:X19"/>
    <mergeCell ref="Z18:Z19"/>
    <mergeCell ref="H52:I52"/>
    <mergeCell ref="H50:J50"/>
    <mergeCell ref="K50:M50"/>
    <mergeCell ref="K51:L51"/>
    <mergeCell ref="K52:L52"/>
    <mergeCell ref="O51:P51"/>
    <mergeCell ref="Q50:R50"/>
    <mergeCell ref="D24:E24"/>
    <mergeCell ref="D25:E25"/>
    <mergeCell ref="D26:E26"/>
    <mergeCell ref="D27:E27"/>
    <mergeCell ref="D44:E44"/>
    <mergeCell ref="D36:E36"/>
    <mergeCell ref="D37:E37"/>
    <mergeCell ref="D30:E30"/>
    <mergeCell ref="D35:E35"/>
    <mergeCell ref="D31:E31"/>
    <mergeCell ref="D32:E32"/>
    <mergeCell ref="D28:E28"/>
    <mergeCell ref="D29:E29"/>
    <mergeCell ref="D33:E33"/>
    <mergeCell ref="D34:E34"/>
    <mergeCell ref="D43:E43"/>
    <mergeCell ref="C50:D50"/>
    <mergeCell ref="E50:F50"/>
    <mergeCell ref="B46:C47"/>
    <mergeCell ref="D46:E47"/>
    <mergeCell ref="D38:E38"/>
    <mergeCell ref="D39:E39"/>
    <mergeCell ref="D40:E40"/>
    <mergeCell ref="D41:E41"/>
    <mergeCell ref="D42:E42"/>
    <mergeCell ref="P48:Q48"/>
    <mergeCell ref="P46:R47"/>
    <mergeCell ref="I46:J46"/>
    <mergeCell ref="F46:H47"/>
    <mergeCell ref="N50:P50"/>
    <mergeCell ref="K46:L46"/>
    <mergeCell ref="N46:O47"/>
    <mergeCell ref="G48:H48"/>
    <mergeCell ref="O2:R2"/>
    <mergeCell ref="O3:R3"/>
    <mergeCell ref="J18:K18"/>
    <mergeCell ref="N13:O13"/>
    <mergeCell ref="J17:K17"/>
    <mergeCell ref="R18:R19"/>
    <mergeCell ref="Q18:Q19"/>
    <mergeCell ref="P18:P19"/>
    <mergeCell ref="M18:N18"/>
    <mergeCell ref="F5:I5"/>
    <mergeCell ref="D2:H2"/>
    <mergeCell ref="L15:M15"/>
    <mergeCell ref="N11:O11"/>
    <mergeCell ref="L12:M12"/>
    <mergeCell ref="K2:L2"/>
    <mergeCell ref="D3:E3"/>
    <mergeCell ref="H6:I6"/>
    <mergeCell ref="J5:M5"/>
    <mergeCell ref="L13:M13"/>
    <mergeCell ref="L14:M14"/>
    <mergeCell ref="N5:Q5"/>
    <mergeCell ref="J10:Q10"/>
    <mergeCell ref="L11:M11"/>
    <mergeCell ref="N12:O12"/>
    <mergeCell ref="N14:O14"/>
    <mergeCell ref="B17:B19"/>
    <mergeCell ref="C17:C19"/>
    <mergeCell ref="D20:E20"/>
    <mergeCell ref="B5:E5"/>
    <mergeCell ref="D17:E19"/>
    <mergeCell ref="D23:E23"/>
    <mergeCell ref="D22:E22"/>
    <mergeCell ref="F14:G14"/>
    <mergeCell ref="G18:H18"/>
    <mergeCell ref="G17:I17"/>
    <mergeCell ref="D21:E21"/>
    <mergeCell ref="AH18:AH19"/>
    <mergeCell ref="AI18:AI19"/>
    <mergeCell ref="N15:O15"/>
    <mergeCell ref="AC18:AC19"/>
    <mergeCell ref="AD18:AD19"/>
    <mergeCell ref="AE18:AE19"/>
    <mergeCell ref="AF18:AF19"/>
    <mergeCell ref="AG18:AG19"/>
    <mergeCell ref="M17:O17"/>
    <mergeCell ref="Y18:Y19"/>
  </mergeCells>
  <phoneticPr fontId="0" type="noConversion"/>
  <conditionalFormatting sqref="Q20:Q43">
    <cfRule type="expression" dxfId="29" priority="5" stopIfTrue="1">
      <formula>OR(AND(ISNUMBER(Q20),Q20&lt;9),AND(ISNUMBER(Q20),Q20&gt;11))</formula>
    </cfRule>
  </conditionalFormatting>
  <conditionalFormatting sqref="R20:R43">
    <cfRule type="expression" dxfId="28" priority="6" stopIfTrue="1">
      <formula>OR(AND(ISNUMBER(R20),R20&lt;2.25),AND(ISNUMBER(R20),R20&gt;2.75))</formula>
    </cfRule>
  </conditionalFormatting>
  <conditionalFormatting sqref="AC20:AC43">
    <cfRule type="expression" dxfId="27" priority="3">
      <formula>AND(ISNUMBER(F20),AC20&lt;F20)</formula>
    </cfRule>
    <cfRule type="expression" dxfId="26" priority="4" stopIfTrue="1">
      <formula>AND(ISNUMBER(F20),AC20&gt;F20)</formula>
    </cfRule>
  </conditionalFormatting>
  <conditionalFormatting sqref="AD20:AD43">
    <cfRule type="expression" dxfId="25" priority="1">
      <formula>AND(ISNUMBER(F20),AD20&gt;F20)</formula>
    </cfRule>
    <cfRule type="expression" dxfId="24" priority="2" stopIfTrue="1">
      <formula>AND(ISNUMBER(F20),AD20&lt;F20)</formula>
    </cfRule>
  </conditionalFormatting>
  <printOptions horizontalCentered="1" verticalCentered="1"/>
  <pageMargins left="0.25" right="0.25" top="0.5" bottom="0.5" header="0.25" footer="0.25"/>
  <pageSetup scale="90" orientation="portrait" blackAndWhite="1" r:id="rId1"/>
  <headerFooter alignWithMargins="0">
    <oddHeader>&amp;CSpreadsheet for U.S. EPA Method 201A - Determination of Filterable PM10 and PM2.5 Emissions
&amp;12TEST DATA SHEET</oddHeader>
    <oddFooter>&amp;CCopyright 2017 by Environmental Supply Company, Inc.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1444"/>
  <sheetViews>
    <sheetView zoomScaleNormal="100" zoomScaleSheetLayoutView="75" workbookViewId="0">
      <selection activeCell="A10" sqref="A10:Q10"/>
    </sheetView>
  </sheetViews>
  <sheetFormatPr defaultColWidth="6.28515625" defaultRowHeight="15" customHeight="1"/>
  <cols>
    <col min="1" max="1" width="1" style="99" customWidth="1"/>
    <col min="2" max="2" width="6.28515625" style="197" customWidth="1"/>
    <col min="3" max="3" width="6.7109375" style="197" customWidth="1"/>
    <col min="4" max="8" width="6.28515625" style="197" customWidth="1"/>
    <col min="9" max="9" width="6.42578125" style="197" customWidth="1"/>
    <col min="10" max="11" width="6.28515625" style="197" customWidth="1"/>
    <col min="12" max="12" width="7.42578125" style="197" customWidth="1"/>
    <col min="13" max="13" width="6.28515625" style="197" customWidth="1"/>
    <col min="14" max="14" width="7.5703125" style="197" customWidth="1"/>
    <col min="15" max="15" width="7.42578125" style="197" customWidth="1"/>
    <col min="16" max="16" width="7.85546875" style="197" customWidth="1"/>
    <col min="17" max="17" width="7.42578125" style="197" customWidth="1"/>
    <col min="18" max="18" width="6.28515625" style="197" customWidth="1"/>
    <col min="19" max="20" width="1" style="99" customWidth="1"/>
    <col min="21" max="21" width="9.85546875" style="201" customWidth="1"/>
    <col min="22" max="25" width="8.7109375" style="99" customWidth="1"/>
    <col min="26" max="26" width="8.7109375" style="135" customWidth="1"/>
    <col min="27" max="27" width="8.7109375" style="99" customWidth="1"/>
    <col min="28" max="28" width="1" style="99" customWidth="1"/>
    <col min="29" max="35" width="7.7109375" style="99" customWidth="1"/>
    <col min="36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98"/>
    </row>
    <row r="2" spans="1:26" ht="15" customHeight="1">
      <c r="A2" s="102"/>
      <c r="B2" s="48"/>
      <c r="C2" s="16" t="s">
        <v>52</v>
      </c>
      <c r="D2" s="463" t="str">
        <f>IF(ISTEXT('Pre-Test'!D2:H2),'Pre-Test'!D2:H2,"")</f>
        <v/>
      </c>
      <c r="E2" s="463"/>
      <c r="F2" s="463"/>
      <c r="G2" s="463"/>
      <c r="H2" s="463"/>
      <c r="I2" s="48"/>
      <c r="J2" s="16" t="s">
        <v>0</v>
      </c>
      <c r="K2" s="476"/>
      <c r="L2" s="476"/>
      <c r="M2" s="48"/>
      <c r="N2" s="16" t="s">
        <v>54</v>
      </c>
      <c r="O2" s="359"/>
      <c r="P2" s="464"/>
      <c r="Q2" s="465"/>
      <c r="R2" s="466"/>
      <c r="S2" s="104"/>
    </row>
    <row r="3" spans="1:26" ht="15" customHeight="1">
      <c r="A3" s="102"/>
      <c r="B3" s="48"/>
      <c r="C3" s="16" t="s">
        <v>53</v>
      </c>
      <c r="D3" s="425"/>
      <c r="E3" s="425"/>
      <c r="F3" s="48"/>
      <c r="G3" s="48"/>
      <c r="H3" s="48"/>
      <c r="I3" s="48"/>
      <c r="J3" s="16" t="s">
        <v>1</v>
      </c>
      <c r="K3" s="477"/>
      <c r="L3" s="477"/>
      <c r="M3" s="48"/>
      <c r="N3" s="16" t="s">
        <v>55</v>
      </c>
      <c r="O3" s="463" t="str">
        <f>IF(ISTEXT('Pre-Test'!P3),'Pre-Test'!P3,"")</f>
        <v/>
      </c>
      <c r="P3" s="467"/>
      <c r="Q3" s="468"/>
      <c r="R3" s="469"/>
      <c r="S3" s="104"/>
    </row>
    <row r="4" spans="1:26" ht="6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6"/>
      <c r="S4" s="104"/>
    </row>
    <row r="5" spans="1:26" ht="15" customHeight="1" thickBot="1">
      <c r="A5" s="102"/>
      <c r="B5" s="528" t="s">
        <v>41</v>
      </c>
      <c r="C5" s="529"/>
      <c r="D5" s="529"/>
      <c r="E5" s="529"/>
      <c r="F5" s="369" t="s">
        <v>42</v>
      </c>
      <c r="G5" s="370"/>
      <c r="H5" s="370"/>
      <c r="I5" s="370"/>
      <c r="J5" s="534" t="s">
        <v>48</v>
      </c>
      <c r="K5" s="535"/>
      <c r="L5" s="535"/>
      <c r="M5" s="536"/>
      <c r="N5" s="478" t="s">
        <v>105</v>
      </c>
      <c r="O5" s="479"/>
      <c r="P5" s="479"/>
      <c r="Q5" s="480"/>
      <c r="R5" s="47"/>
      <c r="S5" s="104"/>
      <c r="U5" s="135"/>
      <c r="Z5" s="99"/>
    </row>
    <row r="6" spans="1:26" ht="15" customHeight="1">
      <c r="A6" s="102"/>
      <c r="B6" s="97"/>
      <c r="C6" s="20" t="s">
        <v>30</v>
      </c>
      <c r="D6" s="128" t="str">
        <f>IF(ISNUMBER(Bwse),Bwse,"-")</f>
        <v>-</v>
      </c>
      <c r="E6" s="7" t="s">
        <v>62</v>
      </c>
      <c r="F6" s="97"/>
      <c r="G6" s="20" t="s">
        <v>37</v>
      </c>
      <c r="H6" s="367" t="str">
        <f>IF(ISTEXT(MB),MB,"-")</f>
        <v>-</v>
      </c>
      <c r="I6" s="368"/>
      <c r="J6" s="61" t="s">
        <v>106</v>
      </c>
      <c r="K6" s="128" t="str">
        <f>IF(ISNUMBER(Tse),Tse,"-")</f>
        <v>-</v>
      </c>
      <c r="L6" s="62" t="s">
        <v>107</v>
      </c>
      <c r="M6" s="202" t="str">
        <f>IF(ISNUMBER(Tme),Tme,"-")</f>
        <v>-</v>
      </c>
      <c r="N6" s="58" t="s">
        <v>103</v>
      </c>
      <c r="O6" s="203" t="str">
        <f>IF(ISNUMBER(Ts_2),Ts_2-460-50,IF(ISNUMBER(Tse),Tse-460-50,"-"))</f>
        <v>-</v>
      </c>
      <c r="P6" s="20" t="s">
        <v>104</v>
      </c>
      <c r="Q6" s="203" t="str">
        <f>IF(ISNUMBER(Ts_2),Ts_2-460+50,IF(ISNUMBER(Tse),Tse-460+50,"-"))</f>
        <v>-</v>
      </c>
      <c r="R6" s="47"/>
      <c r="S6" s="104"/>
      <c r="U6" s="135"/>
      <c r="Z6" s="99"/>
    </row>
    <row r="7" spans="1:26" ht="15" customHeight="1">
      <c r="A7" s="102"/>
      <c r="B7" s="102"/>
      <c r="C7" s="16" t="s">
        <v>31</v>
      </c>
      <c r="D7" s="112"/>
      <c r="E7" s="8" t="s">
        <v>4</v>
      </c>
      <c r="F7" s="102"/>
      <c r="G7" s="94" t="s">
        <v>35</v>
      </c>
      <c r="H7" s="204" t="str">
        <f>IF(ISNUMBER(Y),Y,"-")</f>
        <v>-</v>
      </c>
      <c r="I7" s="114"/>
      <c r="J7" s="102"/>
      <c r="K7" s="14" t="s">
        <v>97</v>
      </c>
      <c r="L7" s="205" t="str">
        <f>IF(ISNUMBER(Qse),Qse,"-")</f>
        <v>-</v>
      </c>
      <c r="M7" s="104" t="s">
        <v>46</v>
      </c>
      <c r="N7" s="18" t="s">
        <v>97</v>
      </c>
      <c r="O7" s="206" t="str">
        <f>IF(ISNUMBER(Qse),0.002837*vise*((Tsl_3+460)/Mwe/Ps_3)^0.2949,"-")</f>
        <v>-</v>
      </c>
      <c r="P7" s="18" t="s">
        <v>97</v>
      </c>
      <c r="Q7" s="206" t="str">
        <f>IF(ISNUMBER(Qse),0.002837*vise*((Tsh_3+460)/Mwe/Ps_3)^0.2949,"-")</f>
        <v>-</v>
      </c>
      <c r="R7" s="47"/>
      <c r="S7" s="104"/>
      <c r="U7" s="135"/>
      <c r="Z7" s="99"/>
    </row>
    <row r="8" spans="1:26" ht="15" customHeight="1">
      <c r="A8" s="102"/>
      <c r="B8" s="102"/>
      <c r="C8" s="16" t="s">
        <v>32</v>
      </c>
      <c r="D8" s="112"/>
      <c r="E8" s="8" t="s">
        <v>50</v>
      </c>
      <c r="F8" s="102"/>
      <c r="G8" s="117" t="s">
        <v>36</v>
      </c>
      <c r="H8" s="207" t="str">
        <f>IF(ISNUMBER(dHa),dHa,"-")</f>
        <v>-</v>
      </c>
      <c r="I8" s="8" t="s">
        <v>50</v>
      </c>
      <c r="J8" s="102"/>
      <c r="K8" s="15" t="s">
        <v>98</v>
      </c>
      <c r="L8" s="208" t="str">
        <f>IF(ISNUMBER(vise),vise,"-")</f>
        <v>-</v>
      </c>
      <c r="M8" s="34" t="s">
        <v>99</v>
      </c>
      <c r="N8" s="59" t="s">
        <v>98</v>
      </c>
      <c r="O8" s="209" t="str">
        <f>IF(ISNUMBER(Tsl_3),-150.3162+13.4622*SQRT(Tsl_3+460)+3861530/(Tsl_3+460)^2+0.591123*(1-Bwse/100)*OO/100-91.9723*Bwse/100+0.0000151761*Bwse/100*(Tsl_3+460)^2,"-")</f>
        <v>-</v>
      </c>
      <c r="P8" s="19" t="s">
        <v>98</v>
      </c>
      <c r="Q8" s="209" t="str">
        <f>IF(ISNUMBER(Tsh_3),-150.3162+13.4622*SQRT(Tsh_3+460)+3861530/(Tsh_3+460)^2+0.591123*(1-Bwse/100)*OO/100-91.9723*Bwse/100+0.0000151761*Bwse/100*(Tsh_3+460)^2,"-")</f>
        <v>-</v>
      </c>
      <c r="R8" s="47"/>
      <c r="S8" s="104"/>
      <c r="U8" s="135"/>
      <c r="Z8" s="99"/>
    </row>
    <row r="9" spans="1:26" ht="15" customHeight="1" thickBot="1">
      <c r="A9" s="102"/>
      <c r="B9" s="102"/>
      <c r="C9" s="16" t="s">
        <v>33</v>
      </c>
      <c r="D9" s="115" t="str">
        <f>IF(AND(ISNUMBER(Pg_3),ISNUMBER(Pbar_3)),Pbar_3+Pg_3/13.6,"-")</f>
        <v>-</v>
      </c>
      <c r="E9" s="8" t="s">
        <v>4</v>
      </c>
      <c r="F9" s="122" t="s">
        <v>84</v>
      </c>
      <c r="G9" s="204" t="str">
        <f>IF(ISNUMBER(Cpp),Cpp,"-")</f>
        <v>-</v>
      </c>
      <c r="H9" s="124" t="s">
        <v>95</v>
      </c>
      <c r="I9" s="210" t="str">
        <f>IF(OR(ISNUMBER('Pre-Test'!R11),ISTEXT('Pre-Test'!R11)),'Pre-Test'!R11,"-")</f>
        <v>-</v>
      </c>
      <c r="J9" s="211"/>
      <c r="K9" s="26" t="s">
        <v>101</v>
      </c>
      <c r="L9" s="212" t="str">
        <f>IF(ISNUMBER(dHe),dHe,"-")</f>
        <v>-</v>
      </c>
      <c r="M9" s="309" t="s">
        <v>271</v>
      </c>
      <c r="N9" s="60" t="s">
        <v>101</v>
      </c>
      <c r="O9" s="213" t="str">
        <f>IF(ISNUMBER(dHe),(Qse*(1-Bwse/100)*Ps_3/(Tsl_3+460))^2*(Tme+460)*Md*(1.083)*dHa/Pbar_3,"-")</f>
        <v>-</v>
      </c>
      <c r="P9" s="21" t="s">
        <v>101</v>
      </c>
      <c r="Q9" s="213" t="str">
        <f>IF(ISNUMBER(dHe),(Qse*(1-Bwse/100)*Ps_3/(Tsh_3+460))^2*(Tme+460)*Md*(1.083)*dHa/Pbar_3,"-")</f>
        <v>-</v>
      </c>
      <c r="R9" s="47"/>
      <c r="S9" s="104"/>
      <c r="U9" s="135"/>
      <c r="Z9" s="99"/>
    </row>
    <row r="10" spans="1:26" ht="15" customHeight="1" thickBot="1">
      <c r="A10" s="102"/>
      <c r="B10" s="102"/>
      <c r="C10" s="16" t="s">
        <v>230</v>
      </c>
      <c r="D10" s="115" t="str">
        <f>IF(ISNUMBER(COO),COO,"-")</f>
        <v>-</v>
      </c>
      <c r="E10" s="9" t="s">
        <v>6</v>
      </c>
      <c r="F10" s="122" t="s">
        <v>34</v>
      </c>
      <c r="G10" s="214" t="str">
        <f>IF(ISNUMBER(Cp),Cp,"-")</f>
        <v>-</v>
      </c>
      <c r="H10" s="124" t="s">
        <v>95</v>
      </c>
      <c r="I10" s="210" t="str">
        <f>IF(OR(ISNUMBER('Pre-Test'!R11),ISTEXT('Pre-Test'!R11)),'Pre-Test'!R11,"-")</f>
        <v>-</v>
      </c>
      <c r="J10" s="470" t="s">
        <v>43</v>
      </c>
      <c r="K10" s="471"/>
      <c r="L10" s="471"/>
      <c r="M10" s="471"/>
      <c r="N10" s="471"/>
      <c r="O10" s="471"/>
      <c r="P10" s="472"/>
      <c r="Q10" s="473"/>
      <c r="R10" s="47"/>
      <c r="S10" s="104"/>
    </row>
    <row r="11" spans="1:26" ht="15" customHeight="1" thickBot="1">
      <c r="A11" s="102"/>
      <c r="B11" s="102"/>
      <c r="C11" s="16" t="s">
        <v>231</v>
      </c>
      <c r="D11" s="215" t="str">
        <f>IF(ISNUMBER(OO),OO,"-")</f>
        <v>-</v>
      </c>
      <c r="E11" s="9" t="s">
        <v>6</v>
      </c>
      <c r="F11" s="102"/>
      <c r="G11" s="16" t="s">
        <v>100</v>
      </c>
      <c r="H11" s="216" t="str">
        <f>IF(ISNUMBER(Dn),Dn,"-")</f>
        <v>-</v>
      </c>
      <c r="I11" s="129" t="s">
        <v>49</v>
      </c>
      <c r="J11" s="97"/>
      <c r="K11" s="20" t="s">
        <v>28</v>
      </c>
      <c r="L11" s="474"/>
      <c r="M11" s="475"/>
      <c r="N11" s="481"/>
      <c r="O11" s="482"/>
      <c r="P11" s="78" t="s">
        <v>45</v>
      </c>
      <c r="Q11" s="217"/>
      <c r="R11" s="47"/>
      <c r="S11" s="104"/>
    </row>
    <row r="12" spans="1:26" ht="15" customHeight="1">
      <c r="A12" s="102"/>
      <c r="B12" s="102"/>
      <c r="C12" s="16" t="s">
        <v>232</v>
      </c>
      <c r="D12" s="115" t="str">
        <f>IF(ISNUMBER(NN),NN,"-")</f>
        <v>-</v>
      </c>
      <c r="E12" s="9" t="s">
        <v>6</v>
      </c>
      <c r="F12" s="218"/>
      <c r="G12" s="20" t="s">
        <v>38</v>
      </c>
      <c r="H12" s="219" t="str">
        <f>IF(ISNUMBER(A),A,"-")</f>
        <v>-</v>
      </c>
      <c r="I12" s="33" t="s">
        <v>39</v>
      </c>
      <c r="J12" s="102"/>
      <c r="K12" s="16" t="s">
        <v>29</v>
      </c>
      <c r="L12" s="521"/>
      <c r="M12" s="522"/>
      <c r="N12" s="519"/>
      <c r="O12" s="520"/>
      <c r="P12" s="47" t="s">
        <v>45</v>
      </c>
      <c r="Q12" s="220"/>
      <c r="R12" s="47"/>
      <c r="S12" s="104"/>
    </row>
    <row r="13" spans="1:26" ht="15" customHeight="1">
      <c r="A13" s="102"/>
      <c r="B13" s="102"/>
      <c r="C13" s="16" t="s">
        <v>228</v>
      </c>
      <c r="D13" s="215" t="str">
        <f>IF(ISNUMBER(Md),Md,"-")</f>
        <v>-</v>
      </c>
      <c r="E13" s="8" t="s">
        <v>3</v>
      </c>
      <c r="F13" s="102"/>
      <c r="G13" s="16" t="s">
        <v>40</v>
      </c>
      <c r="H13" s="113"/>
      <c r="I13" s="104" t="s">
        <v>51</v>
      </c>
      <c r="J13" s="221"/>
      <c r="K13" s="48" t="s">
        <v>237</v>
      </c>
      <c r="L13" s="521"/>
      <c r="M13" s="522"/>
      <c r="N13" s="519"/>
      <c r="O13" s="520"/>
      <c r="P13" s="79" t="s">
        <v>238</v>
      </c>
      <c r="Q13" s="104"/>
      <c r="R13" s="47"/>
      <c r="S13" s="104"/>
    </row>
    <row r="14" spans="1:26" ht="15" customHeight="1" thickBot="1">
      <c r="A14" s="102"/>
      <c r="B14" s="131"/>
      <c r="C14" s="26" t="s">
        <v>227</v>
      </c>
      <c r="D14" s="222" t="str">
        <f>IF(ISNUMBER(Mwe),Mwe,"-")</f>
        <v>-</v>
      </c>
      <c r="E14" s="10" t="s">
        <v>3</v>
      </c>
      <c r="F14" s="402" t="s">
        <v>139</v>
      </c>
      <c r="G14" s="403"/>
      <c r="H14" s="223"/>
      <c r="I14" s="126" t="s">
        <v>80</v>
      </c>
      <c r="J14" s="102"/>
      <c r="K14" s="16" t="s">
        <v>44</v>
      </c>
      <c r="L14" s="532" t="str">
        <f>IF(ISNUMBER(L13),(L12-L11)/L13,"-")</f>
        <v>-</v>
      </c>
      <c r="M14" s="533"/>
      <c r="N14" s="532" t="str">
        <f>IF(ISNUMBER(N13),(N12-N11)/N13,"-")</f>
        <v>-</v>
      </c>
      <c r="O14" s="551"/>
      <c r="P14" s="47" t="s">
        <v>46</v>
      </c>
      <c r="Q14" s="220"/>
      <c r="R14" s="47"/>
      <c r="S14" s="104"/>
      <c r="U14" s="99"/>
      <c r="Z14" s="99"/>
    </row>
    <row r="15" spans="1:26" ht="15" customHeight="1" thickBot="1">
      <c r="A15" s="102"/>
      <c r="B15" s="224"/>
      <c r="C15" s="225" t="s">
        <v>246</v>
      </c>
      <c r="D15" s="226">
        <f>IF(ISNUMBER(Tstd),Tstd,"-")</f>
        <v>528</v>
      </c>
      <c r="E15" s="69" t="s">
        <v>140</v>
      </c>
      <c r="F15" s="70"/>
      <c r="G15" s="70" t="s">
        <v>247</v>
      </c>
      <c r="H15" s="227">
        <f>IF(ISNUMBER(Pstd),Pstd,"-")</f>
        <v>29.92</v>
      </c>
      <c r="I15" s="71" t="s">
        <v>4</v>
      </c>
      <c r="J15" s="131"/>
      <c r="K15" s="26" t="s">
        <v>8</v>
      </c>
      <c r="L15" s="547"/>
      <c r="M15" s="548"/>
      <c r="N15" s="552"/>
      <c r="O15" s="553"/>
      <c r="P15" s="80" t="s">
        <v>47</v>
      </c>
      <c r="Q15" s="228"/>
      <c r="R15" s="47"/>
      <c r="S15" s="104"/>
      <c r="U15" s="99"/>
      <c r="Z15" s="99"/>
    </row>
    <row r="16" spans="1:26" ht="5.25" customHeight="1" thickBot="1">
      <c r="A16" s="102"/>
      <c r="B16" s="47"/>
      <c r="C16" s="47"/>
      <c r="D16" s="47"/>
      <c r="E16" s="47"/>
      <c r="F16" s="47"/>
      <c r="G16" s="47"/>
      <c r="H16" s="47"/>
      <c r="I16" s="47"/>
      <c r="J16" s="47"/>
      <c r="K16" s="16"/>
      <c r="L16" s="86"/>
      <c r="M16" s="17"/>
      <c r="N16" s="86"/>
      <c r="O16" s="17"/>
      <c r="P16" s="76"/>
      <c r="Q16" s="76"/>
      <c r="R16" s="47"/>
      <c r="S16" s="104"/>
    </row>
    <row r="17" spans="1:35" ht="15" customHeight="1" thickBot="1">
      <c r="A17" s="102"/>
      <c r="B17" s="523" t="s">
        <v>21</v>
      </c>
      <c r="C17" s="525" t="s">
        <v>261</v>
      </c>
      <c r="D17" s="530" t="s">
        <v>22</v>
      </c>
      <c r="E17" s="399"/>
      <c r="F17" s="11" t="s">
        <v>10</v>
      </c>
      <c r="G17" s="539" t="s">
        <v>57</v>
      </c>
      <c r="H17" s="540"/>
      <c r="I17" s="541"/>
      <c r="J17" s="499" t="s">
        <v>25</v>
      </c>
      <c r="K17" s="546"/>
      <c r="L17" s="229" t="s">
        <v>15</v>
      </c>
      <c r="M17" s="404" t="s">
        <v>60</v>
      </c>
      <c r="N17" s="549"/>
      <c r="O17" s="550"/>
      <c r="P17" s="17"/>
      <c r="Q17" s="58"/>
      <c r="R17" s="79"/>
      <c r="S17" s="104"/>
    </row>
    <row r="18" spans="1:35" ht="15" customHeight="1">
      <c r="A18" s="102"/>
      <c r="B18" s="524"/>
      <c r="C18" s="526"/>
      <c r="D18" s="531"/>
      <c r="E18" s="401"/>
      <c r="F18" s="12" t="s">
        <v>23</v>
      </c>
      <c r="G18" s="537" t="s">
        <v>20</v>
      </c>
      <c r="H18" s="538"/>
      <c r="I18" s="230"/>
      <c r="J18" s="544" t="s">
        <v>24</v>
      </c>
      <c r="K18" s="545"/>
      <c r="L18" s="231" t="s">
        <v>26</v>
      </c>
      <c r="M18" s="542" t="s">
        <v>61</v>
      </c>
      <c r="N18" s="543"/>
      <c r="O18" s="232" t="s">
        <v>56</v>
      </c>
      <c r="P18" s="486" t="s">
        <v>102</v>
      </c>
      <c r="Q18" s="457" t="s">
        <v>234</v>
      </c>
      <c r="R18" s="457" t="s">
        <v>235</v>
      </c>
      <c r="S18" s="104"/>
      <c r="U18" s="460" t="s">
        <v>146</v>
      </c>
      <c r="V18" s="459" t="s">
        <v>145</v>
      </c>
      <c r="W18" s="457" t="s">
        <v>236</v>
      </c>
      <c r="X18" s="486" t="s">
        <v>126</v>
      </c>
      <c r="Y18" s="483" t="s">
        <v>125</v>
      </c>
      <c r="Z18" s="488" t="s">
        <v>124</v>
      </c>
      <c r="AA18" s="483" t="s">
        <v>127</v>
      </c>
      <c r="AC18" s="460" t="s">
        <v>266</v>
      </c>
      <c r="AD18" s="460" t="s">
        <v>268</v>
      </c>
      <c r="AE18" s="457" t="s">
        <v>267</v>
      </c>
      <c r="AF18" s="457" t="s">
        <v>269</v>
      </c>
      <c r="AG18" s="457" t="s">
        <v>270</v>
      </c>
      <c r="AH18" s="459" t="s">
        <v>265</v>
      </c>
      <c r="AI18" s="459" t="s">
        <v>264</v>
      </c>
    </row>
    <row r="19" spans="1:35" ht="15" customHeight="1" thickBot="1">
      <c r="A19" s="102"/>
      <c r="B19" s="524"/>
      <c r="C19" s="527"/>
      <c r="D19" s="531"/>
      <c r="E19" s="401"/>
      <c r="F19" s="30" t="s">
        <v>85</v>
      </c>
      <c r="G19" s="233" t="s">
        <v>13</v>
      </c>
      <c r="H19" s="234" t="s">
        <v>14</v>
      </c>
      <c r="I19" s="230" t="s">
        <v>16</v>
      </c>
      <c r="J19" s="235" t="s">
        <v>11</v>
      </c>
      <c r="K19" s="236" t="s">
        <v>12</v>
      </c>
      <c r="L19" s="237" t="s">
        <v>9</v>
      </c>
      <c r="M19" s="238" t="s">
        <v>18</v>
      </c>
      <c r="N19" s="239" t="s">
        <v>17</v>
      </c>
      <c r="O19" s="230" t="s">
        <v>19</v>
      </c>
      <c r="P19" s="487"/>
      <c r="Q19" s="485"/>
      <c r="R19" s="485"/>
      <c r="S19" s="104"/>
      <c r="U19" s="461"/>
      <c r="V19" s="458"/>
      <c r="W19" s="485"/>
      <c r="X19" s="487"/>
      <c r="Y19" s="484"/>
      <c r="Z19" s="489"/>
      <c r="AA19" s="484"/>
      <c r="AC19" s="461"/>
      <c r="AD19" s="462"/>
      <c r="AE19" s="458"/>
      <c r="AF19" s="458"/>
      <c r="AG19" s="458"/>
      <c r="AH19" s="458"/>
      <c r="AI19" s="458"/>
    </row>
    <row r="20" spans="1:35" ht="15" customHeight="1">
      <c r="A20" s="102"/>
      <c r="B20" s="310">
        <v>1</v>
      </c>
      <c r="C20" s="96" t="str">
        <f>IF(ISNUMBER(F20),MAX(ROUND(Cp/Cpp*U20/'Pre-Test'!$U$46*Tr_3*4/N_3,0)/4,2),"-")</f>
        <v>-</v>
      </c>
      <c r="D20" s="515"/>
      <c r="E20" s="515"/>
      <c r="F20" s="148"/>
      <c r="G20" s="240"/>
      <c r="H20" s="240"/>
      <c r="I20" s="241"/>
      <c r="J20" s="149" t="str">
        <f>IF(ISNUMBER(I20),(Qse*(1-Bwse/100)*Ps_3/(I20+460))^2*1.083*(H20+460)*Md*dHa/Pbar_3,dHe)</f>
        <v>-</v>
      </c>
      <c r="K20" s="148"/>
      <c r="L20" s="242"/>
      <c r="M20" s="242"/>
      <c r="N20" s="242"/>
      <c r="O20" s="242"/>
      <c r="P20" s="243" t="str">
        <f>IF(ISNUMBER(D21),((D21-D20)*Y*(I20+460)/(AVERAGE(G20:H20)+460)*(Pbar_3+K20/13.6)/Ps_3)/(1-Bwse/100)/C20,"-")</f>
        <v>-</v>
      </c>
      <c r="Q20" s="29" t="str">
        <f>IF(ISNUMBER(P20),0.15625*((I20+460)/Mwe/Ps_3)^0.2091*(Y20/P20)^0.7091,"-")</f>
        <v>-</v>
      </c>
      <c r="R20" s="96" t="str">
        <f>IF(ISNUMBER(P20),IF(Z20&lt;3162,0.0024302*(Y20/P20)^1.1791*SQRT(1/AA20)*((I20+460)/Ps_3/Mwe)^0.679,0.019723*(Y20/P20)^0.8058*SQRT(1/AA20)*((I20+460)/Ps_3/Mwe)^0.3058),"-")</f>
        <v>-</v>
      </c>
      <c r="S20" s="104"/>
      <c r="U20" s="244" t="str">
        <f t="shared" ref="U20:U43" si="0">IF(ISNUMBER(F20),SQRT(F20),"-")</f>
        <v>-</v>
      </c>
      <c r="V20" s="245" t="str">
        <f>IF(ISNUMBER(U20),85.49*Cp*U20*SQRT((I20+460)/Ps_3/Mwe),"-")</f>
        <v>-</v>
      </c>
      <c r="W20" s="84" t="str">
        <f>IF(ISNUMBER(D21),Tstd/Pstd*Y*(D21-D20)*(Pbar_3+K20/13.6)/(AVERAGE(G20:H20)+460),"-")</f>
        <v>-</v>
      </c>
      <c r="X20" s="72" t="str">
        <f>IF(ISNUMBER(W20),W20/C20,"-")</f>
        <v>-</v>
      </c>
      <c r="Y20" s="29" t="str">
        <f>IF(ISNUMBER(I20),-150.3162+13.4622*SQRT(I20+460)+3861530/(I20+460)^2+0.591123*(1-Bwse/100)*OO-91.9723*Bwse/100+0.0000151761*Bwse/100*(I20+460)^2,"-")</f>
        <v>-</v>
      </c>
      <c r="Z20" s="29" t="str">
        <f>IF(ISNUMBER(Y20),864000*Ps_3*Mwe/(I20+460)*P20/Y20,"-")</f>
        <v>-</v>
      </c>
      <c r="AA20" s="32" t="str">
        <f>IF(ISNUMBER(Y20),1+0.0057193*(Y20/Ps_3/(IF(ISNUMBER(R20),R20,2.5))*SQRT((I20+460)/Mwe)),"-")</f>
        <v>-</v>
      </c>
      <c r="AC20" s="244" t="str">
        <f t="shared" ref="AC20:AC43" si="1">IF(ISNUMBER(AF20),0.00013686*Ps_3*Mwe*(AF20)^2/(I20+460)/Cp^2,"-")</f>
        <v>-</v>
      </c>
      <c r="AD20" s="302" t="str">
        <f t="shared" ref="AD20:AD43" si="2">IF(ISNUMBER(AG20),0.00013686*Ps_3*Mwe*(AG20)^2/(I20+460)/Cp^2,"-")</f>
        <v>-</v>
      </c>
      <c r="AE20" s="152" t="str">
        <f t="shared" ref="AE20:AE43" si="3">IF(ISNUMBER(P20),3.055775*P20/(Dn)^2,"-")</f>
        <v>-</v>
      </c>
      <c r="AF20" s="152" t="str">
        <f>IF(ISNUMBER(AH20),AE20*AH20,"-")</f>
        <v>-</v>
      </c>
      <c r="AG20" s="152" t="str">
        <f>IF(ISNUMBER(AI20),AE20*AI20,"-")</f>
        <v>-</v>
      </c>
      <c r="AH20" s="152" t="str">
        <f>IF(ISNUMBER(AE20),IF((0.2603*Y20*SQRT(P20))/(AE20)^1.5&gt;0.3072,0.5,(0.2457+SQRT(0.3072-(0.2603*Y20*SQRT(P20))/(AE20)^1.5))),"-")</f>
        <v>-</v>
      </c>
      <c r="AI20" s="305" t="str">
        <f>IF(ISNUMBER(AE20),IF((0.4457+SQRT(0.569+(0.2603*Y20*SQRT(P20))/(AE20)^1.5))&gt;1.5,1.5,(0.4457+SQRT(0.569+(0.2603*Y20*SQRT(P20))/(AE20)^1.5))),"-")</f>
        <v>-</v>
      </c>
    </row>
    <row r="21" spans="1:35" ht="15" customHeight="1">
      <c r="A21" s="102"/>
      <c r="B21" s="311">
        <v>2</v>
      </c>
      <c r="C21" s="27" t="str">
        <f>IF(2&gt;N_3,"-",IF(ISNUMBER(F21),MAX(ROUND(Cp/Cpp*U21/'Pre-Test'!$U$46*Tr_3*4/N_3,0)/4,2)+C20,"-"))</f>
        <v>-</v>
      </c>
      <c r="D21" s="516"/>
      <c r="E21" s="516"/>
      <c r="F21" s="158"/>
      <c r="G21" s="246"/>
      <c r="H21" s="246"/>
      <c r="I21" s="247"/>
      <c r="J21" s="159" t="str">
        <f t="shared" ref="J21:J43" si="4">IF(ISNUMBER(I21),(Qse*(1-Bwse/100)*Ps_3/(I21+460))^2*1.083*(H21+460)*Md*dHa/Pbar_3,"-")</f>
        <v>-</v>
      </c>
      <c r="K21" s="158"/>
      <c r="L21" s="247"/>
      <c r="M21" s="247"/>
      <c r="N21" s="247"/>
      <c r="O21" s="247"/>
      <c r="P21" s="248" t="str">
        <f>IF(ISNUMBER(D22),((D22-D21)*Y*(I21+460)/(AVERAGE(G21:H21)+460)*(Pbar_3+K21/13.6)/Ps_3)/(1-Bwse/100)/(C21-C20),"-")</f>
        <v>-</v>
      </c>
      <c r="Q21" s="27" t="str">
        <f>IF(ISNUMBER(P21),0.15625*((I21+460)/Mwe/Ps_3)^0.2091*(Y21/P21)^0.7091,"-")</f>
        <v>-</v>
      </c>
      <c r="R21" s="27" t="str">
        <f>IF(ISNUMBER(P21),IF(Z21&lt;3162,0.0024302*(Y21/P21)^1.1791*SQRT(1/AA21)*((I21+460)/Ps_3/Mwe)^0.679,0.019723*(Y21/P21)^0.8058*SQRT(1/AA21)*((I21+460)/Ps_3/Mwe)^0.3058),"-")</f>
        <v>-</v>
      </c>
      <c r="S21" s="104"/>
      <c r="U21" s="249" t="str">
        <f t="shared" si="0"/>
        <v>-</v>
      </c>
      <c r="V21" s="162" t="str">
        <f>IF(ISNUMBER(U21),85.49*Cp*U21*SQRT((I21+460)/Ps_3/Mwe),"-")</f>
        <v>-</v>
      </c>
      <c r="W21" s="73" t="str">
        <f>IF(ISNUMBER(D22),Tstd/Pstd*Y*(D22-D21)*(Pbar_3+K21/13.6)/(AVERAGE(G21:H21)+460),"-")</f>
        <v>-</v>
      </c>
      <c r="X21" s="73" t="str">
        <f>IF(ISNUMBER(W21),W21/(C21-C20),"-")</f>
        <v>-</v>
      </c>
      <c r="Y21" s="27" t="str">
        <f t="shared" ref="Y21:Y43" si="5">IF(ISNUMBER(I21),-150.3162+13.4622*SQRT(I21+460)+3861530/(I21+460)^2+0.591123*(1-Bwse/100)*OO-91.9723*Bwse/100+0.0000151761*Bwse/100*(I21+460)^2,"-")</f>
        <v>-</v>
      </c>
      <c r="Z21" s="27" t="str">
        <f>IF(ISNUMBER(Y21),864000*Ps_3*Mwe/(I21+460)*P21/Y21,"-")</f>
        <v>-</v>
      </c>
      <c r="AA21" s="28" t="str">
        <f>IF(ISNUMBER(Y21),1+0.0057193*(Y21/Ps_3/(IF(ISNUMBER(R21),R21,2.5))*SQRT((I21+460)/Mwe)),"-")</f>
        <v>-</v>
      </c>
      <c r="AC21" s="249" t="str">
        <f t="shared" si="1"/>
        <v>-</v>
      </c>
      <c r="AD21" s="303" t="str">
        <f t="shared" si="2"/>
        <v>-</v>
      </c>
      <c r="AE21" s="162" t="str">
        <f t="shared" si="3"/>
        <v>-</v>
      </c>
      <c r="AF21" s="162" t="str">
        <f t="shared" ref="AF21:AF43" si="6">IF(ISNUMBER(AH21),AE21*AH21,"-")</f>
        <v>-</v>
      </c>
      <c r="AG21" s="162" t="str">
        <f t="shared" ref="AG21:AG43" si="7">IF(ISNUMBER(AI21),AE21*AI21,"-")</f>
        <v>-</v>
      </c>
      <c r="AH21" s="162" t="str">
        <f t="shared" ref="AH21:AH43" si="8">IF(ISNUMBER(AE21),IF((0.2603*Y21*SQRT(P21))/(AE21)^1.5&gt;0.3072,0.5,(0.2457+SQRT(0.3072-(0.2603*Y21*SQRT(P21))/(AE21)^1.5))),"-")</f>
        <v>-</v>
      </c>
      <c r="AI21" s="306" t="str">
        <f t="shared" ref="AI21:AI43" si="9">IF(ISNUMBER(AE21),IF((0.4457+SQRT(0.569+(0.2603*Y21*SQRT(P21))/(AE21)^1.5))&gt;1.5,1.5,(0.4457+SQRT(0.569+(0.2603*Y21*SQRT(P21))/(AE21)^1.5))),"-")</f>
        <v>-</v>
      </c>
    </row>
    <row r="22" spans="1:35" ht="15" customHeight="1">
      <c r="A22" s="102"/>
      <c r="B22" s="311">
        <v>3</v>
      </c>
      <c r="C22" s="27" t="str">
        <f>IF(3&gt;N_3,"-",IF(ISNUMBER(F22),MAX(ROUND(Cp/Cpp*U22/'Pre-Test'!$U$46*Tr_3*4/N_3,0)/4,2)+C21,"-"))</f>
        <v>-</v>
      </c>
      <c r="D22" s="516"/>
      <c r="E22" s="516"/>
      <c r="F22" s="158"/>
      <c r="G22" s="246"/>
      <c r="H22" s="246"/>
      <c r="I22" s="247"/>
      <c r="J22" s="159" t="str">
        <f t="shared" si="4"/>
        <v>-</v>
      </c>
      <c r="K22" s="158"/>
      <c r="L22" s="247"/>
      <c r="M22" s="247"/>
      <c r="N22" s="247"/>
      <c r="O22" s="247"/>
      <c r="P22" s="248" t="str">
        <f t="shared" ref="P22:P43" si="10">IF(ISNUMBER(D23),((D23-D22)*Y*(I22+460)/(AVERAGE(G22:H22)+460)*(Pbar_3+K22/13.6)/Ps_3)/(1-Bwse/100)/(C22-C21),"-")</f>
        <v>-</v>
      </c>
      <c r="Q22" s="27" t="str">
        <f t="shared" ref="Q22:Q43" si="11">IF(ISNUMBER(P22),0.15625*((I22+460)/Mwe/Ps_3)^0.2091*(Y22/P22)^0.7091,"-")</f>
        <v>-</v>
      </c>
      <c r="R22" s="27" t="str">
        <f t="shared" ref="R22:R43" si="12">IF(ISNUMBER(P22),IF(Z22&lt;3162,0.0024302*(Y22/P22)^1.1791*SQRT(1/AA22)*((I22+460)/Ps_3/Mwe)^0.679,0.019723*(Y22/P22)^0.8058*SQRT(1/AA22)*((I22+460)/Ps_3/Mwe)^0.3058),"-")</f>
        <v>-</v>
      </c>
      <c r="S22" s="104"/>
      <c r="U22" s="249" t="str">
        <f t="shared" si="0"/>
        <v>-</v>
      </c>
      <c r="V22" s="162" t="str">
        <f t="shared" ref="V22:V43" si="13">IF(ISNUMBER(U22),85.49*Cp*U22*SQRT((I22+460)/Ps_3/Mwe),"-")</f>
        <v>-</v>
      </c>
      <c r="W22" s="73" t="str">
        <f t="shared" ref="W22:W43" si="14">IF(ISNUMBER(D23),Tstd/Pstd*Y*(D23-D22)*(Pbar_3+K22/13.6)/(AVERAGE(G22:H22)+460),"-")</f>
        <v>-</v>
      </c>
      <c r="X22" s="73" t="str">
        <f>IF(ISNUMBER(W22),W22/(C22-C21),"-")</f>
        <v>-</v>
      </c>
      <c r="Y22" s="27" t="str">
        <f t="shared" si="5"/>
        <v>-</v>
      </c>
      <c r="Z22" s="27" t="str">
        <f t="shared" ref="Z22:Z43" si="15">IF(ISNUMBER(Y22),864000*Ps_3*Mwe/(I22+460)*P22/Y22,"-")</f>
        <v>-</v>
      </c>
      <c r="AA22" s="28" t="str">
        <f t="shared" ref="AA22:AA43" si="16">IF(ISNUMBER(Y22),1+0.0057193*(Y22/Ps_3/(IF(ISNUMBER(R22),R22,2.5))*SQRT((I22+460)/Mwe)),"-")</f>
        <v>-</v>
      </c>
      <c r="AC22" s="249" t="str">
        <f t="shared" si="1"/>
        <v>-</v>
      </c>
      <c r="AD22" s="303" t="str">
        <f t="shared" si="2"/>
        <v>-</v>
      </c>
      <c r="AE22" s="162" t="str">
        <f t="shared" si="3"/>
        <v>-</v>
      </c>
      <c r="AF22" s="162" t="str">
        <f t="shared" si="6"/>
        <v>-</v>
      </c>
      <c r="AG22" s="162" t="str">
        <f t="shared" si="7"/>
        <v>-</v>
      </c>
      <c r="AH22" s="162" t="str">
        <f t="shared" si="8"/>
        <v>-</v>
      </c>
      <c r="AI22" s="306" t="str">
        <f t="shared" si="9"/>
        <v>-</v>
      </c>
    </row>
    <row r="23" spans="1:35" ht="15" customHeight="1">
      <c r="A23" s="102"/>
      <c r="B23" s="311">
        <v>4</v>
      </c>
      <c r="C23" s="27" t="str">
        <f>IF(4&gt;N_3,"-",IF(ISNUMBER(F23),MAX(ROUND(Cp/Cpp*U23/'Pre-Test'!$U$46*Tr_3*4/N_3,0)/4,2)+C22,"-"))</f>
        <v>-</v>
      </c>
      <c r="D23" s="516"/>
      <c r="E23" s="516"/>
      <c r="F23" s="158"/>
      <c r="G23" s="246"/>
      <c r="H23" s="246"/>
      <c r="I23" s="247"/>
      <c r="J23" s="159" t="str">
        <f t="shared" si="4"/>
        <v>-</v>
      </c>
      <c r="K23" s="158"/>
      <c r="L23" s="247"/>
      <c r="M23" s="247"/>
      <c r="N23" s="247"/>
      <c r="O23" s="247"/>
      <c r="P23" s="248" t="str">
        <f t="shared" si="10"/>
        <v>-</v>
      </c>
      <c r="Q23" s="27" t="str">
        <f t="shared" si="11"/>
        <v>-</v>
      </c>
      <c r="R23" s="27" t="str">
        <f t="shared" si="12"/>
        <v>-</v>
      </c>
      <c r="S23" s="104"/>
      <c r="U23" s="249" t="str">
        <f t="shared" si="0"/>
        <v>-</v>
      </c>
      <c r="V23" s="162" t="str">
        <f t="shared" si="13"/>
        <v>-</v>
      </c>
      <c r="W23" s="73" t="str">
        <f t="shared" si="14"/>
        <v>-</v>
      </c>
      <c r="X23" s="73" t="str">
        <f t="shared" ref="X23:X43" si="17">IF(ISNUMBER(W23),W23/(C23-C22),"-")</f>
        <v>-</v>
      </c>
      <c r="Y23" s="27" t="str">
        <f t="shared" si="5"/>
        <v>-</v>
      </c>
      <c r="Z23" s="27" t="str">
        <f t="shared" si="15"/>
        <v>-</v>
      </c>
      <c r="AA23" s="28" t="str">
        <f t="shared" si="16"/>
        <v>-</v>
      </c>
      <c r="AC23" s="249" t="str">
        <f t="shared" si="1"/>
        <v>-</v>
      </c>
      <c r="AD23" s="303" t="str">
        <f t="shared" si="2"/>
        <v>-</v>
      </c>
      <c r="AE23" s="162" t="str">
        <f t="shared" si="3"/>
        <v>-</v>
      </c>
      <c r="AF23" s="162" t="str">
        <f t="shared" si="6"/>
        <v>-</v>
      </c>
      <c r="AG23" s="162" t="str">
        <f t="shared" si="7"/>
        <v>-</v>
      </c>
      <c r="AH23" s="162" t="str">
        <f t="shared" si="8"/>
        <v>-</v>
      </c>
      <c r="AI23" s="306" t="str">
        <f t="shared" si="9"/>
        <v>-</v>
      </c>
    </row>
    <row r="24" spans="1:35" ht="15" customHeight="1">
      <c r="A24" s="102"/>
      <c r="B24" s="311">
        <v>5</v>
      </c>
      <c r="C24" s="27" t="str">
        <f>IF(5&gt;N_3,"-",IF(ISNUMBER(F24),MAX(ROUND(Cp/Cpp*U24/'Pre-Test'!$U$46*Tr_3*4/N_3,0)/4,2)+C23,"-"))</f>
        <v>-</v>
      </c>
      <c r="D24" s="516"/>
      <c r="E24" s="516"/>
      <c r="F24" s="158"/>
      <c r="G24" s="246"/>
      <c r="H24" s="246"/>
      <c r="I24" s="247"/>
      <c r="J24" s="159" t="str">
        <f t="shared" si="4"/>
        <v>-</v>
      </c>
      <c r="K24" s="158"/>
      <c r="L24" s="247"/>
      <c r="M24" s="247"/>
      <c r="N24" s="247"/>
      <c r="O24" s="247"/>
      <c r="P24" s="248" t="str">
        <f t="shared" si="10"/>
        <v>-</v>
      </c>
      <c r="Q24" s="27" t="str">
        <f t="shared" si="11"/>
        <v>-</v>
      </c>
      <c r="R24" s="27" t="str">
        <f t="shared" si="12"/>
        <v>-</v>
      </c>
      <c r="S24" s="104"/>
      <c r="U24" s="249" t="str">
        <f t="shared" si="0"/>
        <v>-</v>
      </c>
      <c r="V24" s="162" t="str">
        <f t="shared" si="13"/>
        <v>-</v>
      </c>
      <c r="W24" s="73" t="str">
        <f t="shared" si="14"/>
        <v>-</v>
      </c>
      <c r="X24" s="73" t="str">
        <f t="shared" si="17"/>
        <v>-</v>
      </c>
      <c r="Y24" s="27" t="str">
        <f t="shared" si="5"/>
        <v>-</v>
      </c>
      <c r="Z24" s="27" t="str">
        <f t="shared" si="15"/>
        <v>-</v>
      </c>
      <c r="AA24" s="28" t="str">
        <f t="shared" si="16"/>
        <v>-</v>
      </c>
      <c r="AC24" s="249" t="str">
        <f t="shared" si="1"/>
        <v>-</v>
      </c>
      <c r="AD24" s="303" t="str">
        <f t="shared" si="2"/>
        <v>-</v>
      </c>
      <c r="AE24" s="162" t="str">
        <f t="shared" si="3"/>
        <v>-</v>
      </c>
      <c r="AF24" s="162" t="str">
        <f t="shared" si="6"/>
        <v>-</v>
      </c>
      <c r="AG24" s="162" t="str">
        <f t="shared" si="7"/>
        <v>-</v>
      </c>
      <c r="AH24" s="162" t="str">
        <f t="shared" si="8"/>
        <v>-</v>
      </c>
      <c r="AI24" s="306" t="str">
        <f t="shared" si="9"/>
        <v>-</v>
      </c>
    </row>
    <row r="25" spans="1:35" ht="15" customHeight="1">
      <c r="A25" s="102"/>
      <c r="B25" s="311">
        <v>6</v>
      </c>
      <c r="C25" s="27" t="str">
        <f>IF(6&gt;N_3,"-",IF(ISNUMBER(F25),MAX(ROUND(Cp/Cpp*U25/'Pre-Test'!$U$46*Tr_3*4/N_3,0)/4,2)+C24,"-"))</f>
        <v>-</v>
      </c>
      <c r="D25" s="516"/>
      <c r="E25" s="516"/>
      <c r="F25" s="158"/>
      <c r="G25" s="246"/>
      <c r="H25" s="246"/>
      <c r="I25" s="247"/>
      <c r="J25" s="159" t="str">
        <f t="shared" si="4"/>
        <v>-</v>
      </c>
      <c r="K25" s="158"/>
      <c r="L25" s="247"/>
      <c r="M25" s="247"/>
      <c r="N25" s="247"/>
      <c r="O25" s="247"/>
      <c r="P25" s="248" t="str">
        <f t="shared" si="10"/>
        <v>-</v>
      </c>
      <c r="Q25" s="27" t="str">
        <f t="shared" si="11"/>
        <v>-</v>
      </c>
      <c r="R25" s="27" t="str">
        <f t="shared" si="12"/>
        <v>-</v>
      </c>
      <c r="S25" s="104"/>
      <c r="U25" s="249" t="str">
        <f t="shared" si="0"/>
        <v>-</v>
      </c>
      <c r="V25" s="162" t="str">
        <f t="shared" si="13"/>
        <v>-</v>
      </c>
      <c r="W25" s="73" t="str">
        <f t="shared" si="14"/>
        <v>-</v>
      </c>
      <c r="X25" s="73" t="str">
        <f t="shared" si="17"/>
        <v>-</v>
      </c>
      <c r="Y25" s="27" t="str">
        <f t="shared" si="5"/>
        <v>-</v>
      </c>
      <c r="Z25" s="27" t="str">
        <f t="shared" si="15"/>
        <v>-</v>
      </c>
      <c r="AA25" s="28" t="str">
        <f t="shared" si="16"/>
        <v>-</v>
      </c>
      <c r="AC25" s="249" t="str">
        <f t="shared" si="1"/>
        <v>-</v>
      </c>
      <c r="AD25" s="303" t="str">
        <f t="shared" si="2"/>
        <v>-</v>
      </c>
      <c r="AE25" s="162" t="str">
        <f t="shared" si="3"/>
        <v>-</v>
      </c>
      <c r="AF25" s="162" t="str">
        <f t="shared" si="6"/>
        <v>-</v>
      </c>
      <c r="AG25" s="162" t="str">
        <f t="shared" si="7"/>
        <v>-</v>
      </c>
      <c r="AH25" s="162" t="str">
        <f t="shared" si="8"/>
        <v>-</v>
      </c>
      <c r="AI25" s="306" t="str">
        <f t="shared" si="9"/>
        <v>-</v>
      </c>
    </row>
    <row r="26" spans="1:35" ht="15" customHeight="1">
      <c r="A26" s="102"/>
      <c r="B26" s="311">
        <v>7</v>
      </c>
      <c r="C26" s="27" t="str">
        <f>IF(7&gt;N_3,"-",IF(ISNUMBER(F26),MAX(ROUND(Cp/Cpp*U26/'Pre-Test'!$U$46*Tr_3*4/N_3,0)/4,2)+C25,"-"))</f>
        <v>-</v>
      </c>
      <c r="D26" s="516"/>
      <c r="E26" s="516"/>
      <c r="F26" s="158"/>
      <c r="G26" s="246"/>
      <c r="H26" s="246"/>
      <c r="I26" s="247"/>
      <c r="J26" s="159" t="str">
        <f t="shared" si="4"/>
        <v>-</v>
      </c>
      <c r="K26" s="158"/>
      <c r="L26" s="247"/>
      <c r="M26" s="247"/>
      <c r="N26" s="247"/>
      <c r="O26" s="247"/>
      <c r="P26" s="248" t="str">
        <f t="shared" si="10"/>
        <v>-</v>
      </c>
      <c r="Q26" s="27" t="str">
        <f t="shared" si="11"/>
        <v>-</v>
      </c>
      <c r="R26" s="27" t="str">
        <f t="shared" si="12"/>
        <v>-</v>
      </c>
      <c r="S26" s="104"/>
      <c r="U26" s="249" t="str">
        <f t="shared" si="0"/>
        <v>-</v>
      </c>
      <c r="V26" s="162" t="str">
        <f t="shared" si="13"/>
        <v>-</v>
      </c>
      <c r="W26" s="73" t="str">
        <f t="shared" si="14"/>
        <v>-</v>
      </c>
      <c r="X26" s="73" t="str">
        <f t="shared" si="17"/>
        <v>-</v>
      </c>
      <c r="Y26" s="27" t="str">
        <f t="shared" si="5"/>
        <v>-</v>
      </c>
      <c r="Z26" s="27" t="str">
        <f t="shared" si="15"/>
        <v>-</v>
      </c>
      <c r="AA26" s="28" t="str">
        <f t="shared" si="16"/>
        <v>-</v>
      </c>
      <c r="AC26" s="249" t="str">
        <f t="shared" si="1"/>
        <v>-</v>
      </c>
      <c r="AD26" s="303" t="str">
        <f t="shared" si="2"/>
        <v>-</v>
      </c>
      <c r="AE26" s="162" t="str">
        <f t="shared" si="3"/>
        <v>-</v>
      </c>
      <c r="AF26" s="162" t="str">
        <f t="shared" si="6"/>
        <v>-</v>
      </c>
      <c r="AG26" s="162" t="str">
        <f t="shared" si="7"/>
        <v>-</v>
      </c>
      <c r="AH26" s="162" t="str">
        <f t="shared" si="8"/>
        <v>-</v>
      </c>
      <c r="AI26" s="306" t="str">
        <f t="shared" si="9"/>
        <v>-</v>
      </c>
    </row>
    <row r="27" spans="1:35" ht="15" customHeight="1">
      <c r="A27" s="102"/>
      <c r="B27" s="311">
        <v>8</v>
      </c>
      <c r="C27" s="27" t="str">
        <f>IF(8&gt;N_3,"-",IF(ISNUMBER(F27),MAX(ROUND(Cp/Cpp*U27/'Pre-Test'!$U$46*Tr_3*4/N_3,0)/4,2)+C26,"-"))</f>
        <v>-</v>
      </c>
      <c r="D27" s="516"/>
      <c r="E27" s="516"/>
      <c r="F27" s="158"/>
      <c r="G27" s="246"/>
      <c r="H27" s="246"/>
      <c r="I27" s="247"/>
      <c r="J27" s="159" t="str">
        <f t="shared" si="4"/>
        <v>-</v>
      </c>
      <c r="K27" s="158"/>
      <c r="L27" s="247"/>
      <c r="M27" s="247"/>
      <c r="N27" s="247"/>
      <c r="O27" s="247"/>
      <c r="P27" s="248" t="str">
        <f t="shared" si="10"/>
        <v>-</v>
      </c>
      <c r="Q27" s="27" t="str">
        <f t="shared" si="11"/>
        <v>-</v>
      </c>
      <c r="R27" s="27" t="str">
        <f t="shared" si="12"/>
        <v>-</v>
      </c>
      <c r="S27" s="104"/>
      <c r="U27" s="249" t="str">
        <f t="shared" si="0"/>
        <v>-</v>
      </c>
      <c r="V27" s="162" t="str">
        <f t="shared" si="13"/>
        <v>-</v>
      </c>
      <c r="W27" s="73" t="str">
        <f t="shared" si="14"/>
        <v>-</v>
      </c>
      <c r="X27" s="73" t="str">
        <f t="shared" si="17"/>
        <v>-</v>
      </c>
      <c r="Y27" s="27" t="str">
        <f t="shared" si="5"/>
        <v>-</v>
      </c>
      <c r="Z27" s="27" t="str">
        <f t="shared" si="15"/>
        <v>-</v>
      </c>
      <c r="AA27" s="28" t="str">
        <f t="shared" si="16"/>
        <v>-</v>
      </c>
      <c r="AC27" s="249" t="str">
        <f t="shared" si="1"/>
        <v>-</v>
      </c>
      <c r="AD27" s="303" t="str">
        <f t="shared" si="2"/>
        <v>-</v>
      </c>
      <c r="AE27" s="162" t="str">
        <f t="shared" si="3"/>
        <v>-</v>
      </c>
      <c r="AF27" s="162" t="str">
        <f t="shared" si="6"/>
        <v>-</v>
      </c>
      <c r="AG27" s="162" t="str">
        <f t="shared" si="7"/>
        <v>-</v>
      </c>
      <c r="AH27" s="162" t="str">
        <f t="shared" si="8"/>
        <v>-</v>
      </c>
      <c r="AI27" s="306" t="str">
        <f t="shared" si="9"/>
        <v>-</v>
      </c>
    </row>
    <row r="28" spans="1:35" ht="15" customHeight="1">
      <c r="A28" s="102"/>
      <c r="B28" s="311">
        <v>9</v>
      </c>
      <c r="C28" s="27" t="str">
        <f>IF(9&gt;N_3,"-",IF(ISNUMBER(F28),MAX(ROUND(Cp/Cpp*U28/'Pre-Test'!$U$46*Tr_3*4/N_3,0)/4,2)+C27,"-"))</f>
        <v>-</v>
      </c>
      <c r="D28" s="516"/>
      <c r="E28" s="516"/>
      <c r="F28" s="158"/>
      <c r="G28" s="246"/>
      <c r="H28" s="246"/>
      <c r="I28" s="247"/>
      <c r="J28" s="159" t="str">
        <f t="shared" si="4"/>
        <v>-</v>
      </c>
      <c r="K28" s="158"/>
      <c r="L28" s="247"/>
      <c r="M28" s="247"/>
      <c r="N28" s="247"/>
      <c r="O28" s="247"/>
      <c r="P28" s="248" t="str">
        <f t="shared" si="10"/>
        <v>-</v>
      </c>
      <c r="Q28" s="27" t="str">
        <f t="shared" si="11"/>
        <v>-</v>
      </c>
      <c r="R28" s="27" t="str">
        <f t="shared" si="12"/>
        <v>-</v>
      </c>
      <c r="S28" s="104"/>
      <c r="U28" s="249" t="str">
        <f t="shared" si="0"/>
        <v>-</v>
      </c>
      <c r="V28" s="162" t="str">
        <f t="shared" si="13"/>
        <v>-</v>
      </c>
      <c r="W28" s="73" t="str">
        <f t="shared" si="14"/>
        <v>-</v>
      </c>
      <c r="X28" s="73" t="str">
        <f t="shared" si="17"/>
        <v>-</v>
      </c>
      <c r="Y28" s="27" t="str">
        <f t="shared" si="5"/>
        <v>-</v>
      </c>
      <c r="Z28" s="27" t="str">
        <f t="shared" si="15"/>
        <v>-</v>
      </c>
      <c r="AA28" s="28" t="str">
        <f t="shared" si="16"/>
        <v>-</v>
      </c>
      <c r="AC28" s="249" t="str">
        <f t="shared" si="1"/>
        <v>-</v>
      </c>
      <c r="AD28" s="303" t="str">
        <f t="shared" si="2"/>
        <v>-</v>
      </c>
      <c r="AE28" s="162" t="str">
        <f t="shared" si="3"/>
        <v>-</v>
      </c>
      <c r="AF28" s="162" t="str">
        <f t="shared" si="6"/>
        <v>-</v>
      </c>
      <c r="AG28" s="162" t="str">
        <f t="shared" si="7"/>
        <v>-</v>
      </c>
      <c r="AH28" s="162" t="str">
        <f t="shared" si="8"/>
        <v>-</v>
      </c>
      <c r="AI28" s="306" t="str">
        <f t="shared" si="9"/>
        <v>-</v>
      </c>
    </row>
    <row r="29" spans="1:35" ht="15" customHeight="1">
      <c r="A29" s="102"/>
      <c r="B29" s="311">
        <v>10</v>
      </c>
      <c r="C29" s="27" t="str">
        <f>IF(10&gt;N_3,"-",IF(ISNUMBER(F29),MAX(ROUND(Cp/Cpp*U29/'Pre-Test'!$U$46*Tr_3*4/N_3,0)/4,2)+C28,"-"))</f>
        <v>-</v>
      </c>
      <c r="D29" s="516"/>
      <c r="E29" s="516"/>
      <c r="F29" s="158"/>
      <c r="G29" s="246"/>
      <c r="H29" s="246"/>
      <c r="I29" s="247"/>
      <c r="J29" s="159" t="str">
        <f t="shared" si="4"/>
        <v>-</v>
      </c>
      <c r="K29" s="158"/>
      <c r="L29" s="247"/>
      <c r="M29" s="247"/>
      <c r="N29" s="247"/>
      <c r="O29" s="247"/>
      <c r="P29" s="248" t="str">
        <f t="shared" si="10"/>
        <v>-</v>
      </c>
      <c r="Q29" s="27" t="str">
        <f t="shared" si="11"/>
        <v>-</v>
      </c>
      <c r="R29" s="27" t="str">
        <f t="shared" si="12"/>
        <v>-</v>
      </c>
      <c r="S29" s="104"/>
      <c r="U29" s="249" t="str">
        <f t="shared" si="0"/>
        <v>-</v>
      </c>
      <c r="V29" s="162" t="str">
        <f t="shared" si="13"/>
        <v>-</v>
      </c>
      <c r="W29" s="73" t="str">
        <f t="shared" si="14"/>
        <v>-</v>
      </c>
      <c r="X29" s="73" t="str">
        <f t="shared" si="17"/>
        <v>-</v>
      </c>
      <c r="Y29" s="27" t="str">
        <f t="shared" si="5"/>
        <v>-</v>
      </c>
      <c r="Z29" s="27" t="str">
        <f t="shared" si="15"/>
        <v>-</v>
      </c>
      <c r="AA29" s="28" t="str">
        <f t="shared" si="16"/>
        <v>-</v>
      </c>
      <c r="AC29" s="249" t="str">
        <f t="shared" si="1"/>
        <v>-</v>
      </c>
      <c r="AD29" s="303" t="str">
        <f t="shared" si="2"/>
        <v>-</v>
      </c>
      <c r="AE29" s="162" t="str">
        <f t="shared" si="3"/>
        <v>-</v>
      </c>
      <c r="AF29" s="162" t="str">
        <f t="shared" si="6"/>
        <v>-</v>
      </c>
      <c r="AG29" s="162" t="str">
        <f t="shared" si="7"/>
        <v>-</v>
      </c>
      <c r="AH29" s="162" t="str">
        <f t="shared" si="8"/>
        <v>-</v>
      </c>
      <c r="AI29" s="306" t="str">
        <f t="shared" si="9"/>
        <v>-</v>
      </c>
    </row>
    <row r="30" spans="1:35" ht="15" customHeight="1">
      <c r="A30" s="102"/>
      <c r="B30" s="311">
        <v>11</v>
      </c>
      <c r="C30" s="27" t="str">
        <f>IF(11&gt;N_3,"-",IF(ISNUMBER(F30),MAX(ROUND(Cp/Cpp*U30/'Pre-Test'!$U$46*Tr_3*4/N_3,0)/4,2)+C29,"-"))</f>
        <v>-</v>
      </c>
      <c r="D30" s="516"/>
      <c r="E30" s="516"/>
      <c r="F30" s="158"/>
      <c r="G30" s="246"/>
      <c r="H30" s="246"/>
      <c r="I30" s="247"/>
      <c r="J30" s="159" t="str">
        <f t="shared" si="4"/>
        <v>-</v>
      </c>
      <c r="K30" s="158"/>
      <c r="L30" s="247"/>
      <c r="M30" s="247"/>
      <c r="N30" s="247"/>
      <c r="O30" s="247"/>
      <c r="P30" s="248" t="str">
        <f t="shared" si="10"/>
        <v>-</v>
      </c>
      <c r="Q30" s="27" t="str">
        <f t="shared" si="11"/>
        <v>-</v>
      </c>
      <c r="R30" s="27" t="str">
        <f t="shared" si="12"/>
        <v>-</v>
      </c>
      <c r="S30" s="104"/>
      <c r="U30" s="249" t="str">
        <f t="shared" si="0"/>
        <v>-</v>
      </c>
      <c r="V30" s="162" t="str">
        <f t="shared" si="13"/>
        <v>-</v>
      </c>
      <c r="W30" s="73" t="str">
        <f t="shared" si="14"/>
        <v>-</v>
      </c>
      <c r="X30" s="73" t="str">
        <f t="shared" si="17"/>
        <v>-</v>
      </c>
      <c r="Y30" s="27" t="str">
        <f t="shared" si="5"/>
        <v>-</v>
      </c>
      <c r="Z30" s="27" t="str">
        <f t="shared" si="15"/>
        <v>-</v>
      </c>
      <c r="AA30" s="28" t="str">
        <f t="shared" si="16"/>
        <v>-</v>
      </c>
      <c r="AC30" s="249" t="str">
        <f t="shared" si="1"/>
        <v>-</v>
      </c>
      <c r="AD30" s="303" t="str">
        <f t="shared" si="2"/>
        <v>-</v>
      </c>
      <c r="AE30" s="162" t="str">
        <f t="shared" si="3"/>
        <v>-</v>
      </c>
      <c r="AF30" s="162" t="str">
        <f t="shared" si="6"/>
        <v>-</v>
      </c>
      <c r="AG30" s="162" t="str">
        <f t="shared" si="7"/>
        <v>-</v>
      </c>
      <c r="AH30" s="162" t="str">
        <f t="shared" si="8"/>
        <v>-</v>
      </c>
      <c r="AI30" s="306" t="str">
        <f t="shared" si="9"/>
        <v>-</v>
      </c>
    </row>
    <row r="31" spans="1:35" ht="15" customHeight="1">
      <c r="A31" s="102"/>
      <c r="B31" s="311">
        <v>12</v>
      </c>
      <c r="C31" s="27" t="str">
        <f>IF(12&gt;N_3,"-",IF(ISNUMBER(F31),MAX(ROUND(Cp/Cpp*U31/'Pre-Test'!$U$46*Tr_3*4/N_3,0)/4,2)+C30,"-"))</f>
        <v>-</v>
      </c>
      <c r="D31" s="516"/>
      <c r="E31" s="516"/>
      <c r="F31" s="158"/>
      <c r="G31" s="246"/>
      <c r="H31" s="246"/>
      <c r="I31" s="247"/>
      <c r="J31" s="159" t="str">
        <f t="shared" si="4"/>
        <v>-</v>
      </c>
      <c r="K31" s="158"/>
      <c r="L31" s="247"/>
      <c r="M31" s="247"/>
      <c r="N31" s="247"/>
      <c r="O31" s="247"/>
      <c r="P31" s="248" t="str">
        <f t="shared" si="10"/>
        <v>-</v>
      </c>
      <c r="Q31" s="27" t="str">
        <f t="shared" si="11"/>
        <v>-</v>
      </c>
      <c r="R31" s="27" t="str">
        <f t="shared" si="12"/>
        <v>-</v>
      </c>
      <c r="S31" s="104"/>
      <c r="U31" s="249" t="str">
        <f t="shared" si="0"/>
        <v>-</v>
      </c>
      <c r="V31" s="162" t="str">
        <f t="shared" si="13"/>
        <v>-</v>
      </c>
      <c r="W31" s="73" t="str">
        <f t="shared" si="14"/>
        <v>-</v>
      </c>
      <c r="X31" s="73" t="str">
        <f t="shared" si="17"/>
        <v>-</v>
      </c>
      <c r="Y31" s="27" t="str">
        <f t="shared" si="5"/>
        <v>-</v>
      </c>
      <c r="Z31" s="27" t="str">
        <f t="shared" si="15"/>
        <v>-</v>
      </c>
      <c r="AA31" s="28" t="str">
        <f t="shared" si="16"/>
        <v>-</v>
      </c>
      <c r="AC31" s="249" t="str">
        <f t="shared" si="1"/>
        <v>-</v>
      </c>
      <c r="AD31" s="303" t="str">
        <f t="shared" si="2"/>
        <v>-</v>
      </c>
      <c r="AE31" s="162" t="str">
        <f t="shared" si="3"/>
        <v>-</v>
      </c>
      <c r="AF31" s="162" t="str">
        <f t="shared" si="6"/>
        <v>-</v>
      </c>
      <c r="AG31" s="162" t="str">
        <f t="shared" si="7"/>
        <v>-</v>
      </c>
      <c r="AH31" s="162" t="str">
        <f t="shared" si="8"/>
        <v>-</v>
      </c>
      <c r="AI31" s="306" t="str">
        <f t="shared" si="9"/>
        <v>-</v>
      </c>
    </row>
    <row r="32" spans="1:35" ht="15" customHeight="1">
      <c r="A32" s="102"/>
      <c r="B32" s="311">
        <v>13</v>
      </c>
      <c r="C32" s="27" t="str">
        <f>IF(13&gt;N_3,"-",IF(ISNUMBER(F32),MAX(ROUND(Cp/Cpp*U32/'Pre-Test'!$U$46*Tr_3*4/N_3,0)/4,2)+C31,"-"))</f>
        <v>-</v>
      </c>
      <c r="D32" s="516"/>
      <c r="E32" s="516"/>
      <c r="F32" s="158"/>
      <c r="G32" s="246"/>
      <c r="H32" s="246"/>
      <c r="I32" s="247"/>
      <c r="J32" s="159" t="str">
        <f t="shared" si="4"/>
        <v>-</v>
      </c>
      <c r="K32" s="158"/>
      <c r="L32" s="247"/>
      <c r="M32" s="247"/>
      <c r="N32" s="247"/>
      <c r="O32" s="247"/>
      <c r="P32" s="248" t="str">
        <f t="shared" si="10"/>
        <v>-</v>
      </c>
      <c r="Q32" s="27" t="str">
        <f t="shared" si="11"/>
        <v>-</v>
      </c>
      <c r="R32" s="27" t="str">
        <f t="shared" si="12"/>
        <v>-</v>
      </c>
      <c r="S32" s="104"/>
      <c r="U32" s="249" t="str">
        <f t="shared" si="0"/>
        <v>-</v>
      </c>
      <c r="V32" s="162" t="str">
        <f t="shared" si="13"/>
        <v>-</v>
      </c>
      <c r="W32" s="73" t="str">
        <f t="shared" si="14"/>
        <v>-</v>
      </c>
      <c r="X32" s="73" t="str">
        <f t="shared" si="17"/>
        <v>-</v>
      </c>
      <c r="Y32" s="27" t="str">
        <f t="shared" si="5"/>
        <v>-</v>
      </c>
      <c r="Z32" s="27" t="str">
        <f t="shared" si="15"/>
        <v>-</v>
      </c>
      <c r="AA32" s="28" t="str">
        <f t="shared" si="16"/>
        <v>-</v>
      </c>
      <c r="AC32" s="249" t="str">
        <f t="shared" si="1"/>
        <v>-</v>
      </c>
      <c r="AD32" s="303" t="str">
        <f t="shared" si="2"/>
        <v>-</v>
      </c>
      <c r="AE32" s="162" t="str">
        <f t="shared" si="3"/>
        <v>-</v>
      </c>
      <c r="AF32" s="162" t="str">
        <f t="shared" si="6"/>
        <v>-</v>
      </c>
      <c r="AG32" s="162" t="str">
        <f t="shared" si="7"/>
        <v>-</v>
      </c>
      <c r="AH32" s="162" t="str">
        <f t="shared" si="8"/>
        <v>-</v>
      </c>
      <c r="AI32" s="306" t="str">
        <f t="shared" si="9"/>
        <v>-</v>
      </c>
    </row>
    <row r="33" spans="1:35" ht="15" customHeight="1">
      <c r="A33" s="102"/>
      <c r="B33" s="311">
        <v>14</v>
      </c>
      <c r="C33" s="27" t="str">
        <f>IF(14&gt;N_3,"-",IF(ISNUMBER(F33),MAX(ROUND(Cp/Cpp*U33/'Pre-Test'!$U$46*Tr_3*4/N_3,0)/4,2)+C32,"-"))</f>
        <v>-</v>
      </c>
      <c r="D33" s="516"/>
      <c r="E33" s="516"/>
      <c r="F33" s="158"/>
      <c r="G33" s="246"/>
      <c r="H33" s="246"/>
      <c r="I33" s="247"/>
      <c r="J33" s="159" t="str">
        <f t="shared" si="4"/>
        <v>-</v>
      </c>
      <c r="K33" s="158"/>
      <c r="L33" s="247"/>
      <c r="M33" s="247"/>
      <c r="N33" s="247"/>
      <c r="O33" s="247"/>
      <c r="P33" s="248" t="str">
        <f t="shared" si="10"/>
        <v>-</v>
      </c>
      <c r="Q33" s="27" t="str">
        <f t="shared" si="11"/>
        <v>-</v>
      </c>
      <c r="R33" s="27" t="str">
        <f t="shared" si="12"/>
        <v>-</v>
      </c>
      <c r="S33" s="104"/>
      <c r="U33" s="249" t="str">
        <f t="shared" si="0"/>
        <v>-</v>
      </c>
      <c r="V33" s="162" t="str">
        <f t="shared" si="13"/>
        <v>-</v>
      </c>
      <c r="W33" s="73" t="str">
        <f t="shared" si="14"/>
        <v>-</v>
      </c>
      <c r="X33" s="73" t="str">
        <f t="shared" si="17"/>
        <v>-</v>
      </c>
      <c r="Y33" s="27" t="str">
        <f t="shared" si="5"/>
        <v>-</v>
      </c>
      <c r="Z33" s="27" t="str">
        <f t="shared" si="15"/>
        <v>-</v>
      </c>
      <c r="AA33" s="28" t="str">
        <f t="shared" si="16"/>
        <v>-</v>
      </c>
      <c r="AC33" s="249" t="str">
        <f t="shared" si="1"/>
        <v>-</v>
      </c>
      <c r="AD33" s="303" t="str">
        <f t="shared" si="2"/>
        <v>-</v>
      </c>
      <c r="AE33" s="162" t="str">
        <f t="shared" si="3"/>
        <v>-</v>
      </c>
      <c r="AF33" s="162" t="str">
        <f t="shared" si="6"/>
        <v>-</v>
      </c>
      <c r="AG33" s="162" t="str">
        <f t="shared" si="7"/>
        <v>-</v>
      </c>
      <c r="AH33" s="162" t="str">
        <f t="shared" si="8"/>
        <v>-</v>
      </c>
      <c r="AI33" s="306" t="str">
        <f t="shared" si="9"/>
        <v>-</v>
      </c>
    </row>
    <row r="34" spans="1:35" ht="15" customHeight="1">
      <c r="A34" s="102"/>
      <c r="B34" s="311">
        <v>15</v>
      </c>
      <c r="C34" s="27" t="str">
        <f>IF(15&gt;N_3,"-",IF(ISNUMBER(F34),MAX(ROUND(Cp/Cpp*U34/'Pre-Test'!$U$46*Tr_3*4/N_3,0)/4,2)+C33,"-"))</f>
        <v>-</v>
      </c>
      <c r="D34" s="516"/>
      <c r="E34" s="516"/>
      <c r="F34" s="158"/>
      <c r="G34" s="246"/>
      <c r="H34" s="246"/>
      <c r="I34" s="247"/>
      <c r="J34" s="159" t="str">
        <f t="shared" si="4"/>
        <v>-</v>
      </c>
      <c r="K34" s="158"/>
      <c r="L34" s="247"/>
      <c r="M34" s="247"/>
      <c r="N34" s="247"/>
      <c r="O34" s="247"/>
      <c r="P34" s="248" t="str">
        <f t="shared" si="10"/>
        <v>-</v>
      </c>
      <c r="Q34" s="27" t="str">
        <f t="shared" si="11"/>
        <v>-</v>
      </c>
      <c r="R34" s="27" t="str">
        <f t="shared" si="12"/>
        <v>-</v>
      </c>
      <c r="S34" s="104"/>
      <c r="U34" s="249" t="str">
        <f t="shared" si="0"/>
        <v>-</v>
      </c>
      <c r="V34" s="162" t="str">
        <f t="shared" si="13"/>
        <v>-</v>
      </c>
      <c r="W34" s="73" t="str">
        <f t="shared" si="14"/>
        <v>-</v>
      </c>
      <c r="X34" s="73" t="str">
        <f t="shared" si="17"/>
        <v>-</v>
      </c>
      <c r="Y34" s="27" t="str">
        <f t="shared" si="5"/>
        <v>-</v>
      </c>
      <c r="Z34" s="27" t="str">
        <f t="shared" si="15"/>
        <v>-</v>
      </c>
      <c r="AA34" s="28" t="str">
        <f t="shared" si="16"/>
        <v>-</v>
      </c>
      <c r="AC34" s="249" t="str">
        <f t="shared" si="1"/>
        <v>-</v>
      </c>
      <c r="AD34" s="303" t="str">
        <f t="shared" si="2"/>
        <v>-</v>
      </c>
      <c r="AE34" s="162" t="str">
        <f t="shared" si="3"/>
        <v>-</v>
      </c>
      <c r="AF34" s="162" t="str">
        <f t="shared" si="6"/>
        <v>-</v>
      </c>
      <c r="AG34" s="162" t="str">
        <f t="shared" si="7"/>
        <v>-</v>
      </c>
      <c r="AH34" s="162" t="str">
        <f t="shared" si="8"/>
        <v>-</v>
      </c>
      <c r="AI34" s="306" t="str">
        <f t="shared" si="9"/>
        <v>-</v>
      </c>
    </row>
    <row r="35" spans="1:35" ht="15" customHeight="1">
      <c r="A35" s="102"/>
      <c r="B35" s="311">
        <v>16</v>
      </c>
      <c r="C35" s="27" t="str">
        <f>IF(16&gt;N_3,"-",IF(ISNUMBER(F35),MAX(ROUND(Cp/Cpp*U35/'Pre-Test'!$U$46*Tr_3*4/N_3,0)/4,2)+C34,"-"))</f>
        <v>-</v>
      </c>
      <c r="D35" s="516"/>
      <c r="E35" s="516"/>
      <c r="F35" s="158"/>
      <c r="G35" s="246"/>
      <c r="H35" s="246"/>
      <c r="I35" s="247"/>
      <c r="J35" s="159" t="str">
        <f t="shared" si="4"/>
        <v>-</v>
      </c>
      <c r="K35" s="158"/>
      <c r="L35" s="247"/>
      <c r="M35" s="247"/>
      <c r="N35" s="247"/>
      <c r="O35" s="247"/>
      <c r="P35" s="248" t="str">
        <f t="shared" si="10"/>
        <v>-</v>
      </c>
      <c r="Q35" s="27" t="str">
        <f t="shared" si="11"/>
        <v>-</v>
      </c>
      <c r="R35" s="27" t="str">
        <f t="shared" si="12"/>
        <v>-</v>
      </c>
      <c r="S35" s="104"/>
      <c r="U35" s="249" t="str">
        <f t="shared" si="0"/>
        <v>-</v>
      </c>
      <c r="V35" s="162" t="str">
        <f t="shared" si="13"/>
        <v>-</v>
      </c>
      <c r="W35" s="73" t="str">
        <f t="shared" si="14"/>
        <v>-</v>
      </c>
      <c r="X35" s="73" t="str">
        <f t="shared" si="17"/>
        <v>-</v>
      </c>
      <c r="Y35" s="27" t="str">
        <f t="shared" si="5"/>
        <v>-</v>
      </c>
      <c r="Z35" s="27" t="str">
        <f t="shared" si="15"/>
        <v>-</v>
      </c>
      <c r="AA35" s="28" t="str">
        <f t="shared" si="16"/>
        <v>-</v>
      </c>
      <c r="AC35" s="249" t="str">
        <f t="shared" si="1"/>
        <v>-</v>
      </c>
      <c r="AD35" s="303" t="str">
        <f t="shared" si="2"/>
        <v>-</v>
      </c>
      <c r="AE35" s="162" t="str">
        <f t="shared" si="3"/>
        <v>-</v>
      </c>
      <c r="AF35" s="162" t="str">
        <f t="shared" si="6"/>
        <v>-</v>
      </c>
      <c r="AG35" s="162" t="str">
        <f t="shared" si="7"/>
        <v>-</v>
      </c>
      <c r="AH35" s="162" t="str">
        <f t="shared" si="8"/>
        <v>-</v>
      </c>
      <c r="AI35" s="306" t="str">
        <f t="shared" si="9"/>
        <v>-</v>
      </c>
    </row>
    <row r="36" spans="1:35" ht="15" customHeight="1">
      <c r="A36" s="102"/>
      <c r="B36" s="311">
        <v>17</v>
      </c>
      <c r="C36" s="27" t="str">
        <f>IF(17&gt;N_3,"-",IF(ISNUMBER(F36),MAX(ROUND(Cp/Cpp*U36/'Pre-Test'!$U$46*Tr_3*4/N_3,0)/4,2)+C35,"-"))</f>
        <v>-</v>
      </c>
      <c r="D36" s="516"/>
      <c r="E36" s="516"/>
      <c r="F36" s="158"/>
      <c r="G36" s="246"/>
      <c r="H36" s="246"/>
      <c r="I36" s="247"/>
      <c r="J36" s="159" t="str">
        <f t="shared" si="4"/>
        <v>-</v>
      </c>
      <c r="K36" s="158"/>
      <c r="L36" s="247"/>
      <c r="M36" s="247"/>
      <c r="N36" s="247"/>
      <c r="O36" s="247"/>
      <c r="P36" s="248" t="str">
        <f t="shared" si="10"/>
        <v>-</v>
      </c>
      <c r="Q36" s="27" t="str">
        <f t="shared" si="11"/>
        <v>-</v>
      </c>
      <c r="R36" s="27" t="str">
        <f t="shared" si="12"/>
        <v>-</v>
      </c>
      <c r="S36" s="104"/>
      <c r="U36" s="249" t="str">
        <f t="shared" si="0"/>
        <v>-</v>
      </c>
      <c r="V36" s="162" t="str">
        <f t="shared" si="13"/>
        <v>-</v>
      </c>
      <c r="W36" s="73" t="str">
        <f t="shared" si="14"/>
        <v>-</v>
      </c>
      <c r="X36" s="73" t="str">
        <f t="shared" si="17"/>
        <v>-</v>
      </c>
      <c r="Y36" s="27" t="str">
        <f t="shared" si="5"/>
        <v>-</v>
      </c>
      <c r="Z36" s="27" t="str">
        <f t="shared" si="15"/>
        <v>-</v>
      </c>
      <c r="AA36" s="28" t="str">
        <f t="shared" si="16"/>
        <v>-</v>
      </c>
      <c r="AC36" s="249" t="str">
        <f t="shared" si="1"/>
        <v>-</v>
      </c>
      <c r="AD36" s="303" t="str">
        <f t="shared" si="2"/>
        <v>-</v>
      </c>
      <c r="AE36" s="162" t="str">
        <f t="shared" si="3"/>
        <v>-</v>
      </c>
      <c r="AF36" s="162" t="str">
        <f t="shared" si="6"/>
        <v>-</v>
      </c>
      <c r="AG36" s="162" t="str">
        <f t="shared" si="7"/>
        <v>-</v>
      </c>
      <c r="AH36" s="162" t="str">
        <f t="shared" si="8"/>
        <v>-</v>
      </c>
      <c r="AI36" s="306" t="str">
        <f t="shared" si="9"/>
        <v>-</v>
      </c>
    </row>
    <row r="37" spans="1:35" ht="15" customHeight="1">
      <c r="A37" s="102"/>
      <c r="B37" s="311">
        <v>18</v>
      </c>
      <c r="C37" s="27" t="str">
        <f>IF(18&gt;N_3,"-",IF(ISNUMBER(F37),MAX(ROUND(Cp/Cpp*U37/'Pre-Test'!$U$46*Tr_3*4/N_3,0)/4,2)+C36,"-"))</f>
        <v>-</v>
      </c>
      <c r="D37" s="516"/>
      <c r="E37" s="516"/>
      <c r="F37" s="158"/>
      <c r="G37" s="246"/>
      <c r="H37" s="246"/>
      <c r="I37" s="247"/>
      <c r="J37" s="159" t="str">
        <f t="shared" si="4"/>
        <v>-</v>
      </c>
      <c r="K37" s="158"/>
      <c r="L37" s="247"/>
      <c r="M37" s="247"/>
      <c r="N37" s="247"/>
      <c r="O37" s="247"/>
      <c r="P37" s="248" t="str">
        <f t="shared" si="10"/>
        <v>-</v>
      </c>
      <c r="Q37" s="27" t="str">
        <f t="shared" si="11"/>
        <v>-</v>
      </c>
      <c r="R37" s="27" t="str">
        <f t="shared" si="12"/>
        <v>-</v>
      </c>
      <c r="S37" s="104"/>
      <c r="U37" s="249" t="str">
        <f t="shared" si="0"/>
        <v>-</v>
      </c>
      <c r="V37" s="162" t="str">
        <f t="shared" si="13"/>
        <v>-</v>
      </c>
      <c r="W37" s="73" t="str">
        <f t="shared" si="14"/>
        <v>-</v>
      </c>
      <c r="X37" s="73" t="str">
        <f t="shared" si="17"/>
        <v>-</v>
      </c>
      <c r="Y37" s="27" t="str">
        <f t="shared" si="5"/>
        <v>-</v>
      </c>
      <c r="Z37" s="27" t="str">
        <f t="shared" si="15"/>
        <v>-</v>
      </c>
      <c r="AA37" s="28" t="str">
        <f t="shared" si="16"/>
        <v>-</v>
      </c>
      <c r="AC37" s="249" t="str">
        <f t="shared" si="1"/>
        <v>-</v>
      </c>
      <c r="AD37" s="303" t="str">
        <f t="shared" si="2"/>
        <v>-</v>
      </c>
      <c r="AE37" s="162" t="str">
        <f t="shared" si="3"/>
        <v>-</v>
      </c>
      <c r="AF37" s="162" t="str">
        <f t="shared" si="6"/>
        <v>-</v>
      </c>
      <c r="AG37" s="162" t="str">
        <f t="shared" si="7"/>
        <v>-</v>
      </c>
      <c r="AH37" s="162" t="str">
        <f t="shared" si="8"/>
        <v>-</v>
      </c>
      <c r="AI37" s="306" t="str">
        <f t="shared" si="9"/>
        <v>-</v>
      </c>
    </row>
    <row r="38" spans="1:35" ht="15" customHeight="1">
      <c r="A38" s="102"/>
      <c r="B38" s="311">
        <v>19</v>
      </c>
      <c r="C38" s="27" t="str">
        <f>IF(19&gt;N_3,"-",IF(ISNUMBER(F38),MAX(ROUND(Cp/Cpp*U38/'Pre-Test'!$U$46*Tr_3*4/N_3,0)/4,2)+C37,"-"))</f>
        <v>-</v>
      </c>
      <c r="D38" s="516"/>
      <c r="E38" s="516"/>
      <c r="F38" s="158"/>
      <c r="G38" s="246"/>
      <c r="H38" s="246"/>
      <c r="I38" s="247"/>
      <c r="J38" s="159" t="str">
        <f t="shared" si="4"/>
        <v>-</v>
      </c>
      <c r="K38" s="158"/>
      <c r="L38" s="247"/>
      <c r="M38" s="247"/>
      <c r="N38" s="247"/>
      <c r="O38" s="247"/>
      <c r="P38" s="248" t="str">
        <f t="shared" si="10"/>
        <v>-</v>
      </c>
      <c r="Q38" s="27" t="str">
        <f t="shared" si="11"/>
        <v>-</v>
      </c>
      <c r="R38" s="27" t="str">
        <f t="shared" si="12"/>
        <v>-</v>
      </c>
      <c r="S38" s="104"/>
      <c r="U38" s="249" t="str">
        <f t="shared" si="0"/>
        <v>-</v>
      </c>
      <c r="V38" s="162" t="str">
        <f t="shared" si="13"/>
        <v>-</v>
      </c>
      <c r="W38" s="73" t="str">
        <f t="shared" si="14"/>
        <v>-</v>
      </c>
      <c r="X38" s="73" t="str">
        <f t="shared" si="17"/>
        <v>-</v>
      </c>
      <c r="Y38" s="27" t="str">
        <f t="shared" si="5"/>
        <v>-</v>
      </c>
      <c r="Z38" s="27" t="str">
        <f t="shared" si="15"/>
        <v>-</v>
      </c>
      <c r="AA38" s="28" t="str">
        <f t="shared" si="16"/>
        <v>-</v>
      </c>
      <c r="AC38" s="249" t="str">
        <f t="shared" si="1"/>
        <v>-</v>
      </c>
      <c r="AD38" s="303" t="str">
        <f t="shared" si="2"/>
        <v>-</v>
      </c>
      <c r="AE38" s="162" t="str">
        <f t="shared" si="3"/>
        <v>-</v>
      </c>
      <c r="AF38" s="162" t="str">
        <f t="shared" si="6"/>
        <v>-</v>
      </c>
      <c r="AG38" s="162" t="str">
        <f t="shared" si="7"/>
        <v>-</v>
      </c>
      <c r="AH38" s="162" t="str">
        <f t="shared" si="8"/>
        <v>-</v>
      </c>
      <c r="AI38" s="306" t="str">
        <f t="shared" si="9"/>
        <v>-</v>
      </c>
    </row>
    <row r="39" spans="1:35" ht="15" customHeight="1">
      <c r="A39" s="102"/>
      <c r="B39" s="311">
        <v>20</v>
      </c>
      <c r="C39" s="27" t="str">
        <f>IF(20&gt;N_3,"-",IF(ISNUMBER(F39),MAX(ROUND(Cp/Cpp*U39/'Pre-Test'!$U$46*Tr_3*4/N_3,0)/4,2)+C38,"-"))</f>
        <v>-</v>
      </c>
      <c r="D39" s="516"/>
      <c r="E39" s="516"/>
      <c r="F39" s="158"/>
      <c r="G39" s="246"/>
      <c r="H39" s="246"/>
      <c r="I39" s="247"/>
      <c r="J39" s="159" t="str">
        <f t="shared" si="4"/>
        <v>-</v>
      </c>
      <c r="K39" s="158"/>
      <c r="L39" s="247"/>
      <c r="M39" s="247"/>
      <c r="N39" s="247"/>
      <c r="O39" s="247"/>
      <c r="P39" s="248" t="str">
        <f t="shared" si="10"/>
        <v>-</v>
      </c>
      <c r="Q39" s="27" t="str">
        <f t="shared" si="11"/>
        <v>-</v>
      </c>
      <c r="R39" s="27" t="str">
        <f t="shared" si="12"/>
        <v>-</v>
      </c>
      <c r="S39" s="104"/>
      <c r="U39" s="249" t="str">
        <f t="shared" si="0"/>
        <v>-</v>
      </c>
      <c r="V39" s="162" t="str">
        <f t="shared" si="13"/>
        <v>-</v>
      </c>
      <c r="W39" s="73" t="str">
        <f t="shared" si="14"/>
        <v>-</v>
      </c>
      <c r="X39" s="73" t="str">
        <f t="shared" si="17"/>
        <v>-</v>
      </c>
      <c r="Y39" s="27" t="str">
        <f t="shared" si="5"/>
        <v>-</v>
      </c>
      <c r="Z39" s="27" t="str">
        <f t="shared" si="15"/>
        <v>-</v>
      </c>
      <c r="AA39" s="28" t="str">
        <f t="shared" si="16"/>
        <v>-</v>
      </c>
      <c r="AC39" s="249" t="str">
        <f t="shared" si="1"/>
        <v>-</v>
      </c>
      <c r="AD39" s="303" t="str">
        <f t="shared" si="2"/>
        <v>-</v>
      </c>
      <c r="AE39" s="162" t="str">
        <f t="shared" si="3"/>
        <v>-</v>
      </c>
      <c r="AF39" s="162" t="str">
        <f t="shared" si="6"/>
        <v>-</v>
      </c>
      <c r="AG39" s="162" t="str">
        <f t="shared" si="7"/>
        <v>-</v>
      </c>
      <c r="AH39" s="162" t="str">
        <f t="shared" si="8"/>
        <v>-</v>
      </c>
      <c r="AI39" s="306" t="str">
        <f t="shared" si="9"/>
        <v>-</v>
      </c>
    </row>
    <row r="40" spans="1:35" ht="15" customHeight="1">
      <c r="A40" s="102"/>
      <c r="B40" s="311">
        <v>21</v>
      </c>
      <c r="C40" s="27" t="str">
        <f>IF(21&gt;N_3,"-",IF(ISNUMBER(F40),MAX(ROUND(Cp/Cpp*U40/'Pre-Test'!$U$46*Tr_3*4/N_3,0)/4,2)+C39,"-"))</f>
        <v>-</v>
      </c>
      <c r="D40" s="516"/>
      <c r="E40" s="516"/>
      <c r="F40" s="158"/>
      <c r="G40" s="246"/>
      <c r="H40" s="246"/>
      <c r="I40" s="247"/>
      <c r="J40" s="159" t="str">
        <f t="shared" si="4"/>
        <v>-</v>
      </c>
      <c r="K40" s="158"/>
      <c r="L40" s="247"/>
      <c r="M40" s="247"/>
      <c r="N40" s="247"/>
      <c r="O40" s="247"/>
      <c r="P40" s="248" t="str">
        <f t="shared" si="10"/>
        <v>-</v>
      </c>
      <c r="Q40" s="27" t="str">
        <f t="shared" si="11"/>
        <v>-</v>
      </c>
      <c r="R40" s="27" t="str">
        <f t="shared" si="12"/>
        <v>-</v>
      </c>
      <c r="S40" s="104"/>
      <c r="U40" s="249" t="str">
        <f t="shared" si="0"/>
        <v>-</v>
      </c>
      <c r="V40" s="162" t="str">
        <f t="shared" si="13"/>
        <v>-</v>
      </c>
      <c r="W40" s="73" t="str">
        <f t="shared" si="14"/>
        <v>-</v>
      </c>
      <c r="X40" s="73" t="str">
        <f t="shared" si="17"/>
        <v>-</v>
      </c>
      <c r="Y40" s="27" t="str">
        <f t="shared" si="5"/>
        <v>-</v>
      </c>
      <c r="Z40" s="27" t="str">
        <f t="shared" si="15"/>
        <v>-</v>
      </c>
      <c r="AA40" s="28" t="str">
        <f t="shared" si="16"/>
        <v>-</v>
      </c>
      <c r="AC40" s="249" t="str">
        <f t="shared" si="1"/>
        <v>-</v>
      </c>
      <c r="AD40" s="303" t="str">
        <f t="shared" si="2"/>
        <v>-</v>
      </c>
      <c r="AE40" s="162" t="str">
        <f t="shared" si="3"/>
        <v>-</v>
      </c>
      <c r="AF40" s="162" t="str">
        <f t="shared" si="6"/>
        <v>-</v>
      </c>
      <c r="AG40" s="162" t="str">
        <f t="shared" si="7"/>
        <v>-</v>
      </c>
      <c r="AH40" s="162" t="str">
        <f t="shared" si="8"/>
        <v>-</v>
      </c>
      <c r="AI40" s="306" t="str">
        <f t="shared" si="9"/>
        <v>-</v>
      </c>
    </row>
    <row r="41" spans="1:35" ht="15" customHeight="1">
      <c r="A41" s="102"/>
      <c r="B41" s="311">
        <v>22</v>
      </c>
      <c r="C41" s="27" t="str">
        <f>IF(22&gt;N_3,"-",IF(ISNUMBER(F41),MAX(ROUND(Cp/Cpp*U41/'Pre-Test'!$U$46*Tr_3*4/N_3,0)/4,2)+C40,"-"))</f>
        <v>-</v>
      </c>
      <c r="D41" s="516"/>
      <c r="E41" s="516"/>
      <c r="F41" s="158"/>
      <c r="G41" s="246"/>
      <c r="H41" s="246"/>
      <c r="I41" s="247"/>
      <c r="J41" s="159" t="str">
        <f t="shared" si="4"/>
        <v>-</v>
      </c>
      <c r="K41" s="158"/>
      <c r="L41" s="247"/>
      <c r="M41" s="247"/>
      <c r="N41" s="247"/>
      <c r="O41" s="247"/>
      <c r="P41" s="248" t="str">
        <f t="shared" si="10"/>
        <v>-</v>
      </c>
      <c r="Q41" s="27" t="str">
        <f t="shared" si="11"/>
        <v>-</v>
      </c>
      <c r="R41" s="27" t="str">
        <f t="shared" si="12"/>
        <v>-</v>
      </c>
      <c r="S41" s="104"/>
      <c r="U41" s="249" t="str">
        <f t="shared" si="0"/>
        <v>-</v>
      </c>
      <c r="V41" s="162" t="str">
        <f t="shared" si="13"/>
        <v>-</v>
      </c>
      <c r="W41" s="73" t="str">
        <f t="shared" si="14"/>
        <v>-</v>
      </c>
      <c r="X41" s="73" t="str">
        <f t="shared" si="17"/>
        <v>-</v>
      </c>
      <c r="Y41" s="27" t="str">
        <f t="shared" si="5"/>
        <v>-</v>
      </c>
      <c r="Z41" s="27" t="str">
        <f t="shared" si="15"/>
        <v>-</v>
      </c>
      <c r="AA41" s="28" t="str">
        <f t="shared" si="16"/>
        <v>-</v>
      </c>
      <c r="AC41" s="249" t="str">
        <f t="shared" si="1"/>
        <v>-</v>
      </c>
      <c r="AD41" s="303" t="str">
        <f t="shared" si="2"/>
        <v>-</v>
      </c>
      <c r="AE41" s="162" t="str">
        <f t="shared" si="3"/>
        <v>-</v>
      </c>
      <c r="AF41" s="162" t="str">
        <f t="shared" si="6"/>
        <v>-</v>
      </c>
      <c r="AG41" s="162" t="str">
        <f t="shared" si="7"/>
        <v>-</v>
      </c>
      <c r="AH41" s="162" t="str">
        <f t="shared" si="8"/>
        <v>-</v>
      </c>
      <c r="AI41" s="306" t="str">
        <f t="shared" si="9"/>
        <v>-</v>
      </c>
    </row>
    <row r="42" spans="1:35" ht="15" customHeight="1">
      <c r="A42" s="102"/>
      <c r="B42" s="311">
        <v>23</v>
      </c>
      <c r="C42" s="27" t="str">
        <f>IF(23&gt;N_3,"-",IF(ISNUMBER(F42),MAX(ROUND(Cp/Cpp*U42/'Pre-Test'!$U$46*Tr_3*4/N_3,0)/4,2)+C41,"-"))</f>
        <v>-</v>
      </c>
      <c r="D42" s="516"/>
      <c r="E42" s="516"/>
      <c r="F42" s="158"/>
      <c r="G42" s="246"/>
      <c r="H42" s="246"/>
      <c r="I42" s="247"/>
      <c r="J42" s="159" t="str">
        <f t="shared" si="4"/>
        <v>-</v>
      </c>
      <c r="K42" s="158"/>
      <c r="L42" s="247"/>
      <c r="M42" s="247"/>
      <c r="N42" s="247"/>
      <c r="O42" s="247"/>
      <c r="P42" s="248" t="str">
        <f t="shared" si="10"/>
        <v>-</v>
      </c>
      <c r="Q42" s="27" t="str">
        <f t="shared" si="11"/>
        <v>-</v>
      </c>
      <c r="R42" s="27" t="str">
        <f t="shared" si="12"/>
        <v>-</v>
      </c>
      <c r="S42" s="104"/>
      <c r="U42" s="249" t="str">
        <f t="shared" si="0"/>
        <v>-</v>
      </c>
      <c r="V42" s="162" t="str">
        <f t="shared" si="13"/>
        <v>-</v>
      </c>
      <c r="W42" s="73" t="str">
        <f t="shared" si="14"/>
        <v>-</v>
      </c>
      <c r="X42" s="73" t="str">
        <f t="shared" si="17"/>
        <v>-</v>
      </c>
      <c r="Y42" s="27" t="str">
        <f t="shared" si="5"/>
        <v>-</v>
      </c>
      <c r="Z42" s="27" t="str">
        <f t="shared" si="15"/>
        <v>-</v>
      </c>
      <c r="AA42" s="28" t="str">
        <f t="shared" si="16"/>
        <v>-</v>
      </c>
      <c r="AC42" s="249" t="str">
        <f t="shared" si="1"/>
        <v>-</v>
      </c>
      <c r="AD42" s="303" t="str">
        <f t="shared" si="2"/>
        <v>-</v>
      </c>
      <c r="AE42" s="162" t="str">
        <f t="shared" si="3"/>
        <v>-</v>
      </c>
      <c r="AF42" s="162" t="str">
        <f t="shared" si="6"/>
        <v>-</v>
      </c>
      <c r="AG42" s="162" t="str">
        <f t="shared" si="7"/>
        <v>-</v>
      </c>
      <c r="AH42" s="162" t="str">
        <f t="shared" si="8"/>
        <v>-</v>
      </c>
      <c r="AI42" s="306" t="str">
        <f t="shared" si="9"/>
        <v>-</v>
      </c>
    </row>
    <row r="43" spans="1:35" ht="15" customHeight="1" thickBot="1">
      <c r="A43" s="102"/>
      <c r="B43" s="312">
        <v>24</v>
      </c>
      <c r="C43" s="65" t="str">
        <f>IF(24&gt;N_3,"-",IF(ISNUMBER(F43),MAX(ROUND(Cp/Cpp*U43/'Pre-Test'!$U$46*Tr_3*4/N_3,0)/4,2)+C42,"-"))</f>
        <v>-</v>
      </c>
      <c r="D43" s="516"/>
      <c r="E43" s="516"/>
      <c r="F43" s="250"/>
      <c r="G43" s="251"/>
      <c r="H43" s="251"/>
      <c r="I43" s="252"/>
      <c r="J43" s="177" t="str">
        <f t="shared" si="4"/>
        <v>-</v>
      </c>
      <c r="K43" s="250"/>
      <c r="L43" s="253"/>
      <c r="M43" s="253"/>
      <c r="N43" s="253"/>
      <c r="O43" s="253"/>
      <c r="P43" s="254" t="str">
        <f t="shared" si="10"/>
        <v>-</v>
      </c>
      <c r="Q43" s="65" t="str">
        <f t="shared" si="11"/>
        <v>-</v>
      </c>
      <c r="R43" s="65" t="str">
        <f t="shared" si="12"/>
        <v>-</v>
      </c>
      <c r="S43" s="104"/>
      <c r="U43" s="255" t="str">
        <f t="shared" si="0"/>
        <v>-</v>
      </c>
      <c r="V43" s="256" t="str">
        <f t="shared" si="13"/>
        <v>-</v>
      </c>
      <c r="W43" s="74" t="str">
        <f t="shared" si="14"/>
        <v>-</v>
      </c>
      <c r="X43" s="74" t="str">
        <f t="shared" si="17"/>
        <v>-</v>
      </c>
      <c r="Y43" s="44" t="str">
        <f t="shared" si="5"/>
        <v>-</v>
      </c>
      <c r="Z43" s="44" t="str">
        <f t="shared" si="15"/>
        <v>-</v>
      </c>
      <c r="AA43" s="45" t="str">
        <f t="shared" si="16"/>
        <v>-</v>
      </c>
      <c r="AC43" s="301" t="str">
        <f t="shared" si="1"/>
        <v>-</v>
      </c>
      <c r="AD43" s="304" t="str">
        <f t="shared" si="2"/>
        <v>-</v>
      </c>
      <c r="AE43" s="169" t="str">
        <f t="shared" si="3"/>
        <v>-</v>
      </c>
      <c r="AF43" s="169" t="str">
        <f t="shared" si="6"/>
        <v>-</v>
      </c>
      <c r="AG43" s="169" t="str">
        <f t="shared" si="7"/>
        <v>-</v>
      </c>
      <c r="AH43" s="169" t="str">
        <f t="shared" si="8"/>
        <v>-</v>
      </c>
      <c r="AI43" s="307" t="str">
        <f t="shared" si="9"/>
        <v>-</v>
      </c>
    </row>
    <row r="44" spans="1:35" ht="15" customHeight="1" thickBot="1">
      <c r="A44" s="102"/>
      <c r="B44" s="179"/>
      <c r="C44" s="187"/>
      <c r="D44" s="517"/>
      <c r="E44" s="518"/>
      <c r="F44" s="38"/>
      <c r="G44" s="38"/>
      <c r="H44" s="39"/>
      <c r="I44" s="39"/>
      <c r="J44" s="257"/>
      <c r="K44" s="40"/>
      <c r="L44" s="40"/>
      <c r="M44" s="41"/>
      <c r="N44" s="42"/>
      <c r="O44" s="40"/>
      <c r="P44" s="40"/>
      <c r="Q44" s="41"/>
      <c r="R44" s="42"/>
      <c r="S44" s="104"/>
      <c r="U44" s="43" t="str">
        <f>IF(ISNUMBER(U20),AVERAGE(U20:U43),"-")</f>
        <v>-</v>
      </c>
      <c r="V44" s="46" t="str">
        <f>IF(ISNUMBER(V20),AVERAGE(V20:V43),"-")</f>
        <v>-</v>
      </c>
      <c r="W44" s="81" t="str">
        <f>IF(ISNUMBER(W20),SUM(W20:W43),"-")</f>
        <v>-</v>
      </c>
      <c r="X44" s="81" t="str">
        <f>IF(ISNUMBER(X20),SUM(X20:X43),"-")</f>
        <v>-</v>
      </c>
      <c r="Y44" s="31" t="str">
        <f>IF(ISNUMBER(Y20),AVERAGE(Y20:Y43),"-")</f>
        <v>-</v>
      </c>
      <c r="Z44" s="31" t="str">
        <f>IF(ISNUMBER(Z20),AVERAGE(Z20:Z43),"-")</f>
        <v>-</v>
      </c>
      <c r="AA44" s="75" t="str">
        <f>IF(ISNUMBER(AA20),AVERAGE(AA20:AA43),"-")</f>
        <v>-</v>
      </c>
      <c r="AB44" s="258" t="s">
        <v>210</v>
      </c>
    </row>
    <row r="45" spans="1:35" ht="15" customHeight="1" thickBot="1">
      <c r="A45" s="102"/>
      <c r="B45" s="179"/>
      <c r="C45" s="179"/>
      <c r="D45" s="182"/>
      <c r="E45" s="183"/>
      <c r="F45" s="38"/>
      <c r="G45" s="38"/>
      <c r="H45" s="39"/>
      <c r="I45" s="39"/>
      <c r="J45" s="257"/>
      <c r="K45" s="40"/>
      <c r="L45" s="40"/>
      <c r="M45" s="42"/>
      <c r="N45" s="42"/>
      <c r="O45" s="40"/>
      <c r="P45" s="40"/>
      <c r="Q45" s="42"/>
      <c r="R45" s="42"/>
      <c r="S45" s="104"/>
    </row>
    <row r="46" spans="1:35" ht="15" customHeight="1">
      <c r="A46" s="102"/>
      <c r="B46" s="398" t="s">
        <v>201</v>
      </c>
      <c r="C46" s="502"/>
      <c r="D46" s="471" t="s">
        <v>205</v>
      </c>
      <c r="E46" s="472"/>
      <c r="F46" s="513" t="s">
        <v>207</v>
      </c>
      <c r="G46" s="472"/>
      <c r="H46" s="472"/>
      <c r="I46" s="499" t="s">
        <v>203</v>
      </c>
      <c r="J46" s="500"/>
      <c r="K46" s="499" t="s">
        <v>204</v>
      </c>
      <c r="L46" s="500"/>
      <c r="M46" s="57" t="s">
        <v>59</v>
      </c>
      <c r="N46" s="506" t="s">
        <v>208</v>
      </c>
      <c r="O46" s="506"/>
      <c r="P46" s="471" t="s">
        <v>209</v>
      </c>
      <c r="Q46" s="509"/>
      <c r="R46" s="510"/>
      <c r="S46" s="104"/>
    </row>
    <row r="47" spans="1:35" ht="17.25" customHeight="1">
      <c r="A47" s="102"/>
      <c r="B47" s="503"/>
      <c r="C47" s="504"/>
      <c r="D47" s="505"/>
      <c r="E47" s="505"/>
      <c r="F47" s="505"/>
      <c r="G47" s="505"/>
      <c r="H47" s="505"/>
      <c r="I47" s="259" t="str">
        <f>IF(ISNUMBER(I48),I48+459.67,"-")</f>
        <v>-</v>
      </c>
      <c r="J47" s="260" t="s">
        <v>140</v>
      </c>
      <c r="K47" s="259" t="str">
        <f>IF(ISNUMBER(K48),K48+459.67,"-")</f>
        <v>-</v>
      </c>
      <c r="L47" s="260" t="s">
        <v>140</v>
      </c>
      <c r="M47" s="13" t="s">
        <v>26</v>
      </c>
      <c r="N47" s="418"/>
      <c r="O47" s="418"/>
      <c r="P47" s="511"/>
      <c r="Q47" s="511"/>
      <c r="R47" s="512"/>
      <c r="S47" s="104"/>
    </row>
    <row r="48" spans="1:35" ht="18" customHeight="1" thickBot="1">
      <c r="A48" s="102"/>
      <c r="B48" s="261" t="str">
        <f>IF(ISNUMBER(C20),MAX(C20:C43),"-")</f>
        <v>-</v>
      </c>
      <c r="C48" s="262" t="s">
        <v>80</v>
      </c>
      <c r="D48" s="263" t="str">
        <f>IF(ISNUMBER(D20),MAX(D20:E44)-MIN(D20:E44),"-")</f>
        <v>-</v>
      </c>
      <c r="E48" s="264" t="s">
        <v>45</v>
      </c>
      <c r="F48" s="263" t="str">
        <f>IF(ISNUMBER(F20),AVERAGE($F$20:$F$43),"-")</f>
        <v>-</v>
      </c>
      <c r="G48" s="496" t="s">
        <v>206</v>
      </c>
      <c r="H48" s="497"/>
      <c r="I48" s="265" t="str">
        <f>IF(ISNUMBER(G20),AVERAGE($G$20:$H$43),"-")</f>
        <v>-</v>
      </c>
      <c r="J48" s="266" t="s">
        <v>58</v>
      </c>
      <c r="K48" s="265" t="str">
        <f>IF(ISNUMBER(I20),AVERAGE($I$20:$I$43),"-")</f>
        <v>-</v>
      </c>
      <c r="L48" s="266" t="s">
        <v>58</v>
      </c>
      <c r="M48" s="267">
        <f>MAX(L20:L43)</f>
        <v>0</v>
      </c>
      <c r="N48" s="268" t="str">
        <f>IF(ISNUMBER(K20),AVERAGE($K$20:$K$43),"-")</f>
        <v>-</v>
      </c>
      <c r="O48" s="269" t="s">
        <v>206</v>
      </c>
      <c r="P48" s="507"/>
      <c r="Q48" s="508"/>
      <c r="R48" s="270" t="s">
        <v>202</v>
      </c>
      <c r="S48" s="104"/>
    </row>
    <row r="49" spans="1:29" ht="15" customHeight="1">
      <c r="A49" s="102"/>
      <c r="B49" s="56"/>
      <c r="C49" s="47"/>
      <c r="D49" s="47"/>
      <c r="E49" s="47"/>
      <c r="F49" s="47"/>
      <c r="G49" s="100"/>
      <c r="H49" s="47"/>
      <c r="I49" s="271"/>
      <c r="J49" s="100"/>
      <c r="K49" s="271"/>
      <c r="L49" s="47"/>
      <c r="M49" s="47"/>
      <c r="N49" s="47"/>
      <c r="O49" s="47"/>
      <c r="P49" s="47"/>
      <c r="Q49" s="47"/>
      <c r="R49" s="47"/>
      <c r="S49" s="104"/>
    </row>
    <row r="50" spans="1:29" ht="15" customHeight="1">
      <c r="A50" s="102"/>
      <c r="B50" s="56"/>
      <c r="C50" s="501"/>
      <c r="D50" s="501"/>
      <c r="E50" s="501"/>
      <c r="F50" s="501"/>
      <c r="G50" s="48"/>
      <c r="H50" s="492"/>
      <c r="I50" s="493"/>
      <c r="J50" s="493"/>
      <c r="K50" s="492"/>
      <c r="L50" s="493"/>
      <c r="M50" s="493"/>
      <c r="N50" s="514"/>
      <c r="O50" s="514"/>
      <c r="P50" s="491"/>
      <c r="Q50" s="514"/>
      <c r="R50" s="491"/>
      <c r="S50" s="104"/>
    </row>
    <row r="51" spans="1:29" ht="15" customHeight="1">
      <c r="A51" s="102"/>
      <c r="B51" s="56"/>
      <c r="C51" s="85"/>
      <c r="D51" s="272"/>
      <c r="E51" s="85"/>
      <c r="F51" s="272"/>
      <c r="G51" s="49"/>
      <c r="H51" s="494"/>
      <c r="I51" s="495"/>
      <c r="J51" s="51"/>
      <c r="K51" s="494"/>
      <c r="L51" s="495"/>
      <c r="M51" s="52"/>
      <c r="N51" s="53"/>
      <c r="O51" s="498"/>
      <c r="P51" s="491"/>
      <c r="Q51" s="50"/>
      <c r="R51" s="48"/>
      <c r="S51" s="104"/>
    </row>
    <row r="52" spans="1:29" ht="15" customHeight="1">
      <c r="A52" s="102"/>
      <c r="B52" s="56"/>
      <c r="C52" s="273"/>
      <c r="D52" s="272"/>
      <c r="E52" s="273"/>
      <c r="F52" s="272"/>
      <c r="G52" s="54"/>
      <c r="H52" s="490"/>
      <c r="I52" s="491"/>
      <c r="J52" s="51"/>
      <c r="K52" s="490"/>
      <c r="L52" s="491"/>
      <c r="M52" s="52"/>
      <c r="N52" s="55"/>
      <c r="O52" s="498"/>
      <c r="P52" s="491"/>
      <c r="Q52" s="50"/>
      <c r="R52" s="48"/>
      <c r="S52" s="104"/>
    </row>
    <row r="53" spans="1:29" ht="15" customHeight="1">
      <c r="A53" s="102"/>
      <c r="B53" s="47"/>
      <c r="C53" s="79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104"/>
    </row>
    <row r="54" spans="1:29" ht="15" customHeight="1" thickBot="1">
      <c r="A54" s="102"/>
      <c r="B54" s="125"/>
      <c r="C54" s="125"/>
      <c r="D54" s="125"/>
      <c r="E54" s="125"/>
      <c r="F54" s="125"/>
      <c r="G54" s="125"/>
      <c r="H54" s="125"/>
      <c r="I54" s="125"/>
      <c r="J54" s="47"/>
      <c r="K54" s="125"/>
      <c r="L54" s="125"/>
      <c r="M54" s="125"/>
      <c r="N54" s="125"/>
      <c r="O54" s="125"/>
      <c r="P54" s="125"/>
      <c r="Q54" s="125"/>
      <c r="R54" s="125"/>
      <c r="S54" s="104"/>
      <c r="U54" s="173"/>
      <c r="V54" s="47"/>
      <c r="W54" s="47"/>
      <c r="X54" s="47"/>
      <c r="Y54" s="47"/>
      <c r="Z54" s="101"/>
      <c r="AA54" s="47"/>
      <c r="AB54" s="47"/>
      <c r="AC54" s="47"/>
    </row>
    <row r="55" spans="1:29" ht="15" customHeight="1">
      <c r="A55" s="102"/>
      <c r="B55" s="189"/>
      <c r="C55" s="189" t="s">
        <v>76</v>
      </c>
      <c r="D55" s="190"/>
      <c r="E55" s="190"/>
      <c r="F55" s="191"/>
      <c r="G55" s="192"/>
      <c r="H55" s="193"/>
      <c r="I55" s="193"/>
      <c r="J55" s="47"/>
      <c r="K55" s="189"/>
      <c r="L55" s="189" t="s">
        <v>63</v>
      </c>
      <c r="M55" s="190"/>
      <c r="N55" s="190"/>
      <c r="O55" s="191"/>
      <c r="P55" s="192"/>
      <c r="Q55" s="193"/>
      <c r="R55" s="193"/>
      <c r="S55" s="104"/>
      <c r="U55" s="173"/>
      <c r="V55" s="47"/>
      <c r="W55" s="47"/>
      <c r="X55" s="47"/>
      <c r="Y55" s="47"/>
      <c r="Z55" s="101"/>
      <c r="AA55" s="47"/>
      <c r="AB55" s="47"/>
      <c r="AC55" s="47"/>
    </row>
    <row r="56" spans="1:29" ht="5.25" customHeight="1" thickBot="1">
      <c r="A56" s="131"/>
      <c r="B56" s="125"/>
      <c r="C56" s="125"/>
      <c r="D56" s="125"/>
      <c r="E56" s="125"/>
      <c r="F56" s="125"/>
      <c r="G56" s="125"/>
      <c r="H56" s="194"/>
      <c r="I56" s="125"/>
      <c r="J56" s="125"/>
      <c r="K56" s="125"/>
      <c r="L56" s="195"/>
      <c r="M56" s="194"/>
      <c r="N56" s="125"/>
      <c r="O56" s="195"/>
      <c r="P56" s="195"/>
      <c r="Q56" s="195"/>
      <c r="R56" s="195"/>
      <c r="S56" s="126"/>
      <c r="T56" s="47"/>
      <c r="U56" s="173"/>
      <c r="V56" s="47"/>
      <c r="W56" s="47"/>
      <c r="X56" s="47"/>
      <c r="Y56" s="47"/>
      <c r="Z56" s="101"/>
      <c r="AA56" s="47"/>
      <c r="AB56" s="47"/>
      <c r="AC56" s="47"/>
    </row>
    <row r="57" spans="1:29" ht="15" customHeight="1">
      <c r="B57" s="99"/>
      <c r="C57" s="99"/>
      <c r="D57" s="99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173"/>
      <c r="V57" s="47"/>
      <c r="W57" s="47"/>
      <c r="X57" s="47"/>
      <c r="Y57" s="47"/>
      <c r="Z57" s="101"/>
      <c r="AA57" s="47"/>
      <c r="AB57" s="47"/>
      <c r="AC57" s="47"/>
    </row>
    <row r="58" spans="1:2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</row>
    <row r="59" spans="1:29" ht="15" customHeight="1">
      <c r="B59" s="99"/>
      <c r="C59" s="99"/>
      <c r="D59" s="99"/>
      <c r="E59" s="99"/>
      <c r="F59" s="99"/>
      <c r="G59" s="196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</row>
    <row r="60" spans="1:2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</row>
    <row r="61" spans="1:2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</row>
    <row r="62" spans="1:2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</row>
    <row r="63" spans="1:2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2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N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N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N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N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N1439" s="99"/>
      <c r="O1439" s="99"/>
      <c r="P1439" s="99"/>
      <c r="Q1439" s="99"/>
      <c r="R1439" s="99"/>
    </row>
    <row r="1440" spans="2:18" ht="15" customHeight="1">
      <c r="B1440" s="99"/>
      <c r="C1440" s="99"/>
      <c r="D1440" s="99"/>
      <c r="E1440" s="99"/>
      <c r="F1440" s="99"/>
      <c r="G1440" s="99"/>
      <c r="H1440" s="99"/>
      <c r="I1440" s="99"/>
      <c r="J1440" s="99"/>
      <c r="K1440" s="99"/>
      <c r="L1440" s="99"/>
      <c r="M1440" s="99"/>
      <c r="N1440" s="99"/>
      <c r="O1440" s="99"/>
      <c r="P1440" s="99"/>
      <c r="Q1440" s="99"/>
      <c r="R1440" s="99"/>
    </row>
    <row r="1441" spans="2:18" ht="15" customHeight="1">
      <c r="B1441" s="99"/>
      <c r="C1441" s="99"/>
      <c r="D1441" s="99"/>
      <c r="E1441" s="99"/>
      <c r="F1441" s="99"/>
      <c r="G1441" s="99"/>
      <c r="H1441" s="99"/>
      <c r="I1441" s="99"/>
      <c r="J1441" s="99"/>
      <c r="K1441" s="99"/>
      <c r="L1441" s="99"/>
      <c r="M1441" s="99"/>
      <c r="N1441" s="99"/>
      <c r="O1441" s="99"/>
      <c r="P1441" s="99"/>
      <c r="Q1441" s="99"/>
      <c r="R1441" s="99"/>
    </row>
    <row r="1442" spans="2:18" ht="15" customHeight="1">
      <c r="B1442" s="99"/>
      <c r="C1442" s="99"/>
      <c r="D1442" s="99"/>
      <c r="E1442" s="99"/>
      <c r="F1442" s="99"/>
      <c r="G1442" s="99"/>
      <c r="H1442" s="99"/>
      <c r="I1442" s="99"/>
      <c r="J1442" s="99"/>
      <c r="K1442" s="99"/>
      <c r="L1442" s="99"/>
      <c r="M1442" s="99"/>
      <c r="N1442" s="99"/>
      <c r="O1442" s="99"/>
      <c r="P1442" s="99"/>
      <c r="Q1442" s="99"/>
      <c r="R1442" s="99"/>
    </row>
    <row r="1443" spans="2:18" ht="15" customHeight="1">
      <c r="B1443" s="99"/>
      <c r="C1443" s="99"/>
      <c r="D1443" s="99"/>
      <c r="E1443" s="99"/>
      <c r="F1443" s="99"/>
      <c r="G1443" s="99"/>
      <c r="H1443" s="99"/>
      <c r="I1443" s="99"/>
      <c r="J1443" s="99"/>
      <c r="K1443" s="99"/>
      <c r="L1443" s="99"/>
      <c r="M1443" s="99"/>
      <c r="N1443" s="99"/>
      <c r="O1443" s="99"/>
      <c r="P1443" s="99"/>
      <c r="Q1443" s="99"/>
      <c r="R1443" s="99"/>
    </row>
    <row r="1444" spans="2:18" ht="15" customHeight="1">
      <c r="B1444" s="99"/>
      <c r="C1444" s="99"/>
      <c r="D1444" s="99"/>
      <c r="E1444" s="99"/>
      <c r="F1444" s="99"/>
      <c r="G1444" s="99"/>
      <c r="H1444" s="99"/>
      <c r="I1444" s="99"/>
      <c r="J1444" s="99"/>
      <c r="K1444" s="99"/>
      <c r="L1444" s="99"/>
      <c r="M1444" s="99"/>
      <c r="N1444" s="99"/>
      <c r="O1444" s="99"/>
      <c r="P1444" s="99"/>
      <c r="Q1444" s="99"/>
      <c r="R1444" s="99"/>
    </row>
  </sheetData>
  <sheetProtection sheet="1" objects="1" scenarios="1"/>
  <mergeCells count="95">
    <mergeCell ref="O52:P52"/>
    <mergeCell ref="H51:I51"/>
    <mergeCell ref="K3:L3"/>
    <mergeCell ref="AA18:AA19"/>
    <mergeCell ref="U18:U19"/>
    <mergeCell ref="V18:V19"/>
    <mergeCell ref="W18:W19"/>
    <mergeCell ref="X18:X19"/>
    <mergeCell ref="Z18:Z19"/>
    <mergeCell ref="H52:I52"/>
    <mergeCell ref="H50:J50"/>
    <mergeCell ref="K50:M50"/>
    <mergeCell ref="K51:L51"/>
    <mergeCell ref="K52:L52"/>
    <mergeCell ref="O51:P51"/>
    <mergeCell ref="Q50:R50"/>
    <mergeCell ref="D24:E24"/>
    <mergeCell ref="D25:E25"/>
    <mergeCell ref="D26:E26"/>
    <mergeCell ref="D27:E27"/>
    <mergeCell ref="D44:E44"/>
    <mergeCell ref="D36:E36"/>
    <mergeCell ref="D37:E37"/>
    <mergeCell ref="D30:E30"/>
    <mergeCell ref="D35:E35"/>
    <mergeCell ref="D31:E31"/>
    <mergeCell ref="D32:E32"/>
    <mergeCell ref="D28:E28"/>
    <mergeCell ref="D29:E29"/>
    <mergeCell ref="D33:E33"/>
    <mergeCell ref="D34:E34"/>
    <mergeCell ref="D43:E43"/>
    <mergeCell ref="C50:D50"/>
    <mergeCell ref="E50:F50"/>
    <mergeCell ref="B46:C47"/>
    <mergeCell ref="D46:E47"/>
    <mergeCell ref="D38:E38"/>
    <mergeCell ref="D39:E39"/>
    <mergeCell ref="D40:E40"/>
    <mergeCell ref="D41:E41"/>
    <mergeCell ref="D42:E42"/>
    <mergeCell ref="P48:Q48"/>
    <mergeCell ref="P46:R47"/>
    <mergeCell ref="I46:J46"/>
    <mergeCell ref="F46:H47"/>
    <mergeCell ref="N50:P50"/>
    <mergeCell ref="K46:L46"/>
    <mergeCell ref="N46:O47"/>
    <mergeCell ref="G48:H48"/>
    <mergeCell ref="O2:R2"/>
    <mergeCell ref="O3:R3"/>
    <mergeCell ref="J18:K18"/>
    <mergeCell ref="N13:O13"/>
    <mergeCell ref="J17:K17"/>
    <mergeCell ref="R18:R19"/>
    <mergeCell ref="Q18:Q19"/>
    <mergeCell ref="P18:P19"/>
    <mergeCell ref="M18:N18"/>
    <mergeCell ref="F5:I5"/>
    <mergeCell ref="D2:H2"/>
    <mergeCell ref="L15:M15"/>
    <mergeCell ref="N11:O11"/>
    <mergeCell ref="L12:M12"/>
    <mergeCell ref="K2:L2"/>
    <mergeCell ref="D3:E3"/>
    <mergeCell ref="H6:I6"/>
    <mergeCell ref="J5:M5"/>
    <mergeCell ref="L13:M13"/>
    <mergeCell ref="L14:M14"/>
    <mergeCell ref="N5:Q5"/>
    <mergeCell ref="J10:Q10"/>
    <mergeCell ref="L11:M11"/>
    <mergeCell ref="N12:O12"/>
    <mergeCell ref="N14:O14"/>
    <mergeCell ref="B17:B19"/>
    <mergeCell ref="C17:C19"/>
    <mergeCell ref="D20:E20"/>
    <mergeCell ref="B5:E5"/>
    <mergeCell ref="D17:E19"/>
    <mergeCell ref="D23:E23"/>
    <mergeCell ref="D22:E22"/>
    <mergeCell ref="F14:G14"/>
    <mergeCell ref="G18:H18"/>
    <mergeCell ref="G17:I17"/>
    <mergeCell ref="D21:E21"/>
    <mergeCell ref="AH18:AH19"/>
    <mergeCell ref="AI18:AI19"/>
    <mergeCell ref="N15:O15"/>
    <mergeCell ref="AC18:AC19"/>
    <mergeCell ref="AD18:AD19"/>
    <mergeCell ref="AE18:AE19"/>
    <mergeCell ref="AF18:AF19"/>
    <mergeCell ref="AG18:AG19"/>
    <mergeCell ref="M17:O17"/>
    <mergeCell ref="Y18:Y19"/>
  </mergeCells>
  <phoneticPr fontId="0" type="noConversion"/>
  <conditionalFormatting sqref="Q20:Q43">
    <cfRule type="expression" dxfId="23" priority="5" stopIfTrue="1">
      <formula>OR(AND(ISNUMBER(Q20),Q20&lt;9),AND(ISNUMBER(Q20),Q20&gt;11))</formula>
    </cfRule>
  </conditionalFormatting>
  <conditionalFormatting sqref="R20:R43">
    <cfRule type="expression" dxfId="22" priority="6" stopIfTrue="1">
      <formula>OR(AND(ISNUMBER(R20),R20&lt;2.25),AND(ISNUMBER(R20),R20&gt;2.75))</formula>
    </cfRule>
  </conditionalFormatting>
  <conditionalFormatting sqref="AC20:AC43">
    <cfRule type="expression" dxfId="21" priority="3">
      <formula>AND(ISNUMBER(F20),AC20&lt;F20)</formula>
    </cfRule>
    <cfRule type="expression" dxfId="20" priority="4" stopIfTrue="1">
      <formula>AND(ISNUMBER(F20),AC20&gt;F20)</formula>
    </cfRule>
  </conditionalFormatting>
  <conditionalFormatting sqref="AD20:AD43">
    <cfRule type="expression" dxfId="19" priority="1">
      <formula>AND(ISNUMBER(F20),AD20&gt;F20)</formula>
    </cfRule>
    <cfRule type="expression" dxfId="18" priority="2" stopIfTrue="1">
      <formula>AND(ISNUMBER(F20),AD20&lt;F20)</formula>
    </cfRule>
  </conditionalFormatting>
  <printOptions horizontalCentered="1" verticalCentered="1"/>
  <pageMargins left="0.25" right="0.25" top="0.5" bottom="0.5" header="0.25" footer="0.25"/>
  <pageSetup scale="90" orientation="portrait" blackAndWhite="1" r:id="rId1"/>
  <headerFooter alignWithMargins="0">
    <oddHeader>&amp;CSpreadsheet for U.S. EPA Method 201A - Determination of Filterable PM10 and PM2.5 Emissions
&amp;12TEST DATA SHEET</oddHeader>
    <oddFooter>&amp;CCopyright 2017 by Environmental Supply Company, Inc.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1442"/>
  <sheetViews>
    <sheetView zoomScaleNormal="100" workbookViewId="0">
      <selection activeCell="A10" sqref="A10:J10"/>
    </sheetView>
  </sheetViews>
  <sheetFormatPr defaultColWidth="6.28515625" defaultRowHeight="15" customHeight="1"/>
  <cols>
    <col min="1" max="1" width="1" style="99" customWidth="1"/>
    <col min="2" max="8" width="6.28515625" style="197" customWidth="1"/>
    <col min="9" max="9" width="6.42578125" style="197" customWidth="1"/>
    <col min="10" max="11" width="6.28515625" style="197" customWidth="1"/>
    <col min="12" max="12" width="7.42578125" style="197" customWidth="1"/>
    <col min="13" max="16" width="6.28515625" style="197" customWidth="1"/>
    <col min="17" max="17" width="10.7109375" style="197" customWidth="1"/>
    <col min="18" max="18" width="1.140625" style="197" customWidth="1"/>
    <col min="19" max="19" width="6.28515625" style="99" customWidth="1"/>
    <col min="20" max="20" width="1" style="99" customWidth="1"/>
    <col min="21" max="25" width="8.7109375" style="99" customWidth="1"/>
    <col min="26" max="26" width="8.7109375" style="135" customWidth="1"/>
    <col min="27" max="28" width="8.7109375" style="99" customWidth="1"/>
    <col min="29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98"/>
      <c r="S1" s="47"/>
      <c r="T1" s="47"/>
      <c r="U1" s="47"/>
    </row>
    <row r="2" spans="1:26" ht="15" customHeight="1">
      <c r="A2" s="102"/>
      <c r="B2" s="48"/>
      <c r="C2" s="16" t="s">
        <v>52</v>
      </c>
      <c r="D2" s="463" t="str">
        <f>IF(ISTEXT('Pre-Test'!D2:H2),'Pre-Test'!D2:H2,"")</f>
        <v/>
      </c>
      <c r="E2" s="463"/>
      <c r="F2" s="463"/>
      <c r="G2" s="463"/>
      <c r="H2" s="463"/>
      <c r="I2" s="48"/>
      <c r="J2" s="16" t="s">
        <v>0</v>
      </c>
      <c r="K2" s="591" t="str">
        <f>IF(ISNUMBER('Run 1'!K2),'Run 1'!K2,"")</f>
        <v/>
      </c>
      <c r="L2" s="591"/>
      <c r="M2" s="48"/>
      <c r="N2" s="16" t="s">
        <v>54</v>
      </c>
      <c r="O2" s="463" t="str">
        <f>IF(ISTEXT('Run 1'!O2),'Run 1'!O2,"")</f>
        <v/>
      </c>
      <c r="P2" s="467"/>
      <c r="Q2" s="468"/>
      <c r="R2" s="37"/>
      <c r="S2" s="47"/>
      <c r="T2" s="47"/>
      <c r="U2" s="47"/>
    </row>
    <row r="3" spans="1:26" ht="15" customHeight="1">
      <c r="A3" s="102"/>
      <c r="B3" s="48"/>
      <c r="C3" s="16" t="s">
        <v>53</v>
      </c>
      <c r="D3" s="592" t="str">
        <f>IF(ISNUMBER('Run 1'!D3),'Run 1'!D3,"")</f>
        <v/>
      </c>
      <c r="E3" s="592"/>
      <c r="F3" s="48"/>
      <c r="G3" s="48"/>
      <c r="H3" s="48"/>
      <c r="I3" s="48"/>
      <c r="J3" s="16" t="s">
        <v>1</v>
      </c>
      <c r="K3" s="591" t="str">
        <f>IF(ISNUMBER('Run 1'!K3),'Run 1'!K3,"")</f>
        <v/>
      </c>
      <c r="L3" s="591"/>
      <c r="M3" s="48"/>
      <c r="N3" s="16" t="s">
        <v>55</v>
      </c>
      <c r="O3" s="463" t="str">
        <f>IF(ISTEXT('Pre-Test'!P3),'Pre-Test'!P3,"")</f>
        <v/>
      </c>
      <c r="P3" s="467"/>
      <c r="Q3" s="468"/>
      <c r="R3" s="37"/>
      <c r="S3" s="47"/>
      <c r="T3" s="47"/>
      <c r="U3" s="47"/>
    </row>
    <row r="4" spans="1:26" ht="9.75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37"/>
      <c r="S4" s="47"/>
      <c r="T4" s="47"/>
      <c r="U4" s="47"/>
    </row>
    <row r="5" spans="1:26" ht="15" customHeight="1" thickBot="1">
      <c r="A5" s="102"/>
      <c r="B5" s="369" t="s">
        <v>41</v>
      </c>
      <c r="C5" s="370"/>
      <c r="D5" s="370"/>
      <c r="E5" s="370"/>
      <c r="F5" s="369" t="s">
        <v>128</v>
      </c>
      <c r="G5" s="370"/>
      <c r="H5" s="370"/>
      <c r="I5" s="370"/>
      <c r="J5" s="528" t="s">
        <v>42</v>
      </c>
      <c r="K5" s="529"/>
      <c r="L5" s="529"/>
      <c r="M5" s="596"/>
      <c r="N5" s="369" t="s">
        <v>141</v>
      </c>
      <c r="O5" s="370"/>
      <c r="P5" s="370"/>
      <c r="Q5" s="371"/>
      <c r="R5" s="104"/>
      <c r="T5" s="135"/>
      <c r="Z5" s="99"/>
    </row>
    <row r="6" spans="1:26" ht="15" customHeight="1" thickBot="1">
      <c r="A6" s="102"/>
      <c r="B6" s="97"/>
      <c r="C6" s="20" t="s">
        <v>30</v>
      </c>
      <c r="D6" s="128" t="str">
        <f>IF(ISNUMBER(Bwse),Bwse,"-")</f>
        <v>-</v>
      </c>
      <c r="E6" s="33" t="s">
        <v>62</v>
      </c>
      <c r="F6" s="97"/>
      <c r="G6" s="20" t="s">
        <v>5</v>
      </c>
      <c r="H6" s="274" t="str">
        <f>IF(ISNUMBER(COO),COO,"-")</f>
        <v>-</v>
      </c>
      <c r="I6" s="33" t="s">
        <v>6</v>
      </c>
      <c r="J6" s="97"/>
      <c r="K6" s="20" t="s">
        <v>37</v>
      </c>
      <c r="L6" s="367" t="str">
        <f>IF(ISTEXT(MB),MB,"-")</f>
        <v>-</v>
      </c>
      <c r="M6" s="368"/>
      <c r="N6" s="593"/>
      <c r="O6" s="594"/>
      <c r="P6" s="594"/>
      <c r="Q6" s="595"/>
      <c r="R6" s="104"/>
      <c r="T6" s="135"/>
      <c r="Z6" s="99"/>
    </row>
    <row r="7" spans="1:26" ht="15" customHeight="1">
      <c r="A7" s="102"/>
      <c r="B7" s="102"/>
      <c r="C7" s="16" t="s">
        <v>31</v>
      </c>
      <c r="D7" s="115" t="str">
        <f>IF(ISNUMBER(Pbar_1),Pbar_1,"-")</f>
        <v>-</v>
      </c>
      <c r="E7" s="34" t="s">
        <v>4</v>
      </c>
      <c r="F7" s="102"/>
      <c r="G7" s="16" t="s">
        <v>7</v>
      </c>
      <c r="H7" s="215" t="str">
        <f>IF(ISNUMBER(OO),OO,"-")</f>
        <v>-</v>
      </c>
      <c r="I7" s="35" t="s">
        <v>6</v>
      </c>
      <c r="J7" s="102"/>
      <c r="K7" s="94" t="s">
        <v>35</v>
      </c>
      <c r="L7" s="204" t="str">
        <f>IF(ISNUMBER(Y),Y,"-")</f>
        <v>-</v>
      </c>
      <c r="M7" s="48"/>
      <c r="N7" s="275"/>
      <c r="O7" s="93" t="s">
        <v>166</v>
      </c>
      <c r="P7" s="276" t="str">
        <f>dP_1</f>
        <v>-</v>
      </c>
      <c r="Q7" s="34" t="s">
        <v>50</v>
      </c>
      <c r="R7" s="104"/>
      <c r="T7" s="135"/>
      <c r="Z7" s="99"/>
    </row>
    <row r="8" spans="1:26" ht="15" customHeight="1">
      <c r="A8" s="102"/>
      <c r="B8" s="102"/>
      <c r="C8" s="16" t="s">
        <v>32</v>
      </c>
      <c r="D8" s="115" t="str">
        <f>IF(ISNUMBER(Pg_1),Pg_1,"-")</f>
        <v>-</v>
      </c>
      <c r="E8" s="8" t="s">
        <v>50</v>
      </c>
      <c r="F8" s="102"/>
      <c r="G8" s="16" t="s">
        <v>27</v>
      </c>
      <c r="H8" s="115" t="str">
        <f>NN</f>
        <v>-</v>
      </c>
      <c r="I8" s="35" t="s">
        <v>6</v>
      </c>
      <c r="J8" s="102"/>
      <c r="K8" s="117" t="s">
        <v>36</v>
      </c>
      <c r="L8" s="204" t="str">
        <f>IF(ISNUMBER(dHa),dHa,"-")</f>
        <v>-</v>
      </c>
      <c r="M8" s="8" t="s">
        <v>50</v>
      </c>
      <c r="N8" s="277"/>
      <c r="O8" s="94" t="s">
        <v>167</v>
      </c>
      <c r="P8" s="278" t="str">
        <f>Tm_1</f>
        <v>-</v>
      </c>
      <c r="Q8" s="104" t="s">
        <v>140</v>
      </c>
      <c r="R8" s="104"/>
      <c r="T8" s="135"/>
      <c r="Z8" s="99"/>
    </row>
    <row r="9" spans="1:26" ht="15" customHeight="1">
      <c r="A9" s="102"/>
      <c r="B9" s="102"/>
      <c r="C9" s="16" t="s">
        <v>33</v>
      </c>
      <c r="D9" s="115" t="str">
        <f>Ps_1</f>
        <v>-</v>
      </c>
      <c r="E9" s="34" t="s">
        <v>4</v>
      </c>
      <c r="F9" s="102"/>
      <c r="G9" s="16" t="s">
        <v>2</v>
      </c>
      <c r="H9" s="215" t="str">
        <f>Md</f>
        <v>-</v>
      </c>
      <c r="I9" s="34" t="s">
        <v>3</v>
      </c>
      <c r="J9" s="122" t="s">
        <v>84</v>
      </c>
      <c r="K9" s="204" t="str">
        <f>IF(ISNUMBER(Cpp),Cpp,"-")</f>
        <v>-</v>
      </c>
      <c r="L9" s="124" t="s">
        <v>95</v>
      </c>
      <c r="M9" s="210" t="str">
        <f>IF(OR(ISNUMBER('Pre-Test'!R11),ISTEXT('Pre-Test'!R11)),'Pre-Test'!R11,"-")</f>
        <v>-</v>
      </c>
      <c r="N9" s="277"/>
      <c r="O9" s="94" t="s">
        <v>168</v>
      </c>
      <c r="P9" s="278" t="str">
        <f>Ts_1</f>
        <v>-</v>
      </c>
      <c r="Q9" s="104" t="s">
        <v>140</v>
      </c>
      <c r="R9" s="104"/>
      <c r="T9" s="135"/>
      <c r="Z9" s="99"/>
    </row>
    <row r="10" spans="1:26" ht="15" customHeight="1" thickBot="1">
      <c r="A10" s="102"/>
      <c r="B10" s="279"/>
      <c r="C10" s="280" t="s">
        <v>38</v>
      </c>
      <c r="D10" s="219" t="str">
        <f>IF(ISNUMBER(A),A,"-")</f>
        <v>-</v>
      </c>
      <c r="E10" s="67" t="s">
        <v>39</v>
      </c>
      <c r="F10" s="281"/>
      <c r="G10" s="280" t="s">
        <v>226</v>
      </c>
      <c r="H10" s="115" t="str">
        <f>IF(ISNUMBER(Bws_1),Md*(1-Bws_1)+18*Bws_1,"-")</f>
        <v>-</v>
      </c>
      <c r="I10" s="66" t="s">
        <v>3</v>
      </c>
      <c r="J10" s="122" t="s">
        <v>34</v>
      </c>
      <c r="K10" s="214" t="str">
        <f>IF(ISNUMBER(Cp),Cp,"-")</f>
        <v>-</v>
      </c>
      <c r="L10" s="124" t="s">
        <v>95</v>
      </c>
      <c r="M10" s="210" t="str">
        <f>IF(OR(ISNUMBER('Pre-Test'!R11),ISTEXT('Pre-Test'!R11)),'Pre-Test'!R11,"-")</f>
        <v>-</v>
      </c>
      <c r="N10" s="277"/>
      <c r="O10" s="94" t="s">
        <v>169</v>
      </c>
      <c r="P10" s="282" t="str">
        <f>dH_1</f>
        <v>-</v>
      </c>
      <c r="Q10" s="34" t="s">
        <v>50</v>
      </c>
      <c r="R10" s="104"/>
      <c r="T10" s="47"/>
      <c r="U10" s="47"/>
      <c r="Z10" s="99"/>
    </row>
    <row r="11" spans="1:26" ht="15" customHeight="1" thickBot="1">
      <c r="A11" s="102"/>
      <c r="B11" s="131"/>
      <c r="C11" s="26" t="s">
        <v>40</v>
      </c>
      <c r="D11" s="130" t="str">
        <f>IF(ISNUMBER(N_1),N_1,"-")</f>
        <v>-</v>
      </c>
      <c r="E11" s="126" t="s">
        <v>51</v>
      </c>
      <c r="F11" s="402" t="s">
        <v>139</v>
      </c>
      <c r="G11" s="403"/>
      <c r="H11" s="283" t="str">
        <f>Time_1</f>
        <v>-</v>
      </c>
      <c r="I11" s="126" t="s">
        <v>80</v>
      </c>
      <c r="J11" s="131"/>
      <c r="K11" s="26" t="s">
        <v>100</v>
      </c>
      <c r="L11" s="284" t="str">
        <f>IF(ISNUMBER(Dn),Dn,"-")</f>
        <v>-</v>
      </c>
      <c r="M11" s="285" t="s">
        <v>49</v>
      </c>
      <c r="N11" s="97"/>
      <c r="O11" s="20" t="s">
        <v>246</v>
      </c>
      <c r="P11" s="110">
        <f>IF(ISNUMBER(Tstd),Tstd,"-")</f>
        <v>528</v>
      </c>
      <c r="Q11" s="98" t="s">
        <v>140</v>
      </c>
      <c r="R11" s="104"/>
      <c r="S11" s="582"/>
      <c r="T11" s="47"/>
      <c r="U11" s="47"/>
      <c r="Z11" s="99"/>
    </row>
    <row r="12" spans="1:26" ht="15" customHeight="1" thickBot="1">
      <c r="A12" s="102"/>
      <c r="B12" s="47"/>
      <c r="C12" s="16"/>
      <c r="D12" s="86"/>
      <c r="E12" s="47"/>
      <c r="F12" s="18"/>
      <c r="G12" s="68"/>
      <c r="H12" s="286"/>
      <c r="I12" s="47"/>
      <c r="J12" s="47"/>
      <c r="K12" s="16"/>
      <c r="L12" s="86"/>
      <c r="M12" s="287"/>
      <c r="N12" s="131"/>
      <c r="O12" s="21" t="s">
        <v>247</v>
      </c>
      <c r="P12" s="288">
        <f>IF(ISNUMBER(Pstd),Pstd,"-")</f>
        <v>29.92</v>
      </c>
      <c r="Q12" s="36" t="s">
        <v>4</v>
      </c>
      <c r="R12" s="104"/>
      <c r="S12" s="582"/>
      <c r="T12" s="47"/>
      <c r="U12" s="47"/>
      <c r="Z12" s="99"/>
    </row>
    <row r="13" spans="1:26" ht="9" customHeight="1" thickBot="1">
      <c r="A13" s="102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104"/>
      <c r="S13" s="582"/>
      <c r="T13" s="47"/>
      <c r="U13" s="47"/>
      <c r="Z13" s="99"/>
    </row>
    <row r="14" spans="1:26" ht="15" customHeight="1" thickBot="1">
      <c r="A14" s="102"/>
      <c r="B14" s="534" t="s">
        <v>241</v>
      </c>
      <c r="C14" s="535"/>
      <c r="D14" s="535"/>
      <c r="E14" s="535"/>
      <c r="F14" s="576"/>
      <c r="G14" s="577" t="s">
        <v>242</v>
      </c>
      <c r="H14" s="578"/>
      <c r="I14" s="578"/>
      <c r="J14" s="578"/>
      <c r="K14" s="579"/>
      <c r="L14" s="534" t="s">
        <v>142</v>
      </c>
      <c r="M14" s="535"/>
      <c r="N14" s="535"/>
      <c r="O14" s="535"/>
      <c r="P14" s="535"/>
      <c r="Q14" s="576"/>
      <c r="R14" s="104"/>
      <c r="S14" s="582"/>
      <c r="T14" s="47"/>
      <c r="U14" s="47"/>
      <c r="Z14" s="99"/>
    </row>
    <row r="15" spans="1:26" ht="15" customHeight="1">
      <c r="A15" s="102"/>
      <c r="B15" s="569" t="s">
        <v>130</v>
      </c>
      <c r="C15" s="427"/>
      <c r="D15" s="580"/>
      <c r="E15" s="580"/>
      <c r="F15" s="78" t="s">
        <v>129</v>
      </c>
      <c r="G15" s="569" t="s">
        <v>131</v>
      </c>
      <c r="H15" s="427"/>
      <c r="I15" s="580"/>
      <c r="J15" s="580"/>
      <c r="K15" s="98" t="s">
        <v>129</v>
      </c>
      <c r="L15" s="78"/>
      <c r="M15" s="78"/>
      <c r="N15" s="20" t="s">
        <v>134</v>
      </c>
      <c r="O15" s="572"/>
      <c r="P15" s="572"/>
      <c r="Q15" s="98" t="s">
        <v>138</v>
      </c>
      <c r="R15" s="104"/>
      <c r="S15" s="47"/>
      <c r="T15" s="47"/>
      <c r="Z15" s="99"/>
    </row>
    <row r="16" spans="1:26" ht="15" customHeight="1">
      <c r="A16" s="102"/>
      <c r="B16" s="570" t="s">
        <v>222</v>
      </c>
      <c r="C16" s="571"/>
      <c r="D16" s="584"/>
      <c r="E16" s="584"/>
      <c r="F16" s="47" t="s">
        <v>129</v>
      </c>
      <c r="G16" s="570" t="s">
        <v>219</v>
      </c>
      <c r="H16" s="382"/>
      <c r="I16" s="584"/>
      <c r="J16" s="584"/>
      <c r="K16" s="104" t="s">
        <v>129</v>
      </c>
      <c r="L16" s="47"/>
      <c r="M16" s="47"/>
      <c r="N16" s="94" t="s">
        <v>192</v>
      </c>
      <c r="O16" s="581"/>
      <c r="P16" s="581"/>
      <c r="Q16" s="104" t="s">
        <v>138</v>
      </c>
      <c r="R16" s="104"/>
      <c r="S16" s="47"/>
      <c r="T16" s="47"/>
      <c r="Z16" s="99"/>
    </row>
    <row r="17" spans="1:31" ht="15" customHeight="1">
      <c r="A17" s="102"/>
      <c r="B17" s="570" t="s">
        <v>152</v>
      </c>
      <c r="C17" s="571"/>
      <c r="D17" s="581"/>
      <c r="E17" s="581"/>
      <c r="F17" s="47" t="s">
        <v>135</v>
      </c>
      <c r="G17" s="570" t="s">
        <v>147</v>
      </c>
      <c r="H17" s="382"/>
      <c r="I17" s="581"/>
      <c r="J17" s="581"/>
      <c r="K17" s="104" t="s">
        <v>135</v>
      </c>
      <c r="L17" s="47"/>
      <c r="M17" s="47"/>
      <c r="N17" s="94" t="s">
        <v>157</v>
      </c>
      <c r="O17" s="575" t="str">
        <f>IF(ISNUMBER(O15),O15-O16,"-")</f>
        <v>-</v>
      </c>
      <c r="P17" s="575"/>
      <c r="Q17" s="104" t="s">
        <v>138</v>
      </c>
      <c r="R17" s="104"/>
      <c r="S17" s="47"/>
      <c r="T17" s="47"/>
      <c r="Z17" s="99"/>
    </row>
    <row r="18" spans="1:31" ht="15" customHeight="1">
      <c r="A18" s="102"/>
      <c r="B18" s="570" t="s">
        <v>153</v>
      </c>
      <c r="C18" s="571"/>
      <c r="D18" s="575" t="str">
        <f>IF(ISNUMBER(D17),Ca_1*D17*$O$28,"-")</f>
        <v>-</v>
      </c>
      <c r="E18" s="575"/>
      <c r="F18" s="47" t="s">
        <v>129</v>
      </c>
      <c r="G18" s="570" t="s">
        <v>148</v>
      </c>
      <c r="H18" s="382"/>
      <c r="I18" s="575" t="str">
        <f>IF(ISNUMBER(I17),Ca_1*I17*$O$28,"-")</f>
        <v>-</v>
      </c>
      <c r="J18" s="575"/>
      <c r="K18" s="104" t="s">
        <v>129</v>
      </c>
      <c r="L18" s="47"/>
      <c r="M18" s="47"/>
      <c r="N18" s="94" t="s">
        <v>158</v>
      </c>
      <c r="O18" s="583" t="str">
        <f>IF(ISNUMBER(O17),0.0026673*Tstd/Pstd*O17,"-")</f>
        <v>-</v>
      </c>
      <c r="P18" s="583"/>
      <c r="Q18" s="104" t="s">
        <v>81</v>
      </c>
      <c r="R18" s="104"/>
      <c r="S18" s="47"/>
      <c r="T18" s="47"/>
      <c r="U18" s="47"/>
      <c r="Z18" s="99"/>
    </row>
    <row r="19" spans="1:31" ht="15" customHeight="1" thickBot="1">
      <c r="A19" s="102"/>
      <c r="B19" s="586" t="s">
        <v>154</v>
      </c>
      <c r="C19" s="403"/>
      <c r="D19" s="573" t="str">
        <f>IF(ISNUMBER(D15),D15-D16-(IF(D18&gt;0.000001*D17*$O$28,0.000001*D17*$O$28,D18)),"-")</f>
        <v>-</v>
      </c>
      <c r="E19" s="573"/>
      <c r="F19" s="125" t="s">
        <v>129</v>
      </c>
      <c r="G19" s="586" t="s">
        <v>149</v>
      </c>
      <c r="H19" s="403"/>
      <c r="I19" s="573" t="str">
        <f>IF(ISNUMBER(I15),I15-I16-(IF(I18&gt;0.000001*I17*$O$28,0.000001*I17*$O$28,I18)),"-")</f>
        <v>-</v>
      </c>
      <c r="J19" s="573"/>
      <c r="K19" s="126" t="s">
        <v>129</v>
      </c>
      <c r="L19" s="47"/>
      <c r="M19" s="47"/>
      <c r="N19" s="16" t="s">
        <v>136</v>
      </c>
      <c r="O19" s="584"/>
      <c r="P19" s="584"/>
      <c r="Q19" s="104" t="s">
        <v>135</v>
      </c>
      <c r="R19" s="104"/>
      <c r="S19" s="47"/>
      <c r="T19" s="47"/>
      <c r="U19" s="47"/>
      <c r="Z19" s="99"/>
    </row>
    <row r="20" spans="1:31" ht="15" customHeight="1" thickBot="1">
      <c r="A20" s="102"/>
      <c r="B20" s="534" t="s">
        <v>240</v>
      </c>
      <c r="C20" s="535"/>
      <c r="D20" s="535"/>
      <c r="E20" s="535"/>
      <c r="F20" s="576"/>
      <c r="G20" s="534" t="s">
        <v>143</v>
      </c>
      <c r="H20" s="535"/>
      <c r="I20" s="535"/>
      <c r="J20" s="535"/>
      <c r="K20" s="576"/>
      <c r="L20" s="102"/>
      <c r="M20" s="47"/>
      <c r="N20" s="289" t="s">
        <v>159</v>
      </c>
      <c r="O20" s="583" t="str">
        <f>IF(ISNUMBER(O19),0.0026673*Tstd/Pstd*O19,"-")</f>
        <v>-</v>
      </c>
      <c r="P20" s="583"/>
      <c r="Q20" s="104" t="s">
        <v>81</v>
      </c>
      <c r="R20" s="104"/>
      <c r="S20" s="47"/>
      <c r="T20" s="47"/>
      <c r="U20" s="47"/>
      <c r="Z20" s="99"/>
    </row>
    <row r="21" spans="1:31" ht="15" customHeight="1">
      <c r="A21" s="102"/>
      <c r="B21" s="569" t="s">
        <v>132</v>
      </c>
      <c r="C21" s="427"/>
      <c r="D21" s="572"/>
      <c r="E21" s="572"/>
      <c r="F21" s="98" t="s">
        <v>129</v>
      </c>
      <c r="G21" s="569" t="s">
        <v>133</v>
      </c>
      <c r="H21" s="427"/>
      <c r="I21" s="572"/>
      <c r="J21" s="572"/>
      <c r="K21" s="98" t="s">
        <v>129</v>
      </c>
      <c r="L21" s="47"/>
      <c r="M21" s="47"/>
      <c r="N21" s="289"/>
      <c r="O21" s="290"/>
      <c r="P21" s="290"/>
      <c r="Q21" s="104"/>
      <c r="R21" s="104"/>
      <c r="S21" s="47"/>
      <c r="T21" s="47"/>
      <c r="U21" s="47"/>
      <c r="Z21" s="99"/>
    </row>
    <row r="22" spans="1:31" ht="15" customHeight="1">
      <c r="A22" s="102"/>
      <c r="B22" s="570" t="s">
        <v>220</v>
      </c>
      <c r="C22" s="382"/>
      <c r="D22" s="581"/>
      <c r="E22" s="581"/>
      <c r="F22" s="104" t="s">
        <v>129</v>
      </c>
      <c r="G22" s="570" t="s">
        <v>221</v>
      </c>
      <c r="H22" s="382"/>
      <c r="I22" s="581"/>
      <c r="J22" s="581"/>
      <c r="K22" s="104" t="s">
        <v>129</v>
      </c>
      <c r="L22" s="47"/>
      <c r="M22" s="47"/>
      <c r="N22" s="94" t="s">
        <v>160</v>
      </c>
      <c r="O22" s="587" t="str">
        <f>IF(ISNUMBER(O20),O18+O20,"-")</f>
        <v>-</v>
      </c>
      <c r="P22" s="587"/>
      <c r="Q22" s="104" t="s">
        <v>81</v>
      </c>
      <c r="R22" s="104"/>
      <c r="S22" s="47"/>
      <c r="T22" s="47"/>
      <c r="Z22" s="99"/>
    </row>
    <row r="23" spans="1:31" ht="15" customHeight="1">
      <c r="A23" s="102"/>
      <c r="B23" s="570" t="s">
        <v>155</v>
      </c>
      <c r="C23" s="382"/>
      <c r="D23" s="574"/>
      <c r="E23" s="574"/>
      <c r="F23" s="104" t="s">
        <v>135</v>
      </c>
      <c r="G23" s="570" t="s">
        <v>150</v>
      </c>
      <c r="H23" s="382"/>
      <c r="I23" s="574"/>
      <c r="J23" s="574"/>
      <c r="K23" s="104" t="s">
        <v>135</v>
      </c>
      <c r="L23" s="47"/>
      <c r="M23" s="47"/>
      <c r="N23" s="94" t="s">
        <v>161</v>
      </c>
      <c r="O23" s="583" t="str">
        <f>IF(ISNUMBER(Vws_1),Vws_1/(Vws_1+Vms_1),"-")</f>
        <v>-</v>
      </c>
      <c r="P23" s="583"/>
      <c r="Q23" s="104" t="s">
        <v>223</v>
      </c>
      <c r="R23" s="104"/>
      <c r="S23" s="47"/>
      <c r="T23" s="47"/>
      <c r="Z23" s="99"/>
    </row>
    <row r="24" spans="1:31" ht="15" customHeight="1" thickBot="1">
      <c r="A24" s="102"/>
      <c r="B24" s="570" t="s">
        <v>156</v>
      </c>
      <c r="C24" s="382"/>
      <c r="D24" s="575" t="str">
        <f>IF(ISNUMBER(D23),Ca_1*D23*$O$28,"-")</f>
        <v>-</v>
      </c>
      <c r="E24" s="575"/>
      <c r="F24" s="104" t="s">
        <v>129</v>
      </c>
      <c r="G24" s="570" t="s">
        <v>151</v>
      </c>
      <c r="H24" s="382"/>
      <c r="I24" s="575" t="str">
        <f>IF(ISNUMBER(I23),Ca_1*I23*$O$28,"-")</f>
        <v>-</v>
      </c>
      <c r="J24" s="575"/>
      <c r="K24" s="104" t="s">
        <v>129</v>
      </c>
      <c r="L24" s="125"/>
      <c r="M24" s="125"/>
      <c r="N24" s="95" t="s">
        <v>162</v>
      </c>
      <c r="O24" s="597" t="str">
        <f>IF(ISNUMBER(Bws_1),100*Bws_1,"-")</f>
        <v>-</v>
      </c>
      <c r="P24" s="597"/>
      <c r="Q24" s="126" t="s">
        <v>6</v>
      </c>
      <c r="R24" s="104"/>
      <c r="S24" s="47"/>
      <c r="T24" s="47"/>
      <c r="Z24" s="99"/>
    </row>
    <row r="25" spans="1:31" ht="15" customHeight="1" thickBot="1">
      <c r="A25" s="102"/>
      <c r="B25" s="586" t="s">
        <v>218</v>
      </c>
      <c r="C25" s="403"/>
      <c r="D25" s="573" t="str">
        <f>IF(ISNUMBER(D21),D21-D22-(IF(D24&gt;0.000001*D23*$O$28,0.000001*D23*$O$28,D24)),"-")</f>
        <v>-</v>
      </c>
      <c r="E25" s="573"/>
      <c r="F25" s="126" t="s">
        <v>129</v>
      </c>
      <c r="G25" s="586" t="s">
        <v>217</v>
      </c>
      <c r="H25" s="403"/>
      <c r="I25" s="573" t="str">
        <f>IF(ISNUMBER(I21),I21-I22-(IF(I24&gt;0.000001*I23*$O$28,0.000001*I23*$O$28,I24)),"-")</f>
        <v>-</v>
      </c>
      <c r="J25" s="573"/>
      <c r="K25" s="126" t="s">
        <v>129</v>
      </c>
      <c r="L25" s="535" t="s">
        <v>144</v>
      </c>
      <c r="M25" s="535"/>
      <c r="N25" s="535"/>
      <c r="O25" s="535"/>
      <c r="P25" s="535"/>
      <c r="Q25" s="576"/>
      <c r="R25" s="104"/>
      <c r="S25" s="47"/>
      <c r="T25" s="47"/>
      <c r="V25" s="568"/>
      <c r="W25" s="568"/>
      <c r="X25" s="568"/>
      <c r="Y25" s="568"/>
      <c r="Z25" s="568"/>
      <c r="AA25" s="568"/>
      <c r="AB25" s="568"/>
      <c r="AC25" s="568"/>
      <c r="AD25" s="568"/>
      <c r="AE25" s="568"/>
    </row>
    <row r="26" spans="1:31" ht="15" customHeight="1">
      <c r="A26" s="102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7"/>
      <c r="M26" s="78"/>
      <c r="N26" s="93" t="s">
        <v>137</v>
      </c>
      <c r="O26" s="580"/>
      <c r="P26" s="580"/>
      <c r="Q26" s="98" t="s">
        <v>129</v>
      </c>
      <c r="R26" s="104"/>
      <c r="S26" s="47"/>
      <c r="T26" s="47"/>
      <c r="V26" s="568"/>
      <c r="W26" s="568"/>
      <c r="X26" s="568"/>
      <c r="Y26" s="568"/>
      <c r="Z26" s="568"/>
      <c r="AA26" s="568"/>
      <c r="AB26" s="568"/>
      <c r="AC26" s="568"/>
      <c r="AD26" s="568"/>
      <c r="AE26" s="568"/>
    </row>
    <row r="27" spans="1:31" ht="15" customHeight="1">
      <c r="A27" s="102"/>
      <c r="B27" s="588" t="s">
        <v>193</v>
      </c>
      <c r="C27" s="589"/>
      <c r="D27" s="589"/>
      <c r="E27" s="589"/>
      <c r="F27" s="589"/>
      <c r="G27" s="589"/>
      <c r="H27" s="589"/>
      <c r="I27" s="589"/>
      <c r="J27" s="589"/>
      <c r="L27" s="102"/>
      <c r="M27" s="79"/>
      <c r="N27" s="94" t="s">
        <v>255</v>
      </c>
      <c r="O27" s="584"/>
      <c r="P27" s="584"/>
      <c r="Q27" s="104" t="s">
        <v>129</v>
      </c>
      <c r="R27" s="104"/>
      <c r="S27" s="47"/>
      <c r="T27" s="47"/>
      <c r="Z27" s="99"/>
    </row>
    <row r="28" spans="1:31" ht="15" customHeight="1" thickBot="1">
      <c r="A28" s="102"/>
      <c r="B28" s="590"/>
      <c r="C28" s="590"/>
      <c r="D28" s="590"/>
      <c r="E28" s="590"/>
      <c r="F28" s="590"/>
      <c r="G28" s="590"/>
      <c r="H28" s="590"/>
      <c r="I28" s="590"/>
      <c r="J28" s="590"/>
      <c r="K28" s="47"/>
      <c r="L28" s="102"/>
      <c r="M28" s="47"/>
      <c r="N28" s="16" t="s">
        <v>163</v>
      </c>
      <c r="O28" s="581"/>
      <c r="P28" s="581"/>
      <c r="Q28" s="104" t="s">
        <v>259</v>
      </c>
      <c r="R28" s="104"/>
      <c r="S28" s="47"/>
      <c r="T28" s="47"/>
    </row>
    <row r="29" spans="1:31" ht="15" customHeight="1" thickTop="1">
      <c r="A29" s="102"/>
      <c r="B29" s="99"/>
      <c r="C29" s="99"/>
      <c r="D29" s="99"/>
      <c r="E29" s="99"/>
      <c r="F29" s="99"/>
      <c r="G29" s="47"/>
      <c r="H29" s="47"/>
      <c r="I29" s="47"/>
      <c r="J29" s="47"/>
      <c r="K29" s="47"/>
      <c r="L29" s="102"/>
      <c r="M29" s="47"/>
      <c r="N29" s="94" t="s">
        <v>164</v>
      </c>
      <c r="O29" s="584"/>
      <c r="P29" s="584"/>
      <c r="Q29" s="104" t="s">
        <v>135</v>
      </c>
      <c r="R29" s="104"/>
      <c r="S29" s="47"/>
      <c r="T29" s="47"/>
    </row>
    <row r="30" spans="1:31" ht="15" customHeight="1" thickBot="1">
      <c r="A30" s="102"/>
      <c r="B30" s="16" t="s">
        <v>190</v>
      </c>
      <c r="C30" s="562" t="str">
        <f>Vm_1</f>
        <v>-</v>
      </c>
      <c r="D30" s="562"/>
      <c r="E30" s="47" t="s">
        <v>171</v>
      </c>
      <c r="F30" s="79"/>
      <c r="G30" s="47"/>
      <c r="H30" s="47"/>
      <c r="I30" s="47"/>
      <c r="J30" s="47"/>
      <c r="K30" s="47"/>
      <c r="L30" s="131"/>
      <c r="M30" s="125"/>
      <c r="N30" s="95" t="s">
        <v>165</v>
      </c>
      <c r="O30" s="585" t="str">
        <f>IF(ISNUMBER(O29),(O26-O27)/O28/O29,"-")</f>
        <v>-</v>
      </c>
      <c r="P30" s="585"/>
      <c r="Q30" s="291" t="s">
        <v>260</v>
      </c>
      <c r="R30" s="104"/>
      <c r="S30" s="47"/>
      <c r="T30" s="47"/>
    </row>
    <row r="31" spans="1:31" ht="15" customHeight="1">
      <c r="A31" s="102"/>
      <c r="B31" s="16" t="s">
        <v>189</v>
      </c>
      <c r="C31" s="563" t="str">
        <f>IF(ISNUMBER(Vm_1),Tstd/Pstd*Y*Vm_1*(Pbar_1+dH_1/13.6)/Tm_1,"-")</f>
        <v>-</v>
      </c>
      <c r="D31" s="563"/>
      <c r="E31" s="47" t="s">
        <v>172</v>
      </c>
      <c r="F31" s="47"/>
      <c r="G31" s="47"/>
      <c r="H31" s="47"/>
      <c r="I31" s="47"/>
      <c r="J31" s="47"/>
      <c r="L31" s="47"/>
      <c r="M31" s="47"/>
      <c r="N31" s="99"/>
      <c r="O31" s="99"/>
      <c r="P31" s="99"/>
      <c r="Q31" s="47"/>
      <c r="R31" s="104"/>
    </row>
    <row r="32" spans="1:31" ht="15" customHeight="1">
      <c r="A32" s="102"/>
      <c r="B32" s="16" t="s">
        <v>188</v>
      </c>
      <c r="C32" s="562" t="str">
        <f>Vws_1</f>
        <v>-</v>
      </c>
      <c r="D32" s="562"/>
      <c r="E32" s="47" t="s">
        <v>173</v>
      </c>
      <c r="F32" s="47"/>
      <c r="G32" s="47"/>
      <c r="H32" s="47"/>
      <c r="I32" s="47"/>
      <c r="J32" s="47"/>
      <c r="K32" s="117" t="s">
        <v>179</v>
      </c>
      <c r="L32" s="567" t="str">
        <f>IF(ISNUMBER(Bws_1),-150.3162+13.4622*SQRT(Ts_1)+3861530/(Ts_1^2)+0.591123*(1-Bws_1)*OO-91.9723*Bws_1+0.0000151761*Bws_1*(Ts_1^2),"-")</f>
        <v>-</v>
      </c>
      <c r="M32" s="567"/>
      <c r="N32" s="47" t="s">
        <v>180</v>
      </c>
      <c r="O32" s="47"/>
      <c r="P32" s="47"/>
      <c r="Q32" s="47"/>
      <c r="R32" s="104"/>
    </row>
    <row r="33" spans="1:26" ht="15" customHeight="1">
      <c r="A33" s="102"/>
      <c r="B33" s="16" t="s">
        <v>187</v>
      </c>
      <c r="C33" s="564" t="str">
        <f>IF(ISNUMBER(Vms_1),Vms_1/Time_1,"-")</f>
        <v>-</v>
      </c>
      <c r="D33" s="564"/>
      <c r="E33" s="47" t="s">
        <v>174</v>
      </c>
      <c r="F33" s="47"/>
      <c r="G33" s="47"/>
      <c r="H33" s="47"/>
      <c r="I33" s="47"/>
      <c r="J33" s="47"/>
      <c r="K33" s="16" t="s">
        <v>181</v>
      </c>
      <c r="L33" s="563" t="str">
        <f>IF(ISNUMBER(Mw_1),1+0.0057193*(vis_1/Ps_1/(IF(ISNUMBER(D50IV_1),D50IV_1,2.5)))*SQRT(Ts_1/Mw_1),"-")</f>
        <v>-</v>
      </c>
      <c r="M33" s="563"/>
      <c r="N33" s="47" t="s">
        <v>191</v>
      </c>
      <c r="O33" s="47"/>
      <c r="P33" s="47"/>
      <c r="Q33" s="47"/>
      <c r="R33" s="104"/>
    </row>
    <row r="34" spans="1:26" ht="15" customHeight="1">
      <c r="A34" s="102"/>
      <c r="B34" s="16" t="s">
        <v>186</v>
      </c>
      <c r="C34" s="565" t="str">
        <f>IF(ISNUMBER(Qsst_1),Pstd/Tstd*Qsst_1*(1/(1-Bws_1))*Ts_1/Ps_1,"-")</f>
        <v>-</v>
      </c>
      <c r="D34" s="565"/>
      <c r="E34" s="47" t="s">
        <v>175</v>
      </c>
      <c r="F34" s="47"/>
      <c r="G34" s="47"/>
      <c r="H34" s="47"/>
      <c r="I34" s="79"/>
      <c r="J34" s="47"/>
      <c r="K34" s="16" t="s">
        <v>184</v>
      </c>
      <c r="L34" s="566" t="str">
        <f>IF(ISNUMBER(Mw_1),0.15625*(Ts_1/Mw_1/Ps_1)^0.2091*(vis_1/Qs_1)^0.7091,"-")</f>
        <v>-</v>
      </c>
      <c r="M34" s="566"/>
      <c r="N34" s="292" t="s">
        <v>182</v>
      </c>
      <c r="O34" s="47"/>
      <c r="P34" s="47"/>
      <c r="Q34" s="47"/>
      <c r="R34" s="104"/>
    </row>
    <row r="35" spans="1:26" ht="15" customHeight="1">
      <c r="A35" s="102"/>
      <c r="B35" s="16" t="s">
        <v>176</v>
      </c>
      <c r="C35" s="566" t="str">
        <f>IF(ISNUMBER(Vms_1),Pstd/Tstd*100*Ts_1*Vms_1/60/Vs_1/Time_1/An/Ps_1/(1-Bws_1),"-")</f>
        <v>-</v>
      </c>
      <c r="D35" s="566"/>
      <c r="E35" s="47" t="s">
        <v>177</v>
      </c>
      <c r="F35" s="47"/>
      <c r="G35" s="47"/>
      <c r="H35" s="47"/>
      <c r="I35" s="47"/>
      <c r="J35" s="47"/>
      <c r="K35" s="16" t="s">
        <v>185</v>
      </c>
      <c r="L35" s="566" t="str">
        <f>IF(ISNUMBER(Mw_1),IF(Nr_1&lt;3162,0.0024302*(vis_1/Qs_1)^1.1791*SQRT(1/Cf_1)*(Ts_1/Ps_1/Mw_1)^0.679,0.019723*(vis_1/Qs_1)^0.8058*SQRT(1/Cf_1)*(Ts_1/Ps_1/Mw_1)^0.3058),"-")</f>
        <v>-</v>
      </c>
      <c r="M35" s="566"/>
      <c r="N35" s="292" t="s">
        <v>183</v>
      </c>
      <c r="O35" s="47"/>
      <c r="P35" s="47"/>
      <c r="Q35" s="47"/>
      <c r="R35" s="104"/>
    </row>
    <row r="36" spans="1:26" ht="15" customHeight="1">
      <c r="A36" s="102"/>
      <c r="B36" s="16" t="s">
        <v>233</v>
      </c>
      <c r="C36" s="559" t="str">
        <f>IF(ISNUMBER(vis_1),864000*Ps_1*Mw_1/Ts_1*Qs_1/vis_1,"-")</f>
        <v>-</v>
      </c>
      <c r="D36" s="559"/>
      <c r="E36" s="47" t="s">
        <v>178</v>
      </c>
      <c r="F36" s="47"/>
      <c r="G36" s="47"/>
      <c r="H36" s="47"/>
      <c r="I36" s="47"/>
      <c r="J36" s="47"/>
      <c r="K36" s="16" t="s">
        <v>195</v>
      </c>
      <c r="L36" s="561" t="str">
        <f>IF(ISNUMBER(Qsw_1),(1-Bws_1)*Qsw_1,"-")</f>
        <v>-</v>
      </c>
      <c r="M36" s="561"/>
      <c r="N36" s="554" t="s">
        <v>229</v>
      </c>
      <c r="O36" s="554"/>
      <c r="P36" s="554"/>
      <c r="Q36" s="554"/>
      <c r="R36" s="104"/>
    </row>
    <row r="37" spans="1:26" ht="15" customHeight="1">
      <c r="A37" s="102"/>
      <c r="B37" s="16" t="s">
        <v>194</v>
      </c>
      <c r="C37" s="560" t="str">
        <f>IF(ISNUMBER(Mw_1),85.49*Cp*dPsqavg_1*SQRT(Ts_1/Ps_1/Mw_1),"-")</f>
        <v>-</v>
      </c>
      <c r="D37" s="560"/>
      <c r="E37" s="76" t="s">
        <v>272</v>
      </c>
      <c r="F37" s="47"/>
      <c r="G37" s="47"/>
      <c r="H37" s="47"/>
      <c r="I37" s="47"/>
      <c r="J37" s="47"/>
      <c r="K37" s="16" t="s">
        <v>196</v>
      </c>
      <c r="L37" s="561" t="str">
        <f>IF(ISNUMBER(Bws_1),3600*Vs_1*A/Pstd*Tstd*Ps_1/Ts_1,"-")</f>
        <v>-</v>
      </c>
      <c r="M37" s="561"/>
      <c r="N37" s="554" t="s">
        <v>239</v>
      </c>
      <c r="O37" s="554"/>
      <c r="P37" s="554"/>
      <c r="Q37" s="554"/>
      <c r="R37" s="104"/>
      <c r="Z37" s="99"/>
    </row>
    <row r="38" spans="1:26" ht="15" customHeight="1">
      <c r="A38" s="102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04"/>
      <c r="Z38" s="99"/>
    </row>
    <row r="39" spans="1:26" ht="15" customHeight="1">
      <c r="A39" s="102"/>
      <c r="B39" s="101"/>
      <c r="C39" s="47"/>
      <c r="D39" s="47"/>
      <c r="E39" s="492" t="s">
        <v>197</v>
      </c>
      <c r="F39" s="492"/>
      <c r="G39" s="492"/>
      <c r="H39" s="79"/>
      <c r="I39" s="47"/>
      <c r="J39" s="47"/>
      <c r="K39" s="47"/>
      <c r="L39" s="492" t="s">
        <v>200</v>
      </c>
      <c r="M39" s="492"/>
      <c r="N39" s="492"/>
      <c r="O39" s="47"/>
      <c r="P39" s="47"/>
      <c r="Q39" s="47"/>
      <c r="R39" s="104"/>
      <c r="Z39" s="99"/>
    </row>
    <row r="40" spans="1:26" ht="17.25" customHeight="1">
      <c r="A40" s="102"/>
      <c r="B40" s="101"/>
      <c r="C40" s="293"/>
      <c r="D40" s="16" t="s">
        <v>198</v>
      </c>
      <c r="E40" s="555" t="str">
        <f>IF(AND(ISNUMBER(M1_1),ISNUMBER(M4_1)),(7000/453592)*(M1_1+M4_1)/Vms_1,"-")</f>
        <v>-</v>
      </c>
      <c r="F40" s="556"/>
      <c r="G40" s="556"/>
      <c r="H40" s="47" t="s">
        <v>83</v>
      </c>
      <c r="I40" s="47"/>
      <c r="J40" s="47"/>
      <c r="K40" s="16" t="s">
        <v>198</v>
      </c>
      <c r="L40" s="557" t="str">
        <f>IF(ISNUMBER(E40),Qsd_1*E40/7000,"-")</f>
        <v>-</v>
      </c>
      <c r="M40" s="558"/>
      <c r="N40" s="558"/>
      <c r="O40" s="47" t="s">
        <v>82</v>
      </c>
      <c r="P40" s="47"/>
      <c r="Q40" s="47"/>
      <c r="R40" s="104"/>
      <c r="Z40" s="99"/>
    </row>
    <row r="41" spans="1:26" ht="6" customHeight="1">
      <c r="A41" s="102"/>
      <c r="B41" s="101"/>
      <c r="C41" s="293"/>
      <c r="D41" s="16"/>
      <c r="E41" s="294"/>
      <c r="F41" s="295"/>
      <c r="G41" s="295"/>
      <c r="H41" s="47"/>
      <c r="I41" s="47"/>
      <c r="J41" s="47"/>
      <c r="K41" s="16"/>
      <c r="L41" s="294"/>
      <c r="M41" s="295"/>
      <c r="N41" s="295"/>
      <c r="O41" s="47"/>
      <c r="P41" s="47"/>
      <c r="Q41" s="47"/>
      <c r="R41" s="104"/>
      <c r="Z41" s="99"/>
    </row>
    <row r="42" spans="1:26" ht="15" customHeight="1">
      <c r="A42" s="102"/>
      <c r="B42" s="101"/>
      <c r="C42" s="293"/>
      <c r="D42" s="16" t="s">
        <v>199</v>
      </c>
      <c r="E42" s="555" t="str">
        <f>IF(AND(ISNUMBER(M1_1),ISNUMBER(M3_1),ISNUMBER(M4_1)),(7000/453592)*(M1_1+M3_1+M4_1)/Vms_1,"-")</f>
        <v>-</v>
      </c>
      <c r="F42" s="556"/>
      <c r="G42" s="556"/>
      <c r="H42" s="47" t="s">
        <v>83</v>
      </c>
      <c r="I42" s="47"/>
      <c r="J42" s="47"/>
      <c r="K42" s="16" t="s">
        <v>199</v>
      </c>
      <c r="L42" s="557" t="str">
        <f>IF(ISNUMBER(E42),Qsd_1*E42/7000,"-")</f>
        <v>-</v>
      </c>
      <c r="M42" s="558"/>
      <c r="N42" s="558"/>
      <c r="O42" s="47" t="s">
        <v>82</v>
      </c>
      <c r="P42" s="47"/>
      <c r="Q42" s="47"/>
      <c r="R42" s="104"/>
    </row>
    <row r="43" spans="1:26" ht="6" customHeight="1">
      <c r="A43" s="102"/>
      <c r="B43" s="101"/>
      <c r="C43" s="293"/>
      <c r="D43" s="16"/>
      <c r="E43" s="294"/>
      <c r="F43" s="295"/>
      <c r="G43" s="295"/>
      <c r="H43" s="47"/>
      <c r="I43" s="47"/>
      <c r="J43" s="47"/>
      <c r="K43" s="16"/>
      <c r="L43" s="294"/>
      <c r="M43" s="295"/>
      <c r="N43" s="295"/>
      <c r="O43" s="47"/>
      <c r="P43" s="47"/>
      <c r="Q43" s="47"/>
      <c r="R43" s="104"/>
    </row>
    <row r="44" spans="1:26" ht="15" customHeight="1">
      <c r="A44" s="102"/>
      <c r="B44" s="101"/>
      <c r="C44" s="293"/>
      <c r="D44" s="16" t="s">
        <v>170</v>
      </c>
      <c r="E44" s="555" t="str">
        <f>IF(AND(ISNUMBER(M1_1),ISNUMBER(M2_1),ISNUMBER(M3_1),ISNUMBER(M4_1)),(7000/453592)*(M1_1+M2_1+M3_1+M4_1)/Vms_1,"-")</f>
        <v>-</v>
      </c>
      <c r="F44" s="556"/>
      <c r="G44" s="556"/>
      <c r="H44" s="47" t="s">
        <v>83</v>
      </c>
      <c r="I44" s="47"/>
      <c r="J44" s="47"/>
      <c r="K44" s="16" t="s">
        <v>170</v>
      </c>
      <c r="L44" s="557" t="str">
        <f>IF(ISNUMBER(E44),Qsd_1*E44/7000,"-")</f>
        <v>-</v>
      </c>
      <c r="M44" s="558"/>
      <c r="N44" s="558"/>
      <c r="O44" s="47" t="s">
        <v>82</v>
      </c>
      <c r="P44" s="47"/>
      <c r="Q44" s="47"/>
      <c r="R44" s="104"/>
      <c r="U44" s="135"/>
      <c r="Z44" s="99"/>
    </row>
    <row r="45" spans="1:26" ht="15" customHeight="1">
      <c r="A45" s="102"/>
      <c r="B45" s="10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104"/>
      <c r="U45" s="135"/>
      <c r="Z45" s="99"/>
    </row>
    <row r="46" spans="1:26" ht="15" customHeight="1">
      <c r="A46" s="102"/>
      <c r="B46" s="10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104"/>
      <c r="U46" s="135"/>
      <c r="Z46" s="99"/>
    </row>
    <row r="47" spans="1:26" ht="15" customHeight="1">
      <c r="A47" s="102"/>
      <c r="B47" s="101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104"/>
      <c r="U47" s="135"/>
      <c r="Z47" s="99"/>
    </row>
    <row r="48" spans="1:26" ht="9" customHeight="1">
      <c r="A48" s="102"/>
      <c r="B48" s="47"/>
      <c r="C48" s="79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104"/>
      <c r="S48" s="47"/>
      <c r="T48" s="47"/>
      <c r="U48" s="101"/>
      <c r="Z48" s="99"/>
    </row>
    <row r="49" spans="1:29" ht="15" customHeight="1" thickBot="1">
      <c r="A49" s="102"/>
      <c r="B49" s="125"/>
      <c r="C49" s="125"/>
      <c r="D49" s="125"/>
      <c r="E49" s="125"/>
      <c r="F49" s="125"/>
      <c r="G49" s="125"/>
      <c r="H49" s="125"/>
      <c r="I49" s="125"/>
      <c r="J49" s="47"/>
      <c r="K49" s="125"/>
      <c r="L49" s="125"/>
      <c r="M49" s="125"/>
      <c r="N49" s="125"/>
      <c r="O49" s="125"/>
      <c r="P49" s="125"/>
      <c r="Q49" s="125"/>
      <c r="R49" s="104"/>
      <c r="S49" s="47"/>
      <c r="T49" s="47"/>
      <c r="U49" s="101"/>
      <c r="Z49" s="99"/>
    </row>
    <row r="50" spans="1:29" ht="17.25" customHeight="1">
      <c r="A50" s="102"/>
      <c r="B50" s="189"/>
      <c r="C50" s="189" t="s">
        <v>76</v>
      </c>
      <c r="D50" s="190"/>
      <c r="E50" s="190"/>
      <c r="F50" s="191"/>
      <c r="G50" s="192"/>
      <c r="H50" s="193"/>
      <c r="I50" s="193"/>
      <c r="J50" s="47"/>
      <c r="K50" s="189"/>
      <c r="L50" s="189" t="s">
        <v>63</v>
      </c>
      <c r="M50" s="190"/>
      <c r="N50" s="47"/>
      <c r="O50" s="47"/>
      <c r="P50" s="47"/>
      <c r="Q50" s="47"/>
      <c r="R50" s="104"/>
      <c r="S50" s="47"/>
      <c r="T50" s="47"/>
      <c r="U50" s="101"/>
      <c r="Z50" s="99"/>
    </row>
    <row r="51" spans="1:29" ht="15" customHeight="1" thickBot="1">
      <c r="A51" s="131"/>
      <c r="B51" s="125"/>
      <c r="C51" s="125"/>
      <c r="D51" s="125"/>
      <c r="E51" s="125"/>
      <c r="F51" s="125"/>
      <c r="G51" s="125"/>
      <c r="H51" s="194"/>
      <c r="I51" s="125"/>
      <c r="J51" s="125"/>
      <c r="K51" s="125"/>
      <c r="L51" s="195"/>
      <c r="M51" s="194"/>
      <c r="N51" s="125"/>
      <c r="O51" s="125"/>
      <c r="P51" s="125"/>
      <c r="Q51" s="125"/>
      <c r="R51" s="126"/>
      <c r="S51" s="47"/>
      <c r="T51" s="47"/>
      <c r="U51" s="101"/>
      <c r="V51" s="47"/>
      <c r="Z51" s="99"/>
    </row>
    <row r="52" spans="1:29" ht="4.5" customHeight="1">
      <c r="B52" s="99"/>
      <c r="C52" s="99"/>
      <c r="D52" s="99"/>
      <c r="E52" s="47"/>
      <c r="F52" s="47"/>
      <c r="G52" s="47"/>
      <c r="H52" s="47"/>
      <c r="I52" s="47"/>
      <c r="J52" s="47"/>
      <c r="K52" s="47"/>
      <c r="L52" s="47"/>
      <c r="M52" s="47"/>
      <c r="N52" s="99"/>
      <c r="O52" s="47"/>
      <c r="P52" s="47"/>
      <c r="Q52" s="47"/>
      <c r="R52" s="47"/>
      <c r="S52" s="47"/>
      <c r="T52" s="47"/>
      <c r="U52" s="101"/>
      <c r="V52" s="47"/>
      <c r="Z52" s="99"/>
    </row>
    <row r="53" spans="1:29" ht="15" customHeight="1"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47"/>
      <c r="P53" s="47"/>
      <c r="Q53" s="47"/>
      <c r="R53" s="47"/>
      <c r="S53" s="47"/>
      <c r="T53" s="47"/>
      <c r="U53" s="101"/>
      <c r="V53" s="47"/>
      <c r="Z53" s="99"/>
    </row>
    <row r="54" spans="1:29" ht="15" customHeight="1">
      <c r="B54" s="99"/>
      <c r="C54" s="99"/>
      <c r="D54" s="99"/>
      <c r="E54" s="99"/>
      <c r="F54" s="99"/>
      <c r="G54" s="196"/>
      <c r="H54" s="99"/>
      <c r="I54" s="99"/>
      <c r="J54" s="99"/>
      <c r="K54" s="99"/>
      <c r="L54" s="99"/>
      <c r="M54" s="99"/>
      <c r="N54" s="99"/>
      <c r="O54" s="47"/>
      <c r="P54" s="47"/>
      <c r="Q54" s="47"/>
      <c r="R54" s="47"/>
      <c r="S54" s="47"/>
      <c r="T54" s="47"/>
      <c r="U54" s="101"/>
      <c r="V54" s="47"/>
      <c r="Z54" s="99"/>
    </row>
    <row r="55" spans="1:29" ht="15" customHeight="1"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47"/>
      <c r="P55" s="47"/>
      <c r="Q55" s="47"/>
      <c r="R55" s="47"/>
      <c r="S55" s="47"/>
      <c r="T55" s="47"/>
      <c r="U55" s="101"/>
      <c r="Z55" s="99"/>
    </row>
    <row r="56" spans="1:29" ht="15" customHeight="1"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47"/>
      <c r="P56" s="47"/>
      <c r="Q56" s="47"/>
      <c r="R56" s="47"/>
      <c r="S56" s="47"/>
      <c r="T56" s="47"/>
      <c r="U56" s="47"/>
    </row>
    <row r="57" spans="1:29" ht="15" customHeight="1"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47"/>
      <c r="P57" s="47"/>
      <c r="Q57" s="47"/>
      <c r="R57" s="47"/>
      <c r="S57" s="47"/>
      <c r="T57" s="47"/>
      <c r="U57" s="47"/>
      <c r="AB57" s="47"/>
      <c r="AC57" s="47"/>
    </row>
    <row r="58" spans="1:2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47"/>
      <c r="P58" s="47"/>
      <c r="Q58" s="47"/>
      <c r="R58" s="47"/>
      <c r="S58" s="47"/>
      <c r="T58" s="47"/>
      <c r="U58" s="47"/>
      <c r="AB58" s="47"/>
      <c r="AC58" s="47"/>
    </row>
    <row r="59" spans="1:29" ht="5.25" customHeight="1"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47"/>
      <c r="P59" s="47"/>
      <c r="Q59" s="47"/>
      <c r="R59" s="47"/>
      <c r="S59" s="47"/>
      <c r="T59" s="47"/>
      <c r="U59" s="47"/>
      <c r="AB59" s="47"/>
      <c r="AC59" s="47"/>
    </row>
    <row r="60" spans="1:2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47"/>
      <c r="T60" s="47"/>
      <c r="U60" s="47"/>
      <c r="AB60" s="47"/>
      <c r="AC60" s="47"/>
    </row>
    <row r="61" spans="1:2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47"/>
      <c r="T61" s="47"/>
      <c r="U61" s="47"/>
    </row>
    <row r="62" spans="1:2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47"/>
      <c r="T62" s="47"/>
      <c r="U62" s="47"/>
    </row>
    <row r="63" spans="1:2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2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O1439" s="99"/>
      <c r="P1439" s="99"/>
      <c r="Q1439" s="99"/>
      <c r="R1439" s="99"/>
    </row>
    <row r="1440" spans="2:18" ht="15" customHeight="1">
      <c r="O1440" s="99"/>
      <c r="P1440" s="99"/>
      <c r="Q1440" s="99"/>
      <c r="R1440" s="99"/>
    </row>
    <row r="1441" spans="15:18" ht="15" customHeight="1">
      <c r="O1441" s="99"/>
      <c r="P1441" s="99"/>
      <c r="Q1441" s="99"/>
      <c r="R1441" s="99"/>
    </row>
    <row r="1442" spans="15:18" ht="15" customHeight="1">
      <c r="O1442" s="99"/>
      <c r="P1442" s="99"/>
      <c r="Q1442" s="99"/>
      <c r="R1442" s="99"/>
    </row>
  </sheetData>
  <sheetProtection sheet="1" objects="1" scenarios="1"/>
  <mergeCells count="99">
    <mergeCell ref="N5:Q6"/>
    <mergeCell ref="I16:J16"/>
    <mergeCell ref="O27:P27"/>
    <mergeCell ref="B22:C22"/>
    <mergeCell ref="D22:E22"/>
    <mergeCell ref="G22:H22"/>
    <mergeCell ref="I22:J22"/>
    <mergeCell ref="B21:C21"/>
    <mergeCell ref="G24:H24"/>
    <mergeCell ref="G25:H25"/>
    <mergeCell ref="G20:K20"/>
    <mergeCell ref="B20:F20"/>
    <mergeCell ref="B5:E5"/>
    <mergeCell ref="J5:M5"/>
    <mergeCell ref="L6:M6"/>
    <mergeCell ref="O24:P24"/>
    <mergeCell ref="O2:Q2"/>
    <mergeCell ref="O3:Q3"/>
    <mergeCell ref="D2:H2"/>
    <mergeCell ref="K2:L2"/>
    <mergeCell ref="D3:E3"/>
    <mergeCell ref="K3:L3"/>
    <mergeCell ref="D25:E25"/>
    <mergeCell ref="D21:E21"/>
    <mergeCell ref="F11:G11"/>
    <mergeCell ref="L25:Q25"/>
    <mergeCell ref="C32:D32"/>
    <mergeCell ref="D23:E23"/>
    <mergeCell ref="D24:E24"/>
    <mergeCell ref="B27:J28"/>
    <mergeCell ref="B17:C17"/>
    <mergeCell ref="B18:C18"/>
    <mergeCell ref="B19:C19"/>
    <mergeCell ref="G15:H15"/>
    <mergeCell ref="G17:H17"/>
    <mergeCell ref="G18:H18"/>
    <mergeCell ref="I18:J18"/>
    <mergeCell ref="O28:P28"/>
    <mergeCell ref="L14:Q14"/>
    <mergeCell ref="O26:P26"/>
    <mergeCell ref="O15:P15"/>
    <mergeCell ref="O19:P19"/>
    <mergeCell ref="O16:P16"/>
    <mergeCell ref="O17:P17"/>
    <mergeCell ref="O29:P29"/>
    <mergeCell ref="O30:P30"/>
    <mergeCell ref="G19:H19"/>
    <mergeCell ref="G16:H16"/>
    <mergeCell ref="B23:C23"/>
    <mergeCell ref="B24:C24"/>
    <mergeCell ref="B25:C25"/>
    <mergeCell ref="G21:H21"/>
    <mergeCell ref="G23:H23"/>
    <mergeCell ref="I19:J19"/>
    <mergeCell ref="O18:P18"/>
    <mergeCell ref="O20:P20"/>
    <mergeCell ref="O22:P22"/>
    <mergeCell ref="D16:E16"/>
    <mergeCell ref="D19:E19"/>
    <mergeCell ref="D17:E17"/>
    <mergeCell ref="V25:AE26"/>
    <mergeCell ref="B15:C15"/>
    <mergeCell ref="B16:C16"/>
    <mergeCell ref="F5:I5"/>
    <mergeCell ref="I21:J21"/>
    <mergeCell ref="I25:J25"/>
    <mergeCell ref="I23:J23"/>
    <mergeCell ref="I24:J24"/>
    <mergeCell ref="B14:F14"/>
    <mergeCell ref="G14:K14"/>
    <mergeCell ref="D15:E15"/>
    <mergeCell ref="I15:J15"/>
    <mergeCell ref="D18:E18"/>
    <mergeCell ref="I17:J17"/>
    <mergeCell ref="S11:S14"/>
    <mergeCell ref="O23:P23"/>
    <mergeCell ref="C36:D36"/>
    <mergeCell ref="C37:D37"/>
    <mergeCell ref="L36:M36"/>
    <mergeCell ref="C30:D30"/>
    <mergeCell ref="C31:D31"/>
    <mergeCell ref="C33:D33"/>
    <mergeCell ref="C34:D34"/>
    <mergeCell ref="C35:D35"/>
    <mergeCell ref="L32:M32"/>
    <mergeCell ref="L34:M34"/>
    <mergeCell ref="L33:M33"/>
    <mergeCell ref="L37:M37"/>
    <mergeCell ref="L35:M35"/>
    <mergeCell ref="N36:Q36"/>
    <mergeCell ref="N37:Q37"/>
    <mergeCell ref="E40:G40"/>
    <mergeCell ref="E42:G42"/>
    <mergeCell ref="E44:G44"/>
    <mergeCell ref="E39:G39"/>
    <mergeCell ref="L40:N40"/>
    <mergeCell ref="L42:N42"/>
    <mergeCell ref="L44:N44"/>
    <mergeCell ref="L39:N39"/>
  </mergeCells>
  <phoneticPr fontId="0" type="noConversion"/>
  <conditionalFormatting sqref="C35:D35">
    <cfRule type="expression" dxfId="17" priority="1" stopIfTrue="1">
      <formula>AND(ISNUMBER($C$35),$C$35&lt;80)</formula>
    </cfRule>
    <cfRule type="expression" dxfId="16" priority="2" stopIfTrue="1">
      <formula>AND(ISNUMBER($C$35),$C$35&gt;120)</formula>
    </cfRule>
  </conditionalFormatting>
  <conditionalFormatting sqref="L35:M35">
    <cfRule type="expression" dxfId="15" priority="3" stopIfTrue="1">
      <formula>AND(ISNUMBER($L$35),$L$35&lt;2.25)</formula>
    </cfRule>
    <cfRule type="expression" dxfId="14" priority="4" stopIfTrue="1">
      <formula>AND(ISNUMBER($L$35),$L$35&gt;2.75)</formula>
    </cfRule>
  </conditionalFormatting>
  <conditionalFormatting sqref="L34:M34">
    <cfRule type="expression" dxfId="13" priority="5" stopIfTrue="1">
      <formula>AND(ISNUMBER($L$34),$L$34&lt;9)</formula>
    </cfRule>
    <cfRule type="expression" dxfId="12" priority="6" stopIfTrue="1">
      <formula>AND(ISNUMBER($L$34),$L$34&gt;11)</formula>
    </cfRule>
  </conditionalFormatting>
  <printOptions horizontalCentered="1" verticalCentered="1"/>
  <pageMargins left="0.25" right="0.25" top="0.75" bottom="0.5" header="0.25" footer="0.25"/>
  <pageSetup scale="96" orientation="portrait" blackAndWhite="1" r:id="rId1"/>
  <headerFooter alignWithMargins="0">
    <oddHeader>&amp;CSpreadsheet for U.S. EPA Method 201A - Determination of Filterable PM10 and PM2.5 Emissions
&amp;12TEST RESULTS and DATA ANALYSIS SHEET</oddHeader>
    <oddFooter>&amp;CCopyright 2017 by Environmental Supply Company, Inc.</oddFooter>
  </headerFooter>
  <colBreaks count="1" manualBreakCount="1">
    <brk id="19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1442"/>
  <sheetViews>
    <sheetView zoomScaleNormal="100" workbookViewId="0">
      <selection activeCell="A10" sqref="A10:J10"/>
    </sheetView>
  </sheetViews>
  <sheetFormatPr defaultColWidth="6.28515625" defaultRowHeight="15" customHeight="1"/>
  <cols>
    <col min="1" max="1" width="1" style="99" customWidth="1"/>
    <col min="2" max="8" width="6.28515625" style="197" customWidth="1"/>
    <col min="9" max="9" width="6.42578125" style="197" customWidth="1"/>
    <col min="10" max="11" width="6.28515625" style="197" customWidth="1"/>
    <col min="12" max="12" width="7.42578125" style="197" customWidth="1"/>
    <col min="13" max="16" width="6.28515625" style="197" customWidth="1"/>
    <col min="17" max="17" width="10.7109375" style="197" customWidth="1"/>
    <col min="18" max="18" width="1.140625" style="197" customWidth="1"/>
    <col min="19" max="19" width="6.28515625" style="99" customWidth="1"/>
    <col min="20" max="20" width="1" style="99" customWidth="1"/>
    <col min="21" max="25" width="8.7109375" style="99" customWidth="1"/>
    <col min="26" max="26" width="8.7109375" style="135" customWidth="1"/>
    <col min="27" max="28" width="8.7109375" style="99" customWidth="1"/>
    <col min="29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98"/>
      <c r="S1" s="47"/>
      <c r="T1" s="47"/>
      <c r="U1" s="47"/>
    </row>
    <row r="2" spans="1:26" ht="15" customHeight="1">
      <c r="A2" s="102"/>
      <c r="B2" s="48"/>
      <c r="C2" s="16" t="s">
        <v>52</v>
      </c>
      <c r="D2" s="463" t="str">
        <f>IF(ISTEXT('Pre-Test'!D2:H2),'Pre-Test'!D2:H2,"")</f>
        <v/>
      </c>
      <c r="E2" s="463"/>
      <c r="F2" s="463"/>
      <c r="G2" s="463"/>
      <c r="H2" s="463"/>
      <c r="I2" s="48"/>
      <c r="J2" s="16" t="s">
        <v>0</v>
      </c>
      <c r="K2" s="591" t="str">
        <f>IF(ISNUMBER('Run 2'!K2),'Run 2'!K2,"")</f>
        <v/>
      </c>
      <c r="L2" s="591"/>
      <c r="M2" s="48"/>
      <c r="N2" s="16" t="s">
        <v>54</v>
      </c>
      <c r="O2" s="598" t="str">
        <f>IF(ISTEXT('Run 2'!O2),'Run 2'!O2,"")</f>
        <v/>
      </c>
      <c r="P2" s="599"/>
      <c r="Q2" s="600"/>
      <c r="R2" s="37"/>
      <c r="S2" s="47"/>
      <c r="T2" s="47"/>
      <c r="U2" s="47"/>
    </row>
    <row r="3" spans="1:26" ht="15" customHeight="1">
      <c r="A3" s="102"/>
      <c r="B3" s="48"/>
      <c r="C3" s="16" t="s">
        <v>53</v>
      </c>
      <c r="D3" s="592" t="str">
        <f>IF(ISNUMBER('Run 2'!D3),'Run 2'!D3,"")</f>
        <v/>
      </c>
      <c r="E3" s="592"/>
      <c r="F3" s="48"/>
      <c r="G3" s="48"/>
      <c r="H3" s="48"/>
      <c r="I3" s="48"/>
      <c r="J3" s="16" t="s">
        <v>1</v>
      </c>
      <c r="K3" s="591" t="str">
        <f>IF(ISNUMBER('Run 2'!K3),'Run 2'!K3,"")</f>
        <v/>
      </c>
      <c r="L3" s="591"/>
      <c r="M3" s="48"/>
      <c r="N3" s="16" t="s">
        <v>55</v>
      </c>
      <c r="O3" s="601" t="str">
        <f>IF(ISTEXT('Pre-Test'!P3),'Pre-Test'!P3,"")</f>
        <v/>
      </c>
      <c r="P3" s="602"/>
      <c r="Q3" s="603"/>
      <c r="R3" s="37"/>
      <c r="S3" s="47"/>
      <c r="T3" s="47"/>
      <c r="U3" s="47"/>
    </row>
    <row r="4" spans="1:26" ht="9.75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37"/>
      <c r="S4" s="47"/>
      <c r="T4" s="47"/>
      <c r="U4" s="47"/>
    </row>
    <row r="5" spans="1:26" ht="15" customHeight="1" thickBot="1">
      <c r="A5" s="102"/>
      <c r="B5" s="369" t="s">
        <v>41</v>
      </c>
      <c r="C5" s="370"/>
      <c r="D5" s="370"/>
      <c r="E5" s="370"/>
      <c r="F5" s="369" t="s">
        <v>128</v>
      </c>
      <c r="G5" s="370"/>
      <c r="H5" s="370"/>
      <c r="I5" s="370"/>
      <c r="J5" s="528" t="s">
        <v>42</v>
      </c>
      <c r="K5" s="529"/>
      <c r="L5" s="529"/>
      <c r="M5" s="596"/>
      <c r="N5" s="369" t="s">
        <v>141</v>
      </c>
      <c r="O5" s="370"/>
      <c r="P5" s="370"/>
      <c r="Q5" s="371"/>
      <c r="R5" s="104"/>
      <c r="T5" s="135"/>
      <c r="Z5" s="99"/>
    </row>
    <row r="6" spans="1:26" ht="15" customHeight="1" thickBot="1">
      <c r="A6" s="102"/>
      <c r="B6" s="97"/>
      <c r="C6" s="20" t="s">
        <v>30</v>
      </c>
      <c r="D6" s="128" t="str">
        <f>IF(ISNUMBER(Bwse),Bwse,"-")</f>
        <v>-</v>
      </c>
      <c r="E6" s="33" t="s">
        <v>62</v>
      </c>
      <c r="F6" s="97"/>
      <c r="G6" s="20" t="s">
        <v>5</v>
      </c>
      <c r="H6" s="274" t="str">
        <f>IF(ISNUMBER(COO),COO,"-")</f>
        <v>-</v>
      </c>
      <c r="I6" s="33" t="s">
        <v>6</v>
      </c>
      <c r="J6" s="97"/>
      <c r="K6" s="20" t="s">
        <v>37</v>
      </c>
      <c r="L6" s="367" t="str">
        <f>IF(ISTEXT(MB),MB,"-")</f>
        <v>-</v>
      </c>
      <c r="M6" s="368"/>
      <c r="N6" s="593"/>
      <c r="O6" s="594"/>
      <c r="P6" s="594"/>
      <c r="Q6" s="595"/>
      <c r="R6" s="104"/>
      <c r="T6" s="135"/>
      <c r="Z6" s="99"/>
    </row>
    <row r="7" spans="1:26" ht="15" customHeight="1">
      <c r="A7" s="102"/>
      <c r="B7" s="102"/>
      <c r="C7" s="16" t="s">
        <v>31</v>
      </c>
      <c r="D7" s="115" t="str">
        <f>IF(ISNUMBER(Pbar_2),Pbar_2,"-")</f>
        <v>-</v>
      </c>
      <c r="E7" s="34" t="s">
        <v>4</v>
      </c>
      <c r="F7" s="102"/>
      <c r="G7" s="16" t="s">
        <v>7</v>
      </c>
      <c r="H7" s="215" t="str">
        <f>IF(ISNUMBER(OO),OO,"-")</f>
        <v>-</v>
      </c>
      <c r="I7" s="35" t="s">
        <v>6</v>
      </c>
      <c r="J7" s="102"/>
      <c r="K7" s="94" t="s">
        <v>35</v>
      </c>
      <c r="L7" s="204" t="str">
        <f>IF(ISNUMBER(Y),Y,"-")</f>
        <v>-</v>
      </c>
      <c r="M7" s="48"/>
      <c r="N7" s="275"/>
      <c r="O7" s="93" t="s">
        <v>166</v>
      </c>
      <c r="P7" s="276" t="str">
        <f>dP_2</f>
        <v>-</v>
      </c>
      <c r="Q7" s="34" t="s">
        <v>50</v>
      </c>
      <c r="R7" s="104"/>
      <c r="T7" s="135"/>
      <c r="Z7" s="99"/>
    </row>
    <row r="8" spans="1:26" ht="15" customHeight="1">
      <c r="A8" s="102"/>
      <c r="B8" s="102"/>
      <c r="C8" s="16" t="s">
        <v>32</v>
      </c>
      <c r="D8" s="115" t="str">
        <f>IF(ISNUMBER(Pg_2),Pg_2,"-")</f>
        <v>-</v>
      </c>
      <c r="E8" s="8" t="s">
        <v>50</v>
      </c>
      <c r="F8" s="102"/>
      <c r="G8" s="16" t="s">
        <v>27</v>
      </c>
      <c r="H8" s="115" t="str">
        <f>NN</f>
        <v>-</v>
      </c>
      <c r="I8" s="35" t="s">
        <v>6</v>
      </c>
      <c r="J8" s="102"/>
      <c r="K8" s="117" t="s">
        <v>36</v>
      </c>
      <c r="L8" s="204" t="str">
        <f>IF(ISNUMBER(dHa),dHa,"-")</f>
        <v>-</v>
      </c>
      <c r="M8" s="8" t="s">
        <v>50</v>
      </c>
      <c r="N8" s="277"/>
      <c r="O8" s="94" t="s">
        <v>167</v>
      </c>
      <c r="P8" s="278" t="str">
        <f>Tm_2</f>
        <v>-</v>
      </c>
      <c r="Q8" s="104" t="s">
        <v>140</v>
      </c>
      <c r="R8" s="104"/>
      <c r="T8" s="135"/>
      <c r="Z8" s="99"/>
    </row>
    <row r="9" spans="1:26" ht="15" customHeight="1">
      <c r="A9" s="102"/>
      <c r="B9" s="102"/>
      <c r="C9" s="16" t="s">
        <v>33</v>
      </c>
      <c r="D9" s="115" t="str">
        <f>Ps_2</f>
        <v>-</v>
      </c>
      <c r="E9" s="34" t="s">
        <v>4</v>
      </c>
      <c r="F9" s="102"/>
      <c r="G9" s="16" t="s">
        <v>2</v>
      </c>
      <c r="H9" s="215" t="str">
        <f>Md</f>
        <v>-</v>
      </c>
      <c r="I9" s="34" t="s">
        <v>3</v>
      </c>
      <c r="J9" s="122" t="s">
        <v>84</v>
      </c>
      <c r="K9" s="204" t="str">
        <f>IF(ISNUMBER(Cpp),Cpp,"-")</f>
        <v>-</v>
      </c>
      <c r="L9" s="124" t="s">
        <v>95</v>
      </c>
      <c r="M9" s="210" t="str">
        <f>IF(OR(ISNUMBER('Pre-Test'!R11),ISTEXT('Pre-Test'!R11)),'Pre-Test'!R11,"-")</f>
        <v>-</v>
      </c>
      <c r="N9" s="277"/>
      <c r="O9" s="94" t="s">
        <v>168</v>
      </c>
      <c r="P9" s="278" t="str">
        <f>Ts_2</f>
        <v>-</v>
      </c>
      <c r="Q9" s="104" t="s">
        <v>140</v>
      </c>
      <c r="R9" s="104"/>
      <c r="T9" s="135"/>
      <c r="Z9" s="99"/>
    </row>
    <row r="10" spans="1:26" ht="15" customHeight="1" thickBot="1">
      <c r="A10" s="102"/>
      <c r="B10" s="279"/>
      <c r="C10" s="280" t="s">
        <v>38</v>
      </c>
      <c r="D10" s="219" t="str">
        <f>IF(ISNUMBER(A),A,"-")</f>
        <v>-</v>
      </c>
      <c r="E10" s="67" t="s">
        <v>39</v>
      </c>
      <c r="F10" s="281"/>
      <c r="G10" s="280" t="s">
        <v>226</v>
      </c>
      <c r="H10" s="115" t="str">
        <f>IF(ISNUMBER(Bws_2),Md*(1-Bws_2)+18*Bws_2,"-")</f>
        <v>-</v>
      </c>
      <c r="I10" s="66" t="s">
        <v>3</v>
      </c>
      <c r="J10" s="122" t="s">
        <v>34</v>
      </c>
      <c r="K10" s="214" t="str">
        <f>IF(ISNUMBER(Cp),Cp,"-")</f>
        <v>-</v>
      </c>
      <c r="L10" s="124" t="s">
        <v>95</v>
      </c>
      <c r="M10" s="210" t="str">
        <f>IF(OR(ISNUMBER('Pre-Test'!R11),ISTEXT('Pre-Test'!R11)),'Pre-Test'!R11,"-")</f>
        <v>-</v>
      </c>
      <c r="N10" s="277"/>
      <c r="O10" s="94" t="s">
        <v>169</v>
      </c>
      <c r="P10" s="282" t="str">
        <f>dH_2</f>
        <v>-</v>
      </c>
      <c r="Q10" s="34" t="s">
        <v>50</v>
      </c>
      <c r="R10" s="104"/>
      <c r="T10" s="47"/>
      <c r="U10" s="47"/>
      <c r="Z10" s="99"/>
    </row>
    <row r="11" spans="1:26" ht="15" customHeight="1" thickBot="1">
      <c r="A11" s="102"/>
      <c r="B11" s="131"/>
      <c r="C11" s="26" t="s">
        <v>40</v>
      </c>
      <c r="D11" s="130" t="str">
        <f>IF(ISNUMBER(N),N,"-")</f>
        <v>-</v>
      </c>
      <c r="E11" s="126" t="s">
        <v>51</v>
      </c>
      <c r="F11" s="402" t="s">
        <v>139</v>
      </c>
      <c r="G11" s="403"/>
      <c r="H11" s="283" t="str">
        <f>Time_2</f>
        <v>-</v>
      </c>
      <c r="I11" s="126" t="s">
        <v>80</v>
      </c>
      <c r="J11" s="131"/>
      <c r="K11" s="26" t="s">
        <v>100</v>
      </c>
      <c r="L11" s="284" t="str">
        <f>IF(ISNUMBER(Dn),Dn,"-")</f>
        <v>-</v>
      </c>
      <c r="M11" s="285" t="s">
        <v>49</v>
      </c>
      <c r="N11" s="97"/>
      <c r="O11" s="20" t="s">
        <v>246</v>
      </c>
      <c r="P11" s="110">
        <f>IF(ISNUMBER(Tstd),Tstd,"-")</f>
        <v>528</v>
      </c>
      <c r="Q11" s="98" t="s">
        <v>140</v>
      </c>
      <c r="R11" s="104"/>
      <c r="S11" s="582"/>
      <c r="T11" s="47"/>
      <c r="U11" s="47"/>
      <c r="Z11" s="99"/>
    </row>
    <row r="12" spans="1:26" ht="15" customHeight="1" thickBot="1">
      <c r="A12" s="102"/>
      <c r="B12" s="47"/>
      <c r="C12" s="16"/>
      <c r="D12" s="86"/>
      <c r="E12" s="47"/>
      <c r="F12" s="18"/>
      <c r="G12" s="68"/>
      <c r="H12" s="286"/>
      <c r="I12" s="47"/>
      <c r="J12" s="47"/>
      <c r="K12" s="16"/>
      <c r="L12" s="86"/>
      <c r="M12" s="287"/>
      <c r="N12" s="131"/>
      <c r="O12" s="21" t="s">
        <v>247</v>
      </c>
      <c r="P12" s="288">
        <f>IF(ISNUMBER(Pstd),Pstd,"-")</f>
        <v>29.92</v>
      </c>
      <c r="Q12" s="36" t="s">
        <v>4</v>
      </c>
      <c r="R12" s="104"/>
      <c r="S12" s="582"/>
      <c r="T12" s="47"/>
      <c r="U12" s="47"/>
      <c r="Z12" s="99"/>
    </row>
    <row r="13" spans="1:26" ht="9" customHeight="1" thickBot="1">
      <c r="A13" s="102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104"/>
      <c r="S13" s="582"/>
      <c r="T13" s="47"/>
      <c r="U13" s="47"/>
      <c r="Z13" s="99"/>
    </row>
    <row r="14" spans="1:26" ht="15" customHeight="1" thickBot="1">
      <c r="A14" s="102"/>
      <c r="B14" s="534" t="s">
        <v>241</v>
      </c>
      <c r="C14" s="535"/>
      <c r="D14" s="535"/>
      <c r="E14" s="535"/>
      <c r="F14" s="576"/>
      <c r="G14" s="577" t="s">
        <v>242</v>
      </c>
      <c r="H14" s="578"/>
      <c r="I14" s="578"/>
      <c r="J14" s="578"/>
      <c r="K14" s="579"/>
      <c r="L14" s="534" t="s">
        <v>142</v>
      </c>
      <c r="M14" s="535"/>
      <c r="N14" s="535"/>
      <c r="O14" s="535"/>
      <c r="P14" s="535"/>
      <c r="Q14" s="576"/>
      <c r="R14" s="104"/>
      <c r="S14" s="582"/>
      <c r="T14" s="47"/>
      <c r="U14" s="47"/>
      <c r="Z14" s="99"/>
    </row>
    <row r="15" spans="1:26" ht="15" customHeight="1">
      <c r="A15" s="102"/>
      <c r="B15" s="569" t="s">
        <v>130</v>
      </c>
      <c r="C15" s="427"/>
      <c r="D15" s="580"/>
      <c r="E15" s="580"/>
      <c r="F15" s="78" t="s">
        <v>129</v>
      </c>
      <c r="G15" s="569" t="s">
        <v>131</v>
      </c>
      <c r="H15" s="427"/>
      <c r="I15" s="580"/>
      <c r="J15" s="580"/>
      <c r="K15" s="98" t="s">
        <v>129</v>
      </c>
      <c r="L15" s="78"/>
      <c r="M15" s="78"/>
      <c r="N15" s="20" t="s">
        <v>134</v>
      </c>
      <c r="O15" s="572"/>
      <c r="P15" s="572"/>
      <c r="Q15" s="98" t="s">
        <v>138</v>
      </c>
      <c r="R15" s="104"/>
      <c r="S15" s="47"/>
      <c r="T15" s="47"/>
      <c r="Z15" s="99"/>
    </row>
    <row r="16" spans="1:26" ht="15" customHeight="1">
      <c r="A16" s="102"/>
      <c r="B16" s="570" t="s">
        <v>222</v>
      </c>
      <c r="C16" s="571"/>
      <c r="D16" s="584"/>
      <c r="E16" s="584"/>
      <c r="F16" s="47" t="s">
        <v>129</v>
      </c>
      <c r="G16" s="570" t="s">
        <v>219</v>
      </c>
      <c r="H16" s="382"/>
      <c r="I16" s="584"/>
      <c r="J16" s="584"/>
      <c r="K16" s="104" t="s">
        <v>129</v>
      </c>
      <c r="L16" s="47"/>
      <c r="M16" s="47"/>
      <c r="N16" s="94" t="s">
        <v>192</v>
      </c>
      <c r="O16" s="581"/>
      <c r="P16" s="581"/>
      <c r="Q16" s="104" t="s">
        <v>138</v>
      </c>
      <c r="R16" s="104"/>
      <c r="S16" s="47"/>
      <c r="T16" s="47"/>
      <c r="Z16" s="99"/>
    </row>
    <row r="17" spans="1:31" ht="15" customHeight="1">
      <c r="A17" s="102"/>
      <c r="B17" s="570" t="s">
        <v>152</v>
      </c>
      <c r="C17" s="571"/>
      <c r="D17" s="581"/>
      <c r="E17" s="581"/>
      <c r="F17" s="47" t="s">
        <v>135</v>
      </c>
      <c r="G17" s="570" t="s">
        <v>147</v>
      </c>
      <c r="H17" s="382"/>
      <c r="I17" s="581"/>
      <c r="J17" s="581"/>
      <c r="K17" s="104" t="s">
        <v>135</v>
      </c>
      <c r="L17" s="47"/>
      <c r="M17" s="47"/>
      <c r="N17" s="94" t="s">
        <v>157</v>
      </c>
      <c r="O17" s="575" t="str">
        <f>IF(ISNUMBER(O15),O15-O16,"-")</f>
        <v>-</v>
      </c>
      <c r="P17" s="575"/>
      <c r="Q17" s="104" t="s">
        <v>138</v>
      </c>
      <c r="R17" s="104"/>
      <c r="S17" s="47"/>
      <c r="T17" s="47"/>
      <c r="Z17" s="99"/>
    </row>
    <row r="18" spans="1:31" ht="15" customHeight="1">
      <c r="A18" s="102"/>
      <c r="B18" s="570" t="s">
        <v>153</v>
      </c>
      <c r="C18" s="571"/>
      <c r="D18" s="575" t="str">
        <f>IF(ISNUMBER(D17),Ca_2*D17*$O$28,"-")</f>
        <v>-</v>
      </c>
      <c r="E18" s="575"/>
      <c r="F18" s="47" t="s">
        <v>129</v>
      </c>
      <c r="G18" s="570" t="s">
        <v>148</v>
      </c>
      <c r="H18" s="382"/>
      <c r="I18" s="575" t="str">
        <f>IF(ISNUMBER(I17),Ca_2*I17*$O$28,"-")</f>
        <v>-</v>
      </c>
      <c r="J18" s="575"/>
      <c r="K18" s="104" t="s">
        <v>129</v>
      </c>
      <c r="L18" s="47"/>
      <c r="M18" s="47"/>
      <c r="N18" s="94" t="s">
        <v>158</v>
      </c>
      <c r="O18" s="583" t="str">
        <f>IF(ISNUMBER(O17),0.0026673*Tstd/Pstd*O17,"-")</f>
        <v>-</v>
      </c>
      <c r="P18" s="583"/>
      <c r="Q18" s="104" t="s">
        <v>81</v>
      </c>
      <c r="R18" s="104"/>
      <c r="S18" s="47"/>
      <c r="T18" s="47"/>
      <c r="U18" s="47"/>
      <c r="Z18" s="99"/>
    </row>
    <row r="19" spans="1:31" ht="15" customHeight="1" thickBot="1">
      <c r="A19" s="102"/>
      <c r="B19" s="586" t="s">
        <v>154</v>
      </c>
      <c r="C19" s="403"/>
      <c r="D19" s="573" t="str">
        <f>IF(ISNUMBER(D15),D15-D16-(IF(D18&gt;0.000001*D17*$O$28,0.000001*D17*$O$28,D18)),"-")</f>
        <v>-</v>
      </c>
      <c r="E19" s="573"/>
      <c r="F19" s="125" t="s">
        <v>129</v>
      </c>
      <c r="G19" s="586" t="s">
        <v>149</v>
      </c>
      <c r="H19" s="403"/>
      <c r="I19" s="573" t="str">
        <f>IF(ISNUMBER(I15),I15-I16-(IF(I18&gt;0.000001*I17*$O$28,0.000001*I17*$O$28,I18)),"-")</f>
        <v>-</v>
      </c>
      <c r="J19" s="573"/>
      <c r="K19" s="126" t="s">
        <v>129</v>
      </c>
      <c r="L19" s="47"/>
      <c r="M19" s="47"/>
      <c r="N19" s="16" t="s">
        <v>136</v>
      </c>
      <c r="O19" s="584"/>
      <c r="P19" s="584"/>
      <c r="Q19" s="104" t="s">
        <v>135</v>
      </c>
      <c r="R19" s="104"/>
      <c r="S19" s="47"/>
      <c r="T19" s="47"/>
      <c r="U19" s="47"/>
      <c r="Z19" s="99"/>
    </row>
    <row r="20" spans="1:31" ht="15" customHeight="1" thickBot="1">
      <c r="A20" s="102"/>
      <c r="B20" s="534" t="s">
        <v>240</v>
      </c>
      <c r="C20" s="535"/>
      <c r="D20" s="535"/>
      <c r="E20" s="535"/>
      <c r="F20" s="576"/>
      <c r="G20" s="534" t="s">
        <v>143</v>
      </c>
      <c r="H20" s="535"/>
      <c r="I20" s="535"/>
      <c r="J20" s="535"/>
      <c r="K20" s="576"/>
      <c r="L20" s="102"/>
      <c r="M20" s="47"/>
      <c r="N20" s="289" t="s">
        <v>159</v>
      </c>
      <c r="O20" s="583" t="str">
        <f>IF(ISNUMBER(O19),0.0026673*Tstd/Pstd*O19,"-")</f>
        <v>-</v>
      </c>
      <c r="P20" s="583"/>
      <c r="Q20" s="104" t="s">
        <v>81</v>
      </c>
      <c r="R20" s="104"/>
      <c r="S20" s="47"/>
      <c r="T20" s="47"/>
      <c r="U20" s="47"/>
      <c r="Z20" s="99"/>
    </row>
    <row r="21" spans="1:31" ht="15" customHeight="1">
      <c r="A21" s="102"/>
      <c r="B21" s="569" t="s">
        <v>132</v>
      </c>
      <c r="C21" s="427"/>
      <c r="D21" s="572"/>
      <c r="E21" s="572"/>
      <c r="F21" s="98" t="s">
        <v>129</v>
      </c>
      <c r="G21" s="569" t="s">
        <v>133</v>
      </c>
      <c r="H21" s="427"/>
      <c r="I21" s="572"/>
      <c r="J21" s="572"/>
      <c r="K21" s="98" t="s">
        <v>129</v>
      </c>
      <c r="L21" s="47"/>
      <c r="M21" s="47"/>
      <c r="N21" s="289"/>
      <c r="O21" s="290"/>
      <c r="P21" s="290"/>
      <c r="Q21" s="104"/>
      <c r="R21" s="104"/>
      <c r="S21" s="47"/>
      <c r="T21" s="47"/>
      <c r="U21" s="47"/>
      <c r="Z21" s="99"/>
    </row>
    <row r="22" spans="1:31" ht="15" customHeight="1">
      <c r="A22" s="102"/>
      <c r="B22" s="570" t="s">
        <v>220</v>
      </c>
      <c r="C22" s="382"/>
      <c r="D22" s="581"/>
      <c r="E22" s="581"/>
      <c r="F22" s="104" t="s">
        <v>129</v>
      </c>
      <c r="G22" s="570" t="s">
        <v>221</v>
      </c>
      <c r="H22" s="382"/>
      <c r="I22" s="581"/>
      <c r="J22" s="581"/>
      <c r="K22" s="104" t="s">
        <v>129</v>
      </c>
      <c r="L22" s="47"/>
      <c r="M22" s="47"/>
      <c r="N22" s="94" t="s">
        <v>160</v>
      </c>
      <c r="O22" s="587" t="str">
        <f>IF(ISNUMBER(O20),O18+O20,"-")</f>
        <v>-</v>
      </c>
      <c r="P22" s="587"/>
      <c r="Q22" s="104" t="s">
        <v>81</v>
      </c>
      <c r="R22" s="104"/>
      <c r="S22" s="47"/>
      <c r="T22" s="47"/>
      <c r="Z22" s="99"/>
    </row>
    <row r="23" spans="1:31" ht="15" customHeight="1">
      <c r="A23" s="102"/>
      <c r="B23" s="570" t="s">
        <v>155</v>
      </c>
      <c r="C23" s="382"/>
      <c r="D23" s="574"/>
      <c r="E23" s="574"/>
      <c r="F23" s="104" t="s">
        <v>135</v>
      </c>
      <c r="G23" s="570" t="s">
        <v>150</v>
      </c>
      <c r="H23" s="382"/>
      <c r="I23" s="574"/>
      <c r="J23" s="574"/>
      <c r="K23" s="104" t="s">
        <v>135</v>
      </c>
      <c r="L23" s="47"/>
      <c r="M23" s="47"/>
      <c r="N23" s="94" t="s">
        <v>161</v>
      </c>
      <c r="O23" s="583" t="str">
        <f>IF(ISNUMBER(Vws_2),Vws_2/(Vws_2+Vms_2),"-")</f>
        <v>-</v>
      </c>
      <c r="P23" s="583"/>
      <c r="Q23" s="104" t="s">
        <v>223</v>
      </c>
      <c r="R23" s="104"/>
      <c r="S23" s="47"/>
      <c r="T23" s="47"/>
      <c r="Z23" s="99"/>
    </row>
    <row r="24" spans="1:31" ht="15" customHeight="1" thickBot="1">
      <c r="A24" s="102"/>
      <c r="B24" s="570" t="s">
        <v>156</v>
      </c>
      <c r="C24" s="382"/>
      <c r="D24" s="575" t="str">
        <f>IF(ISNUMBER(D23),Ca_2*D23*$O$28,"-")</f>
        <v>-</v>
      </c>
      <c r="E24" s="575"/>
      <c r="F24" s="104" t="s">
        <v>129</v>
      </c>
      <c r="G24" s="570" t="s">
        <v>151</v>
      </c>
      <c r="H24" s="382"/>
      <c r="I24" s="575" t="str">
        <f>IF(ISNUMBER(I23),Ca_2*I23*$O$28,"-")</f>
        <v>-</v>
      </c>
      <c r="J24" s="575"/>
      <c r="K24" s="104" t="s">
        <v>129</v>
      </c>
      <c r="L24" s="125"/>
      <c r="M24" s="125"/>
      <c r="N24" s="95" t="s">
        <v>162</v>
      </c>
      <c r="O24" s="597" t="str">
        <f>IF(ISNUMBER(Bws_2),100*Bws_2,"-")</f>
        <v>-</v>
      </c>
      <c r="P24" s="597"/>
      <c r="Q24" s="126" t="s">
        <v>6</v>
      </c>
      <c r="R24" s="104"/>
      <c r="S24" s="47"/>
      <c r="T24" s="47"/>
      <c r="Z24" s="99"/>
    </row>
    <row r="25" spans="1:31" ht="15" customHeight="1" thickBot="1">
      <c r="A25" s="102"/>
      <c r="B25" s="586" t="s">
        <v>218</v>
      </c>
      <c r="C25" s="403"/>
      <c r="D25" s="573" t="str">
        <f>IF(ISNUMBER(D21),D21-D22-(IF(D24&gt;0.000001*D23*$O$28,0.000001*D23*$O$28,D24)),"-")</f>
        <v>-</v>
      </c>
      <c r="E25" s="573"/>
      <c r="F25" s="126" t="s">
        <v>129</v>
      </c>
      <c r="G25" s="586" t="s">
        <v>217</v>
      </c>
      <c r="H25" s="403"/>
      <c r="I25" s="573" t="str">
        <f>IF(ISNUMBER(I21),I21-I22-(IF(I24&gt;0.000001*I23*$O$28,0.000001*I23*$O$28,I24)),"-")</f>
        <v>-</v>
      </c>
      <c r="J25" s="573"/>
      <c r="K25" s="126" t="s">
        <v>129</v>
      </c>
      <c r="L25" s="535" t="s">
        <v>144</v>
      </c>
      <c r="M25" s="535"/>
      <c r="N25" s="535"/>
      <c r="O25" s="535"/>
      <c r="P25" s="535"/>
      <c r="Q25" s="576"/>
      <c r="R25" s="104"/>
      <c r="S25" s="47"/>
      <c r="T25" s="47"/>
      <c r="V25" s="568"/>
      <c r="W25" s="568"/>
      <c r="X25" s="568"/>
      <c r="Y25" s="568"/>
      <c r="Z25" s="568"/>
      <c r="AA25" s="568"/>
      <c r="AB25" s="568"/>
      <c r="AC25" s="568"/>
      <c r="AD25" s="568"/>
      <c r="AE25" s="568"/>
    </row>
    <row r="26" spans="1:31" ht="15" customHeight="1">
      <c r="A26" s="102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7"/>
      <c r="M26" s="78"/>
      <c r="N26" s="93" t="s">
        <v>137</v>
      </c>
      <c r="O26" s="580"/>
      <c r="P26" s="580"/>
      <c r="Q26" s="98" t="s">
        <v>129</v>
      </c>
      <c r="R26" s="104"/>
      <c r="S26" s="47"/>
      <c r="T26" s="47"/>
      <c r="V26" s="568"/>
      <c r="W26" s="568"/>
      <c r="X26" s="568"/>
      <c r="Y26" s="568"/>
      <c r="Z26" s="568"/>
      <c r="AA26" s="568"/>
      <c r="AB26" s="568"/>
      <c r="AC26" s="568"/>
      <c r="AD26" s="568"/>
      <c r="AE26" s="568"/>
    </row>
    <row r="27" spans="1:31" ht="15" customHeight="1">
      <c r="A27" s="102"/>
      <c r="B27" s="588" t="s">
        <v>193</v>
      </c>
      <c r="C27" s="589"/>
      <c r="D27" s="589"/>
      <c r="E27" s="589"/>
      <c r="F27" s="589"/>
      <c r="G27" s="589"/>
      <c r="H27" s="589"/>
      <c r="I27" s="589"/>
      <c r="J27" s="589"/>
      <c r="L27" s="102"/>
      <c r="M27" s="79"/>
      <c r="N27" s="94" t="s">
        <v>255</v>
      </c>
      <c r="O27" s="584"/>
      <c r="P27" s="584"/>
      <c r="Q27" s="104" t="s">
        <v>129</v>
      </c>
      <c r="R27" s="104"/>
      <c r="S27" s="47"/>
      <c r="T27" s="47"/>
      <c r="Z27" s="99"/>
    </row>
    <row r="28" spans="1:31" ht="15" customHeight="1" thickBot="1">
      <c r="A28" s="102"/>
      <c r="B28" s="590"/>
      <c r="C28" s="590"/>
      <c r="D28" s="590"/>
      <c r="E28" s="590"/>
      <c r="F28" s="590"/>
      <c r="G28" s="590"/>
      <c r="H28" s="590"/>
      <c r="I28" s="590"/>
      <c r="J28" s="590"/>
      <c r="K28" s="47"/>
      <c r="L28" s="102"/>
      <c r="M28" s="47"/>
      <c r="N28" s="16" t="s">
        <v>163</v>
      </c>
      <c r="O28" s="581"/>
      <c r="P28" s="581"/>
      <c r="Q28" s="104" t="s">
        <v>259</v>
      </c>
      <c r="R28" s="104"/>
      <c r="S28" s="47"/>
      <c r="T28" s="47"/>
    </row>
    <row r="29" spans="1:31" ht="15" customHeight="1" thickTop="1">
      <c r="A29" s="102"/>
      <c r="B29" s="99"/>
      <c r="C29" s="99"/>
      <c r="D29" s="99"/>
      <c r="E29" s="99"/>
      <c r="F29" s="99"/>
      <c r="G29" s="47"/>
      <c r="H29" s="47"/>
      <c r="I29" s="47"/>
      <c r="J29" s="47"/>
      <c r="K29" s="47"/>
      <c r="L29" s="102"/>
      <c r="M29" s="47"/>
      <c r="N29" s="94" t="s">
        <v>164</v>
      </c>
      <c r="O29" s="584"/>
      <c r="P29" s="584"/>
      <c r="Q29" s="104" t="s">
        <v>135</v>
      </c>
      <c r="R29" s="104"/>
      <c r="S29" s="47"/>
      <c r="T29" s="47"/>
    </row>
    <row r="30" spans="1:31" ht="15" customHeight="1" thickBot="1">
      <c r="A30" s="102"/>
      <c r="B30" s="16" t="s">
        <v>190</v>
      </c>
      <c r="C30" s="562" t="str">
        <f>Vm_2</f>
        <v>-</v>
      </c>
      <c r="D30" s="562"/>
      <c r="E30" s="47" t="s">
        <v>171</v>
      </c>
      <c r="F30" s="79"/>
      <c r="G30" s="47"/>
      <c r="H30" s="47"/>
      <c r="I30" s="47"/>
      <c r="J30" s="47"/>
      <c r="K30" s="47"/>
      <c r="L30" s="131"/>
      <c r="M30" s="125"/>
      <c r="N30" s="95" t="s">
        <v>165</v>
      </c>
      <c r="O30" s="585" t="str">
        <f>IF(ISNUMBER(O29),(O26-O27)/O28/O29,"-")</f>
        <v>-</v>
      </c>
      <c r="P30" s="585"/>
      <c r="Q30" s="291" t="s">
        <v>260</v>
      </c>
      <c r="R30" s="104"/>
      <c r="S30" s="47"/>
      <c r="T30" s="47"/>
    </row>
    <row r="31" spans="1:31" ht="15" customHeight="1">
      <c r="A31" s="102"/>
      <c r="B31" s="16" t="s">
        <v>189</v>
      </c>
      <c r="C31" s="563" t="str">
        <f>IF(ISNUMBER(Vm_2),Tstd/Pstd*Y*Vm_2*(Pbar_2+dH_2/13.6)/Tm_2,"-")</f>
        <v>-</v>
      </c>
      <c r="D31" s="563"/>
      <c r="E31" s="47" t="s">
        <v>172</v>
      </c>
      <c r="F31" s="47"/>
      <c r="G31" s="47"/>
      <c r="H31" s="47"/>
      <c r="I31" s="47"/>
      <c r="J31" s="47"/>
      <c r="L31" s="47"/>
      <c r="M31" s="47"/>
      <c r="N31" s="99"/>
      <c r="O31" s="99"/>
      <c r="P31" s="99"/>
      <c r="Q31" s="47"/>
      <c r="R31" s="104"/>
    </row>
    <row r="32" spans="1:31" ht="15" customHeight="1">
      <c r="A32" s="102"/>
      <c r="B32" s="16" t="s">
        <v>188</v>
      </c>
      <c r="C32" s="562" t="str">
        <f>Vws_2</f>
        <v>-</v>
      </c>
      <c r="D32" s="562"/>
      <c r="E32" s="47" t="s">
        <v>173</v>
      </c>
      <c r="F32" s="47"/>
      <c r="G32" s="47"/>
      <c r="H32" s="47"/>
      <c r="I32" s="47"/>
      <c r="J32" s="47"/>
      <c r="K32" s="117" t="s">
        <v>179</v>
      </c>
      <c r="L32" s="567" t="str">
        <f>IF(ISNUMBER(Bws_2),-150.3162+13.4622*SQRT(Ts_2)+3861530/(Ts_2^2)+0.591123*(1-Bws_2)*OO-91.9723*Bws_2+0.0000151761*Bws_2*(Ts_2^2),"-")</f>
        <v>-</v>
      </c>
      <c r="M32" s="567"/>
      <c r="N32" s="47" t="s">
        <v>180</v>
      </c>
      <c r="O32" s="47"/>
      <c r="P32" s="47"/>
      <c r="Q32" s="47"/>
      <c r="R32" s="104"/>
    </row>
    <row r="33" spans="1:26" ht="15" customHeight="1">
      <c r="A33" s="102"/>
      <c r="B33" s="16" t="s">
        <v>187</v>
      </c>
      <c r="C33" s="564" t="str">
        <f>IF(ISNUMBER(Vms_2),Vms_2/Time_2,"-")</f>
        <v>-</v>
      </c>
      <c r="D33" s="564"/>
      <c r="E33" s="47" t="s">
        <v>174</v>
      </c>
      <c r="F33" s="47"/>
      <c r="G33" s="47"/>
      <c r="H33" s="47"/>
      <c r="I33" s="47"/>
      <c r="J33" s="47"/>
      <c r="K33" s="16" t="s">
        <v>181</v>
      </c>
      <c r="L33" s="563" t="str">
        <f>IF(ISNUMBER(Mw_2),1+0.0057193*(vis_2/Ps_2/(IF(ISNUMBER(D50IV_2),D50IV_2,2.5)))*SQRT(Ts_2/Mw_2),"-")</f>
        <v>-</v>
      </c>
      <c r="M33" s="563"/>
      <c r="N33" s="47" t="s">
        <v>191</v>
      </c>
      <c r="O33" s="47"/>
      <c r="P33" s="47"/>
      <c r="Q33" s="47"/>
      <c r="R33" s="104"/>
    </row>
    <row r="34" spans="1:26" ht="15" customHeight="1">
      <c r="A34" s="102"/>
      <c r="B34" s="16" t="s">
        <v>186</v>
      </c>
      <c r="C34" s="565" t="str">
        <f>IF(ISNUMBER(Qsst_2),Pstd/Tstd*Qsst_2*(1/(1-Bws_2))*Ts_2/Ps_2,"-")</f>
        <v>-</v>
      </c>
      <c r="D34" s="565"/>
      <c r="E34" s="47" t="s">
        <v>175</v>
      </c>
      <c r="F34" s="47"/>
      <c r="G34" s="47"/>
      <c r="H34" s="47"/>
      <c r="I34" s="79"/>
      <c r="J34" s="47"/>
      <c r="K34" s="16" t="s">
        <v>184</v>
      </c>
      <c r="L34" s="566" t="str">
        <f>IF(ISNUMBER(Mw_2),0.15625*(Ts_2/Mw_2/Ps_2)^0.2091*(vis_2/Qs_2)^0.7091,"-")</f>
        <v>-</v>
      </c>
      <c r="M34" s="566"/>
      <c r="N34" s="292" t="s">
        <v>182</v>
      </c>
      <c r="O34" s="47"/>
      <c r="P34" s="47"/>
      <c r="Q34" s="47"/>
      <c r="R34" s="104"/>
    </row>
    <row r="35" spans="1:26" ht="15" customHeight="1">
      <c r="A35" s="102"/>
      <c r="B35" s="16" t="s">
        <v>176</v>
      </c>
      <c r="C35" s="566" t="str">
        <f>IF(ISNUMBER(Vms_2),Pstd/Tstd*100*Ts_2*Vms_2/60/Vs_2/Time_2/An/Ps_2/(1-Bws_2),"-")</f>
        <v>-</v>
      </c>
      <c r="D35" s="566"/>
      <c r="E35" s="47" t="s">
        <v>177</v>
      </c>
      <c r="F35" s="47"/>
      <c r="G35" s="47"/>
      <c r="H35" s="47"/>
      <c r="I35" s="47"/>
      <c r="J35" s="47"/>
      <c r="K35" s="16" t="s">
        <v>185</v>
      </c>
      <c r="L35" s="566" t="str">
        <f>IF(ISNUMBER(Mw_2),IF(Nr_2&lt;3162,0.0024302*(vis_2/Qs_2)^1.1791*SQRT(1/Cf_2)*(Ts_2/Ps_2/Mw_2)^0.679,0.019723*(vis_2/Qs_2)^0.8058*SQRT(1/Cf_2)*(Ts_2/Ps_2/Mw_2)^0.3058),"-")</f>
        <v>-</v>
      </c>
      <c r="M35" s="566"/>
      <c r="N35" s="292" t="s">
        <v>183</v>
      </c>
      <c r="O35" s="47"/>
      <c r="P35" s="47"/>
      <c r="Q35" s="47"/>
      <c r="R35" s="104"/>
    </row>
    <row r="36" spans="1:26" ht="15" customHeight="1">
      <c r="A36" s="102"/>
      <c r="B36" s="16" t="s">
        <v>233</v>
      </c>
      <c r="C36" s="559" t="str">
        <f>IF(ISNUMBER(vis_2),864000*Ps_2*Mw_2/Ts_2*Qs_2/vis_2,"-")</f>
        <v>-</v>
      </c>
      <c r="D36" s="559"/>
      <c r="E36" s="47" t="s">
        <v>178</v>
      </c>
      <c r="F36" s="47"/>
      <c r="G36" s="47"/>
      <c r="H36" s="47"/>
      <c r="I36" s="47"/>
      <c r="J36" s="47"/>
      <c r="K36" s="16" t="s">
        <v>195</v>
      </c>
      <c r="L36" s="561" t="str">
        <f>IF(ISNUMBER(Qsw_2),(1-Bws_2)*Qsw_2,"-")</f>
        <v>-</v>
      </c>
      <c r="M36" s="561"/>
      <c r="N36" s="554" t="s">
        <v>229</v>
      </c>
      <c r="O36" s="554"/>
      <c r="P36" s="554"/>
      <c r="Q36" s="554"/>
      <c r="R36" s="104"/>
    </row>
    <row r="37" spans="1:26" ht="15" customHeight="1">
      <c r="A37" s="102"/>
      <c r="B37" s="16" t="s">
        <v>194</v>
      </c>
      <c r="C37" s="560" t="str">
        <f>IF(ISNUMBER(Mw_2),85.49*Cp*dPsqavg_2*SQRT(Ts_2/Ps_2/Mw_2),"-")</f>
        <v>-</v>
      </c>
      <c r="D37" s="560"/>
      <c r="E37" s="76" t="s">
        <v>272</v>
      </c>
      <c r="F37" s="47"/>
      <c r="G37" s="47"/>
      <c r="H37" s="47"/>
      <c r="I37" s="47"/>
      <c r="J37" s="47"/>
      <c r="K37" s="16" t="s">
        <v>196</v>
      </c>
      <c r="L37" s="561" t="str">
        <f>IF(ISNUMBER(Bws_2),3600*Vs_2*A/Pstd*Tstd*Ps_2/Ts_2,"-")</f>
        <v>-</v>
      </c>
      <c r="M37" s="561"/>
      <c r="N37" s="554" t="s">
        <v>239</v>
      </c>
      <c r="O37" s="554"/>
      <c r="P37" s="554"/>
      <c r="Q37" s="554"/>
      <c r="R37" s="104"/>
      <c r="Z37" s="99"/>
    </row>
    <row r="38" spans="1:26" ht="15" customHeight="1">
      <c r="A38" s="102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04"/>
      <c r="Z38" s="99"/>
    </row>
    <row r="39" spans="1:26" ht="15" customHeight="1">
      <c r="A39" s="102"/>
      <c r="B39" s="101"/>
      <c r="C39" s="47"/>
      <c r="D39" s="47"/>
      <c r="E39" s="492" t="s">
        <v>197</v>
      </c>
      <c r="F39" s="492"/>
      <c r="G39" s="492"/>
      <c r="H39" s="79"/>
      <c r="I39" s="47"/>
      <c r="J39" s="47"/>
      <c r="K39" s="47"/>
      <c r="L39" s="492" t="s">
        <v>200</v>
      </c>
      <c r="M39" s="492"/>
      <c r="N39" s="492"/>
      <c r="O39" s="47"/>
      <c r="P39" s="47"/>
      <c r="Q39" s="47"/>
      <c r="R39" s="104"/>
      <c r="Z39" s="99"/>
    </row>
    <row r="40" spans="1:26" ht="17.25" customHeight="1">
      <c r="A40" s="102"/>
      <c r="B40" s="101"/>
      <c r="C40" s="293"/>
      <c r="D40" s="16" t="s">
        <v>198</v>
      </c>
      <c r="E40" s="555" t="str">
        <f>IF(AND(ISNUMBER(M1_2),ISNUMBER(M4_2)),(7000/453592)*(M1_2+M4_2)/Vms_2,"-")</f>
        <v>-</v>
      </c>
      <c r="F40" s="556"/>
      <c r="G40" s="556"/>
      <c r="H40" s="47" t="s">
        <v>83</v>
      </c>
      <c r="I40" s="47"/>
      <c r="J40" s="47"/>
      <c r="K40" s="16" t="s">
        <v>198</v>
      </c>
      <c r="L40" s="557" t="str">
        <f>IF(ISNUMBER(E40),Qsd_2*E40/7000,"-")</f>
        <v>-</v>
      </c>
      <c r="M40" s="558"/>
      <c r="N40" s="558"/>
      <c r="O40" s="47" t="s">
        <v>82</v>
      </c>
      <c r="P40" s="47"/>
      <c r="Q40" s="47"/>
      <c r="R40" s="104"/>
      <c r="Z40" s="99"/>
    </row>
    <row r="41" spans="1:26" ht="6" customHeight="1">
      <c r="A41" s="102"/>
      <c r="B41" s="101"/>
      <c r="C41" s="293"/>
      <c r="D41" s="16"/>
      <c r="E41" s="294"/>
      <c r="F41" s="295"/>
      <c r="G41" s="295"/>
      <c r="H41" s="47"/>
      <c r="I41" s="47"/>
      <c r="J41" s="47"/>
      <c r="K41" s="16"/>
      <c r="L41" s="294"/>
      <c r="M41" s="295"/>
      <c r="N41" s="295"/>
      <c r="O41" s="47"/>
      <c r="P41" s="47"/>
      <c r="Q41" s="47"/>
      <c r="R41" s="104"/>
      <c r="Z41" s="99"/>
    </row>
    <row r="42" spans="1:26" ht="15" customHeight="1">
      <c r="A42" s="102"/>
      <c r="B42" s="101"/>
      <c r="C42" s="293"/>
      <c r="D42" s="16" t="s">
        <v>199</v>
      </c>
      <c r="E42" s="555" t="str">
        <f>IF(AND(ISNUMBER(M1_2),ISNUMBER(M3_2),ISNUMBER(M4_2)),(7000/453592)*(M1_2+M3_2+M4_2)/Vms_2,"-")</f>
        <v>-</v>
      </c>
      <c r="F42" s="556"/>
      <c r="G42" s="556"/>
      <c r="H42" s="47" t="s">
        <v>83</v>
      </c>
      <c r="I42" s="47"/>
      <c r="J42" s="47"/>
      <c r="K42" s="16" t="s">
        <v>199</v>
      </c>
      <c r="L42" s="557" t="str">
        <f>IF(ISNUMBER(E42),Qsd_2*E42/7000,"-")</f>
        <v>-</v>
      </c>
      <c r="M42" s="558"/>
      <c r="N42" s="558"/>
      <c r="O42" s="47" t="s">
        <v>82</v>
      </c>
      <c r="P42" s="47"/>
      <c r="Q42" s="47"/>
      <c r="R42" s="104"/>
    </row>
    <row r="43" spans="1:26" ht="6" customHeight="1">
      <c r="A43" s="102"/>
      <c r="B43" s="101"/>
      <c r="C43" s="293"/>
      <c r="D43" s="16"/>
      <c r="E43" s="294"/>
      <c r="F43" s="295"/>
      <c r="G43" s="295"/>
      <c r="H43" s="47"/>
      <c r="I43" s="47"/>
      <c r="J43" s="47"/>
      <c r="K43" s="16"/>
      <c r="L43" s="294"/>
      <c r="M43" s="295"/>
      <c r="N43" s="295"/>
      <c r="O43" s="47"/>
      <c r="P43" s="47"/>
      <c r="Q43" s="47"/>
      <c r="R43" s="104"/>
    </row>
    <row r="44" spans="1:26" ht="15" customHeight="1">
      <c r="A44" s="102"/>
      <c r="B44" s="101"/>
      <c r="C44" s="293"/>
      <c r="D44" s="16" t="s">
        <v>170</v>
      </c>
      <c r="E44" s="555" t="str">
        <f>IF(AND(ISNUMBER(M1_2),ISNUMBER(M2_2),ISNUMBER(M3_2),ISNUMBER(M4_2)),(7000/453592)*(M1_2+M2_2+M3_2+M4_2)/Vms_2,"-")</f>
        <v>-</v>
      </c>
      <c r="F44" s="556"/>
      <c r="G44" s="556"/>
      <c r="H44" s="47" t="s">
        <v>83</v>
      </c>
      <c r="I44" s="47"/>
      <c r="J44" s="47"/>
      <c r="K44" s="16" t="s">
        <v>170</v>
      </c>
      <c r="L44" s="557" t="str">
        <f>IF(ISNUMBER(E44),Qsd_2*E44/7000,"-")</f>
        <v>-</v>
      </c>
      <c r="M44" s="558"/>
      <c r="N44" s="558"/>
      <c r="O44" s="47" t="s">
        <v>82</v>
      </c>
      <c r="P44" s="47"/>
      <c r="Q44" s="47"/>
      <c r="R44" s="104"/>
      <c r="U44" s="135"/>
      <c r="Z44" s="99"/>
    </row>
    <row r="45" spans="1:26" ht="15" customHeight="1">
      <c r="A45" s="102"/>
      <c r="B45" s="10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104"/>
      <c r="U45" s="135"/>
      <c r="Z45" s="99"/>
    </row>
    <row r="46" spans="1:26" ht="15" customHeight="1">
      <c r="A46" s="102"/>
      <c r="B46" s="10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104"/>
      <c r="U46" s="135"/>
      <c r="Z46" s="99"/>
    </row>
    <row r="47" spans="1:26" ht="15" customHeight="1">
      <c r="A47" s="102"/>
      <c r="B47" s="101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104"/>
      <c r="U47" s="135"/>
      <c r="Z47" s="99"/>
    </row>
    <row r="48" spans="1:26" ht="9" customHeight="1">
      <c r="A48" s="102"/>
      <c r="B48" s="47"/>
      <c r="C48" s="79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104"/>
      <c r="S48" s="47"/>
      <c r="T48" s="47"/>
      <c r="U48" s="101"/>
      <c r="Z48" s="99"/>
    </row>
    <row r="49" spans="1:29" ht="15" customHeight="1" thickBot="1">
      <c r="A49" s="102"/>
      <c r="B49" s="125"/>
      <c r="C49" s="125"/>
      <c r="D49" s="125"/>
      <c r="E49" s="125"/>
      <c r="F49" s="125"/>
      <c r="G49" s="125"/>
      <c r="H49" s="125"/>
      <c r="I49" s="125"/>
      <c r="J49" s="47"/>
      <c r="K49" s="125"/>
      <c r="L49" s="125"/>
      <c r="M49" s="125"/>
      <c r="N49" s="125"/>
      <c r="O49" s="125"/>
      <c r="P49" s="125"/>
      <c r="Q49" s="125"/>
      <c r="R49" s="104"/>
      <c r="S49" s="47"/>
      <c r="T49" s="47"/>
      <c r="U49" s="101"/>
      <c r="Z49" s="99"/>
    </row>
    <row r="50" spans="1:29" ht="17.25" customHeight="1">
      <c r="A50" s="102"/>
      <c r="B50" s="189"/>
      <c r="C50" s="189" t="s">
        <v>76</v>
      </c>
      <c r="D50" s="190"/>
      <c r="E50" s="190"/>
      <c r="F50" s="191"/>
      <c r="G50" s="192"/>
      <c r="H50" s="193"/>
      <c r="I50" s="193"/>
      <c r="J50" s="47"/>
      <c r="K50" s="189"/>
      <c r="L50" s="189" t="s">
        <v>63</v>
      </c>
      <c r="M50" s="190"/>
      <c r="N50" s="47"/>
      <c r="O50" s="47"/>
      <c r="P50" s="47"/>
      <c r="Q50" s="47"/>
      <c r="R50" s="104"/>
      <c r="S50" s="47"/>
      <c r="T50" s="47"/>
      <c r="U50" s="101"/>
      <c r="Z50" s="99"/>
    </row>
    <row r="51" spans="1:29" ht="15" customHeight="1" thickBot="1">
      <c r="A51" s="131"/>
      <c r="B51" s="125"/>
      <c r="C51" s="125"/>
      <c r="D51" s="125"/>
      <c r="E51" s="125"/>
      <c r="F51" s="125"/>
      <c r="G51" s="125"/>
      <c r="H51" s="194"/>
      <c r="I51" s="125"/>
      <c r="J51" s="125"/>
      <c r="K51" s="125"/>
      <c r="L51" s="195"/>
      <c r="M51" s="194"/>
      <c r="N51" s="125"/>
      <c r="O51" s="125"/>
      <c r="P51" s="125"/>
      <c r="Q51" s="125"/>
      <c r="R51" s="126"/>
      <c r="S51" s="47"/>
      <c r="T51" s="47"/>
      <c r="U51" s="101"/>
      <c r="V51" s="47"/>
      <c r="Z51" s="99"/>
    </row>
    <row r="52" spans="1:29" ht="4.5" customHeight="1">
      <c r="B52" s="99"/>
      <c r="C52" s="99"/>
      <c r="D52" s="99"/>
      <c r="E52" s="47"/>
      <c r="F52" s="47"/>
      <c r="G52" s="47"/>
      <c r="H52" s="47"/>
      <c r="I52" s="47"/>
      <c r="J52" s="47"/>
      <c r="K52" s="47"/>
      <c r="L52" s="47"/>
      <c r="M52" s="47"/>
      <c r="N52" s="99"/>
      <c r="O52" s="47"/>
      <c r="P52" s="47"/>
      <c r="Q52" s="47"/>
      <c r="R52" s="47"/>
      <c r="S52" s="47"/>
      <c r="T52" s="47"/>
      <c r="U52" s="101"/>
      <c r="V52" s="47"/>
      <c r="Z52" s="99"/>
    </row>
    <row r="53" spans="1:29" ht="15" customHeight="1"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47"/>
      <c r="P53" s="47"/>
      <c r="Q53" s="47"/>
      <c r="R53" s="47"/>
      <c r="S53" s="47"/>
      <c r="T53" s="47"/>
      <c r="U53" s="101"/>
      <c r="V53" s="47"/>
      <c r="Z53" s="99"/>
    </row>
    <row r="54" spans="1:29" ht="15" customHeight="1">
      <c r="B54" s="99"/>
      <c r="C54" s="99"/>
      <c r="D54" s="99"/>
      <c r="E54" s="99"/>
      <c r="F54" s="99"/>
      <c r="G54" s="196"/>
      <c r="H54" s="99"/>
      <c r="I54" s="99"/>
      <c r="J54" s="99"/>
      <c r="K54" s="99"/>
      <c r="L54" s="99"/>
      <c r="M54" s="99"/>
      <c r="N54" s="99"/>
      <c r="O54" s="47"/>
      <c r="P54" s="47"/>
      <c r="Q54" s="47"/>
      <c r="R54" s="47"/>
      <c r="S54" s="47"/>
      <c r="T54" s="47"/>
      <c r="U54" s="101"/>
      <c r="V54" s="47"/>
      <c r="Z54" s="99"/>
    </row>
    <row r="55" spans="1:29" ht="15" customHeight="1"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47"/>
      <c r="P55" s="47"/>
      <c r="Q55" s="47"/>
      <c r="R55" s="47"/>
      <c r="S55" s="47"/>
      <c r="T55" s="47"/>
      <c r="U55" s="101"/>
      <c r="Z55" s="99"/>
    </row>
    <row r="56" spans="1:29" ht="15" customHeight="1"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47"/>
      <c r="P56" s="47"/>
      <c r="Q56" s="47"/>
      <c r="R56" s="47"/>
      <c r="S56" s="47"/>
      <c r="T56" s="47"/>
      <c r="U56" s="47"/>
    </row>
    <row r="57" spans="1:29" ht="15" customHeight="1"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47"/>
      <c r="P57" s="47"/>
      <c r="Q57" s="47"/>
      <c r="R57" s="47"/>
      <c r="S57" s="47"/>
      <c r="T57" s="47"/>
      <c r="U57" s="47"/>
      <c r="AB57" s="47"/>
      <c r="AC57" s="47"/>
    </row>
    <row r="58" spans="1:2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47"/>
      <c r="P58" s="47"/>
      <c r="Q58" s="47"/>
      <c r="R58" s="47"/>
      <c r="S58" s="47"/>
      <c r="T58" s="47"/>
      <c r="U58" s="47"/>
      <c r="AB58" s="47"/>
      <c r="AC58" s="47"/>
    </row>
    <row r="59" spans="1:29" ht="5.25" customHeight="1"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47"/>
      <c r="P59" s="47"/>
      <c r="Q59" s="47"/>
      <c r="R59" s="47"/>
      <c r="S59" s="47"/>
      <c r="T59" s="47"/>
      <c r="U59" s="47"/>
      <c r="AB59" s="47"/>
      <c r="AC59" s="47"/>
    </row>
    <row r="60" spans="1:2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47"/>
      <c r="T60" s="47"/>
      <c r="U60" s="47"/>
      <c r="AB60" s="47"/>
      <c r="AC60" s="47"/>
    </row>
    <row r="61" spans="1:2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47"/>
      <c r="T61" s="47"/>
      <c r="U61" s="47"/>
    </row>
    <row r="62" spans="1:2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47"/>
      <c r="T62" s="47"/>
      <c r="U62" s="47"/>
    </row>
    <row r="63" spans="1:2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2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O1439" s="99"/>
      <c r="P1439" s="99"/>
      <c r="Q1439" s="99"/>
      <c r="R1439" s="99"/>
    </row>
    <row r="1440" spans="2:18" ht="15" customHeight="1">
      <c r="O1440" s="99"/>
      <c r="P1440" s="99"/>
      <c r="Q1440" s="99"/>
      <c r="R1440" s="99"/>
    </row>
    <row r="1441" spans="15:18" ht="15" customHeight="1">
      <c r="O1441" s="99"/>
      <c r="P1441" s="99"/>
      <c r="Q1441" s="99"/>
      <c r="R1441" s="99"/>
    </row>
    <row r="1442" spans="15:18" ht="15" customHeight="1">
      <c r="O1442" s="99"/>
      <c r="P1442" s="99"/>
      <c r="Q1442" s="99"/>
      <c r="R1442" s="99"/>
    </row>
  </sheetData>
  <sheetProtection sheet="1" objects="1" scenarios="1"/>
  <mergeCells count="99">
    <mergeCell ref="E42:G42"/>
    <mergeCell ref="E44:G44"/>
    <mergeCell ref="E39:G39"/>
    <mergeCell ref="L40:N40"/>
    <mergeCell ref="L42:N42"/>
    <mergeCell ref="L44:N44"/>
    <mergeCell ref="L39:N39"/>
    <mergeCell ref="C34:D34"/>
    <mergeCell ref="C35:D35"/>
    <mergeCell ref="L32:M32"/>
    <mergeCell ref="L34:M34"/>
    <mergeCell ref="E40:G40"/>
    <mergeCell ref="L37:M37"/>
    <mergeCell ref="C36:D36"/>
    <mergeCell ref="C37:D37"/>
    <mergeCell ref="L36:M36"/>
    <mergeCell ref="V25:AE26"/>
    <mergeCell ref="B15:C15"/>
    <mergeCell ref="B16:C16"/>
    <mergeCell ref="F5:I5"/>
    <mergeCell ref="I21:J21"/>
    <mergeCell ref="I25:J25"/>
    <mergeCell ref="I23:J23"/>
    <mergeCell ref="I24:J24"/>
    <mergeCell ref="B14:F14"/>
    <mergeCell ref="N5:Q6"/>
    <mergeCell ref="L6:M6"/>
    <mergeCell ref="G18:H18"/>
    <mergeCell ref="G19:H19"/>
    <mergeCell ref="G16:H16"/>
    <mergeCell ref="G14:K14"/>
    <mergeCell ref="G15:H15"/>
    <mergeCell ref="C30:D30"/>
    <mergeCell ref="C31:D31"/>
    <mergeCell ref="C33:D33"/>
    <mergeCell ref="S11:S14"/>
    <mergeCell ref="O23:P23"/>
    <mergeCell ref="O24:P24"/>
    <mergeCell ref="O28:P28"/>
    <mergeCell ref="L14:Q14"/>
    <mergeCell ref="O26:P26"/>
    <mergeCell ref="I15:J15"/>
    <mergeCell ref="I19:J19"/>
    <mergeCell ref="D17:E17"/>
    <mergeCell ref="D18:E18"/>
    <mergeCell ref="I17:J17"/>
    <mergeCell ref="I18:J18"/>
    <mergeCell ref="D15:E15"/>
    <mergeCell ref="G17:H17"/>
    <mergeCell ref="O20:P20"/>
    <mergeCell ref="O22:P22"/>
    <mergeCell ref="O29:P29"/>
    <mergeCell ref="L25:Q25"/>
    <mergeCell ref="I22:J22"/>
    <mergeCell ref="B5:E5"/>
    <mergeCell ref="J5:M5"/>
    <mergeCell ref="L33:M33"/>
    <mergeCell ref="O15:P15"/>
    <mergeCell ref="O19:P19"/>
    <mergeCell ref="O16:P16"/>
    <mergeCell ref="O17:P17"/>
    <mergeCell ref="O18:P18"/>
    <mergeCell ref="G25:H25"/>
    <mergeCell ref="B17:C17"/>
    <mergeCell ref="G20:K20"/>
    <mergeCell ref="B20:F20"/>
    <mergeCell ref="D25:E25"/>
    <mergeCell ref="D21:E21"/>
    <mergeCell ref="F11:G11"/>
    <mergeCell ref="B18:C18"/>
    <mergeCell ref="O2:Q2"/>
    <mergeCell ref="O3:Q3"/>
    <mergeCell ref="D2:H2"/>
    <mergeCell ref="K2:L2"/>
    <mergeCell ref="D3:E3"/>
    <mergeCell ref="K3:L3"/>
    <mergeCell ref="D16:E16"/>
    <mergeCell ref="D19:E19"/>
    <mergeCell ref="N36:Q36"/>
    <mergeCell ref="N37:Q37"/>
    <mergeCell ref="B27:J28"/>
    <mergeCell ref="I16:J16"/>
    <mergeCell ref="O27:P27"/>
    <mergeCell ref="B22:C22"/>
    <mergeCell ref="D22:E22"/>
    <mergeCell ref="G22:H22"/>
    <mergeCell ref="L35:M35"/>
    <mergeCell ref="B19:C19"/>
    <mergeCell ref="O30:P30"/>
    <mergeCell ref="C32:D32"/>
    <mergeCell ref="D23:E23"/>
    <mergeCell ref="D24:E24"/>
    <mergeCell ref="B21:C21"/>
    <mergeCell ref="B23:C23"/>
    <mergeCell ref="B24:C24"/>
    <mergeCell ref="B25:C25"/>
    <mergeCell ref="G21:H21"/>
    <mergeCell ref="G23:H23"/>
    <mergeCell ref="G24:H24"/>
  </mergeCells>
  <phoneticPr fontId="0" type="noConversion"/>
  <conditionalFormatting sqref="C35:D35">
    <cfRule type="expression" dxfId="11" priority="1" stopIfTrue="1">
      <formula>AND(ISNUMBER($C$35),$C$35&lt;80)</formula>
    </cfRule>
    <cfRule type="expression" dxfId="10" priority="2" stopIfTrue="1">
      <formula>AND(ISNUMBER($C$35),$C$35&gt;120)</formula>
    </cfRule>
  </conditionalFormatting>
  <conditionalFormatting sqref="L35:M35">
    <cfRule type="expression" dxfId="9" priority="3" stopIfTrue="1">
      <formula>AND(ISNUMBER($L$35),$L$35&lt;2.25)</formula>
    </cfRule>
    <cfRule type="expression" dxfId="8" priority="4" stopIfTrue="1">
      <formula>AND(ISNUMBER($L$35),$L$35&gt;2.75)</formula>
    </cfRule>
  </conditionalFormatting>
  <conditionalFormatting sqref="L34:M34">
    <cfRule type="expression" dxfId="7" priority="5" stopIfTrue="1">
      <formula>AND(ISNUMBER($L$34),$L$34&lt;9)</formula>
    </cfRule>
    <cfRule type="expression" dxfId="6" priority="6" stopIfTrue="1">
      <formula>AND(ISNUMBER($L$34),$L$34&gt;11)</formula>
    </cfRule>
  </conditionalFormatting>
  <printOptions horizontalCentered="1" verticalCentered="1"/>
  <pageMargins left="0.25" right="0.25" top="0.75" bottom="0.5" header="0.25" footer="0.25"/>
  <pageSetup scale="96" orientation="portrait" blackAndWhite="1" r:id="rId1"/>
  <headerFooter alignWithMargins="0">
    <oddHeader>&amp;CSpreadsheet for U.S. EPA Method 201A - Determination of Filterable PM10 and PM2.5 Emissions
&amp;12TEST RESULTS and DATA ANALYSIS SHEET</oddHeader>
    <oddFooter>&amp;CCopyright 2017 by Environmental Supply Company, Inc.</oddFooter>
  </headerFooter>
  <colBreaks count="1" manualBreakCount="1">
    <brk id="19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1442"/>
  <sheetViews>
    <sheetView zoomScaleNormal="100" workbookViewId="0">
      <selection activeCell="A10" sqref="A10:J10"/>
    </sheetView>
  </sheetViews>
  <sheetFormatPr defaultColWidth="6.28515625" defaultRowHeight="15" customHeight="1"/>
  <cols>
    <col min="1" max="1" width="1" style="99" customWidth="1"/>
    <col min="2" max="8" width="6.28515625" style="197" customWidth="1"/>
    <col min="9" max="9" width="6.42578125" style="197" customWidth="1"/>
    <col min="10" max="11" width="6.28515625" style="197" customWidth="1"/>
    <col min="12" max="12" width="7.42578125" style="197" customWidth="1"/>
    <col min="13" max="16" width="6.28515625" style="197" customWidth="1"/>
    <col min="17" max="17" width="10.7109375" style="197" customWidth="1"/>
    <col min="18" max="18" width="1.140625" style="197" customWidth="1"/>
    <col min="19" max="19" width="6.28515625" style="99" customWidth="1"/>
    <col min="20" max="20" width="1" style="99" customWidth="1"/>
    <col min="21" max="25" width="8.7109375" style="99" customWidth="1"/>
    <col min="26" max="26" width="8.7109375" style="135" customWidth="1"/>
    <col min="27" max="28" width="8.7109375" style="99" customWidth="1"/>
    <col min="29" max="16384" width="6.28515625" style="99"/>
  </cols>
  <sheetData>
    <row r="1" spans="1:26" ht="5.25" customHeight="1">
      <c r="A1" s="97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98"/>
      <c r="S1" s="47"/>
      <c r="T1" s="47"/>
      <c r="U1" s="47"/>
    </row>
    <row r="2" spans="1:26" ht="15" customHeight="1">
      <c r="A2" s="102"/>
      <c r="B2" s="48"/>
      <c r="C2" s="16" t="s">
        <v>52</v>
      </c>
      <c r="D2" s="463" t="str">
        <f>IF(ISTEXT('Pre-Test'!D2:H2),'Pre-Test'!D2:H2,"")</f>
        <v/>
      </c>
      <c r="E2" s="463"/>
      <c r="F2" s="463"/>
      <c r="G2" s="463"/>
      <c r="H2" s="463"/>
      <c r="I2" s="48"/>
      <c r="J2" s="16" t="s">
        <v>0</v>
      </c>
      <c r="K2" s="591" t="str">
        <f>IF(ISNUMBER('Run 3'!K2),'Run 3'!K2,"")</f>
        <v/>
      </c>
      <c r="L2" s="591"/>
      <c r="M2" s="48"/>
      <c r="N2" s="16" t="s">
        <v>54</v>
      </c>
      <c r="O2" s="598" t="str">
        <f>IF(ISTEXT('Run 3'!O2),'Run 3'!O2,"")</f>
        <v/>
      </c>
      <c r="P2" s="599"/>
      <c r="Q2" s="600"/>
      <c r="R2" s="37"/>
      <c r="S2" s="47"/>
      <c r="T2" s="47"/>
      <c r="U2" s="47"/>
    </row>
    <row r="3" spans="1:26" ht="15" customHeight="1">
      <c r="A3" s="102"/>
      <c r="B3" s="48"/>
      <c r="C3" s="16" t="s">
        <v>53</v>
      </c>
      <c r="D3" s="592" t="str">
        <f>IF(ISNUMBER('Run 1'!D3),'Run 1'!D3,"")</f>
        <v/>
      </c>
      <c r="E3" s="592"/>
      <c r="F3" s="48"/>
      <c r="G3" s="48"/>
      <c r="H3" s="48"/>
      <c r="I3" s="48"/>
      <c r="J3" s="16" t="s">
        <v>1</v>
      </c>
      <c r="K3" s="591" t="str">
        <f>IF(ISNUMBER('Run 3'!K3),'Run 3'!K3,"")</f>
        <v/>
      </c>
      <c r="L3" s="591"/>
      <c r="M3" s="48"/>
      <c r="N3" s="16" t="s">
        <v>55</v>
      </c>
      <c r="O3" s="601" t="str">
        <f>IF(ISTEXT('Pre-Test'!P3),'Pre-Test'!P3,"")</f>
        <v/>
      </c>
      <c r="P3" s="602"/>
      <c r="Q3" s="603"/>
      <c r="R3" s="37"/>
      <c r="S3" s="47"/>
      <c r="T3" s="47"/>
      <c r="U3" s="47"/>
    </row>
    <row r="4" spans="1:26" ht="9.75" customHeight="1" thickBot="1">
      <c r="A4" s="102"/>
      <c r="B4" s="47"/>
      <c r="C4" s="16"/>
      <c r="D4" s="106"/>
      <c r="E4" s="47"/>
      <c r="F4" s="47"/>
      <c r="G4" s="47"/>
      <c r="H4" s="47"/>
      <c r="I4" s="47"/>
      <c r="J4" s="107"/>
      <c r="K4" s="47"/>
      <c r="L4" s="47"/>
      <c r="M4" s="47"/>
      <c r="N4" s="47"/>
      <c r="O4" s="47"/>
      <c r="P4" s="47"/>
      <c r="Q4" s="6"/>
      <c r="R4" s="37"/>
      <c r="S4" s="47"/>
      <c r="T4" s="47"/>
      <c r="U4" s="47"/>
    </row>
    <row r="5" spans="1:26" ht="15" customHeight="1" thickBot="1">
      <c r="A5" s="102"/>
      <c r="B5" s="369" t="s">
        <v>41</v>
      </c>
      <c r="C5" s="370"/>
      <c r="D5" s="370"/>
      <c r="E5" s="370"/>
      <c r="F5" s="369" t="s">
        <v>128</v>
      </c>
      <c r="G5" s="370"/>
      <c r="H5" s="370"/>
      <c r="I5" s="370"/>
      <c r="J5" s="528" t="s">
        <v>42</v>
      </c>
      <c r="K5" s="529"/>
      <c r="L5" s="529"/>
      <c r="M5" s="596"/>
      <c r="N5" s="369" t="s">
        <v>141</v>
      </c>
      <c r="O5" s="370"/>
      <c r="P5" s="370"/>
      <c r="Q5" s="371"/>
      <c r="R5" s="104"/>
      <c r="T5" s="135"/>
      <c r="Z5" s="99"/>
    </row>
    <row r="6" spans="1:26" ht="15" customHeight="1" thickBot="1">
      <c r="A6" s="102"/>
      <c r="B6" s="97"/>
      <c r="C6" s="20" t="s">
        <v>30</v>
      </c>
      <c r="D6" s="128" t="str">
        <f>IF(ISNUMBER(Bwse),Bwse,"-")</f>
        <v>-</v>
      </c>
      <c r="E6" s="33" t="s">
        <v>62</v>
      </c>
      <c r="F6" s="97"/>
      <c r="G6" s="20" t="s">
        <v>5</v>
      </c>
      <c r="H6" s="274" t="str">
        <f>IF(ISNUMBER(COO),COO,"-")</f>
        <v>-</v>
      </c>
      <c r="I6" s="33" t="s">
        <v>6</v>
      </c>
      <c r="J6" s="97"/>
      <c r="K6" s="20" t="s">
        <v>37</v>
      </c>
      <c r="L6" s="367" t="str">
        <f>IF(ISTEXT(MB),MB,"-")</f>
        <v>-</v>
      </c>
      <c r="M6" s="368"/>
      <c r="N6" s="593"/>
      <c r="O6" s="594"/>
      <c r="P6" s="594"/>
      <c r="Q6" s="595"/>
      <c r="R6" s="104"/>
      <c r="T6" s="135"/>
      <c r="Z6" s="99"/>
    </row>
    <row r="7" spans="1:26" ht="15" customHeight="1">
      <c r="A7" s="102"/>
      <c r="B7" s="102"/>
      <c r="C7" s="16" t="s">
        <v>31</v>
      </c>
      <c r="D7" s="115" t="str">
        <f>IF(ISNUMBER(Pbar_3),Pbar_3,"-")</f>
        <v>-</v>
      </c>
      <c r="E7" s="34" t="s">
        <v>4</v>
      </c>
      <c r="F7" s="102"/>
      <c r="G7" s="16" t="s">
        <v>7</v>
      </c>
      <c r="H7" s="215" t="str">
        <f>IF(ISNUMBER(OO),OO,"-")</f>
        <v>-</v>
      </c>
      <c r="I7" s="35" t="s">
        <v>6</v>
      </c>
      <c r="J7" s="102"/>
      <c r="K7" s="94" t="s">
        <v>35</v>
      </c>
      <c r="L7" s="204" t="str">
        <f>IF(ISNUMBER(Y),Y,"-")</f>
        <v>-</v>
      </c>
      <c r="M7" s="48"/>
      <c r="N7" s="275"/>
      <c r="O7" s="93" t="s">
        <v>166</v>
      </c>
      <c r="P7" s="276" t="str">
        <f>dP_3</f>
        <v>-</v>
      </c>
      <c r="Q7" s="34" t="s">
        <v>50</v>
      </c>
      <c r="R7" s="104"/>
      <c r="T7" s="135"/>
      <c r="Z7" s="99"/>
    </row>
    <row r="8" spans="1:26" ht="15" customHeight="1">
      <c r="A8" s="102"/>
      <c r="B8" s="102"/>
      <c r="C8" s="16" t="s">
        <v>32</v>
      </c>
      <c r="D8" s="115" t="str">
        <f>IF(ISNUMBER(Pg_3),Pg_3,"-")</f>
        <v>-</v>
      </c>
      <c r="E8" s="8" t="s">
        <v>50</v>
      </c>
      <c r="F8" s="102"/>
      <c r="G8" s="16" t="s">
        <v>27</v>
      </c>
      <c r="H8" s="115" t="str">
        <f>NN</f>
        <v>-</v>
      </c>
      <c r="I8" s="35" t="s">
        <v>6</v>
      </c>
      <c r="J8" s="102"/>
      <c r="K8" s="117" t="s">
        <v>36</v>
      </c>
      <c r="L8" s="204" t="str">
        <f>IF(ISNUMBER(dHa),dHa,"-")</f>
        <v>-</v>
      </c>
      <c r="M8" s="8" t="s">
        <v>50</v>
      </c>
      <c r="N8" s="277"/>
      <c r="O8" s="94" t="s">
        <v>167</v>
      </c>
      <c r="P8" s="278" t="str">
        <f>Tm_3</f>
        <v>-</v>
      </c>
      <c r="Q8" s="104" t="s">
        <v>140</v>
      </c>
      <c r="R8" s="104"/>
      <c r="T8" s="135"/>
      <c r="Z8" s="99"/>
    </row>
    <row r="9" spans="1:26" ht="15" customHeight="1">
      <c r="A9" s="102"/>
      <c r="B9" s="102"/>
      <c r="C9" s="16" t="s">
        <v>33</v>
      </c>
      <c r="D9" s="115" t="str">
        <f>Ps_3</f>
        <v>-</v>
      </c>
      <c r="E9" s="34" t="s">
        <v>4</v>
      </c>
      <c r="F9" s="102"/>
      <c r="G9" s="16" t="s">
        <v>2</v>
      </c>
      <c r="H9" s="215" t="str">
        <f>Md</f>
        <v>-</v>
      </c>
      <c r="I9" s="34" t="s">
        <v>3</v>
      </c>
      <c r="J9" s="122" t="s">
        <v>84</v>
      </c>
      <c r="K9" s="204" t="str">
        <f>IF(ISNUMBER(Cpp),Cpp,"-")</f>
        <v>-</v>
      </c>
      <c r="L9" s="124" t="s">
        <v>95</v>
      </c>
      <c r="M9" s="210" t="str">
        <f>IF(OR(ISNUMBER('Pre-Test'!R11),ISTEXT('Pre-Test'!R11)),'Pre-Test'!R11,"-")</f>
        <v>-</v>
      </c>
      <c r="N9" s="277"/>
      <c r="O9" s="94" t="s">
        <v>168</v>
      </c>
      <c r="P9" s="278" t="str">
        <f>Ts_3</f>
        <v>-</v>
      </c>
      <c r="Q9" s="104" t="s">
        <v>140</v>
      </c>
      <c r="R9" s="104"/>
      <c r="T9" s="135"/>
      <c r="Z9" s="99"/>
    </row>
    <row r="10" spans="1:26" ht="15" customHeight="1" thickBot="1">
      <c r="A10" s="102"/>
      <c r="B10" s="279"/>
      <c r="C10" s="280" t="s">
        <v>38</v>
      </c>
      <c r="D10" s="219" t="str">
        <f>IF(ISNUMBER(A),A,"-")</f>
        <v>-</v>
      </c>
      <c r="E10" s="67" t="s">
        <v>39</v>
      </c>
      <c r="F10" s="281"/>
      <c r="G10" s="280" t="s">
        <v>226</v>
      </c>
      <c r="H10" s="115" t="str">
        <f>IF(ISNUMBER(Bws_3),Md*(1-Bws_3)+18*Bws_3,"-")</f>
        <v>-</v>
      </c>
      <c r="I10" s="66" t="s">
        <v>3</v>
      </c>
      <c r="J10" s="122" t="s">
        <v>34</v>
      </c>
      <c r="K10" s="214" t="str">
        <f>IF(ISNUMBER(Cp),Cp,"-")</f>
        <v>-</v>
      </c>
      <c r="L10" s="124" t="s">
        <v>95</v>
      </c>
      <c r="M10" s="210" t="str">
        <f>IF(OR(ISNUMBER('Pre-Test'!R11),ISTEXT('Pre-Test'!R11)),'Pre-Test'!R11,"-")</f>
        <v>-</v>
      </c>
      <c r="N10" s="277"/>
      <c r="O10" s="94" t="s">
        <v>169</v>
      </c>
      <c r="P10" s="282" t="str">
        <f>dH_3</f>
        <v>-</v>
      </c>
      <c r="Q10" s="34" t="s">
        <v>50</v>
      </c>
      <c r="R10" s="104"/>
      <c r="T10" s="47"/>
      <c r="U10" s="47"/>
      <c r="Z10" s="99"/>
    </row>
    <row r="11" spans="1:26" ht="15" customHeight="1" thickBot="1">
      <c r="A11" s="102"/>
      <c r="B11" s="131"/>
      <c r="C11" s="26" t="s">
        <v>40</v>
      </c>
      <c r="D11" s="130" t="str">
        <f>IF(ISNUMBER(N_3),N_3,"-")</f>
        <v>-</v>
      </c>
      <c r="E11" s="126" t="s">
        <v>51</v>
      </c>
      <c r="F11" s="402" t="s">
        <v>139</v>
      </c>
      <c r="G11" s="403"/>
      <c r="H11" s="283" t="str">
        <f>Time_3</f>
        <v>-</v>
      </c>
      <c r="I11" s="126" t="s">
        <v>80</v>
      </c>
      <c r="J11" s="131"/>
      <c r="K11" s="26" t="s">
        <v>100</v>
      </c>
      <c r="L11" s="284" t="str">
        <f>IF(ISNUMBER(Dn),Dn,"-")</f>
        <v>-</v>
      </c>
      <c r="M11" s="285" t="s">
        <v>49</v>
      </c>
      <c r="N11" s="97"/>
      <c r="O11" s="20" t="s">
        <v>246</v>
      </c>
      <c r="P11" s="110">
        <f>IF(ISNUMBER(Tstd),Tstd,"-")</f>
        <v>528</v>
      </c>
      <c r="Q11" s="98" t="s">
        <v>140</v>
      </c>
      <c r="R11" s="104"/>
      <c r="S11" s="582"/>
      <c r="T11" s="47"/>
      <c r="U11" s="47"/>
      <c r="Z11" s="99"/>
    </row>
    <row r="12" spans="1:26" ht="15" customHeight="1" thickBot="1">
      <c r="A12" s="102"/>
      <c r="B12" s="47"/>
      <c r="C12" s="16"/>
      <c r="D12" s="86"/>
      <c r="E12" s="47"/>
      <c r="F12" s="18"/>
      <c r="G12" s="68"/>
      <c r="H12" s="286"/>
      <c r="I12" s="47"/>
      <c r="J12" s="47"/>
      <c r="K12" s="16"/>
      <c r="L12" s="86"/>
      <c r="M12" s="287"/>
      <c r="N12" s="131"/>
      <c r="O12" s="21" t="s">
        <v>247</v>
      </c>
      <c r="P12" s="288">
        <f>IF(ISNUMBER(Pstd),Pstd,"-")</f>
        <v>29.92</v>
      </c>
      <c r="Q12" s="36" t="s">
        <v>4</v>
      </c>
      <c r="R12" s="104"/>
      <c r="S12" s="582"/>
      <c r="T12" s="47"/>
      <c r="U12" s="47"/>
      <c r="Z12" s="99"/>
    </row>
    <row r="13" spans="1:26" ht="9" customHeight="1" thickBot="1">
      <c r="A13" s="102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104"/>
      <c r="S13" s="582"/>
      <c r="T13" s="47"/>
      <c r="U13" s="47"/>
      <c r="Z13" s="99"/>
    </row>
    <row r="14" spans="1:26" ht="15" customHeight="1" thickBot="1">
      <c r="A14" s="102"/>
      <c r="B14" s="534" t="s">
        <v>241</v>
      </c>
      <c r="C14" s="535"/>
      <c r="D14" s="535"/>
      <c r="E14" s="535"/>
      <c r="F14" s="576"/>
      <c r="G14" s="577" t="s">
        <v>242</v>
      </c>
      <c r="H14" s="578"/>
      <c r="I14" s="578"/>
      <c r="J14" s="578"/>
      <c r="K14" s="579"/>
      <c r="L14" s="534" t="s">
        <v>142</v>
      </c>
      <c r="M14" s="535"/>
      <c r="N14" s="535"/>
      <c r="O14" s="535"/>
      <c r="P14" s="535"/>
      <c r="Q14" s="576"/>
      <c r="R14" s="104"/>
      <c r="S14" s="582"/>
      <c r="T14" s="47"/>
      <c r="U14" s="47"/>
      <c r="Z14" s="99"/>
    </row>
    <row r="15" spans="1:26" ht="15" customHeight="1">
      <c r="A15" s="102"/>
      <c r="B15" s="569" t="s">
        <v>130</v>
      </c>
      <c r="C15" s="427"/>
      <c r="D15" s="580"/>
      <c r="E15" s="580"/>
      <c r="F15" s="78" t="s">
        <v>129</v>
      </c>
      <c r="G15" s="569" t="s">
        <v>131</v>
      </c>
      <c r="H15" s="427"/>
      <c r="I15" s="580"/>
      <c r="J15" s="580"/>
      <c r="K15" s="98" t="s">
        <v>129</v>
      </c>
      <c r="L15" s="78"/>
      <c r="M15" s="78"/>
      <c r="N15" s="20" t="s">
        <v>134</v>
      </c>
      <c r="O15" s="572"/>
      <c r="P15" s="572"/>
      <c r="Q15" s="98" t="s">
        <v>138</v>
      </c>
      <c r="R15" s="104"/>
      <c r="S15" s="47"/>
      <c r="T15" s="47"/>
      <c r="Z15" s="99"/>
    </row>
    <row r="16" spans="1:26" ht="15" customHeight="1">
      <c r="A16" s="102"/>
      <c r="B16" s="570" t="s">
        <v>222</v>
      </c>
      <c r="C16" s="571"/>
      <c r="D16" s="584"/>
      <c r="E16" s="584"/>
      <c r="F16" s="47" t="s">
        <v>129</v>
      </c>
      <c r="G16" s="570" t="s">
        <v>219</v>
      </c>
      <c r="H16" s="382"/>
      <c r="I16" s="584"/>
      <c r="J16" s="584"/>
      <c r="K16" s="104" t="s">
        <v>129</v>
      </c>
      <c r="L16" s="47"/>
      <c r="M16" s="47"/>
      <c r="N16" s="94" t="s">
        <v>192</v>
      </c>
      <c r="O16" s="581"/>
      <c r="P16" s="581"/>
      <c r="Q16" s="104" t="s">
        <v>138</v>
      </c>
      <c r="R16" s="104"/>
      <c r="S16" s="47"/>
      <c r="T16" s="47"/>
      <c r="Z16" s="99"/>
    </row>
    <row r="17" spans="1:31" ht="15" customHeight="1">
      <c r="A17" s="102"/>
      <c r="B17" s="570" t="s">
        <v>152</v>
      </c>
      <c r="C17" s="571"/>
      <c r="D17" s="581"/>
      <c r="E17" s="581"/>
      <c r="F17" s="47" t="s">
        <v>135</v>
      </c>
      <c r="G17" s="570" t="s">
        <v>147</v>
      </c>
      <c r="H17" s="382"/>
      <c r="I17" s="581"/>
      <c r="J17" s="581"/>
      <c r="K17" s="104" t="s">
        <v>135</v>
      </c>
      <c r="L17" s="47"/>
      <c r="M17" s="47"/>
      <c r="N17" s="94" t="s">
        <v>157</v>
      </c>
      <c r="O17" s="575" t="str">
        <f>IF(ISNUMBER(O15),O15-O16,"-")</f>
        <v>-</v>
      </c>
      <c r="P17" s="575"/>
      <c r="Q17" s="104" t="s">
        <v>138</v>
      </c>
      <c r="R17" s="104"/>
      <c r="S17" s="47"/>
      <c r="T17" s="47"/>
      <c r="Z17" s="99"/>
    </row>
    <row r="18" spans="1:31" ht="15" customHeight="1">
      <c r="A18" s="102"/>
      <c r="B18" s="570" t="s">
        <v>153</v>
      </c>
      <c r="C18" s="571"/>
      <c r="D18" s="575" t="str">
        <f>IF(ISNUMBER(D17),Ca_3*D17*$O$28,"-")</f>
        <v>-</v>
      </c>
      <c r="E18" s="575"/>
      <c r="F18" s="47" t="s">
        <v>129</v>
      </c>
      <c r="G18" s="570" t="s">
        <v>148</v>
      </c>
      <c r="H18" s="382"/>
      <c r="I18" s="575" t="str">
        <f>IF(ISNUMBER(I17),Ca_3*I17*$O$28,"-")</f>
        <v>-</v>
      </c>
      <c r="J18" s="575"/>
      <c r="K18" s="104" t="s">
        <v>129</v>
      </c>
      <c r="L18" s="47"/>
      <c r="M18" s="47"/>
      <c r="N18" s="94" t="s">
        <v>158</v>
      </c>
      <c r="O18" s="583" t="str">
        <f>IF(ISNUMBER(O17),0.0026673*Tstd/Pstd*O17,"-")</f>
        <v>-</v>
      </c>
      <c r="P18" s="583"/>
      <c r="Q18" s="104" t="s">
        <v>81</v>
      </c>
      <c r="R18" s="104"/>
      <c r="S18" s="47"/>
      <c r="T18" s="47"/>
      <c r="U18" s="47"/>
      <c r="Z18" s="99"/>
    </row>
    <row r="19" spans="1:31" ht="15" customHeight="1" thickBot="1">
      <c r="A19" s="102"/>
      <c r="B19" s="586" t="s">
        <v>154</v>
      </c>
      <c r="C19" s="403"/>
      <c r="D19" s="573" t="str">
        <f>IF(ISNUMBER(D15),D15-D16-(IF(D18&gt;0.000001*D17*$O$28,0.000001*D17*$O$28,D18)),"-")</f>
        <v>-</v>
      </c>
      <c r="E19" s="573"/>
      <c r="F19" s="125" t="s">
        <v>129</v>
      </c>
      <c r="G19" s="586" t="s">
        <v>149</v>
      </c>
      <c r="H19" s="403"/>
      <c r="I19" s="573" t="str">
        <f>IF(ISNUMBER(I15),I15-I16-(IF(I18&gt;0.000001*I17*$O$28,0.000001*I17*$O$28,I18)),"-")</f>
        <v>-</v>
      </c>
      <c r="J19" s="573"/>
      <c r="K19" s="126" t="s">
        <v>129</v>
      </c>
      <c r="L19" s="47"/>
      <c r="M19" s="47"/>
      <c r="N19" s="16" t="s">
        <v>136</v>
      </c>
      <c r="O19" s="584"/>
      <c r="P19" s="584"/>
      <c r="Q19" s="104" t="s">
        <v>135</v>
      </c>
      <c r="R19" s="104"/>
      <c r="S19" s="47"/>
      <c r="T19" s="47"/>
      <c r="U19" s="47"/>
      <c r="Z19" s="99"/>
    </row>
    <row r="20" spans="1:31" ht="15" customHeight="1" thickBot="1">
      <c r="A20" s="102"/>
      <c r="B20" s="534" t="s">
        <v>240</v>
      </c>
      <c r="C20" s="535"/>
      <c r="D20" s="535"/>
      <c r="E20" s="535"/>
      <c r="F20" s="576"/>
      <c r="G20" s="534" t="s">
        <v>143</v>
      </c>
      <c r="H20" s="535"/>
      <c r="I20" s="535"/>
      <c r="J20" s="535"/>
      <c r="K20" s="576"/>
      <c r="L20" s="102"/>
      <c r="M20" s="47"/>
      <c r="N20" s="289" t="s">
        <v>159</v>
      </c>
      <c r="O20" s="583" t="str">
        <f>IF(ISNUMBER(O19),0.0026673*Tstd/Pstd*O19,"-")</f>
        <v>-</v>
      </c>
      <c r="P20" s="583"/>
      <c r="Q20" s="104" t="s">
        <v>81</v>
      </c>
      <c r="R20" s="104"/>
      <c r="S20" s="47"/>
      <c r="T20" s="47"/>
      <c r="U20" s="47"/>
      <c r="Z20" s="99"/>
    </row>
    <row r="21" spans="1:31" ht="15" customHeight="1">
      <c r="A21" s="102"/>
      <c r="B21" s="569" t="s">
        <v>132</v>
      </c>
      <c r="C21" s="427"/>
      <c r="D21" s="572"/>
      <c r="E21" s="572"/>
      <c r="F21" s="98" t="s">
        <v>129</v>
      </c>
      <c r="G21" s="569" t="s">
        <v>133</v>
      </c>
      <c r="H21" s="427"/>
      <c r="I21" s="572"/>
      <c r="J21" s="572"/>
      <c r="K21" s="98" t="s">
        <v>129</v>
      </c>
      <c r="L21" s="47"/>
      <c r="M21" s="47"/>
      <c r="N21" s="289"/>
      <c r="O21" s="290"/>
      <c r="P21" s="290"/>
      <c r="Q21" s="104"/>
      <c r="R21" s="104"/>
      <c r="S21" s="47"/>
      <c r="T21" s="47"/>
      <c r="U21" s="47"/>
      <c r="Z21" s="99"/>
    </row>
    <row r="22" spans="1:31" ht="15" customHeight="1">
      <c r="A22" s="102"/>
      <c r="B22" s="570" t="s">
        <v>220</v>
      </c>
      <c r="C22" s="382"/>
      <c r="D22" s="581"/>
      <c r="E22" s="581"/>
      <c r="F22" s="104" t="s">
        <v>129</v>
      </c>
      <c r="G22" s="570" t="s">
        <v>221</v>
      </c>
      <c r="H22" s="382"/>
      <c r="I22" s="581"/>
      <c r="J22" s="581"/>
      <c r="K22" s="104" t="s">
        <v>129</v>
      </c>
      <c r="L22" s="47"/>
      <c r="M22" s="47"/>
      <c r="N22" s="94" t="s">
        <v>160</v>
      </c>
      <c r="O22" s="587" t="str">
        <f>IF(ISNUMBER(O20),O18+O20,"-")</f>
        <v>-</v>
      </c>
      <c r="P22" s="587"/>
      <c r="Q22" s="104" t="s">
        <v>81</v>
      </c>
      <c r="R22" s="104"/>
      <c r="S22" s="47"/>
      <c r="T22" s="47"/>
      <c r="Z22" s="99"/>
    </row>
    <row r="23" spans="1:31" ht="15" customHeight="1">
      <c r="A23" s="102"/>
      <c r="B23" s="570" t="s">
        <v>155</v>
      </c>
      <c r="C23" s="382"/>
      <c r="D23" s="574"/>
      <c r="E23" s="574"/>
      <c r="F23" s="104" t="s">
        <v>135</v>
      </c>
      <c r="G23" s="570" t="s">
        <v>150</v>
      </c>
      <c r="H23" s="382"/>
      <c r="I23" s="574"/>
      <c r="J23" s="574"/>
      <c r="K23" s="104" t="s">
        <v>135</v>
      </c>
      <c r="L23" s="47"/>
      <c r="M23" s="47"/>
      <c r="N23" s="94" t="s">
        <v>161</v>
      </c>
      <c r="O23" s="583" t="str">
        <f>IF(ISNUMBER(Vws_3),Vws_3/(Vws_3+Vms_3),"-")</f>
        <v>-</v>
      </c>
      <c r="P23" s="583"/>
      <c r="Q23" s="104" t="s">
        <v>223</v>
      </c>
      <c r="R23" s="104"/>
      <c r="S23" s="47"/>
      <c r="T23" s="47"/>
      <c r="Z23" s="99"/>
    </row>
    <row r="24" spans="1:31" ht="15" customHeight="1" thickBot="1">
      <c r="A24" s="102"/>
      <c r="B24" s="570" t="s">
        <v>156</v>
      </c>
      <c r="C24" s="382"/>
      <c r="D24" s="575" t="str">
        <f>IF(ISNUMBER(D23),Ca_3*D23*$O$28,"-")</f>
        <v>-</v>
      </c>
      <c r="E24" s="575"/>
      <c r="F24" s="104" t="s">
        <v>129</v>
      </c>
      <c r="G24" s="570" t="s">
        <v>151</v>
      </c>
      <c r="H24" s="382"/>
      <c r="I24" s="575" t="str">
        <f>IF(ISNUMBER(I23),Ca_3*I23*$O$28,"-")</f>
        <v>-</v>
      </c>
      <c r="J24" s="575"/>
      <c r="K24" s="104" t="s">
        <v>129</v>
      </c>
      <c r="L24" s="125"/>
      <c r="M24" s="125"/>
      <c r="N24" s="95" t="s">
        <v>162</v>
      </c>
      <c r="O24" s="597" t="str">
        <f>IF(ISNUMBER(Bws_3),100*Bws_3,"-")</f>
        <v>-</v>
      </c>
      <c r="P24" s="597"/>
      <c r="Q24" s="126" t="s">
        <v>6</v>
      </c>
      <c r="R24" s="104"/>
      <c r="S24" s="47"/>
      <c r="T24" s="47"/>
      <c r="Z24" s="99"/>
    </row>
    <row r="25" spans="1:31" ht="15" customHeight="1" thickBot="1">
      <c r="A25" s="102"/>
      <c r="B25" s="586" t="s">
        <v>218</v>
      </c>
      <c r="C25" s="403"/>
      <c r="D25" s="573" t="str">
        <f>IF(ISNUMBER(D21),D21-D22-(IF(D24&gt;0.000001*D23*$O$28,0.000001*D23*$O$28,D24)),"-")</f>
        <v>-</v>
      </c>
      <c r="E25" s="573"/>
      <c r="F25" s="126" t="s">
        <v>129</v>
      </c>
      <c r="G25" s="586" t="s">
        <v>217</v>
      </c>
      <c r="H25" s="403"/>
      <c r="I25" s="573" t="str">
        <f>IF(ISNUMBER(I21),I21-I22-(IF(I24&gt;0.000001*I23*$O$28,0.000001*I23*$O$28,I24)),"-")</f>
        <v>-</v>
      </c>
      <c r="J25" s="573"/>
      <c r="K25" s="126" t="s">
        <v>129</v>
      </c>
      <c r="L25" s="535" t="s">
        <v>144</v>
      </c>
      <c r="M25" s="535"/>
      <c r="N25" s="535"/>
      <c r="O25" s="535"/>
      <c r="P25" s="535"/>
      <c r="Q25" s="576"/>
      <c r="R25" s="104"/>
      <c r="S25" s="47"/>
      <c r="T25" s="47"/>
      <c r="V25" s="568"/>
      <c r="W25" s="568"/>
      <c r="X25" s="568"/>
      <c r="Y25" s="568"/>
      <c r="Z25" s="568"/>
      <c r="AA25" s="568"/>
      <c r="AB25" s="568"/>
      <c r="AC25" s="568"/>
      <c r="AD25" s="568"/>
      <c r="AE25" s="568"/>
    </row>
    <row r="26" spans="1:31" ht="15" customHeight="1">
      <c r="A26" s="102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7"/>
      <c r="M26" s="78"/>
      <c r="N26" s="93" t="s">
        <v>137</v>
      </c>
      <c r="O26" s="580"/>
      <c r="P26" s="580"/>
      <c r="Q26" s="98" t="s">
        <v>129</v>
      </c>
      <c r="R26" s="104"/>
      <c r="S26" s="47"/>
      <c r="T26" s="47"/>
      <c r="V26" s="568"/>
      <c r="W26" s="568"/>
      <c r="X26" s="568"/>
      <c r="Y26" s="568"/>
      <c r="Z26" s="568"/>
      <c r="AA26" s="568"/>
      <c r="AB26" s="568"/>
      <c r="AC26" s="568"/>
      <c r="AD26" s="568"/>
      <c r="AE26" s="568"/>
    </row>
    <row r="27" spans="1:31" ht="15" customHeight="1">
      <c r="A27" s="102"/>
      <c r="B27" s="588" t="s">
        <v>193</v>
      </c>
      <c r="C27" s="589"/>
      <c r="D27" s="589"/>
      <c r="E27" s="589"/>
      <c r="F27" s="589"/>
      <c r="G27" s="589"/>
      <c r="H27" s="589"/>
      <c r="I27" s="589"/>
      <c r="J27" s="589"/>
      <c r="L27" s="102"/>
      <c r="M27" s="79"/>
      <c r="N27" s="94" t="s">
        <v>255</v>
      </c>
      <c r="O27" s="584"/>
      <c r="P27" s="584"/>
      <c r="Q27" s="104" t="s">
        <v>129</v>
      </c>
      <c r="R27" s="104"/>
      <c r="S27" s="47"/>
      <c r="T27" s="47"/>
      <c r="Z27" s="99"/>
    </row>
    <row r="28" spans="1:31" ht="15" customHeight="1" thickBot="1">
      <c r="A28" s="102"/>
      <c r="B28" s="590"/>
      <c r="C28" s="590"/>
      <c r="D28" s="590"/>
      <c r="E28" s="590"/>
      <c r="F28" s="590"/>
      <c r="G28" s="590"/>
      <c r="H28" s="590"/>
      <c r="I28" s="590"/>
      <c r="J28" s="590"/>
      <c r="K28" s="47"/>
      <c r="L28" s="102"/>
      <c r="M28" s="47"/>
      <c r="N28" s="16" t="s">
        <v>163</v>
      </c>
      <c r="O28" s="581"/>
      <c r="P28" s="581"/>
      <c r="Q28" s="104" t="s">
        <v>259</v>
      </c>
      <c r="R28" s="104"/>
      <c r="S28" s="47"/>
      <c r="T28" s="47"/>
    </row>
    <row r="29" spans="1:31" ht="15" customHeight="1" thickTop="1">
      <c r="A29" s="102"/>
      <c r="B29" s="99"/>
      <c r="C29" s="99"/>
      <c r="D29" s="99"/>
      <c r="E29" s="99"/>
      <c r="F29" s="99"/>
      <c r="G29" s="47"/>
      <c r="H29" s="47"/>
      <c r="I29" s="47"/>
      <c r="J29" s="47"/>
      <c r="K29" s="47"/>
      <c r="L29" s="102"/>
      <c r="M29" s="47"/>
      <c r="N29" s="94" t="s">
        <v>164</v>
      </c>
      <c r="O29" s="584"/>
      <c r="P29" s="584"/>
      <c r="Q29" s="104" t="s">
        <v>135</v>
      </c>
      <c r="R29" s="104"/>
      <c r="S29" s="47"/>
      <c r="T29" s="47"/>
    </row>
    <row r="30" spans="1:31" ht="15" customHeight="1" thickBot="1">
      <c r="A30" s="102"/>
      <c r="B30" s="16" t="s">
        <v>190</v>
      </c>
      <c r="C30" s="562" t="str">
        <f>Vm_3</f>
        <v>-</v>
      </c>
      <c r="D30" s="562"/>
      <c r="E30" s="47" t="s">
        <v>171</v>
      </c>
      <c r="F30" s="79"/>
      <c r="G30" s="47"/>
      <c r="H30" s="47"/>
      <c r="I30" s="47"/>
      <c r="J30" s="47"/>
      <c r="K30" s="47"/>
      <c r="L30" s="131"/>
      <c r="M30" s="125"/>
      <c r="N30" s="95" t="s">
        <v>165</v>
      </c>
      <c r="O30" s="585" t="str">
        <f>IF(ISNUMBER(O29),(O26-O27)/O28/O29,"-")</f>
        <v>-</v>
      </c>
      <c r="P30" s="585"/>
      <c r="Q30" s="291" t="s">
        <v>260</v>
      </c>
      <c r="R30" s="104"/>
      <c r="S30" s="47"/>
      <c r="T30" s="47"/>
    </row>
    <row r="31" spans="1:31" ht="15" customHeight="1">
      <c r="A31" s="102"/>
      <c r="B31" s="16" t="s">
        <v>189</v>
      </c>
      <c r="C31" s="563" t="str">
        <f>IF(ISNUMBER(Vm_3),Tstd/Pstd*Y*Vm_3*(Pbar_3+dH_3/13.6)/Tm_3,"-")</f>
        <v>-</v>
      </c>
      <c r="D31" s="563"/>
      <c r="E31" s="47" t="s">
        <v>172</v>
      </c>
      <c r="F31" s="47"/>
      <c r="G31" s="47"/>
      <c r="H31" s="47"/>
      <c r="I31" s="47"/>
      <c r="J31" s="47"/>
      <c r="L31" s="47"/>
      <c r="M31" s="47"/>
      <c r="N31" s="99"/>
      <c r="O31" s="99"/>
      <c r="P31" s="99"/>
      <c r="Q31" s="47"/>
      <c r="R31" s="104"/>
    </row>
    <row r="32" spans="1:31" ht="15" customHeight="1">
      <c r="A32" s="102"/>
      <c r="B32" s="16" t="s">
        <v>188</v>
      </c>
      <c r="C32" s="562" t="str">
        <f>Vws_3</f>
        <v>-</v>
      </c>
      <c r="D32" s="562"/>
      <c r="E32" s="47" t="s">
        <v>173</v>
      </c>
      <c r="F32" s="47"/>
      <c r="G32" s="47"/>
      <c r="H32" s="47"/>
      <c r="I32" s="47"/>
      <c r="J32" s="47"/>
      <c r="K32" s="117" t="s">
        <v>179</v>
      </c>
      <c r="L32" s="567" t="str">
        <f>IF(ISNUMBER(Bws_3),-150.3162+13.4622*SQRT(Ts_3)+3861530/(Ts_3^2)+0.591123*(1-Bws_3)*OO-91.9723*Bws_3+0.0000151761*Bws_3*(Ts_3^2),"-")</f>
        <v>-</v>
      </c>
      <c r="M32" s="567"/>
      <c r="N32" s="47" t="s">
        <v>180</v>
      </c>
      <c r="O32" s="47"/>
      <c r="P32" s="47"/>
      <c r="Q32" s="47"/>
      <c r="R32" s="104"/>
    </row>
    <row r="33" spans="1:26" ht="15" customHeight="1">
      <c r="A33" s="102"/>
      <c r="B33" s="16" t="s">
        <v>187</v>
      </c>
      <c r="C33" s="564" t="str">
        <f>IF(ISNUMBER(Vms_3),Vms_3/Time_3,"-")</f>
        <v>-</v>
      </c>
      <c r="D33" s="564"/>
      <c r="E33" s="47" t="s">
        <v>174</v>
      </c>
      <c r="F33" s="47"/>
      <c r="G33" s="47"/>
      <c r="H33" s="47"/>
      <c r="I33" s="47"/>
      <c r="J33" s="47"/>
      <c r="K33" s="16" t="s">
        <v>181</v>
      </c>
      <c r="L33" s="563" t="str">
        <f>IF(ISNUMBER(Mw_3),1+0.0057193*(vis_3/Ps_3/(IF(ISNUMBER(D50IV_3),D50IV_3,2.5)))*SQRT(Ts_3/Mw_3),"-")</f>
        <v>-</v>
      </c>
      <c r="M33" s="563"/>
      <c r="N33" s="47" t="s">
        <v>191</v>
      </c>
      <c r="O33" s="47"/>
      <c r="P33" s="47"/>
      <c r="Q33" s="47"/>
      <c r="R33" s="104"/>
    </row>
    <row r="34" spans="1:26" ht="15" customHeight="1">
      <c r="A34" s="102"/>
      <c r="B34" s="16" t="s">
        <v>186</v>
      </c>
      <c r="C34" s="565" t="str">
        <f>IF(ISNUMBER(Qsst_3),Pstd/Tstd*Qsst_3*(1/(1-Bws_3))*Ts_3/Ps_3,"-")</f>
        <v>-</v>
      </c>
      <c r="D34" s="565"/>
      <c r="E34" s="47" t="s">
        <v>175</v>
      </c>
      <c r="F34" s="47"/>
      <c r="G34" s="47"/>
      <c r="H34" s="47"/>
      <c r="I34" s="79"/>
      <c r="J34" s="47"/>
      <c r="K34" s="16" t="s">
        <v>184</v>
      </c>
      <c r="L34" s="566" t="str">
        <f>IF(ISNUMBER(Mw_3),0.15625*(Ts_3/Mw_3/Ps_3)^0.2091*(vis_3/Qs_3)^0.7091,"-")</f>
        <v>-</v>
      </c>
      <c r="M34" s="566"/>
      <c r="N34" s="292" t="s">
        <v>182</v>
      </c>
      <c r="O34" s="47"/>
      <c r="P34" s="47"/>
      <c r="Q34" s="47"/>
      <c r="R34" s="104"/>
    </row>
    <row r="35" spans="1:26" ht="15" customHeight="1">
      <c r="A35" s="102"/>
      <c r="B35" s="16" t="s">
        <v>176</v>
      </c>
      <c r="C35" s="566" t="str">
        <f>IF(ISNUMBER(Vms_3),Pstd/Tstd*100*Ts_3*Vms_3/60/Vs_3/Time_3/An/Ps_3/(1-Bws_3),"-")</f>
        <v>-</v>
      </c>
      <c r="D35" s="566"/>
      <c r="E35" s="47" t="s">
        <v>177</v>
      </c>
      <c r="F35" s="47"/>
      <c r="G35" s="47"/>
      <c r="H35" s="47"/>
      <c r="I35" s="47"/>
      <c r="J35" s="47"/>
      <c r="K35" s="16" t="s">
        <v>185</v>
      </c>
      <c r="L35" s="566" t="str">
        <f>IF(ISNUMBER(Mw_3),IF(Nr_3&lt;3162,0.0024302*(vis_3/Qs_3)^1.1791*SQRT(1/Cf_3)*(Ts_3/Ps_3/Mw_3)^0.679,0.019723*(vis_3/Qs_3)^0.8058*SQRT(1/Cf_3)*(Ts_3/Ps_3/Mw_3)^0.3058),"-")</f>
        <v>-</v>
      </c>
      <c r="M35" s="566"/>
      <c r="N35" s="292" t="s">
        <v>183</v>
      </c>
      <c r="O35" s="47"/>
      <c r="P35" s="47"/>
      <c r="Q35" s="47"/>
      <c r="R35" s="104"/>
    </row>
    <row r="36" spans="1:26" ht="15" customHeight="1">
      <c r="A36" s="102"/>
      <c r="B36" s="16" t="s">
        <v>233</v>
      </c>
      <c r="C36" s="559" t="str">
        <f>IF(ISNUMBER(vis_3),864000*Ps_3*Mw_3/Ts_3*Qs_3/vis_3,"-")</f>
        <v>-</v>
      </c>
      <c r="D36" s="559"/>
      <c r="E36" s="47" t="s">
        <v>178</v>
      </c>
      <c r="F36" s="47"/>
      <c r="G36" s="47"/>
      <c r="H36" s="47"/>
      <c r="I36" s="47"/>
      <c r="J36" s="47"/>
      <c r="K36" s="16" t="s">
        <v>195</v>
      </c>
      <c r="L36" s="561" t="str">
        <f>IF(ISNUMBER(Qsw_3),(1-Bws_3)*Qsw_3,"-")</f>
        <v>-</v>
      </c>
      <c r="M36" s="561"/>
      <c r="N36" s="554" t="s">
        <v>229</v>
      </c>
      <c r="O36" s="554"/>
      <c r="P36" s="554"/>
      <c r="Q36" s="554"/>
      <c r="R36" s="104"/>
    </row>
    <row r="37" spans="1:26" ht="15" customHeight="1">
      <c r="A37" s="102"/>
      <c r="B37" s="16" t="s">
        <v>194</v>
      </c>
      <c r="C37" s="560" t="str">
        <f>IF(ISNUMBER(Mw_3),85.49*Cp*dPsqavg_3*SQRT(Ts_3/Ps_3/Mw_3),"-")</f>
        <v>-</v>
      </c>
      <c r="D37" s="560"/>
      <c r="E37" s="76" t="s">
        <v>272</v>
      </c>
      <c r="F37" s="47"/>
      <c r="G37" s="47"/>
      <c r="H37" s="47"/>
      <c r="I37" s="47"/>
      <c r="J37" s="47"/>
      <c r="K37" s="16" t="s">
        <v>196</v>
      </c>
      <c r="L37" s="561" t="str">
        <f>IF(ISNUMBER(Bws_3),3600*Vs_3*A/Pstd*Tstd*Ps_3/Ts_3,"-")</f>
        <v>-</v>
      </c>
      <c r="M37" s="561"/>
      <c r="N37" s="554" t="s">
        <v>239</v>
      </c>
      <c r="O37" s="554"/>
      <c r="P37" s="554"/>
      <c r="Q37" s="554"/>
      <c r="R37" s="104"/>
      <c r="Z37" s="99"/>
    </row>
    <row r="38" spans="1:26" ht="15" customHeight="1">
      <c r="A38" s="102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104"/>
      <c r="Z38" s="99"/>
    </row>
    <row r="39" spans="1:26" ht="15" customHeight="1">
      <c r="A39" s="102"/>
      <c r="B39" s="101"/>
      <c r="C39" s="47"/>
      <c r="D39" s="47"/>
      <c r="E39" s="492" t="s">
        <v>197</v>
      </c>
      <c r="F39" s="492"/>
      <c r="G39" s="492"/>
      <c r="H39" s="79"/>
      <c r="I39" s="47"/>
      <c r="J39" s="47"/>
      <c r="K39" s="47"/>
      <c r="L39" s="492" t="s">
        <v>200</v>
      </c>
      <c r="M39" s="492"/>
      <c r="N39" s="492"/>
      <c r="O39" s="47"/>
      <c r="P39" s="47"/>
      <c r="Q39" s="47"/>
      <c r="R39" s="104"/>
      <c r="Z39" s="99"/>
    </row>
    <row r="40" spans="1:26" ht="17.25" customHeight="1">
      <c r="A40" s="102"/>
      <c r="B40" s="101"/>
      <c r="C40" s="293"/>
      <c r="D40" s="16" t="s">
        <v>198</v>
      </c>
      <c r="E40" s="555" t="str">
        <f>IF(AND(ISNUMBER(M1_3),ISNUMBER(M4_3)),(7000/453592)*(M1_3+M4_3)/Vms_3,"-")</f>
        <v>-</v>
      </c>
      <c r="F40" s="556"/>
      <c r="G40" s="556"/>
      <c r="H40" s="47" t="s">
        <v>83</v>
      </c>
      <c r="I40" s="47"/>
      <c r="J40" s="47"/>
      <c r="K40" s="16" t="s">
        <v>198</v>
      </c>
      <c r="L40" s="557" t="str">
        <f>IF(ISNUMBER(E40),Qsd_3*E40/7000,"-")</f>
        <v>-</v>
      </c>
      <c r="M40" s="558"/>
      <c r="N40" s="558"/>
      <c r="O40" s="47" t="s">
        <v>82</v>
      </c>
      <c r="P40" s="47"/>
      <c r="Q40" s="47"/>
      <c r="R40" s="104"/>
      <c r="Z40" s="99"/>
    </row>
    <row r="41" spans="1:26" ht="6" customHeight="1">
      <c r="A41" s="102"/>
      <c r="B41" s="101"/>
      <c r="C41" s="293"/>
      <c r="D41" s="16"/>
      <c r="E41" s="294"/>
      <c r="F41" s="295"/>
      <c r="G41" s="295"/>
      <c r="H41" s="47"/>
      <c r="I41" s="47"/>
      <c r="J41" s="47"/>
      <c r="K41" s="16"/>
      <c r="L41" s="294"/>
      <c r="M41" s="295"/>
      <c r="N41" s="295"/>
      <c r="O41" s="47"/>
      <c r="P41" s="47"/>
      <c r="Q41" s="47"/>
      <c r="R41" s="104"/>
      <c r="Z41" s="99"/>
    </row>
    <row r="42" spans="1:26" ht="15" customHeight="1">
      <c r="A42" s="102"/>
      <c r="B42" s="101"/>
      <c r="C42" s="293"/>
      <c r="D42" s="16" t="s">
        <v>199</v>
      </c>
      <c r="E42" s="555" t="str">
        <f>IF(AND(ISNUMBER(M1_3),ISNUMBER(M3_3),ISNUMBER(M4_3)),(7000/453592)*(M1_3+M3_3+M4_3)/Vms_3,"-")</f>
        <v>-</v>
      </c>
      <c r="F42" s="556"/>
      <c r="G42" s="556"/>
      <c r="H42" s="47" t="s">
        <v>83</v>
      </c>
      <c r="I42" s="47"/>
      <c r="J42" s="47"/>
      <c r="K42" s="16" t="s">
        <v>199</v>
      </c>
      <c r="L42" s="557" t="str">
        <f>IF(ISNUMBER(E42),Qsd_3*E42/7000,"-")</f>
        <v>-</v>
      </c>
      <c r="M42" s="558"/>
      <c r="N42" s="558"/>
      <c r="O42" s="47" t="s">
        <v>82</v>
      </c>
      <c r="P42" s="47"/>
      <c r="Q42" s="47"/>
      <c r="R42" s="104"/>
    </row>
    <row r="43" spans="1:26" ht="6" customHeight="1">
      <c r="A43" s="102"/>
      <c r="B43" s="101"/>
      <c r="C43" s="293"/>
      <c r="D43" s="16"/>
      <c r="E43" s="294"/>
      <c r="F43" s="295"/>
      <c r="G43" s="295"/>
      <c r="H43" s="47"/>
      <c r="I43" s="47"/>
      <c r="J43" s="47"/>
      <c r="K43" s="16"/>
      <c r="L43" s="294"/>
      <c r="M43" s="295"/>
      <c r="N43" s="295"/>
      <c r="O43" s="47"/>
      <c r="P43" s="47"/>
      <c r="Q43" s="47"/>
      <c r="R43" s="104"/>
    </row>
    <row r="44" spans="1:26" ht="15" customHeight="1">
      <c r="A44" s="102"/>
      <c r="B44" s="101"/>
      <c r="C44" s="293"/>
      <c r="D44" s="16" t="s">
        <v>170</v>
      </c>
      <c r="E44" s="555" t="str">
        <f>IF(AND(ISNUMBER(M1_3),ISNUMBER(M2_3),ISNUMBER(M3_3),ISNUMBER(M4_3)),(7000/453592)*(M1_3+M2_3+M3_3+M4_3)/Vms_3,"-")</f>
        <v>-</v>
      </c>
      <c r="F44" s="556"/>
      <c r="G44" s="556"/>
      <c r="H44" s="47" t="s">
        <v>83</v>
      </c>
      <c r="I44" s="47"/>
      <c r="J44" s="47"/>
      <c r="K44" s="16" t="s">
        <v>170</v>
      </c>
      <c r="L44" s="557" t="str">
        <f>IF(ISNUMBER(E44),Qsd_3*E44/7000,"-")</f>
        <v>-</v>
      </c>
      <c r="M44" s="558"/>
      <c r="N44" s="558"/>
      <c r="O44" s="47" t="s">
        <v>82</v>
      </c>
      <c r="P44" s="47"/>
      <c r="Q44" s="47"/>
      <c r="R44" s="104"/>
      <c r="U44" s="135"/>
      <c r="Z44" s="99"/>
    </row>
    <row r="45" spans="1:26" ht="15" customHeight="1">
      <c r="A45" s="102"/>
      <c r="B45" s="101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104"/>
      <c r="U45" s="135"/>
      <c r="Z45" s="99"/>
    </row>
    <row r="46" spans="1:26" ht="15" customHeight="1">
      <c r="A46" s="102"/>
      <c r="B46" s="101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104"/>
      <c r="U46" s="135"/>
      <c r="Z46" s="99"/>
    </row>
    <row r="47" spans="1:26" ht="15" customHeight="1">
      <c r="A47" s="102"/>
      <c r="B47" s="101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104"/>
      <c r="U47" s="135"/>
      <c r="Z47" s="99"/>
    </row>
    <row r="48" spans="1:26" ht="9" customHeight="1">
      <c r="A48" s="102"/>
      <c r="B48" s="47"/>
      <c r="C48" s="79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104"/>
      <c r="S48" s="47"/>
      <c r="T48" s="47"/>
      <c r="U48" s="101"/>
      <c r="Z48" s="99"/>
    </row>
    <row r="49" spans="1:29" ht="15" customHeight="1" thickBot="1">
      <c r="A49" s="102"/>
      <c r="B49" s="125"/>
      <c r="C49" s="125"/>
      <c r="D49" s="125"/>
      <c r="E49" s="125"/>
      <c r="F49" s="125"/>
      <c r="G49" s="125"/>
      <c r="H49" s="125"/>
      <c r="I49" s="125"/>
      <c r="J49" s="47"/>
      <c r="K49" s="125"/>
      <c r="L49" s="125"/>
      <c r="M49" s="125"/>
      <c r="N49" s="125"/>
      <c r="O49" s="125"/>
      <c r="P49" s="125"/>
      <c r="Q49" s="125"/>
      <c r="R49" s="104"/>
      <c r="S49" s="47"/>
      <c r="T49" s="47"/>
      <c r="U49" s="101"/>
      <c r="Z49" s="99"/>
    </row>
    <row r="50" spans="1:29" ht="17.25" customHeight="1">
      <c r="A50" s="102"/>
      <c r="B50" s="189"/>
      <c r="C50" s="189" t="s">
        <v>76</v>
      </c>
      <c r="D50" s="190"/>
      <c r="E50" s="190"/>
      <c r="F50" s="191"/>
      <c r="G50" s="192"/>
      <c r="H50" s="193"/>
      <c r="I50" s="193"/>
      <c r="J50" s="47"/>
      <c r="K50" s="189"/>
      <c r="L50" s="189" t="s">
        <v>63</v>
      </c>
      <c r="M50" s="190"/>
      <c r="N50" s="47"/>
      <c r="O50" s="47"/>
      <c r="P50" s="47"/>
      <c r="Q50" s="47"/>
      <c r="R50" s="104"/>
      <c r="S50" s="47"/>
      <c r="T50" s="47"/>
      <c r="U50" s="101"/>
      <c r="Z50" s="99"/>
    </row>
    <row r="51" spans="1:29" ht="15" customHeight="1" thickBot="1">
      <c r="A51" s="131"/>
      <c r="B51" s="125"/>
      <c r="C51" s="125"/>
      <c r="D51" s="125"/>
      <c r="E51" s="125"/>
      <c r="F51" s="125"/>
      <c r="G51" s="125"/>
      <c r="H51" s="194"/>
      <c r="I51" s="125"/>
      <c r="J51" s="125"/>
      <c r="K51" s="125"/>
      <c r="L51" s="195"/>
      <c r="M51" s="194"/>
      <c r="N51" s="125"/>
      <c r="O51" s="125"/>
      <c r="P51" s="125"/>
      <c r="Q51" s="125"/>
      <c r="R51" s="126"/>
      <c r="S51" s="47"/>
      <c r="T51" s="47"/>
      <c r="U51" s="101"/>
      <c r="V51" s="47"/>
      <c r="Z51" s="99"/>
    </row>
    <row r="52" spans="1:29" ht="4.5" customHeight="1">
      <c r="B52" s="99"/>
      <c r="C52" s="99"/>
      <c r="D52" s="99"/>
      <c r="E52" s="47"/>
      <c r="F52" s="47"/>
      <c r="G52" s="47"/>
      <c r="H52" s="47"/>
      <c r="I52" s="47"/>
      <c r="J52" s="47"/>
      <c r="K52" s="47"/>
      <c r="L52" s="47"/>
      <c r="M52" s="47"/>
      <c r="N52" s="99"/>
      <c r="O52" s="47"/>
      <c r="P52" s="47"/>
      <c r="Q52" s="47"/>
      <c r="R52" s="47"/>
      <c r="S52" s="47"/>
      <c r="T52" s="47"/>
      <c r="U52" s="101"/>
      <c r="V52" s="47"/>
      <c r="Z52" s="99"/>
    </row>
    <row r="53" spans="1:29" ht="15" customHeight="1"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47"/>
      <c r="P53" s="47"/>
      <c r="Q53" s="47"/>
      <c r="R53" s="47"/>
      <c r="S53" s="47"/>
      <c r="T53" s="47"/>
      <c r="U53" s="101"/>
      <c r="V53" s="47"/>
      <c r="Z53" s="99"/>
    </row>
    <row r="54" spans="1:29" ht="15" customHeight="1">
      <c r="B54" s="99"/>
      <c r="C54" s="99"/>
      <c r="D54" s="99"/>
      <c r="E54" s="99"/>
      <c r="F54" s="99"/>
      <c r="G54" s="196"/>
      <c r="H54" s="99"/>
      <c r="I54" s="99"/>
      <c r="J54" s="99"/>
      <c r="K54" s="99"/>
      <c r="L54" s="99"/>
      <c r="M54" s="99"/>
      <c r="N54" s="99"/>
      <c r="O54" s="47"/>
      <c r="P54" s="47"/>
      <c r="Q54" s="47"/>
      <c r="R54" s="47"/>
      <c r="S54" s="47"/>
      <c r="T54" s="47"/>
      <c r="U54" s="101"/>
      <c r="V54" s="47"/>
      <c r="Z54" s="99"/>
    </row>
    <row r="55" spans="1:29" ht="15" customHeight="1"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47"/>
      <c r="P55" s="47"/>
      <c r="Q55" s="47"/>
      <c r="R55" s="47"/>
      <c r="S55" s="47"/>
      <c r="T55" s="47"/>
      <c r="U55" s="101"/>
      <c r="Z55" s="99"/>
    </row>
    <row r="56" spans="1:29" ht="15" customHeight="1"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47"/>
      <c r="P56" s="47"/>
      <c r="Q56" s="47"/>
      <c r="R56" s="47"/>
      <c r="S56" s="47"/>
      <c r="T56" s="47"/>
      <c r="U56" s="47"/>
    </row>
    <row r="57" spans="1:29" ht="15" customHeight="1"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47"/>
      <c r="P57" s="47"/>
      <c r="Q57" s="47"/>
      <c r="R57" s="47"/>
      <c r="S57" s="47"/>
      <c r="T57" s="47"/>
      <c r="U57" s="47"/>
      <c r="AB57" s="47"/>
      <c r="AC57" s="47"/>
    </row>
    <row r="58" spans="1:29" ht="15" customHeight="1"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47"/>
      <c r="P58" s="47"/>
      <c r="Q58" s="47"/>
      <c r="R58" s="47"/>
      <c r="S58" s="47"/>
      <c r="T58" s="47"/>
      <c r="U58" s="47"/>
      <c r="AB58" s="47"/>
      <c r="AC58" s="47"/>
    </row>
    <row r="59" spans="1:29" ht="5.25" customHeight="1"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47"/>
      <c r="P59" s="47"/>
      <c r="Q59" s="47"/>
      <c r="R59" s="47"/>
      <c r="S59" s="47"/>
      <c r="T59" s="47"/>
      <c r="U59" s="47"/>
      <c r="AB59" s="47"/>
      <c r="AC59" s="47"/>
    </row>
    <row r="60" spans="1:29" ht="15" customHeight="1"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47"/>
      <c r="T60" s="47"/>
      <c r="U60" s="47"/>
      <c r="AB60" s="47"/>
      <c r="AC60" s="47"/>
    </row>
    <row r="61" spans="1:29" ht="15" customHeight="1"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47"/>
      <c r="T61" s="47"/>
      <c r="U61" s="47"/>
    </row>
    <row r="62" spans="1:29" ht="15" customHeight="1"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47"/>
      <c r="T62" s="47"/>
      <c r="U62" s="47"/>
    </row>
    <row r="63" spans="1:29" ht="15" customHeight="1"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</row>
    <row r="64" spans="1:29" ht="15" customHeight="1"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</row>
    <row r="65" spans="2:18" ht="15" customHeight="1"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</row>
    <row r="66" spans="2:18" ht="15" customHeight="1"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</row>
    <row r="67" spans="2:18" ht="15" customHeight="1"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</row>
    <row r="68" spans="2:18" ht="15" customHeight="1"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</row>
    <row r="69" spans="2:18" ht="15" customHeight="1"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</row>
    <row r="70" spans="2:18" ht="15" customHeight="1"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</row>
    <row r="71" spans="2:18" ht="15" customHeight="1"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</row>
    <row r="72" spans="2:18" ht="15" customHeight="1"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</row>
    <row r="73" spans="2:18" ht="15" customHeight="1"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</row>
    <row r="74" spans="2:18" ht="15" customHeight="1"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</row>
    <row r="75" spans="2:18" ht="15" customHeight="1"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</row>
    <row r="76" spans="2:18" ht="15" customHeight="1"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</row>
    <row r="77" spans="2:18" ht="15" customHeight="1"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</row>
    <row r="78" spans="2:18" ht="15" customHeight="1"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</row>
    <row r="79" spans="2:18" ht="15" customHeight="1"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</row>
    <row r="80" spans="2:18" ht="15" customHeight="1"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</row>
    <row r="81" spans="2:18" ht="15" customHeight="1"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</row>
    <row r="82" spans="2:18" ht="1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</row>
    <row r="83" spans="2:18" ht="15" customHeight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</row>
    <row r="84" spans="2:18" ht="15" customHeight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</row>
    <row r="85" spans="2:18" ht="15" customHeight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</row>
    <row r="86" spans="2:18" ht="15" customHeight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</row>
    <row r="87" spans="2:18" ht="15" customHeight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</row>
    <row r="88" spans="2:18" ht="15" customHeight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</row>
    <row r="89" spans="2:18" ht="15" customHeight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</row>
    <row r="90" spans="2:18" ht="15" customHeight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</row>
    <row r="91" spans="2:18" ht="15" customHeight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</row>
    <row r="92" spans="2:18" ht="15" customHeight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</row>
    <row r="93" spans="2:18" ht="15" customHeight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</row>
    <row r="94" spans="2:18" ht="15" customHeight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</row>
    <row r="95" spans="2:18" ht="15" customHeight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</row>
    <row r="96" spans="2:18" ht="15" customHeight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</row>
    <row r="97" spans="2:18" ht="15" customHeight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</row>
    <row r="98" spans="2:18" ht="15" customHeight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</row>
    <row r="99" spans="2:18" ht="15" customHeight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</row>
    <row r="100" spans="2:18" ht="15" customHeight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</row>
    <row r="101" spans="2:18" ht="15" customHeight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</row>
    <row r="102" spans="2:18" ht="15" customHeight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</row>
    <row r="103" spans="2:18" ht="15" customHeight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</row>
    <row r="104" spans="2:18" ht="15" customHeight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</row>
    <row r="105" spans="2:18" ht="15" customHeight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</row>
    <row r="106" spans="2:18" ht="15" customHeight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</row>
    <row r="107" spans="2:18" ht="15" customHeight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</row>
    <row r="108" spans="2:18" ht="15" customHeight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</row>
    <row r="109" spans="2:18" ht="15" customHeight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</row>
    <row r="110" spans="2:18" ht="15" customHeight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</row>
    <row r="111" spans="2:18" ht="15" customHeight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</row>
    <row r="112" spans="2:18" ht="15" customHeight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</row>
    <row r="113" spans="2:18" ht="15" customHeight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</row>
    <row r="114" spans="2:18" ht="15" customHeight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</row>
    <row r="115" spans="2:18" ht="15" customHeight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</row>
    <row r="116" spans="2:18" ht="15" customHeight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</row>
    <row r="117" spans="2:18" ht="15" customHeight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</row>
    <row r="118" spans="2:18" ht="15" customHeight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</row>
    <row r="119" spans="2:18" ht="15" customHeight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</row>
    <row r="120" spans="2:18" ht="15" customHeight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</row>
    <row r="121" spans="2:18" ht="15" customHeight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</row>
    <row r="122" spans="2:18" ht="15" customHeight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</row>
    <row r="123" spans="2:18" ht="15" customHeight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</row>
    <row r="124" spans="2:18" ht="15" customHeight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</row>
    <row r="125" spans="2:18" ht="15" customHeight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</row>
    <row r="126" spans="2:18" ht="15" customHeight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</row>
    <row r="127" spans="2:18" ht="15" customHeight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</row>
    <row r="128" spans="2:18" ht="15" customHeight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</row>
    <row r="129" spans="2:18" ht="15" customHeight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</row>
    <row r="130" spans="2:18" ht="15" customHeight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</row>
    <row r="131" spans="2:18" ht="15" customHeight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</row>
    <row r="132" spans="2:18" ht="15" customHeight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</row>
    <row r="133" spans="2:18" ht="15" customHeight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</row>
    <row r="134" spans="2:18" ht="15" customHeight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</row>
    <row r="135" spans="2:18" ht="15" customHeight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</row>
    <row r="136" spans="2:18" ht="15" customHeight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</row>
    <row r="137" spans="2:18" ht="15" customHeight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</row>
    <row r="138" spans="2:18" ht="15" customHeight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</row>
    <row r="139" spans="2:18" ht="15" customHeight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</row>
    <row r="140" spans="2:18" ht="15" customHeight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</row>
    <row r="141" spans="2:18" ht="15" customHeight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</row>
    <row r="142" spans="2:18" ht="15" customHeight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</row>
    <row r="143" spans="2:18" ht="15" customHeight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</row>
    <row r="144" spans="2:18" ht="15" customHeight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</row>
    <row r="145" spans="2:18" ht="15" customHeight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</row>
    <row r="146" spans="2:18" ht="15" customHeight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</row>
    <row r="147" spans="2:18" ht="15" customHeight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</row>
    <row r="148" spans="2:18" ht="15" customHeight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</row>
    <row r="149" spans="2:18" ht="15" customHeight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</row>
    <row r="150" spans="2:18" ht="15" customHeight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</row>
    <row r="151" spans="2:18" ht="15" customHeight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</row>
    <row r="152" spans="2:18" ht="15" customHeight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</row>
    <row r="153" spans="2:18" ht="15" customHeight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</row>
    <row r="154" spans="2:18" ht="15" customHeight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</row>
    <row r="155" spans="2:18" ht="15" customHeight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</row>
    <row r="156" spans="2:18" ht="15" customHeight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</row>
    <row r="157" spans="2:18" ht="15" customHeight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</row>
    <row r="158" spans="2:18" ht="15" customHeight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</row>
    <row r="159" spans="2:18" ht="15" customHeight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</row>
    <row r="160" spans="2:18" ht="15" customHeight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</row>
    <row r="161" spans="2:18" ht="15" customHeight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</row>
    <row r="162" spans="2:18" ht="15" customHeight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</row>
    <row r="163" spans="2:18" ht="15" customHeight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</row>
    <row r="164" spans="2:18" ht="15" customHeight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</row>
    <row r="165" spans="2:18" ht="15" customHeight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</row>
    <row r="166" spans="2:18" ht="15" customHeight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</row>
    <row r="167" spans="2:18" ht="15" customHeight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</row>
    <row r="168" spans="2:18" ht="15" customHeight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</row>
    <row r="169" spans="2:18" ht="15" customHeight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</row>
    <row r="170" spans="2:18" ht="15" customHeight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</row>
    <row r="171" spans="2:18" ht="15" customHeight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</row>
    <row r="172" spans="2:18" ht="15" customHeight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</row>
    <row r="173" spans="2:18" ht="15" customHeight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</row>
    <row r="174" spans="2:18" ht="15" customHeight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</row>
    <row r="175" spans="2:18" ht="15" customHeight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</row>
    <row r="176" spans="2:18" ht="15" customHeight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</row>
    <row r="177" spans="2:18" ht="15" customHeight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</row>
    <row r="178" spans="2:18" ht="15" customHeight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</row>
    <row r="179" spans="2:18" ht="15" customHeight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</row>
    <row r="180" spans="2:18" ht="15" customHeight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</row>
    <row r="181" spans="2:18" ht="15" customHeight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</row>
    <row r="182" spans="2:18" ht="15" customHeight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</row>
    <row r="183" spans="2:18" ht="15" customHeight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</row>
    <row r="184" spans="2:18" ht="15" customHeight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</row>
    <row r="185" spans="2:18" ht="15" customHeight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</row>
    <row r="186" spans="2:18" ht="15" customHeight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</row>
    <row r="187" spans="2:18" ht="15" customHeight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</row>
    <row r="188" spans="2:18" ht="15" customHeight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</row>
    <row r="189" spans="2:18" ht="15" customHeight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</row>
    <row r="190" spans="2:18" ht="15" customHeight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</row>
    <row r="191" spans="2:18" ht="15" customHeight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</row>
    <row r="192" spans="2:18" ht="15" customHeight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</row>
    <row r="193" spans="2:18" ht="15" customHeight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</row>
    <row r="194" spans="2:18" ht="15" customHeight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</row>
    <row r="195" spans="2:18" ht="15" customHeight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</row>
    <row r="196" spans="2:18" ht="15" customHeight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</row>
    <row r="197" spans="2:18" ht="15" customHeight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</row>
    <row r="198" spans="2:18" ht="15" customHeight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</row>
    <row r="199" spans="2:18" ht="15" customHeight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</row>
    <row r="200" spans="2:18" ht="15" customHeight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</row>
    <row r="201" spans="2:18" ht="15" customHeight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</row>
    <row r="202" spans="2:18" ht="15" customHeight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</row>
    <row r="203" spans="2:18" ht="15" customHeight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</row>
    <row r="204" spans="2:18" ht="15" customHeight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</row>
    <row r="205" spans="2:18" ht="15" customHeight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</row>
    <row r="206" spans="2:18" ht="15" customHeight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</row>
    <row r="207" spans="2:18" ht="15" customHeight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</row>
    <row r="208" spans="2:18" ht="15" customHeight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</row>
    <row r="209" spans="2:18" ht="15" customHeight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</row>
    <row r="210" spans="2:18" ht="15" customHeight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</row>
    <row r="211" spans="2:18" ht="15" customHeight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</row>
    <row r="212" spans="2:18" ht="15" customHeight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</row>
    <row r="213" spans="2:18" ht="15" customHeight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</row>
    <row r="214" spans="2:18" ht="15" customHeight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</row>
    <row r="215" spans="2:18" ht="15" customHeight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</row>
    <row r="216" spans="2:18" ht="15" customHeight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</row>
    <row r="217" spans="2:18" ht="15" customHeight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</row>
    <row r="218" spans="2:18" ht="15" customHeight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</row>
    <row r="219" spans="2:18" ht="15" customHeight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</row>
    <row r="220" spans="2:18" ht="15" customHeight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</row>
    <row r="221" spans="2:18" ht="15" customHeight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</row>
    <row r="222" spans="2:18" ht="15" customHeight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</row>
    <row r="223" spans="2:18" ht="15" customHeight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</row>
    <row r="224" spans="2:18" ht="15" customHeight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</row>
    <row r="225" spans="2:18" ht="15" customHeight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</row>
    <row r="226" spans="2:18" ht="15" customHeight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</row>
    <row r="227" spans="2:18" ht="15" customHeight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</row>
    <row r="228" spans="2:18" ht="15" customHeight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</row>
    <row r="229" spans="2:18" ht="15" customHeight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</row>
    <row r="230" spans="2:18" ht="15" customHeight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</row>
    <row r="231" spans="2:18" ht="15" customHeight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</row>
    <row r="232" spans="2:18" ht="15" customHeight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</row>
    <row r="233" spans="2:18" ht="15" customHeight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</row>
    <row r="234" spans="2:18" ht="15" customHeight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</row>
    <row r="235" spans="2:18" ht="15" customHeight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</row>
    <row r="236" spans="2:18" ht="15" customHeight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</row>
    <row r="237" spans="2:18" ht="15" customHeight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</row>
    <row r="238" spans="2:18" ht="15" customHeight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</row>
    <row r="239" spans="2:18" ht="15" customHeight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</row>
    <row r="240" spans="2:18" ht="15" customHeight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</row>
    <row r="241" spans="2:18" ht="15" customHeight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</row>
    <row r="242" spans="2:18" ht="15" customHeight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</row>
    <row r="243" spans="2:18" ht="15" customHeight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</row>
    <row r="244" spans="2:18" ht="15" customHeight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</row>
    <row r="245" spans="2:18" ht="15" customHeight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</row>
    <row r="246" spans="2:18" ht="15" customHeight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</row>
    <row r="247" spans="2:18" ht="15" customHeight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</row>
    <row r="248" spans="2:18" ht="15" customHeight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</row>
    <row r="249" spans="2:18" ht="15" customHeight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</row>
    <row r="250" spans="2:18" ht="15" customHeight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</row>
    <row r="251" spans="2:18" ht="15" customHeight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</row>
    <row r="252" spans="2:18" ht="15" customHeight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</row>
    <row r="253" spans="2:18" ht="15" customHeight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</row>
    <row r="254" spans="2:18" ht="15" customHeight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</row>
    <row r="255" spans="2:18" ht="15" customHeight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</row>
    <row r="256" spans="2:18" ht="15" customHeight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</row>
    <row r="257" spans="2:18" ht="15" customHeight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</row>
    <row r="258" spans="2:18" ht="15" customHeight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</row>
    <row r="259" spans="2:18" ht="15" customHeight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</row>
    <row r="260" spans="2:18" ht="15" customHeight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</row>
    <row r="261" spans="2:18" ht="15" customHeight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</row>
    <row r="262" spans="2:18" ht="15" customHeight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</row>
    <row r="263" spans="2:18" ht="15" customHeight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</row>
    <row r="264" spans="2:18" ht="15" customHeight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</row>
    <row r="265" spans="2:18" ht="15" customHeight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</row>
    <row r="266" spans="2:18" ht="15" customHeight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</row>
    <row r="267" spans="2:18" ht="15" customHeight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</row>
    <row r="268" spans="2:18" ht="15" customHeight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</row>
    <row r="269" spans="2:18" ht="15" customHeight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</row>
    <row r="270" spans="2:18" ht="15" customHeight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</row>
    <row r="271" spans="2:18" ht="15" customHeight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</row>
    <row r="272" spans="2:18" ht="15" customHeight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</row>
    <row r="273" spans="2:18" ht="15" customHeight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</row>
    <row r="274" spans="2:18" ht="15" customHeight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</row>
    <row r="275" spans="2:18" ht="15" customHeight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</row>
    <row r="276" spans="2:18" ht="15" customHeight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</row>
    <row r="277" spans="2:18" ht="15" customHeight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</row>
    <row r="278" spans="2:18" ht="15" customHeight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</row>
    <row r="279" spans="2:18" ht="15" customHeight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</row>
    <row r="280" spans="2:18" ht="15" customHeight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</row>
    <row r="281" spans="2:18" ht="15" customHeight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</row>
    <row r="282" spans="2:18" ht="15" customHeight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</row>
    <row r="283" spans="2:18" ht="15" customHeight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</row>
    <row r="284" spans="2:18" ht="15" customHeight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</row>
    <row r="285" spans="2:18" ht="15" customHeight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</row>
    <row r="286" spans="2:18" ht="15" customHeight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</row>
    <row r="287" spans="2:18" ht="15" customHeight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</row>
    <row r="288" spans="2:18" ht="15" customHeight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</row>
    <row r="289" spans="2:18" ht="15" customHeight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</row>
    <row r="290" spans="2:18" ht="15" customHeight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</row>
    <row r="291" spans="2:18" ht="15" customHeight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</row>
    <row r="292" spans="2:18" ht="15" customHeight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</row>
    <row r="293" spans="2:18" ht="15" customHeight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</row>
    <row r="294" spans="2:18" ht="15" customHeight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</row>
    <row r="295" spans="2:18" ht="15" customHeight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</row>
    <row r="296" spans="2:18" ht="15" customHeight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</row>
    <row r="297" spans="2:18" ht="15" customHeight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</row>
    <row r="298" spans="2:18" ht="15" customHeight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</row>
    <row r="299" spans="2:18" ht="15" customHeight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</row>
    <row r="300" spans="2:18" ht="15" customHeight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</row>
    <row r="301" spans="2:18" ht="15" customHeight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</row>
    <row r="302" spans="2:18" ht="15" customHeight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</row>
    <row r="303" spans="2:18" ht="15" customHeight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</row>
    <row r="304" spans="2:18" ht="15" customHeight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</row>
    <row r="305" spans="2:18" ht="15" customHeight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</row>
    <row r="306" spans="2:18" ht="15" customHeight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</row>
    <row r="307" spans="2:18" ht="15" customHeight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</row>
    <row r="308" spans="2:18" ht="15" customHeight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</row>
    <row r="309" spans="2:18" ht="15" customHeight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</row>
    <row r="310" spans="2:18" ht="15" customHeight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</row>
    <row r="311" spans="2:18" ht="15" customHeight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</row>
    <row r="312" spans="2:18" ht="15" customHeight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</row>
    <row r="313" spans="2:18" ht="15" customHeight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</row>
    <row r="314" spans="2:18" ht="15" customHeight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</row>
    <row r="315" spans="2:18" ht="15" customHeight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</row>
    <row r="316" spans="2:18" ht="15" customHeight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</row>
    <row r="317" spans="2:18" ht="15" customHeight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</row>
    <row r="318" spans="2:18" ht="15" customHeight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</row>
    <row r="319" spans="2:18" ht="15" customHeight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</row>
    <row r="320" spans="2:18" ht="15" customHeight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</row>
    <row r="321" spans="2:18" ht="15" customHeight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</row>
    <row r="322" spans="2:18" ht="15" customHeight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</row>
    <row r="323" spans="2:18" ht="15" customHeight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</row>
    <row r="324" spans="2:18" ht="15" customHeight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</row>
    <row r="325" spans="2:18" ht="15" customHeight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</row>
    <row r="326" spans="2:18" ht="15" customHeight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</row>
    <row r="327" spans="2:18" ht="15" customHeight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</row>
    <row r="328" spans="2:18" ht="15" customHeight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</row>
    <row r="329" spans="2:18" ht="15" customHeight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</row>
    <row r="330" spans="2:18" ht="15" customHeight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</row>
    <row r="331" spans="2:18" ht="15" customHeight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</row>
    <row r="332" spans="2:18" ht="15" customHeight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</row>
    <row r="333" spans="2:18" ht="15" customHeight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</row>
    <row r="334" spans="2:18" ht="15" customHeight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</row>
    <row r="335" spans="2:18" ht="15" customHeight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</row>
    <row r="336" spans="2:18" ht="15" customHeight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</row>
    <row r="337" spans="2:18" ht="15" customHeight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</row>
    <row r="338" spans="2:18" ht="15" customHeight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</row>
    <row r="339" spans="2:18" ht="15" customHeight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</row>
    <row r="340" spans="2:18" ht="15" customHeight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</row>
    <row r="341" spans="2:18" ht="15" customHeight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</row>
    <row r="342" spans="2:18" ht="15" customHeight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</row>
    <row r="343" spans="2:18" ht="15" customHeight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</row>
    <row r="344" spans="2:18" ht="15" customHeight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</row>
    <row r="345" spans="2:18" ht="15" customHeight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</row>
    <row r="346" spans="2:18" ht="15" customHeight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</row>
    <row r="347" spans="2:18" ht="15" customHeight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</row>
    <row r="348" spans="2:18" ht="15" customHeight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</row>
    <row r="349" spans="2:18" ht="15" customHeight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</row>
    <row r="350" spans="2:18" ht="15" customHeight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</row>
    <row r="351" spans="2:18" ht="15" customHeight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</row>
    <row r="352" spans="2:18" ht="15" customHeight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</row>
    <row r="353" spans="2:18" ht="15" customHeight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</row>
    <row r="354" spans="2:18" ht="15" customHeight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</row>
    <row r="355" spans="2:18" ht="15" customHeight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</row>
    <row r="356" spans="2:18" ht="15" customHeight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</row>
    <row r="357" spans="2:18" ht="15" customHeight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</row>
    <row r="358" spans="2:18" ht="15" customHeight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</row>
    <row r="359" spans="2:18" ht="15" customHeight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</row>
    <row r="360" spans="2:18" ht="15" customHeight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</row>
    <row r="361" spans="2:18" ht="15" customHeight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</row>
    <row r="362" spans="2:18" ht="15" customHeight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</row>
    <row r="363" spans="2:18" ht="15" customHeight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</row>
    <row r="364" spans="2:18" ht="15" customHeight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</row>
    <row r="365" spans="2:18" ht="15" customHeight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</row>
    <row r="366" spans="2:18" ht="15" customHeight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</row>
    <row r="367" spans="2:18" ht="15" customHeight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</row>
    <row r="368" spans="2:18" ht="15" customHeight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</row>
    <row r="369" spans="2:18" ht="15" customHeight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</row>
    <row r="370" spans="2:18" ht="15" customHeight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</row>
    <row r="371" spans="2:18" ht="15" customHeight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</row>
    <row r="372" spans="2:18" ht="15" customHeight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</row>
    <row r="373" spans="2:18" ht="15" customHeight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</row>
    <row r="374" spans="2:18" ht="15" customHeight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</row>
    <row r="375" spans="2:18" ht="15" customHeight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</row>
    <row r="376" spans="2:18" ht="15" customHeight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</row>
    <row r="377" spans="2:18" ht="15" customHeight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</row>
    <row r="378" spans="2:18" ht="15" customHeight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</row>
    <row r="379" spans="2:18" ht="15" customHeight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</row>
    <row r="380" spans="2:18" ht="15" customHeight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</row>
    <row r="381" spans="2:18" ht="15" customHeight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</row>
    <row r="382" spans="2:18" ht="15" customHeight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</row>
    <row r="383" spans="2:18" ht="15" customHeight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</row>
    <row r="384" spans="2:18" ht="15" customHeight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</row>
    <row r="385" spans="2:18" ht="15" customHeight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</row>
    <row r="386" spans="2:18" ht="15" customHeight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</row>
    <row r="387" spans="2:18" ht="15" customHeight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</row>
    <row r="388" spans="2:18" ht="15" customHeight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</row>
    <row r="389" spans="2:18" ht="15" customHeight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</row>
    <row r="390" spans="2:18" ht="15" customHeight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</row>
    <row r="391" spans="2:18" ht="15" customHeight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</row>
    <row r="392" spans="2:18" ht="15" customHeight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</row>
    <row r="393" spans="2:18" ht="15" customHeight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</row>
    <row r="394" spans="2:18" ht="15" customHeight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</row>
    <row r="395" spans="2:18" ht="15" customHeight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</row>
    <row r="396" spans="2:18" ht="15" customHeight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</row>
    <row r="397" spans="2:18" ht="15" customHeight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</row>
    <row r="398" spans="2:18" ht="15" customHeight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</row>
    <row r="399" spans="2:18" ht="15" customHeight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</row>
    <row r="400" spans="2:18" ht="15" customHeight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</row>
    <row r="401" spans="2:18" ht="15" customHeight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</row>
    <row r="402" spans="2:18" ht="15" customHeight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</row>
    <row r="403" spans="2:18" ht="15" customHeight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</row>
    <row r="404" spans="2:18" ht="15" customHeight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</row>
    <row r="405" spans="2:18" ht="15" customHeight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</row>
    <row r="406" spans="2:18" ht="15" customHeight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</row>
    <row r="407" spans="2:18" ht="15" customHeight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</row>
    <row r="408" spans="2:18" ht="15" customHeight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</row>
    <row r="409" spans="2:18" ht="15" customHeight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</row>
    <row r="410" spans="2:18" ht="15" customHeight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</row>
    <row r="411" spans="2:18" ht="15" customHeight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</row>
    <row r="412" spans="2:18" ht="15" customHeight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</row>
    <row r="413" spans="2:18" ht="15" customHeight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</row>
    <row r="414" spans="2:18" ht="15" customHeight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</row>
    <row r="415" spans="2:18" ht="15" customHeight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</row>
    <row r="416" spans="2:18" ht="15" customHeight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</row>
    <row r="417" spans="2:18" ht="15" customHeight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</row>
    <row r="418" spans="2:18" ht="15" customHeight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</row>
    <row r="419" spans="2:18" ht="15" customHeight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</row>
    <row r="420" spans="2:18" ht="15" customHeight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</row>
    <row r="421" spans="2:18" ht="15" customHeight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</row>
    <row r="422" spans="2:18" ht="15" customHeight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</row>
    <row r="423" spans="2:18" ht="15" customHeight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</row>
    <row r="424" spans="2:18" ht="15" customHeight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</row>
    <row r="425" spans="2:18" ht="15" customHeight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</row>
    <row r="426" spans="2:18" ht="15" customHeight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</row>
    <row r="427" spans="2:18" ht="15" customHeight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</row>
    <row r="428" spans="2:18" ht="15" customHeight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</row>
    <row r="429" spans="2:18" ht="15" customHeight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</row>
    <row r="430" spans="2:18" ht="15" customHeight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</row>
    <row r="431" spans="2:18" ht="15" customHeight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</row>
    <row r="432" spans="2:18" ht="15" customHeight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</row>
    <row r="433" spans="2:18" ht="15" customHeight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</row>
    <row r="434" spans="2:18" ht="15" customHeight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</row>
    <row r="435" spans="2:18" ht="15" customHeight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</row>
    <row r="436" spans="2:18" ht="15" customHeight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</row>
    <row r="437" spans="2:18" ht="15" customHeight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</row>
    <row r="438" spans="2:18" ht="15" customHeight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</row>
    <row r="439" spans="2:18" ht="15" customHeight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</row>
    <row r="440" spans="2:18" ht="15" customHeight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</row>
    <row r="441" spans="2:18" ht="15" customHeight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</row>
    <row r="442" spans="2:18" ht="15" customHeight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</row>
    <row r="443" spans="2:18" ht="15" customHeight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</row>
    <row r="444" spans="2:18" ht="15" customHeight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</row>
    <row r="445" spans="2:18" ht="15" customHeight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</row>
    <row r="446" spans="2:18" ht="15" customHeight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</row>
    <row r="447" spans="2:18" ht="15" customHeight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</row>
    <row r="448" spans="2:18" ht="15" customHeight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</row>
    <row r="449" spans="2:18" ht="15" customHeight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</row>
    <row r="450" spans="2:18" ht="15" customHeight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</row>
    <row r="451" spans="2:18" ht="15" customHeight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</row>
    <row r="452" spans="2:18" ht="15" customHeight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</row>
    <row r="453" spans="2:18" ht="15" customHeight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</row>
    <row r="454" spans="2:18" ht="15" customHeight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</row>
    <row r="455" spans="2:18" ht="15" customHeight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</row>
    <row r="456" spans="2:18" ht="15" customHeight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</row>
    <row r="457" spans="2:18" ht="15" customHeight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</row>
    <row r="458" spans="2:18" ht="15" customHeight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</row>
    <row r="459" spans="2:18" ht="15" customHeight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</row>
    <row r="460" spans="2:18" ht="15" customHeight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</row>
    <row r="461" spans="2:18" ht="15" customHeight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</row>
    <row r="462" spans="2:18" ht="15" customHeight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</row>
    <row r="463" spans="2:18" ht="15" customHeight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</row>
    <row r="464" spans="2:18" ht="15" customHeight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</row>
    <row r="465" spans="2:18" ht="15" customHeight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</row>
    <row r="466" spans="2:18" ht="15" customHeight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</row>
    <row r="467" spans="2:18" ht="15" customHeight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</row>
    <row r="468" spans="2:18" ht="15" customHeight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</row>
    <row r="469" spans="2:18" ht="15" customHeight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</row>
    <row r="470" spans="2:18" ht="15" customHeight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</row>
    <row r="471" spans="2:18" ht="15" customHeight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</row>
    <row r="472" spans="2:18" ht="15" customHeight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</row>
    <row r="473" spans="2:18" ht="15" customHeight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</row>
    <row r="474" spans="2:18" ht="15" customHeight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</row>
    <row r="475" spans="2:18" ht="15" customHeight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</row>
    <row r="476" spans="2:18" ht="15" customHeight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</row>
    <row r="477" spans="2:18" ht="15" customHeight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</row>
    <row r="478" spans="2:18" ht="15" customHeight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</row>
    <row r="479" spans="2:18" ht="15" customHeight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</row>
    <row r="480" spans="2:18" ht="15" customHeight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</row>
    <row r="481" spans="2:18" ht="15" customHeight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</row>
    <row r="482" spans="2:18" ht="15" customHeight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</row>
    <row r="483" spans="2:18" ht="15" customHeight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</row>
    <row r="484" spans="2:18" ht="15" customHeight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</row>
    <row r="485" spans="2:18" ht="15" customHeight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</row>
    <row r="486" spans="2:18" ht="15" customHeight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</row>
    <row r="487" spans="2:18" ht="15" customHeight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</row>
    <row r="488" spans="2:18" ht="15" customHeight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</row>
    <row r="489" spans="2:18" ht="15" customHeight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</row>
    <row r="490" spans="2:18" ht="15" customHeight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</row>
    <row r="491" spans="2:18" ht="15" customHeight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</row>
    <row r="492" spans="2:18" ht="15" customHeight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</row>
    <row r="493" spans="2:18" ht="15" customHeight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</row>
    <row r="494" spans="2:18" ht="15" customHeight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</row>
    <row r="495" spans="2:18" ht="15" customHeight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</row>
    <row r="496" spans="2:18" ht="15" customHeight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</row>
    <row r="497" spans="2:18" ht="15" customHeight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</row>
    <row r="498" spans="2:18" ht="15" customHeight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</row>
    <row r="499" spans="2:18" ht="15" customHeight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</row>
    <row r="500" spans="2:18" ht="15" customHeight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</row>
    <row r="501" spans="2:18" ht="15" customHeight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</row>
    <row r="502" spans="2:18" ht="15" customHeight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</row>
    <row r="503" spans="2:18" ht="15" customHeight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</row>
    <row r="504" spans="2:18" ht="15" customHeight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</row>
    <row r="505" spans="2:18" ht="15" customHeight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</row>
    <row r="506" spans="2:18" ht="15" customHeight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</row>
    <row r="507" spans="2:18" ht="15" customHeight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</row>
    <row r="508" spans="2:18" ht="15" customHeight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</row>
    <row r="509" spans="2:18" ht="15" customHeight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</row>
    <row r="510" spans="2:18" ht="15" customHeight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</row>
    <row r="511" spans="2:18" ht="15" customHeight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</row>
    <row r="512" spans="2:18" ht="15" customHeight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</row>
    <row r="513" spans="2:18" ht="15" customHeight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</row>
    <row r="514" spans="2:18" ht="15" customHeight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</row>
    <row r="515" spans="2:18" ht="15" customHeight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</row>
    <row r="516" spans="2:18" ht="15" customHeight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</row>
    <row r="517" spans="2:18" ht="15" customHeight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</row>
    <row r="518" spans="2:18" ht="15" customHeight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</row>
    <row r="519" spans="2:18" ht="15" customHeight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</row>
    <row r="520" spans="2:18" ht="15" customHeight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</row>
    <row r="521" spans="2:18" ht="15" customHeight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</row>
    <row r="522" spans="2:18" ht="15" customHeight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</row>
    <row r="523" spans="2:18" ht="15" customHeight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</row>
    <row r="524" spans="2:18" ht="15" customHeight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</row>
    <row r="525" spans="2:18" ht="15" customHeight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</row>
    <row r="526" spans="2:18" ht="15" customHeight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</row>
    <row r="527" spans="2:18" ht="15" customHeight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</row>
    <row r="528" spans="2:18" ht="15" customHeight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</row>
    <row r="529" spans="2:18" ht="15" customHeight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</row>
    <row r="530" spans="2:18" ht="15" customHeight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</row>
    <row r="531" spans="2:18" ht="15" customHeight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</row>
    <row r="532" spans="2:18" ht="15" customHeight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</row>
    <row r="533" spans="2:18" ht="15" customHeight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</row>
    <row r="534" spans="2:18" ht="15" customHeight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</row>
    <row r="535" spans="2:18" ht="15" customHeight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</row>
    <row r="536" spans="2:18" ht="15" customHeight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</row>
    <row r="537" spans="2:18" ht="15" customHeight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</row>
    <row r="538" spans="2:18" ht="15" customHeight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</row>
    <row r="539" spans="2:18" ht="15" customHeight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</row>
    <row r="540" spans="2:18" ht="15" customHeight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</row>
    <row r="541" spans="2:18" ht="15" customHeight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</row>
    <row r="542" spans="2:18" ht="15" customHeight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</row>
    <row r="543" spans="2:18" ht="15" customHeight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</row>
    <row r="544" spans="2:18" ht="15" customHeight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</row>
    <row r="545" spans="2:18" ht="15" customHeight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</row>
    <row r="546" spans="2:18" ht="15" customHeight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</row>
    <row r="547" spans="2:18" ht="15" customHeight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</row>
    <row r="548" spans="2:18" ht="15" customHeight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</row>
    <row r="549" spans="2:18" ht="15" customHeight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</row>
    <row r="550" spans="2:18" ht="15" customHeight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</row>
    <row r="551" spans="2:18" ht="15" customHeight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</row>
    <row r="552" spans="2:18" ht="15" customHeight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</row>
    <row r="553" spans="2:18" ht="15" customHeight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</row>
    <row r="554" spans="2:18" ht="15" customHeight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</row>
    <row r="555" spans="2:18" ht="15" customHeight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</row>
    <row r="556" spans="2:18" ht="15" customHeight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</row>
    <row r="557" spans="2:18" ht="15" customHeight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</row>
    <row r="558" spans="2:18" ht="15" customHeight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</row>
    <row r="559" spans="2:18" ht="15" customHeight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</row>
    <row r="560" spans="2:18" ht="15" customHeight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</row>
    <row r="561" spans="2:18" ht="15" customHeight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</row>
    <row r="562" spans="2:18" ht="15" customHeight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</row>
    <row r="563" spans="2:18" ht="15" customHeight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</row>
    <row r="564" spans="2:18" ht="15" customHeight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</row>
    <row r="565" spans="2:18" ht="15" customHeight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</row>
    <row r="566" spans="2:18" ht="15" customHeight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</row>
    <row r="567" spans="2:18" ht="15" customHeight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</row>
    <row r="568" spans="2:18" ht="15" customHeight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</row>
    <row r="569" spans="2:18" ht="15" customHeight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</row>
    <row r="570" spans="2:18" ht="15" customHeight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</row>
    <row r="571" spans="2:18" ht="15" customHeight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</row>
    <row r="572" spans="2:18" ht="15" customHeight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</row>
    <row r="573" spans="2:18" ht="15" customHeight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</row>
    <row r="574" spans="2:18" ht="15" customHeight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</row>
    <row r="575" spans="2:18" ht="15" customHeight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</row>
    <row r="576" spans="2:18" ht="15" customHeight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</row>
    <row r="577" spans="2:18" ht="15" customHeight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</row>
    <row r="578" spans="2:18" ht="15" customHeight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</row>
    <row r="579" spans="2:18" ht="15" customHeight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</row>
    <row r="580" spans="2:18" ht="15" customHeight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</row>
    <row r="581" spans="2:18" ht="15" customHeight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</row>
    <row r="582" spans="2:18" ht="15" customHeight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</row>
    <row r="583" spans="2:18" ht="15" customHeight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</row>
    <row r="584" spans="2:18" ht="15" customHeight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</row>
    <row r="585" spans="2:18" ht="15" customHeight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</row>
    <row r="586" spans="2:18" ht="15" customHeight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</row>
    <row r="587" spans="2:18" ht="15" customHeight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</row>
    <row r="588" spans="2:18" ht="15" customHeight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</row>
    <row r="589" spans="2:18" ht="15" customHeight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</row>
    <row r="590" spans="2:18" ht="15" customHeight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</row>
    <row r="591" spans="2:18" ht="15" customHeight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</row>
    <row r="592" spans="2:18" ht="15" customHeight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</row>
    <row r="593" spans="2:18" ht="15" customHeight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</row>
    <row r="594" spans="2:18" ht="15" customHeight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</row>
    <row r="595" spans="2:18" ht="15" customHeight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</row>
    <row r="596" spans="2:18" ht="15" customHeight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</row>
    <row r="597" spans="2:18" ht="15" customHeight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</row>
    <row r="598" spans="2:18" ht="15" customHeight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</row>
    <row r="599" spans="2:18" ht="15" customHeight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</row>
    <row r="600" spans="2:18" ht="15" customHeight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</row>
    <row r="601" spans="2:18" ht="15" customHeight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</row>
    <row r="602" spans="2:18" ht="15" customHeight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</row>
    <row r="603" spans="2:18" ht="15" customHeight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</row>
    <row r="604" spans="2:18" ht="15" customHeight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</row>
    <row r="605" spans="2:18" ht="15" customHeight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</row>
    <row r="606" spans="2:18" ht="15" customHeight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</row>
    <row r="607" spans="2:18" ht="15" customHeight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</row>
    <row r="608" spans="2:18" ht="15" customHeight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</row>
    <row r="609" spans="2:18" ht="15" customHeight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</row>
    <row r="610" spans="2:18" ht="15" customHeight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</row>
    <row r="611" spans="2:18" ht="15" customHeight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</row>
    <row r="612" spans="2:18" ht="15" customHeight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</row>
    <row r="613" spans="2:18" ht="15" customHeight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</row>
    <row r="614" spans="2:18" ht="15" customHeight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</row>
    <row r="615" spans="2:18" ht="15" customHeight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</row>
    <row r="616" spans="2:18" ht="15" customHeight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</row>
    <row r="617" spans="2:18" ht="15" customHeight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</row>
    <row r="618" spans="2:18" ht="15" customHeight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</row>
    <row r="619" spans="2:18" ht="15" customHeight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</row>
    <row r="620" spans="2:18" ht="15" customHeight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</row>
    <row r="621" spans="2:18" ht="15" customHeight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</row>
    <row r="622" spans="2:18" ht="15" customHeight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</row>
    <row r="623" spans="2:18" ht="15" customHeight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</row>
    <row r="624" spans="2:18" ht="15" customHeight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</row>
    <row r="625" spans="2:18" ht="15" customHeight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</row>
    <row r="626" spans="2:18" ht="15" customHeight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</row>
    <row r="627" spans="2:18" ht="15" customHeight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</row>
    <row r="628" spans="2:18" ht="15" customHeight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</row>
    <row r="629" spans="2:18" ht="15" customHeight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</row>
    <row r="630" spans="2:18" ht="15" customHeight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</row>
    <row r="631" spans="2:18" ht="15" customHeight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</row>
    <row r="632" spans="2:18" ht="15" customHeight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</row>
    <row r="633" spans="2:18" ht="15" customHeight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</row>
    <row r="634" spans="2:18" ht="15" customHeight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</row>
    <row r="635" spans="2:18" ht="15" customHeight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</row>
    <row r="636" spans="2:18" ht="15" customHeight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</row>
    <row r="637" spans="2:18" ht="15" customHeight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</row>
    <row r="638" spans="2:18" ht="15" customHeight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</row>
    <row r="639" spans="2:18" ht="15" customHeight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</row>
    <row r="640" spans="2:18" ht="15" customHeight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</row>
    <row r="641" spans="2:18" ht="15" customHeight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</row>
    <row r="642" spans="2:18" ht="15" customHeight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</row>
    <row r="643" spans="2:18" ht="15" customHeight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</row>
    <row r="644" spans="2:18" ht="15" customHeight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</row>
    <row r="645" spans="2:18" ht="15" customHeight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</row>
    <row r="646" spans="2:18" ht="15" customHeight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</row>
    <row r="647" spans="2:18" ht="15" customHeight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</row>
    <row r="648" spans="2:18" ht="15" customHeight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</row>
    <row r="649" spans="2:18" ht="15" customHeight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</row>
    <row r="650" spans="2:18" ht="15" customHeight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</row>
    <row r="651" spans="2:18" ht="15" customHeight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</row>
    <row r="652" spans="2:18" ht="15" customHeight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</row>
    <row r="653" spans="2:18" ht="15" customHeight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</row>
    <row r="654" spans="2:18" ht="15" customHeight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</row>
    <row r="655" spans="2:18" ht="15" customHeight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</row>
    <row r="656" spans="2:18" ht="15" customHeight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</row>
    <row r="657" spans="2:18" ht="15" customHeight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</row>
    <row r="658" spans="2:18" ht="15" customHeight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</row>
    <row r="659" spans="2:18" ht="15" customHeight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</row>
    <row r="660" spans="2:18" ht="15" customHeight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</row>
    <row r="661" spans="2:18" ht="15" customHeight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</row>
    <row r="662" spans="2:18" ht="15" customHeight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</row>
    <row r="663" spans="2:18" ht="15" customHeight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</row>
    <row r="664" spans="2:18" ht="15" customHeight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</row>
    <row r="665" spans="2:18" ht="15" customHeight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</row>
    <row r="666" spans="2:18" ht="15" customHeight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</row>
    <row r="667" spans="2:18" ht="15" customHeight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</row>
    <row r="668" spans="2:18" ht="15" customHeight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</row>
    <row r="669" spans="2:18" ht="15" customHeight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</row>
    <row r="670" spans="2:18" ht="15" customHeight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</row>
    <row r="671" spans="2:18" ht="15" customHeight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</row>
    <row r="672" spans="2:18" ht="15" customHeight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</row>
    <row r="673" spans="2:18" ht="15" customHeight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</row>
    <row r="674" spans="2:18" ht="15" customHeight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</row>
    <row r="675" spans="2:18" ht="15" customHeight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</row>
    <row r="676" spans="2:18" ht="15" customHeight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</row>
    <row r="677" spans="2:18" ht="15" customHeight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</row>
    <row r="678" spans="2:18" ht="15" customHeight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</row>
    <row r="679" spans="2:18" ht="15" customHeight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</row>
    <row r="680" spans="2:18" ht="15" customHeight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</row>
    <row r="681" spans="2:18" ht="15" customHeight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</row>
    <row r="682" spans="2:18" ht="15" customHeight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</row>
    <row r="683" spans="2:18" ht="15" customHeight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</row>
    <row r="684" spans="2:18" ht="15" customHeight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</row>
    <row r="685" spans="2:18" ht="15" customHeight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</row>
    <row r="686" spans="2:18" ht="15" customHeight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</row>
    <row r="687" spans="2:18" ht="15" customHeight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</row>
    <row r="688" spans="2:18" ht="15" customHeight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</row>
    <row r="689" spans="2:18" ht="15" customHeight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</row>
    <row r="690" spans="2:18" ht="15" customHeight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</row>
    <row r="691" spans="2:18" ht="15" customHeight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</row>
    <row r="692" spans="2:18" ht="15" customHeight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</row>
    <row r="693" spans="2:18" ht="15" customHeight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</row>
    <row r="694" spans="2:18" ht="15" customHeight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</row>
    <row r="695" spans="2:18" ht="15" customHeight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</row>
    <row r="696" spans="2:18" ht="15" customHeight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</row>
    <row r="697" spans="2:18" ht="15" customHeight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</row>
    <row r="698" spans="2:18" ht="15" customHeight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</row>
    <row r="699" spans="2:18" ht="15" customHeight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</row>
    <row r="700" spans="2:18" ht="15" customHeight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</row>
    <row r="701" spans="2:18" ht="15" customHeight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</row>
    <row r="702" spans="2:18" ht="15" customHeight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</row>
    <row r="703" spans="2:18" ht="15" customHeight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</row>
    <row r="704" spans="2:18" ht="15" customHeight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</row>
    <row r="705" spans="2:18" ht="15" customHeight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</row>
    <row r="706" spans="2:18" ht="15" customHeight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</row>
    <row r="707" spans="2:18" ht="15" customHeight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</row>
    <row r="708" spans="2:18" ht="15" customHeight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</row>
    <row r="709" spans="2:18" ht="15" customHeight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</row>
    <row r="710" spans="2:18" ht="15" customHeight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</row>
    <row r="711" spans="2:18" ht="15" customHeight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</row>
    <row r="712" spans="2:18" ht="15" customHeight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</row>
    <row r="713" spans="2:18" ht="15" customHeight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</row>
    <row r="714" spans="2:18" ht="15" customHeight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</row>
    <row r="715" spans="2:18" ht="15" customHeight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</row>
    <row r="716" spans="2:18" ht="15" customHeight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</row>
    <row r="717" spans="2:18" ht="15" customHeight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</row>
    <row r="718" spans="2:18" ht="15" customHeight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</row>
    <row r="719" spans="2:18" ht="15" customHeight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</row>
    <row r="720" spans="2:18" ht="15" customHeight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</row>
    <row r="721" spans="2:18" ht="15" customHeight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</row>
    <row r="722" spans="2:18" ht="15" customHeight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</row>
    <row r="723" spans="2:18" ht="15" customHeight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</row>
    <row r="724" spans="2:18" ht="15" customHeight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</row>
    <row r="725" spans="2:18" ht="15" customHeight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</row>
    <row r="726" spans="2:18" ht="15" customHeight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</row>
    <row r="727" spans="2:18" ht="15" customHeight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</row>
    <row r="728" spans="2:18" ht="15" customHeight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</row>
    <row r="729" spans="2:18" ht="15" customHeight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</row>
    <row r="730" spans="2:18" ht="15" customHeight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</row>
    <row r="731" spans="2:18" ht="15" customHeight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</row>
    <row r="732" spans="2:18" ht="15" customHeight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</row>
    <row r="733" spans="2:18" ht="15" customHeight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</row>
    <row r="734" spans="2:18" ht="15" customHeight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</row>
    <row r="735" spans="2:18" ht="15" customHeight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</row>
    <row r="736" spans="2:18" ht="15" customHeight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</row>
    <row r="737" spans="2:18" ht="15" customHeight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</row>
    <row r="738" spans="2:18" ht="15" customHeight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</row>
    <row r="739" spans="2:18" ht="15" customHeight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</row>
    <row r="740" spans="2:18" ht="15" customHeight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</row>
    <row r="741" spans="2:18" ht="15" customHeight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</row>
    <row r="742" spans="2:18" ht="15" customHeight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</row>
    <row r="743" spans="2:18" ht="15" customHeight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</row>
    <row r="744" spans="2:18" ht="15" customHeight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</row>
    <row r="745" spans="2:18" ht="15" customHeight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</row>
    <row r="746" spans="2:18" ht="15" customHeight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</row>
    <row r="747" spans="2:18" ht="15" customHeight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</row>
    <row r="748" spans="2:18" ht="15" customHeight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</row>
    <row r="749" spans="2:18" ht="15" customHeight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</row>
    <row r="750" spans="2:18" ht="15" customHeight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</row>
    <row r="751" spans="2:18" ht="15" customHeight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</row>
    <row r="752" spans="2:18" ht="15" customHeight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</row>
    <row r="753" spans="2:18" ht="15" customHeight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</row>
    <row r="754" spans="2:18" ht="15" customHeight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</row>
    <row r="755" spans="2:18" ht="15" customHeight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</row>
    <row r="756" spans="2:18" ht="15" customHeight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</row>
    <row r="757" spans="2:18" ht="15" customHeight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</row>
    <row r="758" spans="2:18" ht="15" customHeight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</row>
    <row r="759" spans="2:18" ht="15" customHeight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</row>
    <row r="760" spans="2:18" ht="15" customHeight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</row>
    <row r="761" spans="2:18" ht="15" customHeight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</row>
    <row r="762" spans="2:18" ht="15" customHeight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</row>
    <row r="763" spans="2:18" ht="15" customHeight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</row>
    <row r="764" spans="2:18" ht="15" customHeight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</row>
    <row r="765" spans="2:18" ht="15" customHeight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</row>
    <row r="766" spans="2:18" ht="15" customHeight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</row>
    <row r="767" spans="2:18" ht="15" customHeight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</row>
    <row r="768" spans="2:18" ht="15" customHeight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</row>
    <row r="769" spans="2:18" ht="15" customHeight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</row>
    <row r="770" spans="2:18" ht="15" customHeight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</row>
    <row r="771" spans="2:18" ht="15" customHeight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</row>
    <row r="772" spans="2:18" ht="15" customHeight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</row>
    <row r="773" spans="2:18" ht="15" customHeight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</row>
    <row r="774" spans="2:18" ht="15" customHeight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</row>
    <row r="775" spans="2:18" ht="15" customHeight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</row>
    <row r="776" spans="2:18" ht="15" customHeight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</row>
    <row r="777" spans="2:18" ht="15" customHeight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</row>
    <row r="778" spans="2:18" ht="15" customHeight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</row>
    <row r="779" spans="2:18" ht="15" customHeight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</row>
    <row r="780" spans="2:18" ht="15" customHeight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</row>
    <row r="781" spans="2:18" ht="15" customHeight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</row>
    <row r="782" spans="2:18" ht="15" customHeight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</row>
    <row r="783" spans="2:18" ht="15" customHeight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</row>
    <row r="784" spans="2:18" ht="15" customHeight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</row>
    <row r="785" spans="2:18" ht="15" customHeight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</row>
    <row r="786" spans="2:18" ht="15" customHeight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</row>
    <row r="787" spans="2:18" ht="15" customHeight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</row>
    <row r="788" spans="2:18" ht="15" customHeight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</row>
    <row r="789" spans="2:18" ht="15" customHeight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</row>
    <row r="790" spans="2:18" ht="15" customHeight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</row>
    <row r="791" spans="2:18" ht="15" customHeight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</row>
    <row r="792" spans="2:18" ht="15" customHeight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</row>
    <row r="793" spans="2:18" ht="15" customHeight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</row>
    <row r="794" spans="2:18" ht="15" customHeight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</row>
    <row r="795" spans="2:18" ht="15" customHeight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</row>
    <row r="796" spans="2:18" ht="15" customHeight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</row>
    <row r="797" spans="2:18" ht="15" customHeight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</row>
    <row r="798" spans="2:18" ht="15" customHeight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</row>
    <row r="799" spans="2:18" ht="15" customHeight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</row>
    <row r="800" spans="2:18" ht="15" customHeight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</row>
    <row r="801" spans="2:18" ht="15" customHeight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</row>
    <row r="802" spans="2:18" ht="15" customHeight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</row>
    <row r="803" spans="2:18" ht="15" customHeight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</row>
    <row r="804" spans="2:18" ht="15" customHeight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</row>
    <row r="805" spans="2:18" ht="15" customHeight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</row>
    <row r="806" spans="2:18" ht="15" customHeight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</row>
    <row r="807" spans="2:18" ht="15" customHeight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</row>
    <row r="808" spans="2:18" ht="15" customHeight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</row>
    <row r="809" spans="2:18" ht="15" customHeight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</row>
    <row r="810" spans="2:18" ht="15" customHeight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</row>
    <row r="811" spans="2:18" ht="15" customHeight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</row>
    <row r="812" spans="2:18" ht="15" customHeight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</row>
    <row r="813" spans="2:18" ht="15" customHeight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</row>
    <row r="814" spans="2:18" ht="15" customHeight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</row>
    <row r="815" spans="2:18" ht="15" customHeight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</row>
    <row r="816" spans="2:18" ht="15" customHeight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</row>
    <row r="817" spans="2:18" ht="15" customHeight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</row>
    <row r="818" spans="2:18" ht="15" customHeight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</row>
    <row r="819" spans="2:18" ht="15" customHeight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</row>
    <row r="820" spans="2:18" ht="15" customHeight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</row>
    <row r="821" spans="2:18" ht="15" customHeight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</row>
    <row r="822" spans="2:18" ht="15" customHeight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</row>
    <row r="823" spans="2:18" ht="15" customHeight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</row>
    <row r="824" spans="2:18" ht="15" customHeight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</row>
    <row r="825" spans="2:18" ht="15" customHeight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</row>
    <row r="826" spans="2:18" ht="15" customHeight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</row>
    <row r="827" spans="2:18" ht="15" customHeight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</row>
    <row r="828" spans="2:18" ht="15" customHeight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</row>
    <row r="829" spans="2:18" ht="15" customHeight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</row>
    <row r="830" spans="2:18" ht="15" customHeight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</row>
    <row r="831" spans="2:18" ht="15" customHeight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</row>
    <row r="832" spans="2:18" ht="15" customHeight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</row>
    <row r="833" spans="2:18" ht="15" customHeight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</row>
    <row r="834" spans="2:18" ht="15" customHeight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</row>
    <row r="835" spans="2:18" ht="15" customHeight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</row>
    <row r="836" spans="2:18" ht="15" customHeight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</row>
    <row r="837" spans="2:18" ht="15" customHeight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</row>
    <row r="838" spans="2:18" ht="15" customHeight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</row>
    <row r="839" spans="2:18" ht="15" customHeight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</row>
    <row r="840" spans="2:18" ht="15" customHeight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</row>
    <row r="841" spans="2:18" ht="15" customHeight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</row>
    <row r="842" spans="2:18" ht="15" customHeight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</row>
    <row r="843" spans="2:18" ht="15" customHeight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</row>
    <row r="844" spans="2:18" ht="15" customHeight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</row>
    <row r="845" spans="2:18" ht="15" customHeight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</row>
    <row r="846" spans="2:18" ht="15" customHeight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</row>
    <row r="847" spans="2:18" ht="15" customHeight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</row>
    <row r="848" spans="2:18" ht="15" customHeight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</row>
    <row r="849" spans="2:18" ht="15" customHeight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</row>
    <row r="850" spans="2:18" ht="15" customHeight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</row>
    <row r="851" spans="2:18" ht="15" customHeight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</row>
    <row r="852" spans="2:18" ht="15" customHeight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</row>
    <row r="853" spans="2:18" ht="15" customHeight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</row>
    <row r="854" spans="2:18" ht="15" customHeight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</row>
    <row r="855" spans="2:18" ht="15" customHeight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</row>
    <row r="856" spans="2:18" ht="15" customHeight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</row>
    <row r="857" spans="2:18" ht="15" customHeight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</row>
    <row r="858" spans="2:18" ht="15" customHeight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</row>
    <row r="859" spans="2:18" ht="15" customHeight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</row>
    <row r="860" spans="2:18" ht="15" customHeight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</row>
    <row r="861" spans="2:18" ht="15" customHeight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</row>
    <row r="862" spans="2:18" ht="15" customHeight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</row>
    <row r="863" spans="2:18" ht="15" customHeight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</row>
    <row r="864" spans="2:18" ht="15" customHeight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</row>
    <row r="865" spans="2:18" ht="15" customHeight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</row>
    <row r="866" spans="2:18" ht="15" customHeight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</row>
    <row r="867" spans="2:18" ht="15" customHeight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</row>
    <row r="868" spans="2:18" ht="15" customHeight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</row>
    <row r="869" spans="2:18" ht="15" customHeight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</row>
    <row r="870" spans="2:18" ht="15" customHeight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</row>
    <row r="871" spans="2:18" ht="15" customHeight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</row>
    <row r="872" spans="2:18" ht="15" customHeight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</row>
    <row r="873" spans="2:18" ht="15" customHeight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</row>
    <row r="874" spans="2:18" ht="15" customHeight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</row>
    <row r="875" spans="2:18" ht="15" customHeight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</row>
    <row r="876" spans="2:18" ht="15" customHeight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</row>
    <row r="877" spans="2:18" ht="15" customHeight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</row>
    <row r="878" spans="2:18" ht="15" customHeight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</row>
    <row r="879" spans="2:18" ht="15" customHeight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</row>
    <row r="880" spans="2:18" ht="15" customHeight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</row>
    <row r="881" spans="2:18" ht="15" customHeight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</row>
    <row r="882" spans="2:18" ht="15" customHeight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</row>
    <row r="883" spans="2:18" ht="15" customHeight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</row>
    <row r="884" spans="2:18" ht="15" customHeight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</row>
    <row r="885" spans="2:18" ht="15" customHeight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</row>
    <row r="886" spans="2:18" ht="15" customHeight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</row>
    <row r="887" spans="2:18" ht="15" customHeight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</row>
    <row r="888" spans="2:18" ht="15" customHeight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</row>
    <row r="889" spans="2:18" ht="15" customHeight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</row>
    <row r="890" spans="2:18" ht="15" customHeight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</row>
    <row r="891" spans="2:18" ht="15" customHeight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</row>
    <row r="892" spans="2:18" ht="15" customHeight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</row>
    <row r="893" spans="2:18" ht="15" customHeight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</row>
    <row r="894" spans="2:18" ht="15" customHeight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</row>
    <row r="895" spans="2:18" ht="15" customHeight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</row>
    <row r="896" spans="2:18" ht="15" customHeight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</row>
    <row r="897" spans="2:18" ht="15" customHeight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</row>
    <row r="898" spans="2:18" ht="15" customHeight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</row>
    <row r="899" spans="2:18" ht="15" customHeight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</row>
    <row r="900" spans="2:18" ht="15" customHeight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</row>
    <row r="901" spans="2:18" ht="15" customHeight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</row>
    <row r="902" spans="2:18" ht="15" customHeight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</row>
    <row r="903" spans="2:18" ht="15" customHeight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</row>
    <row r="904" spans="2:18" ht="15" customHeight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</row>
    <row r="905" spans="2:18" ht="15" customHeight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</row>
    <row r="906" spans="2:18" ht="15" customHeight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</row>
    <row r="907" spans="2:18" ht="15" customHeight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</row>
    <row r="908" spans="2:18" ht="15" customHeight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</row>
    <row r="909" spans="2:18" ht="15" customHeight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</row>
    <row r="910" spans="2:18" ht="15" customHeight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</row>
    <row r="911" spans="2:18" ht="15" customHeight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</row>
    <row r="912" spans="2:18" ht="15" customHeight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</row>
    <row r="913" spans="2:18" ht="15" customHeight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</row>
    <row r="914" spans="2:18" ht="15" customHeight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</row>
    <row r="915" spans="2:18" ht="15" customHeight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</row>
    <row r="916" spans="2:18" ht="15" customHeight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</row>
    <row r="917" spans="2:18" ht="15" customHeight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</row>
    <row r="918" spans="2:18" ht="15" customHeight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</row>
    <row r="919" spans="2:18" ht="15" customHeight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</row>
    <row r="920" spans="2:18" ht="15" customHeight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</row>
    <row r="921" spans="2:18" ht="15" customHeight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</row>
    <row r="922" spans="2:18" ht="15" customHeight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</row>
    <row r="923" spans="2:18" ht="15" customHeight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</row>
    <row r="924" spans="2:18" ht="15" customHeight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</row>
    <row r="925" spans="2:18" ht="15" customHeight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</row>
    <row r="926" spans="2:18" ht="15" customHeight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</row>
    <row r="927" spans="2:18" ht="15" customHeight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</row>
    <row r="928" spans="2:18" ht="15" customHeight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</row>
    <row r="929" spans="2:18" ht="15" customHeight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</row>
    <row r="930" spans="2:18" ht="15" customHeight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</row>
    <row r="931" spans="2:18" ht="15" customHeight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</row>
    <row r="932" spans="2:18" ht="15" customHeight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</row>
    <row r="933" spans="2:18" ht="15" customHeight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</row>
    <row r="934" spans="2:18" ht="15" customHeight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</row>
    <row r="935" spans="2:18" ht="15" customHeight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</row>
    <row r="936" spans="2:18" ht="15" customHeight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</row>
    <row r="937" spans="2:18" ht="15" customHeight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</row>
    <row r="938" spans="2:18" ht="15" customHeight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</row>
    <row r="939" spans="2:18" ht="15" customHeight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</row>
    <row r="940" spans="2:18" ht="15" customHeight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</row>
    <row r="941" spans="2:18" ht="15" customHeight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</row>
    <row r="942" spans="2:18" ht="15" customHeight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</row>
    <row r="943" spans="2:18" ht="15" customHeight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</row>
    <row r="944" spans="2:18" ht="15" customHeight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</row>
    <row r="945" spans="2:18" ht="15" customHeight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</row>
    <row r="946" spans="2:18" ht="15" customHeight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</row>
    <row r="947" spans="2:18" ht="15" customHeight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</row>
    <row r="948" spans="2:18" ht="15" customHeight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</row>
    <row r="949" spans="2:18" ht="15" customHeight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</row>
    <row r="950" spans="2:18" ht="15" customHeight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</row>
    <row r="951" spans="2:18" ht="15" customHeight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</row>
    <row r="952" spans="2:18" ht="15" customHeight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</row>
    <row r="953" spans="2:18" ht="15" customHeight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</row>
    <row r="954" spans="2:18" ht="15" customHeight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</row>
    <row r="955" spans="2:18" ht="15" customHeight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</row>
    <row r="956" spans="2:18" ht="15" customHeight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</row>
    <row r="957" spans="2:18" ht="15" customHeight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</row>
    <row r="958" spans="2:18" ht="15" customHeight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</row>
    <row r="959" spans="2:18" ht="15" customHeight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</row>
    <row r="960" spans="2:18" ht="15" customHeight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</row>
    <row r="961" spans="2:18" ht="15" customHeight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</row>
    <row r="962" spans="2:18" ht="15" customHeight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</row>
    <row r="963" spans="2:18" ht="15" customHeight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</row>
    <row r="964" spans="2:18" ht="15" customHeight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</row>
    <row r="965" spans="2:18" ht="15" customHeight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</row>
    <row r="966" spans="2:18" ht="15" customHeight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</row>
    <row r="967" spans="2:18" ht="15" customHeight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</row>
    <row r="968" spans="2:18" ht="15" customHeight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</row>
    <row r="969" spans="2:18" ht="15" customHeight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</row>
    <row r="970" spans="2:18" ht="15" customHeight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</row>
    <row r="971" spans="2:18" ht="15" customHeight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</row>
    <row r="972" spans="2:18" ht="15" customHeight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</row>
    <row r="973" spans="2:18" ht="15" customHeight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</row>
    <row r="974" spans="2:18" ht="15" customHeight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</row>
    <row r="975" spans="2:18" ht="15" customHeight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</row>
    <row r="976" spans="2:18" ht="15" customHeight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</row>
    <row r="977" spans="2:18" ht="15" customHeight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</row>
    <row r="978" spans="2:18" ht="15" customHeight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</row>
    <row r="979" spans="2:18" ht="15" customHeight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</row>
    <row r="980" spans="2:18" ht="15" customHeight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</row>
    <row r="981" spans="2:18" ht="15" customHeight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</row>
    <row r="982" spans="2:18" ht="15" customHeight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</row>
    <row r="983" spans="2:18" ht="15" customHeight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</row>
    <row r="984" spans="2:18" ht="15" customHeight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</row>
    <row r="985" spans="2:18" ht="15" customHeight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</row>
    <row r="986" spans="2:18" ht="15" customHeight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</row>
    <row r="987" spans="2:18" ht="15" customHeight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</row>
    <row r="988" spans="2:18" ht="15" customHeight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</row>
    <row r="989" spans="2:18" ht="15" customHeight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</row>
    <row r="990" spans="2:18" ht="15" customHeight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</row>
    <row r="991" spans="2:18" ht="15" customHeight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</row>
    <row r="992" spans="2:18" ht="15" customHeight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</row>
    <row r="993" spans="2:18" ht="15" customHeight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</row>
    <row r="994" spans="2:18" ht="15" customHeight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</row>
    <row r="995" spans="2:18" ht="15" customHeight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</row>
    <row r="996" spans="2:18" ht="15" customHeight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</row>
    <row r="997" spans="2:18" ht="15" customHeight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</row>
    <row r="998" spans="2:18" ht="15" customHeight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</row>
    <row r="999" spans="2:18" ht="15" customHeight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</row>
    <row r="1000" spans="2:18" ht="15" customHeight="1"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</row>
    <row r="1001" spans="2:18" ht="15" customHeight="1"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</row>
    <row r="1002" spans="2:18" ht="15" customHeight="1">
      <c r="B1002" s="99"/>
      <c r="C1002" s="99"/>
      <c r="D1002" s="99"/>
      <c r="E1002" s="99"/>
      <c r="F1002" s="99"/>
      <c r="G1002" s="99"/>
      <c r="H1002" s="99"/>
      <c r="I1002" s="99"/>
      <c r="J1002" s="99"/>
      <c r="K1002" s="99"/>
      <c r="L1002" s="99"/>
      <c r="M1002" s="99"/>
      <c r="N1002" s="99"/>
      <c r="O1002" s="99"/>
      <c r="P1002" s="99"/>
      <c r="Q1002" s="99"/>
      <c r="R1002" s="99"/>
    </row>
    <row r="1003" spans="2:18" ht="15" customHeight="1">
      <c r="B1003" s="99"/>
      <c r="C1003" s="99"/>
      <c r="D1003" s="99"/>
      <c r="E1003" s="99"/>
      <c r="F1003" s="99"/>
      <c r="G1003" s="99"/>
      <c r="H1003" s="99"/>
      <c r="I1003" s="99"/>
      <c r="J1003" s="99"/>
      <c r="K1003" s="99"/>
      <c r="L1003" s="99"/>
      <c r="M1003" s="99"/>
      <c r="N1003" s="99"/>
      <c r="O1003" s="99"/>
      <c r="P1003" s="99"/>
      <c r="Q1003" s="99"/>
      <c r="R1003" s="99"/>
    </row>
    <row r="1004" spans="2:18" ht="15" customHeight="1">
      <c r="B1004" s="99"/>
      <c r="C1004" s="99"/>
      <c r="D1004" s="99"/>
      <c r="E1004" s="99"/>
      <c r="F1004" s="99"/>
      <c r="G1004" s="99"/>
      <c r="H1004" s="99"/>
      <c r="I1004" s="99"/>
      <c r="J1004" s="99"/>
      <c r="K1004" s="99"/>
      <c r="L1004" s="99"/>
      <c r="M1004" s="99"/>
      <c r="N1004" s="99"/>
      <c r="O1004" s="99"/>
      <c r="P1004" s="99"/>
      <c r="Q1004" s="99"/>
      <c r="R1004" s="99"/>
    </row>
    <row r="1005" spans="2:18" ht="15" customHeight="1">
      <c r="B1005" s="99"/>
      <c r="C1005" s="99"/>
      <c r="D1005" s="99"/>
      <c r="E1005" s="99"/>
      <c r="F1005" s="99"/>
      <c r="G1005" s="99"/>
      <c r="H1005" s="99"/>
      <c r="I1005" s="99"/>
      <c r="J1005" s="99"/>
      <c r="K1005" s="99"/>
      <c r="L1005" s="99"/>
      <c r="M1005" s="99"/>
      <c r="N1005" s="99"/>
      <c r="O1005" s="99"/>
      <c r="P1005" s="99"/>
      <c r="Q1005" s="99"/>
      <c r="R1005" s="99"/>
    </row>
    <row r="1006" spans="2:18" ht="15" customHeight="1">
      <c r="B1006" s="99"/>
      <c r="C1006" s="99"/>
      <c r="D1006" s="99"/>
      <c r="E1006" s="99"/>
      <c r="F1006" s="99"/>
      <c r="G1006" s="99"/>
      <c r="H1006" s="99"/>
      <c r="I1006" s="99"/>
      <c r="J1006" s="99"/>
      <c r="K1006" s="99"/>
      <c r="L1006" s="99"/>
      <c r="M1006" s="99"/>
      <c r="N1006" s="99"/>
      <c r="O1006" s="99"/>
      <c r="P1006" s="99"/>
      <c r="Q1006" s="99"/>
      <c r="R1006" s="99"/>
    </row>
    <row r="1007" spans="2:18" ht="15" customHeight="1">
      <c r="B1007" s="99"/>
      <c r="C1007" s="99"/>
      <c r="D1007" s="99"/>
      <c r="E1007" s="99"/>
      <c r="F1007" s="99"/>
      <c r="G1007" s="99"/>
      <c r="H1007" s="99"/>
      <c r="I1007" s="99"/>
      <c r="J1007" s="99"/>
      <c r="K1007" s="99"/>
      <c r="L1007" s="99"/>
      <c r="M1007" s="99"/>
      <c r="N1007" s="99"/>
      <c r="O1007" s="99"/>
      <c r="P1007" s="99"/>
      <c r="Q1007" s="99"/>
      <c r="R1007" s="99"/>
    </row>
    <row r="1008" spans="2:18" ht="15" customHeight="1">
      <c r="B1008" s="99"/>
      <c r="C1008" s="99"/>
      <c r="D1008" s="99"/>
      <c r="E1008" s="99"/>
      <c r="F1008" s="99"/>
      <c r="G1008" s="99"/>
      <c r="H1008" s="99"/>
      <c r="I1008" s="99"/>
      <c r="J1008" s="99"/>
      <c r="K1008" s="99"/>
      <c r="L1008" s="99"/>
      <c r="M1008" s="99"/>
      <c r="N1008" s="99"/>
      <c r="O1008" s="99"/>
      <c r="P1008" s="99"/>
      <c r="Q1008" s="99"/>
      <c r="R1008" s="99"/>
    </row>
    <row r="1009" spans="2:18" ht="15" customHeight="1">
      <c r="B1009" s="99"/>
      <c r="C1009" s="99"/>
      <c r="D1009" s="99"/>
      <c r="E1009" s="99"/>
      <c r="F1009" s="99"/>
      <c r="G1009" s="99"/>
      <c r="H1009" s="99"/>
      <c r="I1009" s="99"/>
      <c r="J1009" s="99"/>
      <c r="K1009" s="99"/>
      <c r="L1009" s="99"/>
      <c r="M1009" s="99"/>
      <c r="N1009" s="99"/>
      <c r="O1009" s="99"/>
      <c r="P1009" s="99"/>
      <c r="Q1009" s="99"/>
      <c r="R1009" s="99"/>
    </row>
    <row r="1010" spans="2:18" ht="15" customHeight="1">
      <c r="B1010" s="99"/>
      <c r="C1010" s="99"/>
      <c r="D1010" s="99"/>
      <c r="E1010" s="99"/>
      <c r="F1010" s="99"/>
      <c r="G1010" s="99"/>
      <c r="H1010" s="99"/>
      <c r="I1010" s="99"/>
      <c r="J1010" s="99"/>
      <c r="K1010" s="99"/>
      <c r="L1010" s="99"/>
      <c r="M1010" s="99"/>
      <c r="N1010" s="99"/>
      <c r="O1010" s="99"/>
      <c r="P1010" s="99"/>
      <c r="Q1010" s="99"/>
      <c r="R1010" s="99"/>
    </row>
    <row r="1011" spans="2:18" ht="15" customHeight="1">
      <c r="B1011" s="99"/>
      <c r="C1011" s="99"/>
      <c r="D1011" s="99"/>
      <c r="E1011" s="99"/>
      <c r="F1011" s="99"/>
      <c r="G1011" s="99"/>
      <c r="H1011" s="99"/>
      <c r="I1011" s="99"/>
      <c r="J1011" s="99"/>
      <c r="K1011" s="99"/>
      <c r="L1011" s="99"/>
      <c r="M1011" s="99"/>
      <c r="N1011" s="99"/>
      <c r="O1011" s="99"/>
      <c r="P1011" s="99"/>
      <c r="Q1011" s="99"/>
      <c r="R1011" s="99"/>
    </row>
    <row r="1012" spans="2:18" ht="15" customHeight="1">
      <c r="B1012" s="99"/>
      <c r="C1012" s="99"/>
      <c r="D1012" s="99"/>
      <c r="E1012" s="99"/>
      <c r="F1012" s="99"/>
      <c r="G1012" s="99"/>
      <c r="H1012" s="99"/>
      <c r="I1012" s="99"/>
      <c r="J1012" s="99"/>
      <c r="K1012" s="99"/>
      <c r="L1012" s="99"/>
      <c r="M1012" s="99"/>
      <c r="N1012" s="99"/>
      <c r="O1012" s="99"/>
      <c r="P1012" s="99"/>
      <c r="Q1012" s="99"/>
      <c r="R1012" s="99"/>
    </row>
    <row r="1013" spans="2:18" ht="15" customHeight="1">
      <c r="B1013" s="99"/>
      <c r="C1013" s="99"/>
      <c r="D1013" s="99"/>
      <c r="E1013" s="99"/>
      <c r="F1013" s="99"/>
      <c r="G1013" s="99"/>
      <c r="H1013" s="99"/>
      <c r="I1013" s="99"/>
      <c r="J1013" s="99"/>
      <c r="K1013" s="99"/>
      <c r="L1013" s="99"/>
      <c r="M1013" s="99"/>
      <c r="N1013" s="99"/>
      <c r="O1013" s="99"/>
      <c r="P1013" s="99"/>
      <c r="Q1013" s="99"/>
      <c r="R1013" s="99"/>
    </row>
    <row r="1014" spans="2:18" ht="15" customHeight="1">
      <c r="B1014" s="99"/>
      <c r="C1014" s="99"/>
      <c r="D1014" s="99"/>
      <c r="E1014" s="99"/>
      <c r="F1014" s="99"/>
      <c r="G1014" s="99"/>
      <c r="H1014" s="99"/>
      <c r="I1014" s="99"/>
      <c r="J1014" s="99"/>
      <c r="K1014" s="99"/>
      <c r="L1014" s="99"/>
      <c r="M1014" s="99"/>
      <c r="N1014" s="99"/>
      <c r="O1014" s="99"/>
      <c r="P1014" s="99"/>
      <c r="Q1014" s="99"/>
      <c r="R1014" s="99"/>
    </row>
    <row r="1015" spans="2:18" ht="15" customHeight="1">
      <c r="B1015" s="99"/>
      <c r="C1015" s="99"/>
      <c r="D1015" s="99"/>
      <c r="E1015" s="99"/>
      <c r="F1015" s="99"/>
      <c r="G1015" s="99"/>
      <c r="H1015" s="99"/>
      <c r="I1015" s="99"/>
      <c r="J1015" s="99"/>
      <c r="K1015" s="99"/>
      <c r="L1015" s="99"/>
      <c r="M1015" s="99"/>
      <c r="N1015" s="99"/>
      <c r="O1015" s="99"/>
      <c r="P1015" s="99"/>
      <c r="Q1015" s="99"/>
      <c r="R1015" s="99"/>
    </row>
    <row r="1016" spans="2:18" ht="15" customHeight="1">
      <c r="B1016" s="99"/>
      <c r="C1016" s="99"/>
      <c r="D1016" s="99"/>
      <c r="E1016" s="99"/>
      <c r="F1016" s="99"/>
      <c r="G1016" s="99"/>
      <c r="H1016" s="99"/>
      <c r="I1016" s="99"/>
      <c r="J1016" s="99"/>
      <c r="K1016" s="99"/>
      <c r="L1016" s="99"/>
      <c r="M1016" s="99"/>
      <c r="N1016" s="99"/>
      <c r="O1016" s="99"/>
      <c r="P1016" s="99"/>
      <c r="Q1016" s="99"/>
      <c r="R1016" s="99"/>
    </row>
    <row r="1017" spans="2:18" ht="15" customHeight="1">
      <c r="B1017" s="99"/>
      <c r="C1017" s="99"/>
      <c r="D1017" s="99"/>
      <c r="E1017" s="99"/>
      <c r="F1017" s="99"/>
      <c r="G1017" s="99"/>
      <c r="H1017" s="99"/>
      <c r="I1017" s="99"/>
      <c r="J1017" s="99"/>
      <c r="K1017" s="99"/>
      <c r="L1017" s="99"/>
      <c r="M1017" s="99"/>
      <c r="N1017" s="99"/>
      <c r="O1017" s="99"/>
      <c r="P1017" s="99"/>
      <c r="Q1017" s="99"/>
      <c r="R1017" s="99"/>
    </row>
    <row r="1018" spans="2:18" ht="15" customHeight="1">
      <c r="B1018" s="99"/>
      <c r="C1018" s="99"/>
      <c r="D1018" s="99"/>
      <c r="E1018" s="99"/>
      <c r="F1018" s="99"/>
      <c r="G1018" s="99"/>
      <c r="H1018" s="99"/>
      <c r="I1018" s="99"/>
      <c r="J1018" s="99"/>
      <c r="K1018" s="99"/>
      <c r="L1018" s="99"/>
      <c r="M1018" s="99"/>
      <c r="N1018" s="99"/>
      <c r="O1018" s="99"/>
      <c r="P1018" s="99"/>
      <c r="Q1018" s="99"/>
      <c r="R1018" s="99"/>
    </row>
    <row r="1019" spans="2:18" ht="15" customHeight="1"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</row>
    <row r="1020" spans="2:18" ht="15" customHeight="1">
      <c r="B1020" s="99"/>
      <c r="C1020" s="99"/>
      <c r="D1020" s="99"/>
      <c r="E1020" s="99"/>
      <c r="F1020" s="99"/>
      <c r="G1020" s="99"/>
      <c r="H1020" s="99"/>
      <c r="I1020" s="99"/>
      <c r="J1020" s="99"/>
      <c r="K1020" s="99"/>
      <c r="L1020" s="99"/>
      <c r="M1020" s="99"/>
      <c r="N1020" s="99"/>
      <c r="O1020" s="99"/>
      <c r="P1020" s="99"/>
      <c r="Q1020" s="99"/>
      <c r="R1020" s="99"/>
    </row>
    <row r="1021" spans="2:18" ht="15" customHeight="1">
      <c r="B1021" s="99"/>
      <c r="C1021" s="99"/>
      <c r="D1021" s="99"/>
      <c r="E1021" s="99"/>
      <c r="F1021" s="99"/>
      <c r="G1021" s="99"/>
      <c r="H1021" s="99"/>
      <c r="I1021" s="99"/>
      <c r="J1021" s="99"/>
      <c r="K1021" s="99"/>
      <c r="L1021" s="99"/>
      <c r="M1021" s="99"/>
      <c r="N1021" s="99"/>
      <c r="O1021" s="99"/>
      <c r="P1021" s="99"/>
      <c r="Q1021" s="99"/>
      <c r="R1021" s="99"/>
    </row>
    <row r="1022" spans="2:18" ht="15" customHeight="1">
      <c r="B1022" s="99"/>
      <c r="C1022" s="99"/>
      <c r="D1022" s="99"/>
      <c r="E1022" s="99"/>
      <c r="F1022" s="99"/>
      <c r="G1022" s="99"/>
      <c r="H1022" s="99"/>
      <c r="I1022" s="99"/>
      <c r="J1022" s="99"/>
      <c r="K1022" s="99"/>
      <c r="L1022" s="99"/>
      <c r="M1022" s="99"/>
      <c r="N1022" s="99"/>
      <c r="O1022" s="99"/>
      <c r="P1022" s="99"/>
      <c r="Q1022" s="99"/>
      <c r="R1022" s="99"/>
    </row>
    <row r="1023" spans="2:18" ht="15" customHeight="1">
      <c r="B1023" s="99"/>
      <c r="C1023" s="99"/>
      <c r="D1023" s="99"/>
      <c r="E1023" s="99"/>
      <c r="F1023" s="99"/>
      <c r="G1023" s="99"/>
      <c r="H1023" s="99"/>
      <c r="I1023" s="99"/>
      <c r="J1023" s="99"/>
      <c r="K1023" s="99"/>
      <c r="L1023" s="99"/>
      <c r="M1023" s="99"/>
      <c r="N1023" s="99"/>
      <c r="O1023" s="99"/>
      <c r="P1023" s="99"/>
      <c r="Q1023" s="99"/>
      <c r="R1023" s="99"/>
    </row>
    <row r="1024" spans="2:18" ht="15" customHeight="1">
      <c r="B1024" s="99"/>
      <c r="C1024" s="99"/>
      <c r="D1024" s="99"/>
      <c r="E1024" s="99"/>
      <c r="F1024" s="99"/>
      <c r="G1024" s="99"/>
      <c r="H1024" s="99"/>
      <c r="I1024" s="99"/>
      <c r="J1024" s="99"/>
      <c r="K1024" s="99"/>
      <c r="L1024" s="99"/>
      <c r="M1024" s="99"/>
      <c r="N1024" s="99"/>
      <c r="O1024" s="99"/>
      <c r="P1024" s="99"/>
      <c r="Q1024" s="99"/>
      <c r="R1024" s="99"/>
    </row>
    <row r="1025" spans="2:18" ht="15" customHeight="1">
      <c r="B1025" s="99"/>
      <c r="C1025" s="99"/>
      <c r="D1025" s="99"/>
      <c r="E1025" s="99"/>
      <c r="F1025" s="99"/>
      <c r="G1025" s="99"/>
      <c r="H1025" s="99"/>
      <c r="I1025" s="99"/>
      <c r="J1025" s="99"/>
      <c r="K1025" s="99"/>
      <c r="L1025" s="99"/>
      <c r="M1025" s="99"/>
      <c r="N1025" s="99"/>
      <c r="O1025" s="99"/>
      <c r="P1025" s="99"/>
      <c r="Q1025" s="99"/>
      <c r="R1025" s="99"/>
    </row>
    <row r="1026" spans="2:18" ht="15" customHeight="1">
      <c r="B1026" s="99"/>
      <c r="C1026" s="99"/>
      <c r="D1026" s="99"/>
      <c r="E1026" s="99"/>
      <c r="F1026" s="99"/>
      <c r="G1026" s="99"/>
      <c r="H1026" s="99"/>
      <c r="I1026" s="99"/>
      <c r="J1026" s="99"/>
      <c r="K1026" s="99"/>
      <c r="L1026" s="99"/>
      <c r="M1026" s="99"/>
      <c r="N1026" s="99"/>
      <c r="O1026" s="99"/>
      <c r="P1026" s="99"/>
      <c r="Q1026" s="99"/>
      <c r="R1026" s="99"/>
    </row>
    <row r="1027" spans="2:18" ht="15" customHeight="1">
      <c r="B1027" s="99"/>
      <c r="C1027" s="99"/>
      <c r="D1027" s="99"/>
      <c r="E1027" s="99"/>
      <c r="F1027" s="99"/>
      <c r="G1027" s="99"/>
      <c r="H1027" s="99"/>
      <c r="I1027" s="99"/>
      <c r="J1027" s="99"/>
      <c r="K1027" s="99"/>
      <c r="L1027" s="99"/>
      <c r="M1027" s="99"/>
      <c r="N1027" s="99"/>
      <c r="O1027" s="99"/>
      <c r="P1027" s="99"/>
      <c r="Q1027" s="99"/>
      <c r="R1027" s="99"/>
    </row>
    <row r="1028" spans="2:18" ht="15" customHeight="1">
      <c r="B1028" s="99"/>
      <c r="C1028" s="99"/>
      <c r="D1028" s="99"/>
      <c r="E1028" s="99"/>
      <c r="F1028" s="99"/>
      <c r="G1028" s="99"/>
      <c r="H1028" s="99"/>
      <c r="I1028" s="99"/>
      <c r="J1028" s="99"/>
      <c r="K1028" s="99"/>
      <c r="L1028" s="99"/>
      <c r="M1028" s="99"/>
      <c r="N1028" s="99"/>
      <c r="O1028" s="99"/>
      <c r="P1028" s="99"/>
      <c r="Q1028" s="99"/>
      <c r="R1028" s="99"/>
    </row>
    <row r="1029" spans="2:18" ht="15" customHeight="1">
      <c r="B1029" s="99"/>
      <c r="C1029" s="99"/>
      <c r="D1029" s="99"/>
      <c r="E1029" s="99"/>
      <c r="F1029" s="99"/>
      <c r="G1029" s="99"/>
      <c r="H1029" s="99"/>
      <c r="I1029" s="99"/>
      <c r="J1029" s="99"/>
      <c r="K1029" s="99"/>
      <c r="L1029" s="99"/>
      <c r="M1029" s="99"/>
      <c r="N1029" s="99"/>
      <c r="O1029" s="99"/>
      <c r="P1029" s="99"/>
      <c r="Q1029" s="99"/>
      <c r="R1029" s="99"/>
    </row>
    <row r="1030" spans="2:18" ht="15" customHeight="1">
      <c r="B1030" s="99"/>
      <c r="C1030" s="99"/>
      <c r="D1030" s="99"/>
      <c r="E1030" s="99"/>
      <c r="F1030" s="99"/>
      <c r="G1030" s="99"/>
      <c r="H1030" s="99"/>
      <c r="I1030" s="99"/>
      <c r="J1030" s="99"/>
      <c r="K1030" s="99"/>
      <c r="L1030" s="99"/>
      <c r="M1030" s="99"/>
      <c r="N1030" s="99"/>
      <c r="O1030" s="99"/>
      <c r="P1030" s="99"/>
      <c r="Q1030" s="99"/>
      <c r="R1030" s="99"/>
    </row>
    <row r="1031" spans="2:18" ht="15" customHeight="1">
      <c r="B1031" s="99"/>
      <c r="C1031" s="99"/>
      <c r="D1031" s="99"/>
      <c r="E1031" s="99"/>
      <c r="F1031" s="99"/>
      <c r="G1031" s="99"/>
      <c r="H1031" s="99"/>
      <c r="I1031" s="99"/>
      <c r="J1031" s="99"/>
      <c r="K1031" s="99"/>
      <c r="L1031" s="99"/>
      <c r="M1031" s="99"/>
      <c r="N1031" s="99"/>
      <c r="O1031" s="99"/>
      <c r="P1031" s="99"/>
      <c r="Q1031" s="99"/>
      <c r="R1031" s="99"/>
    </row>
    <row r="1032" spans="2:18" ht="15" customHeight="1">
      <c r="B1032" s="99"/>
      <c r="C1032" s="99"/>
      <c r="D1032" s="99"/>
      <c r="E1032" s="99"/>
      <c r="F1032" s="99"/>
      <c r="G1032" s="99"/>
      <c r="H1032" s="99"/>
      <c r="I1032" s="99"/>
      <c r="J1032" s="99"/>
      <c r="K1032" s="99"/>
      <c r="L1032" s="99"/>
      <c r="M1032" s="99"/>
      <c r="N1032" s="99"/>
      <c r="O1032" s="99"/>
      <c r="P1032" s="99"/>
      <c r="Q1032" s="99"/>
      <c r="R1032" s="99"/>
    </row>
    <row r="1033" spans="2:18" ht="15" customHeight="1">
      <c r="B1033" s="99"/>
      <c r="C1033" s="99"/>
      <c r="D1033" s="99"/>
      <c r="E1033" s="99"/>
      <c r="F1033" s="99"/>
      <c r="G1033" s="99"/>
      <c r="H1033" s="99"/>
      <c r="I1033" s="99"/>
      <c r="J1033" s="99"/>
      <c r="K1033" s="99"/>
      <c r="L1033" s="99"/>
      <c r="M1033" s="99"/>
      <c r="N1033" s="99"/>
      <c r="O1033" s="99"/>
      <c r="P1033" s="99"/>
      <c r="Q1033" s="99"/>
      <c r="R1033" s="99"/>
    </row>
    <row r="1034" spans="2:18" ht="15" customHeight="1">
      <c r="B1034" s="99"/>
      <c r="C1034" s="99"/>
      <c r="D1034" s="99"/>
      <c r="E1034" s="99"/>
      <c r="F1034" s="99"/>
      <c r="G1034" s="99"/>
      <c r="H1034" s="99"/>
      <c r="I1034" s="99"/>
      <c r="J1034" s="99"/>
      <c r="K1034" s="99"/>
      <c r="L1034" s="99"/>
      <c r="M1034" s="99"/>
      <c r="N1034" s="99"/>
      <c r="O1034" s="99"/>
      <c r="P1034" s="99"/>
      <c r="Q1034" s="99"/>
      <c r="R1034" s="99"/>
    </row>
    <row r="1035" spans="2:18" ht="15" customHeight="1">
      <c r="B1035" s="99"/>
      <c r="C1035" s="99"/>
      <c r="D1035" s="99"/>
      <c r="E1035" s="99"/>
      <c r="F1035" s="99"/>
      <c r="G1035" s="99"/>
      <c r="H1035" s="99"/>
      <c r="I1035" s="99"/>
      <c r="J1035" s="99"/>
      <c r="K1035" s="99"/>
      <c r="L1035" s="99"/>
      <c r="M1035" s="99"/>
      <c r="N1035" s="99"/>
      <c r="O1035" s="99"/>
      <c r="P1035" s="99"/>
      <c r="Q1035" s="99"/>
      <c r="R1035" s="99"/>
    </row>
    <row r="1036" spans="2:18" ht="15" customHeight="1">
      <c r="B1036" s="99"/>
      <c r="C1036" s="99"/>
      <c r="D1036" s="99"/>
      <c r="E1036" s="99"/>
      <c r="F1036" s="99"/>
      <c r="G1036" s="99"/>
      <c r="H1036" s="99"/>
      <c r="I1036" s="99"/>
      <c r="J1036" s="99"/>
      <c r="K1036" s="99"/>
      <c r="L1036" s="99"/>
      <c r="M1036" s="99"/>
      <c r="N1036" s="99"/>
      <c r="O1036" s="99"/>
      <c r="P1036" s="99"/>
      <c r="Q1036" s="99"/>
      <c r="R1036" s="99"/>
    </row>
    <row r="1037" spans="2:18" ht="15" customHeight="1">
      <c r="B1037" s="99"/>
      <c r="C1037" s="99"/>
      <c r="D1037" s="99"/>
      <c r="E1037" s="99"/>
      <c r="F1037" s="99"/>
      <c r="G1037" s="99"/>
      <c r="H1037" s="99"/>
      <c r="I1037" s="99"/>
      <c r="J1037" s="99"/>
      <c r="K1037" s="99"/>
      <c r="L1037" s="99"/>
      <c r="M1037" s="99"/>
      <c r="N1037" s="99"/>
      <c r="O1037" s="99"/>
      <c r="P1037" s="99"/>
      <c r="Q1037" s="99"/>
      <c r="R1037" s="99"/>
    </row>
    <row r="1038" spans="2:18" ht="15" customHeight="1">
      <c r="B1038" s="99"/>
      <c r="C1038" s="99"/>
      <c r="D1038" s="99"/>
      <c r="E1038" s="99"/>
      <c r="F1038" s="99"/>
      <c r="G1038" s="99"/>
      <c r="H1038" s="99"/>
      <c r="I1038" s="99"/>
      <c r="J1038" s="99"/>
      <c r="K1038" s="99"/>
      <c r="L1038" s="99"/>
      <c r="M1038" s="99"/>
      <c r="N1038" s="99"/>
      <c r="O1038" s="99"/>
      <c r="P1038" s="99"/>
      <c r="Q1038" s="99"/>
      <c r="R1038" s="99"/>
    </row>
    <row r="1039" spans="2:18" ht="15" customHeight="1">
      <c r="B1039" s="99"/>
      <c r="C1039" s="99"/>
      <c r="D1039" s="99"/>
      <c r="E1039" s="99"/>
      <c r="F1039" s="99"/>
      <c r="G1039" s="99"/>
      <c r="H1039" s="99"/>
      <c r="I1039" s="99"/>
      <c r="J1039" s="99"/>
      <c r="K1039" s="99"/>
      <c r="L1039" s="99"/>
      <c r="M1039" s="99"/>
      <c r="N1039" s="99"/>
      <c r="O1039" s="99"/>
      <c r="P1039" s="99"/>
      <c r="Q1039" s="99"/>
      <c r="R1039" s="99"/>
    </row>
    <row r="1040" spans="2:18" ht="15" customHeight="1">
      <c r="B1040" s="99"/>
      <c r="C1040" s="99"/>
      <c r="D1040" s="99"/>
      <c r="E1040" s="99"/>
      <c r="F1040" s="99"/>
      <c r="G1040" s="99"/>
      <c r="H1040" s="99"/>
      <c r="I1040" s="99"/>
      <c r="J1040" s="99"/>
      <c r="K1040" s="99"/>
      <c r="L1040" s="99"/>
      <c r="M1040" s="99"/>
      <c r="N1040" s="99"/>
      <c r="O1040" s="99"/>
      <c r="P1040" s="99"/>
      <c r="Q1040" s="99"/>
      <c r="R1040" s="99"/>
    </row>
    <row r="1041" spans="2:18" ht="15" customHeight="1">
      <c r="B1041" s="99"/>
      <c r="C1041" s="99"/>
      <c r="D1041" s="99"/>
      <c r="E1041" s="99"/>
      <c r="F1041" s="99"/>
      <c r="G1041" s="99"/>
      <c r="H1041" s="99"/>
      <c r="I1041" s="99"/>
      <c r="J1041" s="99"/>
      <c r="K1041" s="99"/>
      <c r="L1041" s="99"/>
      <c r="M1041" s="99"/>
      <c r="N1041" s="99"/>
      <c r="O1041" s="99"/>
      <c r="P1041" s="99"/>
      <c r="Q1041" s="99"/>
      <c r="R1041" s="99"/>
    </row>
    <row r="1042" spans="2:18" ht="15" customHeight="1">
      <c r="B1042" s="99"/>
      <c r="C1042" s="99"/>
      <c r="D1042" s="99"/>
      <c r="E1042" s="99"/>
      <c r="F1042" s="99"/>
      <c r="G1042" s="99"/>
      <c r="H1042" s="99"/>
      <c r="I1042" s="99"/>
      <c r="J1042" s="99"/>
      <c r="K1042" s="99"/>
      <c r="L1042" s="99"/>
      <c r="M1042" s="99"/>
      <c r="N1042" s="99"/>
      <c r="O1042" s="99"/>
      <c r="P1042" s="99"/>
      <c r="Q1042" s="99"/>
      <c r="R1042" s="99"/>
    </row>
    <row r="1043" spans="2:18" ht="15" customHeight="1">
      <c r="B1043" s="99"/>
      <c r="C1043" s="99"/>
      <c r="D1043" s="99"/>
      <c r="E1043" s="99"/>
      <c r="F1043" s="99"/>
      <c r="G1043" s="99"/>
      <c r="H1043" s="99"/>
      <c r="I1043" s="99"/>
      <c r="J1043" s="99"/>
      <c r="K1043" s="99"/>
      <c r="L1043" s="99"/>
      <c r="M1043" s="99"/>
      <c r="N1043" s="99"/>
      <c r="O1043" s="99"/>
      <c r="P1043" s="99"/>
      <c r="Q1043" s="99"/>
      <c r="R1043" s="99"/>
    </row>
    <row r="1044" spans="2:18" ht="15" customHeight="1">
      <c r="B1044" s="99"/>
      <c r="C1044" s="99"/>
      <c r="D1044" s="99"/>
      <c r="E1044" s="99"/>
      <c r="F1044" s="99"/>
      <c r="G1044" s="99"/>
      <c r="H1044" s="99"/>
      <c r="I1044" s="99"/>
      <c r="J1044" s="99"/>
      <c r="K1044" s="99"/>
      <c r="L1044" s="99"/>
      <c r="M1044" s="99"/>
      <c r="N1044" s="99"/>
      <c r="O1044" s="99"/>
      <c r="P1044" s="99"/>
      <c r="Q1044" s="99"/>
      <c r="R1044" s="99"/>
    </row>
    <row r="1045" spans="2:18" ht="15" customHeight="1">
      <c r="B1045" s="99"/>
      <c r="C1045" s="99"/>
      <c r="D1045" s="99"/>
      <c r="E1045" s="99"/>
      <c r="F1045" s="99"/>
      <c r="G1045" s="99"/>
      <c r="H1045" s="99"/>
      <c r="I1045" s="99"/>
      <c r="J1045" s="99"/>
      <c r="K1045" s="99"/>
      <c r="L1045" s="99"/>
      <c r="M1045" s="99"/>
      <c r="N1045" s="99"/>
      <c r="O1045" s="99"/>
      <c r="P1045" s="99"/>
      <c r="Q1045" s="99"/>
      <c r="R1045" s="99"/>
    </row>
    <row r="1046" spans="2:18" ht="15" customHeight="1">
      <c r="B1046" s="99"/>
      <c r="C1046" s="99"/>
      <c r="D1046" s="99"/>
      <c r="E1046" s="99"/>
      <c r="F1046" s="99"/>
      <c r="G1046" s="99"/>
      <c r="H1046" s="99"/>
      <c r="I1046" s="99"/>
      <c r="J1046" s="99"/>
      <c r="K1046" s="99"/>
      <c r="L1046" s="99"/>
      <c r="M1046" s="99"/>
      <c r="N1046" s="99"/>
      <c r="O1046" s="99"/>
      <c r="P1046" s="99"/>
      <c r="Q1046" s="99"/>
      <c r="R1046" s="99"/>
    </row>
    <row r="1047" spans="2:18" ht="15" customHeight="1">
      <c r="B1047" s="99"/>
      <c r="C1047" s="99"/>
      <c r="D1047" s="99"/>
      <c r="E1047" s="99"/>
      <c r="F1047" s="99"/>
      <c r="G1047" s="99"/>
      <c r="H1047" s="99"/>
      <c r="I1047" s="99"/>
      <c r="J1047" s="99"/>
      <c r="K1047" s="99"/>
      <c r="L1047" s="99"/>
      <c r="M1047" s="99"/>
      <c r="N1047" s="99"/>
      <c r="O1047" s="99"/>
      <c r="P1047" s="99"/>
      <c r="Q1047" s="99"/>
      <c r="R1047" s="99"/>
    </row>
    <row r="1048" spans="2:18" ht="15" customHeight="1">
      <c r="B1048" s="99"/>
      <c r="C1048" s="99"/>
      <c r="D1048" s="99"/>
      <c r="E1048" s="99"/>
      <c r="F1048" s="99"/>
      <c r="G1048" s="99"/>
      <c r="H1048" s="99"/>
      <c r="I1048" s="99"/>
      <c r="J1048" s="99"/>
      <c r="K1048" s="99"/>
      <c r="L1048" s="99"/>
      <c r="M1048" s="99"/>
      <c r="N1048" s="99"/>
      <c r="O1048" s="99"/>
      <c r="P1048" s="99"/>
      <c r="Q1048" s="99"/>
      <c r="R1048" s="99"/>
    </row>
    <row r="1049" spans="2:18" ht="15" customHeight="1">
      <c r="B1049" s="99"/>
      <c r="C1049" s="99"/>
      <c r="D1049" s="99"/>
      <c r="E1049" s="99"/>
      <c r="F1049" s="99"/>
      <c r="G1049" s="99"/>
      <c r="H1049" s="99"/>
      <c r="I1049" s="99"/>
      <c r="J1049" s="99"/>
      <c r="K1049" s="99"/>
      <c r="L1049" s="99"/>
      <c r="M1049" s="99"/>
      <c r="N1049" s="99"/>
      <c r="O1049" s="99"/>
      <c r="P1049" s="99"/>
      <c r="Q1049" s="99"/>
      <c r="R1049" s="99"/>
    </row>
    <row r="1050" spans="2:18" ht="15" customHeight="1">
      <c r="B1050" s="99"/>
      <c r="C1050" s="99"/>
      <c r="D1050" s="99"/>
      <c r="E1050" s="99"/>
      <c r="F1050" s="99"/>
      <c r="G1050" s="99"/>
      <c r="H1050" s="99"/>
      <c r="I1050" s="99"/>
      <c r="J1050" s="99"/>
      <c r="K1050" s="99"/>
      <c r="L1050" s="99"/>
      <c r="M1050" s="99"/>
      <c r="N1050" s="99"/>
      <c r="O1050" s="99"/>
      <c r="P1050" s="99"/>
      <c r="Q1050" s="99"/>
      <c r="R1050" s="99"/>
    </row>
    <row r="1051" spans="2:18" ht="15" customHeight="1">
      <c r="B1051" s="99"/>
      <c r="C1051" s="99"/>
      <c r="D1051" s="99"/>
      <c r="E1051" s="99"/>
      <c r="F1051" s="99"/>
      <c r="G1051" s="99"/>
      <c r="H1051" s="99"/>
      <c r="I1051" s="99"/>
      <c r="J1051" s="99"/>
      <c r="K1051" s="99"/>
      <c r="L1051" s="99"/>
      <c r="M1051" s="99"/>
      <c r="N1051" s="99"/>
      <c r="O1051" s="99"/>
      <c r="P1051" s="99"/>
      <c r="Q1051" s="99"/>
      <c r="R1051" s="99"/>
    </row>
    <row r="1052" spans="2:18" ht="15" customHeight="1">
      <c r="B1052" s="99"/>
      <c r="C1052" s="99"/>
      <c r="D1052" s="99"/>
      <c r="E1052" s="99"/>
      <c r="F1052" s="99"/>
      <c r="G1052" s="99"/>
      <c r="H1052" s="99"/>
      <c r="I1052" s="99"/>
      <c r="J1052" s="99"/>
      <c r="K1052" s="99"/>
      <c r="L1052" s="99"/>
      <c r="M1052" s="99"/>
      <c r="N1052" s="99"/>
      <c r="O1052" s="99"/>
      <c r="P1052" s="99"/>
      <c r="Q1052" s="99"/>
      <c r="R1052" s="99"/>
    </row>
    <row r="1053" spans="2:18" ht="15" customHeight="1">
      <c r="B1053" s="99"/>
      <c r="C1053" s="99"/>
      <c r="D1053" s="99"/>
      <c r="E1053" s="99"/>
      <c r="F1053" s="99"/>
      <c r="G1053" s="99"/>
      <c r="H1053" s="99"/>
      <c r="I1053" s="99"/>
      <c r="J1053" s="99"/>
      <c r="K1053" s="99"/>
      <c r="L1053" s="99"/>
      <c r="M1053" s="99"/>
      <c r="N1053" s="99"/>
      <c r="O1053" s="99"/>
      <c r="P1053" s="99"/>
      <c r="Q1053" s="99"/>
      <c r="R1053" s="99"/>
    </row>
    <row r="1054" spans="2:18" ht="15" customHeight="1">
      <c r="B1054" s="99"/>
      <c r="C1054" s="99"/>
      <c r="D1054" s="99"/>
      <c r="E1054" s="99"/>
      <c r="F1054" s="99"/>
      <c r="G1054" s="99"/>
      <c r="H1054" s="99"/>
      <c r="I1054" s="99"/>
      <c r="J1054" s="99"/>
      <c r="K1054" s="99"/>
      <c r="L1054" s="99"/>
      <c r="M1054" s="99"/>
      <c r="N1054" s="99"/>
      <c r="O1054" s="99"/>
      <c r="P1054" s="99"/>
      <c r="Q1054" s="99"/>
      <c r="R1054" s="99"/>
    </row>
    <row r="1055" spans="2:18" ht="15" customHeight="1">
      <c r="B1055" s="99"/>
      <c r="C1055" s="99"/>
      <c r="D1055" s="99"/>
      <c r="E1055" s="99"/>
      <c r="F1055" s="99"/>
      <c r="G1055" s="99"/>
      <c r="H1055" s="99"/>
      <c r="I1055" s="99"/>
      <c r="J1055" s="99"/>
      <c r="K1055" s="99"/>
      <c r="L1055" s="99"/>
      <c r="M1055" s="99"/>
      <c r="N1055" s="99"/>
      <c r="O1055" s="99"/>
      <c r="P1055" s="99"/>
      <c r="Q1055" s="99"/>
      <c r="R1055" s="99"/>
    </row>
    <row r="1056" spans="2:18" ht="15" customHeight="1">
      <c r="B1056" s="99"/>
      <c r="C1056" s="99"/>
      <c r="D1056" s="99"/>
      <c r="E1056" s="99"/>
      <c r="F1056" s="99"/>
      <c r="G1056" s="99"/>
      <c r="H1056" s="99"/>
      <c r="I1056" s="99"/>
      <c r="J1056" s="99"/>
      <c r="K1056" s="99"/>
      <c r="L1056" s="99"/>
      <c r="M1056" s="99"/>
      <c r="N1056" s="99"/>
      <c r="O1056" s="99"/>
      <c r="P1056" s="99"/>
      <c r="Q1056" s="99"/>
      <c r="R1056" s="99"/>
    </row>
    <row r="1057" spans="2:18" ht="15" customHeight="1">
      <c r="B1057" s="99"/>
      <c r="C1057" s="99"/>
      <c r="D1057" s="99"/>
      <c r="E1057" s="99"/>
      <c r="F1057" s="99"/>
      <c r="G1057" s="99"/>
      <c r="H1057" s="99"/>
      <c r="I1057" s="99"/>
      <c r="J1057" s="99"/>
      <c r="K1057" s="99"/>
      <c r="L1057" s="99"/>
      <c r="M1057" s="99"/>
      <c r="N1057" s="99"/>
      <c r="O1057" s="99"/>
      <c r="P1057" s="99"/>
      <c r="Q1057" s="99"/>
      <c r="R1057" s="99"/>
    </row>
    <row r="1058" spans="2:18" ht="15" customHeight="1">
      <c r="B1058" s="99"/>
      <c r="C1058" s="99"/>
      <c r="D1058" s="99"/>
      <c r="E1058" s="99"/>
      <c r="F1058" s="99"/>
      <c r="G1058" s="99"/>
      <c r="H1058" s="99"/>
      <c r="I1058" s="99"/>
      <c r="J1058" s="99"/>
      <c r="K1058" s="99"/>
      <c r="L1058" s="99"/>
      <c r="M1058" s="99"/>
      <c r="N1058" s="99"/>
      <c r="O1058" s="99"/>
      <c r="P1058" s="99"/>
      <c r="Q1058" s="99"/>
      <c r="R1058" s="99"/>
    </row>
    <row r="1059" spans="2:18" ht="15" customHeight="1">
      <c r="B1059" s="99"/>
      <c r="C1059" s="99"/>
      <c r="D1059" s="99"/>
      <c r="E1059" s="99"/>
      <c r="F1059" s="99"/>
      <c r="G1059" s="99"/>
      <c r="H1059" s="99"/>
      <c r="I1059" s="99"/>
      <c r="J1059" s="99"/>
      <c r="K1059" s="99"/>
      <c r="L1059" s="99"/>
      <c r="M1059" s="99"/>
      <c r="N1059" s="99"/>
      <c r="O1059" s="99"/>
      <c r="P1059" s="99"/>
      <c r="Q1059" s="99"/>
      <c r="R1059" s="99"/>
    </row>
    <row r="1060" spans="2:18" ht="15" customHeight="1">
      <c r="B1060" s="99"/>
      <c r="C1060" s="99"/>
      <c r="D1060" s="99"/>
      <c r="E1060" s="99"/>
      <c r="F1060" s="99"/>
      <c r="G1060" s="99"/>
      <c r="H1060" s="99"/>
      <c r="I1060" s="99"/>
      <c r="J1060" s="99"/>
      <c r="K1060" s="99"/>
      <c r="L1060" s="99"/>
      <c r="M1060" s="99"/>
      <c r="N1060" s="99"/>
      <c r="O1060" s="99"/>
      <c r="P1060" s="99"/>
      <c r="Q1060" s="99"/>
      <c r="R1060" s="99"/>
    </row>
    <row r="1061" spans="2:18" ht="15" customHeight="1">
      <c r="B1061" s="99"/>
      <c r="C1061" s="99"/>
      <c r="D1061" s="99"/>
      <c r="E1061" s="99"/>
      <c r="F1061" s="99"/>
      <c r="G1061" s="99"/>
      <c r="H1061" s="99"/>
      <c r="I1061" s="99"/>
      <c r="J1061" s="99"/>
      <c r="K1061" s="99"/>
      <c r="L1061" s="99"/>
      <c r="M1061" s="99"/>
      <c r="N1061" s="99"/>
      <c r="O1061" s="99"/>
      <c r="P1061" s="99"/>
      <c r="Q1061" s="99"/>
      <c r="R1061" s="99"/>
    </row>
    <row r="1062" spans="2:18" ht="15" customHeight="1">
      <c r="B1062" s="99"/>
      <c r="C1062" s="99"/>
      <c r="D1062" s="99"/>
      <c r="E1062" s="99"/>
      <c r="F1062" s="99"/>
      <c r="G1062" s="99"/>
      <c r="H1062" s="99"/>
      <c r="I1062" s="99"/>
      <c r="J1062" s="99"/>
      <c r="K1062" s="99"/>
      <c r="L1062" s="99"/>
      <c r="M1062" s="99"/>
      <c r="N1062" s="99"/>
      <c r="O1062" s="99"/>
      <c r="P1062" s="99"/>
      <c r="Q1062" s="99"/>
      <c r="R1062" s="99"/>
    </row>
    <row r="1063" spans="2:18" ht="15" customHeight="1">
      <c r="B1063" s="99"/>
      <c r="C1063" s="99"/>
      <c r="D1063" s="99"/>
      <c r="E1063" s="99"/>
      <c r="F1063" s="99"/>
      <c r="G1063" s="99"/>
      <c r="H1063" s="99"/>
      <c r="I1063" s="99"/>
      <c r="J1063" s="99"/>
      <c r="K1063" s="99"/>
      <c r="L1063" s="99"/>
      <c r="M1063" s="99"/>
      <c r="N1063" s="99"/>
      <c r="O1063" s="99"/>
      <c r="P1063" s="99"/>
      <c r="Q1063" s="99"/>
      <c r="R1063" s="99"/>
    </row>
    <row r="1064" spans="2:18" ht="15" customHeight="1">
      <c r="B1064" s="99"/>
      <c r="C1064" s="99"/>
      <c r="D1064" s="99"/>
      <c r="E1064" s="99"/>
      <c r="F1064" s="99"/>
      <c r="G1064" s="99"/>
      <c r="H1064" s="99"/>
      <c r="I1064" s="99"/>
      <c r="J1064" s="99"/>
      <c r="K1064" s="99"/>
      <c r="L1064" s="99"/>
      <c r="M1064" s="99"/>
      <c r="N1064" s="99"/>
      <c r="O1064" s="99"/>
      <c r="P1064" s="99"/>
      <c r="Q1064" s="99"/>
      <c r="R1064" s="99"/>
    </row>
    <row r="1065" spans="2:18" ht="15" customHeight="1">
      <c r="B1065" s="99"/>
      <c r="C1065" s="99"/>
      <c r="D1065" s="99"/>
      <c r="E1065" s="99"/>
      <c r="F1065" s="99"/>
      <c r="G1065" s="99"/>
      <c r="H1065" s="99"/>
      <c r="I1065" s="99"/>
      <c r="J1065" s="99"/>
      <c r="K1065" s="99"/>
      <c r="L1065" s="99"/>
      <c r="M1065" s="99"/>
      <c r="N1065" s="99"/>
      <c r="O1065" s="99"/>
      <c r="P1065" s="99"/>
      <c r="Q1065" s="99"/>
      <c r="R1065" s="99"/>
    </row>
    <row r="1066" spans="2:18" ht="15" customHeight="1">
      <c r="B1066" s="99"/>
      <c r="C1066" s="99"/>
      <c r="D1066" s="99"/>
      <c r="E1066" s="99"/>
      <c r="F1066" s="99"/>
      <c r="G1066" s="99"/>
      <c r="H1066" s="99"/>
      <c r="I1066" s="99"/>
      <c r="J1066" s="99"/>
      <c r="K1066" s="99"/>
      <c r="L1066" s="99"/>
      <c r="M1066" s="99"/>
      <c r="N1066" s="99"/>
      <c r="O1066" s="99"/>
      <c r="P1066" s="99"/>
      <c r="Q1066" s="99"/>
      <c r="R1066" s="99"/>
    </row>
    <row r="1067" spans="2:18" ht="15" customHeight="1">
      <c r="B1067" s="99"/>
      <c r="C1067" s="99"/>
      <c r="D1067" s="99"/>
      <c r="E1067" s="99"/>
      <c r="F1067" s="99"/>
      <c r="G1067" s="99"/>
      <c r="H1067" s="99"/>
      <c r="I1067" s="99"/>
      <c r="J1067" s="99"/>
      <c r="K1067" s="99"/>
      <c r="L1067" s="99"/>
      <c r="M1067" s="99"/>
      <c r="N1067" s="99"/>
      <c r="O1067" s="99"/>
      <c r="P1067" s="99"/>
      <c r="Q1067" s="99"/>
      <c r="R1067" s="99"/>
    </row>
    <row r="1068" spans="2:18" ht="15" customHeight="1">
      <c r="B1068" s="99"/>
      <c r="C1068" s="99"/>
      <c r="D1068" s="99"/>
      <c r="E1068" s="99"/>
      <c r="F1068" s="99"/>
      <c r="G1068" s="99"/>
      <c r="H1068" s="99"/>
      <c r="I1068" s="99"/>
      <c r="J1068" s="99"/>
      <c r="K1068" s="99"/>
      <c r="L1068" s="99"/>
      <c r="M1068" s="99"/>
      <c r="N1068" s="99"/>
      <c r="O1068" s="99"/>
      <c r="P1068" s="99"/>
      <c r="Q1068" s="99"/>
      <c r="R1068" s="99"/>
    </row>
    <row r="1069" spans="2:18" ht="15" customHeight="1">
      <c r="B1069" s="99"/>
      <c r="C1069" s="99"/>
      <c r="D1069" s="99"/>
      <c r="E1069" s="99"/>
      <c r="F1069" s="99"/>
      <c r="G1069" s="99"/>
      <c r="H1069" s="99"/>
      <c r="I1069" s="99"/>
      <c r="J1069" s="99"/>
      <c r="K1069" s="99"/>
      <c r="L1069" s="99"/>
      <c r="M1069" s="99"/>
      <c r="N1069" s="99"/>
      <c r="O1069" s="99"/>
      <c r="P1069" s="99"/>
      <c r="Q1069" s="99"/>
      <c r="R1069" s="99"/>
    </row>
    <row r="1070" spans="2:18" ht="15" customHeight="1">
      <c r="B1070" s="99"/>
      <c r="C1070" s="99"/>
      <c r="D1070" s="99"/>
      <c r="E1070" s="99"/>
      <c r="F1070" s="99"/>
      <c r="G1070" s="99"/>
      <c r="H1070" s="99"/>
      <c r="I1070" s="99"/>
      <c r="J1070" s="99"/>
      <c r="K1070" s="99"/>
      <c r="L1070" s="99"/>
      <c r="M1070" s="99"/>
      <c r="N1070" s="99"/>
      <c r="O1070" s="99"/>
      <c r="P1070" s="99"/>
      <c r="Q1070" s="99"/>
      <c r="R1070" s="99"/>
    </row>
    <row r="1071" spans="2:18" ht="15" customHeight="1">
      <c r="B1071" s="99"/>
      <c r="C1071" s="99"/>
      <c r="D1071" s="99"/>
      <c r="E1071" s="99"/>
      <c r="F1071" s="99"/>
      <c r="G1071" s="99"/>
      <c r="H1071" s="99"/>
      <c r="I1071" s="99"/>
      <c r="J1071" s="99"/>
      <c r="K1071" s="99"/>
      <c r="L1071" s="99"/>
      <c r="M1071" s="99"/>
      <c r="N1071" s="99"/>
      <c r="O1071" s="99"/>
      <c r="P1071" s="99"/>
      <c r="Q1071" s="99"/>
      <c r="R1071" s="99"/>
    </row>
    <row r="1072" spans="2:18" ht="15" customHeight="1">
      <c r="B1072" s="99"/>
      <c r="C1072" s="99"/>
      <c r="D1072" s="99"/>
      <c r="E1072" s="99"/>
      <c r="F1072" s="99"/>
      <c r="G1072" s="99"/>
      <c r="H1072" s="99"/>
      <c r="I1072" s="99"/>
      <c r="J1072" s="99"/>
      <c r="K1072" s="99"/>
      <c r="L1072" s="99"/>
      <c r="M1072" s="99"/>
      <c r="N1072" s="99"/>
      <c r="O1072" s="99"/>
      <c r="P1072" s="99"/>
      <c r="Q1072" s="99"/>
      <c r="R1072" s="99"/>
    </row>
    <row r="1073" spans="2:18" ht="15" customHeight="1">
      <c r="B1073" s="99"/>
      <c r="C1073" s="99"/>
      <c r="D1073" s="99"/>
      <c r="E1073" s="99"/>
      <c r="F1073" s="99"/>
      <c r="G1073" s="99"/>
      <c r="H1073" s="99"/>
      <c r="I1073" s="99"/>
      <c r="J1073" s="99"/>
      <c r="K1073" s="99"/>
      <c r="L1073" s="99"/>
      <c r="M1073" s="99"/>
      <c r="N1073" s="99"/>
      <c r="O1073" s="99"/>
      <c r="P1073" s="99"/>
      <c r="Q1073" s="99"/>
      <c r="R1073" s="99"/>
    </row>
    <row r="1074" spans="2:18" ht="15" customHeight="1">
      <c r="B1074" s="99"/>
      <c r="C1074" s="99"/>
      <c r="D1074" s="99"/>
      <c r="E1074" s="99"/>
      <c r="F1074" s="99"/>
      <c r="G1074" s="99"/>
      <c r="H1074" s="99"/>
      <c r="I1074" s="99"/>
      <c r="J1074" s="99"/>
      <c r="K1074" s="99"/>
      <c r="L1074" s="99"/>
      <c r="M1074" s="99"/>
      <c r="N1074" s="99"/>
      <c r="O1074" s="99"/>
      <c r="P1074" s="99"/>
      <c r="Q1074" s="99"/>
      <c r="R1074" s="99"/>
    </row>
    <row r="1075" spans="2:18" ht="15" customHeight="1">
      <c r="B1075" s="99"/>
      <c r="C1075" s="99"/>
      <c r="D1075" s="99"/>
      <c r="E1075" s="99"/>
      <c r="F1075" s="99"/>
      <c r="G1075" s="99"/>
      <c r="H1075" s="99"/>
      <c r="I1075" s="99"/>
      <c r="J1075" s="99"/>
      <c r="K1075" s="99"/>
      <c r="L1075" s="99"/>
      <c r="M1075" s="99"/>
      <c r="N1075" s="99"/>
      <c r="O1075" s="99"/>
      <c r="P1075" s="99"/>
      <c r="Q1075" s="99"/>
      <c r="R1075" s="99"/>
    </row>
    <row r="1076" spans="2:18" ht="15" customHeight="1">
      <c r="B1076" s="99"/>
      <c r="C1076" s="99"/>
      <c r="D1076" s="99"/>
      <c r="E1076" s="99"/>
      <c r="F1076" s="99"/>
      <c r="G1076" s="99"/>
      <c r="H1076" s="99"/>
      <c r="I1076" s="99"/>
      <c r="J1076" s="99"/>
      <c r="K1076" s="99"/>
      <c r="L1076" s="99"/>
      <c r="M1076" s="99"/>
      <c r="N1076" s="99"/>
      <c r="O1076" s="99"/>
      <c r="P1076" s="99"/>
      <c r="Q1076" s="99"/>
      <c r="R1076" s="99"/>
    </row>
    <row r="1077" spans="2:18" ht="15" customHeight="1">
      <c r="B1077" s="99"/>
      <c r="C1077" s="99"/>
      <c r="D1077" s="99"/>
      <c r="E1077" s="99"/>
      <c r="F1077" s="99"/>
      <c r="G1077" s="99"/>
      <c r="H1077" s="99"/>
      <c r="I1077" s="99"/>
      <c r="J1077" s="99"/>
      <c r="K1077" s="99"/>
      <c r="L1077" s="99"/>
      <c r="M1077" s="99"/>
      <c r="N1077" s="99"/>
      <c r="O1077" s="99"/>
      <c r="P1077" s="99"/>
      <c r="Q1077" s="99"/>
      <c r="R1077" s="99"/>
    </row>
    <row r="1078" spans="2:18" ht="15" customHeight="1">
      <c r="B1078" s="99"/>
      <c r="C1078" s="99"/>
      <c r="D1078" s="99"/>
      <c r="E1078" s="99"/>
      <c r="F1078" s="99"/>
      <c r="G1078" s="99"/>
      <c r="H1078" s="99"/>
      <c r="I1078" s="99"/>
      <c r="J1078" s="99"/>
      <c r="K1078" s="99"/>
      <c r="L1078" s="99"/>
      <c r="M1078" s="99"/>
      <c r="N1078" s="99"/>
      <c r="O1078" s="99"/>
      <c r="P1078" s="99"/>
      <c r="Q1078" s="99"/>
      <c r="R1078" s="99"/>
    </row>
    <row r="1079" spans="2:18" ht="15" customHeight="1">
      <c r="B1079" s="99"/>
      <c r="C1079" s="99"/>
      <c r="D1079" s="99"/>
      <c r="E1079" s="99"/>
      <c r="F1079" s="99"/>
      <c r="G1079" s="99"/>
      <c r="H1079" s="99"/>
      <c r="I1079" s="99"/>
      <c r="J1079" s="99"/>
      <c r="K1079" s="99"/>
      <c r="L1079" s="99"/>
      <c r="M1079" s="99"/>
      <c r="N1079" s="99"/>
      <c r="O1079" s="99"/>
      <c r="P1079" s="99"/>
      <c r="Q1079" s="99"/>
      <c r="R1079" s="99"/>
    </row>
    <row r="1080" spans="2:18" ht="15" customHeight="1">
      <c r="B1080" s="99"/>
      <c r="C1080" s="99"/>
      <c r="D1080" s="99"/>
      <c r="E1080" s="99"/>
      <c r="F1080" s="99"/>
      <c r="G1080" s="99"/>
      <c r="H1080" s="99"/>
      <c r="I1080" s="99"/>
      <c r="J1080" s="99"/>
      <c r="K1080" s="99"/>
      <c r="L1080" s="99"/>
      <c r="M1080" s="99"/>
      <c r="N1080" s="99"/>
      <c r="O1080" s="99"/>
      <c r="P1080" s="99"/>
      <c r="Q1080" s="99"/>
      <c r="R1080" s="99"/>
    </row>
    <row r="1081" spans="2:18" ht="15" customHeight="1">
      <c r="B1081" s="99"/>
      <c r="C1081" s="99"/>
      <c r="D1081" s="99"/>
      <c r="E1081" s="99"/>
      <c r="F1081" s="99"/>
      <c r="G1081" s="99"/>
      <c r="H1081" s="99"/>
      <c r="I1081" s="99"/>
      <c r="J1081" s="99"/>
      <c r="K1081" s="99"/>
      <c r="L1081" s="99"/>
      <c r="M1081" s="99"/>
      <c r="N1081" s="99"/>
      <c r="O1081" s="99"/>
      <c r="P1081" s="99"/>
      <c r="Q1081" s="99"/>
      <c r="R1081" s="99"/>
    </row>
    <row r="1082" spans="2:18" ht="15" customHeight="1">
      <c r="B1082" s="99"/>
      <c r="C1082" s="99"/>
      <c r="D1082" s="99"/>
      <c r="E1082" s="99"/>
      <c r="F1082" s="99"/>
      <c r="G1082" s="99"/>
      <c r="H1082" s="99"/>
      <c r="I1082" s="99"/>
      <c r="J1082" s="99"/>
      <c r="K1082" s="99"/>
      <c r="L1082" s="99"/>
      <c r="M1082" s="99"/>
      <c r="N1082" s="99"/>
      <c r="O1082" s="99"/>
      <c r="P1082" s="99"/>
      <c r="Q1082" s="99"/>
      <c r="R1082" s="99"/>
    </row>
    <row r="1083" spans="2:18" ht="15" customHeight="1">
      <c r="B1083" s="99"/>
      <c r="C1083" s="99"/>
      <c r="D1083" s="99"/>
      <c r="E1083" s="99"/>
      <c r="F1083" s="99"/>
      <c r="G1083" s="99"/>
      <c r="H1083" s="99"/>
      <c r="I1083" s="99"/>
      <c r="J1083" s="99"/>
      <c r="K1083" s="99"/>
      <c r="L1083" s="99"/>
      <c r="M1083" s="99"/>
      <c r="N1083" s="99"/>
      <c r="O1083" s="99"/>
      <c r="P1083" s="99"/>
      <c r="Q1083" s="99"/>
      <c r="R1083" s="99"/>
    </row>
    <row r="1084" spans="2:18" ht="15" customHeight="1">
      <c r="B1084" s="99"/>
      <c r="C1084" s="99"/>
      <c r="D1084" s="99"/>
      <c r="E1084" s="99"/>
      <c r="F1084" s="99"/>
      <c r="G1084" s="99"/>
      <c r="H1084" s="99"/>
      <c r="I1084" s="99"/>
      <c r="J1084" s="99"/>
      <c r="K1084" s="99"/>
      <c r="L1084" s="99"/>
      <c r="M1084" s="99"/>
      <c r="N1084" s="99"/>
      <c r="O1084" s="99"/>
      <c r="P1084" s="99"/>
      <c r="Q1084" s="99"/>
      <c r="R1084" s="99"/>
    </row>
    <row r="1085" spans="2:18" ht="15" customHeight="1">
      <c r="B1085" s="99"/>
      <c r="C1085" s="99"/>
      <c r="D1085" s="99"/>
      <c r="E1085" s="99"/>
      <c r="F1085" s="99"/>
      <c r="G1085" s="99"/>
      <c r="H1085" s="99"/>
      <c r="I1085" s="99"/>
      <c r="J1085" s="99"/>
      <c r="K1085" s="99"/>
      <c r="L1085" s="99"/>
      <c r="M1085" s="99"/>
      <c r="N1085" s="99"/>
      <c r="O1085" s="99"/>
      <c r="P1085" s="99"/>
      <c r="Q1085" s="99"/>
      <c r="R1085" s="99"/>
    </row>
    <row r="1086" spans="2:18" ht="15" customHeight="1">
      <c r="B1086" s="99"/>
      <c r="C1086" s="99"/>
      <c r="D1086" s="99"/>
      <c r="E1086" s="99"/>
      <c r="F1086" s="99"/>
      <c r="G1086" s="99"/>
      <c r="H1086" s="99"/>
      <c r="I1086" s="99"/>
      <c r="J1086" s="99"/>
      <c r="K1086" s="99"/>
      <c r="L1086" s="99"/>
      <c r="M1086" s="99"/>
      <c r="N1086" s="99"/>
      <c r="O1086" s="99"/>
      <c r="P1086" s="99"/>
      <c r="Q1086" s="99"/>
      <c r="R1086" s="99"/>
    </row>
    <row r="1087" spans="2:18" ht="15" customHeight="1">
      <c r="B1087" s="99"/>
      <c r="C1087" s="99"/>
      <c r="D1087" s="99"/>
      <c r="E1087" s="99"/>
      <c r="F1087" s="99"/>
      <c r="G1087" s="99"/>
      <c r="H1087" s="99"/>
      <c r="I1087" s="99"/>
      <c r="J1087" s="99"/>
      <c r="K1087" s="99"/>
      <c r="L1087" s="99"/>
      <c r="M1087" s="99"/>
      <c r="N1087" s="99"/>
      <c r="O1087" s="99"/>
      <c r="P1087" s="99"/>
      <c r="Q1087" s="99"/>
      <c r="R1087" s="99"/>
    </row>
    <row r="1088" spans="2:18" ht="15" customHeight="1">
      <c r="B1088" s="99"/>
      <c r="C1088" s="99"/>
      <c r="D1088" s="99"/>
      <c r="E1088" s="99"/>
      <c r="F1088" s="99"/>
      <c r="G1088" s="99"/>
      <c r="H1088" s="99"/>
      <c r="I1088" s="99"/>
      <c r="J1088" s="99"/>
      <c r="K1088" s="99"/>
      <c r="L1088" s="99"/>
      <c r="M1088" s="99"/>
      <c r="N1088" s="99"/>
      <c r="O1088" s="99"/>
      <c r="P1088" s="99"/>
      <c r="Q1088" s="99"/>
      <c r="R1088" s="99"/>
    </row>
    <row r="1089" spans="2:18" ht="15" customHeight="1">
      <c r="B1089" s="99"/>
      <c r="C1089" s="99"/>
      <c r="D1089" s="99"/>
      <c r="E1089" s="99"/>
      <c r="F1089" s="99"/>
      <c r="G1089" s="99"/>
      <c r="H1089" s="99"/>
      <c r="I1089" s="99"/>
      <c r="J1089" s="99"/>
      <c r="K1089" s="99"/>
      <c r="L1089" s="99"/>
      <c r="M1089" s="99"/>
      <c r="N1089" s="99"/>
      <c r="O1089" s="99"/>
      <c r="P1089" s="99"/>
      <c r="Q1089" s="99"/>
      <c r="R1089" s="99"/>
    </row>
    <row r="1090" spans="2:18" ht="15" customHeight="1">
      <c r="B1090" s="99"/>
      <c r="C1090" s="99"/>
      <c r="D1090" s="99"/>
      <c r="E1090" s="99"/>
      <c r="F1090" s="99"/>
      <c r="G1090" s="99"/>
      <c r="H1090" s="99"/>
      <c r="I1090" s="99"/>
      <c r="J1090" s="99"/>
      <c r="K1090" s="99"/>
      <c r="L1090" s="99"/>
      <c r="M1090" s="99"/>
      <c r="N1090" s="99"/>
      <c r="O1090" s="99"/>
      <c r="P1090" s="99"/>
      <c r="Q1090" s="99"/>
      <c r="R1090" s="99"/>
    </row>
    <row r="1091" spans="2:18" ht="15" customHeight="1">
      <c r="B1091" s="99"/>
      <c r="C1091" s="99"/>
      <c r="D1091" s="99"/>
      <c r="E1091" s="99"/>
      <c r="F1091" s="99"/>
      <c r="G1091" s="99"/>
      <c r="H1091" s="99"/>
      <c r="I1091" s="99"/>
      <c r="J1091" s="99"/>
      <c r="K1091" s="99"/>
      <c r="L1091" s="99"/>
      <c r="M1091" s="99"/>
      <c r="N1091" s="99"/>
      <c r="O1091" s="99"/>
      <c r="P1091" s="99"/>
      <c r="Q1091" s="99"/>
      <c r="R1091" s="99"/>
    </row>
    <row r="1092" spans="2:18" ht="15" customHeight="1">
      <c r="B1092" s="99"/>
      <c r="C1092" s="99"/>
      <c r="D1092" s="99"/>
      <c r="E1092" s="99"/>
      <c r="F1092" s="99"/>
      <c r="G1092" s="99"/>
      <c r="H1092" s="99"/>
      <c r="I1092" s="99"/>
      <c r="J1092" s="99"/>
      <c r="K1092" s="99"/>
      <c r="L1092" s="99"/>
      <c r="M1092" s="99"/>
      <c r="N1092" s="99"/>
      <c r="O1092" s="99"/>
      <c r="P1092" s="99"/>
      <c r="Q1092" s="99"/>
      <c r="R1092" s="99"/>
    </row>
    <row r="1093" spans="2:18" ht="15" customHeight="1">
      <c r="B1093" s="99"/>
      <c r="C1093" s="99"/>
      <c r="D1093" s="99"/>
      <c r="E1093" s="99"/>
      <c r="F1093" s="99"/>
      <c r="G1093" s="99"/>
      <c r="H1093" s="99"/>
      <c r="I1093" s="99"/>
      <c r="J1093" s="99"/>
      <c r="K1093" s="99"/>
      <c r="L1093" s="99"/>
      <c r="M1093" s="99"/>
      <c r="N1093" s="99"/>
      <c r="O1093" s="99"/>
      <c r="P1093" s="99"/>
      <c r="Q1093" s="99"/>
      <c r="R1093" s="99"/>
    </row>
    <row r="1094" spans="2:18" ht="15" customHeight="1">
      <c r="B1094" s="99"/>
      <c r="C1094" s="99"/>
      <c r="D1094" s="99"/>
      <c r="E1094" s="99"/>
      <c r="F1094" s="99"/>
      <c r="G1094" s="99"/>
      <c r="H1094" s="99"/>
      <c r="I1094" s="99"/>
      <c r="J1094" s="99"/>
      <c r="K1094" s="99"/>
      <c r="L1094" s="99"/>
      <c r="M1094" s="99"/>
      <c r="N1094" s="99"/>
      <c r="O1094" s="99"/>
      <c r="P1094" s="99"/>
      <c r="Q1094" s="99"/>
      <c r="R1094" s="99"/>
    </row>
    <row r="1095" spans="2:18" ht="15" customHeight="1">
      <c r="B1095" s="99"/>
      <c r="C1095" s="99"/>
      <c r="D1095" s="99"/>
      <c r="E1095" s="99"/>
      <c r="F1095" s="99"/>
      <c r="G1095" s="99"/>
      <c r="H1095" s="99"/>
      <c r="I1095" s="99"/>
      <c r="J1095" s="99"/>
      <c r="K1095" s="99"/>
      <c r="L1095" s="99"/>
      <c r="M1095" s="99"/>
      <c r="N1095" s="99"/>
      <c r="O1095" s="99"/>
      <c r="P1095" s="99"/>
      <c r="Q1095" s="99"/>
      <c r="R1095" s="99"/>
    </row>
    <row r="1096" spans="2:18" ht="15" customHeight="1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</row>
    <row r="1097" spans="2:18" ht="15" customHeight="1">
      <c r="B1097" s="99"/>
      <c r="C1097" s="99"/>
      <c r="D1097" s="99"/>
      <c r="E1097" s="99"/>
      <c r="F1097" s="99"/>
      <c r="G1097" s="99"/>
      <c r="H1097" s="99"/>
      <c r="I1097" s="99"/>
      <c r="J1097" s="99"/>
      <c r="K1097" s="99"/>
      <c r="L1097" s="99"/>
      <c r="M1097" s="99"/>
      <c r="N1097" s="99"/>
      <c r="O1097" s="99"/>
      <c r="P1097" s="99"/>
      <c r="Q1097" s="99"/>
      <c r="R1097" s="99"/>
    </row>
    <row r="1098" spans="2:18" ht="15" customHeight="1">
      <c r="B1098" s="99"/>
      <c r="C1098" s="99"/>
      <c r="D1098" s="99"/>
      <c r="E1098" s="99"/>
      <c r="F1098" s="99"/>
      <c r="G1098" s="99"/>
      <c r="H1098" s="99"/>
      <c r="I1098" s="99"/>
      <c r="J1098" s="99"/>
      <c r="K1098" s="99"/>
      <c r="L1098" s="99"/>
      <c r="M1098" s="99"/>
      <c r="N1098" s="99"/>
      <c r="O1098" s="99"/>
      <c r="P1098" s="99"/>
      <c r="Q1098" s="99"/>
      <c r="R1098" s="99"/>
    </row>
    <row r="1099" spans="2:18" ht="15" customHeight="1">
      <c r="B1099" s="99"/>
      <c r="C1099" s="99"/>
      <c r="D1099" s="99"/>
      <c r="E1099" s="99"/>
      <c r="F1099" s="99"/>
      <c r="G1099" s="99"/>
      <c r="H1099" s="99"/>
      <c r="I1099" s="99"/>
      <c r="J1099" s="99"/>
      <c r="K1099" s="99"/>
      <c r="L1099" s="99"/>
      <c r="M1099" s="99"/>
      <c r="N1099" s="99"/>
      <c r="O1099" s="99"/>
      <c r="P1099" s="99"/>
      <c r="Q1099" s="99"/>
      <c r="R1099" s="99"/>
    </row>
    <row r="1100" spans="2:18" ht="15" customHeight="1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</row>
    <row r="1101" spans="2:18" ht="15" customHeight="1">
      <c r="B1101" s="99"/>
      <c r="C1101" s="99"/>
      <c r="D1101" s="99"/>
      <c r="E1101" s="99"/>
      <c r="F1101" s="99"/>
      <c r="G1101" s="99"/>
      <c r="H1101" s="99"/>
      <c r="I1101" s="99"/>
      <c r="J1101" s="99"/>
      <c r="K1101" s="99"/>
      <c r="L1101" s="99"/>
      <c r="M1101" s="99"/>
      <c r="N1101" s="99"/>
      <c r="O1101" s="99"/>
      <c r="P1101" s="99"/>
      <c r="Q1101" s="99"/>
      <c r="R1101" s="99"/>
    </row>
    <row r="1102" spans="2:18" ht="15" customHeight="1">
      <c r="B1102" s="99"/>
      <c r="C1102" s="99"/>
      <c r="D1102" s="99"/>
      <c r="E1102" s="99"/>
      <c r="F1102" s="99"/>
      <c r="G1102" s="99"/>
      <c r="H1102" s="99"/>
      <c r="I1102" s="99"/>
      <c r="J1102" s="99"/>
      <c r="K1102" s="99"/>
      <c r="L1102" s="99"/>
      <c r="M1102" s="99"/>
      <c r="N1102" s="99"/>
      <c r="O1102" s="99"/>
      <c r="P1102" s="99"/>
      <c r="Q1102" s="99"/>
      <c r="R1102" s="99"/>
    </row>
    <row r="1103" spans="2:18" ht="15" customHeight="1">
      <c r="B1103" s="99"/>
      <c r="C1103" s="99"/>
      <c r="D1103" s="99"/>
      <c r="E1103" s="99"/>
      <c r="F1103" s="99"/>
      <c r="G1103" s="99"/>
      <c r="H1103" s="99"/>
      <c r="I1103" s="99"/>
      <c r="J1103" s="99"/>
      <c r="K1103" s="99"/>
      <c r="L1103" s="99"/>
      <c r="M1103" s="99"/>
      <c r="N1103" s="99"/>
      <c r="O1103" s="99"/>
      <c r="P1103" s="99"/>
      <c r="Q1103" s="99"/>
      <c r="R1103" s="99"/>
    </row>
    <row r="1104" spans="2:18" ht="15" customHeight="1">
      <c r="B1104" s="99"/>
      <c r="C1104" s="99"/>
      <c r="D1104" s="99"/>
      <c r="E1104" s="99"/>
      <c r="F1104" s="99"/>
      <c r="G1104" s="99"/>
      <c r="H1104" s="99"/>
      <c r="I1104" s="99"/>
      <c r="J1104" s="99"/>
      <c r="K1104" s="99"/>
      <c r="L1104" s="99"/>
      <c r="M1104" s="99"/>
      <c r="N1104" s="99"/>
      <c r="O1104" s="99"/>
      <c r="P1104" s="99"/>
      <c r="Q1104" s="99"/>
      <c r="R1104" s="99"/>
    </row>
    <row r="1105" spans="2:18" ht="15" customHeight="1">
      <c r="B1105" s="99"/>
      <c r="C1105" s="99"/>
      <c r="D1105" s="99"/>
      <c r="E1105" s="99"/>
      <c r="F1105" s="99"/>
      <c r="G1105" s="99"/>
      <c r="H1105" s="99"/>
      <c r="I1105" s="99"/>
      <c r="J1105" s="99"/>
      <c r="K1105" s="99"/>
      <c r="L1105" s="99"/>
      <c r="M1105" s="99"/>
      <c r="N1105" s="99"/>
      <c r="O1105" s="99"/>
      <c r="P1105" s="99"/>
      <c r="Q1105" s="99"/>
      <c r="R1105" s="99"/>
    </row>
    <row r="1106" spans="2:18" ht="15" customHeight="1">
      <c r="B1106" s="99"/>
      <c r="C1106" s="99"/>
      <c r="D1106" s="99"/>
      <c r="E1106" s="99"/>
      <c r="F1106" s="99"/>
      <c r="G1106" s="99"/>
      <c r="H1106" s="99"/>
      <c r="I1106" s="99"/>
      <c r="J1106" s="99"/>
      <c r="K1106" s="99"/>
      <c r="L1106" s="99"/>
      <c r="M1106" s="99"/>
      <c r="N1106" s="99"/>
      <c r="O1106" s="99"/>
      <c r="P1106" s="99"/>
      <c r="Q1106" s="99"/>
      <c r="R1106" s="99"/>
    </row>
    <row r="1107" spans="2:18" ht="15" customHeight="1">
      <c r="B1107" s="99"/>
      <c r="C1107" s="99"/>
      <c r="D1107" s="99"/>
      <c r="E1107" s="99"/>
      <c r="F1107" s="99"/>
      <c r="G1107" s="99"/>
      <c r="H1107" s="99"/>
      <c r="I1107" s="99"/>
      <c r="J1107" s="99"/>
      <c r="K1107" s="99"/>
      <c r="L1107" s="99"/>
      <c r="M1107" s="99"/>
      <c r="N1107" s="99"/>
      <c r="O1107" s="99"/>
      <c r="P1107" s="99"/>
      <c r="Q1107" s="99"/>
      <c r="R1107" s="99"/>
    </row>
    <row r="1108" spans="2:18" ht="15" customHeight="1">
      <c r="B1108" s="99"/>
      <c r="C1108" s="99"/>
      <c r="D1108" s="99"/>
      <c r="E1108" s="99"/>
      <c r="F1108" s="99"/>
      <c r="G1108" s="99"/>
      <c r="H1108" s="99"/>
      <c r="I1108" s="99"/>
      <c r="J1108" s="99"/>
      <c r="K1108" s="99"/>
      <c r="L1108" s="99"/>
      <c r="M1108" s="99"/>
      <c r="N1108" s="99"/>
      <c r="O1108" s="99"/>
      <c r="P1108" s="99"/>
      <c r="Q1108" s="99"/>
      <c r="R1108" s="99"/>
    </row>
    <row r="1109" spans="2:18" ht="15" customHeight="1">
      <c r="B1109" s="99"/>
      <c r="C1109" s="99"/>
      <c r="D1109" s="99"/>
      <c r="E1109" s="99"/>
      <c r="F1109" s="99"/>
      <c r="G1109" s="99"/>
      <c r="H1109" s="99"/>
      <c r="I1109" s="99"/>
      <c r="J1109" s="99"/>
      <c r="K1109" s="99"/>
      <c r="L1109" s="99"/>
      <c r="M1109" s="99"/>
      <c r="N1109" s="99"/>
      <c r="O1109" s="99"/>
      <c r="P1109" s="99"/>
      <c r="Q1109" s="99"/>
      <c r="R1109" s="99"/>
    </row>
    <row r="1110" spans="2:18" ht="15" customHeight="1">
      <c r="B1110" s="99"/>
      <c r="C1110" s="99"/>
      <c r="D1110" s="99"/>
      <c r="E1110" s="99"/>
      <c r="F1110" s="99"/>
      <c r="G1110" s="99"/>
      <c r="H1110" s="99"/>
      <c r="I1110" s="99"/>
      <c r="J1110" s="99"/>
      <c r="K1110" s="99"/>
      <c r="L1110" s="99"/>
      <c r="M1110" s="99"/>
      <c r="N1110" s="99"/>
      <c r="O1110" s="99"/>
      <c r="P1110" s="99"/>
      <c r="Q1110" s="99"/>
      <c r="R1110" s="99"/>
    </row>
    <row r="1111" spans="2:18" ht="15" customHeight="1">
      <c r="B1111" s="99"/>
      <c r="C1111" s="99"/>
      <c r="D1111" s="99"/>
      <c r="E1111" s="99"/>
      <c r="F1111" s="99"/>
      <c r="G1111" s="99"/>
      <c r="H1111" s="99"/>
      <c r="I1111" s="99"/>
      <c r="J1111" s="99"/>
      <c r="K1111" s="99"/>
      <c r="L1111" s="99"/>
      <c r="M1111" s="99"/>
      <c r="N1111" s="99"/>
      <c r="O1111" s="99"/>
      <c r="P1111" s="99"/>
      <c r="Q1111" s="99"/>
      <c r="R1111" s="99"/>
    </row>
    <row r="1112" spans="2:18" ht="15" customHeight="1">
      <c r="B1112" s="99"/>
      <c r="C1112" s="99"/>
      <c r="D1112" s="99"/>
      <c r="E1112" s="99"/>
      <c r="F1112" s="99"/>
      <c r="G1112" s="99"/>
      <c r="H1112" s="99"/>
      <c r="I1112" s="99"/>
      <c r="J1112" s="99"/>
      <c r="K1112" s="99"/>
      <c r="L1112" s="99"/>
      <c r="M1112" s="99"/>
      <c r="N1112" s="99"/>
      <c r="O1112" s="99"/>
      <c r="P1112" s="99"/>
      <c r="Q1112" s="99"/>
      <c r="R1112" s="99"/>
    </row>
    <row r="1113" spans="2:18" ht="15" customHeight="1">
      <c r="B1113" s="99"/>
      <c r="C1113" s="99"/>
      <c r="D1113" s="99"/>
      <c r="E1113" s="99"/>
      <c r="F1113" s="99"/>
      <c r="G1113" s="99"/>
      <c r="H1113" s="99"/>
      <c r="I1113" s="99"/>
      <c r="J1113" s="99"/>
      <c r="K1113" s="99"/>
      <c r="L1113" s="99"/>
      <c r="M1113" s="99"/>
      <c r="N1113" s="99"/>
      <c r="O1113" s="99"/>
      <c r="P1113" s="99"/>
      <c r="Q1113" s="99"/>
      <c r="R1113" s="99"/>
    </row>
    <row r="1114" spans="2:18" ht="15" customHeight="1">
      <c r="B1114" s="99"/>
      <c r="C1114" s="99"/>
      <c r="D1114" s="99"/>
      <c r="E1114" s="99"/>
      <c r="F1114" s="99"/>
      <c r="G1114" s="99"/>
      <c r="H1114" s="99"/>
      <c r="I1114" s="99"/>
      <c r="J1114" s="99"/>
      <c r="K1114" s="99"/>
      <c r="L1114" s="99"/>
      <c r="M1114" s="99"/>
      <c r="N1114" s="99"/>
      <c r="O1114" s="99"/>
      <c r="P1114" s="99"/>
      <c r="Q1114" s="99"/>
      <c r="R1114" s="99"/>
    </row>
    <row r="1115" spans="2:18" ht="15" customHeight="1">
      <c r="B1115" s="99"/>
      <c r="C1115" s="99"/>
      <c r="D1115" s="99"/>
      <c r="E1115" s="99"/>
      <c r="F1115" s="99"/>
      <c r="G1115" s="99"/>
      <c r="H1115" s="99"/>
      <c r="I1115" s="99"/>
      <c r="J1115" s="99"/>
      <c r="K1115" s="99"/>
      <c r="L1115" s="99"/>
      <c r="M1115" s="99"/>
      <c r="N1115" s="99"/>
      <c r="O1115" s="99"/>
      <c r="P1115" s="99"/>
      <c r="Q1115" s="99"/>
      <c r="R1115" s="99"/>
    </row>
    <row r="1116" spans="2:18" ht="15" customHeight="1">
      <c r="B1116" s="99"/>
      <c r="C1116" s="99"/>
      <c r="D1116" s="99"/>
      <c r="E1116" s="99"/>
      <c r="F1116" s="99"/>
      <c r="G1116" s="99"/>
      <c r="H1116" s="99"/>
      <c r="I1116" s="99"/>
      <c r="J1116" s="99"/>
      <c r="K1116" s="99"/>
      <c r="L1116" s="99"/>
      <c r="M1116" s="99"/>
      <c r="N1116" s="99"/>
      <c r="O1116" s="99"/>
      <c r="P1116" s="99"/>
      <c r="Q1116" s="99"/>
      <c r="R1116" s="99"/>
    </row>
    <row r="1117" spans="2:18" ht="15" customHeight="1">
      <c r="B1117" s="99"/>
      <c r="C1117" s="99"/>
      <c r="D1117" s="99"/>
      <c r="E1117" s="99"/>
      <c r="F1117" s="99"/>
      <c r="G1117" s="99"/>
      <c r="H1117" s="99"/>
      <c r="I1117" s="99"/>
      <c r="J1117" s="99"/>
      <c r="K1117" s="99"/>
      <c r="L1117" s="99"/>
      <c r="M1117" s="99"/>
      <c r="N1117" s="99"/>
      <c r="O1117" s="99"/>
      <c r="P1117" s="99"/>
      <c r="Q1117" s="99"/>
      <c r="R1117" s="99"/>
    </row>
    <row r="1118" spans="2:18" ht="15" customHeight="1">
      <c r="B1118" s="99"/>
      <c r="C1118" s="99"/>
      <c r="D1118" s="99"/>
      <c r="E1118" s="99"/>
      <c r="F1118" s="99"/>
      <c r="G1118" s="99"/>
      <c r="H1118" s="99"/>
      <c r="I1118" s="99"/>
      <c r="J1118" s="99"/>
      <c r="K1118" s="99"/>
      <c r="L1118" s="99"/>
      <c r="M1118" s="99"/>
      <c r="N1118" s="99"/>
      <c r="O1118" s="99"/>
      <c r="P1118" s="99"/>
      <c r="Q1118" s="99"/>
      <c r="R1118" s="99"/>
    </row>
    <row r="1119" spans="2:18" ht="15" customHeight="1">
      <c r="B1119" s="99"/>
      <c r="C1119" s="99"/>
      <c r="D1119" s="99"/>
      <c r="E1119" s="99"/>
      <c r="F1119" s="99"/>
      <c r="G1119" s="99"/>
      <c r="H1119" s="99"/>
      <c r="I1119" s="99"/>
      <c r="J1119" s="99"/>
      <c r="K1119" s="99"/>
      <c r="L1119" s="99"/>
      <c r="M1119" s="99"/>
      <c r="N1119" s="99"/>
      <c r="O1119" s="99"/>
      <c r="P1119" s="99"/>
      <c r="Q1119" s="99"/>
      <c r="R1119" s="99"/>
    </row>
    <row r="1120" spans="2:18" ht="15" customHeight="1">
      <c r="B1120" s="99"/>
      <c r="C1120" s="99"/>
      <c r="D1120" s="99"/>
      <c r="E1120" s="99"/>
      <c r="F1120" s="99"/>
      <c r="G1120" s="99"/>
      <c r="H1120" s="99"/>
      <c r="I1120" s="99"/>
      <c r="J1120" s="99"/>
      <c r="K1120" s="99"/>
      <c r="L1120" s="99"/>
      <c r="M1120" s="99"/>
      <c r="N1120" s="99"/>
      <c r="O1120" s="99"/>
      <c r="P1120" s="99"/>
      <c r="Q1120" s="99"/>
      <c r="R1120" s="99"/>
    </row>
    <row r="1121" spans="2:18" ht="15" customHeight="1">
      <c r="B1121" s="99"/>
      <c r="C1121" s="99"/>
      <c r="D1121" s="99"/>
      <c r="E1121" s="99"/>
      <c r="F1121" s="99"/>
      <c r="G1121" s="99"/>
      <c r="H1121" s="99"/>
      <c r="I1121" s="99"/>
      <c r="J1121" s="99"/>
      <c r="K1121" s="99"/>
      <c r="L1121" s="99"/>
      <c r="M1121" s="99"/>
      <c r="N1121" s="99"/>
      <c r="O1121" s="99"/>
      <c r="P1121" s="99"/>
      <c r="Q1121" s="99"/>
      <c r="R1121" s="99"/>
    </row>
    <row r="1122" spans="2:18" ht="15" customHeight="1">
      <c r="B1122" s="99"/>
      <c r="C1122" s="99"/>
      <c r="D1122" s="99"/>
      <c r="E1122" s="99"/>
      <c r="F1122" s="99"/>
      <c r="G1122" s="99"/>
      <c r="H1122" s="99"/>
      <c r="I1122" s="99"/>
      <c r="J1122" s="99"/>
      <c r="K1122" s="99"/>
      <c r="L1122" s="99"/>
      <c r="M1122" s="99"/>
      <c r="N1122" s="99"/>
      <c r="O1122" s="99"/>
      <c r="P1122" s="99"/>
      <c r="Q1122" s="99"/>
      <c r="R1122" s="99"/>
    </row>
    <row r="1123" spans="2:18" ht="15" customHeight="1">
      <c r="B1123" s="99"/>
      <c r="C1123" s="99"/>
      <c r="D1123" s="99"/>
      <c r="E1123" s="99"/>
      <c r="F1123" s="99"/>
      <c r="G1123" s="99"/>
      <c r="H1123" s="99"/>
      <c r="I1123" s="99"/>
      <c r="J1123" s="99"/>
      <c r="K1123" s="99"/>
      <c r="L1123" s="99"/>
      <c r="M1123" s="99"/>
      <c r="N1123" s="99"/>
      <c r="O1123" s="99"/>
      <c r="P1123" s="99"/>
      <c r="Q1123" s="99"/>
      <c r="R1123" s="99"/>
    </row>
    <row r="1124" spans="2:18" ht="15" customHeight="1">
      <c r="B1124" s="99"/>
      <c r="C1124" s="99"/>
      <c r="D1124" s="99"/>
      <c r="E1124" s="99"/>
      <c r="F1124" s="99"/>
      <c r="G1124" s="99"/>
      <c r="H1124" s="99"/>
      <c r="I1124" s="99"/>
      <c r="J1124" s="99"/>
      <c r="K1124" s="99"/>
      <c r="L1124" s="99"/>
      <c r="M1124" s="99"/>
      <c r="N1124" s="99"/>
      <c r="O1124" s="99"/>
      <c r="P1124" s="99"/>
      <c r="Q1124" s="99"/>
      <c r="R1124" s="99"/>
    </row>
    <row r="1125" spans="2:18" ht="15" customHeight="1">
      <c r="B1125" s="99"/>
      <c r="C1125" s="99"/>
      <c r="D1125" s="99"/>
      <c r="E1125" s="99"/>
      <c r="F1125" s="99"/>
      <c r="G1125" s="99"/>
      <c r="H1125" s="99"/>
      <c r="I1125" s="99"/>
      <c r="J1125" s="99"/>
      <c r="K1125" s="99"/>
      <c r="L1125" s="99"/>
      <c r="M1125" s="99"/>
      <c r="N1125" s="99"/>
      <c r="O1125" s="99"/>
      <c r="P1125" s="99"/>
      <c r="Q1125" s="99"/>
      <c r="R1125" s="99"/>
    </row>
    <row r="1126" spans="2:18" ht="15" customHeight="1">
      <c r="B1126" s="99"/>
      <c r="C1126" s="99"/>
      <c r="D1126" s="99"/>
      <c r="E1126" s="99"/>
      <c r="F1126" s="99"/>
      <c r="G1126" s="99"/>
      <c r="H1126" s="99"/>
      <c r="I1126" s="99"/>
      <c r="J1126" s="99"/>
      <c r="K1126" s="99"/>
      <c r="L1126" s="99"/>
      <c r="M1126" s="99"/>
      <c r="N1126" s="99"/>
      <c r="O1126" s="99"/>
      <c r="P1126" s="99"/>
      <c r="Q1126" s="99"/>
      <c r="R1126" s="99"/>
    </row>
    <row r="1127" spans="2:18" ht="15" customHeight="1">
      <c r="B1127" s="99"/>
      <c r="C1127" s="99"/>
      <c r="D1127" s="99"/>
      <c r="E1127" s="99"/>
      <c r="F1127" s="99"/>
      <c r="G1127" s="99"/>
      <c r="H1127" s="99"/>
      <c r="I1127" s="99"/>
      <c r="J1127" s="99"/>
      <c r="K1127" s="99"/>
      <c r="L1127" s="99"/>
      <c r="M1127" s="99"/>
      <c r="N1127" s="99"/>
      <c r="O1127" s="99"/>
      <c r="P1127" s="99"/>
      <c r="Q1127" s="99"/>
      <c r="R1127" s="99"/>
    </row>
    <row r="1128" spans="2:18" ht="15" customHeight="1">
      <c r="B1128" s="99"/>
      <c r="C1128" s="99"/>
      <c r="D1128" s="99"/>
      <c r="E1128" s="99"/>
      <c r="F1128" s="99"/>
      <c r="G1128" s="99"/>
      <c r="H1128" s="99"/>
      <c r="I1128" s="99"/>
      <c r="J1128" s="99"/>
      <c r="K1128" s="99"/>
      <c r="L1128" s="99"/>
      <c r="M1128" s="99"/>
      <c r="N1128" s="99"/>
      <c r="O1128" s="99"/>
      <c r="P1128" s="99"/>
      <c r="Q1128" s="99"/>
      <c r="R1128" s="99"/>
    </row>
    <row r="1129" spans="2:18" ht="15" customHeight="1">
      <c r="B1129" s="99"/>
      <c r="C1129" s="99"/>
      <c r="D1129" s="99"/>
      <c r="E1129" s="99"/>
      <c r="F1129" s="99"/>
      <c r="G1129" s="99"/>
      <c r="H1129" s="99"/>
      <c r="I1129" s="99"/>
      <c r="J1129" s="99"/>
      <c r="K1129" s="99"/>
      <c r="L1129" s="99"/>
      <c r="M1129" s="99"/>
      <c r="N1129" s="99"/>
      <c r="O1129" s="99"/>
      <c r="P1129" s="99"/>
      <c r="Q1129" s="99"/>
      <c r="R1129" s="99"/>
    </row>
    <row r="1130" spans="2:18" ht="15" customHeight="1">
      <c r="B1130" s="99"/>
      <c r="C1130" s="99"/>
      <c r="D1130" s="99"/>
      <c r="E1130" s="99"/>
      <c r="F1130" s="99"/>
      <c r="G1130" s="99"/>
      <c r="H1130" s="99"/>
      <c r="I1130" s="99"/>
      <c r="J1130" s="99"/>
      <c r="K1130" s="99"/>
      <c r="L1130" s="99"/>
      <c r="M1130" s="99"/>
      <c r="N1130" s="99"/>
      <c r="O1130" s="99"/>
      <c r="P1130" s="99"/>
      <c r="Q1130" s="99"/>
      <c r="R1130" s="99"/>
    </row>
    <row r="1131" spans="2:18" ht="15" customHeight="1">
      <c r="B1131" s="99"/>
      <c r="C1131" s="99"/>
      <c r="D1131" s="99"/>
      <c r="E1131" s="99"/>
      <c r="F1131" s="99"/>
      <c r="G1131" s="99"/>
      <c r="H1131" s="99"/>
      <c r="I1131" s="99"/>
      <c r="J1131" s="99"/>
      <c r="K1131" s="99"/>
      <c r="L1131" s="99"/>
      <c r="M1131" s="99"/>
      <c r="N1131" s="99"/>
      <c r="O1131" s="99"/>
      <c r="P1131" s="99"/>
      <c r="Q1131" s="99"/>
      <c r="R1131" s="99"/>
    </row>
    <row r="1132" spans="2:18" ht="15" customHeight="1">
      <c r="B1132" s="99"/>
      <c r="C1132" s="99"/>
      <c r="D1132" s="99"/>
      <c r="E1132" s="99"/>
      <c r="F1132" s="99"/>
      <c r="G1132" s="99"/>
      <c r="H1132" s="99"/>
      <c r="I1132" s="99"/>
      <c r="J1132" s="99"/>
      <c r="K1132" s="99"/>
      <c r="L1132" s="99"/>
      <c r="M1132" s="99"/>
      <c r="N1132" s="99"/>
      <c r="O1132" s="99"/>
      <c r="P1132" s="99"/>
      <c r="Q1132" s="99"/>
      <c r="R1132" s="99"/>
    </row>
    <row r="1133" spans="2:18" ht="15" customHeight="1">
      <c r="B1133" s="99"/>
      <c r="C1133" s="99"/>
      <c r="D1133" s="99"/>
      <c r="E1133" s="99"/>
      <c r="F1133" s="99"/>
      <c r="G1133" s="99"/>
      <c r="H1133" s="99"/>
      <c r="I1133" s="99"/>
      <c r="J1133" s="99"/>
      <c r="K1133" s="99"/>
      <c r="L1133" s="99"/>
      <c r="M1133" s="99"/>
      <c r="N1133" s="99"/>
      <c r="O1133" s="99"/>
      <c r="P1133" s="99"/>
      <c r="Q1133" s="99"/>
      <c r="R1133" s="99"/>
    </row>
    <row r="1134" spans="2:18" ht="15" customHeight="1">
      <c r="B1134" s="99"/>
      <c r="C1134" s="99"/>
      <c r="D1134" s="99"/>
      <c r="E1134" s="99"/>
      <c r="F1134" s="99"/>
      <c r="G1134" s="99"/>
      <c r="H1134" s="99"/>
      <c r="I1134" s="99"/>
      <c r="J1134" s="99"/>
      <c r="K1134" s="99"/>
      <c r="L1134" s="99"/>
      <c r="M1134" s="99"/>
      <c r="N1134" s="99"/>
      <c r="O1134" s="99"/>
      <c r="P1134" s="99"/>
      <c r="Q1134" s="99"/>
      <c r="R1134" s="99"/>
    </row>
    <row r="1135" spans="2:18" ht="15" customHeight="1">
      <c r="B1135" s="99"/>
      <c r="C1135" s="99"/>
      <c r="D1135" s="99"/>
      <c r="E1135" s="99"/>
      <c r="F1135" s="99"/>
      <c r="G1135" s="99"/>
      <c r="H1135" s="99"/>
      <c r="I1135" s="99"/>
      <c r="J1135" s="99"/>
      <c r="K1135" s="99"/>
      <c r="L1135" s="99"/>
      <c r="M1135" s="99"/>
      <c r="N1135" s="99"/>
      <c r="O1135" s="99"/>
      <c r="P1135" s="99"/>
      <c r="Q1135" s="99"/>
      <c r="R1135" s="99"/>
    </row>
    <row r="1136" spans="2:18" ht="15" customHeight="1">
      <c r="B1136" s="99"/>
      <c r="C1136" s="99"/>
      <c r="D1136" s="99"/>
      <c r="E1136" s="99"/>
      <c r="F1136" s="99"/>
      <c r="G1136" s="99"/>
      <c r="H1136" s="99"/>
      <c r="I1136" s="99"/>
      <c r="J1136" s="99"/>
      <c r="K1136" s="99"/>
      <c r="L1136" s="99"/>
      <c r="M1136" s="99"/>
      <c r="N1136" s="99"/>
      <c r="O1136" s="99"/>
      <c r="P1136" s="99"/>
      <c r="Q1136" s="99"/>
      <c r="R1136" s="99"/>
    </row>
    <row r="1137" spans="2:18" ht="15" customHeight="1">
      <c r="B1137" s="99"/>
      <c r="C1137" s="99"/>
      <c r="D1137" s="99"/>
      <c r="E1137" s="99"/>
      <c r="F1137" s="99"/>
      <c r="G1137" s="99"/>
      <c r="H1137" s="99"/>
      <c r="I1137" s="99"/>
      <c r="J1137" s="99"/>
      <c r="K1137" s="99"/>
      <c r="L1137" s="99"/>
      <c r="M1137" s="99"/>
      <c r="N1137" s="99"/>
      <c r="O1137" s="99"/>
      <c r="P1137" s="99"/>
      <c r="Q1137" s="99"/>
      <c r="R1137" s="99"/>
    </row>
    <row r="1138" spans="2:18" ht="15" customHeight="1">
      <c r="B1138" s="99"/>
      <c r="C1138" s="99"/>
      <c r="D1138" s="99"/>
      <c r="E1138" s="99"/>
      <c r="F1138" s="99"/>
      <c r="G1138" s="99"/>
      <c r="H1138" s="99"/>
      <c r="I1138" s="99"/>
      <c r="J1138" s="99"/>
      <c r="K1138" s="99"/>
      <c r="L1138" s="99"/>
      <c r="M1138" s="99"/>
      <c r="N1138" s="99"/>
      <c r="O1138" s="99"/>
      <c r="P1138" s="99"/>
      <c r="Q1138" s="99"/>
      <c r="R1138" s="99"/>
    </row>
    <row r="1139" spans="2:18" ht="15" customHeight="1">
      <c r="B1139" s="99"/>
      <c r="C1139" s="99"/>
      <c r="D1139" s="99"/>
      <c r="E1139" s="99"/>
      <c r="F1139" s="99"/>
      <c r="G1139" s="99"/>
      <c r="H1139" s="99"/>
      <c r="I1139" s="99"/>
      <c r="J1139" s="99"/>
      <c r="K1139" s="99"/>
      <c r="L1139" s="99"/>
      <c r="M1139" s="99"/>
      <c r="N1139" s="99"/>
      <c r="O1139" s="99"/>
      <c r="P1139" s="99"/>
      <c r="Q1139" s="99"/>
      <c r="R1139" s="99"/>
    </row>
    <row r="1140" spans="2:18" ht="15" customHeight="1">
      <c r="B1140" s="99"/>
      <c r="C1140" s="99"/>
      <c r="D1140" s="99"/>
      <c r="E1140" s="99"/>
      <c r="F1140" s="99"/>
      <c r="G1140" s="99"/>
      <c r="H1140" s="99"/>
      <c r="I1140" s="99"/>
      <c r="J1140" s="99"/>
      <c r="K1140" s="99"/>
      <c r="L1140" s="99"/>
      <c r="M1140" s="99"/>
      <c r="N1140" s="99"/>
      <c r="O1140" s="99"/>
      <c r="P1140" s="99"/>
      <c r="Q1140" s="99"/>
      <c r="R1140" s="99"/>
    </row>
    <row r="1141" spans="2:18" ht="15" customHeight="1">
      <c r="B1141" s="99"/>
      <c r="C1141" s="99"/>
      <c r="D1141" s="99"/>
      <c r="E1141" s="99"/>
      <c r="F1141" s="99"/>
      <c r="G1141" s="99"/>
      <c r="H1141" s="99"/>
      <c r="I1141" s="99"/>
      <c r="J1141" s="99"/>
      <c r="K1141" s="99"/>
      <c r="L1141" s="99"/>
      <c r="M1141" s="99"/>
      <c r="N1141" s="99"/>
      <c r="O1141" s="99"/>
      <c r="P1141" s="99"/>
      <c r="Q1141" s="99"/>
      <c r="R1141" s="99"/>
    </row>
    <row r="1142" spans="2:18" ht="15" customHeight="1">
      <c r="B1142" s="99"/>
      <c r="C1142" s="99"/>
      <c r="D1142" s="99"/>
      <c r="E1142" s="99"/>
      <c r="F1142" s="99"/>
      <c r="G1142" s="99"/>
      <c r="H1142" s="99"/>
      <c r="I1142" s="99"/>
      <c r="J1142" s="99"/>
      <c r="K1142" s="99"/>
      <c r="L1142" s="99"/>
      <c r="M1142" s="99"/>
      <c r="N1142" s="99"/>
      <c r="O1142" s="99"/>
      <c r="P1142" s="99"/>
      <c r="Q1142" s="99"/>
      <c r="R1142" s="99"/>
    </row>
    <row r="1143" spans="2:18" ht="15" customHeight="1">
      <c r="B1143" s="99"/>
      <c r="C1143" s="99"/>
      <c r="D1143" s="99"/>
      <c r="E1143" s="99"/>
      <c r="F1143" s="99"/>
      <c r="G1143" s="99"/>
      <c r="H1143" s="99"/>
      <c r="I1143" s="99"/>
      <c r="J1143" s="99"/>
      <c r="K1143" s="99"/>
      <c r="L1143" s="99"/>
      <c r="M1143" s="99"/>
      <c r="N1143" s="99"/>
      <c r="O1143" s="99"/>
      <c r="P1143" s="99"/>
      <c r="Q1143" s="99"/>
      <c r="R1143" s="99"/>
    </row>
    <row r="1144" spans="2:18" ht="15" customHeight="1">
      <c r="B1144" s="99"/>
      <c r="C1144" s="99"/>
      <c r="D1144" s="99"/>
      <c r="E1144" s="99"/>
      <c r="F1144" s="99"/>
      <c r="G1144" s="99"/>
      <c r="H1144" s="99"/>
      <c r="I1144" s="99"/>
      <c r="J1144" s="99"/>
      <c r="K1144" s="99"/>
      <c r="L1144" s="99"/>
      <c r="M1144" s="99"/>
      <c r="N1144" s="99"/>
      <c r="O1144" s="99"/>
      <c r="P1144" s="99"/>
      <c r="Q1144" s="99"/>
      <c r="R1144" s="99"/>
    </row>
    <row r="1145" spans="2:18" ht="15" customHeight="1">
      <c r="B1145" s="99"/>
      <c r="C1145" s="99"/>
      <c r="D1145" s="99"/>
      <c r="E1145" s="99"/>
      <c r="F1145" s="99"/>
      <c r="G1145" s="99"/>
      <c r="H1145" s="99"/>
      <c r="I1145" s="99"/>
      <c r="J1145" s="99"/>
      <c r="K1145" s="99"/>
      <c r="L1145" s="99"/>
      <c r="M1145" s="99"/>
      <c r="N1145" s="99"/>
      <c r="O1145" s="99"/>
      <c r="P1145" s="99"/>
      <c r="Q1145" s="99"/>
      <c r="R1145" s="99"/>
    </row>
    <row r="1146" spans="2:18" ht="15" customHeight="1">
      <c r="B1146" s="99"/>
      <c r="C1146" s="99"/>
      <c r="D1146" s="99"/>
      <c r="E1146" s="99"/>
      <c r="F1146" s="99"/>
      <c r="G1146" s="99"/>
      <c r="H1146" s="99"/>
      <c r="I1146" s="99"/>
      <c r="J1146" s="99"/>
      <c r="K1146" s="99"/>
      <c r="L1146" s="99"/>
      <c r="M1146" s="99"/>
      <c r="N1146" s="99"/>
      <c r="O1146" s="99"/>
      <c r="P1146" s="99"/>
      <c r="Q1146" s="99"/>
      <c r="R1146" s="99"/>
    </row>
    <row r="1147" spans="2:18" ht="15" customHeight="1">
      <c r="B1147" s="99"/>
      <c r="C1147" s="99"/>
      <c r="D1147" s="99"/>
      <c r="E1147" s="99"/>
      <c r="F1147" s="99"/>
      <c r="G1147" s="99"/>
      <c r="H1147" s="99"/>
      <c r="I1147" s="99"/>
      <c r="J1147" s="99"/>
      <c r="K1147" s="99"/>
      <c r="L1147" s="99"/>
      <c r="M1147" s="99"/>
      <c r="N1147" s="99"/>
      <c r="O1147" s="99"/>
      <c r="P1147" s="99"/>
      <c r="Q1147" s="99"/>
      <c r="R1147" s="99"/>
    </row>
    <row r="1148" spans="2:18" ht="15" customHeight="1">
      <c r="B1148" s="99"/>
      <c r="C1148" s="99"/>
      <c r="D1148" s="99"/>
      <c r="E1148" s="99"/>
      <c r="F1148" s="99"/>
      <c r="G1148" s="99"/>
      <c r="H1148" s="99"/>
      <c r="I1148" s="99"/>
      <c r="J1148" s="99"/>
      <c r="K1148" s="99"/>
      <c r="L1148" s="99"/>
      <c r="M1148" s="99"/>
      <c r="N1148" s="99"/>
      <c r="O1148" s="99"/>
      <c r="P1148" s="99"/>
      <c r="Q1148" s="99"/>
      <c r="R1148" s="99"/>
    </row>
    <row r="1149" spans="2:18" ht="15" customHeight="1">
      <c r="B1149" s="99"/>
      <c r="C1149" s="99"/>
      <c r="D1149" s="99"/>
      <c r="E1149" s="99"/>
      <c r="F1149" s="99"/>
      <c r="G1149" s="99"/>
      <c r="H1149" s="99"/>
      <c r="I1149" s="99"/>
      <c r="J1149" s="99"/>
      <c r="K1149" s="99"/>
      <c r="L1149" s="99"/>
      <c r="M1149" s="99"/>
      <c r="N1149" s="99"/>
      <c r="O1149" s="99"/>
      <c r="P1149" s="99"/>
      <c r="Q1149" s="99"/>
      <c r="R1149" s="99"/>
    </row>
    <row r="1150" spans="2:18" ht="15" customHeight="1">
      <c r="B1150" s="99"/>
      <c r="C1150" s="99"/>
      <c r="D1150" s="99"/>
      <c r="E1150" s="99"/>
      <c r="F1150" s="99"/>
      <c r="G1150" s="99"/>
      <c r="H1150" s="99"/>
      <c r="I1150" s="99"/>
      <c r="J1150" s="99"/>
      <c r="K1150" s="99"/>
      <c r="L1150" s="99"/>
      <c r="M1150" s="99"/>
      <c r="N1150" s="99"/>
      <c r="O1150" s="99"/>
      <c r="P1150" s="99"/>
      <c r="Q1150" s="99"/>
      <c r="R1150" s="99"/>
    </row>
    <row r="1151" spans="2:18" ht="15" customHeight="1">
      <c r="B1151" s="99"/>
      <c r="C1151" s="99"/>
      <c r="D1151" s="99"/>
      <c r="E1151" s="99"/>
      <c r="F1151" s="99"/>
      <c r="G1151" s="99"/>
      <c r="H1151" s="99"/>
      <c r="I1151" s="99"/>
      <c r="J1151" s="99"/>
      <c r="K1151" s="99"/>
      <c r="L1151" s="99"/>
      <c r="M1151" s="99"/>
      <c r="N1151" s="99"/>
      <c r="O1151" s="99"/>
      <c r="P1151" s="99"/>
      <c r="Q1151" s="99"/>
      <c r="R1151" s="99"/>
    </row>
    <row r="1152" spans="2:18" ht="15" customHeight="1">
      <c r="B1152" s="99"/>
      <c r="C1152" s="99"/>
      <c r="D1152" s="99"/>
      <c r="E1152" s="99"/>
      <c r="F1152" s="99"/>
      <c r="G1152" s="99"/>
      <c r="H1152" s="99"/>
      <c r="I1152" s="99"/>
      <c r="J1152" s="99"/>
      <c r="K1152" s="99"/>
      <c r="L1152" s="99"/>
      <c r="M1152" s="99"/>
      <c r="N1152" s="99"/>
      <c r="O1152" s="99"/>
      <c r="P1152" s="99"/>
      <c r="Q1152" s="99"/>
      <c r="R1152" s="99"/>
    </row>
    <row r="1153" spans="2:18" ht="15" customHeight="1">
      <c r="B1153" s="99"/>
      <c r="C1153" s="99"/>
      <c r="D1153" s="99"/>
      <c r="E1153" s="99"/>
      <c r="F1153" s="99"/>
      <c r="G1153" s="99"/>
      <c r="H1153" s="99"/>
      <c r="I1153" s="99"/>
      <c r="J1153" s="99"/>
      <c r="K1153" s="99"/>
      <c r="L1153" s="99"/>
      <c r="M1153" s="99"/>
      <c r="N1153" s="99"/>
      <c r="O1153" s="99"/>
      <c r="P1153" s="99"/>
      <c r="Q1153" s="99"/>
      <c r="R1153" s="99"/>
    </row>
    <row r="1154" spans="2:18" ht="15" customHeight="1">
      <c r="B1154" s="99"/>
      <c r="C1154" s="99"/>
      <c r="D1154" s="99"/>
      <c r="E1154" s="99"/>
      <c r="F1154" s="99"/>
      <c r="G1154" s="99"/>
      <c r="H1154" s="99"/>
      <c r="I1154" s="99"/>
      <c r="J1154" s="99"/>
      <c r="K1154" s="99"/>
      <c r="L1154" s="99"/>
      <c r="M1154" s="99"/>
      <c r="N1154" s="99"/>
      <c r="O1154" s="99"/>
      <c r="P1154" s="99"/>
      <c r="Q1154" s="99"/>
      <c r="R1154" s="99"/>
    </row>
    <row r="1155" spans="2:18" ht="15" customHeight="1"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  <c r="M1155" s="99"/>
      <c r="N1155" s="99"/>
      <c r="O1155" s="99"/>
      <c r="P1155" s="99"/>
      <c r="Q1155" s="99"/>
      <c r="R1155" s="99"/>
    </row>
    <row r="1156" spans="2:18" ht="15" customHeight="1">
      <c r="B1156" s="99"/>
      <c r="C1156" s="99"/>
      <c r="D1156" s="99"/>
      <c r="E1156" s="99"/>
      <c r="F1156" s="99"/>
      <c r="G1156" s="99"/>
      <c r="H1156" s="99"/>
      <c r="I1156" s="99"/>
      <c r="J1156" s="99"/>
      <c r="K1156" s="99"/>
      <c r="L1156" s="99"/>
      <c r="M1156" s="99"/>
      <c r="N1156" s="99"/>
      <c r="O1156" s="99"/>
      <c r="P1156" s="99"/>
      <c r="Q1156" s="99"/>
      <c r="R1156" s="99"/>
    </row>
    <row r="1157" spans="2:18" ht="15" customHeight="1">
      <c r="B1157" s="99"/>
      <c r="C1157" s="99"/>
      <c r="D1157" s="99"/>
      <c r="E1157" s="99"/>
      <c r="F1157" s="99"/>
      <c r="G1157" s="99"/>
      <c r="H1157" s="99"/>
      <c r="I1157" s="99"/>
      <c r="J1157" s="99"/>
      <c r="K1157" s="99"/>
      <c r="L1157" s="99"/>
      <c r="M1157" s="99"/>
      <c r="N1157" s="99"/>
      <c r="O1157" s="99"/>
      <c r="P1157" s="99"/>
      <c r="Q1157" s="99"/>
      <c r="R1157" s="99"/>
    </row>
    <row r="1158" spans="2:18" ht="15" customHeight="1">
      <c r="B1158" s="99"/>
      <c r="C1158" s="99"/>
      <c r="D1158" s="99"/>
      <c r="E1158" s="99"/>
      <c r="F1158" s="99"/>
      <c r="G1158" s="99"/>
      <c r="H1158" s="99"/>
      <c r="I1158" s="99"/>
      <c r="J1158" s="99"/>
      <c r="K1158" s="99"/>
      <c r="L1158" s="99"/>
      <c r="M1158" s="99"/>
      <c r="N1158" s="99"/>
      <c r="O1158" s="99"/>
      <c r="P1158" s="99"/>
      <c r="Q1158" s="99"/>
      <c r="R1158" s="99"/>
    </row>
    <row r="1159" spans="2:18" ht="15" customHeight="1">
      <c r="B1159" s="99"/>
      <c r="C1159" s="99"/>
      <c r="D1159" s="99"/>
      <c r="E1159" s="99"/>
      <c r="F1159" s="99"/>
      <c r="G1159" s="99"/>
      <c r="H1159" s="99"/>
      <c r="I1159" s="99"/>
      <c r="J1159" s="99"/>
      <c r="K1159" s="99"/>
      <c r="L1159" s="99"/>
      <c r="M1159" s="99"/>
      <c r="N1159" s="99"/>
      <c r="O1159" s="99"/>
      <c r="P1159" s="99"/>
      <c r="Q1159" s="99"/>
      <c r="R1159" s="99"/>
    </row>
    <row r="1160" spans="2:18" ht="15" customHeight="1">
      <c r="B1160" s="99"/>
      <c r="C1160" s="99"/>
      <c r="D1160" s="99"/>
      <c r="E1160" s="99"/>
      <c r="F1160" s="99"/>
      <c r="G1160" s="99"/>
      <c r="H1160" s="99"/>
      <c r="I1160" s="99"/>
      <c r="J1160" s="99"/>
      <c r="K1160" s="99"/>
      <c r="L1160" s="99"/>
      <c r="M1160" s="99"/>
      <c r="N1160" s="99"/>
      <c r="O1160" s="99"/>
      <c r="P1160" s="99"/>
      <c r="Q1160" s="99"/>
      <c r="R1160" s="99"/>
    </row>
    <row r="1161" spans="2:18" ht="15" customHeight="1">
      <c r="B1161" s="99"/>
      <c r="C1161" s="99"/>
      <c r="D1161" s="99"/>
      <c r="E1161" s="99"/>
      <c r="F1161" s="99"/>
      <c r="G1161" s="99"/>
      <c r="H1161" s="99"/>
      <c r="I1161" s="99"/>
      <c r="J1161" s="99"/>
      <c r="K1161" s="99"/>
      <c r="L1161" s="99"/>
      <c r="M1161" s="99"/>
      <c r="N1161" s="99"/>
      <c r="O1161" s="99"/>
      <c r="P1161" s="99"/>
      <c r="Q1161" s="99"/>
      <c r="R1161" s="99"/>
    </row>
    <row r="1162" spans="2:18" ht="15" customHeight="1">
      <c r="B1162" s="99"/>
      <c r="C1162" s="99"/>
      <c r="D1162" s="99"/>
      <c r="E1162" s="99"/>
      <c r="F1162" s="99"/>
      <c r="G1162" s="99"/>
      <c r="H1162" s="99"/>
      <c r="I1162" s="99"/>
      <c r="J1162" s="99"/>
      <c r="K1162" s="99"/>
      <c r="L1162" s="99"/>
      <c r="M1162" s="99"/>
      <c r="N1162" s="99"/>
      <c r="O1162" s="99"/>
      <c r="P1162" s="99"/>
      <c r="Q1162" s="99"/>
      <c r="R1162" s="99"/>
    </row>
    <row r="1163" spans="2:18" ht="15" customHeight="1">
      <c r="B1163" s="99"/>
      <c r="C1163" s="99"/>
      <c r="D1163" s="99"/>
      <c r="E1163" s="99"/>
      <c r="F1163" s="99"/>
      <c r="G1163" s="99"/>
      <c r="H1163" s="99"/>
      <c r="I1163" s="99"/>
      <c r="J1163" s="99"/>
      <c r="K1163" s="99"/>
      <c r="L1163" s="99"/>
      <c r="M1163" s="99"/>
      <c r="N1163" s="99"/>
      <c r="O1163" s="99"/>
      <c r="P1163" s="99"/>
      <c r="Q1163" s="99"/>
      <c r="R1163" s="99"/>
    </row>
    <row r="1164" spans="2:18" ht="15" customHeight="1">
      <c r="B1164" s="99"/>
      <c r="C1164" s="99"/>
      <c r="D1164" s="99"/>
      <c r="E1164" s="99"/>
      <c r="F1164" s="99"/>
      <c r="G1164" s="99"/>
      <c r="H1164" s="99"/>
      <c r="I1164" s="99"/>
      <c r="J1164" s="99"/>
      <c r="K1164" s="99"/>
      <c r="L1164" s="99"/>
      <c r="M1164" s="99"/>
      <c r="N1164" s="99"/>
      <c r="O1164" s="99"/>
      <c r="P1164" s="99"/>
      <c r="Q1164" s="99"/>
      <c r="R1164" s="99"/>
    </row>
    <row r="1165" spans="2:18" ht="15" customHeight="1">
      <c r="B1165" s="99"/>
      <c r="C1165" s="99"/>
      <c r="D1165" s="99"/>
      <c r="E1165" s="99"/>
      <c r="F1165" s="99"/>
      <c r="G1165" s="99"/>
      <c r="H1165" s="99"/>
      <c r="I1165" s="99"/>
      <c r="J1165" s="99"/>
      <c r="K1165" s="99"/>
      <c r="L1165" s="99"/>
      <c r="M1165" s="99"/>
      <c r="N1165" s="99"/>
      <c r="O1165" s="99"/>
      <c r="P1165" s="99"/>
      <c r="Q1165" s="99"/>
      <c r="R1165" s="99"/>
    </row>
    <row r="1166" spans="2:18" ht="15" customHeight="1">
      <c r="B1166" s="99"/>
      <c r="C1166" s="99"/>
      <c r="D1166" s="99"/>
      <c r="E1166" s="99"/>
      <c r="F1166" s="99"/>
      <c r="G1166" s="99"/>
      <c r="H1166" s="99"/>
      <c r="I1166" s="99"/>
      <c r="J1166" s="99"/>
      <c r="K1166" s="99"/>
      <c r="L1166" s="99"/>
      <c r="M1166" s="99"/>
      <c r="N1166" s="99"/>
      <c r="O1166" s="99"/>
      <c r="P1166" s="99"/>
      <c r="Q1166" s="99"/>
      <c r="R1166" s="99"/>
    </row>
    <row r="1167" spans="2:18" ht="15" customHeight="1">
      <c r="B1167" s="99"/>
      <c r="C1167" s="99"/>
      <c r="D1167" s="99"/>
      <c r="E1167" s="99"/>
      <c r="F1167" s="99"/>
      <c r="G1167" s="99"/>
      <c r="H1167" s="99"/>
      <c r="I1167" s="99"/>
      <c r="J1167" s="99"/>
      <c r="K1167" s="99"/>
      <c r="L1167" s="99"/>
      <c r="M1167" s="99"/>
      <c r="N1167" s="99"/>
      <c r="O1167" s="99"/>
      <c r="P1167" s="99"/>
      <c r="Q1167" s="99"/>
      <c r="R1167" s="99"/>
    </row>
    <row r="1168" spans="2:18" ht="15" customHeight="1">
      <c r="B1168" s="99"/>
      <c r="C1168" s="99"/>
      <c r="D1168" s="99"/>
      <c r="E1168" s="99"/>
      <c r="F1168" s="99"/>
      <c r="G1168" s="99"/>
      <c r="H1168" s="99"/>
      <c r="I1168" s="99"/>
      <c r="J1168" s="99"/>
      <c r="K1168" s="99"/>
      <c r="L1168" s="99"/>
      <c r="M1168" s="99"/>
      <c r="N1168" s="99"/>
      <c r="O1168" s="99"/>
      <c r="P1168" s="99"/>
      <c r="Q1168" s="99"/>
      <c r="R1168" s="99"/>
    </row>
    <row r="1169" spans="2:18" ht="15" customHeight="1">
      <c r="B1169" s="99"/>
      <c r="C1169" s="99"/>
      <c r="D1169" s="99"/>
      <c r="E1169" s="99"/>
      <c r="F1169" s="99"/>
      <c r="G1169" s="99"/>
      <c r="H1169" s="99"/>
      <c r="I1169" s="99"/>
      <c r="J1169" s="99"/>
      <c r="K1169" s="99"/>
      <c r="L1169" s="99"/>
      <c r="M1169" s="99"/>
      <c r="N1169" s="99"/>
      <c r="O1169" s="99"/>
      <c r="P1169" s="99"/>
      <c r="Q1169" s="99"/>
      <c r="R1169" s="99"/>
    </row>
    <row r="1170" spans="2:18" ht="15" customHeight="1">
      <c r="B1170" s="99"/>
      <c r="C1170" s="99"/>
      <c r="D1170" s="99"/>
      <c r="E1170" s="99"/>
      <c r="F1170" s="99"/>
      <c r="G1170" s="99"/>
      <c r="H1170" s="99"/>
      <c r="I1170" s="99"/>
      <c r="J1170" s="99"/>
      <c r="K1170" s="99"/>
      <c r="L1170" s="99"/>
      <c r="M1170" s="99"/>
      <c r="N1170" s="99"/>
      <c r="O1170" s="99"/>
      <c r="P1170" s="99"/>
      <c r="Q1170" s="99"/>
      <c r="R1170" s="99"/>
    </row>
    <row r="1171" spans="2:18" ht="15" customHeight="1">
      <c r="B1171" s="99"/>
      <c r="C1171" s="99"/>
      <c r="D1171" s="99"/>
      <c r="E1171" s="99"/>
      <c r="F1171" s="99"/>
      <c r="G1171" s="99"/>
      <c r="H1171" s="99"/>
      <c r="I1171" s="99"/>
      <c r="J1171" s="99"/>
      <c r="K1171" s="99"/>
      <c r="L1171" s="99"/>
      <c r="M1171" s="99"/>
      <c r="N1171" s="99"/>
      <c r="O1171" s="99"/>
      <c r="P1171" s="99"/>
      <c r="Q1171" s="99"/>
      <c r="R1171" s="99"/>
    </row>
    <row r="1172" spans="2:18" ht="15" customHeight="1">
      <c r="B1172" s="99"/>
      <c r="C1172" s="99"/>
      <c r="D1172" s="99"/>
      <c r="E1172" s="99"/>
      <c r="F1172" s="99"/>
      <c r="G1172" s="99"/>
      <c r="H1172" s="99"/>
      <c r="I1172" s="99"/>
      <c r="J1172" s="99"/>
      <c r="K1172" s="99"/>
      <c r="L1172" s="99"/>
      <c r="M1172" s="99"/>
      <c r="N1172" s="99"/>
      <c r="O1172" s="99"/>
      <c r="P1172" s="99"/>
      <c r="Q1172" s="99"/>
      <c r="R1172" s="99"/>
    </row>
    <row r="1173" spans="2:18" ht="15" customHeight="1">
      <c r="B1173" s="99"/>
      <c r="C1173" s="99"/>
      <c r="D1173" s="99"/>
      <c r="E1173" s="99"/>
      <c r="F1173" s="99"/>
      <c r="G1173" s="99"/>
      <c r="H1173" s="99"/>
      <c r="I1173" s="99"/>
      <c r="J1173" s="99"/>
      <c r="K1173" s="99"/>
      <c r="L1173" s="99"/>
      <c r="M1173" s="99"/>
      <c r="N1173" s="99"/>
      <c r="O1173" s="99"/>
      <c r="P1173" s="99"/>
      <c r="Q1173" s="99"/>
      <c r="R1173" s="99"/>
    </row>
    <row r="1174" spans="2:18" ht="15" customHeight="1">
      <c r="B1174" s="99"/>
      <c r="C1174" s="99"/>
      <c r="D1174" s="99"/>
      <c r="E1174" s="99"/>
      <c r="F1174" s="99"/>
      <c r="G1174" s="99"/>
      <c r="H1174" s="99"/>
      <c r="I1174" s="99"/>
      <c r="J1174" s="99"/>
      <c r="K1174" s="99"/>
      <c r="L1174" s="99"/>
      <c r="M1174" s="99"/>
      <c r="N1174" s="99"/>
      <c r="O1174" s="99"/>
      <c r="P1174" s="99"/>
      <c r="Q1174" s="99"/>
      <c r="R1174" s="99"/>
    </row>
    <row r="1175" spans="2:18" ht="15" customHeight="1">
      <c r="B1175" s="99"/>
      <c r="C1175" s="99"/>
      <c r="D1175" s="99"/>
      <c r="E1175" s="99"/>
      <c r="F1175" s="99"/>
      <c r="G1175" s="99"/>
      <c r="H1175" s="99"/>
      <c r="I1175" s="99"/>
      <c r="J1175" s="99"/>
      <c r="K1175" s="99"/>
      <c r="L1175" s="99"/>
      <c r="M1175" s="99"/>
      <c r="N1175" s="99"/>
      <c r="O1175" s="99"/>
      <c r="P1175" s="99"/>
      <c r="Q1175" s="99"/>
      <c r="R1175" s="99"/>
    </row>
    <row r="1176" spans="2:18" ht="15" customHeight="1">
      <c r="B1176" s="99"/>
      <c r="C1176" s="99"/>
      <c r="D1176" s="99"/>
      <c r="E1176" s="99"/>
      <c r="F1176" s="99"/>
      <c r="G1176" s="99"/>
      <c r="H1176" s="99"/>
      <c r="I1176" s="99"/>
      <c r="J1176" s="99"/>
      <c r="K1176" s="99"/>
      <c r="L1176" s="99"/>
      <c r="M1176" s="99"/>
      <c r="N1176" s="99"/>
      <c r="O1176" s="99"/>
      <c r="P1176" s="99"/>
      <c r="Q1176" s="99"/>
      <c r="R1176" s="99"/>
    </row>
    <row r="1177" spans="2:18" ht="15" customHeight="1">
      <c r="B1177" s="99"/>
      <c r="C1177" s="99"/>
      <c r="D1177" s="99"/>
      <c r="E1177" s="99"/>
      <c r="F1177" s="99"/>
      <c r="G1177" s="99"/>
      <c r="H1177" s="99"/>
      <c r="I1177" s="99"/>
      <c r="J1177" s="99"/>
      <c r="K1177" s="99"/>
      <c r="L1177" s="99"/>
      <c r="M1177" s="99"/>
      <c r="N1177" s="99"/>
      <c r="O1177" s="99"/>
      <c r="P1177" s="99"/>
      <c r="Q1177" s="99"/>
      <c r="R1177" s="99"/>
    </row>
    <row r="1178" spans="2:18" ht="15" customHeight="1">
      <c r="B1178" s="99"/>
      <c r="C1178" s="99"/>
      <c r="D1178" s="99"/>
      <c r="E1178" s="99"/>
      <c r="F1178" s="99"/>
      <c r="G1178" s="99"/>
      <c r="H1178" s="99"/>
      <c r="I1178" s="99"/>
      <c r="J1178" s="99"/>
      <c r="K1178" s="99"/>
      <c r="L1178" s="99"/>
      <c r="M1178" s="99"/>
      <c r="N1178" s="99"/>
      <c r="O1178" s="99"/>
      <c r="P1178" s="99"/>
      <c r="Q1178" s="99"/>
      <c r="R1178" s="99"/>
    </row>
    <row r="1179" spans="2:18" ht="15" customHeight="1">
      <c r="B1179" s="99"/>
      <c r="C1179" s="99"/>
      <c r="D1179" s="99"/>
      <c r="E1179" s="99"/>
      <c r="F1179" s="99"/>
      <c r="G1179" s="99"/>
      <c r="H1179" s="99"/>
      <c r="I1179" s="99"/>
      <c r="J1179" s="99"/>
      <c r="K1179" s="99"/>
      <c r="L1179" s="99"/>
      <c r="M1179" s="99"/>
      <c r="N1179" s="99"/>
      <c r="O1179" s="99"/>
      <c r="P1179" s="99"/>
      <c r="Q1179" s="99"/>
      <c r="R1179" s="99"/>
    </row>
    <row r="1180" spans="2:18" ht="15" customHeight="1">
      <c r="B1180" s="99"/>
      <c r="C1180" s="99"/>
      <c r="D1180" s="99"/>
      <c r="E1180" s="99"/>
      <c r="F1180" s="99"/>
      <c r="G1180" s="99"/>
      <c r="H1180" s="99"/>
      <c r="I1180" s="99"/>
      <c r="J1180" s="99"/>
      <c r="K1180" s="99"/>
      <c r="L1180" s="99"/>
      <c r="M1180" s="99"/>
      <c r="N1180" s="99"/>
      <c r="O1180" s="99"/>
      <c r="P1180" s="99"/>
      <c r="Q1180" s="99"/>
      <c r="R1180" s="99"/>
    </row>
    <row r="1181" spans="2:18" ht="15" customHeight="1">
      <c r="B1181" s="99"/>
      <c r="C1181" s="99"/>
      <c r="D1181" s="99"/>
      <c r="E1181" s="99"/>
      <c r="F1181" s="99"/>
      <c r="G1181" s="99"/>
      <c r="H1181" s="99"/>
      <c r="I1181" s="99"/>
      <c r="J1181" s="99"/>
      <c r="K1181" s="99"/>
      <c r="L1181" s="99"/>
      <c r="M1181" s="99"/>
      <c r="N1181" s="99"/>
      <c r="O1181" s="99"/>
      <c r="P1181" s="99"/>
      <c r="Q1181" s="99"/>
      <c r="R1181" s="99"/>
    </row>
    <row r="1182" spans="2:18" ht="15" customHeight="1">
      <c r="B1182" s="99"/>
      <c r="C1182" s="99"/>
      <c r="D1182" s="99"/>
      <c r="E1182" s="99"/>
      <c r="F1182" s="99"/>
      <c r="G1182" s="99"/>
      <c r="H1182" s="99"/>
      <c r="I1182" s="99"/>
      <c r="J1182" s="99"/>
      <c r="K1182" s="99"/>
      <c r="L1182" s="99"/>
      <c r="M1182" s="99"/>
      <c r="N1182" s="99"/>
      <c r="O1182" s="99"/>
      <c r="P1182" s="99"/>
      <c r="Q1182" s="99"/>
      <c r="R1182" s="99"/>
    </row>
    <row r="1183" spans="2:18" ht="15" customHeight="1">
      <c r="B1183" s="99"/>
      <c r="C1183" s="99"/>
      <c r="D1183" s="99"/>
      <c r="E1183" s="99"/>
      <c r="F1183" s="99"/>
      <c r="G1183" s="99"/>
      <c r="H1183" s="99"/>
      <c r="I1183" s="99"/>
      <c r="J1183" s="99"/>
      <c r="K1183" s="99"/>
      <c r="L1183" s="99"/>
      <c r="M1183" s="99"/>
      <c r="N1183" s="99"/>
      <c r="O1183" s="99"/>
      <c r="P1183" s="99"/>
      <c r="Q1183" s="99"/>
      <c r="R1183" s="99"/>
    </row>
    <row r="1184" spans="2:18" ht="15" customHeight="1">
      <c r="B1184" s="99"/>
      <c r="C1184" s="99"/>
      <c r="D1184" s="99"/>
      <c r="E1184" s="99"/>
      <c r="F1184" s="99"/>
      <c r="G1184" s="99"/>
      <c r="H1184" s="99"/>
      <c r="I1184" s="99"/>
      <c r="J1184" s="99"/>
      <c r="K1184" s="99"/>
      <c r="L1184" s="99"/>
      <c r="M1184" s="99"/>
      <c r="N1184" s="99"/>
      <c r="O1184" s="99"/>
      <c r="P1184" s="99"/>
      <c r="Q1184" s="99"/>
      <c r="R1184" s="99"/>
    </row>
    <row r="1185" spans="2:18" ht="15" customHeight="1">
      <c r="B1185" s="99"/>
      <c r="C1185" s="99"/>
      <c r="D1185" s="99"/>
      <c r="E1185" s="99"/>
      <c r="F1185" s="99"/>
      <c r="G1185" s="99"/>
      <c r="H1185" s="99"/>
      <c r="I1185" s="99"/>
      <c r="J1185" s="99"/>
      <c r="K1185" s="99"/>
      <c r="L1185" s="99"/>
      <c r="M1185" s="99"/>
      <c r="N1185" s="99"/>
      <c r="O1185" s="99"/>
      <c r="P1185" s="99"/>
      <c r="Q1185" s="99"/>
      <c r="R1185" s="99"/>
    </row>
    <row r="1186" spans="2:18" ht="15" customHeight="1">
      <c r="B1186" s="99"/>
      <c r="C1186" s="99"/>
      <c r="D1186" s="99"/>
      <c r="E1186" s="99"/>
      <c r="F1186" s="99"/>
      <c r="G1186" s="99"/>
      <c r="H1186" s="99"/>
      <c r="I1186" s="99"/>
      <c r="J1186" s="99"/>
      <c r="K1186" s="99"/>
      <c r="L1186" s="99"/>
      <c r="M1186" s="99"/>
      <c r="N1186" s="99"/>
      <c r="O1186" s="99"/>
      <c r="P1186" s="99"/>
      <c r="Q1186" s="99"/>
      <c r="R1186" s="99"/>
    </row>
    <row r="1187" spans="2:18" ht="15" customHeight="1">
      <c r="B1187" s="99"/>
      <c r="C1187" s="99"/>
      <c r="D1187" s="99"/>
      <c r="E1187" s="99"/>
      <c r="F1187" s="99"/>
      <c r="G1187" s="99"/>
      <c r="H1187" s="99"/>
      <c r="I1187" s="99"/>
      <c r="J1187" s="99"/>
      <c r="K1187" s="99"/>
      <c r="L1187" s="99"/>
      <c r="M1187" s="99"/>
      <c r="N1187" s="99"/>
      <c r="O1187" s="99"/>
      <c r="P1187" s="99"/>
      <c r="Q1187" s="99"/>
      <c r="R1187" s="99"/>
    </row>
    <row r="1188" spans="2:18" ht="15" customHeight="1">
      <c r="B1188" s="99"/>
      <c r="C1188" s="99"/>
      <c r="D1188" s="99"/>
      <c r="E1188" s="99"/>
      <c r="F1188" s="99"/>
      <c r="G1188" s="99"/>
      <c r="H1188" s="99"/>
      <c r="I1188" s="99"/>
      <c r="J1188" s="99"/>
      <c r="K1188" s="99"/>
      <c r="L1188" s="99"/>
      <c r="M1188" s="99"/>
      <c r="N1188" s="99"/>
      <c r="O1188" s="99"/>
      <c r="P1188" s="99"/>
      <c r="Q1188" s="99"/>
      <c r="R1188" s="99"/>
    </row>
    <row r="1189" spans="2:18" ht="15" customHeight="1">
      <c r="B1189" s="99"/>
      <c r="C1189" s="99"/>
      <c r="D1189" s="99"/>
      <c r="E1189" s="99"/>
      <c r="F1189" s="99"/>
      <c r="G1189" s="99"/>
      <c r="H1189" s="99"/>
      <c r="I1189" s="99"/>
      <c r="J1189" s="99"/>
      <c r="K1189" s="99"/>
      <c r="L1189" s="99"/>
      <c r="M1189" s="99"/>
      <c r="N1189" s="99"/>
      <c r="O1189" s="99"/>
      <c r="P1189" s="99"/>
      <c r="Q1189" s="99"/>
      <c r="R1189" s="99"/>
    </row>
    <row r="1190" spans="2:18" ht="15" customHeight="1">
      <c r="B1190" s="99"/>
      <c r="C1190" s="99"/>
      <c r="D1190" s="99"/>
      <c r="E1190" s="99"/>
      <c r="F1190" s="99"/>
      <c r="G1190" s="99"/>
      <c r="H1190" s="99"/>
      <c r="I1190" s="99"/>
      <c r="J1190" s="99"/>
      <c r="K1190" s="99"/>
      <c r="L1190" s="99"/>
      <c r="M1190" s="99"/>
      <c r="N1190" s="99"/>
      <c r="O1190" s="99"/>
      <c r="P1190" s="99"/>
      <c r="Q1190" s="99"/>
      <c r="R1190" s="99"/>
    </row>
    <row r="1191" spans="2:18" ht="15" customHeight="1">
      <c r="B1191" s="99"/>
      <c r="C1191" s="99"/>
      <c r="D1191" s="99"/>
      <c r="E1191" s="99"/>
      <c r="F1191" s="99"/>
      <c r="G1191" s="99"/>
      <c r="H1191" s="99"/>
      <c r="I1191" s="99"/>
      <c r="J1191" s="99"/>
      <c r="K1191" s="99"/>
      <c r="L1191" s="99"/>
      <c r="M1191" s="99"/>
      <c r="N1191" s="99"/>
      <c r="O1191" s="99"/>
      <c r="P1191" s="99"/>
      <c r="Q1191" s="99"/>
      <c r="R1191" s="99"/>
    </row>
    <row r="1192" spans="2:18" ht="15" customHeight="1">
      <c r="B1192" s="99"/>
      <c r="C1192" s="99"/>
      <c r="D1192" s="99"/>
      <c r="E1192" s="99"/>
      <c r="F1192" s="99"/>
      <c r="G1192" s="99"/>
      <c r="H1192" s="99"/>
      <c r="I1192" s="99"/>
      <c r="J1192" s="99"/>
      <c r="K1192" s="99"/>
      <c r="L1192" s="99"/>
      <c r="M1192" s="99"/>
      <c r="N1192" s="99"/>
      <c r="O1192" s="99"/>
      <c r="P1192" s="99"/>
      <c r="Q1192" s="99"/>
      <c r="R1192" s="99"/>
    </row>
    <row r="1193" spans="2:18" ht="15" customHeight="1">
      <c r="B1193" s="99"/>
      <c r="C1193" s="99"/>
      <c r="D1193" s="99"/>
      <c r="E1193" s="99"/>
      <c r="F1193" s="99"/>
      <c r="G1193" s="99"/>
      <c r="H1193" s="99"/>
      <c r="I1193" s="99"/>
      <c r="J1193" s="99"/>
      <c r="K1193" s="99"/>
      <c r="L1193" s="99"/>
      <c r="M1193" s="99"/>
      <c r="N1193" s="99"/>
      <c r="O1193" s="99"/>
      <c r="P1193" s="99"/>
      <c r="Q1193" s="99"/>
      <c r="R1193" s="99"/>
    </row>
    <row r="1194" spans="2:18" ht="15" customHeight="1">
      <c r="B1194" s="99"/>
      <c r="C1194" s="99"/>
      <c r="D1194" s="99"/>
      <c r="E1194" s="99"/>
      <c r="F1194" s="99"/>
      <c r="G1194" s="99"/>
      <c r="H1194" s="99"/>
      <c r="I1194" s="99"/>
      <c r="J1194" s="99"/>
      <c r="K1194" s="99"/>
      <c r="L1194" s="99"/>
      <c r="M1194" s="99"/>
      <c r="N1194" s="99"/>
      <c r="O1194" s="99"/>
      <c r="P1194" s="99"/>
      <c r="Q1194" s="99"/>
      <c r="R1194" s="99"/>
    </row>
    <row r="1195" spans="2:18" ht="15" customHeight="1">
      <c r="B1195" s="99"/>
      <c r="C1195" s="99"/>
      <c r="D1195" s="99"/>
      <c r="E1195" s="99"/>
      <c r="F1195" s="99"/>
      <c r="G1195" s="99"/>
      <c r="H1195" s="99"/>
      <c r="I1195" s="99"/>
      <c r="J1195" s="99"/>
      <c r="K1195" s="99"/>
      <c r="L1195" s="99"/>
      <c r="M1195" s="99"/>
      <c r="N1195" s="99"/>
      <c r="O1195" s="99"/>
      <c r="P1195" s="99"/>
      <c r="Q1195" s="99"/>
      <c r="R1195" s="99"/>
    </row>
    <row r="1196" spans="2:18" ht="15" customHeight="1">
      <c r="B1196" s="99"/>
      <c r="C1196" s="99"/>
      <c r="D1196" s="99"/>
      <c r="E1196" s="99"/>
      <c r="F1196" s="99"/>
      <c r="G1196" s="99"/>
      <c r="H1196" s="99"/>
      <c r="I1196" s="99"/>
      <c r="J1196" s="99"/>
      <c r="K1196" s="99"/>
      <c r="L1196" s="99"/>
      <c r="M1196" s="99"/>
      <c r="N1196" s="99"/>
      <c r="O1196" s="99"/>
      <c r="P1196" s="99"/>
      <c r="Q1196" s="99"/>
      <c r="R1196" s="99"/>
    </row>
    <row r="1197" spans="2:18" ht="15" customHeight="1">
      <c r="B1197" s="99"/>
      <c r="C1197" s="99"/>
      <c r="D1197" s="99"/>
      <c r="E1197" s="99"/>
      <c r="F1197" s="99"/>
      <c r="G1197" s="99"/>
      <c r="H1197" s="99"/>
      <c r="I1197" s="99"/>
      <c r="J1197" s="99"/>
      <c r="K1197" s="99"/>
      <c r="L1197" s="99"/>
      <c r="M1197" s="99"/>
      <c r="N1197" s="99"/>
      <c r="O1197" s="99"/>
      <c r="P1197" s="99"/>
      <c r="Q1197" s="99"/>
      <c r="R1197" s="99"/>
    </row>
    <row r="1198" spans="2:18" ht="15" customHeight="1">
      <c r="B1198" s="99"/>
      <c r="C1198" s="99"/>
      <c r="D1198" s="99"/>
      <c r="E1198" s="99"/>
      <c r="F1198" s="99"/>
      <c r="G1198" s="99"/>
      <c r="H1198" s="99"/>
      <c r="I1198" s="99"/>
      <c r="J1198" s="99"/>
      <c r="K1198" s="99"/>
      <c r="L1198" s="99"/>
      <c r="M1198" s="99"/>
      <c r="N1198" s="99"/>
      <c r="O1198" s="99"/>
      <c r="P1198" s="99"/>
      <c r="Q1198" s="99"/>
      <c r="R1198" s="99"/>
    </row>
    <row r="1199" spans="2:18" ht="15" customHeight="1">
      <c r="B1199" s="99"/>
      <c r="C1199" s="99"/>
      <c r="D1199" s="99"/>
      <c r="E1199" s="99"/>
      <c r="F1199" s="99"/>
      <c r="G1199" s="99"/>
      <c r="H1199" s="99"/>
      <c r="I1199" s="99"/>
      <c r="J1199" s="99"/>
      <c r="K1199" s="99"/>
      <c r="L1199" s="99"/>
      <c r="M1199" s="99"/>
      <c r="N1199" s="99"/>
      <c r="O1199" s="99"/>
      <c r="P1199" s="99"/>
      <c r="Q1199" s="99"/>
      <c r="R1199" s="99"/>
    </row>
    <row r="1200" spans="2:18" ht="15" customHeight="1">
      <c r="B1200" s="99"/>
      <c r="C1200" s="99"/>
      <c r="D1200" s="99"/>
      <c r="E1200" s="99"/>
      <c r="F1200" s="99"/>
      <c r="G1200" s="99"/>
      <c r="H1200" s="99"/>
      <c r="I1200" s="99"/>
      <c r="J1200" s="99"/>
      <c r="K1200" s="99"/>
      <c r="L1200" s="99"/>
      <c r="M1200" s="99"/>
      <c r="N1200" s="99"/>
      <c r="O1200" s="99"/>
      <c r="P1200" s="99"/>
      <c r="Q1200" s="99"/>
      <c r="R1200" s="99"/>
    </row>
    <row r="1201" spans="2:18" ht="15" customHeight="1">
      <c r="B1201" s="99"/>
      <c r="C1201" s="99"/>
      <c r="D1201" s="99"/>
      <c r="E1201" s="99"/>
      <c r="F1201" s="99"/>
      <c r="G1201" s="99"/>
      <c r="H1201" s="99"/>
      <c r="I1201" s="99"/>
      <c r="J1201" s="99"/>
      <c r="K1201" s="99"/>
      <c r="L1201" s="99"/>
      <c r="M1201" s="99"/>
      <c r="N1201" s="99"/>
      <c r="O1201" s="99"/>
      <c r="P1201" s="99"/>
      <c r="Q1201" s="99"/>
      <c r="R1201" s="99"/>
    </row>
    <row r="1202" spans="2:18" ht="15" customHeight="1">
      <c r="B1202" s="99"/>
      <c r="C1202" s="99"/>
      <c r="D1202" s="99"/>
      <c r="E1202" s="99"/>
      <c r="F1202" s="99"/>
      <c r="G1202" s="99"/>
      <c r="H1202" s="99"/>
      <c r="I1202" s="99"/>
      <c r="J1202" s="99"/>
      <c r="K1202" s="99"/>
      <c r="L1202" s="99"/>
      <c r="M1202" s="99"/>
      <c r="N1202" s="99"/>
      <c r="O1202" s="99"/>
      <c r="P1202" s="99"/>
      <c r="Q1202" s="99"/>
      <c r="R1202" s="99"/>
    </row>
    <row r="1203" spans="2:18" ht="15" customHeight="1">
      <c r="B1203" s="99"/>
      <c r="C1203" s="99"/>
      <c r="D1203" s="99"/>
      <c r="E1203" s="99"/>
      <c r="F1203" s="99"/>
      <c r="G1203" s="99"/>
      <c r="H1203" s="99"/>
      <c r="I1203" s="99"/>
      <c r="J1203" s="99"/>
      <c r="K1203" s="99"/>
      <c r="L1203" s="99"/>
      <c r="M1203" s="99"/>
      <c r="N1203" s="99"/>
      <c r="O1203" s="99"/>
      <c r="P1203" s="99"/>
      <c r="Q1203" s="99"/>
      <c r="R1203" s="99"/>
    </row>
    <row r="1204" spans="2:18" ht="15" customHeight="1">
      <c r="B1204" s="99"/>
      <c r="C1204" s="99"/>
      <c r="D1204" s="99"/>
      <c r="E1204" s="99"/>
      <c r="F1204" s="99"/>
      <c r="G1204" s="99"/>
      <c r="H1204" s="99"/>
      <c r="I1204" s="99"/>
      <c r="J1204" s="99"/>
      <c r="K1204" s="99"/>
      <c r="L1204" s="99"/>
      <c r="M1204" s="99"/>
      <c r="N1204" s="99"/>
      <c r="O1204" s="99"/>
      <c r="P1204" s="99"/>
      <c r="Q1204" s="99"/>
      <c r="R1204" s="99"/>
    </row>
    <row r="1205" spans="2:18" ht="15" customHeight="1">
      <c r="B1205" s="99"/>
      <c r="C1205" s="99"/>
      <c r="D1205" s="99"/>
      <c r="E1205" s="99"/>
      <c r="F1205" s="99"/>
      <c r="G1205" s="99"/>
      <c r="H1205" s="99"/>
      <c r="I1205" s="99"/>
      <c r="J1205" s="99"/>
      <c r="K1205" s="99"/>
      <c r="L1205" s="99"/>
      <c r="M1205" s="99"/>
      <c r="N1205" s="99"/>
      <c r="O1205" s="99"/>
      <c r="P1205" s="99"/>
      <c r="Q1205" s="99"/>
      <c r="R1205" s="99"/>
    </row>
    <row r="1206" spans="2:18" ht="15" customHeight="1">
      <c r="B1206" s="99"/>
      <c r="C1206" s="99"/>
      <c r="D1206" s="99"/>
      <c r="E1206" s="99"/>
      <c r="F1206" s="99"/>
      <c r="G1206" s="99"/>
      <c r="H1206" s="99"/>
      <c r="I1206" s="99"/>
      <c r="J1206" s="99"/>
      <c r="K1206" s="99"/>
      <c r="L1206" s="99"/>
      <c r="M1206" s="99"/>
      <c r="N1206" s="99"/>
      <c r="O1206" s="99"/>
      <c r="P1206" s="99"/>
      <c r="Q1206" s="99"/>
      <c r="R1206" s="99"/>
    </row>
    <row r="1207" spans="2:18" ht="15" customHeight="1">
      <c r="B1207" s="99"/>
      <c r="C1207" s="99"/>
      <c r="D1207" s="99"/>
      <c r="E1207" s="99"/>
      <c r="F1207" s="99"/>
      <c r="G1207" s="99"/>
      <c r="H1207" s="99"/>
      <c r="I1207" s="99"/>
      <c r="J1207" s="99"/>
      <c r="K1207" s="99"/>
      <c r="L1207" s="99"/>
      <c r="M1207" s="99"/>
      <c r="N1207" s="99"/>
      <c r="O1207" s="99"/>
      <c r="P1207" s="99"/>
      <c r="Q1207" s="99"/>
      <c r="R1207" s="99"/>
    </row>
    <row r="1208" spans="2:18" ht="15" customHeight="1">
      <c r="B1208" s="99"/>
      <c r="C1208" s="99"/>
      <c r="D1208" s="99"/>
      <c r="E1208" s="99"/>
      <c r="F1208" s="99"/>
      <c r="G1208" s="99"/>
      <c r="H1208" s="99"/>
      <c r="I1208" s="99"/>
      <c r="J1208" s="99"/>
      <c r="K1208" s="99"/>
      <c r="L1208" s="99"/>
      <c r="M1208" s="99"/>
      <c r="N1208" s="99"/>
      <c r="O1208" s="99"/>
      <c r="P1208" s="99"/>
      <c r="Q1208" s="99"/>
      <c r="R1208" s="99"/>
    </row>
    <row r="1209" spans="2:18" ht="15" customHeight="1">
      <c r="B1209" s="99"/>
      <c r="C1209" s="99"/>
      <c r="D1209" s="99"/>
      <c r="E1209" s="99"/>
      <c r="F1209" s="99"/>
      <c r="G1209" s="99"/>
      <c r="H1209" s="99"/>
      <c r="I1209" s="99"/>
      <c r="J1209" s="99"/>
      <c r="K1209" s="99"/>
      <c r="L1209" s="99"/>
      <c r="M1209" s="99"/>
      <c r="N1209" s="99"/>
      <c r="O1209" s="99"/>
      <c r="P1209" s="99"/>
      <c r="Q1209" s="99"/>
      <c r="R1209" s="99"/>
    </row>
    <row r="1210" spans="2:18" ht="15" customHeight="1">
      <c r="B1210" s="99"/>
      <c r="C1210" s="99"/>
      <c r="D1210" s="99"/>
      <c r="E1210" s="99"/>
      <c r="F1210" s="99"/>
      <c r="G1210" s="99"/>
      <c r="H1210" s="99"/>
      <c r="I1210" s="99"/>
      <c r="J1210" s="99"/>
      <c r="K1210" s="99"/>
      <c r="L1210" s="99"/>
      <c r="M1210" s="99"/>
      <c r="N1210" s="99"/>
      <c r="O1210" s="99"/>
      <c r="P1210" s="99"/>
      <c r="Q1210" s="99"/>
      <c r="R1210" s="99"/>
    </row>
    <row r="1211" spans="2:18" ht="15" customHeight="1">
      <c r="B1211" s="99"/>
      <c r="C1211" s="99"/>
      <c r="D1211" s="99"/>
      <c r="E1211" s="99"/>
      <c r="F1211" s="99"/>
      <c r="G1211" s="99"/>
      <c r="H1211" s="99"/>
      <c r="I1211" s="99"/>
      <c r="J1211" s="99"/>
      <c r="K1211" s="99"/>
      <c r="L1211" s="99"/>
      <c r="M1211" s="99"/>
      <c r="N1211" s="99"/>
      <c r="O1211" s="99"/>
      <c r="P1211" s="99"/>
      <c r="Q1211" s="99"/>
      <c r="R1211" s="99"/>
    </row>
    <row r="1212" spans="2:18" ht="15" customHeight="1">
      <c r="B1212" s="99"/>
      <c r="C1212" s="99"/>
      <c r="D1212" s="99"/>
      <c r="E1212" s="99"/>
      <c r="F1212" s="99"/>
      <c r="G1212" s="99"/>
      <c r="H1212" s="99"/>
      <c r="I1212" s="99"/>
      <c r="J1212" s="99"/>
      <c r="K1212" s="99"/>
      <c r="L1212" s="99"/>
      <c r="M1212" s="99"/>
      <c r="N1212" s="99"/>
      <c r="O1212" s="99"/>
      <c r="P1212" s="99"/>
      <c r="Q1212" s="99"/>
      <c r="R1212" s="99"/>
    </row>
    <row r="1213" spans="2:18" ht="15" customHeight="1">
      <c r="B1213" s="99"/>
      <c r="C1213" s="99"/>
      <c r="D1213" s="99"/>
      <c r="E1213" s="99"/>
      <c r="F1213" s="99"/>
      <c r="G1213" s="99"/>
      <c r="H1213" s="99"/>
      <c r="I1213" s="99"/>
      <c r="J1213" s="99"/>
      <c r="K1213" s="99"/>
      <c r="L1213" s="99"/>
      <c r="M1213" s="99"/>
      <c r="N1213" s="99"/>
      <c r="O1213" s="99"/>
      <c r="P1213" s="99"/>
      <c r="Q1213" s="99"/>
      <c r="R1213" s="99"/>
    </row>
    <row r="1214" spans="2:18" ht="15" customHeight="1">
      <c r="B1214" s="99"/>
      <c r="C1214" s="99"/>
      <c r="D1214" s="99"/>
      <c r="E1214" s="99"/>
      <c r="F1214" s="99"/>
      <c r="G1214" s="99"/>
      <c r="H1214" s="99"/>
      <c r="I1214" s="99"/>
      <c r="J1214" s="99"/>
      <c r="K1214" s="99"/>
      <c r="L1214" s="99"/>
      <c r="M1214" s="99"/>
      <c r="N1214" s="99"/>
      <c r="O1214" s="99"/>
      <c r="P1214" s="99"/>
      <c r="Q1214" s="99"/>
      <c r="R1214" s="99"/>
    </row>
    <row r="1215" spans="2:18" ht="15" customHeight="1">
      <c r="B1215" s="99"/>
      <c r="C1215" s="99"/>
      <c r="D1215" s="99"/>
      <c r="E1215" s="99"/>
      <c r="F1215" s="99"/>
      <c r="G1215" s="99"/>
      <c r="H1215" s="99"/>
      <c r="I1215" s="99"/>
      <c r="J1215" s="99"/>
      <c r="K1215" s="99"/>
      <c r="L1215" s="99"/>
      <c r="M1215" s="99"/>
      <c r="N1215" s="99"/>
      <c r="O1215" s="99"/>
      <c r="P1215" s="99"/>
      <c r="Q1215" s="99"/>
      <c r="R1215" s="99"/>
    </row>
    <row r="1216" spans="2:18" ht="15" customHeight="1">
      <c r="B1216" s="99"/>
      <c r="C1216" s="99"/>
      <c r="D1216" s="99"/>
      <c r="E1216" s="99"/>
      <c r="F1216" s="99"/>
      <c r="G1216" s="99"/>
      <c r="H1216" s="99"/>
      <c r="I1216" s="99"/>
      <c r="J1216" s="99"/>
      <c r="K1216" s="99"/>
      <c r="L1216" s="99"/>
      <c r="M1216" s="99"/>
      <c r="N1216" s="99"/>
      <c r="O1216" s="99"/>
      <c r="P1216" s="99"/>
      <c r="Q1216" s="99"/>
      <c r="R1216" s="99"/>
    </row>
    <row r="1217" spans="2:18" ht="15" customHeight="1">
      <c r="B1217" s="99"/>
      <c r="C1217" s="99"/>
      <c r="D1217" s="99"/>
      <c r="E1217" s="99"/>
      <c r="F1217" s="99"/>
      <c r="G1217" s="99"/>
      <c r="H1217" s="99"/>
      <c r="I1217" s="99"/>
      <c r="J1217" s="99"/>
      <c r="K1217" s="99"/>
      <c r="L1217" s="99"/>
      <c r="M1217" s="99"/>
      <c r="N1217" s="99"/>
      <c r="O1217" s="99"/>
      <c r="P1217" s="99"/>
      <c r="Q1217" s="99"/>
      <c r="R1217" s="99"/>
    </row>
    <row r="1218" spans="2:18" ht="15" customHeight="1">
      <c r="B1218" s="99"/>
      <c r="C1218" s="99"/>
      <c r="D1218" s="99"/>
      <c r="E1218" s="99"/>
      <c r="F1218" s="99"/>
      <c r="G1218" s="99"/>
      <c r="H1218" s="99"/>
      <c r="I1218" s="99"/>
      <c r="J1218" s="99"/>
      <c r="K1218" s="99"/>
      <c r="L1218" s="99"/>
      <c r="M1218" s="99"/>
      <c r="N1218" s="99"/>
      <c r="O1218" s="99"/>
      <c r="P1218" s="99"/>
      <c r="Q1218" s="99"/>
      <c r="R1218" s="99"/>
    </row>
    <row r="1219" spans="2:18" ht="15" customHeight="1">
      <c r="B1219" s="99"/>
      <c r="C1219" s="99"/>
      <c r="D1219" s="99"/>
      <c r="E1219" s="99"/>
      <c r="F1219" s="99"/>
      <c r="G1219" s="99"/>
      <c r="H1219" s="99"/>
      <c r="I1219" s="99"/>
      <c r="J1219" s="99"/>
      <c r="K1219" s="99"/>
      <c r="L1219" s="99"/>
      <c r="M1219" s="99"/>
      <c r="N1219" s="99"/>
      <c r="O1219" s="99"/>
      <c r="P1219" s="99"/>
      <c r="Q1219" s="99"/>
      <c r="R1219" s="99"/>
    </row>
    <row r="1220" spans="2:18" ht="15" customHeight="1">
      <c r="B1220" s="99"/>
      <c r="C1220" s="99"/>
      <c r="D1220" s="99"/>
      <c r="E1220" s="99"/>
      <c r="F1220" s="99"/>
      <c r="G1220" s="99"/>
      <c r="H1220" s="99"/>
      <c r="I1220" s="99"/>
      <c r="J1220" s="99"/>
      <c r="K1220" s="99"/>
      <c r="L1220" s="99"/>
      <c r="M1220" s="99"/>
      <c r="N1220" s="99"/>
      <c r="O1220" s="99"/>
      <c r="P1220" s="99"/>
      <c r="Q1220" s="99"/>
      <c r="R1220" s="99"/>
    </row>
    <row r="1221" spans="2:18" ht="15" customHeight="1">
      <c r="B1221" s="99"/>
      <c r="C1221" s="99"/>
      <c r="D1221" s="99"/>
      <c r="E1221" s="99"/>
      <c r="F1221" s="99"/>
      <c r="G1221" s="99"/>
      <c r="H1221" s="99"/>
      <c r="I1221" s="99"/>
      <c r="J1221" s="99"/>
      <c r="K1221" s="99"/>
      <c r="L1221" s="99"/>
      <c r="M1221" s="99"/>
      <c r="N1221" s="99"/>
      <c r="O1221" s="99"/>
      <c r="P1221" s="99"/>
      <c r="Q1221" s="99"/>
      <c r="R1221" s="99"/>
    </row>
    <row r="1222" spans="2:18" ht="15" customHeight="1">
      <c r="B1222" s="99"/>
      <c r="C1222" s="99"/>
      <c r="D1222" s="99"/>
      <c r="E1222" s="99"/>
      <c r="F1222" s="99"/>
      <c r="G1222" s="99"/>
      <c r="H1222" s="99"/>
      <c r="I1222" s="99"/>
      <c r="J1222" s="99"/>
      <c r="K1222" s="99"/>
      <c r="L1222" s="99"/>
      <c r="M1222" s="99"/>
      <c r="N1222" s="99"/>
      <c r="O1222" s="99"/>
      <c r="P1222" s="99"/>
      <c r="Q1222" s="99"/>
      <c r="R1222" s="99"/>
    </row>
    <row r="1223" spans="2:18" ht="15" customHeight="1">
      <c r="B1223" s="99"/>
      <c r="C1223" s="99"/>
      <c r="D1223" s="99"/>
      <c r="E1223" s="99"/>
      <c r="F1223" s="99"/>
      <c r="G1223" s="99"/>
      <c r="H1223" s="99"/>
      <c r="I1223" s="99"/>
      <c r="J1223" s="99"/>
      <c r="K1223" s="99"/>
      <c r="L1223" s="99"/>
      <c r="M1223" s="99"/>
      <c r="N1223" s="99"/>
      <c r="O1223" s="99"/>
      <c r="P1223" s="99"/>
      <c r="Q1223" s="99"/>
      <c r="R1223" s="99"/>
    </row>
    <row r="1224" spans="2:18" ht="15" customHeight="1">
      <c r="B1224" s="99"/>
      <c r="C1224" s="99"/>
      <c r="D1224" s="99"/>
      <c r="E1224" s="99"/>
      <c r="F1224" s="99"/>
      <c r="G1224" s="99"/>
      <c r="H1224" s="99"/>
      <c r="I1224" s="99"/>
      <c r="J1224" s="99"/>
      <c r="K1224" s="99"/>
      <c r="L1224" s="99"/>
      <c r="M1224" s="99"/>
      <c r="N1224" s="99"/>
      <c r="O1224" s="99"/>
      <c r="P1224" s="99"/>
      <c r="Q1224" s="99"/>
      <c r="R1224" s="99"/>
    </row>
    <row r="1225" spans="2:18" ht="15" customHeight="1">
      <c r="B1225" s="99"/>
      <c r="C1225" s="99"/>
      <c r="D1225" s="99"/>
      <c r="E1225" s="99"/>
      <c r="F1225" s="99"/>
      <c r="G1225" s="99"/>
      <c r="H1225" s="99"/>
      <c r="I1225" s="99"/>
      <c r="J1225" s="99"/>
      <c r="K1225" s="99"/>
      <c r="L1225" s="99"/>
      <c r="M1225" s="99"/>
      <c r="N1225" s="99"/>
      <c r="O1225" s="99"/>
      <c r="P1225" s="99"/>
      <c r="Q1225" s="99"/>
      <c r="R1225" s="99"/>
    </row>
    <row r="1226" spans="2:18" ht="15" customHeight="1">
      <c r="B1226" s="99"/>
      <c r="C1226" s="99"/>
      <c r="D1226" s="99"/>
      <c r="E1226" s="99"/>
      <c r="F1226" s="99"/>
      <c r="G1226" s="99"/>
      <c r="H1226" s="99"/>
      <c r="I1226" s="99"/>
      <c r="J1226" s="99"/>
      <c r="K1226" s="99"/>
      <c r="L1226" s="99"/>
      <c r="M1226" s="99"/>
      <c r="N1226" s="99"/>
      <c r="O1226" s="99"/>
      <c r="P1226" s="99"/>
      <c r="Q1226" s="99"/>
      <c r="R1226" s="99"/>
    </row>
    <row r="1227" spans="2:18" ht="15" customHeight="1">
      <c r="B1227" s="99"/>
      <c r="C1227" s="99"/>
      <c r="D1227" s="99"/>
      <c r="E1227" s="99"/>
      <c r="F1227" s="99"/>
      <c r="G1227" s="99"/>
      <c r="H1227" s="99"/>
      <c r="I1227" s="99"/>
      <c r="J1227" s="99"/>
      <c r="K1227" s="99"/>
      <c r="L1227" s="99"/>
      <c r="M1227" s="99"/>
      <c r="N1227" s="99"/>
      <c r="O1227" s="99"/>
      <c r="P1227" s="99"/>
      <c r="Q1227" s="99"/>
      <c r="R1227" s="99"/>
    </row>
    <row r="1228" spans="2:18" ht="15" customHeight="1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</row>
    <row r="1229" spans="2:18" ht="15" customHeight="1">
      <c r="B1229" s="99"/>
      <c r="C1229" s="99"/>
      <c r="D1229" s="99"/>
      <c r="E1229" s="99"/>
      <c r="F1229" s="99"/>
      <c r="G1229" s="99"/>
      <c r="H1229" s="99"/>
      <c r="I1229" s="99"/>
      <c r="J1229" s="99"/>
      <c r="K1229" s="99"/>
      <c r="L1229" s="99"/>
      <c r="M1229" s="99"/>
      <c r="N1229" s="99"/>
      <c r="O1229" s="99"/>
      <c r="P1229" s="99"/>
      <c r="Q1229" s="99"/>
      <c r="R1229" s="99"/>
    </row>
    <row r="1230" spans="2:18" ht="15" customHeight="1">
      <c r="B1230" s="99"/>
      <c r="C1230" s="99"/>
      <c r="D1230" s="99"/>
      <c r="E1230" s="99"/>
      <c r="F1230" s="99"/>
      <c r="G1230" s="99"/>
      <c r="H1230" s="99"/>
      <c r="I1230" s="99"/>
      <c r="J1230" s="99"/>
      <c r="K1230" s="99"/>
      <c r="L1230" s="99"/>
      <c r="M1230" s="99"/>
      <c r="N1230" s="99"/>
      <c r="O1230" s="99"/>
      <c r="P1230" s="99"/>
      <c r="Q1230" s="99"/>
      <c r="R1230" s="99"/>
    </row>
    <row r="1231" spans="2:18" ht="15" customHeight="1">
      <c r="B1231" s="99"/>
      <c r="C1231" s="99"/>
      <c r="D1231" s="99"/>
      <c r="E1231" s="99"/>
      <c r="F1231" s="99"/>
      <c r="G1231" s="99"/>
      <c r="H1231" s="99"/>
      <c r="I1231" s="99"/>
      <c r="J1231" s="99"/>
      <c r="K1231" s="99"/>
      <c r="L1231" s="99"/>
      <c r="M1231" s="99"/>
      <c r="N1231" s="99"/>
      <c r="O1231" s="99"/>
      <c r="P1231" s="99"/>
      <c r="Q1231" s="99"/>
      <c r="R1231" s="99"/>
    </row>
    <row r="1232" spans="2:18" ht="15" customHeight="1">
      <c r="B1232" s="99"/>
      <c r="C1232" s="99"/>
      <c r="D1232" s="99"/>
      <c r="E1232" s="99"/>
      <c r="F1232" s="99"/>
      <c r="G1232" s="99"/>
      <c r="H1232" s="99"/>
      <c r="I1232" s="99"/>
      <c r="J1232" s="99"/>
      <c r="K1232" s="99"/>
      <c r="L1232" s="99"/>
      <c r="M1232" s="99"/>
      <c r="N1232" s="99"/>
      <c r="O1232" s="99"/>
      <c r="P1232" s="99"/>
      <c r="Q1232" s="99"/>
      <c r="R1232" s="99"/>
    </row>
    <row r="1233" spans="2:18" ht="15" customHeight="1">
      <c r="B1233" s="99"/>
      <c r="C1233" s="99"/>
      <c r="D1233" s="99"/>
      <c r="E1233" s="99"/>
      <c r="F1233" s="99"/>
      <c r="G1233" s="99"/>
      <c r="H1233" s="99"/>
      <c r="I1233" s="99"/>
      <c r="J1233" s="99"/>
      <c r="K1233" s="99"/>
      <c r="L1233" s="99"/>
      <c r="M1233" s="99"/>
      <c r="N1233" s="99"/>
      <c r="O1233" s="99"/>
      <c r="P1233" s="99"/>
      <c r="Q1233" s="99"/>
      <c r="R1233" s="99"/>
    </row>
    <row r="1234" spans="2:18" ht="15" customHeight="1">
      <c r="B1234" s="99"/>
      <c r="C1234" s="99"/>
      <c r="D1234" s="99"/>
      <c r="E1234" s="99"/>
      <c r="F1234" s="99"/>
      <c r="G1234" s="99"/>
      <c r="H1234" s="99"/>
      <c r="I1234" s="99"/>
      <c r="J1234" s="99"/>
      <c r="K1234" s="99"/>
      <c r="L1234" s="99"/>
      <c r="M1234" s="99"/>
      <c r="N1234" s="99"/>
      <c r="O1234" s="99"/>
      <c r="P1234" s="99"/>
      <c r="Q1234" s="99"/>
      <c r="R1234" s="99"/>
    </row>
    <row r="1235" spans="2:18" ht="15" customHeight="1">
      <c r="B1235" s="99"/>
      <c r="C1235" s="99"/>
      <c r="D1235" s="99"/>
      <c r="E1235" s="99"/>
      <c r="F1235" s="99"/>
      <c r="G1235" s="99"/>
      <c r="H1235" s="99"/>
      <c r="I1235" s="99"/>
      <c r="J1235" s="99"/>
      <c r="K1235" s="99"/>
      <c r="L1235" s="99"/>
      <c r="M1235" s="99"/>
      <c r="N1235" s="99"/>
      <c r="O1235" s="99"/>
      <c r="P1235" s="99"/>
      <c r="Q1235" s="99"/>
      <c r="R1235" s="99"/>
    </row>
    <row r="1236" spans="2:18" ht="15" customHeight="1">
      <c r="B1236" s="99"/>
      <c r="C1236" s="99"/>
      <c r="D1236" s="99"/>
      <c r="E1236" s="99"/>
      <c r="F1236" s="99"/>
      <c r="G1236" s="99"/>
      <c r="H1236" s="99"/>
      <c r="I1236" s="99"/>
      <c r="J1236" s="99"/>
      <c r="K1236" s="99"/>
      <c r="L1236" s="99"/>
      <c r="M1236" s="99"/>
      <c r="N1236" s="99"/>
      <c r="O1236" s="99"/>
      <c r="P1236" s="99"/>
      <c r="Q1236" s="99"/>
      <c r="R1236" s="99"/>
    </row>
    <row r="1237" spans="2:18" ht="15" customHeight="1">
      <c r="B1237" s="99"/>
      <c r="C1237" s="99"/>
      <c r="D1237" s="99"/>
      <c r="E1237" s="99"/>
      <c r="F1237" s="99"/>
      <c r="G1237" s="99"/>
      <c r="H1237" s="99"/>
      <c r="I1237" s="99"/>
      <c r="J1237" s="99"/>
      <c r="K1237" s="99"/>
      <c r="L1237" s="99"/>
      <c r="M1237" s="99"/>
      <c r="N1237" s="99"/>
      <c r="O1237" s="99"/>
      <c r="P1237" s="99"/>
      <c r="Q1237" s="99"/>
      <c r="R1237" s="99"/>
    </row>
    <row r="1238" spans="2:18" ht="15" customHeight="1">
      <c r="B1238" s="99"/>
      <c r="C1238" s="99"/>
      <c r="D1238" s="99"/>
      <c r="E1238" s="99"/>
      <c r="F1238" s="99"/>
      <c r="G1238" s="99"/>
      <c r="H1238" s="99"/>
      <c r="I1238" s="99"/>
      <c r="J1238" s="99"/>
      <c r="K1238" s="99"/>
      <c r="L1238" s="99"/>
      <c r="M1238" s="99"/>
      <c r="N1238" s="99"/>
      <c r="O1238" s="99"/>
      <c r="P1238" s="99"/>
      <c r="Q1238" s="99"/>
      <c r="R1238" s="99"/>
    </row>
    <row r="1239" spans="2:18" ht="15" customHeight="1">
      <c r="B1239" s="99"/>
      <c r="C1239" s="99"/>
      <c r="D1239" s="99"/>
      <c r="E1239" s="99"/>
      <c r="F1239" s="99"/>
      <c r="G1239" s="99"/>
      <c r="H1239" s="99"/>
      <c r="I1239" s="99"/>
      <c r="J1239" s="99"/>
      <c r="K1239" s="99"/>
      <c r="L1239" s="99"/>
      <c r="M1239" s="99"/>
      <c r="N1239" s="99"/>
      <c r="O1239" s="99"/>
      <c r="P1239" s="99"/>
      <c r="Q1239" s="99"/>
      <c r="R1239" s="99"/>
    </row>
    <row r="1240" spans="2:18" ht="15" customHeight="1">
      <c r="B1240" s="99"/>
      <c r="C1240" s="99"/>
      <c r="D1240" s="99"/>
      <c r="E1240" s="99"/>
      <c r="F1240" s="99"/>
      <c r="G1240" s="99"/>
      <c r="H1240" s="99"/>
      <c r="I1240" s="99"/>
      <c r="J1240" s="99"/>
      <c r="K1240" s="99"/>
      <c r="L1240" s="99"/>
      <c r="M1240" s="99"/>
      <c r="N1240" s="99"/>
      <c r="O1240" s="99"/>
      <c r="P1240" s="99"/>
      <c r="Q1240" s="99"/>
      <c r="R1240" s="99"/>
    </row>
    <row r="1241" spans="2:18" ht="15" customHeight="1">
      <c r="B1241" s="99"/>
      <c r="C1241" s="99"/>
      <c r="D1241" s="99"/>
      <c r="E1241" s="99"/>
      <c r="F1241" s="99"/>
      <c r="G1241" s="99"/>
      <c r="H1241" s="99"/>
      <c r="I1241" s="99"/>
      <c r="J1241" s="99"/>
      <c r="K1241" s="99"/>
      <c r="L1241" s="99"/>
      <c r="M1241" s="99"/>
      <c r="N1241" s="99"/>
      <c r="O1241" s="99"/>
      <c r="P1241" s="99"/>
      <c r="Q1241" s="99"/>
      <c r="R1241" s="99"/>
    </row>
    <row r="1242" spans="2:18" ht="15" customHeight="1">
      <c r="B1242" s="99"/>
      <c r="C1242" s="99"/>
      <c r="D1242" s="99"/>
      <c r="E1242" s="99"/>
      <c r="F1242" s="99"/>
      <c r="G1242" s="99"/>
      <c r="H1242" s="99"/>
      <c r="I1242" s="99"/>
      <c r="J1242" s="99"/>
      <c r="K1242" s="99"/>
      <c r="L1242" s="99"/>
      <c r="M1242" s="99"/>
      <c r="N1242" s="99"/>
      <c r="O1242" s="99"/>
      <c r="P1242" s="99"/>
      <c r="Q1242" s="99"/>
      <c r="R1242" s="99"/>
    </row>
    <row r="1243" spans="2:18" ht="15" customHeight="1">
      <c r="B1243" s="99"/>
      <c r="C1243" s="99"/>
      <c r="D1243" s="99"/>
      <c r="E1243" s="99"/>
      <c r="F1243" s="99"/>
      <c r="G1243" s="99"/>
      <c r="H1243" s="99"/>
      <c r="I1243" s="99"/>
      <c r="J1243" s="99"/>
      <c r="K1243" s="99"/>
      <c r="L1243" s="99"/>
      <c r="M1243" s="99"/>
      <c r="N1243" s="99"/>
      <c r="O1243" s="99"/>
      <c r="P1243" s="99"/>
      <c r="Q1243" s="99"/>
      <c r="R1243" s="99"/>
    </row>
    <row r="1244" spans="2:18" ht="15" customHeight="1">
      <c r="B1244" s="99"/>
      <c r="C1244" s="99"/>
      <c r="D1244" s="99"/>
      <c r="E1244" s="99"/>
      <c r="F1244" s="99"/>
      <c r="G1244" s="99"/>
      <c r="H1244" s="99"/>
      <c r="I1244" s="99"/>
      <c r="J1244" s="99"/>
      <c r="K1244" s="99"/>
      <c r="L1244" s="99"/>
      <c r="M1244" s="99"/>
      <c r="N1244" s="99"/>
      <c r="O1244" s="99"/>
      <c r="P1244" s="99"/>
      <c r="Q1244" s="99"/>
      <c r="R1244" s="99"/>
    </row>
    <row r="1245" spans="2:18" ht="15" customHeight="1">
      <c r="B1245" s="99"/>
      <c r="C1245" s="99"/>
      <c r="D1245" s="99"/>
      <c r="E1245" s="99"/>
      <c r="F1245" s="99"/>
      <c r="G1245" s="99"/>
      <c r="H1245" s="99"/>
      <c r="I1245" s="99"/>
      <c r="J1245" s="99"/>
      <c r="K1245" s="99"/>
      <c r="L1245" s="99"/>
      <c r="M1245" s="99"/>
      <c r="N1245" s="99"/>
      <c r="O1245" s="99"/>
      <c r="P1245" s="99"/>
      <c r="Q1245" s="99"/>
      <c r="R1245" s="99"/>
    </row>
    <row r="1246" spans="2:18" ht="15" customHeight="1">
      <c r="B1246" s="99"/>
      <c r="C1246" s="99"/>
      <c r="D1246" s="99"/>
      <c r="E1246" s="99"/>
      <c r="F1246" s="99"/>
      <c r="G1246" s="99"/>
      <c r="H1246" s="99"/>
      <c r="I1246" s="99"/>
      <c r="J1246" s="99"/>
      <c r="K1246" s="99"/>
      <c r="L1246" s="99"/>
      <c r="M1246" s="99"/>
      <c r="N1246" s="99"/>
      <c r="O1246" s="99"/>
      <c r="P1246" s="99"/>
      <c r="Q1246" s="99"/>
      <c r="R1246" s="99"/>
    </row>
    <row r="1247" spans="2:18" ht="15" customHeight="1">
      <c r="B1247" s="99"/>
      <c r="C1247" s="99"/>
      <c r="D1247" s="99"/>
      <c r="E1247" s="99"/>
      <c r="F1247" s="99"/>
      <c r="G1247" s="99"/>
      <c r="H1247" s="99"/>
      <c r="I1247" s="99"/>
      <c r="J1247" s="99"/>
      <c r="K1247" s="99"/>
      <c r="L1247" s="99"/>
      <c r="M1247" s="99"/>
      <c r="N1247" s="99"/>
      <c r="O1247" s="99"/>
      <c r="P1247" s="99"/>
      <c r="Q1247" s="99"/>
      <c r="R1247" s="99"/>
    </row>
    <row r="1248" spans="2:18" ht="15" customHeight="1">
      <c r="B1248" s="99"/>
      <c r="C1248" s="99"/>
      <c r="D1248" s="99"/>
      <c r="E1248" s="99"/>
      <c r="F1248" s="99"/>
      <c r="G1248" s="99"/>
      <c r="H1248" s="99"/>
      <c r="I1248" s="99"/>
      <c r="J1248" s="99"/>
      <c r="K1248" s="99"/>
      <c r="L1248" s="99"/>
      <c r="M1248" s="99"/>
      <c r="N1248" s="99"/>
      <c r="O1248" s="99"/>
      <c r="P1248" s="99"/>
      <c r="Q1248" s="99"/>
      <c r="R1248" s="99"/>
    </row>
    <row r="1249" spans="2:18" ht="15" customHeight="1">
      <c r="B1249" s="99"/>
      <c r="C1249" s="99"/>
      <c r="D1249" s="99"/>
      <c r="E1249" s="99"/>
      <c r="F1249" s="99"/>
      <c r="G1249" s="99"/>
      <c r="H1249" s="99"/>
      <c r="I1249" s="99"/>
      <c r="J1249" s="99"/>
      <c r="K1249" s="99"/>
      <c r="L1249" s="99"/>
      <c r="M1249" s="99"/>
      <c r="N1249" s="99"/>
      <c r="O1249" s="99"/>
      <c r="P1249" s="99"/>
      <c r="Q1249" s="99"/>
      <c r="R1249" s="99"/>
    </row>
    <row r="1250" spans="2:18" ht="15" customHeight="1">
      <c r="B1250" s="99"/>
      <c r="C1250" s="99"/>
      <c r="D1250" s="99"/>
      <c r="E1250" s="99"/>
      <c r="F1250" s="99"/>
      <c r="G1250" s="99"/>
      <c r="H1250" s="99"/>
      <c r="I1250" s="99"/>
      <c r="J1250" s="99"/>
      <c r="K1250" s="99"/>
      <c r="L1250" s="99"/>
      <c r="M1250" s="99"/>
      <c r="N1250" s="99"/>
      <c r="O1250" s="99"/>
      <c r="P1250" s="99"/>
      <c r="Q1250" s="99"/>
      <c r="R1250" s="99"/>
    </row>
    <row r="1251" spans="2:18" ht="15" customHeight="1">
      <c r="B1251" s="99"/>
      <c r="C1251" s="99"/>
      <c r="D1251" s="99"/>
      <c r="E1251" s="99"/>
      <c r="F1251" s="99"/>
      <c r="G1251" s="99"/>
      <c r="H1251" s="99"/>
      <c r="I1251" s="99"/>
      <c r="J1251" s="99"/>
      <c r="K1251" s="99"/>
      <c r="L1251" s="99"/>
      <c r="M1251" s="99"/>
      <c r="N1251" s="99"/>
      <c r="O1251" s="99"/>
      <c r="P1251" s="99"/>
      <c r="Q1251" s="99"/>
      <c r="R1251" s="99"/>
    </row>
    <row r="1252" spans="2:18" ht="15" customHeight="1">
      <c r="B1252" s="99"/>
      <c r="C1252" s="99"/>
      <c r="D1252" s="99"/>
      <c r="E1252" s="99"/>
      <c r="F1252" s="99"/>
      <c r="G1252" s="99"/>
      <c r="H1252" s="99"/>
      <c r="I1252" s="99"/>
      <c r="J1252" s="99"/>
      <c r="K1252" s="99"/>
      <c r="L1252" s="99"/>
      <c r="M1252" s="99"/>
      <c r="N1252" s="99"/>
      <c r="O1252" s="99"/>
      <c r="P1252" s="99"/>
      <c r="Q1252" s="99"/>
      <c r="R1252" s="99"/>
    </row>
    <row r="1253" spans="2:18" ht="15" customHeight="1">
      <c r="B1253" s="99"/>
      <c r="C1253" s="99"/>
      <c r="D1253" s="99"/>
      <c r="E1253" s="99"/>
      <c r="F1253" s="99"/>
      <c r="G1253" s="99"/>
      <c r="H1253" s="99"/>
      <c r="I1253" s="99"/>
      <c r="J1253" s="99"/>
      <c r="K1253" s="99"/>
      <c r="L1253" s="99"/>
      <c r="M1253" s="99"/>
      <c r="N1253" s="99"/>
      <c r="O1253" s="99"/>
      <c r="P1253" s="99"/>
      <c r="Q1253" s="99"/>
      <c r="R1253" s="99"/>
    </row>
    <row r="1254" spans="2:18" ht="15" customHeight="1">
      <c r="B1254" s="99"/>
      <c r="C1254" s="99"/>
      <c r="D1254" s="99"/>
      <c r="E1254" s="99"/>
      <c r="F1254" s="99"/>
      <c r="G1254" s="99"/>
      <c r="H1254" s="99"/>
      <c r="I1254" s="99"/>
      <c r="J1254" s="99"/>
      <c r="K1254" s="99"/>
      <c r="L1254" s="99"/>
      <c r="M1254" s="99"/>
      <c r="N1254" s="99"/>
      <c r="O1254" s="99"/>
      <c r="P1254" s="99"/>
      <c r="Q1254" s="99"/>
      <c r="R1254" s="99"/>
    </row>
    <row r="1255" spans="2:18" ht="15" customHeight="1">
      <c r="B1255" s="99"/>
      <c r="C1255" s="99"/>
      <c r="D1255" s="99"/>
      <c r="E1255" s="99"/>
      <c r="F1255" s="99"/>
      <c r="G1255" s="99"/>
      <c r="H1255" s="99"/>
      <c r="I1255" s="99"/>
      <c r="J1255" s="99"/>
      <c r="K1255" s="99"/>
      <c r="L1255" s="99"/>
      <c r="M1255" s="99"/>
      <c r="N1255" s="99"/>
      <c r="O1255" s="99"/>
      <c r="P1255" s="99"/>
      <c r="Q1255" s="99"/>
      <c r="R1255" s="99"/>
    </row>
    <row r="1256" spans="2:18" ht="15" customHeight="1">
      <c r="B1256" s="99"/>
      <c r="C1256" s="99"/>
      <c r="D1256" s="99"/>
      <c r="E1256" s="99"/>
      <c r="F1256" s="99"/>
      <c r="G1256" s="99"/>
      <c r="H1256" s="99"/>
      <c r="I1256" s="99"/>
      <c r="J1256" s="99"/>
      <c r="K1256" s="99"/>
      <c r="L1256" s="99"/>
      <c r="M1256" s="99"/>
      <c r="N1256" s="99"/>
      <c r="O1256" s="99"/>
      <c r="P1256" s="99"/>
      <c r="Q1256" s="99"/>
      <c r="R1256" s="99"/>
    </row>
    <row r="1257" spans="2:18" ht="15" customHeight="1">
      <c r="B1257" s="99"/>
      <c r="C1257" s="99"/>
      <c r="D1257" s="99"/>
      <c r="E1257" s="99"/>
      <c r="F1257" s="99"/>
      <c r="G1257" s="99"/>
      <c r="H1257" s="99"/>
      <c r="I1257" s="99"/>
      <c r="J1257" s="99"/>
      <c r="K1257" s="99"/>
      <c r="L1257" s="99"/>
      <c r="M1257" s="99"/>
      <c r="N1257" s="99"/>
      <c r="O1257" s="99"/>
      <c r="P1257" s="99"/>
      <c r="Q1257" s="99"/>
      <c r="R1257" s="99"/>
    </row>
    <row r="1258" spans="2:18" ht="15" customHeight="1">
      <c r="B1258" s="99"/>
      <c r="C1258" s="99"/>
      <c r="D1258" s="99"/>
      <c r="E1258" s="99"/>
      <c r="F1258" s="99"/>
      <c r="G1258" s="99"/>
      <c r="H1258" s="99"/>
      <c r="I1258" s="99"/>
      <c r="J1258" s="99"/>
      <c r="K1258" s="99"/>
      <c r="L1258" s="99"/>
      <c r="M1258" s="99"/>
      <c r="N1258" s="99"/>
      <c r="O1258" s="99"/>
      <c r="P1258" s="99"/>
      <c r="Q1258" s="99"/>
      <c r="R1258" s="99"/>
    </row>
    <row r="1259" spans="2:18" ht="15" customHeight="1">
      <c r="B1259" s="99"/>
      <c r="C1259" s="99"/>
      <c r="D1259" s="99"/>
      <c r="E1259" s="99"/>
      <c r="F1259" s="99"/>
      <c r="G1259" s="99"/>
      <c r="H1259" s="99"/>
      <c r="I1259" s="99"/>
      <c r="J1259" s="99"/>
      <c r="K1259" s="99"/>
      <c r="L1259" s="99"/>
      <c r="M1259" s="99"/>
      <c r="N1259" s="99"/>
      <c r="O1259" s="99"/>
      <c r="P1259" s="99"/>
      <c r="Q1259" s="99"/>
      <c r="R1259" s="99"/>
    </row>
    <row r="1260" spans="2:18" ht="15" customHeight="1">
      <c r="B1260" s="99"/>
      <c r="C1260" s="99"/>
      <c r="D1260" s="99"/>
      <c r="E1260" s="99"/>
      <c r="F1260" s="99"/>
      <c r="G1260" s="99"/>
      <c r="H1260" s="99"/>
      <c r="I1260" s="99"/>
      <c r="J1260" s="99"/>
      <c r="K1260" s="99"/>
      <c r="L1260" s="99"/>
      <c r="M1260" s="99"/>
      <c r="N1260" s="99"/>
      <c r="O1260" s="99"/>
      <c r="P1260" s="99"/>
      <c r="Q1260" s="99"/>
      <c r="R1260" s="99"/>
    </row>
    <row r="1261" spans="2:18" ht="15" customHeight="1">
      <c r="B1261" s="99"/>
      <c r="C1261" s="99"/>
      <c r="D1261" s="99"/>
      <c r="E1261" s="99"/>
      <c r="F1261" s="99"/>
      <c r="G1261" s="99"/>
      <c r="H1261" s="99"/>
      <c r="I1261" s="99"/>
      <c r="J1261" s="99"/>
      <c r="K1261" s="99"/>
      <c r="L1261" s="99"/>
      <c r="M1261" s="99"/>
      <c r="N1261" s="99"/>
      <c r="O1261" s="99"/>
      <c r="P1261" s="99"/>
      <c r="Q1261" s="99"/>
      <c r="R1261" s="99"/>
    </row>
    <row r="1262" spans="2:18" ht="15" customHeight="1">
      <c r="B1262" s="99"/>
      <c r="C1262" s="99"/>
      <c r="D1262" s="99"/>
      <c r="E1262" s="99"/>
      <c r="F1262" s="99"/>
      <c r="G1262" s="99"/>
      <c r="H1262" s="99"/>
      <c r="I1262" s="99"/>
      <c r="J1262" s="99"/>
      <c r="K1262" s="99"/>
      <c r="L1262" s="99"/>
      <c r="M1262" s="99"/>
      <c r="N1262" s="99"/>
      <c r="O1262" s="99"/>
      <c r="P1262" s="99"/>
      <c r="Q1262" s="99"/>
      <c r="R1262" s="99"/>
    </row>
    <row r="1263" spans="2:18" ht="15" customHeight="1">
      <c r="B1263" s="99"/>
      <c r="C1263" s="99"/>
      <c r="D1263" s="99"/>
      <c r="E1263" s="99"/>
      <c r="F1263" s="99"/>
      <c r="G1263" s="99"/>
      <c r="H1263" s="99"/>
      <c r="I1263" s="99"/>
      <c r="J1263" s="99"/>
      <c r="K1263" s="99"/>
      <c r="L1263" s="99"/>
      <c r="M1263" s="99"/>
      <c r="N1263" s="99"/>
      <c r="O1263" s="99"/>
      <c r="P1263" s="99"/>
      <c r="Q1263" s="99"/>
      <c r="R1263" s="99"/>
    </row>
    <row r="1264" spans="2:18" ht="15" customHeight="1">
      <c r="B1264" s="99"/>
      <c r="C1264" s="99"/>
      <c r="D1264" s="99"/>
      <c r="E1264" s="99"/>
      <c r="F1264" s="99"/>
      <c r="G1264" s="99"/>
      <c r="H1264" s="99"/>
      <c r="I1264" s="99"/>
      <c r="J1264" s="99"/>
      <c r="K1264" s="99"/>
      <c r="L1264" s="99"/>
      <c r="M1264" s="99"/>
      <c r="N1264" s="99"/>
      <c r="O1264" s="99"/>
      <c r="P1264" s="99"/>
      <c r="Q1264" s="99"/>
      <c r="R1264" s="99"/>
    </row>
    <row r="1265" spans="2:18" ht="15" customHeight="1">
      <c r="B1265" s="99"/>
      <c r="C1265" s="99"/>
      <c r="D1265" s="99"/>
      <c r="E1265" s="99"/>
      <c r="F1265" s="99"/>
      <c r="G1265" s="99"/>
      <c r="H1265" s="99"/>
      <c r="I1265" s="99"/>
      <c r="J1265" s="99"/>
      <c r="K1265" s="99"/>
      <c r="L1265" s="99"/>
      <c r="M1265" s="99"/>
      <c r="N1265" s="99"/>
      <c r="O1265" s="99"/>
      <c r="P1265" s="99"/>
      <c r="Q1265" s="99"/>
      <c r="R1265" s="99"/>
    </row>
    <row r="1266" spans="2:18" ht="15" customHeight="1">
      <c r="B1266" s="99"/>
      <c r="C1266" s="99"/>
      <c r="D1266" s="99"/>
      <c r="E1266" s="99"/>
      <c r="F1266" s="99"/>
      <c r="G1266" s="99"/>
      <c r="H1266" s="99"/>
      <c r="I1266" s="99"/>
      <c r="J1266" s="99"/>
      <c r="K1266" s="99"/>
      <c r="L1266" s="99"/>
      <c r="M1266" s="99"/>
      <c r="N1266" s="99"/>
      <c r="O1266" s="99"/>
      <c r="P1266" s="99"/>
      <c r="Q1266" s="99"/>
      <c r="R1266" s="99"/>
    </row>
    <row r="1267" spans="2:18" ht="15" customHeight="1">
      <c r="B1267" s="99"/>
      <c r="C1267" s="99"/>
      <c r="D1267" s="99"/>
      <c r="E1267" s="99"/>
      <c r="F1267" s="99"/>
      <c r="G1267" s="99"/>
      <c r="H1267" s="99"/>
      <c r="I1267" s="99"/>
      <c r="J1267" s="99"/>
      <c r="K1267" s="99"/>
      <c r="L1267" s="99"/>
      <c r="M1267" s="99"/>
      <c r="N1267" s="99"/>
      <c r="O1267" s="99"/>
      <c r="P1267" s="99"/>
      <c r="Q1267" s="99"/>
      <c r="R1267" s="99"/>
    </row>
    <row r="1268" spans="2:18" ht="15" customHeight="1">
      <c r="B1268" s="99"/>
      <c r="C1268" s="99"/>
      <c r="D1268" s="99"/>
      <c r="E1268" s="99"/>
      <c r="F1268" s="99"/>
      <c r="G1268" s="99"/>
      <c r="H1268" s="99"/>
      <c r="I1268" s="99"/>
      <c r="J1268" s="99"/>
      <c r="K1268" s="99"/>
      <c r="L1268" s="99"/>
      <c r="M1268" s="99"/>
      <c r="N1268" s="99"/>
      <c r="O1268" s="99"/>
      <c r="P1268" s="99"/>
      <c r="Q1268" s="99"/>
      <c r="R1268" s="99"/>
    </row>
    <row r="1269" spans="2:18" ht="15" customHeight="1">
      <c r="B1269" s="99"/>
      <c r="C1269" s="99"/>
      <c r="D1269" s="99"/>
      <c r="E1269" s="99"/>
      <c r="F1269" s="99"/>
      <c r="G1269" s="99"/>
      <c r="H1269" s="99"/>
      <c r="I1269" s="99"/>
      <c r="J1269" s="99"/>
      <c r="K1269" s="99"/>
      <c r="L1269" s="99"/>
      <c r="M1269" s="99"/>
      <c r="N1269" s="99"/>
      <c r="O1269" s="99"/>
      <c r="P1269" s="99"/>
      <c r="Q1269" s="99"/>
      <c r="R1269" s="99"/>
    </row>
    <row r="1270" spans="2:18" ht="15" customHeight="1">
      <c r="B1270" s="99"/>
      <c r="C1270" s="99"/>
      <c r="D1270" s="99"/>
      <c r="E1270" s="99"/>
      <c r="F1270" s="99"/>
      <c r="G1270" s="99"/>
      <c r="H1270" s="99"/>
      <c r="I1270" s="99"/>
      <c r="J1270" s="99"/>
      <c r="K1270" s="99"/>
      <c r="L1270" s="99"/>
      <c r="M1270" s="99"/>
      <c r="N1270" s="99"/>
      <c r="O1270" s="99"/>
      <c r="P1270" s="99"/>
      <c r="Q1270" s="99"/>
      <c r="R1270" s="99"/>
    </row>
    <row r="1271" spans="2:18" ht="15" customHeight="1">
      <c r="B1271" s="99"/>
      <c r="C1271" s="99"/>
      <c r="D1271" s="99"/>
      <c r="E1271" s="99"/>
      <c r="F1271" s="99"/>
      <c r="G1271" s="99"/>
      <c r="H1271" s="99"/>
      <c r="I1271" s="99"/>
      <c r="J1271" s="99"/>
      <c r="K1271" s="99"/>
      <c r="L1271" s="99"/>
      <c r="M1271" s="99"/>
      <c r="N1271" s="99"/>
      <c r="O1271" s="99"/>
      <c r="P1271" s="99"/>
      <c r="Q1271" s="99"/>
      <c r="R1271" s="99"/>
    </row>
    <row r="1272" spans="2:18" ht="15" customHeight="1">
      <c r="B1272" s="99"/>
      <c r="C1272" s="99"/>
      <c r="D1272" s="99"/>
      <c r="E1272" s="99"/>
      <c r="F1272" s="99"/>
      <c r="G1272" s="99"/>
      <c r="H1272" s="99"/>
      <c r="I1272" s="99"/>
      <c r="J1272" s="99"/>
      <c r="K1272" s="99"/>
      <c r="L1272" s="99"/>
      <c r="M1272" s="99"/>
      <c r="N1272" s="99"/>
      <c r="O1272" s="99"/>
      <c r="P1272" s="99"/>
      <c r="Q1272" s="99"/>
      <c r="R1272" s="99"/>
    </row>
    <row r="1273" spans="2:18" ht="15" customHeight="1">
      <c r="B1273" s="99"/>
      <c r="C1273" s="99"/>
      <c r="D1273" s="99"/>
      <c r="E1273" s="99"/>
      <c r="F1273" s="99"/>
      <c r="G1273" s="99"/>
      <c r="H1273" s="99"/>
      <c r="I1273" s="99"/>
      <c r="J1273" s="99"/>
      <c r="K1273" s="99"/>
      <c r="L1273" s="99"/>
      <c r="M1273" s="99"/>
      <c r="N1273" s="99"/>
      <c r="O1273" s="99"/>
      <c r="P1273" s="99"/>
      <c r="Q1273" s="99"/>
      <c r="R1273" s="99"/>
    </row>
    <row r="1274" spans="2:18" ht="15" customHeight="1">
      <c r="B1274" s="99"/>
      <c r="C1274" s="99"/>
      <c r="D1274" s="99"/>
      <c r="E1274" s="99"/>
      <c r="F1274" s="99"/>
      <c r="G1274" s="99"/>
      <c r="H1274" s="99"/>
      <c r="I1274" s="99"/>
      <c r="J1274" s="99"/>
      <c r="K1274" s="99"/>
      <c r="L1274" s="99"/>
      <c r="M1274" s="99"/>
      <c r="N1274" s="99"/>
      <c r="O1274" s="99"/>
      <c r="P1274" s="99"/>
      <c r="Q1274" s="99"/>
      <c r="R1274" s="99"/>
    </row>
    <row r="1275" spans="2:18" ht="15" customHeight="1">
      <c r="B1275" s="99"/>
      <c r="C1275" s="99"/>
      <c r="D1275" s="99"/>
      <c r="E1275" s="99"/>
      <c r="F1275" s="99"/>
      <c r="G1275" s="99"/>
      <c r="H1275" s="99"/>
      <c r="I1275" s="99"/>
      <c r="J1275" s="99"/>
      <c r="K1275" s="99"/>
      <c r="L1275" s="99"/>
      <c r="M1275" s="99"/>
      <c r="N1275" s="99"/>
      <c r="O1275" s="99"/>
      <c r="P1275" s="99"/>
      <c r="Q1275" s="99"/>
      <c r="R1275" s="99"/>
    </row>
    <row r="1276" spans="2:18" ht="15" customHeight="1">
      <c r="B1276" s="99"/>
      <c r="C1276" s="99"/>
      <c r="D1276" s="99"/>
      <c r="E1276" s="99"/>
      <c r="F1276" s="99"/>
      <c r="G1276" s="99"/>
      <c r="H1276" s="99"/>
      <c r="I1276" s="99"/>
      <c r="J1276" s="99"/>
      <c r="K1276" s="99"/>
      <c r="L1276" s="99"/>
      <c r="M1276" s="99"/>
      <c r="N1276" s="99"/>
      <c r="O1276" s="99"/>
      <c r="P1276" s="99"/>
      <c r="Q1276" s="99"/>
      <c r="R1276" s="99"/>
    </row>
    <row r="1277" spans="2:18" ht="15" customHeight="1">
      <c r="B1277" s="99"/>
      <c r="C1277" s="99"/>
      <c r="D1277" s="99"/>
      <c r="E1277" s="99"/>
      <c r="F1277" s="99"/>
      <c r="G1277" s="99"/>
      <c r="H1277" s="99"/>
      <c r="I1277" s="99"/>
      <c r="J1277" s="99"/>
      <c r="K1277" s="99"/>
      <c r="L1277" s="99"/>
      <c r="M1277" s="99"/>
      <c r="N1277" s="99"/>
      <c r="O1277" s="99"/>
      <c r="P1277" s="99"/>
      <c r="Q1277" s="99"/>
      <c r="R1277" s="99"/>
    </row>
    <row r="1278" spans="2:18" ht="15" customHeight="1">
      <c r="B1278" s="99"/>
      <c r="C1278" s="99"/>
      <c r="D1278" s="99"/>
      <c r="E1278" s="99"/>
      <c r="F1278" s="99"/>
      <c r="G1278" s="99"/>
      <c r="H1278" s="99"/>
      <c r="I1278" s="99"/>
      <c r="J1278" s="99"/>
      <c r="K1278" s="99"/>
      <c r="L1278" s="99"/>
      <c r="M1278" s="99"/>
      <c r="N1278" s="99"/>
      <c r="O1278" s="99"/>
      <c r="P1278" s="99"/>
      <c r="Q1278" s="99"/>
      <c r="R1278" s="99"/>
    </row>
    <row r="1279" spans="2:18" ht="15" customHeight="1">
      <c r="B1279" s="99"/>
      <c r="C1279" s="99"/>
      <c r="D1279" s="99"/>
      <c r="E1279" s="99"/>
      <c r="F1279" s="99"/>
      <c r="G1279" s="99"/>
      <c r="H1279" s="99"/>
      <c r="I1279" s="99"/>
      <c r="J1279" s="99"/>
      <c r="K1279" s="99"/>
      <c r="L1279" s="99"/>
      <c r="M1279" s="99"/>
      <c r="N1279" s="99"/>
      <c r="O1279" s="99"/>
      <c r="P1279" s="99"/>
      <c r="Q1279" s="99"/>
      <c r="R1279" s="99"/>
    </row>
    <row r="1280" spans="2:18" ht="15" customHeight="1">
      <c r="B1280" s="99"/>
      <c r="C1280" s="99"/>
      <c r="D1280" s="99"/>
      <c r="E1280" s="99"/>
      <c r="F1280" s="99"/>
      <c r="G1280" s="99"/>
      <c r="H1280" s="99"/>
      <c r="I1280" s="99"/>
      <c r="J1280" s="99"/>
      <c r="K1280" s="99"/>
      <c r="L1280" s="99"/>
      <c r="M1280" s="99"/>
      <c r="N1280" s="99"/>
      <c r="O1280" s="99"/>
      <c r="P1280" s="99"/>
      <c r="Q1280" s="99"/>
      <c r="R1280" s="99"/>
    </row>
    <row r="1281" spans="2:18" ht="15" customHeight="1">
      <c r="B1281" s="99"/>
      <c r="C1281" s="99"/>
      <c r="D1281" s="99"/>
      <c r="E1281" s="99"/>
      <c r="F1281" s="99"/>
      <c r="G1281" s="99"/>
      <c r="H1281" s="99"/>
      <c r="I1281" s="99"/>
      <c r="J1281" s="99"/>
      <c r="K1281" s="99"/>
      <c r="L1281" s="99"/>
      <c r="M1281" s="99"/>
      <c r="N1281" s="99"/>
      <c r="O1281" s="99"/>
      <c r="P1281" s="99"/>
      <c r="Q1281" s="99"/>
      <c r="R1281" s="99"/>
    </row>
    <row r="1282" spans="2:18" ht="15" customHeight="1">
      <c r="B1282" s="99"/>
      <c r="C1282" s="99"/>
      <c r="D1282" s="99"/>
      <c r="E1282" s="99"/>
      <c r="F1282" s="99"/>
      <c r="G1282" s="99"/>
      <c r="H1282" s="99"/>
      <c r="I1282" s="99"/>
      <c r="J1282" s="99"/>
      <c r="K1282" s="99"/>
      <c r="L1282" s="99"/>
      <c r="M1282" s="99"/>
      <c r="N1282" s="99"/>
      <c r="O1282" s="99"/>
      <c r="P1282" s="99"/>
      <c r="Q1282" s="99"/>
      <c r="R1282" s="99"/>
    </row>
    <row r="1283" spans="2:18" ht="15" customHeight="1">
      <c r="B1283" s="99"/>
      <c r="C1283" s="99"/>
      <c r="D1283" s="99"/>
      <c r="E1283" s="99"/>
      <c r="F1283" s="99"/>
      <c r="G1283" s="99"/>
      <c r="H1283" s="99"/>
      <c r="I1283" s="99"/>
      <c r="J1283" s="99"/>
      <c r="K1283" s="99"/>
      <c r="L1283" s="99"/>
      <c r="M1283" s="99"/>
      <c r="N1283" s="99"/>
      <c r="O1283" s="99"/>
      <c r="P1283" s="99"/>
      <c r="Q1283" s="99"/>
      <c r="R1283" s="99"/>
    </row>
    <row r="1284" spans="2:18" ht="15" customHeight="1">
      <c r="B1284" s="99"/>
      <c r="C1284" s="99"/>
      <c r="D1284" s="99"/>
      <c r="E1284" s="99"/>
      <c r="F1284" s="99"/>
      <c r="G1284" s="99"/>
      <c r="H1284" s="99"/>
      <c r="I1284" s="99"/>
      <c r="J1284" s="99"/>
      <c r="K1284" s="99"/>
      <c r="L1284" s="99"/>
      <c r="M1284" s="99"/>
      <c r="N1284" s="99"/>
      <c r="O1284" s="99"/>
      <c r="P1284" s="99"/>
      <c r="Q1284" s="99"/>
      <c r="R1284" s="99"/>
    </row>
    <row r="1285" spans="2:18" ht="15" customHeight="1">
      <c r="B1285" s="99"/>
      <c r="C1285" s="99"/>
      <c r="D1285" s="99"/>
      <c r="E1285" s="99"/>
      <c r="F1285" s="99"/>
      <c r="G1285" s="99"/>
      <c r="H1285" s="99"/>
      <c r="I1285" s="99"/>
      <c r="J1285" s="99"/>
      <c r="K1285" s="99"/>
      <c r="L1285" s="99"/>
      <c r="M1285" s="99"/>
      <c r="N1285" s="99"/>
      <c r="O1285" s="99"/>
      <c r="P1285" s="99"/>
      <c r="Q1285" s="99"/>
      <c r="R1285" s="99"/>
    </row>
    <row r="1286" spans="2:18" ht="15" customHeight="1">
      <c r="B1286" s="99"/>
      <c r="C1286" s="99"/>
      <c r="D1286" s="99"/>
      <c r="E1286" s="99"/>
      <c r="F1286" s="99"/>
      <c r="G1286" s="99"/>
      <c r="H1286" s="99"/>
      <c r="I1286" s="99"/>
      <c r="J1286" s="99"/>
      <c r="K1286" s="99"/>
      <c r="L1286" s="99"/>
      <c r="M1286" s="99"/>
      <c r="N1286" s="99"/>
      <c r="O1286" s="99"/>
      <c r="P1286" s="99"/>
      <c r="Q1286" s="99"/>
      <c r="R1286" s="99"/>
    </row>
    <row r="1287" spans="2:18" ht="15" customHeight="1">
      <c r="B1287" s="99"/>
      <c r="C1287" s="99"/>
      <c r="D1287" s="99"/>
      <c r="E1287" s="99"/>
      <c r="F1287" s="99"/>
      <c r="G1287" s="99"/>
      <c r="H1287" s="99"/>
      <c r="I1287" s="99"/>
      <c r="J1287" s="99"/>
      <c r="K1287" s="99"/>
      <c r="L1287" s="99"/>
      <c r="M1287" s="99"/>
      <c r="N1287" s="99"/>
      <c r="O1287" s="99"/>
      <c r="P1287" s="99"/>
      <c r="Q1287" s="99"/>
      <c r="R1287" s="99"/>
    </row>
    <row r="1288" spans="2:18" ht="15" customHeight="1">
      <c r="B1288" s="99"/>
      <c r="C1288" s="99"/>
      <c r="D1288" s="99"/>
      <c r="E1288" s="99"/>
      <c r="F1288" s="99"/>
      <c r="G1288" s="99"/>
      <c r="H1288" s="99"/>
      <c r="I1288" s="99"/>
      <c r="J1288" s="99"/>
      <c r="K1288" s="99"/>
      <c r="L1288" s="99"/>
      <c r="M1288" s="99"/>
      <c r="N1288" s="99"/>
      <c r="O1288" s="99"/>
      <c r="P1288" s="99"/>
      <c r="Q1288" s="99"/>
      <c r="R1288" s="99"/>
    </row>
    <row r="1289" spans="2:18" ht="15" customHeight="1">
      <c r="B1289" s="99"/>
      <c r="C1289" s="99"/>
      <c r="D1289" s="99"/>
      <c r="E1289" s="99"/>
      <c r="F1289" s="99"/>
      <c r="G1289" s="99"/>
      <c r="H1289" s="99"/>
      <c r="I1289" s="99"/>
      <c r="J1289" s="99"/>
      <c r="K1289" s="99"/>
      <c r="L1289" s="99"/>
      <c r="M1289" s="99"/>
      <c r="N1289" s="99"/>
      <c r="O1289" s="99"/>
      <c r="P1289" s="99"/>
      <c r="Q1289" s="99"/>
      <c r="R1289" s="99"/>
    </row>
    <row r="1290" spans="2:18" ht="15" customHeight="1">
      <c r="B1290" s="99"/>
      <c r="C1290" s="99"/>
      <c r="D1290" s="99"/>
      <c r="E1290" s="99"/>
      <c r="F1290" s="99"/>
      <c r="G1290" s="99"/>
      <c r="H1290" s="99"/>
      <c r="I1290" s="99"/>
      <c r="J1290" s="99"/>
      <c r="K1290" s="99"/>
      <c r="L1290" s="99"/>
      <c r="M1290" s="99"/>
      <c r="N1290" s="99"/>
      <c r="O1290" s="99"/>
      <c r="P1290" s="99"/>
      <c r="Q1290" s="99"/>
      <c r="R1290" s="99"/>
    </row>
    <row r="1291" spans="2:18" ht="15" customHeight="1">
      <c r="B1291" s="99"/>
      <c r="C1291" s="99"/>
      <c r="D1291" s="99"/>
      <c r="E1291" s="99"/>
      <c r="F1291" s="99"/>
      <c r="G1291" s="99"/>
      <c r="H1291" s="99"/>
      <c r="I1291" s="99"/>
      <c r="J1291" s="99"/>
      <c r="K1291" s="99"/>
      <c r="L1291" s="99"/>
      <c r="M1291" s="99"/>
      <c r="N1291" s="99"/>
      <c r="O1291" s="99"/>
      <c r="P1291" s="99"/>
      <c r="Q1291" s="99"/>
      <c r="R1291" s="99"/>
    </row>
    <row r="1292" spans="2:18" ht="15" customHeight="1">
      <c r="B1292" s="99"/>
      <c r="C1292" s="99"/>
      <c r="D1292" s="99"/>
      <c r="E1292" s="99"/>
      <c r="F1292" s="99"/>
      <c r="G1292" s="99"/>
      <c r="H1292" s="99"/>
      <c r="I1292" s="99"/>
      <c r="J1292" s="99"/>
      <c r="K1292" s="99"/>
      <c r="L1292" s="99"/>
      <c r="M1292" s="99"/>
      <c r="N1292" s="99"/>
      <c r="O1292" s="99"/>
      <c r="P1292" s="99"/>
      <c r="Q1292" s="99"/>
      <c r="R1292" s="99"/>
    </row>
    <row r="1293" spans="2:18" ht="15" customHeight="1">
      <c r="B1293" s="99"/>
      <c r="C1293" s="99"/>
      <c r="D1293" s="99"/>
      <c r="E1293" s="99"/>
      <c r="F1293" s="99"/>
      <c r="G1293" s="99"/>
      <c r="H1293" s="99"/>
      <c r="I1293" s="99"/>
      <c r="J1293" s="99"/>
      <c r="K1293" s="99"/>
      <c r="L1293" s="99"/>
      <c r="M1293" s="99"/>
      <c r="N1293" s="99"/>
      <c r="O1293" s="99"/>
      <c r="P1293" s="99"/>
      <c r="Q1293" s="99"/>
      <c r="R1293" s="99"/>
    </row>
    <row r="1294" spans="2:18" ht="15" customHeight="1">
      <c r="B1294" s="99"/>
      <c r="C1294" s="99"/>
      <c r="D1294" s="99"/>
      <c r="E1294" s="99"/>
      <c r="F1294" s="99"/>
      <c r="G1294" s="99"/>
      <c r="H1294" s="99"/>
      <c r="I1294" s="99"/>
      <c r="J1294" s="99"/>
      <c r="K1294" s="99"/>
      <c r="L1294" s="99"/>
      <c r="M1294" s="99"/>
      <c r="N1294" s="99"/>
      <c r="O1294" s="99"/>
      <c r="P1294" s="99"/>
      <c r="Q1294" s="99"/>
      <c r="R1294" s="99"/>
    </row>
    <row r="1295" spans="2:18" ht="15" customHeight="1">
      <c r="B1295" s="99"/>
      <c r="C1295" s="99"/>
      <c r="D1295" s="99"/>
      <c r="E1295" s="99"/>
      <c r="F1295" s="99"/>
      <c r="G1295" s="99"/>
      <c r="H1295" s="99"/>
      <c r="I1295" s="99"/>
      <c r="J1295" s="99"/>
      <c r="K1295" s="99"/>
      <c r="L1295" s="99"/>
      <c r="M1295" s="99"/>
      <c r="N1295" s="99"/>
      <c r="O1295" s="99"/>
      <c r="P1295" s="99"/>
      <c r="Q1295" s="99"/>
      <c r="R1295" s="99"/>
    </row>
    <row r="1296" spans="2:18" ht="15" customHeight="1">
      <c r="B1296" s="99"/>
      <c r="C1296" s="99"/>
      <c r="D1296" s="99"/>
      <c r="E1296" s="99"/>
      <c r="F1296" s="99"/>
      <c r="G1296" s="99"/>
      <c r="H1296" s="99"/>
      <c r="I1296" s="99"/>
      <c r="J1296" s="99"/>
      <c r="K1296" s="99"/>
      <c r="L1296" s="99"/>
      <c r="M1296" s="99"/>
      <c r="N1296" s="99"/>
      <c r="O1296" s="99"/>
      <c r="P1296" s="99"/>
      <c r="Q1296" s="99"/>
      <c r="R1296" s="99"/>
    </row>
    <row r="1297" spans="2:18" ht="15" customHeight="1">
      <c r="B1297" s="99"/>
      <c r="C1297" s="99"/>
      <c r="D1297" s="99"/>
      <c r="E1297" s="99"/>
      <c r="F1297" s="99"/>
      <c r="G1297" s="99"/>
      <c r="H1297" s="99"/>
      <c r="I1297" s="99"/>
      <c r="J1297" s="99"/>
      <c r="K1297" s="99"/>
      <c r="L1297" s="99"/>
      <c r="M1297" s="99"/>
      <c r="N1297" s="99"/>
      <c r="O1297" s="99"/>
      <c r="P1297" s="99"/>
      <c r="Q1297" s="99"/>
      <c r="R1297" s="99"/>
    </row>
    <row r="1298" spans="2:18" ht="15" customHeight="1">
      <c r="B1298" s="99"/>
      <c r="C1298" s="99"/>
      <c r="D1298" s="99"/>
      <c r="E1298" s="99"/>
      <c r="F1298" s="99"/>
      <c r="G1298" s="99"/>
      <c r="H1298" s="99"/>
      <c r="I1298" s="99"/>
      <c r="J1298" s="99"/>
      <c r="K1298" s="99"/>
      <c r="L1298" s="99"/>
      <c r="M1298" s="99"/>
      <c r="N1298" s="99"/>
      <c r="O1298" s="99"/>
      <c r="P1298" s="99"/>
      <c r="Q1298" s="99"/>
      <c r="R1298" s="99"/>
    </row>
    <row r="1299" spans="2:18" ht="15" customHeight="1">
      <c r="B1299" s="99"/>
      <c r="C1299" s="99"/>
      <c r="D1299" s="99"/>
      <c r="E1299" s="99"/>
      <c r="F1299" s="99"/>
      <c r="G1299" s="99"/>
      <c r="H1299" s="99"/>
      <c r="I1299" s="99"/>
      <c r="J1299" s="99"/>
      <c r="K1299" s="99"/>
      <c r="L1299" s="99"/>
      <c r="M1299" s="99"/>
      <c r="N1299" s="99"/>
      <c r="O1299" s="99"/>
      <c r="P1299" s="99"/>
      <c r="Q1299" s="99"/>
      <c r="R1299" s="99"/>
    </row>
    <row r="1300" spans="2:18" ht="15" customHeight="1">
      <c r="B1300" s="99"/>
      <c r="C1300" s="99"/>
      <c r="D1300" s="99"/>
      <c r="E1300" s="99"/>
      <c r="F1300" s="99"/>
      <c r="G1300" s="99"/>
      <c r="H1300" s="99"/>
      <c r="I1300" s="99"/>
      <c r="J1300" s="99"/>
      <c r="K1300" s="99"/>
      <c r="L1300" s="99"/>
      <c r="M1300" s="99"/>
      <c r="N1300" s="99"/>
      <c r="O1300" s="99"/>
      <c r="P1300" s="99"/>
      <c r="Q1300" s="99"/>
      <c r="R1300" s="99"/>
    </row>
    <row r="1301" spans="2:18" ht="15" customHeight="1">
      <c r="B1301" s="99"/>
      <c r="C1301" s="99"/>
      <c r="D1301" s="99"/>
      <c r="E1301" s="99"/>
      <c r="F1301" s="99"/>
      <c r="G1301" s="99"/>
      <c r="H1301" s="99"/>
      <c r="I1301" s="99"/>
      <c r="J1301" s="99"/>
      <c r="K1301" s="99"/>
      <c r="L1301" s="99"/>
      <c r="M1301" s="99"/>
      <c r="N1301" s="99"/>
      <c r="O1301" s="99"/>
      <c r="P1301" s="99"/>
      <c r="Q1301" s="99"/>
      <c r="R1301" s="99"/>
    </row>
    <row r="1302" spans="2:18" ht="15" customHeight="1">
      <c r="B1302" s="99"/>
      <c r="C1302" s="99"/>
      <c r="D1302" s="99"/>
      <c r="E1302" s="99"/>
      <c r="F1302" s="99"/>
      <c r="G1302" s="99"/>
      <c r="H1302" s="99"/>
      <c r="I1302" s="99"/>
      <c r="J1302" s="99"/>
      <c r="K1302" s="99"/>
      <c r="L1302" s="99"/>
      <c r="M1302" s="99"/>
      <c r="N1302" s="99"/>
      <c r="O1302" s="99"/>
      <c r="P1302" s="99"/>
      <c r="Q1302" s="99"/>
      <c r="R1302" s="99"/>
    </row>
    <row r="1303" spans="2:18" ht="15" customHeight="1">
      <c r="B1303" s="99"/>
      <c r="C1303" s="99"/>
      <c r="D1303" s="99"/>
      <c r="E1303" s="99"/>
      <c r="F1303" s="99"/>
      <c r="G1303" s="99"/>
      <c r="H1303" s="99"/>
      <c r="I1303" s="99"/>
      <c r="J1303" s="99"/>
      <c r="K1303" s="99"/>
      <c r="L1303" s="99"/>
      <c r="M1303" s="99"/>
      <c r="N1303" s="99"/>
      <c r="O1303" s="99"/>
      <c r="P1303" s="99"/>
      <c r="Q1303" s="99"/>
      <c r="R1303" s="99"/>
    </row>
    <row r="1304" spans="2:18" ht="15" customHeight="1">
      <c r="B1304" s="99"/>
      <c r="C1304" s="99"/>
      <c r="D1304" s="99"/>
      <c r="E1304" s="99"/>
      <c r="F1304" s="99"/>
      <c r="G1304" s="99"/>
      <c r="H1304" s="99"/>
      <c r="I1304" s="99"/>
      <c r="J1304" s="99"/>
      <c r="K1304" s="99"/>
      <c r="L1304" s="99"/>
      <c r="M1304" s="99"/>
      <c r="N1304" s="99"/>
      <c r="O1304" s="99"/>
      <c r="P1304" s="99"/>
      <c r="Q1304" s="99"/>
      <c r="R1304" s="99"/>
    </row>
    <row r="1305" spans="2:18" ht="15" customHeight="1">
      <c r="B1305" s="99"/>
      <c r="C1305" s="99"/>
      <c r="D1305" s="99"/>
      <c r="E1305" s="99"/>
      <c r="F1305" s="99"/>
      <c r="G1305" s="99"/>
      <c r="H1305" s="99"/>
      <c r="I1305" s="99"/>
      <c r="J1305" s="99"/>
      <c r="K1305" s="99"/>
      <c r="L1305" s="99"/>
      <c r="M1305" s="99"/>
      <c r="N1305" s="99"/>
      <c r="O1305" s="99"/>
      <c r="P1305" s="99"/>
      <c r="Q1305" s="99"/>
      <c r="R1305" s="99"/>
    </row>
    <row r="1306" spans="2:18" ht="15" customHeight="1">
      <c r="B1306" s="99"/>
      <c r="C1306" s="99"/>
      <c r="D1306" s="99"/>
      <c r="E1306" s="99"/>
      <c r="F1306" s="99"/>
      <c r="G1306" s="99"/>
      <c r="H1306" s="99"/>
      <c r="I1306" s="99"/>
      <c r="J1306" s="99"/>
      <c r="K1306" s="99"/>
      <c r="L1306" s="99"/>
      <c r="M1306" s="99"/>
      <c r="N1306" s="99"/>
      <c r="O1306" s="99"/>
      <c r="P1306" s="99"/>
      <c r="Q1306" s="99"/>
      <c r="R1306" s="99"/>
    </row>
    <row r="1307" spans="2:18" ht="15" customHeight="1">
      <c r="B1307" s="99"/>
      <c r="C1307" s="99"/>
      <c r="D1307" s="99"/>
      <c r="E1307" s="99"/>
      <c r="F1307" s="99"/>
      <c r="G1307" s="99"/>
      <c r="H1307" s="99"/>
      <c r="I1307" s="99"/>
      <c r="J1307" s="99"/>
      <c r="K1307" s="99"/>
      <c r="L1307" s="99"/>
      <c r="M1307" s="99"/>
      <c r="N1307" s="99"/>
      <c r="O1307" s="99"/>
      <c r="P1307" s="99"/>
      <c r="Q1307" s="99"/>
      <c r="R1307" s="99"/>
    </row>
    <row r="1308" spans="2:18" ht="15" customHeight="1">
      <c r="B1308" s="99"/>
      <c r="C1308" s="99"/>
      <c r="D1308" s="99"/>
      <c r="E1308" s="99"/>
      <c r="F1308" s="99"/>
      <c r="G1308" s="99"/>
      <c r="H1308" s="99"/>
      <c r="I1308" s="99"/>
      <c r="J1308" s="99"/>
      <c r="K1308" s="99"/>
      <c r="L1308" s="99"/>
      <c r="M1308" s="99"/>
      <c r="N1308" s="99"/>
      <c r="O1308" s="99"/>
      <c r="P1308" s="99"/>
      <c r="Q1308" s="99"/>
      <c r="R1308" s="99"/>
    </row>
    <row r="1309" spans="2:18" ht="15" customHeight="1">
      <c r="B1309" s="99"/>
      <c r="C1309" s="99"/>
      <c r="D1309" s="99"/>
      <c r="E1309" s="99"/>
      <c r="F1309" s="99"/>
      <c r="G1309" s="99"/>
      <c r="H1309" s="99"/>
      <c r="I1309" s="99"/>
      <c r="J1309" s="99"/>
      <c r="K1309" s="99"/>
      <c r="L1309" s="99"/>
      <c r="M1309" s="99"/>
      <c r="N1309" s="99"/>
      <c r="O1309" s="99"/>
      <c r="P1309" s="99"/>
      <c r="Q1309" s="99"/>
      <c r="R1309" s="99"/>
    </row>
    <row r="1310" spans="2:18" ht="15" customHeight="1">
      <c r="B1310" s="99"/>
      <c r="C1310" s="99"/>
      <c r="D1310" s="99"/>
      <c r="E1310" s="99"/>
      <c r="F1310" s="99"/>
      <c r="G1310" s="99"/>
      <c r="H1310" s="99"/>
      <c r="I1310" s="99"/>
      <c r="J1310" s="99"/>
      <c r="K1310" s="99"/>
      <c r="L1310" s="99"/>
      <c r="M1310" s="99"/>
      <c r="N1310" s="99"/>
      <c r="O1310" s="99"/>
      <c r="P1310" s="99"/>
      <c r="Q1310" s="99"/>
      <c r="R1310" s="99"/>
    </row>
    <row r="1311" spans="2:18" ht="15" customHeight="1">
      <c r="B1311" s="99"/>
      <c r="C1311" s="99"/>
      <c r="D1311" s="99"/>
      <c r="E1311" s="99"/>
      <c r="F1311" s="99"/>
      <c r="G1311" s="99"/>
      <c r="H1311" s="99"/>
      <c r="I1311" s="99"/>
      <c r="J1311" s="99"/>
      <c r="K1311" s="99"/>
      <c r="L1311" s="99"/>
      <c r="M1311" s="99"/>
      <c r="N1311" s="99"/>
      <c r="O1311" s="99"/>
      <c r="P1311" s="99"/>
      <c r="Q1311" s="99"/>
      <c r="R1311" s="99"/>
    </row>
    <row r="1312" spans="2:18" ht="15" customHeight="1">
      <c r="B1312" s="99"/>
      <c r="C1312" s="99"/>
      <c r="D1312" s="99"/>
      <c r="E1312" s="99"/>
      <c r="F1312" s="99"/>
      <c r="G1312" s="99"/>
      <c r="H1312" s="99"/>
      <c r="I1312" s="99"/>
      <c r="J1312" s="99"/>
      <c r="K1312" s="99"/>
      <c r="L1312" s="99"/>
      <c r="M1312" s="99"/>
      <c r="N1312" s="99"/>
      <c r="O1312" s="99"/>
      <c r="P1312" s="99"/>
      <c r="Q1312" s="99"/>
      <c r="R1312" s="99"/>
    </row>
    <row r="1313" spans="2:18" ht="15" customHeight="1">
      <c r="B1313" s="99"/>
      <c r="C1313" s="99"/>
      <c r="D1313" s="99"/>
      <c r="E1313" s="99"/>
      <c r="F1313" s="99"/>
      <c r="G1313" s="99"/>
      <c r="H1313" s="99"/>
      <c r="I1313" s="99"/>
      <c r="J1313" s="99"/>
      <c r="K1313" s="99"/>
      <c r="L1313" s="99"/>
      <c r="M1313" s="99"/>
      <c r="N1313" s="99"/>
      <c r="O1313" s="99"/>
      <c r="P1313" s="99"/>
      <c r="Q1313" s="99"/>
      <c r="R1313" s="99"/>
    </row>
    <row r="1314" spans="2:18" ht="15" customHeight="1">
      <c r="B1314" s="99"/>
      <c r="C1314" s="99"/>
      <c r="D1314" s="99"/>
      <c r="E1314" s="99"/>
      <c r="F1314" s="99"/>
      <c r="G1314" s="99"/>
      <c r="H1314" s="99"/>
      <c r="I1314" s="99"/>
      <c r="J1314" s="99"/>
      <c r="K1314" s="99"/>
      <c r="L1314" s="99"/>
      <c r="M1314" s="99"/>
      <c r="N1314" s="99"/>
      <c r="O1314" s="99"/>
      <c r="P1314" s="99"/>
      <c r="Q1314" s="99"/>
      <c r="R1314" s="99"/>
    </row>
    <row r="1315" spans="2:18" ht="15" customHeight="1">
      <c r="B1315" s="99"/>
      <c r="C1315" s="99"/>
      <c r="D1315" s="99"/>
      <c r="E1315" s="99"/>
      <c r="F1315" s="99"/>
      <c r="G1315" s="99"/>
      <c r="H1315" s="99"/>
      <c r="I1315" s="99"/>
      <c r="J1315" s="99"/>
      <c r="K1315" s="99"/>
      <c r="L1315" s="99"/>
      <c r="M1315" s="99"/>
      <c r="N1315" s="99"/>
      <c r="O1315" s="99"/>
      <c r="P1315" s="99"/>
      <c r="Q1315" s="99"/>
      <c r="R1315" s="99"/>
    </row>
    <row r="1316" spans="2:18" ht="15" customHeight="1">
      <c r="B1316" s="99"/>
      <c r="C1316" s="99"/>
      <c r="D1316" s="99"/>
      <c r="E1316" s="99"/>
      <c r="F1316" s="99"/>
      <c r="G1316" s="99"/>
      <c r="H1316" s="99"/>
      <c r="I1316" s="99"/>
      <c r="J1316" s="99"/>
      <c r="K1316" s="99"/>
      <c r="L1316" s="99"/>
      <c r="M1316" s="99"/>
      <c r="N1316" s="99"/>
      <c r="O1316" s="99"/>
      <c r="P1316" s="99"/>
      <c r="Q1316" s="99"/>
      <c r="R1316" s="99"/>
    </row>
    <row r="1317" spans="2:18" ht="15" customHeight="1">
      <c r="B1317" s="99"/>
      <c r="C1317" s="99"/>
      <c r="D1317" s="99"/>
      <c r="E1317" s="99"/>
      <c r="F1317" s="99"/>
      <c r="G1317" s="99"/>
      <c r="H1317" s="99"/>
      <c r="I1317" s="99"/>
      <c r="J1317" s="99"/>
      <c r="K1317" s="99"/>
      <c r="L1317" s="99"/>
      <c r="M1317" s="99"/>
      <c r="N1317" s="99"/>
      <c r="O1317" s="99"/>
      <c r="P1317" s="99"/>
      <c r="Q1317" s="99"/>
      <c r="R1317" s="99"/>
    </row>
    <row r="1318" spans="2:18" ht="15" customHeight="1">
      <c r="B1318" s="99"/>
      <c r="C1318" s="99"/>
      <c r="D1318" s="99"/>
      <c r="E1318" s="99"/>
      <c r="F1318" s="99"/>
      <c r="G1318" s="99"/>
      <c r="H1318" s="99"/>
      <c r="I1318" s="99"/>
      <c r="J1318" s="99"/>
      <c r="K1318" s="99"/>
      <c r="L1318" s="99"/>
      <c r="M1318" s="99"/>
      <c r="N1318" s="99"/>
      <c r="O1318" s="99"/>
      <c r="P1318" s="99"/>
      <c r="Q1318" s="99"/>
      <c r="R1318" s="99"/>
    </row>
    <row r="1319" spans="2:18" ht="15" customHeight="1">
      <c r="B1319" s="99"/>
      <c r="C1319" s="99"/>
      <c r="D1319" s="99"/>
      <c r="E1319" s="99"/>
      <c r="F1319" s="99"/>
      <c r="G1319" s="99"/>
      <c r="H1319" s="99"/>
      <c r="I1319" s="99"/>
      <c r="J1319" s="99"/>
      <c r="K1319" s="99"/>
      <c r="L1319" s="99"/>
      <c r="M1319" s="99"/>
      <c r="N1319" s="99"/>
      <c r="O1319" s="99"/>
      <c r="P1319" s="99"/>
      <c r="Q1319" s="99"/>
      <c r="R1319" s="99"/>
    </row>
    <row r="1320" spans="2:18" ht="15" customHeight="1">
      <c r="B1320" s="99"/>
      <c r="C1320" s="99"/>
      <c r="D1320" s="99"/>
      <c r="E1320" s="99"/>
      <c r="F1320" s="99"/>
      <c r="G1320" s="99"/>
      <c r="H1320" s="99"/>
      <c r="I1320" s="99"/>
      <c r="J1320" s="99"/>
      <c r="K1320" s="99"/>
      <c r="L1320" s="99"/>
      <c r="M1320" s="99"/>
      <c r="N1320" s="99"/>
      <c r="O1320" s="99"/>
      <c r="P1320" s="99"/>
      <c r="Q1320" s="99"/>
      <c r="R1320" s="99"/>
    </row>
    <row r="1321" spans="2:18" ht="15" customHeight="1">
      <c r="B1321" s="99"/>
      <c r="C1321" s="99"/>
      <c r="D1321" s="99"/>
      <c r="E1321" s="99"/>
      <c r="F1321" s="99"/>
      <c r="G1321" s="99"/>
      <c r="H1321" s="99"/>
      <c r="I1321" s="99"/>
      <c r="J1321" s="99"/>
      <c r="K1321" s="99"/>
      <c r="L1321" s="99"/>
      <c r="M1321" s="99"/>
      <c r="N1321" s="99"/>
      <c r="O1321" s="99"/>
      <c r="P1321" s="99"/>
      <c r="Q1321" s="99"/>
      <c r="R1321" s="99"/>
    </row>
    <row r="1322" spans="2:18" ht="15" customHeight="1">
      <c r="B1322" s="99"/>
      <c r="C1322" s="99"/>
      <c r="D1322" s="99"/>
      <c r="E1322" s="99"/>
      <c r="F1322" s="99"/>
      <c r="G1322" s="99"/>
      <c r="H1322" s="99"/>
      <c r="I1322" s="99"/>
      <c r="J1322" s="99"/>
      <c r="K1322" s="99"/>
      <c r="L1322" s="99"/>
      <c r="M1322" s="99"/>
      <c r="N1322" s="99"/>
      <c r="O1322" s="99"/>
      <c r="P1322" s="99"/>
      <c r="Q1322" s="99"/>
      <c r="R1322" s="99"/>
    </row>
    <row r="1323" spans="2:18" ht="15" customHeight="1">
      <c r="B1323" s="99"/>
      <c r="C1323" s="99"/>
      <c r="D1323" s="99"/>
      <c r="E1323" s="99"/>
      <c r="F1323" s="99"/>
      <c r="G1323" s="99"/>
      <c r="H1323" s="99"/>
      <c r="I1323" s="99"/>
      <c r="J1323" s="99"/>
      <c r="K1323" s="99"/>
      <c r="L1323" s="99"/>
      <c r="M1323" s="99"/>
      <c r="N1323" s="99"/>
      <c r="O1323" s="99"/>
      <c r="P1323" s="99"/>
      <c r="Q1323" s="99"/>
      <c r="R1323" s="99"/>
    </row>
    <row r="1324" spans="2:18" ht="15" customHeight="1">
      <c r="B1324" s="99"/>
      <c r="C1324" s="99"/>
      <c r="D1324" s="99"/>
      <c r="E1324" s="99"/>
      <c r="F1324" s="99"/>
      <c r="G1324" s="99"/>
      <c r="H1324" s="99"/>
      <c r="I1324" s="99"/>
      <c r="J1324" s="99"/>
      <c r="K1324" s="99"/>
      <c r="L1324" s="99"/>
      <c r="M1324" s="99"/>
      <c r="N1324" s="99"/>
      <c r="O1324" s="99"/>
      <c r="P1324" s="99"/>
      <c r="Q1324" s="99"/>
      <c r="R1324" s="99"/>
    </row>
    <row r="1325" spans="2:18" ht="15" customHeight="1">
      <c r="B1325" s="99"/>
      <c r="C1325" s="99"/>
      <c r="D1325" s="99"/>
      <c r="E1325" s="99"/>
      <c r="F1325" s="99"/>
      <c r="G1325" s="99"/>
      <c r="H1325" s="99"/>
      <c r="I1325" s="99"/>
      <c r="J1325" s="99"/>
      <c r="K1325" s="99"/>
      <c r="L1325" s="99"/>
      <c r="M1325" s="99"/>
      <c r="N1325" s="99"/>
      <c r="O1325" s="99"/>
      <c r="P1325" s="99"/>
      <c r="Q1325" s="99"/>
      <c r="R1325" s="99"/>
    </row>
    <row r="1326" spans="2:18" ht="15" customHeight="1">
      <c r="B1326" s="99"/>
      <c r="C1326" s="99"/>
      <c r="D1326" s="99"/>
      <c r="E1326" s="99"/>
      <c r="F1326" s="99"/>
      <c r="G1326" s="99"/>
      <c r="H1326" s="99"/>
      <c r="I1326" s="99"/>
      <c r="J1326" s="99"/>
      <c r="K1326" s="99"/>
      <c r="L1326" s="99"/>
      <c r="M1326" s="99"/>
      <c r="N1326" s="99"/>
      <c r="O1326" s="99"/>
      <c r="P1326" s="99"/>
      <c r="Q1326" s="99"/>
      <c r="R1326" s="99"/>
    </row>
    <row r="1327" spans="2:18" ht="15" customHeight="1">
      <c r="B1327" s="99"/>
      <c r="C1327" s="99"/>
      <c r="D1327" s="99"/>
      <c r="E1327" s="99"/>
      <c r="F1327" s="99"/>
      <c r="G1327" s="99"/>
      <c r="H1327" s="99"/>
      <c r="I1327" s="99"/>
      <c r="J1327" s="99"/>
      <c r="K1327" s="99"/>
      <c r="L1327" s="99"/>
      <c r="M1327" s="99"/>
      <c r="N1327" s="99"/>
      <c r="O1327" s="99"/>
      <c r="P1327" s="99"/>
      <c r="Q1327" s="99"/>
      <c r="R1327" s="99"/>
    </row>
    <row r="1328" spans="2:18" ht="15" customHeight="1">
      <c r="B1328" s="99"/>
      <c r="C1328" s="99"/>
      <c r="D1328" s="99"/>
      <c r="E1328" s="99"/>
      <c r="F1328" s="99"/>
      <c r="G1328" s="99"/>
      <c r="H1328" s="99"/>
      <c r="I1328" s="99"/>
      <c r="J1328" s="99"/>
      <c r="K1328" s="99"/>
      <c r="L1328" s="99"/>
      <c r="M1328" s="99"/>
      <c r="N1328" s="99"/>
      <c r="O1328" s="99"/>
      <c r="P1328" s="99"/>
      <c r="Q1328" s="99"/>
      <c r="R1328" s="99"/>
    </row>
    <row r="1329" spans="2:18" ht="15" customHeight="1">
      <c r="B1329" s="99"/>
      <c r="C1329" s="99"/>
      <c r="D1329" s="99"/>
      <c r="E1329" s="99"/>
      <c r="F1329" s="99"/>
      <c r="G1329" s="99"/>
      <c r="H1329" s="99"/>
      <c r="I1329" s="99"/>
      <c r="J1329" s="99"/>
      <c r="K1329" s="99"/>
      <c r="L1329" s="99"/>
      <c r="M1329" s="99"/>
      <c r="N1329" s="99"/>
      <c r="O1329" s="99"/>
      <c r="P1329" s="99"/>
      <c r="Q1329" s="99"/>
      <c r="R1329" s="99"/>
    </row>
    <row r="1330" spans="2:18" ht="15" customHeight="1">
      <c r="B1330" s="99"/>
      <c r="C1330" s="99"/>
      <c r="D1330" s="99"/>
      <c r="E1330" s="99"/>
      <c r="F1330" s="99"/>
      <c r="G1330" s="99"/>
      <c r="H1330" s="99"/>
      <c r="I1330" s="99"/>
      <c r="J1330" s="99"/>
      <c r="K1330" s="99"/>
      <c r="L1330" s="99"/>
      <c r="M1330" s="99"/>
      <c r="N1330" s="99"/>
      <c r="O1330" s="99"/>
      <c r="P1330" s="99"/>
      <c r="Q1330" s="99"/>
      <c r="R1330" s="99"/>
    </row>
    <row r="1331" spans="2:18" ht="15" customHeight="1">
      <c r="B1331" s="99"/>
      <c r="C1331" s="99"/>
      <c r="D1331" s="99"/>
      <c r="E1331" s="99"/>
      <c r="F1331" s="99"/>
      <c r="G1331" s="99"/>
      <c r="H1331" s="99"/>
      <c r="I1331" s="99"/>
      <c r="J1331" s="99"/>
      <c r="K1331" s="99"/>
      <c r="L1331" s="99"/>
      <c r="M1331" s="99"/>
      <c r="N1331" s="99"/>
      <c r="O1331" s="99"/>
      <c r="P1331" s="99"/>
      <c r="Q1331" s="99"/>
      <c r="R1331" s="99"/>
    </row>
    <row r="1332" spans="2:18" ht="15" customHeight="1">
      <c r="B1332" s="99"/>
      <c r="C1332" s="99"/>
      <c r="D1332" s="99"/>
      <c r="E1332" s="99"/>
      <c r="F1332" s="99"/>
      <c r="G1332" s="99"/>
      <c r="H1332" s="99"/>
      <c r="I1332" s="99"/>
      <c r="J1332" s="99"/>
      <c r="K1332" s="99"/>
      <c r="L1332" s="99"/>
      <c r="M1332" s="99"/>
      <c r="N1332" s="99"/>
      <c r="O1332" s="99"/>
      <c r="P1332" s="99"/>
      <c r="Q1332" s="99"/>
      <c r="R1332" s="99"/>
    </row>
    <row r="1333" spans="2:18" ht="15" customHeight="1">
      <c r="B1333" s="99"/>
      <c r="C1333" s="99"/>
      <c r="D1333" s="99"/>
      <c r="E1333" s="99"/>
      <c r="F1333" s="99"/>
      <c r="G1333" s="99"/>
      <c r="H1333" s="99"/>
      <c r="I1333" s="99"/>
      <c r="J1333" s="99"/>
      <c r="K1333" s="99"/>
      <c r="L1333" s="99"/>
      <c r="M1333" s="99"/>
      <c r="N1333" s="99"/>
      <c r="O1333" s="99"/>
      <c r="P1333" s="99"/>
      <c r="Q1333" s="99"/>
      <c r="R1333" s="99"/>
    </row>
    <row r="1334" spans="2:18" ht="15" customHeight="1">
      <c r="B1334" s="99"/>
      <c r="C1334" s="99"/>
      <c r="D1334" s="99"/>
      <c r="E1334" s="99"/>
      <c r="F1334" s="99"/>
      <c r="G1334" s="99"/>
      <c r="H1334" s="99"/>
      <c r="I1334" s="99"/>
      <c r="J1334" s="99"/>
      <c r="K1334" s="99"/>
      <c r="L1334" s="99"/>
      <c r="M1334" s="99"/>
      <c r="N1334" s="99"/>
      <c r="O1334" s="99"/>
      <c r="P1334" s="99"/>
      <c r="Q1334" s="99"/>
      <c r="R1334" s="99"/>
    </row>
    <row r="1335" spans="2:18" ht="15" customHeight="1">
      <c r="B1335" s="99"/>
      <c r="C1335" s="99"/>
      <c r="D1335" s="99"/>
      <c r="E1335" s="99"/>
      <c r="F1335" s="99"/>
      <c r="G1335" s="99"/>
      <c r="H1335" s="99"/>
      <c r="I1335" s="99"/>
      <c r="J1335" s="99"/>
      <c r="K1335" s="99"/>
      <c r="L1335" s="99"/>
      <c r="M1335" s="99"/>
      <c r="N1335" s="99"/>
      <c r="O1335" s="99"/>
      <c r="P1335" s="99"/>
      <c r="Q1335" s="99"/>
      <c r="R1335" s="99"/>
    </row>
    <row r="1336" spans="2:18" ht="15" customHeight="1">
      <c r="B1336" s="99"/>
      <c r="C1336" s="99"/>
      <c r="D1336" s="99"/>
      <c r="E1336" s="99"/>
      <c r="F1336" s="99"/>
      <c r="G1336" s="99"/>
      <c r="H1336" s="99"/>
      <c r="I1336" s="99"/>
      <c r="J1336" s="99"/>
      <c r="K1336" s="99"/>
      <c r="L1336" s="99"/>
      <c r="M1336" s="99"/>
      <c r="N1336" s="99"/>
      <c r="O1336" s="99"/>
      <c r="P1336" s="99"/>
      <c r="Q1336" s="99"/>
      <c r="R1336" s="99"/>
    </row>
    <row r="1337" spans="2:18" ht="15" customHeight="1">
      <c r="B1337" s="99"/>
      <c r="C1337" s="99"/>
      <c r="D1337" s="99"/>
      <c r="E1337" s="99"/>
      <c r="F1337" s="99"/>
      <c r="G1337" s="99"/>
      <c r="H1337" s="99"/>
      <c r="I1337" s="99"/>
      <c r="J1337" s="99"/>
      <c r="K1337" s="99"/>
      <c r="L1337" s="99"/>
      <c r="M1337" s="99"/>
      <c r="N1337" s="99"/>
      <c r="O1337" s="99"/>
      <c r="P1337" s="99"/>
      <c r="Q1337" s="99"/>
      <c r="R1337" s="99"/>
    </row>
    <row r="1338" spans="2:18" ht="15" customHeight="1">
      <c r="B1338" s="99"/>
      <c r="C1338" s="99"/>
      <c r="D1338" s="99"/>
      <c r="E1338" s="99"/>
      <c r="F1338" s="99"/>
      <c r="G1338" s="99"/>
      <c r="H1338" s="99"/>
      <c r="I1338" s="99"/>
      <c r="J1338" s="99"/>
      <c r="K1338" s="99"/>
      <c r="L1338" s="99"/>
      <c r="M1338" s="99"/>
      <c r="N1338" s="99"/>
      <c r="O1338" s="99"/>
      <c r="P1338" s="99"/>
      <c r="Q1338" s="99"/>
      <c r="R1338" s="99"/>
    </row>
    <row r="1339" spans="2:18" ht="15" customHeight="1">
      <c r="B1339" s="99"/>
      <c r="C1339" s="99"/>
      <c r="D1339" s="99"/>
      <c r="E1339" s="99"/>
      <c r="F1339" s="99"/>
      <c r="G1339" s="99"/>
      <c r="H1339" s="99"/>
      <c r="I1339" s="99"/>
      <c r="J1339" s="99"/>
      <c r="K1339" s="99"/>
      <c r="L1339" s="99"/>
      <c r="M1339" s="99"/>
      <c r="N1339" s="99"/>
      <c r="O1339" s="99"/>
      <c r="P1339" s="99"/>
      <c r="Q1339" s="99"/>
      <c r="R1339" s="99"/>
    </row>
    <row r="1340" spans="2:18" ht="15" customHeight="1">
      <c r="B1340" s="99"/>
      <c r="C1340" s="99"/>
      <c r="D1340" s="99"/>
      <c r="E1340" s="99"/>
      <c r="F1340" s="99"/>
      <c r="G1340" s="99"/>
      <c r="H1340" s="99"/>
      <c r="I1340" s="99"/>
      <c r="J1340" s="99"/>
      <c r="K1340" s="99"/>
      <c r="L1340" s="99"/>
      <c r="M1340" s="99"/>
      <c r="N1340" s="99"/>
      <c r="O1340" s="99"/>
      <c r="P1340" s="99"/>
      <c r="Q1340" s="99"/>
      <c r="R1340" s="99"/>
    </row>
    <row r="1341" spans="2:18" ht="15" customHeight="1">
      <c r="B1341" s="99"/>
      <c r="C1341" s="99"/>
      <c r="D1341" s="99"/>
      <c r="E1341" s="99"/>
      <c r="F1341" s="99"/>
      <c r="G1341" s="99"/>
      <c r="H1341" s="99"/>
      <c r="I1341" s="99"/>
      <c r="J1341" s="99"/>
      <c r="K1341" s="99"/>
      <c r="L1341" s="99"/>
      <c r="M1341" s="99"/>
      <c r="N1341" s="99"/>
      <c r="O1341" s="99"/>
      <c r="P1341" s="99"/>
      <c r="Q1341" s="99"/>
      <c r="R1341" s="99"/>
    </row>
    <row r="1342" spans="2:18" ht="15" customHeight="1">
      <c r="B1342" s="99"/>
      <c r="C1342" s="99"/>
      <c r="D1342" s="99"/>
      <c r="E1342" s="99"/>
      <c r="F1342" s="99"/>
      <c r="G1342" s="99"/>
      <c r="H1342" s="99"/>
      <c r="I1342" s="99"/>
      <c r="J1342" s="99"/>
      <c r="K1342" s="99"/>
      <c r="L1342" s="99"/>
      <c r="M1342" s="99"/>
      <c r="N1342" s="99"/>
      <c r="O1342" s="99"/>
      <c r="P1342" s="99"/>
      <c r="Q1342" s="99"/>
      <c r="R1342" s="99"/>
    </row>
    <row r="1343" spans="2:18" ht="15" customHeight="1">
      <c r="B1343" s="99"/>
      <c r="C1343" s="99"/>
      <c r="D1343" s="99"/>
      <c r="E1343" s="99"/>
      <c r="F1343" s="99"/>
      <c r="G1343" s="99"/>
      <c r="H1343" s="99"/>
      <c r="I1343" s="99"/>
      <c r="J1343" s="99"/>
      <c r="K1343" s="99"/>
      <c r="L1343" s="99"/>
      <c r="M1343" s="99"/>
      <c r="N1343" s="99"/>
      <c r="O1343" s="99"/>
      <c r="P1343" s="99"/>
      <c r="Q1343" s="99"/>
      <c r="R1343" s="99"/>
    </row>
    <row r="1344" spans="2:18" ht="15" customHeight="1">
      <c r="B1344" s="99"/>
      <c r="C1344" s="99"/>
      <c r="D1344" s="99"/>
      <c r="E1344" s="99"/>
      <c r="F1344" s="99"/>
      <c r="G1344" s="99"/>
      <c r="H1344" s="99"/>
      <c r="I1344" s="99"/>
      <c r="J1344" s="99"/>
      <c r="K1344" s="99"/>
      <c r="L1344" s="99"/>
      <c r="M1344" s="99"/>
      <c r="N1344" s="99"/>
      <c r="O1344" s="99"/>
      <c r="P1344" s="99"/>
      <c r="Q1344" s="99"/>
      <c r="R1344" s="99"/>
    </row>
    <row r="1345" spans="2:18" ht="15" customHeight="1">
      <c r="B1345" s="99"/>
      <c r="C1345" s="99"/>
      <c r="D1345" s="99"/>
      <c r="E1345" s="99"/>
      <c r="F1345" s="99"/>
      <c r="G1345" s="99"/>
      <c r="H1345" s="99"/>
      <c r="I1345" s="99"/>
      <c r="J1345" s="99"/>
      <c r="K1345" s="99"/>
      <c r="L1345" s="99"/>
      <c r="M1345" s="99"/>
      <c r="N1345" s="99"/>
      <c r="O1345" s="99"/>
      <c r="P1345" s="99"/>
      <c r="Q1345" s="99"/>
      <c r="R1345" s="99"/>
    </row>
    <row r="1346" spans="2:18" ht="15" customHeight="1">
      <c r="B1346" s="99"/>
      <c r="C1346" s="99"/>
      <c r="D1346" s="99"/>
      <c r="E1346" s="99"/>
      <c r="F1346" s="99"/>
      <c r="G1346" s="99"/>
      <c r="H1346" s="99"/>
      <c r="I1346" s="99"/>
      <c r="J1346" s="99"/>
      <c r="K1346" s="99"/>
      <c r="L1346" s="99"/>
      <c r="M1346" s="99"/>
      <c r="N1346" s="99"/>
      <c r="O1346" s="99"/>
      <c r="P1346" s="99"/>
      <c r="Q1346" s="99"/>
      <c r="R1346" s="99"/>
    </row>
    <row r="1347" spans="2:18" ht="15" customHeight="1">
      <c r="B1347" s="99"/>
      <c r="C1347" s="99"/>
      <c r="D1347" s="99"/>
      <c r="E1347" s="99"/>
      <c r="F1347" s="99"/>
      <c r="G1347" s="99"/>
      <c r="H1347" s="99"/>
      <c r="I1347" s="99"/>
      <c r="J1347" s="99"/>
      <c r="K1347" s="99"/>
      <c r="L1347" s="99"/>
      <c r="M1347" s="99"/>
      <c r="N1347" s="99"/>
      <c r="O1347" s="99"/>
      <c r="P1347" s="99"/>
      <c r="Q1347" s="99"/>
      <c r="R1347" s="99"/>
    </row>
    <row r="1348" spans="2:18" ht="15" customHeight="1">
      <c r="B1348" s="99"/>
      <c r="C1348" s="99"/>
      <c r="D1348" s="99"/>
      <c r="E1348" s="99"/>
      <c r="F1348" s="99"/>
      <c r="G1348" s="99"/>
      <c r="H1348" s="99"/>
      <c r="I1348" s="99"/>
      <c r="J1348" s="99"/>
      <c r="K1348" s="99"/>
      <c r="L1348" s="99"/>
      <c r="M1348" s="99"/>
      <c r="N1348" s="99"/>
      <c r="O1348" s="99"/>
      <c r="P1348" s="99"/>
      <c r="Q1348" s="99"/>
      <c r="R1348" s="99"/>
    </row>
    <row r="1349" spans="2:18" ht="15" customHeight="1">
      <c r="B1349" s="99"/>
      <c r="C1349" s="99"/>
      <c r="D1349" s="99"/>
      <c r="E1349" s="99"/>
      <c r="F1349" s="99"/>
      <c r="G1349" s="99"/>
      <c r="H1349" s="99"/>
      <c r="I1349" s="99"/>
      <c r="J1349" s="99"/>
      <c r="K1349" s="99"/>
      <c r="L1349" s="99"/>
      <c r="M1349" s="99"/>
      <c r="N1349" s="99"/>
      <c r="O1349" s="99"/>
      <c r="P1349" s="99"/>
      <c r="Q1349" s="99"/>
      <c r="R1349" s="99"/>
    </row>
    <row r="1350" spans="2:18" ht="15" customHeight="1">
      <c r="B1350" s="99"/>
      <c r="C1350" s="99"/>
      <c r="D1350" s="99"/>
      <c r="E1350" s="99"/>
      <c r="F1350" s="99"/>
      <c r="G1350" s="99"/>
      <c r="H1350" s="99"/>
      <c r="I1350" s="99"/>
      <c r="J1350" s="99"/>
      <c r="K1350" s="99"/>
      <c r="L1350" s="99"/>
      <c r="M1350" s="99"/>
      <c r="N1350" s="99"/>
      <c r="O1350" s="99"/>
      <c r="P1350" s="99"/>
      <c r="Q1350" s="99"/>
      <c r="R1350" s="99"/>
    </row>
    <row r="1351" spans="2:18" ht="15" customHeight="1">
      <c r="B1351" s="99"/>
      <c r="C1351" s="99"/>
      <c r="D1351" s="99"/>
      <c r="E1351" s="99"/>
      <c r="F1351" s="99"/>
      <c r="G1351" s="99"/>
      <c r="H1351" s="99"/>
      <c r="I1351" s="99"/>
      <c r="J1351" s="99"/>
      <c r="K1351" s="99"/>
      <c r="L1351" s="99"/>
      <c r="M1351" s="99"/>
      <c r="N1351" s="99"/>
      <c r="O1351" s="99"/>
      <c r="P1351" s="99"/>
      <c r="Q1351" s="99"/>
      <c r="R1351" s="99"/>
    </row>
    <row r="1352" spans="2:18" ht="15" customHeight="1">
      <c r="B1352" s="99"/>
      <c r="C1352" s="99"/>
      <c r="D1352" s="99"/>
      <c r="E1352" s="99"/>
      <c r="F1352" s="99"/>
      <c r="G1352" s="99"/>
      <c r="H1352" s="99"/>
      <c r="I1352" s="99"/>
      <c r="J1352" s="99"/>
      <c r="K1352" s="99"/>
      <c r="L1352" s="99"/>
      <c r="M1352" s="99"/>
      <c r="N1352" s="99"/>
      <c r="O1352" s="99"/>
      <c r="P1352" s="99"/>
      <c r="Q1352" s="99"/>
      <c r="R1352" s="99"/>
    </row>
    <row r="1353" spans="2:18" ht="15" customHeight="1">
      <c r="B1353" s="99"/>
      <c r="C1353" s="99"/>
      <c r="D1353" s="99"/>
      <c r="E1353" s="99"/>
      <c r="F1353" s="99"/>
      <c r="G1353" s="99"/>
      <c r="H1353" s="99"/>
      <c r="I1353" s="99"/>
      <c r="J1353" s="99"/>
      <c r="K1353" s="99"/>
      <c r="L1353" s="99"/>
      <c r="M1353" s="99"/>
      <c r="N1353" s="99"/>
      <c r="O1353" s="99"/>
      <c r="P1353" s="99"/>
      <c r="Q1353" s="99"/>
      <c r="R1353" s="99"/>
    </row>
    <row r="1354" spans="2:18" ht="15" customHeight="1">
      <c r="B1354" s="99"/>
      <c r="C1354" s="99"/>
      <c r="D1354" s="99"/>
      <c r="E1354" s="99"/>
      <c r="F1354" s="99"/>
      <c r="G1354" s="99"/>
      <c r="H1354" s="99"/>
      <c r="I1354" s="99"/>
      <c r="J1354" s="99"/>
      <c r="K1354" s="99"/>
      <c r="L1354" s="99"/>
      <c r="M1354" s="99"/>
      <c r="N1354" s="99"/>
      <c r="O1354" s="99"/>
      <c r="P1354" s="99"/>
      <c r="Q1354" s="99"/>
      <c r="R1354" s="99"/>
    </row>
    <row r="1355" spans="2:18" ht="15" customHeight="1">
      <c r="B1355" s="99"/>
      <c r="C1355" s="99"/>
      <c r="D1355" s="99"/>
      <c r="E1355" s="99"/>
      <c r="F1355" s="99"/>
      <c r="G1355" s="99"/>
      <c r="H1355" s="99"/>
      <c r="I1355" s="99"/>
      <c r="J1355" s="99"/>
      <c r="K1355" s="99"/>
      <c r="L1355" s="99"/>
      <c r="M1355" s="99"/>
      <c r="N1355" s="99"/>
      <c r="O1355" s="99"/>
      <c r="P1355" s="99"/>
      <c r="Q1355" s="99"/>
      <c r="R1355" s="99"/>
    </row>
    <row r="1356" spans="2:18" ht="15" customHeight="1">
      <c r="B1356" s="99"/>
      <c r="C1356" s="99"/>
      <c r="D1356" s="99"/>
      <c r="E1356" s="99"/>
      <c r="F1356" s="99"/>
      <c r="G1356" s="99"/>
      <c r="H1356" s="99"/>
      <c r="I1356" s="99"/>
      <c r="J1356" s="99"/>
      <c r="K1356" s="99"/>
      <c r="L1356" s="99"/>
      <c r="M1356" s="99"/>
      <c r="N1356" s="99"/>
      <c r="O1356" s="99"/>
      <c r="P1356" s="99"/>
      <c r="Q1356" s="99"/>
      <c r="R1356" s="99"/>
    </row>
    <row r="1357" spans="2:18" ht="15" customHeight="1">
      <c r="B1357" s="99"/>
      <c r="C1357" s="99"/>
      <c r="D1357" s="99"/>
      <c r="E1357" s="99"/>
      <c r="F1357" s="99"/>
      <c r="G1357" s="99"/>
      <c r="H1357" s="99"/>
      <c r="I1357" s="99"/>
      <c r="J1357" s="99"/>
      <c r="K1357" s="99"/>
      <c r="L1357" s="99"/>
      <c r="M1357" s="99"/>
      <c r="N1357" s="99"/>
      <c r="O1357" s="99"/>
      <c r="P1357" s="99"/>
      <c r="Q1357" s="99"/>
      <c r="R1357" s="99"/>
    </row>
    <row r="1358" spans="2:18" ht="15" customHeight="1">
      <c r="B1358" s="99"/>
      <c r="C1358" s="99"/>
      <c r="D1358" s="99"/>
      <c r="E1358" s="99"/>
      <c r="F1358" s="99"/>
      <c r="G1358" s="99"/>
      <c r="H1358" s="99"/>
      <c r="I1358" s="99"/>
      <c r="J1358" s="99"/>
      <c r="K1358" s="99"/>
      <c r="L1358" s="99"/>
      <c r="M1358" s="99"/>
      <c r="N1358" s="99"/>
      <c r="O1358" s="99"/>
      <c r="P1358" s="99"/>
      <c r="Q1358" s="99"/>
      <c r="R1358" s="99"/>
    </row>
    <row r="1359" spans="2:18" ht="15" customHeight="1">
      <c r="B1359" s="99"/>
      <c r="C1359" s="99"/>
      <c r="D1359" s="99"/>
      <c r="E1359" s="99"/>
      <c r="F1359" s="99"/>
      <c r="G1359" s="99"/>
      <c r="H1359" s="99"/>
      <c r="I1359" s="99"/>
      <c r="J1359" s="99"/>
      <c r="K1359" s="99"/>
      <c r="L1359" s="99"/>
      <c r="M1359" s="99"/>
      <c r="N1359" s="99"/>
      <c r="O1359" s="99"/>
      <c r="P1359" s="99"/>
      <c r="Q1359" s="99"/>
      <c r="R1359" s="99"/>
    </row>
    <row r="1360" spans="2:18" ht="15" customHeight="1">
      <c r="B1360" s="99"/>
      <c r="C1360" s="99"/>
      <c r="D1360" s="99"/>
      <c r="E1360" s="99"/>
      <c r="F1360" s="99"/>
      <c r="G1360" s="99"/>
      <c r="H1360" s="99"/>
      <c r="I1360" s="99"/>
      <c r="J1360" s="99"/>
      <c r="K1360" s="99"/>
      <c r="L1360" s="99"/>
      <c r="M1360" s="99"/>
      <c r="N1360" s="99"/>
      <c r="O1360" s="99"/>
      <c r="P1360" s="99"/>
      <c r="Q1360" s="99"/>
      <c r="R1360" s="99"/>
    </row>
    <row r="1361" spans="2:18" ht="15" customHeight="1">
      <c r="B1361" s="99"/>
      <c r="C1361" s="99"/>
      <c r="D1361" s="99"/>
      <c r="E1361" s="99"/>
      <c r="F1361" s="99"/>
      <c r="G1361" s="99"/>
      <c r="H1361" s="99"/>
      <c r="I1361" s="99"/>
      <c r="J1361" s="99"/>
      <c r="K1361" s="99"/>
      <c r="L1361" s="99"/>
      <c r="M1361" s="99"/>
      <c r="N1361" s="99"/>
      <c r="O1361" s="99"/>
      <c r="P1361" s="99"/>
      <c r="Q1361" s="99"/>
      <c r="R1361" s="99"/>
    </row>
    <row r="1362" spans="2:18" ht="15" customHeight="1">
      <c r="B1362" s="99"/>
      <c r="C1362" s="99"/>
      <c r="D1362" s="99"/>
      <c r="E1362" s="99"/>
      <c r="F1362" s="99"/>
      <c r="G1362" s="99"/>
      <c r="H1362" s="99"/>
      <c r="I1362" s="99"/>
      <c r="J1362" s="99"/>
      <c r="K1362" s="99"/>
      <c r="L1362" s="99"/>
      <c r="M1362" s="99"/>
      <c r="N1362" s="99"/>
      <c r="O1362" s="99"/>
      <c r="P1362" s="99"/>
      <c r="Q1362" s="99"/>
      <c r="R1362" s="99"/>
    </row>
    <row r="1363" spans="2:18" ht="15" customHeight="1">
      <c r="B1363" s="99"/>
      <c r="C1363" s="99"/>
      <c r="D1363" s="99"/>
      <c r="E1363" s="99"/>
      <c r="F1363" s="99"/>
      <c r="G1363" s="99"/>
      <c r="H1363" s="99"/>
      <c r="I1363" s="99"/>
      <c r="J1363" s="99"/>
      <c r="K1363" s="99"/>
      <c r="L1363" s="99"/>
      <c r="M1363" s="99"/>
      <c r="N1363" s="99"/>
      <c r="O1363" s="99"/>
      <c r="P1363" s="99"/>
      <c r="Q1363" s="99"/>
      <c r="R1363" s="99"/>
    </row>
    <row r="1364" spans="2:18" ht="15" customHeight="1">
      <c r="B1364" s="99"/>
      <c r="C1364" s="99"/>
      <c r="D1364" s="99"/>
      <c r="E1364" s="99"/>
      <c r="F1364" s="99"/>
      <c r="G1364" s="99"/>
      <c r="H1364" s="99"/>
      <c r="I1364" s="99"/>
      <c r="J1364" s="99"/>
      <c r="K1364" s="99"/>
      <c r="L1364" s="99"/>
      <c r="M1364" s="99"/>
      <c r="N1364" s="99"/>
      <c r="O1364" s="99"/>
      <c r="P1364" s="99"/>
      <c r="Q1364" s="99"/>
      <c r="R1364" s="99"/>
    </row>
    <row r="1365" spans="2:18" ht="15" customHeight="1">
      <c r="B1365" s="99"/>
      <c r="C1365" s="99"/>
      <c r="D1365" s="99"/>
      <c r="E1365" s="99"/>
      <c r="F1365" s="99"/>
      <c r="G1365" s="99"/>
      <c r="H1365" s="99"/>
      <c r="I1365" s="99"/>
      <c r="J1365" s="99"/>
      <c r="K1365" s="99"/>
      <c r="L1365" s="99"/>
      <c r="M1365" s="99"/>
      <c r="N1365" s="99"/>
      <c r="O1365" s="99"/>
      <c r="P1365" s="99"/>
      <c r="Q1365" s="99"/>
      <c r="R1365" s="99"/>
    </row>
    <row r="1366" spans="2:18" ht="15" customHeight="1">
      <c r="B1366" s="99"/>
      <c r="C1366" s="99"/>
      <c r="D1366" s="99"/>
      <c r="E1366" s="99"/>
      <c r="F1366" s="99"/>
      <c r="G1366" s="99"/>
      <c r="H1366" s="99"/>
      <c r="I1366" s="99"/>
      <c r="J1366" s="99"/>
      <c r="K1366" s="99"/>
      <c r="L1366" s="99"/>
      <c r="M1366" s="99"/>
      <c r="N1366" s="99"/>
      <c r="O1366" s="99"/>
      <c r="P1366" s="99"/>
      <c r="Q1366" s="99"/>
      <c r="R1366" s="99"/>
    </row>
    <row r="1367" spans="2:18" ht="15" customHeight="1">
      <c r="B1367" s="99"/>
      <c r="C1367" s="99"/>
      <c r="D1367" s="99"/>
      <c r="E1367" s="99"/>
      <c r="F1367" s="99"/>
      <c r="G1367" s="99"/>
      <c r="H1367" s="99"/>
      <c r="I1367" s="99"/>
      <c r="J1367" s="99"/>
      <c r="K1367" s="99"/>
      <c r="L1367" s="99"/>
      <c r="M1367" s="99"/>
      <c r="N1367" s="99"/>
      <c r="O1367" s="99"/>
      <c r="P1367" s="99"/>
      <c r="Q1367" s="99"/>
      <c r="R1367" s="99"/>
    </row>
    <row r="1368" spans="2:18" ht="15" customHeight="1">
      <c r="B1368" s="99"/>
      <c r="C1368" s="99"/>
      <c r="D1368" s="99"/>
      <c r="E1368" s="99"/>
      <c r="F1368" s="99"/>
      <c r="G1368" s="99"/>
      <c r="H1368" s="99"/>
      <c r="I1368" s="99"/>
      <c r="J1368" s="99"/>
      <c r="K1368" s="99"/>
      <c r="L1368" s="99"/>
      <c r="M1368" s="99"/>
      <c r="N1368" s="99"/>
      <c r="O1368" s="99"/>
      <c r="P1368" s="99"/>
      <c r="Q1368" s="99"/>
      <c r="R1368" s="99"/>
    </row>
    <row r="1369" spans="2:18" ht="15" customHeight="1">
      <c r="B1369" s="99"/>
      <c r="C1369" s="99"/>
      <c r="D1369" s="99"/>
      <c r="E1369" s="99"/>
      <c r="F1369" s="99"/>
      <c r="G1369" s="99"/>
      <c r="H1369" s="99"/>
      <c r="I1369" s="99"/>
      <c r="J1369" s="99"/>
      <c r="K1369" s="99"/>
      <c r="L1369" s="99"/>
      <c r="M1369" s="99"/>
      <c r="N1369" s="99"/>
      <c r="O1369" s="99"/>
      <c r="P1369" s="99"/>
      <c r="Q1369" s="99"/>
      <c r="R1369" s="99"/>
    </row>
    <row r="1370" spans="2:18" ht="15" customHeight="1">
      <c r="B1370" s="99"/>
      <c r="C1370" s="99"/>
      <c r="D1370" s="99"/>
      <c r="E1370" s="99"/>
      <c r="F1370" s="99"/>
      <c r="G1370" s="99"/>
      <c r="H1370" s="99"/>
      <c r="I1370" s="99"/>
      <c r="J1370" s="99"/>
      <c r="K1370" s="99"/>
      <c r="L1370" s="99"/>
      <c r="M1370" s="99"/>
      <c r="N1370" s="99"/>
      <c r="O1370" s="99"/>
      <c r="P1370" s="99"/>
      <c r="Q1370" s="99"/>
      <c r="R1370" s="99"/>
    </row>
    <row r="1371" spans="2:18" ht="15" customHeight="1">
      <c r="B1371" s="99"/>
      <c r="C1371" s="99"/>
      <c r="D1371" s="99"/>
      <c r="E1371" s="99"/>
      <c r="F1371" s="99"/>
      <c r="G1371" s="99"/>
      <c r="H1371" s="99"/>
      <c r="I1371" s="99"/>
      <c r="J1371" s="99"/>
      <c r="K1371" s="99"/>
      <c r="L1371" s="99"/>
      <c r="M1371" s="99"/>
      <c r="N1371" s="99"/>
      <c r="O1371" s="99"/>
      <c r="P1371" s="99"/>
      <c r="Q1371" s="99"/>
      <c r="R1371" s="99"/>
    </row>
    <row r="1372" spans="2:18" ht="15" customHeight="1">
      <c r="B1372" s="99"/>
      <c r="C1372" s="99"/>
      <c r="D1372" s="99"/>
      <c r="E1372" s="99"/>
      <c r="F1372" s="99"/>
      <c r="G1372" s="99"/>
      <c r="H1372" s="99"/>
      <c r="I1372" s="99"/>
      <c r="J1372" s="99"/>
      <c r="K1372" s="99"/>
      <c r="L1372" s="99"/>
      <c r="M1372" s="99"/>
      <c r="N1372" s="99"/>
      <c r="O1372" s="99"/>
      <c r="P1372" s="99"/>
      <c r="Q1372" s="99"/>
      <c r="R1372" s="99"/>
    </row>
    <row r="1373" spans="2:18" ht="15" customHeight="1">
      <c r="B1373" s="99"/>
      <c r="C1373" s="99"/>
      <c r="D1373" s="99"/>
      <c r="E1373" s="99"/>
      <c r="F1373" s="99"/>
      <c r="G1373" s="99"/>
      <c r="H1373" s="99"/>
      <c r="I1373" s="99"/>
      <c r="J1373" s="99"/>
      <c r="K1373" s="99"/>
      <c r="L1373" s="99"/>
      <c r="M1373" s="99"/>
      <c r="N1373" s="99"/>
      <c r="O1373" s="99"/>
      <c r="P1373" s="99"/>
      <c r="Q1373" s="99"/>
      <c r="R1373" s="99"/>
    </row>
    <row r="1374" spans="2:18" ht="15" customHeight="1">
      <c r="B1374" s="99"/>
      <c r="C1374" s="99"/>
      <c r="D1374" s="99"/>
      <c r="E1374" s="99"/>
      <c r="F1374" s="99"/>
      <c r="G1374" s="99"/>
      <c r="H1374" s="99"/>
      <c r="I1374" s="99"/>
      <c r="J1374" s="99"/>
      <c r="K1374" s="99"/>
      <c r="L1374" s="99"/>
      <c r="M1374" s="99"/>
      <c r="N1374" s="99"/>
      <c r="O1374" s="99"/>
      <c r="P1374" s="99"/>
      <c r="Q1374" s="99"/>
      <c r="R1374" s="99"/>
    </row>
    <row r="1375" spans="2:18" ht="15" customHeight="1">
      <c r="B1375" s="99"/>
      <c r="C1375" s="99"/>
      <c r="D1375" s="99"/>
      <c r="E1375" s="99"/>
      <c r="F1375" s="99"/>
      <c r="G1375" s="99"/>
      <c r="H1375" s="99"/>
      <c r="I1375" s="99"/>
      <c r="J1375" s="99"/>
      <c r="K1375" s="99"/>
      <c r="L1375" s="99"/>
      <c r="M1375" s="99"/>
      <c r="N1375" s="99"/>
      <c r="O1375" s="99"/>
      <c r="P1375" s="99"/>
      <c r="Q1375" s="99"/>
      <c r="R1375" s="99"/>
    </row>
    <row r="1376" spans="2:18" ht="15" customHeight="1">
      <c r="B1376" s="99"/>
      <c r="C1376" s="99"/>
      <c r="D1376" s="99"/>
      <c r="E1376" s="99"/>
      <c r="F1376" s="99"/>
      <c r="G1376" s="99"/>
      <c r="H1376" s="99"/>
      <c r="I1376" s="99"/>
      <c r="J1376" s="99"/>
      <c r="K1376" s="99"/>
      <c r="L1376" s="99"/>
      <c r="M1376" s="99"/>
      <c r="N1376" s="99"/>
      <c r="O1376" s="99"/>
      <c r="P1376" s="99"/>
      <c r="Q1376" s="99"/>
      <c r="R1376" s="99"/>
    </row>
    <row r="1377" spans="2:18" ht="15" customHeight="1">
      <c r="B1377" s="99"/>
      <c r="C1377" s="99"/>
      <c r="D1377" s="99"/>
      <c r="E1377" s="99"/>
      <c r="F1377" s="99"/>
      <c r="G1377" s="99"/>
      <c r="H1377" s="99"/>
      <c r="I1377" s="99"/>
      <c r="J1377" s="99"/>
      <c r="K1377" s="99"/>
      <c r="L1377" s="99"/>
      <c r="M1377" s="99"/>
      <c r="N1377" s="99"/>
      <c r="O1377" s="99"/>
      <c r="P1377" s="99"/>
      <c r="Q1377" s="99"/>
      <c r="R1377" s="99"/>
    </row>
    <row r="1378" spans="2:18" ht="15" customHeight="1">
      <c r="B1378" s="99"/>
      <c r="C1378" s="99"/>
      <c r="D1378" s="99"/>
      <c r="E1378" s="99"/>
      <c r="F1378" s="99"/>
      <c r="G1378" s="99"/>
      <c r="H1378" s="99"/>
      <c r="I1378" s="99"/>
      <c r="J1378" s="99"/>
      <c r="K1378" s="99"/>
      <c r="L1378" s="99"/>
      <c r="M1378" s="99"/>
      <c r="N1378" s="99"/>
      <c r="O1378" s="99"/>
      <c r="P1378" s="99"/>
      <c r="Q1378" s="99"/>
      <c r="R1378" s="99"/>
    </row>
    <row r="1379" spans="2:18" ht="15" customHeight="1">
      <c r="B1379" s="99"/>
      <c r="C1379" s="99"/>
      <c r="D1379" s="99"/>
      <c r="E1379" s="99"/>
      <c r="F1379" s="99"/>
      <c r="G1379" s="99"/>
      <c r="H1379" s="99"/>
      <c r="I1379" s="99"/>
      <c r="J1379" s="99"/>
      <c r="K1379" s="99"/>
      <c r="L1379" s="99"/>
      <c r="M1379" s="99"/>
      <c r="N1379" s="99"/>
      <c r="O1379" s="99"/>
      <c r="P1379" s="99"/>
      <c r="Q1379" s="99"/>
      <c r="R1379" s="99"/>
    </row>
    <row r="1380" spans="2:18" ht="15" customHeight="1">
      <c r="B1380" s="99"/>
      <c r="C1380" s="99"/>
      <c r="D1380" s="99"/>
      <c r="E1380" s="99"/>
      <c r="F1380" s="99"/>
      <c r="G1380" s="99"/>
      <c r="H1380" s="99"/>
      <c r="I1380" s="99"/>
      <c r="J1380" s="99"/>
      <c r="K1380" s="99"/>
      <c r="L1380" s="99"/>
      <c r="M1380" s="99"/>
      <c r="N1380" s="99"/>
      <c r="O1380" s="99"/>
      <c r="P1380" s="99"/>
      <c r="Q1380" s="99"/>
      <c r="R1380" s="99"/>
    </row>
    <row r="1381" spans="2:18" ht="15" customHeight="1">
      <c r="B1381" s="99"/>
      <c r="C1381" s="99"/>
      <c r="D1381" s="99"/>
      <c r="E1381" s="99"/>
      <c r="F1381" s="99"/>
      <c r="G1381" s="99"/>
      <c r="H1381" s="99"/>
      <c r="I1381" s="99"/>
      <c r="J1381" s="99"/>
      <c r="K1381" s="99"/>
      <c r="L1381" s="99"/>
      <c r="M1381" s="99"/>
      <c r="N1381" s="99"/>
      <c r="O1381" s="99"/>
      <c r="P1381" s="99"/>
      <c r="Q1381" s="99"/>
      <c r="R1381" s="99"/>
    </row>
    <row r="1382" spans="2:18" ht="15" customHeight="1">
      <c r="B1382" s="99"/>
      <c r="C1382" s="99"/>
      <c r="D1382" s="99"/>
      <c r="E1382" s="99"/>
      <c r="F1382" s="99"/>
      <c r="G1382" s="99"/>
      <c r="H1382" s="99"/>
      <c r="I1382" s="99"/>
      <c r="J1382" s="99"/>
      <c r="K1382" s="99"/>
      <c r="L1382" s="99"/>
      <c r="M1382" s="99"/>
      <c r="N1382" s="99"/>
      <c r="O1382" s="99"/>
      <c r="P1382" s="99"/>
      <c r="Q1382" s="99"/>
      <c r="R1382" s="99"/>
    </row>
    <row r="1383" spans="2:18" ht="15" customHeight="1">
      <c r="B1383" s="99"/>
      <c r="C1383" s="99"/>
      <c r="D1383" s="99"/>
      <c r="E1383" s="99"/>
      <c r="F1383" s="99"/>
      <c r="G1383" s="99"/>
      <c r="H1383" s="99"/>
      <c r="I1383" s="99"/>
      <c r="J1383" s="99"/>
      <c r="K1383" s="99"/>
      <c r="L1383" s="99"/>
      <c r="M1383" s="99"/>
      <c r="N1383" s="99"/>
      <c r="O1383" s="99"/>
      <c r="P1383" s="99"/>
      <c r="Q1383" s="99"/>
      <c r="R1383" s="99"/>
    </row>
    <row r="1384" spans="2:18" ht="15" customHeight="1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</row>
    <row r="1385" spans="2:18" ht="15" customHeight="1">
      <c r="B1385" s="99"/>
      <c r="C1385" s="99"/>
      <c r="D1385" s="99"/>
      <c r="E1385" s="99"/>
      <c r="F1385" s="99"/>
      <c r="G1385" s="99"/>
      <c r="H1385" s="99"/>
      <c r="I1385" s="99"/>
      <c r="J1385" s="99"/>
      <c r="K1385" s="99"/>
      <c r="L1385" s="99"/>
      <c r="M1385" s="99"/>
      <c r="N1385" s="99"/>
      <c r="O1385" s="99"/>
      <c r="P1385" s="99"/>
      <c r="Q1385" s="99"/>
      <c r="R1385" s="99"/>
    </row>
    <row r="1386" spans="2:18" ht="15" customHeight="1">
      <c r="B1386" s="99"/>
      <c r="C1386" s="99"/>
      <c r="D1386" s="99"/>
      <c r="E1386" s="99"/>
      <c r="F1386" s="99"/>
      <c r="G1386" s="99"/>
      <c r="H1386" s="99"/>
      <c r="I1386" s="99"/>
      <c r="J1386" s="99"/>
      <c r="K1386" s="99"/>
      <c r="L1386" s="99"/>
      <c r="M1386" s="99"/>
      <c r="N1386" s="99"/>
      <c r="O1386" s="99"/>
      <c r="P1386" s="99"/>
      <c r="Q1386" s="99"/>
      <c r="R1386" s="99"/>
    </row>
    <row r="1387" spans="2:18" ht="15" customHeight="1">
      <c r="B1387" s="99"/>
      <c r="C1387" s="99"/>
      <c r="D1387" s="99"/>
      <c r="E1387" s="99"/>
      <c r="F1387" s="99"/>
      <c r="G1387" s="99"/>
      <c r="H1387" s="99"/>
      <c r="I1387" s="99"/>
      <c r="J1387" s="99"/>
      <c r="K1387" s="99"/>
      <c r="L1387" s="99"/>
      <c r="M1387" s="99"/>
      <c r="N1387" s="99"/>
      <c r="O1387" s="99"/>
      <c r="P1387" s="99"/>
      <c r="Q1387" s="99"/>
      <c r="R1387" s="99"/>
    </row>
    <row r="1388" spans="2:18" ht="15" customHeight="1">
      <c r="B1388" s="99"/>
      <c r="C1388" s="99"/>
      <c r="D1388" s="99"/>
      <c r="E1388" s="99"/>
      <c r="F1388" s="99"/>
      <c r="G1388" s="99"/>
      <c r="H1388" s="99"/>
      <c r="I1388" s="99"/>
      <c r="J1388" s="99"/>
      <c r="K1388" s="99"/>
      <c r="L1388" s="99"/>
      <c r="M1388" s="99"/>
      <c r="N1388" s="99"/>
      <c r="O1388" s="99"/>
      <c r="P1388" s="99"/>
      <c r="Q1388" s="99"/>
      <c r="R1388" s="99"/>
    </row>
    <row r="1389" spans="2:18" ht="15" customHeight="1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</row>
    <row r="1390" spans="2:18" ht="15" customHeight="1">
      <c r="B1390" s="99"/>
      <c r="C1390" s="99"/>
      <c r="D1390" s="99"/>
      <c r="E1390" s="99"/>
      <c r="F1390" s="99"/>
      <c r="G1390" s="99"/>
      <c r="H1390" s="99"/>
      <c r="I1390" s="99"/>
      <c r="J1390" s="99"/>
      <c r="K1390" s="99"/>
      <c r="L1390" s="99"/>
      <c r="M1390" s="99"/>
      <c r="N1390" s="99"/>
      <c r="O1390" s="99"/>
      <c r="P1390" s="99"/>
      <c r="Q1390" s="99"/>
      <c r="R1390" s="99"/>
    </row>
    <row r="1391" spans="2:18" ht="15" customHeight="1">
      <c r="B1391" s="99"/>
      <c r="C1391" s="99"/>
      <c r="D1391" s="99"/>
      <c r="E1391" s="99"/>
      <c r="F1391" s="99"/>
      <c r="G1391" s="99"/>
      <c r="H1391" s="99"/>
      <c r="I1391" s="99"/>
      <c r="J1391" s="99"/>
      <c r="K1391" s="99"/>
      <c r="L1391" s="99"/>
      <c r="M1391" s="99"/>
      <c r="N1391" s="99"/>
      <c r="O1391" s="99"/>
      <c r="P1391" s="99"/>
      <c r="Q1391" s="99"/>
      <c r="R1391" s="99"/>
    </row>
    <row r="1392" spans="2:18" ht="15" customHeight="1">
      <c r="B1392" s="99"/>
      <c r="C1392" s="99"/>
      <c r="D1392" s="99"/>
      <c r="E1392" s="99"/>
      <c r="F1392" s="99"/>
      <c r="G1392" s="99"/>
      <c r="H1392" s="99"/>
      <c r="I1392" s="99"/>
      <c r="J1392" s="99"/>
      <c r="K1392" s="99"/>
      <c r="L1392" s="99"/>
      <c r="M1392" s="99"/>
      <c r="N1392" s="99"/>
      <c r="O1392" s="99"/>
      <c r="P1392" s="99"/>
      <c r="Q1392" s="99"/>
      <c r="R1392" s="99"/>
    </row>
    <row r="1393" spans="2:18" ht="15" customHeight="1">
      <c r="B1393" s="99"/>
      <c r="C1393" s="99"/>
      <c r="D1393" s="99"/>
      <c r="E1393" s="99"/>
      <c r="F1393" s="99"/>
      <c r="G1393" s="99"/>
      <c r="H1393" s="99"/>
      <c r="I1393" s="99"/>
      <c r="J1393" s="99"/>
      <c r="K1393" s="99"/>
      <c r="L1393" s="99"/>
      <c r="M1393" s="99"/>
      <c r="N1393" s="99"/>
      <c r="O1393" s="99"/>
      <c r="P1393" s="99"/>
      <c r="Q1393" s="99"/>
      <c r="R1393" s="99"/>
    </row>
    <row r="1394" spans="2:18" ht="15" customHeight="1">
      <c r="B1394" s="99"/>
      <c r="C1394" s="99"/>
      <c r="D1394" s="99"/>
      <c r="E1394" s="99"/>
      <c r="F1394" s="99"/>
      <c r="G1394" s="99"/>
      <c r="H1394" s="99"/>
      <c r="I1394" s="99"/>
      <c r="J1394" s="99"/>
      <c r="K1394" s="99"/>
      <c r="L1394" s="99"/>
      <c r="M1394" s="99"/>
      <c r="N1394" s="99"/>
      <c r="O1394" s="99"/>
      <c r="P1394" s="99"/>
      <c r="Q1394" s="99"/>
      <c r="R1394" s="99"/>
    </row>
    <row r="1395" spans="2:18" ht="15" customHeight="1">
      <c r="B1395" s="99"/>
      <c r="C1395" s="99"/>
      <c r="D1395" s="99"/>
      <c r="E1395" s="99"/>
      <c r="F1395" s="99"/>
      <c r="G1395" s="99"/>
      <c r="H1395" s="99"/>
      <c r="I1395" s="99"/>
      <c r="J1395" s="99"/>
      <c r="K1395" s="99"/>
      <c r="L1395" s="99"/>
      <c r="M1395" s="99"/>
      <c r="N1395" s="99"/>
      <c r="O1395" s="99"/>
      <c r="P1395" s="99"/>
      <c r="Q1395" s="99"/>
      <c r="R1395" s="99"/>
    </row>
    <row r="1396" spans="2:18" ht="15" customHeight="1">
      <c r="B1396" s="99"/>
      <c r="C1396" s="99"/>
      <c r="D1396" s="99"/>
      <c r="E1396" s="99"/>
      <c r="F1396" s="99"/>
      <c r="G1396" s="99"/>
      <c r="H1396" s="99"/>
      <c r="I1396" s="99"/>
      <c r="J1396" s="99"/>
      <c r="K1396" s="99"/>
      <c r="L1396" s="99"/>
      <c r="M1396" s="99"/>
      <c r="N1396" s="99"/>
      <c r="O1396" s="99"/>
      <c r="P1396" s="99"/>
      <c r="Q1396" s="99"/>
      <c r="R1396" s="99"/>
    </row>
    <row r="1397" spans="2:18" ht="15" customHeight="1">
      <c r="B1397" s="99"/>
      <c r="C1397" s="99"/>
      <c r="D1397" s="99"/>
      <c r="E1397" s="99"/>
      <c r="F1397" s="99"/>
      <c r="G1397" s="99"/>
      <c r="H1397" s="99"/>
      <c r="I1397" s="99"/>
      <c r="J1397" s="99"/>
      <c r="K1397" s="99"/>
      <c r="L1397" s="99"/>
      <c r="M1397" s="99"/>
      <c r="N1397" s="99"/>
      <c r="O1397" s="99"/>
      <c r="P1397" s="99"/>
      <c r="Q1397" s="99"/>
      <c r="R1397" s="99"/>
    </row>
    <row r="1398" spans="2:18" ht="15" customHeight="1">
      <c r="B1398" s="99"/>
      <c r="C1398" s="99"/>
      <c r="D1398" s="99"/>
      <c r="E1398" s="99"/>
      <c r="F1398" s="99"/>
      <c r="G1398" s="99"/>
      <c r="H1398" s="99"/>
      <c r="I1398" s="99"/>
      <c r="J1398" s="99"/>
      <c r="K1398" s="99"/>
      <c r="L1398" s="99"/>
      <c r="M1398" s="99"/>
      <c r="N1398" s="99"/>
      <c r="O1398" s="99"/>
      <c r="P1398" s="99"/>
      <c r="Q1398" s="99"/>
      <c r="R1398" s="99"/>
    </row>
    <row r="1399" spans="2:18" ht="15" customHeight="1">
      <c r="B1399" s="99"/>
      <c r="C1399" s="99"/>
      <c r="D1399" s="99"/>
      <c r="E1399" s="99"/>
      <c r="F1399" s="99"/>
      <c r="G1399" s="99"/>
      <c r="H1399" s="99"/>
      <c r="I1399" s="99"/>
      <c r="J1399" s="99"/>
      <c r="K1399" s="99"/>
      <c r="L1399" s="99"/>
      <c r="M1399" s="99"/>
      <c r="N1399" s="99"/>
      <c r="O1399" s="99"/>
      <c r="P1399" s="99"/>
      <c r="Q1399" s="99"/>
      <c r="R1399" s="99"/>
    </row>
    <row r="1400" spans="2:18" ht="15" customHeight="1">
      <c r="B1400" s="99"/>
      <c r="C1400" s="99"/>
      <c r="D1400" s="99"/>
      <c r="E1400" s="99"/>
      <c r="F1400" s="99"/>
      <c r="G1400" s="99"/>
      <c r="H1400" s="99"/>
      <c r="I1400" s="99"/>
      <c r="J1400" s="99"/>
      <c r="K1400" s="99"/>
      <c r="L1400" s="99"/>
      <c r="M1400" s="99"/>
      <c r="N1400" s="99"/>
      <c r="O1400" s="99"/>
      <c r="P1400" s="99"/>
      <c r="Q1400" s="99"/>
      <c r="R1400" s="99"/>
    </row>
    <row r="1401" spans="2:18" ht="15" customHeight="1">
      <c r="B1401" s="99"/>
      <c r="C1401" s="99"/>
      <c r="D1401" s="99"/>
      <c r="E1401" s="99"/>
      <c r="F1401" s="99"/>
      <c r="G1401" s="99"/>
      <c r="H1401" s="99"/>
      <c r="I1401" s="99"/>
      <c r="J1401" s="99"/>
      <c r="K1401" s="99"/>
      <c r="L1401" s="99"/>
      <c r="M1401" s="99"/>
      <c r="N1401" s="99"/>
      <c r="O1401" s="99"/>
      <c r="P1401" s="99"/>
      <c r="Q1401" s="99"/>
      <c r="R1401" s="99"/>
    </row>
    <row r="1402" spans="2:18" ht="15" customHeight="1">
      <c r="B1402" s="99"/>
      <c r="C1402" s="99"/>
      <c r="D1402" s="99"/>
      <c r="E1402" s="99"/>
      <c r="F1402" s="99"/>
      <c r="G1402" s="99"/>
      <c r="H1402" s="99"/>
      <c r="I1402" s="99"/>
      <c r="J1402" s="99"/>
      <c r="K1402" s="99"/>
      <c r="L1402" s="99"/>
      <c r="M1402" s="99"/>
      <c r="N1402" s="99"/>
      <c r="O1402" s="99"/>
      <c r="P1402" s="99"/>
      <c r="Q1402" s="99"/>
      <c r="R1402" s="99"/>
    </row>
    <row r="1403" spans="2:18" ht="15" customHeight="1">
      <c r="B1403" s="99"/>
      <c r="C1403" s="99"/>
      <c r="D1403" s="99"/>
      <c r="E1403" s="99"/>
      <c r="F1403" s="99"/>
      <c r="G1403" s="99"/>
      <c r="H1403" s="99"/>
      <c r="I1403" s="99"/>
      <c r="J1403" s="99"/>
      <c r="K1403" s="99"/>
      <c r="L1403" s="99"/>
      <c r="M1403" s="99"/>
      <c r="N1403" s="99"/>
      <c r="O1403" s="99"/>
      <c r="P1403" s="99"/>
      <c r="Q1403" s="99"/>
      <c r="R1403" s="99"/>
    </row>
    <row r="1404" spans="2:18" ht="15" customHeight="1">
      <c r="B1404" s="99"/>
      <c r="C1404" s="99"/>
      <c r="D1404" s="99"/>
      <c r="E1404" s="99"/>
      <c r="F1404" s="99"/>
      <c r="G1404" s="99"/>
      <c r="H1404" s="99"/>
      <c r="I1404" s="99"/>
      <c r="J1404" s="99"/>
      <c r="K1404" s="99"/>
      <c r="L1404" s="99"/>
      <c r="M1404" s="99"/>
      <c r="N1404" s="99"/>
      <c r="O1404" s="99"/>
      <c r="P1404" s="99"/>
      <c r="Q1404" s="99"/>
      <c r="R1404" s="99"/>
    </row>
    <row r="1405" spans="2:18" ht="15" customHeight="1">
      <c r="B1405" s="99"/>
      <c r="C1405" s="99"/>
      <c r="D1405" s="99"/>
      <c r="E1405" s="99"/>
      <c r="F1405" s="99"/>
      <c r="G1405" s="99"/>
      <c r="H1405" s="99"/>
      <c r="I1405" s="99"/>
      <c r="J1405" s="99"/>
      <c r="K1405" s="99"/>
      <c r="L1405" s="99"/>
      <c r="M1405" s="99"/>
      <c r="N1405" s="99"/>
      <c r="O1405" s="99"/>
      <c r="P1405" s="99"/>
      <c r="Q1405" s="99"/>
      <c r="R1405" s="99"/>
    </row>
    <row r="1406" spans="2:18" ht="15" customHeight="1">
      <c r="B1406" s="99"/>
      <c r="C1406" s="99"/>
      <c r="D1406" s="99"/>
      <c r="E1406" s="99"/>
      <c r="F1406" s="99"/>
      <c r="G1406" s="99"/>
      <c r="H1406" s="99"/>
      <c r="I1406" s="99"/>
      <c r="J1406" s="99"/>
      <c r="K1406" s="99"/>
      <c r="L1406" s="99"/>
      <c r="M1406" s="99"/>
      <c r="N1406" s="99"/>
      <c r="O1406" s="99"/>
      <c r="P1406" s="99"/>
      <c r="Q1406" s="99"/>
      <c r="R1406" s="99"/>
    </row>
    <row r="1407" spans="2:18" ht="15" customHeight="1">
      <c r="B1407" s="99"/>
      <c r="C1407" s="99"/>
      <c r="D1407" s="99"/>
      <c r="E1407" s="99"/>
      <c r="F1407" s="99"/>
      <c r="G1407" s="99"/>
      <c r="H1407" s="99"/>
      <c r="I1407" s="99"/>
      <c r="J1407" s="99"/>
      <c r="K1407" s="99"/>
      <c r="L1407" s="99"/>
      <c r="M1407" s="99"/>
      <c r="N1407" s="99"/>
      <c r="O1407" s="99"/>
      <c r="P1407" s="99"/>
      <c r="Q1407" s="99"/>
      <c r="R1407" s="99"/>
    </row>
    <row r="1408" spans="2:18" ht="15" customHeight="1">
      <c r="B1408" s="99"/>
      <c r="C1408" s="99"/>
      <c r="D1408" s="99"/>
      <c r="E1408" s="99"/>
      <c r="F1408" s="99"/>
      <c r="G1408" s="99"/>
      <c r="H1408" s="99"/>
      <c r="I1408" s="99"/>
      <c r="J1408" s="99"/>
      <c r="K1408" s="99"/>
      <c r="L1408" s="99"/>
      <c r="M1408" s="99"/>
      <c r="N1408" s="99"/>
      <c r="O1408" s="99"/>
      <c r="P1408" s="99"/>
      <c r="Q1408" s="99"/>
      <c r="R1408" s="99"/>
    </row>
    <row r="1409" spans="2:18" ht="15" customHeight="1">
      <c r="B1409" s="99"/>
      <c r="C1409" s="99"/>
      <c r="D1409" s="99"/>
      <c r="E1409" s="99"/>
      <c r="F1409" s="99"/>
      <c r="G1409" s="99"/>
      <c r="H1409" s="99"/>
      <c r="I1409" s="99"/>
      <c r="J1409" s="99"/>
      <c r="K1409" s="99"/>
      <c r="L1409" s="99"/>
      <c r="M1409" s="99"/>
      <c r="N1409" s="99"/>
      <c r="O1409" s="99"/>
      <c r="P1409" s="99"/>
      <c r="Q1409" s="99"/>
      <c r="R1409" s="99"/>
    </row>
    <row r="1410" spans="2:18" ht="15" customHeight="1">
      <c r="B1410" s="99"/>
      <c r="C1410" s="99"/>
      <c r="D1410" s="99"/>
      <c r="E1410" s="99"/>
      <c r="F1410" s="99"/>
      <c r="G1410" s="99"/>
      <c r="H1410" s="99"/>
      <c r="I1410" s="99"/>
      <c r="J1410" s="99"/>
      <c r="K1410" s="99"/>
      <c r="L1410" s="99"/>
      <c r="M1410" s="99"/>
      <c r="N1410" s="99"/>
      <c r="O1410" s="99"/>
      <c r="P1410" s="99"/>
      <c r="Q1410" s="99"/>
      <c r="R1410" s="99"/>
    </row>
    <row r="1411" spans="2:18" ht="15" customHeight="1">
      <c r="B1411" s="99"/>
      <c r="C1411" s="99"/>
      <c r="D1411" s="99"/>
      <c r="E1411" s="99"/>
      <c r="F1411" s="99"/>
      <c r="G1411" s="99"/>
      <c r="H1411" s="99"/>
      <c r="I1411" s="99"/>
      <c r="J1411" s="99"/>
      <c r="K1411" s="99"/>
      <c r="L1411" s="99"/>
      <c r="M1411" s="99"/>
      <c r="N1411" s="99"/>
      <c r="O1411" s="99"/>
      <c r="P1411" s="99"/>
      <c r="Q1411" s="99"/>
      <c r="R1411" s="99"/>
    </row>
    <row r="1412" spans="2:18" ht="15" customHeight="1">
      <c r="B1412" s="99"/>
      <c r="C1412" s="99"/>
      <c r="D1412" s="99"/>
      <c r="E1412" s="99"/>
      <c r="F1412" s="99"/>
      <c r="G1412" s="99"/>
      <c r="H1412" s="99"/>
      <c r="I1412" s="99"/>
      <c r="J1412" s="99"/>
      <c r="K1412" s="99"/>
      <c r="L1412" s="99"/>
      <c r="M1412" s="99"/>
      <c r="N1412" s="99"/>
      <c r="O1412" s="99"/>
      <c r="P1412" s="99"/>
      <c r="Q1412" s="99"/>
      <c r="R1412" s="99"/>
    </row>
    <row r="1413" spans="2:18" ht="15" customHeight="1">
      <c r="B1413" s="99"/>
      <c r="C1413" s="99"/>
      <c r="D1413" s="99"/>
      <c r="E1413" s="99"/>
      <c r="F1413" s="99"/>
      <c r="G1413" s="99"/>
      <c r="H1413" s="99"/>
      <c r="I1413" s="99"/>
      <c r="J1413" s="99"/>
      <c r="K1413" s="99"/>
      <c r="L1413" s="99"/>
      <c r="M1413" s="99"/>
      <c r="N1413" s="99"/>
      <c r="O1413" s="99"/>
      <c r="P1413" s="99"/>
      <c r="Q1413" s="99"/>
      <c r="R1413" s="99"/>
    </row>
    <row r="1414" spans="2:18" ht="15" customHeight="1">
      <c r="B1414" s="99"/>
      <c r="C1414" s="99"/>
      <c r="D1414" s="99"/>
      <c r="E1414" s="99"/>
      <c r="F1414" s="99"/>
      <c r="G1414" s="99"/>
      <c r="H1414" s="99"/>
      <c r="I1414" s="99"/>
      <c r="J1414" s="99"/>
      <c r="K1414" s="99"/>
      <c r="L1414" s="99"/>
      <c r="M1414" s="99"/>
      <c r="N1414" s="99"/>
      <c r="O1414" s="99"/>
      <c r="P1414" s="99"/>
      <c r="Q1414" s="99"/>
      <c r="R1414" s="99"/>
    </row>
    <row r="1415" spans="2:18" ht="15" customHeight="1">
      <c r="B1415" s="99"/>
      <c r="C1415" s="99"/>
      <c r="D1415" s="99"/>
      <c r="E1415" s="99"/>
      <c r="F1415" s="99"/>
      <c r="G1415" s="99"/>
      <c r="H1415" s="99"/>
      <c r="I1415" s="99"/>
      <c r="J1415" s="99"/>
      <c r="K1415" s="99"/>
      <c r="L1415" s="99"/>
      <c r="M1415" s="99"/>
      <c r="N1415" s="99"/>
      <c r="O1415" s="99"/>
      <c r="P1415" s="99"/>
      <c r="Q1415" s="99"/>
      <c r="R1415" s="99"/>
    </row>
    <row r="1416" spans="2:18" ht="15" customHeight="1">
      <c r="B1416" s="99"/>
      <c r="C1416" s="99"/>
      <c r="D1416" s="99"/>
      <c r="E1416" s="99"/>
      <c r="F1416" s="99"/>
      <c r="G1416" s="99"/>
      <c r="H1416" s="99"/>
      <c r="I1416" s="99"/>
      <c r="J1416" s="99"/>
      <c r="K1416" s="99"/>
      <c r="L1416" s="99"/>
      <c r="M1416" s="99"/>
      <c r="N1416" s="99"/>
      <c r="O1416" s="99"/>
      <c r="P1416" s="99"/>
      <c r="Q1416" s="99"/>
      <c r="R1416" s="99"/>
    </row>
    <row r="1417" spans="2:18" ht="15" customHeight="1">
      <c r="B1417" s="99"/>
      <c r="C1417" s="99"/>
      <c r="D1417" s="99"/>
      <c r="E1417" s="99"/>
      <c r="F1417" s="99"/>
      <c r="G1417" s="99"/>
      <c r="H1417" s="99"/>
      <c r="I1417" s="99"/>
      <c r="J1417" s="99"/>
      <c r="K1417" s="99"/>
      <c r="L1417" s="99"/>
      <c r="M1417" s="99"/>
      <c r="N1417" s="99"/>
      <c r="O1417" s="99"/>
      <c r="P1417" s="99"/>
      <c r="Q1417" s="99"/>
      <c r="R1417" s="99"/>
    </row>
    <row r="1418" spans="2:18" ht="15" customHeight="1">
      <c r="B1418" s="99"/>
      <c r="C1418" s="99"/>
      <c r="D1418" s="99"/>
      <c r="E1418" s="99"/>
      <c r="F1418" s="99"/>
      <c r="G1418" s="99"/>
      <c r="H1418" s="99"/>
      <c r="I1418" s="99"/>
      <c r="J1418" s="99"/>
      <c r="K1418" s="99"/>
      <c r="L1418" s="99"/>
      <c r="M1418" s="99"/>
      <c r="N1418" s="99"/>
      <c r="O1418" s="99"/>
      <c r="P1418" s="99"/>
      <c r="Q1418" s="99"/>
      <c r="R1418" s="99"/>
    </row>
    <row r="1419" spans="2:18" ht="15" customHeight="1">
      <c r="B1419" s="99"/>
      <c r="C1419" s="99"/>
      <c r="D1419" s="99"/>
      <c r="E1419" s="99"/>
      <c r="F1419" s="99"/>
      <c r="G1419" s="99"/>
      <c r="H1419" s="99"/>
      <c r="I1419" s="99"/>
      <c r="J1419" s="99"/>
      <c r="K1419" s="99"/>
      <c r="L1419" s="99"/>
      <c r="M1419" s="99"/>
      <c r="N1419" s="99"/>
      <c r="O1419" s="99"/>
      <c r="P1419" s="99"/>
      <c r="Q1419" s="99"/>
      <c r="R1419" s="99"/>
    </row>
    <row r="1420" spans="2:18" ht="15" customHeight="1">
      <c r="B1420" s="99"/>
      <c r="C1420" s="99"/>
      <c r="D1420" s="99"/>
      <c r="E1420" s="99"/>
      <c r="F1420" s="99"/>
      <c r="G1420" s="99"/>
      <c r="H1420" s="99"/>
      <c r="I1420" s="99"/>
      <c r="J1420" s="99"/>
      <c r="K1420" s="99"/>
      <c r="L1420" s="99"/>
      <c r="M1420" s="99"/>
      <c r="N1420" s="99"/>
      <c r="O1420" s="99"/>
      <c r="P1420" s="99"/>
      <c r="Q1420" s="99"/>
      <c r="R1420" s="99"/>
    </row>
    <row r="1421" spans="2:18" ht="15" customHeight="1">
      <c r="B1421" s="99"/>
      <c r="C1421" s="99"/>
      <c r="D1421" s="99"/>
      <c r="E1421" s="99"/>
      <c r="F1421" s="99"/>
      <c r="G1421" s="99"/>
      <c r="H1421" s="99"/>
      <c r="I1421" s="99"/>
      <c r="J1421" s="99"/>
      <c r="K1421" s="99"/>
      <c r="L1421" s="99"/>
      <c r="M1421" s="99"/>
      <c r="N1421" s="99"/>
      <c r="O1421" s="99"/>
      <c r="P1421" s="99"/>
      <c r="Q1421" s="99"/>
      <c r="R1421" s="99"/>
    </row>
    <row r="1422" spans="2:18" ht="15" customHeight="1">
      <c r="B1422" s="99"/>
      <c r="C1422" s="99"/>
      <c r="D1422" s="99"/>
      <c r="E1422" s="99"/>
      <c r="F1422" s="99"/>
      <c r="G1422" s="99"/>
      <c r="H1422" s="99"/>
      <c r="I1422" s="99"/>
      <c r="J1422" s="99"/>
      <c r="K1422" s="99"/>
      <c r="L1422" s="99"/>
      <c r="M1422" s="99"/>
      <c r="N1422" s="99"/>
      <c r="O1422" s="99"/>
      <c r="P1422" s="99"/>
      <c r="Q1422" s="99"/>
      <c r="R1422" s="99"/>
    </row>
    <row r="1423" spans="2:18" ht="15" customHeight="1">
      <c r="B1423" s="99"/>
      <c r="C1423" s="99"/>
      <c r="D1423" s="99"/>
      <c r="E1423" s="99"/>
      <c r="F1423" s="99"/>
      <c r="G1423" s="99"/>
      <c r="H1423" s="99"/>
      <c r="I1423" s="99"/>
      <c r="J1423" s="99"/>
      <c r="K1423" s="99"/>
      <c r="L1423" s="99"/>
      <c r="M1423" s="99"/>
      <c r="N1423" s="99"/>
      <c r="O1423" s="99"/>
      <c r="P1423" s="99"/>
      <c r="Q1423" s="99"/>
      <c r="R1423" s="99"/>
    </row>
    <row r="1424" spans="2:18" ht="15" customHeight="1">
      <c r="B1424" s="99"/>
      <c r="C1424" s="99"/>
      <c r="D1424" s="99"/>
      <c r="E1424" s="99"/>
      <c r="F1424" s="99"/>
      <c r="G1424" s="99"/>
      <c r="H1424" s="99"/>
      <c r="I1424" s="99"/>
      <c r="J1424" s="99"/>
      <c r="K1424" s="99"/>
      <c r="L1424" s="99"/>
      <c r="M1424" s="99"/>
      <c r="N1424" s="99"/>
      <c r="O1424" s="99"/>
      <c r="P1424" s="99"/>
      <c r="Q1424" s="99"/>
      <c r="R1424" s="99"/>
    </row>
    <row r="1425" spans="2:18" ht="15" customHeight="1">
      <c r="B1425" s="99"/>
      <c r="C1425" s="99"/>
      <c r="D1425" s="99"/>
      <c r="E1425" s="99"/>
      <c r="F1425" s="99"/>
      <c r="G1425" s="99"/>
      <c r="H1425" s="99"/>
      <c r="I1425" s="99"/>
      <c r="J1425" s="99"/>
      <c r="K1425" s="99"/>
      <c r="L1425" s="99"/>
      <c r="M1425" s="99"/>
      <c r="N1425" s="99"/>
      <c r="O1425" s="99"/>
      <c r="P1425" s="99"/>
      <c r="Q1425" s="99"/>
      <c r="R1425" s="99"/>
    </row>
    <row r="1426" spans="2:18" ht="15" customHeight="1">
      <c r="B1426" s="99"/>
      <c r="C1426" s="99"/>
      <c r="D1426" s="99"/>
      <c r="E1426" s="99"/>
      <c r="F1426" s="99"/>
      <c r="G1426" s="99"/>
      <c r="H1426" s="99"/>
      <c r="I1426" s="99"/>
      <c r="J1426" s="99"/>
      <c r="K1426" s="99"/>
      <c r="L1426" s="99"/>
      <c r="M1426" s="99"/>
      <c r="N1426" s="99"/>
      <c r="O1426" s="99"/>
      <c r="P1426" s="99"/>
      <c r="Q1426" s="99"/>
      <c r="R1426" s="99"/>
    </row>
    <row r="1427" spans="2:18" ht="15" customHeight="1">
      <c r="B1427" s="99"/>
      <c r="C1427" s="99"/>
      <c r="D1427" s="99"/>
      <c r="E1427" s="99"/>
      <c r="F1427" s="99"/>
      <c r="G1427" s="99"/>
      <c r="H1427" s="99"/>
      <c r="I1427" s="99"/>
      <c r="J1427" s="99"/>
      <c r="K1427" s="99"/>
      <c r="L1427" s="99"/>
      <c r="M1427" s="99"/>
      <c r="N1427" s="99"/>
      <c r="O1427" s="99"/>
      <c r="P1427" s="99"/>
      <c r="Q1427" s="99"/>
      <c r="R1427" s="99"/>
    </row>
    <row r="1428" spans="2:18" ht="15" customHeight="1">
      <c r="B1428" s="99"/>
      <c r="C1428" s="99"/>
      <c r="D1428" s="99"/>
      <c r="E1428" s="99"/>
      <c r="F1428" s="99"/>
      <c r="G1428" s="99"/>
      <c r="H1428" s="99"/>
      <c r="I1428" s="99"/>
      <c r="J1428" s="99"/>
      <c r="K1428" s="99"/>
      <c r="L1428" s="99"/>
      <c r="M1428" s="99"/>
      <c r="N1428" s="99"/>
      <c r="O1428" s="99"/>
      <c r="P1428" s="99"/>
      <c r="Q1428" s="99"/>
      <c r="R1428" s="99"/>
    </row>
    <row r="1429" spans="2:18" ht="15" customHeight="1">
      <c r="B1429" s="99"/>
      <c r="C1429" s="99"/>
      <c r="D1429" s="99"/>
      <c r="E1429" s="99"/>
      <c r="F1429" s="99"/>
      <c r="G1429" s="99"/>
      <c r="H1429" s="99"/>
      <c r="I1429" s="99"/>
      <c r="J1429" s="99"/>
      <c r="K1429" s="99"/>
      <c r="L1429" s="99"/>
      <c r="M1429" s="99"/>
      <c r="N1429" s="99"/>
      <c r="O1429" s="99"/>
      <c r="P1429" s="99"/>
      <c r="Q1429" s="99"/>
      <c r="R1429" s="99"/>
    </row>
    <row r="1430" spans="2:18" ht="15" customHeight="1">
      <c r="B1430" s="99"/>
      <c r="C1430" s="99"/>
      <c r="D1430" s="99"/>
      <c r="E1430" s="99"/>
      <c r="F1430" s="99"/>
      <c r="G1430" s="99"/>
      <c r="H1430" s="99"/>
      <c r="I1430" s="99"/>
      <c r="J1430" s="99"/>
      <c r="K1430" s="99"/>
      <c r="L1430" s="99"/>
      <c r="M1430" s="99"/>
      <c r="N1430" s="99"/>
      <c r="O1430" s="99"/>
      <c r="P1430" s="99"/>
      <c r="Q1430" s="99"/>
      <c r="R1430" s="99"/>
    </row>
    <row r="1431" spans="2:18" ht="15" customHeight="1">
      <c r="B1431" s="99"/>
      <c r="C1431" s="99"/>
      <c r="D1431" s="99"/>
      <c r="E1431" s="99"/>
      <c r="F1431" s="99"/>
      <c r="G1431" s="99"/>
      <c r="H1431" s="99"/>
      <c r="I1431" s="99"/>
      <c r="J1431" s="99"/>
      <c r="K1431" s="99"/>
      <c r="L1431" s="99"/>
      <c r="M1431" s="99"/>
      <c r="N1431" s="99"/>
      <c r="O1431" s="99"/>
      <c r="P1431" s="99"/>
      <c r="Q1431" s="99"/>
      <c r="R1431" s="99"/>
    </row>
    <row r="1432" spans="2:18" ht="15" customHeight="1">
      <c r="B1432" s="99"/>
      <c r="C1432" s="99"/>
      <c r="D1432" s="99"/>
      <c r="E1432" s="99"/>
      <c r="F1432" s="99"/>
      <c r="G1432" s="99"/>
      <c r="H1432" s="99"/>
      <c r="I1432" s="99"/>
      <c r="J1432" s="99"/>
      <c r="K1432" s="99"/>
      <c r="L1432" s="99"/>
      <c r="M1432" s="99"/>
      <c r="N1432" s="99"/>
      <c r="O1432" s="99"/>
      <c r="P1432" s="99"/>
      <c r="Q1432" s="99"/>
      <c r="R1432" s="99"/>
    </row>
    <row r="1433" spans="2:18" ht="15" customHeight="1">
      <c r="B1433" s="99"/>
      <c r="C1433" s="99"/>
      <c r="D1433" s="99"/>
      <c r="E1433" s="99"/>
      <c r="F1433" s="99"/>
      <c r="G1433" s="99"/>
      <c r="H1433" s="99"/>
      <c r="I1433" s="99"/>
      <c r="J1433" s="99"/>
      <c r="K1433" s="99"/>
      <c r="L1433" s="99"/>
      <c r="M1433" s="99"/>
      <c r="N1433" s="99"/>
      <c r="O1433" s="99"/>
      <c r="P1433" s="99"/>
      <c r="Q1433" s="99"/>
      <c r="R1433" s="99"/>
    </row>
    <row r="1434" spans="2:18" ht="15" customHeight="1">
      <c r="B1434" s="99"/>
      <c r="C1434" s="99"/>
      <c r="D1434" s="99"/>
      <c r="E1434" s="99"/>
      <c r="F1434" s="99"/>
      <c r="G1434" s="99"/>
      <c r="H1434" s="99"/>
      <c r="I1434" s="99"/>
      <c r="J1434" s="99"/>
      <c r="K1434" s="99"/>
      <c r="L1434" s="99"/>
      <c r="M1434" s="99"/>
      <c r="N1434" s="99"/>
      <c r="O1434" s="99"/>
      <c r="P1434" s="99"/>
      <c r="Q1434" s="99"/>
      <c r="R1434" s="99"/>
    </row>
    <row r="1435" spans="2:18" ht="15" customHeight="1">
      <c r="B1435" s="99"/>
      <c r="C1435" s="99"/>
      <c r="D1435" s="99"/>
      <c r="E1435" s="99"/>
      <c r="F1435" s="99"/>
      <c r="G1435" s="99"/>
      <c r="H1435" s="99"/>
      <c r="I1435" s="99"/>
      <c r="J1435" s="99"/>
      <c r="K1435" s="99"/>
      <c r="L1435" s="99"/>
      <c r="M1435" s="99"/>
      <c r="O1435" s="99"/>
      <c r="P1435" s="99"/>
      <c r="Q1435" s="99"/>
      <c r="R1435" s="99"/>
    </row>
    <row r="1436" spans="2:18" ht="15" customHeight="1">
      <c r="B1436" s="99"/>
      <c r="C1436" s="99"/>
      <c r="D1436" s="99"/>
      <c r="E1436" s="99"/>
      <c r="F1436" s="99"/>
      <c r="G1436" s="99"/>
      <c r="H1436" s="99"/>
      <c r="I1436" s="99"/>
      <c r="J1436" s="99"/>
      <c r="K1436" s="99"/>
      <c r="L1436" s="99"/>
      <c r="M1436" s="99"/>
      <c r="O1436" s="99"/>
      <c r="P1436" s="99"/>
      <c r="Q1436" s="99"/>
      <c r="R1436" s="99"/>
    </row>
    <row r="1437" spans="2:18" ht="15" customHeight="1">
      <c r="B1437" s="99"/>
      <c r="C1437" s="99"/>
      <c r="D1437" s="99"/>
      <c r="E1437" s="99"/>
      <c r="F1437" s="99"/>
      <c r="G1437" s="99"/>
      <c r="H1437" s="99"/>
      <c r="I1437" s="99"/>
      <c r="J1437" s="99"/>
      <c r="K1437" s="99"/>
      <c r="L1437" s="99"/>
      <c r="M1437" s="99"/>
      <c r="O1437" s="99"/>
      <c r="P1437" s="99"/>
      <c r="Q1437" s="99"/>
      <c r="R1437" s="99"/>
    </row>
    <row r="1438" spans="2:18" ht="15" customHeight="1">
      <c r="B1438" s="99"/>
      <c r="C1438" s="99"/>
      <c r="D1438" s="99"/>
      <c r="E1438" s="99"/>
      <c r="F1438" s="99"/>
      <c r="G1438" s="99"/>
      <c r="H1438" s="99"/>
      <c r="I1438" s="99"/>
      <c r="J1438" s="99"/>
      <c r="K1438" s="99"/>
      <c r="L1438" s="99"/>
      <c r="M1438" s="99"/>
      <c r="O1438" s="99"/>
      <c r="P1438" s="99"/>
      <c r="Q1438" s="99"/>
      <c r="R1438" s="99"/>
    </row>
    <row r="1439" spans="2:18" ht="15" customHeight="1">
      <c r="B1439" s="99"/>
      <c r="C1439" s="99"/>
      <c r="D1439" s="99"/>
      <c r="E1439" s="99"/>
      <c r="F1439" s="99"/>
      <c r="G1439" s="99"/>
      <c r="H1439" s="99"/>
      <c r="I1439" s="99"/>
      <c r="J1439" s="99"/>
      <c r="K1439" s="99"/>
      <c r="L1439" s="99"/>
      <c r="M1439" s="99"/>
      <c r="O1439" s="99"/>
      <c r="P1439" s="99"/>
      <c r="Q1439" s="99"/>
      <c r="R1439" s="99"/>
    </row>
    <row r="1440" spans="2:18" ht="15" customHeight="1">
      <c r="O1440" s="99"/>
      <c r="P1440" s="99"/>
      <c r="Q1440" s="99"/>
      <c r="R1440" s="99"/>
    </row>
    <row r="1441" spans="15:18" ht="15" customHeight="1">
      <c r="O1441" s="99"/>
      <c r="P1441" s="99"/>
      <c r="Q1441" s="99"/>
      <c r="R1441" s="99"/>
    </row>
    <row r="1442" spans="15:18" ht="15" customHeight="1">
      <c r="O1442" s="99"/>
      <c r="P1442" s="99"/>
      <c r="Q1442" s="99"/>
      <c r="R1442" s="99"/>
    </row>
  </sheetData>
  <sheetProtection sheet="1" objects="1" scenarios="1"/>
  <mergeCells count="99">
    <mergeCell ref="N5:Q6"/>
    <mergeCell ref="I16:J16"/>
    <mergeCell ref="O27:P27"/>
    <mergeCell ref="B22:C22"/>
    <mergeCell ref="D22:E22"/>
    <mergeCell ref="G22:H22"/>
    <mergeCell ref="I22:J22"/>
    <mergeCell ref="B21:C21"/>
    <mergeCell ref="G24:H24"/>
    <mergeCell ref="G25:H25"/>
    <mergeCell ref="G20:K20"/>
    <mergeCell ref="B20:F20"/>
    <mergeCell ref="B5:E5"/>
    <mergeCell ref="J5:M5"/>
    <mergeCell ref="L6:M6"/>
    <mergeCell ref="O24:P24"/>
    <mergeCell ref="O2:Q2"/>
    <mergeCell ref="O3:Q3"/>
    <mergeCell ref="D2:H2"/>
    <mergeCell ref="K2:L2"/>
    <mergeCell ref="D3:E3"/>
    <mergeCell ref="K3:L3"/>
    <mergeCell ref="D25:E25"/>
    <mergeCell ref="D21:E21"/>
    <mergeCell ref="F11:G11"/>
    <mergeCell ref="L25:Q25"/>
    <mergeCell ref="C32:D32"/>
    <mergeCell ref="D23:E23"/>
    <mergeCell ref="D24:E24"/>
    <mergeCell ref="B27:J28"/>
    <mergeCell ref="B17:C17"/>
    <mergeCell ref="B18:C18"/>
    <mergeCell ref="B19:C19"/>
    <mergeCell ref="G15:H15"/>
    <mergeCell ref="G17:H17"/>
    <mergeCell ref="G18:H18"/>
    <mergeCell ref="I18:J18"/>
    <mergeCell ref="O28:P28"/>
    <mergeCell ref="L14:Q14"/>
    <mergeCell ref="O26:P26"/>
    <mergeCell ref="O15:P15"/>
    <mergeCell ref="O19:P19"/>
    <mergeCell ref="O16:P16"/>
    <mergeCell ref="O17:P17"/>
    <mergeCell ref="O29:P29"/>
    <mergeCell ref="O30:P30"/>
    <mergeCell ref="G19:H19"/>
    <mergeCell ref="G16:H16"/>
    <mergeCell ref="B23:C23"/>
    <mergeCell ref="B24:C24"/>
    <mergeCell ref="B25:C25"/>
    <mergeCell ref="G21:H21"/>
    <mergeCell ref="G23:H23"/>
    <mergeCell ref="I19:J19"/>
    <mergeCell ref="O18:P18"/>
    <mergeCell ref="O20:P20"/>
    <mergeCell ref="O22:P22"/>
    <mergeCell ref="D16:E16"/>
    <mergeCell ref="D19:E19"/>
    <mergeCell ref="D17:E17"/>
    <mergeCell ref="V25:AE26"/>
    <mergeCell ref="B15:C15"/>
    <mergeCell ref="B16:C16"/>
    <mergeCell ref="F5:I5"/>
    <mergeCell ref="I21:J21"/>
    <mergeCell ref="I25:J25"/>
    <mergeCell ref="I23:J23"/>
    <mergeCell ref="I24:J24"/>
    <mergeCell ref="B14:F14"/>
    <mergeCell ref="G14:K14"/>
    <mergeCell ref="D15:E15"/>
    <mergeCell ref="I15:J15"/>
    <mergeCell ref="D18:E18"/>
    <mergeCell ref="I17:J17"/>
    <mergeCell ref="S11:S14"/>
    <mergeCell ref="O23:P23"/>
    <mergeCell ref="C36:D36"/>
    <mergeCell ref="C37:D37"/>
    <mergeCell ref="L36:M36"/>
    <mergeCell ref="C30:D30"/>
    <mergeCell ref="C31:D31"/>
    <mergeCell ref="C33:D33"/>
    <mergeCell ref="C34:D34"/>
    <mergeCell ref="C35:D35"/>
    <mergeCell ref="L32:M32"/>
    <mergeCell ref="L34:M34"/>
    <mergeCell ref="L33:M33"/>
    <mergeCell ref="L37:M37"/>
    <mergeCell ref="L35:M35"/>
    <mergeCell ref="N36:Q36"/>
    <mergeCell ref="N37:Q37"/>
    <mergeCell ref="E40:G40"/>
    <mergeCell ref="E42:G42"/>
    <mergeCell ref="E44:G44"/>
    <mergeCell ref="E39:G39"/>
    <mergeCell ref="L40:N40"/>
    <mergeCell ref="L42:N42"/>
    <mergeCell ref="L44:N44"/>
    <mergeCell ref="L39:N39"/>
  </mergeCells>
  <phoneticPr fontId="0" type="noConversion"/>
  <conditionalFormatting sqref="C35:D35">
    <cfRule type="expression" dxfId="5" priority="1" stopIfTrue="1">
      <formula>AND(ISNUMBER($C$35),$C$35&lt;80)</formula>
    </cfRule>
    <cfRule type="expression" dxfId="4" priority="2" stopIfTrue="1">
      <formula>AND(ISNUMBER($C$35),$C$35&gt;120)</formula>
    </cfRule>
  </conditionalFormatting>
  <conditionalFormatting sqref="L35:M35">
    <cfRule type="expression" dxfId="3" priority="3" stopIfTrue="1">
      <formula>AND(ISNUMBER($L$35),$L$35&lt;2.25)</formula>
    </cfRule>
    <cfRule type="expression" dxfId="2" priority="4" stopIfTrue="1">
      <formula>AND(ISNUMBER($L$35),$L$35&gt;2.75)</formula>
    </cfRule>
  </conditionalFormatting>
  <conditionalFormatting sqref="L34:M34">
    <cfRule type="expression" dxfId="1" priority="5" stopIfTrue="1">
      <formula>AND(ISNUMBER($L$34),$L$34&lt;9)</formula>
    </cfRule>
    <cfRule type="expression" dxfId="0" priority="6" stopIfTrue="1">
      <formula>AND(ISNUMBER($L$34),$L$34&gt;11)</formula>
    </cfRule>
  </conditionalFormatting>
  <printOptions horizontalCentered="1" verticalCentered="1"/>
  <pageMargins left="0.25" right="0.25" top="0.75" bottom="0.5" header="0.25" footer="0.25"/>
  <pageSetup scale="96" orientation="portrait" blackAndWhite="1" r:id="rId1"/>
  <headerFooter alignWithMargins="0">
    <oddHeader>&amp;CSpreadsheet for U.S. EPA Method 201A - Determination of Filterable PM10 and PM2.5 Emissions
&amp;12TEST RESULTS and DATA ANALYSIS SHEET</oddHeader>
    <oddFooter>&amp;CCopyright 2017 by Environmental Supply Company, Inc.</oddFooter>
  </headerFooter>
  <colBreaks count="1" manualBreakCount="1">
    <brk id="1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146</vt:i4>
      </vt:variant>
    </vt:vector>
  </HeadingPairs>
  <TitlesOfParts>
    <vt:vector size="154" baseType="lpstr">
      <vt:lpstr>Notes</vt:lpstr>
      <vt:lpstr>Pre-Test</vt:lpstr>
      <vt:lpstr>Run 1</vt:lpstr>
      <vt:lpstr>Run 2</vt:lpstr>
      <vt:lpstr>Run 3</vt:lpstr>
      <vt:lpstr>Results - Run 1</vt:lpstr>
      <vt:lpstr>Results - Run 2</vt:lpstr>
      <vt:lpstr>Results - Run 3</vt:lpstr>
      <vt:lpstr>_</vt:lpstr>
      <vt:lpstr>A</vt:lpstr>
      <vt:lpstr>Ai</vt:lpstr>
      <vt:lpstr>An</vt:lpstr>
      <vt:lpstr>Bws_1</vt:lpstr>
      <vt:lpstr>Bws_2</vt:lpstr>
      <vt:lpstr>Bws_3</vt:lpstr>
      <vt:lpstr>Bwse</vt:lpstr>
      <vt:lpstr>Ca_1</vt:lpstr>
      <vt:lpstr>Ca_2</vt:lpstr>
      <vt:lpstr>Ca_3</vt:lpstr>
      <vt:lpstr>Cf_1</vt:lpstr>
      <vt:lpstr>Cf_2</vt:lpstr>
      <vt:lpstr>Cf_3</vt:lpstr>
      <vt:lpstr>Cfe</vt:lpstr>
      <vt:lpstr>COO</vt:lpstr>
      <vt:lpstr>Cp</vt:lpstr>
      <vt:lpstr>Cpp</vt:lpstr>
      <vt:lpstr>D50I_1</vt:lpstr>
      <vt:lpstr>D50I_2</vt:lpstr>
      <vt:lpstr>D50I_3</vt:lpstr>
      <vt:lpstr>D50IV_1</vt:lpstr>
      <vt:lpstr>D50IV_2</vt:lpstr>
      <vt:lpstr>D50IV_3</vt:lpstr>
      <vt:lpstr>D50LL</vt:lpstr>
      <vt:lpstr>D50LLh</vt:lpstr>
      <vt:lpstr>D50T</vt:lpstr>
      <vt:lpstr>Date</vt:lpstr>
      <vt:lpstr>dH_1</vt:lpstr>
      <vt:lpstr>dH_2</vt:lpstr>
      <vt:lpstr>dH_3</vt:lpstr>
      <vt:lpstr>dHa</vt:lpstr>
      <vt:lpstr>dHe</vt:lpstr>
      <vt:lpstr>dHh</vt:lpstr>
      <vt:lpstr>dHh_2</vt:lpstr>
      <vt:lpstr>dHh_3</vt:lpstr>
      <vt:lpstr>dHl</vt:lpstr>
      <vt:lpstr>dHl_2</vt:lpstr>
      <vt:lpstr>dHl_3</vt:lpstr>
      <vt:lpstr>Dn</vt:lpstr>
      <vt:lpstr>dP_1</vt:lpstr>
      <vt:lpstr>dP_2</vt:lpstr>
      <vt:lpstr>dP_3</vt:lpstr>
      <vt:lpstr>dPsqavg_1</vt:lpstr>
      <vt:lpstr>dPsqavg_2</vt:lpstr>
      <vt:lpstr>dPsqavg_3</vt:lpstr>
      <vt:lpstr>Kp</vt:lpstr>
      <vt:lpstr>M1_1</vt:lpstr>
      <vt:lpstr>M1_2</vt:lpstr>
      <vt:lpstr>M1_3</vt:lpstr>
      <vt:lpstr>M2_1</vt:lpstr>
      <vt:lpstr>M2_2</vt:lpstr>
      <vt:lpstr>M2_3</vt:lpstr>
      <vt:lpstr>M3_1</vt:lpstr>
      <vt:lpstr>M3_2</vt:lpstr>
      <vt:lpstr>M3_3</vt:lpstr>
      <vt:lpstr>M4_1</vt:lpstr>
      <vt:lpstr>M4_2</vt:lpstr>
      <vt:lpstr>M4_3</vt:lpstr>
      <vt:lpstr>MB</vt:lpstr>
      <vt:lpstr>Md</vt:lpstr>
      <vt:lpstr>Mw_1</vt:lpstr>
      <vt:lpstr>Mw_2</vt:lpstr>
      <vt:lpstr>Mw_3</vt:lpstr>
      <vt:lpstr>Mwe</vt:lpstr>
      <vt:lpstr>N_1</vt:lpstr>
      <vt:lpstr>N_2</vt:lpstr>
      <vt:lpstr>N_3</vt:lpstr>
      <vt:lpstr>NN</vt:lpstr>
      <vt:lpstr>Nr_1</vt:lpstr>
      <vt:lpstr>Nr_2</vt:lpstr>
      <vt:lpstr>Nr_3</vt:lpstr>
      <vt:lpstr>Nre</vt:lpstr>
      <vt:lpstr>OO</vt:lpstr>
      <vt:lpstr>Pbar_1</vt:lpstr>
      <vt:lpstr>Pbar_2</vt:lpstr>
      <vt:lpstr>Pbar_3</vt:lpstr>
      <vt:lpstr>Pbarp</vt:lpstr>
      <vt:lpstr>Pg_1</vt:lpstr>
      <vt:lpstr>Pg_2</vt:lpstr>
      <vt:lpstr>Pg_3</vt:lpstr>
      <vt:lpstr>Pgp</vt:lpstr>
      <vt:lpstr>Notes!Print_Area</vt:lpstr>
      <vt:lpstr>'Pre-Test'!Print_Area</vt:lpstr>
      <vt:lpstr>'Results - Run 1'!Print_Area</vt:lpstr>
      <vt:lpstr>'Results - Run 2'!Print_Area</vt:lpstr>
      <vt:lpstr>'Results - Run 3'!Print_Area</vt:lpstr>
      <vt:lpstr>'Run 1'!Print_Area</vt:lpstr>
      <vt:lpstr>'Run 2'!Print_Area</vt:lpstr>
      <vt:lpstr>'Run 3'!Print_Area</vt:lpstr>
      <vt:lpstr>Ps_1</vt:lpstr>
      <vt:lpstr>Ps_2</vt:lpstr>
      <vt:lpstr>Ps_3</vt:lpstr>
      <vt:lpstr>Psp</vt:lpstr>
      <vt:lpstr>Pstd</vt:lpstr>
      <vt:lpstr>Qs_1</vt:lpstr>
      <vt:lpstr>Qs_2</vt:lpstr>
      <vt:lpstr>Qs_3</vt:lpstr>
      <vt:lpstr>Qsd_1</vt:lpstr>
      <vt:lpstr>Qsd_2</vt:lpstr>
      <vt:lpstr>Qsd_3</vt:lpstr>
      <vt:lpstr>Qse</vt:lpstr>
      <vt:lpstr>Qsst_1</vt:lpstr>
      <vt:lpstr>Qsst_2</vt:lpstr>
      <vt:lpstr>Qsst_3</vt:lpstr>
      <vt:lpstr>Qsw_1</vt:lpstr>
      <vt:lpstr>Qsw_2</vt:lpstr>
      <vt:lpstr>Qsw_3</vt:lpstr>
      <vt:lpstr>Time_1</vt:lpstr>
      <vt:lpstr>Time_2</vt:lpstr>
      <vt:lpstr>Time_3</vt:lpstr>
      <vt:lpstr>Tm_1</vt:lpstr>
      <vt:lpstr>Tm_2</vt:lpstr>
      <vt:lpstr>Tm_3</vt:lpstr>
      <vt:lpstr>Tme</vt:lpstr>
      <vt:lpstr>Tr_1</vt:lpstr>
      <vt:lpstr>Tr_2</vt:lpstr>
      <vt:lpstr>Tr_3</vt:lpstr>
      <vt:lpstr>Ts_1</vt:lpstr>
      <vt:lpstr>Ts_2</vt:lpstr>
      <vt:lpstr>Ts_3</vt:lpstr>
      <vt:lpstr>Tse</vt:lpstr>
      <vt:lpstr>Tsh</vt:lpstr>
      <vt:lpstr>Tsh_2</vt:lpstr>
      <vt:lpstr>Tsh_3</vt:lpstr>
      <vt:lpstr>Tsl</vt:lpstr>
      <vt:lpstr>Tsl_2</vt:lpstr>
      <vt:lpstr>Tsl_3</vt:lpstr>
      <vt:lpstr>Tstd</vt:lpstr>
      <vt:lpstr>vis_1</vt:lpstr>
      <vt:lpstr>vis_2</vt:lpstr>
      <vt:lpstr>vis_3</vt:lpstr>
      <vt:lpstr>vise</vt:lpstr>
      <vt:lpstr>Vm_1</vt:lpstr>
      <vt:lpstr>Vm_2</vt:lpstr>
      <vt:lpstr>Vm_3</vt:lpstr>
      <vt:lpstr>Vms_1</vt:lpstr>
      <vt:lpstr>Vms_2</vt:lpstr>
      <vt:lpstr>Vms_3</vt:lpstr>
      <vt:lpstr>Vs_1</vt:lpstr>
      <vt:lpstr>Vs_2</vt:lpstr>
      <vt:lpstr>Vs_3</vt:lpstr>
      <vt:lpstr>Vws_1</vt:lpstr>
      <vt:lpstr>Vws_2</vt:lpstr>
      <vt:lpstr>Vws_3</vt:lpstr>
      <vt:lpstr>Y</vt:lpstr>
    </vt:vector>
  </TitlesOfParts>
  <Manager>David Hendricks</Manager>
  <Company>ENVIRONMENTAL SUPPLY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M201A, PM10 and PM2.5 Filterable Particulate</dc:subject>
  <dc:creator>David Hendricks</dc:creator>
  <cp:lastModifiedBy>David Hendricks</cp:lastModifiedBy>
  <cp:lastPrinted>2017-05-22T16:08:27Z</cp:lastPrinted>
  <dcterms:created xsi:type="dcterms:W3CDTF">2000-08-04T18:18:25Z</dcterms:created>
  <dcterms:modified xsi:type="dcterms:W3CDTF">2017-05-22T16:08:51Z</dcterms:modified>
</cp:coreProperties>
</file>