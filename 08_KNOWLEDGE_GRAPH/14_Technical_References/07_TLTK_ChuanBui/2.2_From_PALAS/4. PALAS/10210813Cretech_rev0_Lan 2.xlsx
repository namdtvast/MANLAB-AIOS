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465" windowWidth="21840" windowHeight="13740"/>
  </bookViews>
  <sheets>
    <sheet name="Basic" sheetId="12" r:id="rId1"/>
    <sheet name="Diagram" sheetId="14" r:id="rId2"/>
  </sheets>
  <definedNames>
    <definedName name="_xlnm.Print_Titles" localSheetId="0">Basic!$8:$8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2" l="1"/>
  <c r="E9" i="12" l="1"/>
  <c r="E71" i="12" s="1"/>
  <c r="E72" i="12" s="1"/>
  <c r="E73" i="12" l="1"/>
  <c r="E74" i="12" l="1"/>
  <c r="E75" i="12" s="1"/>
</calcChain>
</file>

<file path=xl/sharedStrings.xml><?xml version="1.0" encoding="utf-8"?>
<sst xmlns="http://schemas.openxmlformats.org/spreadsheetml/2006/main" count="91" uniqueCount="84">
  <si>
    <t>BÁO GIÁ</t>
  </si>
  <si>
    <t>SL</t>
  </si>
  <si>
    <t>Đơn giá</t>
  </si>
  <si>
    <t>Thành tiền</t>
  </si>
  <si>
    <t>ĐIỀU KIỆN THƯƠNG MẠI:</t>
  </si>
  <si>
    <t>4. Bảo hành: 12 tháng theo tiêu chuẩn của nhà sản xuất.</t>
  </si>
  <si>
    <t>1. Giá báo trên là giá giao hàng tận nơi, hướng dẫn sử dụng thành thạo.</t>
  </si>
  <si>
    <t>VAT 10%</t>
  </si>
  <si>
    <t>Email: hvday@digivn.com</t>
  </si>
  <si>
    <t>Cám ơn quý khách hàng đã quan tâm đến sản phẩm của chúng tôi</t>
  </si>
  <si>
    <t>STT</t>
  </si>
  <si>
    <t>Tên hàng hóa</t>
  </si>
  <si>
    <t>Tổng cộng</t>
  </si>
  <si>
    <t>2. Thanh toán: 50% ứng trước; 50% trước khi giao thiết bị.</t>
  </si>
  <si>
    <t>5. Hiệu lực báo giá: báo giá này có hiệu lực 60 ngày.</t>
  </si>
  <si>
    <t>Huỳnh Văn Đấy (0919 666 735)</t>
  </si>
  <si>
    <t>Xuất xứ: Đức</t>
  </si>
  <si>
    <t>3. Thời gian giao hàng: trong vòng 06-08 tuần, sau khi nhận tạm ứng đợt 1.</t>
  </si>
  <si>
    <t>Nhà sản xuất: Palas</t>
  </si>
  <si>
    <t>Model: BGR1000</t>
  </si>
  <si>
    <t>Thiết bị phát bụi</t>
  </si>
  <si>
    <t>Lưu lượng: 0.5 – 5.0 m³/h</t>
  </si>
  <si>
    <t xml:space="preserve">                 0,04 - 430 g/h</t>
  </si>
  <si>
    <t>Nồng độ bụi tối đa: 10 hạt/cm³</t>
  </si>
  <si>
    <r>
      <t>Cỡ bụi: 0,1 - 100</t>
    </r>
    <r>
      <rPr>
        <sz val="11.5"/>
        <rFont val="Calibri"/>
        <family val="2"/>
      </rPr>
      <t>µ</t>
    </r>
    <r>
      <rPr>
        <sz val="12.65"/>
        <rFont val="Arial"/>
        <family val="2"/>
      </rPr>
      <t>m</t>
    </r>
  </si>
  <si>
    <t>Cấp phát bụi: 5 - 700 mm/h</t>
  </si>
  <si>
    <t>Chiều dài ống chứa: 70mm</t>
  </si>
  <si>
    <t>Kết nối ống ra:</t>
  </si>
  <si>
    <t>Lượng bụi trong ống chứa:</t>
  </si>
  <si>
    <t>Trọng lượng: gần 19kg</t>
  </si>
  <si>
    <t>Áp suất khí nén: 4-8 bar</t>
  </si>
  <si>
    <t xml:space="preserve">Kích thước: 465 x 320 x 200 mm </t>
  </si>
  <si>
    <t xml:space="preserve">- Đường kính trong ngoài Loại A: 5mm / 8mm </t>
  </si>
  <si>
    <t xml:space="preserve">- Đường kính trong ngoài Loại B: 3,6mm / 6mm </t>
  </si>
  <si>
    <t xml:space="preserve">- Đường kính trong ngoài Loại C/D: 2,6mm / 6mm </t>
  </si>
  <si>
    <t>- Φ 7mm: 2,7g</t>
  </si>
  <si>
    <t>- Φ 10mm: 5,5g</t>
  </si>
  <si>
    <t>- Φ 14mm: 10,8g</t>
  </si>
  <si>
    <t>- Φ 20mm: 22g</t>
  </si>
  <si>
    <t>- Φ 28mm: 43g</t>
  </si>
  <si>
    <t>Cung cấp bao gồm:</t>
  </si>
  <si>
    <t>Máy phát bụi BGR1000</t>
  </si>
  <si>
    <t>Nắp phân tán (Dispersion cover): Loại A, loại B, loại C và loại D</t>
  </si>
  <si>
    <t>Nắp phân tán loại A</t>
  </si>
  <si>
    <t>Chổi quét phát bụi bằng thép</t>
  </si>
  <si>
    <t>Đường kính ống chứa (Reservoir): 7, 10, 14, 20, 28mm</t>
  </si>
  <si>
    <t>Kim hút đẳng tốc: 2-5 LPM / 15-37 LPM</t>
  </si>
  <si>
    <t xml:space="preserve">                   2 – 5 LPM (hút mẫu - suction)</t>
  </si>
  <si>
    <t>Trọng lượng: gần 10kg</t>
  </si>
  <si>
    <t xml:space="preserve">Kích thước: 500 x 230 x 150 mm </t>
  </si>
  <si>
    <t>Ứng dụng:</t>
  </si>
  <si>
    <t>- Hiệu chuẩn các thiết bị đo bụi</t>
  </si>
  <si>
    <t xml:space="preserve">  Xác định hiệu xuất tách lọc phân đoạn</t>
  </si>
  <si>
    <t xml:space="preserve">  Xác định tổng hiệu xuất tách lọc</t>
  </si>
  <si>
    <t xml:space="preserve">  Bụi lâu ngày</t>
  </si>
  <si>
    <t xml:space="preserve">  Phương tiện lọc bụi</t>
  </si>
  <si>
    <t>- Công nghiệp ngành lọc bụi:</t>
  </si>
  <si>
    <t xml:space="preserve">  Làm sạch chân không và lọc làm sạch chân không</t>
  </si>
  <si>
    <t xml:space="preserve">  Lọc bụi trong ô tô</t>
  </si>
  <si>
    <t xml:space="preserve">  Lọc trong các động cơ</t>
  </si>
  <si>
    <t>- Kiểm tra hít thở</t>
  </si>
  <si>
    <t>- Hạt đánh dấu cho LDA, PIV,..</t>
  </si>
  <si>
    <t>- Phủ bề mặt</t>
  </si>
  <si>
    <t>Nguồn: 115-230V/50-60Hz</t>
  </si>
  <si>
    <t>Bộ chia 4 và chia loãng 1:10</t>
  </si>
  <si>
    <t>Model: VKL 10</t>
  </si>
  <si>
    <t>Tỉ lệ pha loãng: 1:10</t>
  </si>
  <si>
    <r>
      <t>Cỡ bụi: 20</t>
    </r>
    <r>
      <rPr>
        <sz val="11.5"/>
        <rFont val="Calibri"/>
        <family val="2"/>
      </rPr>
      <t>µ</t>
    </r>
    <r>
      <rPr>
        <sz val="10.35"/>
        <rFont val="Arial"/>
        <family val="2"/>
      </rPr>
      <t>m</t>
    </r>
  </si>
  <si>
    <t>Lưu lượng: 18 – 45 LPM (Khí sạch - Clean air)</t>
  </si>
  <si>
    <t>-</t>
  </si>
  <si>
    <t>Đầu nối chia 1/4: 1 ngõ vào và 4 ngõ ra đồng nhất nhau</t>
  </si>
  <si>
    <t>Bộ pha loãng VKL 10</t>
  </si>
  <si>
    <t>Kim ngõ ra 2-5 LPM</t>
  </si>
  <si>
    <t>Bụi chuẩn ISO 12103-1 A2</t>
  </si>
  <si>
    <t>Người nhận: Mr. Nam</t>
  </si>
  <si>
    <t>Ngày: 27/4/2021</t>
  </si>
  <si>
    <t>Số: 10210813/BG</t>
  </si>
  <si>
    <t>Chúng tôi xin trân trọng gửi đến quý khách hàng báo giá thiết bị như sau:</t>
  </si>
  <si>
    <t>Tổng giá</t>
  </si>
  <si>
    <t>Tổng cộng báo giá</t>
  </si>
  <si>
    <t>Ống chứa bụi 14mm</t>
  </si>
  <si>
    <t>Giảm giá cho mục đích nghiên cứu, giáo dục (25%)</t>
  </si>
  <si>
    <t>Công ty TNHH Công nghệ Digi</t>
  </si>
  <si>
    <t>Kính gửi: Trung tâm Nghiên cứu và Chuyển giao 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</si>
</sst>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.5"/>
      <name val="Arial"/>
      <family val="2"/>
    </font>
    <font>
      <b/>
      <sz val="22"/>
      <name val="Arial"/>
      <family val="2"/>
    </font>
    <font>
      <b/>
      <sz val="11.5"/>
      <name val="Arial"/>
      <family val="2"/>
    </font>
    <font>
      <sz val="11.5"/>
      <color theme="1"/>
      <name val="Arial"/>
      <family val="2"/>
    </font>
    <font>
      <sz val="11.5"/>
      <color indexed="8"/>
      <name val="Arial"/>
      <family val="2"/>
    </font>
    <font>
      <b/>
      <sz val="12"/>
      <name val="Arial"/>
      <family val="2"/>
    </font>
    <font>
      <u/>
      <sz val="11.5"/>
      <name val="Arial"/>
      <family val="2"/>
    </font>
    <font>
      <b/>
      <i/>
      <u/>
      <sz val="11.5"/>
      <name val="Arial"/>
      <family val="2"/>
    </font>
    <font>
      <sz val="11"/>
      <color indexed="8"/>
      <name val="Calibri"/>
      <family val="2"/>
    </font>
    <font>
      <sz val="12.65"/>
      <name val="Arial"/>
      <family val="2"/>
    </font>
    <font>
      <sz val="11.5"/>
      <name val="Calibri"/>
      <family val="2"/>
    </font>
    <font>
      <sz val="10.35"/>
      <name val="Arial"/>
      <family val="2"/>
    </font>
    <font>
      <sz val="11.5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/>
    </xf>
    <xf numFmtId="3" fontId="3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1" applyFont="1"/>
    <xf numFmtId="0" fontId="6" fillId="0" borderId="0" xfId="0" applyFont="1"/>
    <xf numFmtId="0" fontId="5" fillId="0" borderId="0" xfId="1" applyFont="1" applyAlignment="1">
      <alignment horizontal="left"/>
    </xf>
    <xf numFmtId="0" fontId="7" fillId="0" borderId="0" xfId="0" applyFont="1"/>
    <xf numFmtId="3" fontId="3" fillId="0" borderId="0" xfId="1" applyNumberFormat="1" applyFont="1" applyAlignment="1">
      <alignment horizontal="right" vertical="top"/>
    </xf>
    <xf numFmtId="0" fontId="5" fillId="0" borderId="0" xfId="1" applyFont="1"/>
    <xf numFmtId="0" fontId="3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3" fontId="5" fillId="0" borderId="0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/>
    <xf numFmtId="0" fontId="5" fillId="0" borderId="0" xfId="0" applyFont="1"/>
    <xf numFmtId="0" fontId="3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vertical="top" wrapText="1"/>
    </xf>
    <xf numFmtId="3" fontId="5" fillId="0" borderId="0" xfId="0" applyNumberFormat="1" applyFont="1" applyBorder="1" applyAlignment="1">
      <alignment horizontal="right" vertical="top" wrapText="1"/>
    </xf>
    <xf numFmtId="0" fontId="3" fillId="0" borderId="0" xfId="0" applyFont="1" applyBorder="1" applyAlignment="1">
      <alignment horizontal="center" vertical="top" wrapText="1"/>
    </xf>
    <xf numFmtId="3" fontId="3" fillId="0" borderId="0" xfId="0" applyNumberFormat="1" applyFont="1" applyBorder="1" applyAlignment="1">
      <alignment horizontal="right" vertical="top" wrapText="1"/>
    </xf>
    <xf numFmtId="0" fontId="3" fillId="0" borderId="0" xfId="0" applyFont="1" applyBorder="1" applyAlignment="1">
      <alignment vertical="top" wrapText="1"/>
    </xf>
    <xf numFmtId="0" fontId="3" fillId="0" borderId="0" xfId="0" quotePrefix="1" applyFont="1" applyBorder="1" applyAlignment="1">
      <alignment horizontal="right" vertical="top" wrapText="1"/>
    </xf>
    <xf numFmtId="0" fontId="8" fillId="0" borderId="0" xfId="1" applyFont="1"/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quotePrefix="1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quotePrefix="1" applyFont="1" applyBorder="1" applyAlignment="1">
      <alignment vertical="top" wrapText="1"/>
    </xf>
    <xf numFmtId="0" fontId="3" fillId="0" borderId="0" xfId="0" quotePrefix="1" applyFont="1" applyBorder="1" applyAlignment="1">
      <alignment horizontal="center" vertical="top" wrapText="1"/>
    </xf>
    <xf numFmtId="0" fontId="3" fillId="0" borderId="0" xfId="0" applyFont="1" applyBorder="1" applyAlignment="1">
      <alignment vertical="top"/>
    </xf>
    <xf numFmtId="3" fontId="3" fillId="0" borderId="0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right" vertical="top"/>
    </xf>
  </cellXfs>
  <cellStyles count="6">
    <cellStyle name="Comma 2" xfId="5"/>
    <cellStyle name="Comma 3" xfId="2"/>
    <cellStyle name="Ledger 17 x 11 in" xfId="1"/>
    <cellStyle name="Ledger 17 x 11 in 2" xfId="4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7" Type="http://schemas.openxmlformats.org/officeDocument/2006/relationships/image" Target="../media/image3.jpg"/><Relationship Id="rId2" Type="http://schemas.openxmlformats.org/officeDocument/2006/relationships/image" Target="../media/image7.jpg"/><Relationship Id="rId1" Type="http://schemas.openxmlformats.org/officeDocument/2006/relationships/image" Target="../media/image1.jpg"/><Relationship Id="rId6" Type="http://schemas.openxmlformats.org/officeDocument/2006/relationships/image" Target="../media/image11.png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275166</xdr:colOff>
      <xdr:row>10</xdr:row>
      <xdr:rowOff>105831</xdr:rowOff>
    </xdr:from>
    <xdr:to>
      <xdr:col>4</xdr:col>
      <xdr:colOff>433916</xdr:colOff>
      <xdr:row>19</xdr:row>
      <xdr:rowOff>42332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04" t="11852" r="23951" b="11111"/>
        <a:stretch/>
      </xdr:blipFill>
      <xdr:spPr>
        <a:xfrm>
          <a:off x="4942416" y="2412998"/>
          <a:ext cx="1121833" cy="1651001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4000500</xdr:colOff>
      <xdr:row>34</xdr:row>
      <xdr:rowOff>116416</xdr:rowOff>
    </xdr:from>
    <xdr:to>
      <xdr:col>4</xdr:col>
      <xdr:colOff>984250</xdr:colOff>
      <xdr:row>43</xdr:row>
      <xdr:rowOff>97366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1" r="5379"/>
        <a:stretch/>
      </xdr:blipFill>
      <xdr:spPr>
        <a:xfrm>
          <a:off x="4349750" y="4540249"/>
          <a:ext cx="2264833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178221</xdr:colOff>
      <xdr:row>63</xdr:row>
      <xdr:rowOff>8890</xdr:rowOff>
    </xdr:from>
    <xdr:to>
      <xdr:col>4</xdr:col>
      <xdr:colOff>779354</xdr:colOff>
      <xdr:row>68</xdr:row>
      <xdr:rowOff>144356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8D85941F-B6A6-EC4A-9A81-911FB3929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4996" y="12181840"/>
          <a:ext cx="1563158" cy="1078442"/>
        </a:xfrm>
        <a:prstGeom prst="rect">
          <a:avLst/>
        </a:prstGeom>
      </xdr:spPr>
    </xdr:pic>
    <xdr:clientData/>
  </xdr:twoCellAnchor>
  <xdr:twoCellAnchor editAs="oneCell">
    <xdr:from>
      <xdr:col>3</xdr:col>
      <xdr:colOff>308329</xdr:colOff>
      <xdr:row>54</xdr:row>
      <xdr:rowOff>199672</xdr:rowOff>
    </xdr:from>
    <xdr:to>
      <xdr:col>4</xdr:col>
      <xdr:colOff>731662</xdr:colOff>
      <xdr:row>64</xdr:row>
      <xdr:rowOff>26106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D5EC5161-329F-C848-AA0E-76604EEE6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22936">
          <a:off x="4831116" y="10850210"/>
          <a:ext cx="1693333" cy="1385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362013</xdr:colOff>
      <xdr:row>5</xdr:row>
      <xdr:rowOff>44452</xdr:rowOff>
    </xdr:from>
    <xdr:to>
      <xdr:col>13</xdr:col>
      <xdr:colOff>304800</xdr:colOff>
      <xdr:row>30</xdr:row>
      <xdr:rowOff>180975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xmlns="" id="{D999165C-E607-B748-8A2E-562849393E50}"/>
            </a:ext>
          </a:extLst>
        </xdr:cNvPr>
        <xdr:cNvGrpSpPr/>
      </xdr:nvGrpSpPr>
      <xdr:grpSpPr>
        <a:xfrm>
          <a:off x="362013" y="996952"/>
          <a:ext cx="7619937" cy="4899023"/>
          <a:chOff x="362013" y="996952"/>
          <a:chExt cx="8693087" cy="4899023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xmlns="" id="{00000000-0008-0000-0200-000026000000}"/>
              </a:ext>
            </a:extLst>
          </xdr:cNvPr>
          <xdr:cNvGrpSpPr/>
        </xdr:nvGrpSpPr>
        <xdr:grpSpPr>
          <a:xfrm>
            <a:off x="362013" y="1095375"/>
            <a:ext cx="6426137" cy="4800600"/>
            <a:chOff x="5486463" y="828676"/>
            <a:chExt cx="6301472" cy="5295900"/>
          </a:xfrm>
        </xdr:grpSpPr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xmlns="" id="{00000000-0008-0000-0200-000006000000}"/>
                </a:ext>
              </a:extLst>
            </xdr:cNvPr>
            <xdr:cNvSpPr txBox="1"/>
          </xdr:nvSpPr>
          <xdr:spPr>
            <a:xfrm>
              <a:off x="6219825" y="885826"/>
              <a:ext cx="2066925" cy="819150"/>
            </a:xfrm>
            <a:prstGeom prst="rect">
              <a:avLst/>
            </a:prstGeom>
            <a:noFill/>
            <a:ln w="15875" cmpd="sng">
              <a:solidFill>
                <a:schemeClr val="accent6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Aerosol generator</a:t>
              </a:r>
            </a:p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solidFill>
                    <a:srgbClr val="7030A0"/>
                  </a:solidFill>
                  <a:effectLst/>
                  <a:latin typeface="+mn-lt"/>
                  <a:ea typeface="+mn-ea"/>
                  <a:cs typeface="+mn-cs"/>
                </a:rPr>
                <a:t>(RBG</a:t>
              </a:r>
              <a:r>
                <a:rPr lang="en-US" sz="1400" b="1" i="0" baseline="0">
                  <a:solidFill>
                    <a:srgbClr val="7030A0"/>
                  </a:solidFill>
                  <a:effectLst/>
                  <a:latin typeface="+mn-lt"/>
                  <a:ea typeface="+mn-ea"/>
                  <a:cs typeface="+mn-cs"/>
                </a:rPr>
                <a:t> 1000 G)</a:t>
              </a:r>
              <a:endParaRPr lang="en-US" sz="1400" b="1" i="0">
                <a:solidFill>
                  <a:srgbClr val="7030A0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xmlns="" id="{00000000-0008-0000-0200-000025000000}"/>
                </a:ext>
              </a:extLst>
            </xdr:cNvPr>
            <xdr:cNvGrpSpPr/>
          </xdr:nvGrpSpPr>
          <xdr:grpSpPr>
            <a:xfrm>
              <a:off x="5486463" y="828676"/>
              <a:ext cx="6301472" cy="5295900"/>
              <a:chOff x="5486463" y="828676"/>
              <a:chExt cx="6301472" cy="5295900"/>
            </a:xfrm>
          </xdr:grpSpPr>
          <xdr:sp macro="" textlink="">
            <xdr:nvSpPr>
              <xdr:cNvPr id="8" name="TextBox 7">
                <a:extLst>
                  <a:ext uri="{FF2B5EF4-FFF2-40B4-BE49-F238E27FC236}">
                    <a16:creationId xmlns:a16="http://schemas.microsoft.com/office/drawing/2014/main" xmlns="" id="{00000000-0008-0000-0200-000008000000}"/>
                  </a:ext>
                </a:extLst>
              </xdr:cNvPr>
              <xdr:cNvSpPr txBox="1"/>
            </xdr:nvSpPr>
            <xdr:spPr>
              <a:xfrm>
                <a:off x="8282240" y="2085975"/>
                <a:ext cx="2590354" cy="790575"/>
              </a:xfrm>
              <a:prstGeom prst="rect">
                <a:avLst/>
              </a:prstGeom>
              <a:noFill/>
              <a:ln w="15875" cmpd="sng">
                <a:solidFill>
                  <a:schemeClr val="accent6">
                    <a:lumMod val="75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marR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400" b="1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Flow splitter and dilution system</a:t>
                </a:r>
              </a:p>
              <a:p>
                <a:pPr marL="0" marR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400" b="1" i="0">
                    <a:solidFill>
                      <a:srgbClr val="7030A0"/>
                    </a:solidFill>
                    <a:effectLst/>
                    <a:latin typeface="+mn-lt"/>
                    <a:ea typeface="+mn-ea"/>
                    <a:cs typeface="+mn-cs"/>
                  </a:rPr>
                  <a:t>(FS 4 + VKL 10)</a:t>
                </a:r>
              </a:p>
            </xdr:txBody>
          </xdr:sp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xmlns="" id="{00000000-0008-0000-0200-000024000000}"/>
                  </a:ext>
                </a:extLst>
              </xdr:cNvPr>
              <xdr:cNvGrpSpPr/>
            </xdr:nvGrpSpPr>
            <xdr:grpSpPr>
              <a:xfrm>
                <a:off x="5486463" y="828676"/>
                <a:ext cx="6301472" cy="5295900"/>
                <a:chOff x="5486463" y="828676"/>
                <a:chExt cx="6301472" cy="5295900"/>
              </a:xfrm>
            </xdr:grpSpPr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xmlns="" id="{00000000-0008-0000-0200-00001D000000}"/>
                    </a:ext>
                  </a:extLst>
                </xdr:cNvPr>
                <xdr:cNvSpPr txBox="1"/>
              </xdr:nvSpPr>
              <xdr:spPr>
                <a:xfrm>
                  <a:off x="10134600" y="3952875"/>
                  <a:ext cx="1619250" cy="790575"/>
                </a:xfrm>
                <a:prstGeom prst="rect">
                  <a:avLst/>
                </a:prstGeom>
                <a:noFill/>
                <a:ln w="15875" cmpd="sng">
                  <a:solidFill>
                    <a:schemeClr val="accent6">
                      <a:lumMod val="75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marL="0" marR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400" b="1" i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Reference meter</a:t>
                  </a:r>
                </a:p>
                <a:p>
                  <a:pPr marL="0" marR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1400" b="1" i="0">
                      <a:solidFill>
                        <a:srgbClr val="7030A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(Promo 2000 HP)</a:t>
                  </a:r>
                  <a:endParaRPr lang="en-US" sz="1400" b="1" i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</xdr:txBody>
            </xdr:sp>
            <xdr:grpSp>
              <xdr:nvGrpSpPr>
                <xdr:cNvPr id="35" name="Group 34">
                  <a:extLst>
                    <a:ext uri="{FF2B5EF4-FFF2-40B4-BE49-F238E27FC236}">
                      <a16:creationId xmlns:a16="http://schemas.microsoft.com/office/drawing/2014/main" xmlns="" id="{00000000-0008-0000-0200-000023000000}"/>
                    </a:ext>
                  </a:extLst>
                </xdr:cNvPr>
                <xdr:cNvGrpSpPr/>
              </xdr:nvGrpSpPr>
              <xdr:grpSpPr>
                <a:xfrm>
                  <a:off x="5486463" y="828676"/>
                  <a:ext cx="6301472" cy="5295900"/>
                  <a:chOff x="5486463" y="828676"/>
                  <a:chExt cx="6301472" cy="5295900"/>
                </a:xfrm>
              </xdr:grpSpPr>
              <xdr:pic>
                <xdr:nvPicPr>
                  <xdr:cNvPr id="2" name="Picture 1">
                    <a:extLst>
                      <a:ext uri="{FF2B5EF4-FFF2-40B4-BE49-F238E27FC236}">
                        <a16:creationId xmlns:a16="http://schemas.microsoft.com/office/drawing/2014/main" xmlns="" id="{00000000-0008-0000-0200-000002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704" t="11852" r="23951" b="11111"/>
                  <a:stretch/>
                </xdr:blipFill>
                <xdr:spPr>
                  <a:xfrm>
                    <a:off x="5486463" y="828676"/>
                    <a:ext cx="628588" cy="9276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4" name="Picture 3">
                    <a:extLst>
                      <a:ext uri="{FF2B5EF4-FFF2-40B4-BE49-F238E27FC236}">
                        <a16:creationId xmlns:a16="http://schemas.microsoft.com/office/drawing/2014/main" xmlns="" id="{00000000-0008-0000-0200-000004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22222" b="20493"/>
                  <a:stretch/>
                </xdr:blipFill>
                <xdr:spPr>
                  <a:xfrm>
                    <a:off x="9992846" y="4805023"/>
                    <a:ext cx="1795089" cy="1024277"/>
                  </a:xfrm>
                  <a:prstGeom prst="rect">
                    <a:avLst/>
                  </a:prstGeom>
                </xdr:spPr>
              </xdr:pic>
              <xdr:cxnSp macro="">
                <xdr:nvCxnSpPr>
                  <xdr:cNvPr id="10" name="Straight Connector 9">
                    <a:extLst>
                      <a:ext uri="{FF2B5EF4-FFF2-40B4-BE49-F238E27FC236}">
                        <a16:creationId xmlns:a16="http://schemas.microsoft.com/office/drawing/2014/main" xmlns="" id="{00000000-0008-0000-0200-00000A000000}"/>
                      </a:ext>
                    </a:extLst>
                  </xdr:cNvPr>
                  <xdr:cNvCxnSpPr/>
                </xdr:nvCxnSpPr>
                <xdr:spPr>
                  <a:xfrm>
                    <a:off x="6124575" y="3419475"/>
                    <a:ext cx="4848225" cy="0"/>
                  </a:xfrm>
                  <a:prstGeom prst="line">
                    <a:avLst/>
                  </a:prstGeom>
                  <a:ln w="38100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" name="Straight Connector 14">
                    <a:extLst>
                      <a:ext uri="{FF2B5EF4-FFF2-40B4-BE49-F238E27FC236}">
                        <a16:creationId xmlns:a16="http://schemas.microsoft.com/office/drawing/2014/main" xmlns="" id="{00000000-0008-0000-0200-00000F000000}"/>
                      </a:ext>
                    </a:extLst>
                  </xdr:cNvPr>
                  <xdr:cNvCxnSpPr/>
                </xdr:nvCxnSpPr>
                <xdr:spPr>
                  <a:xfrm>
                    <a:off x="9534525" y="2867025"/>
                    <a:ext cx="0" cy="552450"/>
                  </a:xfrm>
                  <a:prstGeom prst="line">
                    <a:avLst/>
                  </a:prstGeom>
                  <a:ln w="38100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6" name="Straight Connector 15">
                    <a:extLst>
                      <a:ext uri="{FF2B5EF4-FFF2-40B4-BE49-F238E27FC236}">
                        <a16:creationId xmlns:a16="http://schemas.microsoft.com/office/drawing/2014/main" xmlns="" id="{00000000-0008-0000-0200-000010000000}"/>
                      </a:ext>
                    </a:extLst>
                  </xdr:cNvPr>
                  <xdr:cNvCxnSpPr/>
                </xdr:nvCxnSpPr>
                <xdr:spPr>
                  <a:xfrm>
                    <a:off x="10982325" y="3400425"/>
                    <a:ext cx="0" cy="552450"/>
                  </a:xfrm>
                  <a:prstGeom prst="line">
                    <a:avLst/>
                  </a:prstGeom>
                  <a:ln w="38100"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9" name="Straight Connector 18">
                    <a:extLst>
                      <a:ext uri="{FF2B5EF4-FFF2-40B4-BE49-F238E27FC236}">
                        <a16:creationId xmlns:a16="http://schemas.microsoft.com/office/drawing/2014/main" xmlns="" id="{00000000-0008-0000-0200-000013000000}"/>
                      </a:ext>
                    </a:extLst>
                  </xdr:cNvPr>
                  <xdr:cNvCxnSpPr/>
                </xdr:nvCxnSpPr>
                <xdr:spPr>
                  <a:xfrm>
                    <a:off x="8534400" y="3419475"/>
                    <a:ext cx="0" cy="552450"/>
                  </a:xfrm>
                  <a:prstGeom prst="line">
                    <a:avLst/>
                  </a:prstGeom>
                  <a:ln w="38100"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1" name="Straight Connector 20">
                    <a:extLst>
                      <a:ext uri="{FF2B5EF4-FFF2-40B4-BE49-F238E27FC236}">
                        <a16:creationId xmlns:a16="http://schemas.microsoft.com/office/drawing/2014/main" xmlns="" id="{00000000-0008-0000-0200-000015000000}"/>
                      </a:ext>
                    </a:extLst>
                  </xdr:cNvPr>
                  <xdr:cNvCxnSpPr/>
                </xdr:nvCxnSpPr>
                <xdr:spPr>
                  <a:xfrm>
                    <a:off x="7324725" y="3419475"/>
                    <a:ext cx="0" cy="552450"/>
                  </a:xfrm>
                  <a:prstGeom prst="line">
                    <a:avLst/>
                  </a:prstGeom>
                  <a:ln w="38100"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3" name="Straight Connector 22">
                    <a:extLst>
                      <a:ext uri="{FF2B5EF4-FFF2-40B4-BE49-F238E27FC236}">
                        <a16:creationId xmlns:a16="http://schemas.microsoft.com/office/drawing/2014/main" xmlns="" id="{00000000-0008-0000-0200-000017000000}"/>
                      </a:ext>
                    </a:extLst>
                  </xdr:cNvPr>
                  <xdr:cNvCxnSpPr/>
                </xdr:nvCxnSpPr>
                <xdr:spPr>
                  <a:xfrm>
                    <a:off x="6124575" y="3400425"/>
                    <a:ext cx="0" cy="552450"/>
                  </a:xfrm>
                  <a:prstGeom prst="line">
                    <a:avLst/>
                  </a:prstGeom>
                  <a:ln w="38100"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pic>
                <xdr:nvPicPr>
                  <xdr:cNvPr id="25" name="Picture 24">
                    <a:extLst>
                      <a:ext uri="{FF2B5EF4-FFF2-40B4-BE49-F238E27FC236}">
                        <a16:creationId xmlns:a16="http://schemas.microsoft.com/office/drawing/2014/main" xmlns="" id="{00000000-0008-0000-0200-000019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3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6650620" y="4943476"/>
                    <a:ext cx="544618" cy="11811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27" name="Picture 26">
                    <a:extLst>
                      <a:ext uri="{FF2B5EF4-FFF2-40B4-BE49-F238E27FC236}">
                        <a16:creationId xmlns:a16="http://schemas.microsoft.com/office/drawing/2014/main" xmlns="" id="{00000000-0008-0000-0200-00001B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15111" t="7111" r="16000" b="9778"/>
                  <a:stretch/>
                </xdr:blipFill>
                <xdr:spPr>
                  <a:xfrm>
                    <a:off x="7362826" y="4876800"/>
                    <a:ext cx="1018462" cy="1228725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28" name="TextBox 27">
                    <a:extLst>
                      <a:ext uri="{FF2B5EF4-FFF2-40B4-BE49-F238E27FC236}">
                        <a16:creationId xmlns:a16="http://schemas.microsoft.com/office/drawing/2014/main" xmlns="" id="{00000000-0008-0000-0200-00001C000000}"/>
                      </a:ext>
                    </a:extLst>
                  </xdr:cNvPr>
                  <xdr:cNvSpPr txBox="1"/>
                </xdr:nvSpPr>
                <xdr:spPr>
                  <a:xfrm>
                    <a:off x="5962649" y="3962400"/>
                    <a:ext cx="2805282" cy="790575"/>
                  </a:xfrm>
                  <a:prstGeom prst="rect">
                    <a:avLst/>
                  </a:prstGeom>
                  <a:noFill/>
                  <a:ln w="15875" cmpd="sng">
                    <a:solidFill>
                      <a:schemeClr val="accent6">
                        <a:lumMod val="75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marL="0" marR="0" indent="0" algn="ctr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sz="1400" b="1" i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Particle measurement devices</a:t>
                    </a:r>
                    <a:endParaRPr lang="en-US" sz="1400" b="1" i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endParaRPr>
                  </a:p>
                </xdr:txBody>
              </xdr:sp>
              <xdr:pic>
                <xdr:nvPicPr>
                  <xdr:cNvPr id="30" name="Picture 29">
                    <a:extLst>
                      <a:ext uri="{FF2B5EF4-FFF2-40B4-BE49-F238E27FC236}">
                        <a16:creationId xmlns:a16="http://schemas.microsoft.com/office/drawing/2014/main" xmlns="" id="{00000000-0008-0000-0200-00001E0000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18484" r="23222"/>
                  <a:stretch/>
                </xdr:blipFill>
                <xdr:spPr>
                  <a:xfrm>
                    <a:off x="8429625" y="5191126"/>
                    <a:ext cx="460787" cy="895350"/>
                  </a:xfrm>
                  <a:prstGeom prst="rect">
                    <a:avLst/>
                  </a:prstGeom>
                </xdr:spPr>
              </xdr:pic>
              <xdr:cxnSp macro="">
                <xdr:nvCxnSpPr>
                  <xdr:cNvPr id="31" name="Straight Connector 30">
                    <a:extLst>
                      <a:ext uri="{FF2B5EF4-FFF2-40B4-BE49-F238E27FC236}">
                        <a16:creationId xmlns:a16="http://schemas.microsoft.com/office/drawing/2014/main" xmlns="" id="{00000000-0008-0000-0200-00001F000000}"/>
                      </a:ext>
                    </a:extLst>
                  </xdr:cNvPr>
                  <xdr:cNvCxnSpPr/>
                </xdr:nvCxnSpPr>
                <xdr:spPr>
                  <a:xfrm>
                    <a:off x="9505950" y="1333500"/>
                    <a:ext cx="0" cy="742950"/>
                  </a:xfrm>
                  <a:prstGeom prst="line">
                    <a:avLst/>
                  </a:prstGeom>
                  <a:ln w="38100"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xmlns="" id="{00000000-0008-0000-0200-000021000000}"/>
                      </a:ext>
                    </a:extLst>
                  </xdr:cNvPr>
                  <xdr:cNvCxnSpPr/>
                </xdr:nvCxnSpPr>
                <xdr:spPr>
                  <a:xfrm>
                    <a:off x="8277225" y="1323975"/>
                    <a:ext cx="1247775" cy="0"/>
                  </a:xfrm>
                  <a:prstGeom prst="line">
                    <a:avLst/>
                  </a:prstGeom>
                  <a:ln w="38100"/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</xdr:grpSp>
        </xdr:grpSp>
      </xdr:grpSp>
      <xdr:pic>
        <xdr:nvPicPr>
          <xdr:cNvPr id="7" name="Picture 6">
            <a:extLst>
              <a:ext uri="{FF2B5EF4-FFF2-40B4-BE49-F238E27FC236}">
                <a16:creationId xmlns:a16="http://schemas.microsoft.com/office/drawing/2014/main" xmlns="" id="{376EF9C9-F650-EE43-ABEE-8E7DEBCAAB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7007463" y="1107839"/>
            <a:ext cx="1028224" cy="806450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xmlns="" id="{D41312F8-974C-294E-8C28-7DAFA783AB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5971161" y="2169540"/>
            <a:ext cx="1176777" cy="825500"/>
          </a:xfrm>
          <a:prstGeom prst="rect">
            <a:avLst/>
          </a:prstGeom>
        </xdr:spPr>
      </xdr:pic>
      <xdr:pic>
        <xdr:nvPicPr>
          <xdr:cNvPr id="32" name="Picture 31">
            <a:extLst>
              <a:ext uri="{FF2B5EF4-FFF2-40B4-BE49-F238E27FC236}">
                <a16:creationId xmlns:a16="http://schemas.microsoft.com/office/drawing/2014/main" xmlns="" id="{B851D703-423D-AA4D-9A02-BF0E2DBA7E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6669661" y="2182241"/>
            <a:ext cx="1176777" cy="825500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xmlns="" id="{C88D3906-C49F-4641-BF7D-DEE6EFB16C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7355461" y="2182241"/>
            <a:ext cx="1176777" cy="825500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xmlns="" id="{04807A9B-2E3E-6847-B557-FCAD3ED18B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400000">
            <a:off x="8053961" y="2194942"/>
            <a:ext cx="1176777" cy="8255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abSelected="1" topLeftCell="A58" zoomScale="90" zoomScaleNormal="90" workbookViewId="0">
      <selection activeCell="K21" sqref="K21"/>
    </sheetView>
  </sheetViews>
  <sheetFormatPr defaultColWidth="9.140625" defaultRowHeight="14.25" x14ac:dyDescent="0.25"/>
  <cols>
    <col min="1" max="1" width="5.28515625" style="39" customWidth="1"/>
    <col min="2" max="2" width="61" style="39" customWidth="1"/>
    <col min="3" max="3" width="3.85546875" style="39" customWidth="1"/>
    <col min="4" max="4" width="14.42578125" style="39" customWidth="1"/>
    <col min="5" max="5" width="15.42578125" style="39" customWidth="1"/>
    <col min="6" max="16384" width="9.140625" style="39"/>
  </cols>
  <sheetData>
    <row r="1" spans="1:5" s="7" customFormat="1" ht="27.75" x14ac:dyDescent="0.4">
      <c r="A1" s="1"/>
      <c r="B1" s="2" t="s">
        <v>0</v>
      </c>
      <c r="C1" s="3"/>
      <c r="D1" s="3"/>
      <c r="E1" s="4" t="s">
        <v>76</v>
      </c>
    </row>
    <row r="2" spans="1:5" s="9" customFormat="1" ht="15" x14ac:dyDescent="0.25">
      <c r="A2" s="8"/>
      <c r="E2" s="10" t="s">
        <v>75</v>
      </c>
    </row>
    <row r="3" spans="1:5" s="9" customFormat="1" ht="15.75" x14ac:dyDescent="0.25">
      <c r="A3" s="35" t="s">
        <v>83</v>
      </c>
      <c r="B3" s="11"/>
      <c r="C3" s="11"/>
      <c r="D3" s="11"/>
      <c r="E3" s="11"/>
    </row>
    <row r="4" spans="1:5" s="9" customFormat="1" ht="15.75" x14ac:dyDescent="0.25">
      <c r="A4" s="35" t="s">
        <v>74</v>
      </c>
      <c r="B4" s="11"/>
      <c r="C4" s="11"/>
      <c r="D4" s="11"/>
      <c r="E4" s="11"/>
    </row>
    <row r="5" spans="1:5" s="5" customFormat="1" ht="18" customHeight="1" x14ac:dyDescent="0.25">
      <c r="A5" s="12"/>
      <c r="B5" s="11"/>
      <c r="C5" s="11"/>
      <c r="D5" s="11"/>
      <c r="E5" s="6"/>
    </row>
    <row r="6" spans="1:5" s="6" customFormat="1" ht="15" x14ac:dyDescent="0.25">
      <c r="A6" s="13" t="s">
        <v>9</v>
      </c>
      <c r="B6" s="11"/>
      <c r="C6" s="11"/>
      <c r="D6" s="11"/>
    </row>
    <row r="7" spans="1:5" s="5" customFormat="1" x14ac:dyDescent="0.2">
      <c r="A7" s="14" t="s">
        <v>77</v>
      </c>
    </row>
    <row r="8" spans="1:5" ht="18" customHeight="1" x14ac:dyDescent="0.25">
      <c r="A8" s="36" t="s">
        <v>10</v>
      </c>
      <c r="B8" s="36" t="s">
        <v>11</v>
      </c>
      <c r="C8" s="36" t="s">
        <v>1</v>
      </c>
      <c r="D8" s="36" t="s">
        <v>2</v>
      </c>
      <c r="E8" s="36" t="s">
        <v>3</v>
      </c>
    </row>
    <row r="9" spans="1:5" s="40" customFormat="1" ht="15" x14ac:dyDescent="0.25">
      <c r="A9" s="38">
        <v>1</v>
      </c>
      <c r="B9" s="29" t="s">
        <v>20</v>
      </c>
      <c r="C9" s="37">
        <v>1</v>
      </c>
      <c r="D9" s="30">
        <v>629300000</v>
      </c>
      <c r="E9" s="30">
        <f>D9*C9</f>
        <v>629300000</v>
      </c>
    </row>
    <row r="10" spans="1:5" s="40" customFormat="1" ht="15" x14ac:dyDescent="0.25">
      <c r="A10" s="34"/>
      <c r="B10" s="33" t="s">
        <v>18</v>
      </c>
      <c r="C10" s="31"/>
      <c r="D10" s="30"/>
      <c r="E10" s="32"/>
    </row>
    <row r="11" spans="1:5" s="40" customFormat="1" ht="15" x14ac:dyDescent="0.25">
      <c r="A11" s="34"/>
      <c r="B11" s="33" t="s">
        <v>19</v>
      </c>
      <c r="C11" s="31"/>
      <c r="D11" s="30"/>
      <c r="E11" s="32"/>
    </row>
    <row r="12" spans="1:5" s="40" customFormat="1" ht="15" x14ac:dyDescent="0.25">
      <c r="A12" s="34"/>
      <c r="B12" s="33" t="s">
        <v>16</v>
      </c>
      <c r="C12" s="31"/>
      <c r="D12" s="30"/>
      <c r="E12" s="32"/>
    </row>
    <row r="13" spans="1:5" s="41" customFormat="1" ht="15" x14ac:dyDescent="0.25">
      <c r="A13" s="34"/>
      <c r="B13" s="33" t="s">
        <v>50</v>
      </c>
      <c r="C13" s="31"/>
      <c r="D13" s="30"/>
      <c r="E13" s="32"/>
    </row>
    <row r="14" spans="1:5" s="41" customFormat="1" ht="15" x14ac:dyDescent="0.25">
      <c r="A14" s="34"/>
      <c r="B14" s="42" t="s">
        <v>51</v>
      </c>
      <c r="C14" s="31"/>
      <c r="D14" s="30"/>
      <c r="E14" s="32"/>
    </row>
    <row r="15" spans="1:5" s="41" customFormat="1" ht="15" x14ac:dyDescent="0.25">
      <c r="A15" s="34"/>
      <c r="B15" s="42" t="s">
        <v>56</v>
      </c>
      <c r="C15" s="31"/>
      <c r="D15" s="30"/>
      <c r="E15" s="32"/>
    </row>
    <row r="16" spans="1:5" s="41" customFormat="1" ht="15" x14ac:dyDescent="0.25">
      <c r="A16" s="34"/>
      <c r="B16" s="33" t="s">
        <v>52</v>
      </c>
      <c r="C16" s="31"/>
      <c r="D16" s="30"/>
      <c r="E16" s="32"/>
    </row>
    <row r="17" spans="1:5" s="41" customFormat="1" ht="15" x14ac:dyDescent="0.25">
      <c r="A17" s="34"/>
      <c r="B17" s="33" t="s">
        <v>53</v>
      </c>
      <c r="C17" s="31"/>
      <c r="D17" s="30"/>
      <c r="E17" s="32"/>
    </row>
    <row r="18" spans="1:5" s="41" customFormat="1" ht="15" x14ac:dyDescent="0.25">
      <c r="A18" s="34"/>
      <c r="B18" s="33" t="s">
        <v>54</v>
      </c>
      <c r="C18" s="31"/>
      <c r="D18" s="30"/>
      <c r="E18" s="32"/>
    </row>
    <row r="19" spans="1:5" s="41" customFormat="1" ht="15" x14ac:dyDescent="0.25">
      <c r="A19" s="34"/>
      <c r="B19" s="33" t="s">
        <v>55</v>
      </c>
      <c r="C19" s="31"/>
      <c r="D19" s="30"/>
      <c r="E19" s="32"/>
    </row>
    <row r="20" spans="1:5" s="41" customFormat="1" ht="15" x14ac:dyDescent="0.25">
      <c r="A20" s="34"/>
      <c r="B20" s="33" t="s">
        <v>57</v>
      </c>
      <c r="C20" s="31"/>
      <c r="D20" s="30"/>
      <c r="E20" s="32"/>
    </row>
    <row r="21" spans="1:5" s="41" customFormat="1" ht="15" x14ac:dyDescent="0.25">
      <c r="A21" s="34"/>
      <c r="B21" s="33" t="s">
        <v>58</v>
      </c>
      <c r="C21" s="31"/>
      <c r="D21" s="30"/>
      <c r="E21" s="32"/>
    </row>
    <row r="22" spans="1:5" s="41" customFormat="1" ht="15" x14ac:dyDescent="0.25">
      <c r="A22" s="34"/>
      <c r="B22" s="33" t="s">
        <v>59</v>
      </c>
      <c r="C22" s="31"/>
      <c r="D22" s="30"/>
      <c r="E22" s="32"/>
    </row>
    <row r="23" spans="1:5" s="41" customFormat="1" ht="15" x14ac:dyDescent="0.25">
      <c r="A23" s="34"/>
      <c r="B23" s="42" t="s">
        <v>60</v>
      </c>
      <c r="C23" s="31"/>
      <c r="D23" s="30"/>
      <c r="E23" s="32"/>
    </row>
    <row r="24" spans="1:5" s="41" customFormat="1" ht="15" x14ac:dyDescent="0.25">
      <c r="A24" s="34"/>
      <c r="B24" s="42" t="s">
        <v>61</v>
      </c>
      <c r="C24" s="31"/>
      <c r="D24" s="30"/>
      <c r="E24" s="32"/>
    </row>
    <row r="25" spans="1:5" s="41" customFormat="1" ht="15" x14ac:dyDescent="0.25">
      <c r="A25" s="34"/>
      <c r="B25" s="42" t="s">
        <v>62</v>
      </c>
      <c r="C25" s="31"/>
      <c r="D25" s="30"/>
      <c r="E25" s="32"/>
    </row>
    <row r="26" spans="1:5" s="40" customFormat="1" ht="15" x14ac:dyDescent="0.25">
      <c r="A26" s="34"/>
      <c r="B26" s="33" t="s">
        <v>21</v>
      </c>
      <c r="C26" s="31"/>
      <c r="D26" s="30"/>
      <c r="E26" s="32"/>
    </row>
    <row r="27" spans="1:5" s="40" customFormat="1" ht="15" x14ac:dyDescent="0.25">
      <c r="A27" s="34"/>
      <c r="B27" s="33" t="s">
        <v>22</v>
      </c>
      <c r="C27" s="31"/>
      <c r="D27" s="30"/>
      <c r="E27" s="32"/>
    </row>
    <row r="28" spans="1:5" s="40" customFormat="1" ht="15" x14ac:dyDescent="0.25">
      <c r="A28" s="34"/>
      <c r="B28" s="33" t="s">
        <v>23</v>
      </c>
      <c r="C28" s="31"/>
      <c r="D28" s="30"/>
      <c r="E28" s="32"/>
    </row>
    <row r="29" spans="1:5" s="40" customFormat="1" ht="16.5" x14ac:dyDescent="0.25">
      <c r="A29" s="34"/>
      <c r="B29" s="33" t="s">
        <v>24</v>
      </c>
      <c r="C29" s="31"/>
      <c r="D29" s="30"/>
      <c r="E29" s="32"/>
    </row>
    <row r="30" spans="1:5" s="40" customFormat="1" ht="15" x14ac:dyDescent="0.25">
      <c r="A30" s="34"/>
      <c r="B30" s="33" t="s">
        <v>25</v>
      </c>
      <c r="C30" s="31"/>
      <c r="D30" s="30"/>
      <c r="E30" s="32"/>
    </row>
    <row r="31" spans="1:5" s="41" customFormat="1" ht="15" x14ac:dyDescent="0.25">
      <c r="A31" s="34"/>
      <c r="B31" s="33" t="s">
        <v>30</v>
      </c>
      <c r="C31" s="31"/>
      <c r="D31" s="30"/>
      <c r="E31" s="32"/>
    </row>
    <row r="32" spans="1:5" s="40" customFormat="1" ht="15" x14ac:dyDescent="0.25">
      <c r="A32" s="34"/>
      <c r="B32" s="33" t="s">
        <v>45</v>
      </c>
      <c r="C32" s="31"/>
      <c r="D32" s="30"/>
      <c r="E32" s="32"/>
    </row>
    <row r="33" spans="1:5" s="40" customFormat="1" ht="15" x14ac:dyDescent="0.25">
      <c r="A33" s="34"/>
      <c r="B33" s="33" t="s">
        <v>26</v>
      </c>
      <c r="C33" s="31"/>
      <c r="D33" s="30"/>
      <c r="E33" s="32"/>
    </row>
    <row r="34" spans="1:5" s="40" customFormat="1" ht="15" x14ac:dyDescent="0.25">
      <c r="A34" s="34"/>
      <c r="B34" s="33" t="s">
        <v>42</v>
      </c>
      <c r="C34" s="31"/>
      <c r="D34" s="30"/>
      <c r="E34" s="32"/>
    </row>
    <row r="35" spans="1:5" s="40" customFormat="1" ht="15" x14ac:dyDescent="0.25">
      <c r="A35" s="34"/>
      <c r="B35" s="33" t="s">
        <v>27</v>
      </c>
      <c r="C35" s="31"/>
      <c r="D35" s="30"/>
      <c r="E35" s="32"/>
    </row>
    <row r="36" spans="1:5" s="41" customFormat="1" ht="15" x14ac:dyDescent="0.25">
      <c r="A36" s="34"/>
      <c r="B36" s="42" t="s">
        <v>32</v>
      </c>
      <c r="C36" s="31"/>
      <c r="D36" s="30"/>
      <c r="E36" s="32"/>
    </row>
    <row r="37" spans="1:5" s="41" customFormat="1" ht="15" x14ac:dyDescent="0.25">
      <c r="A37" s="34"/>
      <c r="B37" s="42" t="s">
        <v>33</v>
      </c>
      <c r="C37" s="31"/>
      <c r="D37" s="30"/>
      <c r="E37" s="32"/>
    </row>
    <row r="38" spans="1:5" s="41" customFormat="1" ht="15" x14ac:dyDescent="0.25">
      <c r="A38" s="34"/>
      <c r="B38" s="42" t="s">
        <v>34</v>
      </c>
      <c r="C38" s="31"/>
      <c r="D38" s="30"/>
      <c r="E38" s="32"/>
    </row>
    <row r="39" spans="1:5" s="40" customFormat="1" ht="15" x14ac:dyDescent="0.25">
      <c r="A39" s="34"/>
      <c r="B39" s="33" t="s">
        <v>28</v>
      </c>
      <c r="C39" s="31"/>
      <c r="D39" s="30"/>
      <c r="E39" s="32"/>
    </row>
    <row r="40" spans="1:5" s="41" customFormat="1" ht="15" x14ac:dyDescent="0.25">
      <c r="A40" s="34"/>
      <c r="B40" s="42" t="s">
        <v>35</v>
      </c>
      <c r="C40" s="31"/>
      <c r="D40" s="30"/>
      <c r="E40" s="32"/>
    </row>
    <row r="41" spans="1:5" s="41" customFormat="1" ht="15" x14ac:dyDescent="0.25">
      <c r="A41" s="34"/>
      <c r="B41" s="42" t="s">
        <v>36</v>
      </c>
      <c r="C41" s="31"/>
      <c r="D41" s="30"/>
      <c r="E41" s="32"/>
    </row>
    <row r="42" spans="1:5" s="41" customFormat="1" ht="15" x14ac:dyDescent="0.25">
      <c r="A42" s="34"/>
      <c r="B42" s="42" t="s">
        <v>37</v>
      </c>
      <c r="C42" s="31"/>
      <c r="D42" s="30"/>
      <c r="E42" s="32"/>
    </row>
    <row r="43" spans="1:5" s="41" customFormat="1" ht="15" x14ac:dyDescent="0.25">
      <c r="A43" s="34"/>
      <c r="B43" s="42" t="s">
        <v>38</v>
      </c>
      <c r="C43" s="31"/>
      <c r="D43" s="30"/>
      <c r="E43" s="32"/>
    </row>
    <row r="44" spans="1:5" s="41" customFormat="1" ht="15" x14ac:dyDescent="0.25">
      <c r="A44" s="34"/>
      <c r="B44" s="42" t="s">
        <v>39</v>
      </c>
      <c r="C44" s="31"/>
      <c r="D44" s="30"/>
      <c r="E44" s="32"/>
    </row>
    <row r="45" spans="1:5" s="41" customFormat="1" ht="15" x14ac:dyDescent="0.25">
      <c r="A45" s="34"/>
      <c r="B45" s="33" t="s">
        <v>63</v>
      </c>
      <c r="C45" s="31"/>
      <c r="D45" s="30"/>
      <c r="E45" s="32"/>
    </row>
    <row r="46" spans="1:5" s="41" customFormat="1" ht="15" x14ac:dyDescent="0.25">
      <c r="A46" s="34"/>
      <c r="B46" s="42" t="s">
        <v>29</v>
      </c>
      <c r="C46" s="31"/>
      <c r="D46" s="30"/>
      <c r="E46" s="32"/>
    </row>
    <row r="47" spans="1:5" s="41" customFormat="1" ht="15" x14ac:dyDescent="0.25">
      <c r="A47" s="34"/>
      <c r="B47" s="42" t="s">
        <v>31</v>
      </c>
      <c r="C47" s="31"/>
      <c r="D47" s="30"/>
      <c r="E47" s="32"/>
    </row>
    <row r="48" spans="1:5" s="41" customFormat="1" ht="15" x14ac:dyDescent="0.25">
      <c r="A48" s="34"/>
      <c r="B48" s="29" t="s">
        <v>40</v>
      </c>
      <c r="C48" s="31"/>
      <c r="D48" s="30"/>
      <c r="E48" s="32"/>
    </row>
    <row r="49" spans="1:5" s="41" customFormat="1" x14ac:dyDescent="0.25">
      <c r="A49" s="34"/>
      <c r="B49" s="33" t="s">
        <v>41</v>
      </c>
      <c r="C49" s="31"/>
      <c r="D49" s="32"/>
      <c r="E49" s="32"/>
    </row>
    <row r="50" spans="1:5" s="41" customFormat="1" x14ac:dyDescent="0.25">
      <c r="A50" s="34"/>
      <c r="B50" s="33" t="s">
        <v>43</v>
      </c>
      <c r="C50" s="31"/>
      <c r="D50" s="32"/>
      <c r="E50" s="32"/>
    </row>
    <row r="51" spans="1:5" s="41" customFormat="1" x14ac:dyDescent="0.25">
      <c r="A51" s="34"/>
      <c r="B51" s="33" t="s">
        <v>80</v>
      </c>
      <c r="C51" s="31"/>
      <c r="D51" s="32"/>
      <c r="E51" s="32"/>
    </row>
    <row r="52" spans="1:5" s="41" customFormat="1" x14ac:dyDescent="0.25">
      <c r="A52" s="34"/>
      <c r="B52" s="33" t="s">
        <v>44</v>
      </c>
      <c r="C52" s="31"/>
      <c r="D52" s="32"/>
      <c r="E52" s="32"/>
    </row>
    <row r="53" spans="1:5" s="41" customFormat="1" x14ac:dyDescent="0.25">
      <c r="A53" s="34"/>
      <c r="B53" s="33" t="s">
        <v>73</v>
      </c>
      <c r="C53" s="31"/>
      <c r="D53" s="32"/>
      <c r="E53" s="32"/>
    </row>
    <row r="54" spans="1:5" s="44" customFormat="1" ht="15" x14ac:dyDescent="0.25">
      <c r="A54" s="38">
        <v>2</v>
      </c>
      <c r="B54" s="29" t="s">
        <v>64</v>
      </c>
      <c r="C54" s="37">
        <v>1</v>
      </c>
      <c r="D54" s="30">
        <v>298700000</v>
      </c>
      <c r="E54" s="30">
        <f>D54*C54</f>
        <v>298700000</v>
      </c>
    </row>
    <row r="55" spans="1:5" s="44" customFormat="1" ht="15" x14ac:dyDescent="0.25">
      <c r="A55" s="34"/>
      <c r="B55" s="33" t="s">
        <v>18</v>
      </c>
      <c r="C55" s="31"/>
      <c r="D55" s="30"/>
      <c r="E55" s="32"/>
    </row>
    <row r="56" spans="1:5" s="44" customFormat="1" ht="15" x14ac:dyDescent="0.25">
      <c r="A56" s="34"/>
      <c r="B56" s="33" t="s">
        <v>65</v>
      </c>
      <c r="C56" s="31"/>
      <c r="D56" s="30"/>
      <c r="E56" s="32"/>
    </row>
    <row r="57" spans="1:5" s="44" customFormat="1" ht="15" x14ac:dyDescent="0.25">
      <c r="A57" s="34"/>
      <c r="B57" s="33" t="s">
        <v>16</v>
      </c>
      <c r="C57" s="31"/>
      <c r="D57" s="30"/>
      <c r="E57" s="32"/>
    </row>
    <row r="58" spans="1:5" s="44" customFormat="1" x14ac:dyDescent="0.25">
      <c r="A58" s="43"/>
      <c r="B58" s="33" t="s">
        <v>66</v>
      </c>
      <c r="C58" s="31"/>
      <c r="D58" s="32"/>
      <c r="E58" s="32"/>
    </row>
    <row r="59" spans="1:5" s="44" customFormat="1" x14ac:dyDescent="0.25">
      <c r="A59" s="43"/>
      <c r="B59" s="33" t="s">
        <v>46</v>
      </c>
      <c r="C59" s="31"/>
      <c r="D59" s="32"/>
      <c r="E59" s="32"/>
    </row>
    <row r="60" spans="1:5" s="44" customFormat="1" ht="15" x14ac:dyDescent="0.25">
      <c r="A60" s="43"/>
      <c r="B60" s="33" t="s">
        <v>67</v>
      </c>
      <c r="C60" s="31"/>
      <c r="D60" s="32"/>
      <c r="E60" s="32"/>
    </row>
    <row r="61" spans="1:5" s="44" customFormat="1" x14ac:dyDescent="0.25">
      <c r="A61" s="43"/>
      <c r="B61" s="33" t="s">
        <v>68</v>
      </c>
      <c r="C61" s="31"/>
      <c r="D61" s="32"/>
      <c r="E61" s="32"/>
    </row>
    <row r="62" spans="1:5" s="44" customFormat="1" x14ac:dyDescent="0.25">
      <c r="A62" s="43"/>
      <c r="B62" s="33" t="s">
        <v>47</v>
      </c>
      <c r="C62" s="31"/>
      <c r="D62" s="32"/>
      <c r="E62" s="32"/>
    </row>
    <row r="63" spans="1:5" s="44" customFormat="1" x14ac:dyDescent="0.25">
      <c r="A63" s="43"/>
      <c r="B63" s="33" t="s">
        <v>30</v>
      </c>
      <c r="C63" s="31"/>
      <c r="D63" s="32"/>
      <c r="E63" s="32"/>
    </row>
    <row r="64" spans="1:5" s="44" customFormat="1" ht="15" x14ac:dyDescent="0.25">
      <c r="A64" s="34"/>
      <c r="B64" s="33" t="s">
        <v>63</v>
      </c>
      <c r="C64" s="31"/>
      <c r="D64" s="30"/>
      <c r="E64" s="32"/>
    </row>
    <row r="65" spans="1:5" s="44" customFormat="1" ht="15" x14ac:dyDescent="0.25">
      <c r="A65" s="34"/>
      <c r="B65" s="42" t="s">
        <v>48</v>
      </c>
      <c r="C65" s="31"/>
      <c r="D65" s="30"/>
      <c r="E65" s="32"/>
    </row>
    <row r="66" spans="1:5" s="44" customFormat="1" ht="15" x14ac:dyDescent="0.25">
      <c r="A66" s="34"/>
      <c r="B66" s="42" t="s">
        <v>49</v>
      </c>
      <c r="C66" s="31"/>
      <c r="D66" s="30"/>
      <c r="E66" s="32"/>
    </row>
    <row r="67" spans="1:5" s="44" customFormat="1" ht="15" x14ac:dyDescent="0.25">
      <c r="A67" s="43"/>
      <c r="B67" s="29" t="s">
        <v>40</v>
      </c>
      <c r="C67" s="48">
        <v>1</v>
      </c>
      <c r="D67" s="32"/>
      <c r="E67" s="32"/>
    </row>
    <row r="68" spans="1:5" s="44" customFormat="1" x14ac:dyDescent="0.25">
      <c r="A68" s="34" t="s">
        <v>69</v>
      </c>
      <c r="B68" s="33" t="s">
        <v>70</v>
      </c>
      <c r="C68" s="31">
        <v>1</v>
      </c>
      <c r="D68" s="32"/>
      <c r="E68" s="32"/>
    </row>
    <row r="69" spans="1:5" s="44" customFormat="1" x14ac:dyDescent="0.25">
      <c r="A69" s="34" t="s">
        <v>69</v>
      </c>
      <c r="B69" s="33" t="s">
        <v>71</v>
      </c>
      <c r="C69" s="31">
        <v>2</v>
      </c>
      <c r="D69" s="32"/>
      <c r="E69" s="32"/>
    </row>
    <row r="70" spans="1:5" s="44" customFormat="1" x14ac:dyDescent="0.25">
      <c r="A70" s="34" t="s">
        <v>69</v>
      </c>
      <c r="B70" s="33" t="s">
        <v>72</v>
      </c>
      <c r="C70" s="31">
        <v>2</v>
      </c>
      <c r="D70" s="32"/>
      <c r="E70" s="32"/>
    </row>
    <row r="71" spans="1:5" s="44" customFormat="1" ht="17.25" customHeight="1" x14ac:dyDescent="0.25">
      <c r="A71" s="15"/>
      <c r="B71" s="15" t="s">
        <v>12</v>
      </c>
      <c r="C71" s="15"/>
      <c r="D71" s="49"/>
      <c r="E71" s="49">
        <f>SUM(E9:E70)</f>
        <v>928000000</v>
      </c>
    </row>
    <row r="72" spans="1:5" s="44" customFormat="1" ht="17.25" customHeight="1" x14ac:dyDescent="0.25">
      <c r="B72" s="44" t="s">
        <v>81</v>
      </c>
      <c r="D72" s="18"/>
      <c r="E72" s="18">
        <f>E71*0.25</f>
        <v>232000000</v>
      </c>
    </row>
    <row r="73" spans="1:5" s="44" customFormat="1" ht="15" x14ac:dyDescent="0.25">
      <c r="B73" s="16" t="s">
        <v>78</v>
      </c>
      <c r="C73" s="16"/>
      <c r="D73" s="17"/>
      <c r="E73" s="17">
        <f>E71-E72</f>
        <v>696000000</v>
      </c>
    </row>
    <row r="74" spans="1:5" ht="15" x14ac:dyDescent="0.25">
      <c r="B74" s="16" t="s">
        <v>7</v>
      </c>
      <c r="C74" s="16"/>
      <c r="D74" s="17"/>
      <c r="E74" s="17">
        <f>E73*0.1</f>
        <v>69600000</v>
      </c>
    </row>
    <row r="75" spans="1:5" ht="15" x14ac:dyDescent="0.25">
      <c r="B75" s="16" t="s">
        <v>79</v>
      </c>
      <c r="C75" s="16"/>
      <c r="D75" s="17"/>
      <c r="E75" s="17">
        <f>E73+E74</f>
        <v>765600000</v>
      </c>
    </row>
    <row r="76" spans="1:5" ht="11.25" customHeight="1" x14ac:dyDescent="0.25">
      <c r="D76" s="18"/>
      <c r="E76" s="18"/>
    </row>
    <row r="77" spans="1:5" s="5" customFormat="1" x14ac:dyDescent="0.2">
      <c r="A77" s="19" t="s">
        <v>4</v>
      </c>
      <c r="B77" s="20"/>
      <c r="C77" s="20"/>
      <c r="D77" s="21"/>
      <c r="E77" s="21"/>
    </row>
    <row r="78" spans="1:5" s="5" customFormat="1" ht="18" customHeight="1" x14ac:dyDescent="0.2">
      <c r="A78" s="1"/>
      <c r="B78" s="22" t="s">
        <v>6</v>
      </c>
      <c r="C78" s="22"/>
      <c r="D78" s="22"/>
      <c r="E78" s="22"/>
    </row>
    <row r="79" spans="1:5" s="5" customFormat="1" x14ac:dyDescent="0.2">
      <c r="A79" s="1"/>
      <c r="B79" s="22" t="s">
        <v>13</v>
      </c>
      <c r="C79" s="22"/>
      <c r="D79" s="22"/>
      <c r="E79" s="22"/>
    </row>
    <row r="80" spans="1:5" s="5" customFormat="1" x14ac:dyDescent="0.2">
      <c r="A80" s="1"/>
      <c r="B80" s="22" t="s">
        <v>17</v>
      </c>
      <c r="C80" s="22"/>
      <c r="D80" s="22"/>
      <c r="E80" s="22"/>
    </row>
    <row r="81" spans="1:5" s="5" customFormat="1" x14ac:dyDescent="0.2">
      <c r="A81" s="1"/>
      <c r="B81" s="22" t="s">
        <v>5</v>
      </c>
      <c r="C81" s="22"/>
      <c r="D81" s="22"/>
      <c r="E81" s="22"/>
    </row>
    <row r="82" spans="1:5" s="5" customFormat="1" x14ac:dyDescent="0.2">
      <c r="A82" s="1"/>
      <c r="B82" s="22" t="s">
        <v>14</v>
      </c>
      <c r="C82" s="22"/>
      <c r="D82" s="22"/>
      <c r="E82" s="22"/>
    </row>
    <row r="83" spans="1:5" s="5" customFormat="1" x14ac:dyDescent="0.2">
      <c r="A83" s="1"/>
      <c r="B83" s="22"/>
      <c r="C83" s="22"/>
      <c r="D83" s="22"/>
      <c r="E83" s="22"/>
    </row>
    <row r="84" spans="1:5" s="5" customFormat="1" ht="15.75" x14ac:dyDescent="0.25">
      <c r="B84" s="23" t="s">
        <v>82</v>
      </c>
      <c r="C84" s="24"/>
      <c r="D84" s="24"/>
      <c r="E84" s="25"/>
    </row>
    <row r="85" spans="1:5" s="5" customFormat="1" ht="15.75" x14ac:dyDescent="0.25">
      <c r="B85" s="23" t="s">
        <v>15</v>
      </c>
      <c r="C85" s="24"/>
      <c r="D85" s="24"/>
      <c r="E85" s="25"/>
    </row>
    <row r="86" spans="1:5" s="5" customFormat="1" ht="15.75" x14ac:dyDescent="0.25">
      <c r="B86" s="26" t="s">
        <v>8</v>
      </c>
      <c r="C86" s="27"/>
      <c r="D86" s="27"/>
    </row>
    <row r="87" spans="1:5" x14ac:dyDescent="0.25">
      <c r="B87" s="28"/>
      <c r="C87" s="47"/>
      <c r="D87" s="47"/>
    </row>
    <row r="88" spans="1:5" ht="15" x14ac:dyDescent="0.25">
      <c r="B88" s="28"/>
      <c r="C88" s="45"/>
      <c r="D88" s="46"/>
    </row>
    <row r="89" spans="1:5" ht="15" x14ac:dyDescent="0.25">
      <c r="B89" s="28"/>
      <c r="C89" s="47"/>
      <c r="D89" s="46"/>
    </row>
    <row r="90" spans="1:5" ht="15" x14ac:dyDescent="0.25">
      <c r="B90" s="28"/>
      <c r="C90" s="45"/>
      <c r="D90" s="46"/>
    </row>
    <row r="91" spans="1:5" ht="15" x14ac:dyDescent="0.25">
      <c r="B91" s="28"/>
      <c r="C91" s="45"/>
      <c r="D91" s="46"/>
    </row>
    <row r="92" spans="1:5" ht="15" x14ac:dyDescent="0.25">
      <c r="B92" s="28"/>
      <c r="C92" s="45"/>
      <c r="D92" s="46"/>
    </row>
    <row r="93" spans="1:5" x14ac:dyDescent="0.25">
      <c r="B93" s="28"/>
    </row>
  </sheetData>
  <mergeCells count="6">
    <mergeCell ref="C92:D92"/>
    <mergeCell ref="C87:D87"/>
    <mergeCell ref="C88:D88"/>
    <mergeCell ref="C89:D89"/>
    <mergeCell ref="C90:D90"/>
    <mergeCell ref="C91:D91"/>
  </mergeCells>
  <pageMargins left="0.39" right="0.24" top="1.23" bottom="0.62" header="0.12" footer="0.12"/>
  <pageSetup paperSize="9" orientation="portrait" horizontalDpi="1200" verticalDpi="1200" r:id="rId1"/>
  <headerFooter>
    <oddHeader>&amp;L&amp;G</oddHeader>
    <oddFooter>&amp;L&amp;G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N24" sqref="N24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Basic</vt:lpstr>
      <vt:lpstr>Diagram</vt:lpstr>
      <vt:lpstr>Basic!Print_Titles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CHANGE_ME</dc:creator>
  <cp:lastModifiedBy>Day</cp:lastModifiedBy>
  <cp:lastPrinted>2021-01-14T08:55:13Z</cp:lastPrinted>
  <dcterms:created xsi:type="dcterms:W3CDTF">2010-01-04T02:49:44Z</dcterms:created>
  <dcterms:modified xsi:type="dcterms:W3CDTF">2021-04-29T04:29:20Z</dcterms:modified>
</cp:coreProperties>
</file>