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15" windowHeight="7815"/>
  </bookViews>
  <sheets>
    <sheet name="Basic" sheetId="12" r:id="rId1"/>
    <sheet name="Diagram" sheetId="14" r:id="rId2"/>
  </sheets>
  <definedNames>
    <definedName name="_xlnm.Print_Titles" localSheetId="0">Basic!$8:$8</definedName>
  </definedNames>
  <calcPr calcId="144525"/>
</workbook>
</file>

<file path=xl/sharedStrings.xml><?xml version="1.0" encoding="utf-8"?>
<sst xmlns="http://schemas.openxmlformats.org/spreadsheetml/2006/main" count="123" uniqueCount="112">
  <si>
    <t>BÁO GIÁ</t>
  </si>
  <si>
    <t>Số: 10210631/BG</t>
  </si>
  <si>
    <t>Ngày: 07/4/2021</t>
  </si>
  <si>
    <t>Kính gửi: Trung tâm chuyển giao công nghệ</t>
  </si>
  <si>
    <t>Người nhận: Mr. Nam</t>
  </si>
  <si>
    <t>Cám ơn quý khách hàng đã quan tâm đến sản phẩm của chúng tôi</t>
  </si>
  <si>
    <t>Chúng tôi xin trân trọng gửi đến quý khách hàng bảng giá thiết bị đo khí thải như sau:</t>
  </si>
  <si>
    <t>STT</t>
  </si>
  <si>
    <t>Tên hàng hóa</t>
  </si>
  <si>
    <t>SL</t>
  </si>
  <si>
    <t>Đơn giá</t>
  </si>
  <si>
    <t>Thành tiền</t>
  </si>
  <si>
    <t>Thiết bị phát bụi</t>
  </si>
  <si>
    <t>Nhà sản xuất: Palas</t>
  </si>
  <si>
    <t>Model: BGR1000</t>
  </si>
  <si>
    <t>Xuất xứ: Đức</t>
  </si>
  <si>
    <t>Ứng dụng:</t>
  </si>
  <si>
    <t>- Hiệu chuẩn các thiết bị đo bụi</t>
  </si>
  <si>
    <t>- Công nghiệp ngành lọc bụi:</t>
  </si>
  <si>
    <t xml:space="preserve">  Xác định hiệu xuất tách lọc phân đoạn</t>
  </si>
  <si>
    <t xml:space="preserve">  Xác định tổng hiệu xuất tách lọc</t>
  </si>
  <si>
    <t xml:space="preserve">  Bụi lâu ngày</t>
  </si>
  <si>
    <t xml:space="preserve">  Phương tiện lọc bụi</t>
  </si>
  <si>
    <t xml:space="preserve">  Làm sạch chân không và lọc làm sạch chân không</t>
  </si>
  <si>
    <t xml:space="preserve">  Lọc bụi trong ô tô</t>
  </si>
  <si>
    <t xml:space="preserve">  Lọc trong các động cơ</t>
  </si>
  <si>
    <t>- Kiểm tra hít thở</t>
  </si>
  <si>
    <t>- Hạt đánh dấu cho LDA, PIV,..</t>
  </si>
  <si>
    <t>- Phủ bề mặt</t>
  </si>
  <si>
    <t xml:space="preserve">Lưu lượng: 0.5 – 5.0 m³/h </t>
  </si>
  <si>
    <t>10 - 20 l/m</t>
  </si>
  <si>
    <t xml:space="preserve">                 0,04 - 430 g/h</t>
  </si>
  <si>
    <t>?????</t>
  </si>
  <si>
    <t>Nồng độ bụi tối đa: 10 hạt/cm³</t>
  </si>
  <si>
    <t xml:space="preserve">NỒNG ĐỘ BÀI BÁO: 0,5 - 50 hạt/cm3 </t>
  </si>
  <si>
    <r>
      <rPr>
        <sz val="11.5"/>
        <rFont val="Arial"/>
        <charset val="134"/>
      </rPr>
      <t>Cỡ bụi: 0,1 - 100</t>
    </r>
    <r>
      <rPr>
        <sz val="11.5"/>
        <rFont val="Calibri"/>
        <charset val="134"/>
      </rPr>
      <t>µ</t>
    </r>
    <r>
      <rPr>
        <sz val="12.65"/>
        <rFont val="Arial"/>
        <charset val="134"/>
      </rPr>
      <t>m</t>
    </r>
  </si>
  <si>
    <t xml:space="preserve">10um/ 2,5 um </t>
  </si>
  <si>
    <t>Cấp phát bụi: 5 - 700 mm/h</t>
  </si>
  <si>
    <t>Áp suất khí nén: 4-8 bar</t>
  </si>
  <si>
    <t>Đường kính ống chứa (Reservoir): 7, 10, 14, 20, 28mm</t>
  </si>
  <si>
    <t>Chiều dài ống chứa: 70mm</t>
  </si>
  <si>
    <t>Nắp phân tán (Dispersion cover): Loại A, loại B, loại C và loại D</t>
  </si>
  <si>
    <t>Kết nối ống ra:</t>
  </si>
  <si>
    <t xml:space="preserve">- Đường kính trong ngoài Loại A: 5mm / 8mm </t>
  </si>
  <si>
    <t xml:space="preserve">- Đường kính trong ngoài Loại B: 3,6mm / 6mm </t>
  </si>
  <si>
    <t xml:space="preserve">- Đường kính trong ngoài Loại C/D: 2,6mm / 6mm </t>
  </si>
  <si>
    <t>Lượng bụi trong ống chứa:</t>
  </si>
  <si>
    <t>- Φ 7mm: 2,7g</t>
  </si>
  <si>
    <t>- Φ 10mm: 5,5g</t>
  </si>
  <si>
    <t>- Φ 14mm: 10,8g</t>
  </si>
  <si>
    <t>- Φ 20mm: 22g</t>
  </si>
  <si>
    <t>- Φ 28mm: 43g</t>
  </si>
  <si>
    <t>Nguồn: 115-230V/50-60Hz</t>
  </si>
  <si>
    <t>Trọng lượng: gần 19kg</t>
  </si>
  <si>
    <t xml:space="preserve">Kích thước: 465 x 320 x 200 mm </t>
  </si>
  <si>
    <t>Cung cấp bao gồm:</t>
  </si>
  <si>
    <t>Máy phát bụi BGR1000</t>
  </si>
  <si>
    <t>Nắp phân tán loại A</t>
  </si>
  <si>
    <t>Ống chứa bụi 10mm</t>
  </si>
  <si>
    <t>Chổi quét phát bụi bằng thép</t>
  </si>
  <si>
    <t>Bụi chuẩn</t>
  </si>
  <si>
    <t>Bộ chia 4 và chia loãng 1:10</t>
  </si>
  <si>
    <t>Model: VKL 10</t>
  </si>
  <si>
    <t>Tỉ lệ pha loãng: 1:10</t>
  </si>
  <si>
    <t>Kim hút đẳng tốc: 2-5 LPM / 15-37 LPM</t>
  </si>
  <si>
    <r>
      <rPr>
        <sz val="11.5"/>
        <rFont val="Arial"/>
        <charset val="134"/>
      </rPr>
      <t>Cỡ bụi: 20</t>
    </r>
    <r>
      <rPr>
        <sz val="11.5"/>
        <rFont val="Calibri"/>
        <charset val="134"/>
      </rPr>
      <t>µ</t>
    </r>
    <r>
      <rPr>
        <sz val="10.35"/>
        <rFont val="Arial"/>
        <charset val="134"/>
      </rPr>
      <t>m</t>
    </r>
  </si>
  <si>
    <t>Lưu lượng: 18 – 45 LPM (Khí sạch - Clean air)</t>
  </si>
  <si>
    <t xml:space="preserve">                   2 – 5 LPM (hút mẫu - suction)</t>
  </si>
  <si>
    <t>Trọng lượng: gần 10kg</t>
  </si>
  <si>
    <t xml:space="preserve">Kích thước: 500 x 230 x 150 mm </t>
  </si>
  <si>
    <t>-</t>
  </si>
  <si>
    <t>Đầu nối chia 1/4: 1 ngõ vào và 4 ngõ ra đồng nhất nhau</t>
  </si>
  <si>
    <t>Bộ pha loãng VKL 10</t>
  </si>
  <si>
    <t>Kim ngõ ra 2-5 LPM</t>
  </si>
  <si>
    <t>Thiết bị đo bụi tham chiếu</t>
  </si>
  <si>
    <t>Model: Promo 2000</t>
  </si>
  <si>
    <t>- Giám sát bụi phát thải</t>
  </si>
  <si>
    <t>- Kiểm soát quá trình nghiền</t>
  </si>
  <si>
    <t>- Giám sát các quy trình sản xuất trong thực phẩm, dược và hóa chất</t>
  </si>
  <si>
    <t>- Kiểm tra các phương tiện lọc bụi</t>
  </si>
  <si>
    <t>Nguyên lý đo: Tán xạ ánh sáng (Optical light-scattering)</t>
  </si>
  <si>
    <t>Dải đo: 0,2 µm – 10 µm</t>
  </si>
  <si>
    <t xml:space="preserve">             0,3 µm – 17 µm</t>
  </si>
  <si>
    <t xml:space="preserve">             0,6 µm – 40 µm</t>
  </si>
  <si>
    <t xml:space="preserve">             2 µm – 100 µm</t>
  </si>
  <si>
    <r>
      <rPr>
        <sz val="11.5"/>
        <rFont val="Arial"/>
        <charset val="134"/>
      </rPr>
      <t xml:space="preserve">             0 - 10</t>
    </r>
    <r>
      <rPr>
        <sz val="11.5"/>
        <rFont val="Calibri"/>
        <charset val="134"/>
      </rPr>
      <t>⁶</t>
    </r>
    <r>
      <rPr>
        <sz val="10.35"/>
        <rFont val="Arial"/>
        <charset val="134"/>
      </rPr>
      <t xml:space="preserve"> hạt/cm³</t>
    </r>
  </si>
  <si>
    <t>Kênh đo: 128 kênh đo theo cỡ bụi</t>
  </si>
  <si>
    <t>Lưu lượng: 5 LPM</t>
  </si>
  <si>
    <t>Nguồn sáng: đèn Xenon arc 35 W</t>
  </si>
  <si>
    <t>Bộ thu thập dữ liệu: 20 MHz processor, 256 raw data channels, digital</t>
  </si>
  <si>
    <t>Bộ nhớ: 4GB</t>
  </si>
  <si>
    <t>Cổng giao tiếp: USB, Ethernet, RS232/485, Wi-Fi</t>
  </si>
  <si>
    <t>Công suất tiêu thụ: 100W</t>
  </si>
  <si>
    <t>Hiển thị: Màn hình chạm 7", 800x480 pixel</t>
  </si>
  <si>
    <t>Kích thước: 185 x 450 x 315 mm</t>
  </si>
  <si>
    <t>Trọng lượng: 8 kg (Bộ điều khiển)</t>
  </si>
  <si>
    <t xml:space="preserve">                     2,8 kg (Cảm biến)</t>
  </si>
  <si>
    <t>Bộ điều khiển</t>
  </si>
  <si>
    <t>Cảm biến đo bụi Welas 2300</t>
  </si>
  <si>
    <t>Dây cáp quang 3m</t>
  </si>
  <si>
    <t>Tổng</t>
  </si>
  <si>
    <t>VAT 10%</t>
  </si>
  <si>
    <t>Tổng cộng</t>
  </si>
  <si>
    <t>ĐIỀU KIỆN THƯƠNG MẠI:</t>
  </si>
  <si>
    <t>1. Giá báo trên là giá giao hàng tận nơi, hướng dẫn sử dụng thành thạo.</t>
  </si>
  <si>
    <t>2. Thanh toán: 50% ứng trước; 50% trước khi giao thiết bị.</t>
  </si>
  <si>
    <t>3. Thời gian giao hàng: trong vòng 06-08 tuần, sau khi nhận tạm ứng đợt 1.</t>
  </si>
  <si>
    <t>4. Bảo hành: 12 tháng theo tiêu chuẩn của nhà sản xuất.</t>
  </si>
  <si>
    <t>5. Hiệu lực báo giá: báo giá này có hiệu lực 60 ngày.</t>
  </si>
  <si>
    <t>Công ty TNHH CN Digi</t>
  </si>
  <si>
    <t>Huỳnh Văn Đấy (0919 666 735)</t>
  </si>
  <si>
    <t>Email: hvday@digivn.com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</si>
</sst>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35">
    <font>
      <sz val="11"/>
      <color theme="1"/>
      <name val="Calibri"/>
      <charset val="134"/>
      <scheme val="minor"/>
    </font>
    <font>
      <sz val="11.5"/>
      <color theme="1"/>
      <name val="Arial"/>
      <charset val="134"/>
    </font>
    <font>
      <sz val="11.5"/>
      <color indexed="8"/>
      <name val="Arial"/>
      <charset val="134"/>
    </font>
    <font>
      <sz val="11.5"/>
      <name val="Arial"/>
      <charset val="134"/>
    </font>
    <font>
      <b/>
      <sz val="22"/>
      <name val="Arial"/>
      <charset val="134"/>
    </font>
    <font>
      <b/>
      <sz val="11.5"/>
      <name val="Arial"/>
      <charset val="134"/>
    </font>
    <font>
      <b/>
      <sz val="12"/>
      <name val="Arial"/>
      <charset val="134"/>
    </font>
    <font>
      <u/>
      <sz val="11.5"/>
      <name val="Arial"/>
      <charset val="134"/>
    </font>
    <font>
      <sz val="11.5"/>
      <color theme="0"/>
      <name val="Arial"/>
      <charset val="134"/>
    </font>
    <font>
      <b/>
      <i/>
      <u/>
      <sz val="11.5"/>
      <name val="Arial"/>
      <charset val="134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theme="0"/>
      <name val="Calibri"/>
      <charset val="0"/>
      <scheme val="minor"/>
    </font>
    <font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0"/>
      <name val="MS Sans Serif"/>
      <charset val="134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.5"/>
      <name val="Calibri"/>
      <charset val="134"/>
    </font>
    <font>
      <sz val="12.65"/>
      <name val="Arial"/>
      <charset val="134"/>
    </font>
    <font>
      <sz val="10.35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/>
    <xf numFmtId="0" fontId="10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19" borderId="8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9" fillId="22" borderId="9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0" fillId="22" borderId="8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8" fillId="0" borderId="0"/>
    <xf numFmtId="0" fontId="10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8" fillId="0" borderId="0"/>
    <xf numFmtId="0" fontId="15" fillId="3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7" fillId="0" borderId="0"/>
    <xf numFmtId="0" fontId="10" fillId="1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28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44" applyFont="1"/>
    <xf numFmtId="0" fontId="3" fillId="0" borderId="0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3" fontId="3" fillId="0" borderId="0" xfId="44" applyNumberFormat="1" applyFont="1" applyAlignment="1">
      <alignment horizontal="right"/>
    </xf>
    <xf numFmtId="0" fontId="5" fillId="0" borderId="0" xfId="44" applyFont="1" applyAlignment="1">
      <alignment horizontal="left"/>
    </xf>
    <xf numFmtId="3" fontId="3" fillId="0" borderId="0" xfId="44" applyNumberFormat="1" applyFont="1" applyAlignment="1">
      <alignment horizontal="right" vertical="top"/>
    </xf>
    <xf numFmtId="0" fontId="3" fillId="0" borderId="0" xfId="7" applyFont="1" applyAlignment="1" applyProtection="1"/>
    <xf numFmtId="0" fontId="6" fillId="0" borderId="0" xfId="44" applyFont="1"/>
    <xf numFmtId="0" fontId="5" fillId="0" borderId="0" xfId="44" applyFont="1"/>
    <xf numFmtId="0" fontId="3" fillId="0" borderId="0" xfId="44" applyFont="1" applyAlignment="1">
      <alignment vertical="top"/>
    </xf>
    <xf numFmtId="0" fontId="3" fillId="0" borderId="0" xfId="44" applyFont="1" applyAlignment="1">
      <alignment horizontal="left"/>
    </xf>
    <xf numFmtId="0" fontId="7" fillId="0" borderId="0" xfId="7" applyFont="1" applyAlignment="1" applyProtection="1"/>
    <xf numFmtId="0" fontId="3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3" fontId="5" fillId="0" borderId="0" xfId="0" applyNumberFormat="1" applyFont="1" applyBorder="1" applyAlignment="1">
      <alignment horizontal="right" vertical="top" wrapText="1"/>
    </xf>
    <xf numFmtId="0" fontId="3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3" fontId="3" fillId="0" borderId="0" xfId="0" applyNumberFormat="1" applyFont="1" applyBorder="1" applyAlignment="1">
      <alignment horizontal="right" vertical="top" wrapText="1"/>
    </xf>
    <xf numFmtId="3" fontId="5" fillId="3" borderId="0" xfId="0" applyNumberFormat="1" applyFont="1" applyFill="1" applyBorder="1" applyAlignment="1">
      <alignment horizontal="right" vertical="top" wrapText="1"/>
    </xf>
    <xf numFmtId="0" fontId="8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2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3" fontId="5" fillId="0" borderId="0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right" indent="1"/>
    </xf>
    <xf numFmtId="10" fontId="3" fillId="0" borderId="0" xfId="6" applyNumberFormat="1" applyFont="1" applyAlignment="1">
      <alignment vertical="top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vertical="top"/>
    </xf>
    <xf numFmtId="0" fontId="3" fillId="0" borderId="0" xfId="0" applyFont="1" applyBorder="1" applyAlignment="1">
      <alignment horizontal="right" vertical="top"/>
    </xf>
    <xf numFmtId="3" fontId="3" fillId="0" borderId="0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Border="1" applyAlignment="1" quotePrefix="1">
      <alignment vertical="top" wrapText="1"/>
    </xf>
    <xf numFmtId="0" fontId="3" fillId="0" borderId="0" xfId="0" applyFont="1" applyBorder="1" applyAlignment="1" quotePrefix="1">
      <alignment horizontal="right" vertical="top" wrapText="1"/>
    </xf>
    <xf numFmtId="0" fontId="3" fillId="0" borderId="0" xfId="0" applyFont="1" applyBorder="1" applyAlignment="1" quotePrefix="1">
      <alignment vertical="top"/>
    </xf>
  </cellXfs>
  <cellStyles count="5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Ledger 17 x 11 in 2" xfId="41"/>
    <cellStyle name="Accent4" xfId="42" builtinId="41"/>
    <cellStyle name="20% - Accent4" xfId="43" builtinId="42"/>
    <cellStyle name="Ledger 17 x 11 in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Comma 2" xfId="52"/>
    <cellStyle name="Comma 3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jpeg"/><Relationship Id="rId6" Type="http://schemas.openxmlformats.org/officeDocument/2006/relationships/image" Target="../media/image5.pn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3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275166</xdr:colOff>
      <xdr:row>10</xdr:row>
      <xdr:rowOff>105831</xdr:rowOff>
    </xdr:from>
    <xdr:to>
      <xdr:col>3</xdr:col>
      <xdr:colOff>1401021</xdr:colOff>
      <xdr:row>19</xdr:row>
      <xdr:rowOff>42332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04" t="11852" r="23951" b="11111"/>
        <a:stretch>
          <a:fillRect/>
        </a:stretch>
      </xdr:blipFill>
      <xdr:spPr>
        <a:xfrm>
          <a:off x="4953000" y="2258060"/>
          <a:ext cx="1125855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4000500</xdr:colOff>
      <xdr:row>34</xdr:row>
      <xdr:rowOff>116416</xdr:rowOff>
    </xdr:from>
    <xdr:to>
      <xdr:col>3</xdr:col>
      <xdr:colOff>1951355</xdr:colOff>
      <xdr:row>43</xdr:row>
      <xdr:rowOff>97366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1" r="5379"/>
        <a:stretch>
          <a:fillRect/>
        </a:stretch>
      </xdr:blipFill>
      <xdr:spPr>
        <a:xfrm>
          <a:off x="4356100" y="7050405"/>
          <a:ext cx="2273300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73</xdr:row>
      <xdr:rowOff>137583</xdr:rowOff>
    </xdr:from>
    <xdr:to>
      <xdr:col>3</xdr:col>
      <xdr:colOff>1956647</xdr:colOff>
      <xdr:row>80</xdr:row>
      <xdr:rowOff>134056</xdr:rowOff>
    </xdr:to>
    <xdr:pic>
      <xdr:nvPicPr>
        <xdr:cNvPr id="5" name="Picture 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2" b="20493"/>
        <a:stretch>
          <a:fillRect/>
        </a:stretch>
      </xdr:blipFill>
      <xdr:spPr>
        <a:xfrm>
          <a:off x="4486275" y="14357985"/>
          <a:ext cx="2148205" cy="1263650"/>
        </a:xfrm>
        <a:prstGeom prst="rect">
          <a:avLst/>
        </a:prstGeom>
      </xdr:spPr>
    </xdr:pic>
    <xdr:clientData/>
  </xdr:twoCellAnchor>
  <xdr:twoCellAnchor editAs="oneCell">
    <xdr:from>
      <xdr:col>3</xdr:col>
      <xdr:colOff>178221</xdr:colOff>
      <xdr:row>63</xdr:row>
      <xdr:rowOff>8890</xdr:rowOff>
    </xdr:from>
    <xdr:to>
      <xdr:col>3</xdr:col>
      <xdr:colOff>1746459</xdr:colOff>
      <xdr:row>68</xdr:row>
      <xdr:rowOff>144357</xdr:rowOff>
    </xdr:to>
    <xdr:pic>
      <xdr:nvPicPr>
        <xdr:cNvPr id="10" name="Picture 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5845" y="12372340"/>
          <a:ext cx="1568450" cy="1078230"/>
        </a:xfrm>
        <a:prstGeom prst="rect">
          <a:avLst/>
        </a:prstGeom>
      </xdr:spPr>
    </xdr:pic>
    <xdr:clientData/>
  </xdr:twoCellAnchor>
  <xdr:twoCellAnchor editAs="oneCell">
    <xdr:from>
      <xdr:col>3</xdr:col>
      <xdr:colOff>308329</xdr:colOff>
      <xdr:row>54</xdr:row>
      <xdr:rowOff>199672</xdr:rowOff>
    </xdr:from>
    <xdr:to>
      <xdr:col>3</xdr:col>
      <xdr:colOff>1698767</xdr:colOff>
      <xdr:row>64</xdr:row>
      <xdr:rowOff>26105</xdr:rowOff>
    </xdr:to>
    <xdr:pic>
      <xdr:nvPicPr>
        <xdr:cNvPr id="11" name="Picture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22936">
          <a:off x="4834890" y="11038205"/>
          <a:ext cx="1692910" cy="1390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339620</xdr:colOff>
      <xdr:row>5</xdr:row>
      <xdr:rowOff>142875</xdr:rowOff>
    </xdr:from>
    <xdr:to>
      <xdr:col>10</xdr:col>
      <xdr:colOff>57149</xdr:colOff>
      <xdr:row>30</xdr:row>
      <xdr:rowOff>180975</xdr:rowOff>
    </xdr:to>
    <xdr:grpSp>
      <xdr:nvGrpSpPr>
        <xdr:cNvPr id="38" name="Group 37"/>
        <xdr:cNvGrpSpPr/>
      </xdr:nvGrpSpPr>
      <xdr:grpSpPr>
        <a:xfrm>
          <a:off x="339090" y="1095375"/>
          <a:ext cx="5603875" cy="4800600"/>
          <a:chOff x="5464505" y="828676"/>
          <a:chExt cx="6323430" cy="5295900"/>
        </a:xfrm>
      </xdr:grpSpPr>
      <xdr:sp>
        <xdr:nvSpPr>
          <xdr:cNvPr id="6" name="TextBox 5"/>
          <xdr:cNvSpPr txBox="1"/>
        </xdr:nvSpPr>
        <xdr:spPr>
          <a:xfrm>
            <a:off x="6219825" y="885826"/>
            <a:ext cx="2066925" cy="819150"/>
          </a:xfrm>
          <a:prstGeom prst="rect">
            <a:avLst/>
          </a:prstGeom>
          <a:noFill/>
          <a:ln w="15875" cmpd="sng">
            <a:solidFill>
              <a:schemeClr val="accent6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sz="1400" b="1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Aerosol generator</a:t>
            </a:r>
            <a:endParaRPr lang="en-US" sz="14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sz="1400" b="1" i="0">
                <a:solidFill>
                  <a:srgbClr val="7030A0"/>
                </a:solidFill>
                <a:effectLst/>
                <a:latin typeface="+mn-lt"/>
                <a:ea typeface="+mn-ea"/>
                <a:cs typeface="+mn-cs"/>
              </a:rPr>
              <a:t>(RBG</a:t>
            </a:r>
            <a:r>
              <a:rPr lang="en-US" sz="1400" b="1" i="0" baseline="0">
                <a:solidFill>
                  <a:srgbClr val="7030A0"/>
                </a:solidFill>
                <a:effectLst/>
                <a:latin typeface="+mn-lt"/>
                <a:ea typeface="+mn-ea"/>
                <a:cs typeface="+mn-cs"/>
              </a:rPr>
              <a:t> 1000 G)</a:t>
            </a:r>
            <a:endParaRPr lang="en-US" sz="1400" b="1" i="0">
              <a:solidFill>
                <a:srgbClr val="7030A0"/>
              </a:solidFill>
              <a:effectLst/>
              <a:latin typeface="+mn-lt"/>
              <a:ea typeface="+mn-ea"/>
              <a:cs typeface="+mn-cs"/>
            </a:endParaRPr>
          </a:p>
        </xdr:txBody>
      </xdr:sp>
      <xdr:grpSp>
        <xdr:nvGrpSpPr>
          <xdr:cNvPr id="37" name="Group 36"/>
          <xdr:cNvGrpSpPr/>
        </xdr:nvGrpSpPr>
        <xdr:grpSpPr>
          <a:xfrm>
            <a:off x="5464505" y="828676"/>
            <a:ext cx="6323430" cy="5295900"/>
            <a:chOff x="5464505" y="828676"/>
            <a:chExt cx="6323430" cy="5295900"/>
          </a:xfrm>
        </xdr:grpSpPr>
        <xdr:sp>
          <xdr:nvSpPr>
            <xdr:cNvPr id="8" name="TextBox 7"/>
            <xdr:cNvSpPr txBox="1"/>
          </xdr:nvSpPr>
          <xdr:spPr>
            <a:xfrm>
              <a:off x="8282241" y="1889958"/>
              <a:ext cx="2640168" cy="986592"/>
            </a:xfrm>
            <a:prstGeom prst="rect">
              <a:avLst/>
            </a:prstGeom>
            <a:noFill/>
            <a:ln w="15875" cmpd="sng">
              <a:solidFill>
                <a:schemeClr val="accent6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Dilution System</a:t>
              </a:r>
              <a:endPara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4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 channels</a:t>
              </a:r>
              <a:endPara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400" b="1" i="0">
                  <a:solidFill>
                    <a:srgbClr val="7030A0"/>
                  </a:solidFill>
                  <a:effectLst/>
                  <a:latin typeface="+mn-lt"/>
                  <a:ea typeface="+mn-ea"/>
                  <a:cs typeface="+mn-cs"/>
                </a:rPr>
                <a:t>(FS4 + VKL10 x4)</a:t>
              </a:r>
              <a:endParaRPr lang="en-US" sz="1400" b="1" i="0">
                <a:solidFill>
                  <a:srgbClr val="7030A0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36" name="Group 35"/>
            <xdr:cNvGrpSpPr/>
          </xdr:nvGrpSpPr>
          <xdr:grpSpPr>
            <a:xfrm>
              <a:off x="5464505" y="828676"/>
              <a:ext cx="6323430" cy="5295900"/>
              <a:chOff x="5464505" y="828676"/>
              <a:chExt cx="6323430" cy="5295900"/>
            </a:xfrm>
          </xdr:grpSpPr>
          <xdr:sp>
            <xdr:nvSpPr>
              <xdr:cNvPr id="29" name="TextBox 28"/>
              <xdr:cNvSpPr txBox="1"/>
            </xdr:nvSpPr>
            <xdr:spPr>
              <a:xfrm>
                <a:off x="10134600" y="3952875"/>
                <a:ext cx="1619250" cy="790575"/>
              </a:xfrm>
              <a:prstGeom prst="rect">
                <a:avLst/>
              </a:prstGeom>
              <a:noFill/>
              <a:ln w="15875" cmpd="sng"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marR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/>
                </a:pPr>
                <a:r>
                  <a:rPr lang="en-US" sz="1400" b="1" i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Reference meter</a:t>
                </a:r>
                <a:endParaRPr lang="en-US" sz="14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  <a:p>
                <a:pPr marL="0" marR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/>
                </a:pPr>
                <a:r>
                  <a:rPr lang="en-US" sz="1400" b="1" i="0">
                    <a:solidFill>
                      <a:srgbClr val="7030A0"/>
                    </a:solidFill>
                    <a:effectLst/>
                    <a:latin typeface="+mn-lt"/>
                    <a:ea typeface="+mn-ea"/>
                    <a:cs typeface="+mn-cs"/>
                  </a:rPr>
                  <a:t>(Promo 2000 HP)</a:t>
                </a:r>
                <a:endParaRPr lang="en-US" sz="14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grpSp>
            <xdr:nvGrpSpPr>
              <xdr:cNvPr id="35" name="Group 34"/>
              <xdr:cNvGrpSpPr/>
            </xdr:nvGrpSpPr>
            <xdr:grpSpPr>
              <a:xfrm>
                <a:off x="5464505" y="828676"/>
                <a:ext cx="6323430" cy="5295900"/>
                <a:chOff x="5464505" y="828676"/>
                <a:chExt cx="6323430" cy="5295900"/>
              </a:xfrm>
            </xdr:grpSpPr>
            <xdr:pic>
              <xdr:nvPicPr>
                <xdr:cNvPr id="2" name="Picture 1"/>
                <xdr:cNvPicPr>
                  <a:picLocks noChangeAspect="1"/>
                </xdr:cNvPicPr>
              </xdr:nvPicPr>
              <xdr:blipFill>
                <a:blip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3704" t="11852" r="23951" b="11111"/>
                <a:stretch>
                  <a:fillRect/>
                </a:stretch>
              </xdr:blipFill>
              <xdr:spPr>
                <a:xfrm>
                  <a:off x="5486463" y="828676"/>
                  <a:ext cx="628588" cy="927666"/>
                </a:xfrm>
                <a:prstGeom prst="rect">
                  <a:avLst/>
                </a:prstGeom>
              </xdr:spPr>
            </xdr:pic>
            <xdr:pic>
              <xdr:nvPicPr>
                <xdr:cNvPr id="4" name="Picture 3"/>
                <xdr:cNvPicPr>
                  <a:picLocks noChangeAspect="1"/>
                </xdr:cNvPicPr>
              </xdr:nvPicPr>
              <xdr:blipFill>
                <a:blip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t="22222" b="20493"/>
                <a:stretch>
                  <a:fillRect/>
                </a:stretch>
              </xdr:blipFill>
              <xdr:spPr>
                <a:xfrm>
                  <a:off x="9992846" y="4805023"/>
                  <a:ext cx="1795089" cy="1024277"/>
                </a:xfrm>
                <a:prstGeom prst="rect">
                  <a:avLst/>
                </a:prstGeom>
              </xdr:spPr>
            </xdr:pic>
            <xdr:cxnSp>
              <xdr:nvCxnSpPr>
                <xdr:cNvPr id="10" name="Straight Connector 9"/>
                <xdr:cNvCxnSpPr/>
              </xdr:nvCxnSpPr>
              <xdr:spPr>
                <a:xfrm>
                  <a:off x="6124575" y="3419475"/>
                  <a:ext cx="4848225" cy="0"/>
                </a:xfrm>
                <a:prstGeom prst="line">
                  <a:avLst/>
                </a:prstGeom>
                <a:ln w="381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15" name="Straight Connector 14"/>
                <xdr:cNvCxnSpPr/>
              </xdr:nvCxnSpPr>
              <xdr:spPr>
                <a:xfrm>
                  <a:off x="9534525" y="2867025"/>
                  <a:ext cx="0" cy="552450"/>
                </a:xfrm>
                <a:prstGeom prst="line">
                  <a:avLst/>
                </a:prstGeom>
                <a:ln w="381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16" name="Straight Connector 15"/>
                <xdr:cNvCxnSpPr/>
              </xdr:nvCxnSpPr>
              <xdr:spPr>
                <a:xfrm>
                  <a:off x="10982325" y="3400425"/>
                  <a:ext cx="0" cy="552450"/>
                </a:xfrm>
                <a:prstGeom prst="line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19" name="Straight Connector 18"/>
                <xdr:cNvCxnSpPr/>
              </xdr:nvCxnSpPr>
              <xdr:spPr>
                <a:xfrm>
                  <a:off x="8534400" y="3419475"/>
                  <a:ext cx="0" cy="552450"/>
                </a:xfrm>
                <a:prstGeom prst="line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21" name="Straight Connector 20"/>
                <xdr:cNvCxnSpPr/>
              </xdr:nvCxnSpPr>
              <xdr:spPr>
                <a:xfrm>
                  <a:off x="7324725" y="3419475"/>
                  <a:ext cx="0" cy="552450"/>
                </a:xfrm>
                <a:prstGeom prst="line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23" name="Straight Connector 22"/>
                <xdr:cNvCxnSpPr/>
              </xdr:nvCxnSpPr>
              <xdr:spPr>
                <a:xfrm>
                  <a:off x="6124575" y="3400425"/>
                  <a:ext cx="0" cy="552450"/>
                </a:xfrm>
                <a:prstGeom prst="line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pic>
              <xdr:nvPicPr>
                <xdr:cNvPr id="25" name="Picture 24"/>
                <xdr:cNvPicPr>
                  <a:picLocks noChangeAspect="1"/>
                </xdr:cNvPicPr>
              </xdr:nvPicPr>
              <xdr:blipFill>
                <a:blip r:embed="rId3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650620" y="4943476"/>
                  <a:ext cx="544618" cy="1181100"/>
                </a:xfrm>
                <a:prstGeom prst="rect">
                  <a:avLst/>
                </a:prstGeom>
              </xdr:spPr>
            </xdr:pic>
            <xdr:pic>
              <xdr:nvPicPr>
                <xdr:cNvPr id="27" name="Picture 26"/>
                <xdr:cNvPicPr>
                  <a:picLocks noChangeAspect="1"/>
                </xdr:cNvPicPr>
              </xdr:nvPicPr>
              <xdr:blipFill>
                <a:blip r:embed="rId4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5111" t="7111" r="16000" b="9778"/>
                <a:stretch>
                  <a:fillRect/>
                </a:stretch>
              </xdr:blipFill>
              <xdr:spPr>
                <a:xfrm>
                  <a:off x="7362826" y="4876800"/>
                  <a:ext cx="1018462" cy="1228725"/>
                </a:xfrm>
                <a:prstGeom prst="rect">
                  <a:avLst/>
                </a:prstGeom>
              </xdr:spPr>
            </xdr:pic>
            <xdr:sp>
              <xdr:nvSpPr>
                <xdr:cNvPr id="28" name="TextBox 27"/>
                <xdr:cNvSpPr txBox="1"/>
              </xdr:nvSpPr>
              <xdr:spPr>
                <a:xfrm>
                  <a:off x="5464505" y="3962400"/>
                  <a:ext cx="3933825" cy="790575"/>
                </a:xfrm>
                <a:prstGeom prst="rect">
                  <a:avLst/>
                </a:prstGeom>
                <a:noFill/>
                <a:ln w="15875" cmpd="sng">
                  <a:solidFill>
                    <a:schemeClr val="accent6">
                      <a:lumMod val="7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marR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defRPr/>
                  </a:pPr>
                  <a:r>
                    <a:rPr lang="en-US" sz="1400" b="1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Particle measurement devices</a:t>
                  </a:r>
                  <a:endParaRPr lang="en-US" sz="1400" b="1" i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</xdr:txBody>
            </xdr:sp>
            <xdr:pic>
              <xdr:nvPicPr>
                <xdr:cNvPr id="30" name="Picture 29"/>
                <xdr:cNvPicPr>
                  <a:picLocks noChangeAspect="1"/>
                </xdr:cNvPicPr>
              </xdr:nvPicPr>
              <xdr:blipFill>
                <a:blip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8484" r="23222"/>
                <a:stretch>
                  <a:fillRect/>
                </a:stretch>
              </xdr:blipFill>
              <xdr:spPr>
                <a:xfrm>
                  <a:off x="8429625" y="5191126"/>
                  <a:ext cx="460787" cy="895350"/>
                </a:xfrm>
                <a:prstGeom prst="rect">
                  <a:avLst/>
                </a:prstGeom>
              </xdr:spPr>
            </xdr:pic>
            <xdr:cxnSp>
              <xdr:nvCxnSpPr>
                <xdr:cNvPr id="31" name="Straight Connector 30"/>
                <xdr:cNvCxnSpPr/>
              </xdr:nvCxnSpPr>
              <xdr:spPr>
                <a:xfrm>
                  <a:off x="9505950" y="1333500"/>
                  <a:ext cx="0" cy="570468"/>
                </a:xfrm>
                <a:prstGeom prst="line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33" name="Straight Connector 32"/>
                <xdr:cNvCxnSpPr/>
              </xdr:nvCxnSpPr>
              <xdr:spPr>
                <a:xfrm>
                  <a:off x="8277225" y="1323975"/>
                  <a:ext cx="1247775" cy="0"/>
                </a:xfrm>
                <a:prstGeom prst="line">
                  <a:avLst/>
                </a:prstGeom>
                <a:ln w="381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</xdr:grpSp>
    </xdr:grpSp>
    <xdr:clientData/>
  </xdr:twoCellAnchor>
  <xdr:twoCellAnchor editAs="oneCell">
    <xdr:from>
      <xdr:col>10</xdr:col>
      <xdr:colOff>476250</xdr:colOff>
      <xdr:row>0</xdr:row>
      <xdr:rowOff>31750</xdr:rowOff>
    </xdr:from>
    <xdr:to>
      <xdr:col>13</xdr:col>
      <xdr:colOff>0</xdr:colOff>
      <xdr:row>10</xdr:row>
      <xdr:rowOff>69850</xdr:rowOff>
    </xdr:to>
    <xdr:pic>
      <xdr:nvPicPr>
        <xdr:cNvPr id="9" name="Picture 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35675" y="358140"/>
          <a:ext cx="1943100" cy="1289685"/>
        </a:xfrm>
        <a:prstGeom prst="rect">
          <a:avLst/>
        </a:prstGeom>
      </xdr:spPr>
    </xdr:pic>
    <xdr:clientData/>
  </xdr:twoCellAnchor>
  <xdr:twoCellAnchor editAs="oneCell">
    <xdr:from>
      <xdr:col>9</xdr:col>
      <xdr:colOff>277000</xdr:colOff>
      <xdr:row>9</xdr:row>
      <xdr:rowOff>175400</xdr:rowOff>
    </xdr:from>
    <xdr:to>
      <xdr:col>11</xdr:col>
      <xdr:colOff>124600</xdr:colOff>
      <xdr:row>18</xdr:row>
      <xdr:rowOff>162700</xdr:rowOff>
    </xdr:to>
    <xdr:pic>
      <xdr:nvPicPr>
        <xdr:cNvPr id="12" name="Picture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236210" y="2228215"/>
          <a:ext cx="1701800" cy="1024890"/>
        </a:xfrm>
        <a:prstGeom prst="rect">
          <a:avLst/>
        </a:prstGeom>
      </xdr:spPr>
    </xdr:pic>
    <xdr:clientData/>
  </xdr:twoCellAnchor>
  <xdr:twoCellAnchor editAs="oneCell">
    <xdr:from>
      <xdr:col>10</xdr:col>
      <xdr:colOff>543700</xdr:colOff>
      <xdr:row>9</xdr:row>
      <xdr:rowOff>150000</xdr:rowOff>
    </xdr:from>
    <xdr:to>
      <xdr:col>12</xdr:col>
      <xdr:colOff>391300</xdr:colOff>
      <xdr:row>18</xdr:row>
      <xdr:rowOff>137300</xdr:rowOff>
    </xdr:to>
    <xdr:pic>
      <xdr:nvPicPr>
        <xdr:cNvPr id="34" name="Picture 3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91555" y="2202815"/>
          <a:ext cx="1701800" cy="1024890"/>
        </a:xfrm>
        <a:prstGeom prst="rect">
          <a:avLst/>
        </a:prstGeom>
      </xdr:spPr>
    </xdr:pic>
    <xdr:clientData/>
  </xdr:twoCellAnchor>
  <xdr:twoCellAnchor editAs="oneCell">
    <xdr:from>
      <xdr:col>12</xdr:col>
      <xdr:colOff>165100</xdr:colOff>
      <xdr:row>9</xdr:row>
      <xdr:rowOff>165100</xdr:rowOff>
    </xdr:from>
    <xdr:to>
      <xdr:col>14</xdr:col>
      <xdr:colOff>12700</xdr:colOff>
      <xdr:row>18</xdr:row>
      <xdr:rowOff>152400</xdr:rowOff>
    </xdr:to>
    <xdr:pic>
      <xdr:nvPicPr>
        <xdr:cNvPr id="39" name="Picture 3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890385" y="2218055"/>
          <a:ext cx="1701800" cy="102489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9</xdr:row>
      <xdr:rowOff>139700</xdr:rowOff>
    </xdr:from>
    <xdr:to>
      <xdr:col>15</xdr:col>
      <xdr:colOff>381000</xdr:colOff>
      <xdr:row>18</xdr:row>
      <xdr:rowOff>127000</xdr:rowOff>
    </xdr:to>
    <xdr:pic>
      <xdr:nvPicPr>
        <xdr:cNvPr id="40" name="Picture 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847330" y="2192655"/>
          <a:ext cx="1701800" cy="1024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="145" zoomScaleNormal="145" topLeftCell="A51" workbookViewId="0">
      <selection activeCell="B60" sqref="B60"/>
    </sheetView>
  </sheetViews>
  <sheetFormatPr defaultColWidth="9.16190476190476" defaultRowHeight="14.25"/>
  <cols>
    <col min="1" max="1" width="5.33333333333333" style="5" customWidth="1"/>
    <col min="2" max="2" width="61" style="5" customWidth="1"/>
    <col min="3" max="3" width="3.82857142857143" style="5" customWidth="1"/>
    <col min="4" max="4" width="29.8095238095238" style="5" customWidth="1"/>
    <col min="5" max="5" width="15.5047619047619" style="5" customWidth="1"/>
    <col min="6" max="6" width="5.66666666666667" style="5" customWidth="1"/>
    <col min="7" max="16384" width="9.16190476190476" style="5"/>
  </cols>
  <sheetData>
    <row r="1" s="1" customFormat="1" ht="27.75" spans="1:9">
      <c r="A1" s="6"/>
      <c r="B1" s="7" t="s">
        <v>0</v>
      </c>
      <c r="C1" s="8"/>
      <c r="D1" s="8"/>
      <c r="E1" s="9" t="s">
        <v>1</v>
      </c>
      <c r="F1" s="4"/>
      <c r="G1" s="3"/>
      <c r="H1" s="3"/>
      <c r="I1" s="3"/>
    </row>
    <row r="2" s="2" customFormat="1" ht="15" spans="1:9">
      <c r="A2" s="10"/>
      <c r="E2" s="11" t="s">
        <v>2</v>
      </c>
      <c r="F2" s="12"/>
      <c r="G2" s="4"/>
      <c r="H2" s="4"/>
      <c r="I2" s="3"/>
    </row>
    <row r="3" s="2" customFormat="1" ht="15.75" spans="1:9">
      <c r="A3" s="13" t="s">
        <v>3</v>
      </c>
      <c r="B3" s="14"/>
      <c r="C3" s="14"/>
      <c r="D3" s="14"/>
      <c r="E3" s="14"/>
      <c r="F3" s="12"/>
      <c r="G3" s="4"/>
      <c r="H3" s="4"/>
      <c r="I3" s="3"/>
    </row>
    <row r="4" s="2" customFormat="1" ht="15.75" spans="1:9">
      <c r="A4" s="13" t="s">
        <v>4</v>
      </c>
      <c r="B4" s="14"/>
      <c r="C4" s="14"/>
      <c r="D4" s="14"/>
      <c r="E4" s="14"/>
      <c r="F4" s="12"/>
      <c r="G4" s="4"/>
      <c r="H4" s="4"/>
      <c r="I4" s="3"/>
    </row>
    <row r="5" s="3" customFormat="1" ht="18" customHeight="1" spans="1:8">
      <c r="A5" s="15"/>
      <c r="B5" s="14"/>
      <c r="C5" s="14"/>
      <c r="D5" s="14"/>
      <c r="E5" s="4"/>
      <c r="F5" s="12"/>
      <c r="G5" s="4"/>
      <c r="H5" s="4"/>
    </row>
    <row r="6" s="4" customFormat="1" ht="15" spans="1:6">
      <c r="A6" s="16" t="s">
        <v>5</v>
      </c>
      <c r="B6" s="14"/>
      <c r="C6" s="14"/>
      <c r="D6" s="14"/>
      <c r="F6" s="17"/>
    </row>
    <row r="7" s="3" customFormat="1" spans="1:1">
      <c r="A7" s="18" t="s">
        <v>6</v>
      </c>
    </row>
    <row r="8" ht="18" customHeight="1" spans="1:5">
      <c r="A8" s="19" t="s">
        <v>7</v>
      </c>
      <c r="B8" s="19" t="s">
        <v>8</v>
      </c>
      <c r="C8" s="19" t="s">
        <v>9</v>
      </c>
      <c r="D8" s="19" t="s">
        <v>10</v>
      </c>
      <c r="E8" s="19" t="s">
        <v>11</v>
      </c>
    </row>
    <row r="9" s="5" customFormat="1" ht="15" spans="1:5">
      <c r="A9" s="20">
        <v>1</v>
      </c>
      <c r="B9" s="21" t="s">
        <v>12</v>
      </c>
      <c r="C9" s="20">
        <v>1</v>
      </c>
      <c r="D9" s="22">
        <v>582100000</v>
      </c>
      <c r="E9" s="22">
        <f>D9*C9</f>
        <v>582100000</v>
      </c>
    </row>
    <row r="10" s="5" customFormat="1" ht="15" spans="1:5">
      <c r="A10" s="23"/>
      <c r="B10" s="24" t="s">
        <v>13</v>
      </c>
      <c r="C10" s="25"/>
      <c r="D10" s="22"/>
      <c r="E10" s="26"/>
    </row>
    <row r="11" s="5" customFormat="1" ht="15" spans="1:5">
      <c r="A11" s="23"/>
      <c r="B11" s="24" t="s">
        <v>14</v>
      </c>
      <c r="C11" s="25"/>
      <c r="D11" s="22"/>
      <c r="E11" s="26"/>
    </row>
    <row r="12" s="5" customFormat="1" ht="15" spans="1:5">
      <c r="A12" s="23"/>
      <c r="B12" s="24" t="s">
        <v>15</v>
      </c>
      <c r="C12" s="25"/>
      <c r="D12" s="22"/>
      <c r="E12" s="26"/>
    </row>
    <row r="13" s="5" customFormat="1" ht="15" spans="1:5">
      <c r="A13" s="23"/>
      <c r="B13" s="24" t="s">
        <v>16</v>
      </c>
      <c r="C13" s="25"/>
      <c r="D13" s="22"/>
      <c r="E13" s="26"/>
    </row>
    <row r="14" s="5" customFormat="1" ht="15" spans="1:5">
      <c r="A14" s="23"/>
      <c r="B14" s="49" t="s">
        <v>17</v>
      </c>
      <c r="C14" s="25"/>
      <c r="D14" s="22"/>
      <c r="E14" s="26"/>
    </row>
    <row r="15" s="5" customFormat="1" ht="15" spans="1:5">
      <c r="A15" s="23"/>
      <c r="B15" s="49" t="s">
        <v>18</v>
      </c>
      <c r="C15" s="25"/>
      <c r="D15" s="22"/>
      <c r="E15" s="26"/>
    </row>
    <row r="16" s="5" customFormat="1" ht="15" spans="1:5">
      <c r="A16" s="23"/>
      <c r="B16" s="24" t="s">
        <v>19</v>
      </c>
      <c r="C16" s="25"/>
      <c r="D16" s="22"/>
      <c r="E16" s="26"/>
    </row>
    <row r="17" s="5" customFormat="1" ht="15" spans="1:5">
      <c r="A17" s="23"/>
      <c r="B17" s="24" t="s">
        <v>20</v>
      </c>
      <c r="C17" s="25"/>
      <c r="D17" s="22"/>
      <c r="E17" s="26"/>
    </row>
    <row r="18" s="5" customFormat="1" ht="15" spans="1:5">
      <c r="A18" s="23"/>
      <c r="B18" s="24" t="s">
        <v>21</v>
      </c>
      <c r="C18" s="25"/>
      <c r="D18" s="22"/>
      <c r="E18" s="26"/>
    </row>
    <row r="19" s="5" customFormat="1" ht="15" spans="1:5">
      <c r="A19" s="23"/>
      <c r="B19" s="24" t="s">
        <v>22</v>
      </c>
      <c r="C19" s="25"/>
      <c r="D19" s="22"/>
      <c r="E19" s="26"/>
    </row>
    <row r="20" s="5" customFormat="1" ht="15" spans="1:5">
      <c r="A20" s="23"/>
      <c r="B20" s="24" t="s">
        <v>23</v>
      </c>
      <c r="C20" s="25"/>
      <c r="D20" s="22"/>
      <c r="E20" s="26"/>
    </row>
    <row r="21" s="5" customFormat="1" ht="15" spans="1:5">
      <c r="A21" s="23"/>
      <c r="B21" s="24" t="s">
        <v>24</v>
      </c>
      <c r="C21" s="25"/>
      <c r="D21" s="22"/>
      <c r="E21" s="26"/>
    </row>
    <row r="22" s="5" customFormat="1" ht="15" spans="1:5">
      <c r="A22" s="23"/>
      <c r="B22" s="24" t="s">
        <v>25</v>
      </c>
      <c r="C22" s="25"/>
      <c r="D22" s="22"/>
      <c r="E22" s="26"/>
    </row>
    <row r="23" s="5" customFormat="1" ht="15" spans="1:5">
      <c r="A23" s="23"/>
      <c r="B23" s="49" t="s">
        <v>26</v>
      </c>
      <c r="C23" s="25"/>
      <c r="D23" s="22"/>
      <c r="E23" s="26"/>
    </row>
    <row r="24" s="5" customFormat="1" ht="15" spans="1:5">
      <c r="A24" s="23"/>
      <c r="B24" s="49" t="s">
        <v>27</v>
      </c>
      <c r="C24" s="25"/>
      <c r="D24" s="22"/>
      <c r="E24" s="26"/>
    </row>
    <row r="25" s="5" customFormat="1" ht="15" spans="1:5">
      <c r="A25" s="23"/>
      <c r="B25" s="49" t="s">
        <v>28</v>
      </c>
      <c r="C25" s="25"/>
      <c r="D25" s="22"/>
      <c r="E25" s="26"/>
    </row>
    <row r="26" s="5" customFormat="1" ht="15" spans="1:5">
      <c r="A26" s="23"/>
      <c r="B26" s="24" t="s">
        <v>29</v>
      </c>
      <c r="C26" s="25"/>
      <c r="D26" s="22" t="s">
        <v>30</v>
      </c>
      <c r="E26" s="26"/>
    </row>
    <row r="27" s="5" customFormat="1" ht="15" spans="1:5">
      <c r="A27" s="23"/>
      <c r="B27" s="24" t="s">
        <v>31</v>
      </c>
      <c r="C27" s="25"/>
      <c r="D27" s="22" t="s">
        <v>32</v>
      </c>
      <c r="E27" s="26"/>
    </row>
    <row r="28" s="5" customFormat="1" ht="30" spans="1:5">
      <c r="A28" s="23"/>
      <c r="B28" s="24" t="s">
        <v>33</v>
      </c>
      <c r="C28" s="25"/>
      <c r="D28" s="27" t="s">
        <v>34</v>
      </c>
      <c r="E28" s="26"/>
    </row>
    <row r="29" s="5" customFormat="1" ht="16.5" spans="1:5">
      <c r="A29" s="23"/>
      <c r="B29" s="24" t="s">
        <v>35</v>
      </c>
      <c r="C29" s="25"/>
      <c r="D29" s="22" t="s">
        <v>36</v>
      </c>
      <c r="E29" s="26"/>
    </row>
    <row r="30" s="5" customFormat="1" ht="15" spans="1:5">
      <c r="A30" s="23"/>
      <c r="B30" s="24" t="s">
        <v>37</v>
      </c>
      <c r="C30" s="25"/>
      <c r="D30" s="22"/>
      <c r="E30" s="26"/>
    </row>
    <row r="31" s="5" customFormat="1" ht="15" spans="1:5">
      <c r="A31" s="23"/>
      <c r="B31" s="24" t="s">
        <v>38</v>
      </c>
      <c r="C31" s="25"/>
      <c r="D31" s="22"/>
      <c r="E31" s="26"/>
    </row>
    <row r="32" s="5" customFormat="1" ht="15" spans="1:5">
      <c r="A32" s="23"/>
      <c r="B32" s="24" t="s">
        <v>39</v>
      </c>
      <c r="C32" s="25"/>
      <c r="D32" s="22"/>
      <c r="E32" s="26"/>
    </row>
    <row r="33" s="5" customFormat="1" ht="15" spans="1:5">
      <c r="A33" s="23"/>
      <c r="B33" s="24" t="s">
        <v>40</v>
      </c>
      <c r="C33" s="25"/>
      <c r="D33" s="22"/>
      <c r="E33" s="26"/>
    </row>
    <row r="34" s="5" customFormat="1" ht="15" spans="1:5">
      <c r="A34" s="23"/>
      <c r="B34" s="24" t="s">
        <v>41</v>
      </c>
      <c r="C34" s="25"/>
      <c r="D34" s="22"/>
      <c r="E34" s="26"/>
    </row>
    <row r="35" s="5" customFormat="1" ht="15" spans="1:5">
      <c r="A35" s="23"/>
      <c r="B35" s="24" t="s">
        <v>42</v>
      </c>
      <c r="C35" s="25"/>
      <c r="D35" s="22"/>
      <c r="E35" s="26"/>
    </row>
    <row r="36" s="5" customFormat="1" ht="15" spans="1:5">
      <c r="A36" s="23"/>
      <c r="B36" s="49" t="s">
        <v>43</v>
      </c>
      <c r="C36" s="25"/>
      <c r="D36" s="22"/>
      <c r="E36" s="26"/>
    </row>
    <row r="37" s="5" customFormat="1" ht="15" spans="1:5">
      <c r="A37" s="23"/>
      <c r="B37" s="49" t="s">
        <v>44</v>
      </c>
      <c r="C37" s="25"/>
      <c r="D37" s="22"/>
      <c r="E37" s="26"/>
    </row>
    <row r="38" s="5" customFormat="1" ht="15" spans="1:5">
      <c r="A38" s="23"/>
      <c r="B38" s="49" t="s">
        <v>45</v>
      </c>
      <c r="C38" s="25"/>
      <c r="D38" s="22"/>
      <c r="E38" s="26"/>
    </row>
    <row r="39" s="5" customFormat="1" ht="15" spans="1:5">
      <c r="A39" s="23"/>
      <c r="B39" s="24" t="s">
        <v>46</v>
      </c>
      <c r="C39" s="25"/>
      <c r="D39" s="22"/>
      <c r="E39" s="26"/>
    </row>
    <row r="40" s="5" customFormat="1" ht="15" spans="1:5">
      <c r="A40" s="23"/>
      <c r="B40" s="49" t="s">
        <v>47</v>
      </c>
      <c r="C40" s="25"/>
      <c r="D40" s="22"/>
      <c r="E40" s="26"/>
    </row>
    <row r="41" s="5" customFormat="1" ht="15" spans="1:5">
      <c r="A41" s="23"/>
      <c r="B41" s="49" t="s">
        <v>48</v>
      </c>
      <c r="C41" s="25"/>
      <c r="D41" s="22"/>
      <c r="E41" s="26"/>
    </row>
    <row r="42" s="5" customFormat="1" ht="15" spans="1:5">
      <c r="A42" s="23"/>
      <c r="B42" s="49" t="s">
        <v>49</v>
      </c>
      <c r="C42" s="25"/>
      <c r="D42" s="22"/>
      <c r="E42" s="26"/>
    </row>
    <row r="43" s="5" customFormat="1" ht="15" spans="1:5">
      <c r="A43" s="23"/>
      <c r="B43" s="49" t="s">
        <v>50</v>
      </c>
      <c r="C43" s="25"/>
      <c r="D43" s="22"/>
      <c r="E43" s="26"/>
    </row>
    <row r="44" s="5" customFormat="1" ht="15" spans="1:5">
      <c r="A44" s="23"/>
      <c r="B44" s="49" t="s">
        <v>51</v>
      </c>
      <c r="C44" s="25"/>
      <c r="D44" s="22"/>
      <c r="E44" s="26"/>
    </row>
    <row r="45" s="5" customFormat="1" ht="15" spans="1:5">
      <c r="A45" s="23"/>
      <c r="B45" s="24" t="s">
        <v>52</v>
      </c>
      <c r="C45" s="25"/>
      <c r="D45" s="22"/>
      <c r="E45" s="26"/>
    </row>
    <row r="46" s="5" customFormat="1" ht="15" spans="1:5">
      <c r="A46" s="23"/>
      <c r="B46" s="49" t="s">
        <v>53</v>
      </c>
      <c r="C46" s="25"/>
      <c r="D46" s="22"/>
      <c r="E46" s="26"/>
    </row>
    <row r="47" s="5" customFormat="1" ht="15" spans="1:5">
      <c r="A47" s="23"/>
      <c r="B47" s="49" t="s">
        <v>54</v>
      </c>
      <c r="C47" s="25"/>
      <c r="D47" s="22"/>
      <c r="E47" s="26"/>
    </row>
    <row r="48" s="5" customFormat="1" ht="15" spans="1:5">
      <c r="A48" s="23"/>
      <c r="B48" s="21" t="s">
        <v>55</v>
      </c>
      <c r="C48" s="25"/>
      <c r="D48" s="22"/>
      <c r="E48" s="26"/>
    </row>
    <row r="49" s="5" customFormat="1" spans="1:5">
      <c r="A49" s="23"/>
      <c r="B49" s="24" t="s">
        <v>56</v>
      </c>
      <c r="C49" s="25"/>
      <c r="D49" s="26"/>
      <c r="E49" s="26"/>
    </row>
    <row r="50" s="5" customFormat="1" spans="1:5">
      <c r="A50" s="23"/>
      <c r="B50" s="24" t="s">
        <v>57</v>
      </c>
      <c r="C50" s="25"/>
      <c r="D50" s="26"/>
      <c r="E50" s="26"/>
    </row>
    <row r="51" s="5" customFormat="1" spans="1:5">
      <c r="A51" s="23"/>
      <c r="B51" s="24" t="s">
        <v>58</v>
      </c>
      <c r="C51" s="25"/>
      <c r="D51" s="26"/>
      <c r="E51" s="26"/>
    </row>
    <row r="52" s="5" customFormat="1" spans="1:5">
      <c r="A52" s="23"/>
      <c r="B52" s="24" t="s">
        <v>59</v>
      </c>
      <c r="C52" s="25"/>
      <c r="D52" s="26"/>
      <c r="E52" s="26"/>
    </row>
    <row r="53" s="5" customFormat="1" spans="1:5">
      <c r="A53" s="23"/>
      <c r="B53" s="24" t="s">
        <v>60</v>
      </c>
      <c r="C53" s="25"/>
      <c r="D53" s="26"/>
      <c r="E53" s="26"/>
    </row>
    <row r="54" s="5" customFormat="1" ht="15" spans="1:5">
      <c r="A54" s="20">
        <v>2</v>
      </c>
      <c r="B54" s="21" t="s">
        <v>61</v>
      </c>
      <c r="C54" s="20">
        <v>1</v>
      </c>
      <c r="D54" s="22">
        <v>539700000</v>
      </c>
      <c r="E54" s="22">
        <f>D54*C54</f>
        <v>539700000</v>
      </c>
    </row>
    <row r="55" s="5" customFormat="1" ht="15" spans="1:5">
      <c r="A55" s="23"/>
      <c r="B55" s="24" t="s">
        <v>13</v>
      </c>
      <c r="C55" s="25"/>
      <c r="D55" s="22"/>
      <c r="E55" s="26"/>
    </row>
    <row r="56" s="5" customFormat="1" ht="15" spans="1:5">
      <c r="A56" s="23"/>
      <c r="B56" s="24" t="s">
        <v>62</v>
      </c>
      <c r="C56" s="25"/>
      <c r="D56" s="22"/>
      <c r="E56" s="26"/>
    </row>
    <row r="57" s="5" customFormat="1" ht="15" spans="1:5">
      <c r="A57" s="23"/>
      <c r="B57" s="24" t="s">
        <v>15</v>
      </c>
      <c r="C57" s="25"/>
      <c r="D57" s="22"/>
      <c r="E57" s="26"/>
    </row>
    <row r="58" s="5" customFormat="1" spans="1:5">
      <c r="A58" s="25"/>
      <c r="B58" s="24" t="s">
        <v>63</v>
      </c>
      <c r="C58" s="25"/>
      <c r="D58" s="26"/>
      <c r="E58" s="26"/>
    </row>
    <row r="59" s="5" customFormat="1" spans="1:5">
      <c r="A59" s="25"/>
      <c r="B59" s="24" t="s">
        <v>64</v>
      </c>
      <c r="C59" s="25"/>
      <c r="D59" s="26"/>
      <c r="E59" s="26"/>
    </row>
    <row r="60" s="5" customFormat="1" ht="15" spans="1:5">
      <c r="A60" s="25"/>
      <c r="B60" s="24" t="s">
        <v>65</v>
      </c>
      <c r="C60" s="25"/>
      <c r="D60" s="26"/>
      <c r="E60" s="26"/>
    </row>
    <row r="61" s="5" customFormat="1" spans="1:5">
      <c r="A61" s="25"/>
      <c r="B61" s="24" t="s">
        <v>66</v>
      </c>
      <c r="C61" s="25"/>
      <c r="D61" s="26"/>
      <c r="E61" s="26"/>
    </row>
    <row r="62" s="5" customFormat="1" spans="1:5">
      <c r="A62" s="25"/>
      <c r="B62" s="24" t="s">
        <v>67</v>
      </c>
      <c r="C62" s="25"/>
      <c r="D62" s="26"/>
      <c r="E62" s="26"/>
    </row>
    <row r="63" s="5" customFormat="1" spans="1:5">
      <c r="A63" s="25"/>
      <c r="B63" s="24" t="s">
        <v>38</v>
      </c>
      <c r="C63" s="25"/>
      <c r="D63" s="26"/>
      <c r="E63" s="26"/>
    </row>
    <row r="64" s="5" customFormat="1" ht="15" spans="1:5">
      <c r="A64" s="23"/>
      <c r="B64" s="24" t="s">
        <v>52</v>
      </c>
      <c r="C64" s="25"/>
      <c r="D64" s="22"/>
      <c r="E64" s="26"/>
    </row>
    <row r="65" s="5" customFormat="1" ht="15" spans="1:5">
      <c r="A65" s="23"/>
      <c r="B65" s="49" t="s">
        <v>68</v>
      </c>
      <c r="C65" s="25"/>
      <c r="D65" s="22"/>
      <c r="E65" s="26"/>
    </row>
    <row r="66" s="5" customFormat="1" ht="15" spans="1:5">
      <c r="A66" s="23"/>
      <c r="B66" s="49" t="s">
        <v>69</v>
      </c>
      <c r="C66" s="25"/>
      <c r="D66" s="22"/>
      <c r="E66" s="26"/>
    </row>
    <row r="67" s="5" customFormat="1" ht="15" spans="1:5">
      <c r="A67" s="25"/>
      <c r="B67" s="21" t="s">
        <v>55</v>
      </c>
      <c r="C67" s="28">
        <v>1</v>
      </c>
      <c r="D67" s="26"/>
      <c r="E67" s="26"/>
    </row>
    <row r="68" s="5" customFormat="1" spans="1:5">
      <c r="A68" s="50" t="s">
        <v>70</v>
      </c>
      <c r="B68" s="24" t="s">
        <v>71</v>
      </c>
      <c r="C68" s="25">
        <v>1</v>
      </c>
      <c r="D68" s="26"/>
      <c r="E68" s="26"/>
    </row>
    <row r="69" s="5" customFormat="1" spans="1:5">
      <c r="A69" s="50" t="s">
        <v>70</v>
      </c>
      <c r="B69" s="24" t="s">
        <v>72</v>
      </c>
      <c r="C69" s="25">
        <v>4</v>
      </c>
      <c r="D69" s="26"/>
      <c r="E69" s="26"/>
    </row>
    <row r="70" s="5" customFormat="1" spans="1:5">
      <c r="A70" s="50" t="s">
        <v>70</v>
      </c>
      <c r="B70" s="24" t="s">
        <v>73</v>
      </c>
      <c r="C70" s="25">
        <v>4</v>
      </c>
      <c r="D70" s="26"/>
      <c r="E70" s="26"/>
    </row>
    <row r="71" s="5" customFormat="1" ht="15" spans="1:5">
      <c r="A71" s="20">
        <v>3</v>
      </c>
      <c r="B71" s="21" t="s">
        <v>74</v>
      </c>
      <c r="C71" s="20">
        <v>1</v>
      </c>
      <c r="D71" s="22">
        <v>827200000</v>
      </c>
      <c r="E71" s="22">
        <f>D71*C71</f>
        <v>827200000</v>
      </c>
    </row>
    <row r="72" s="5" customFormat="1" spans="1:5">
      <c r="A72" s="25"/>
      <c r="B72" s="24" t="s">
        <v>13</v>
      </c>
      <c r="C72" s="25"/>
      <c r="D72" s="26"/>
      <c r="E72" s="26"/>
    </row>
    <row r="73" s="5" customFormat="1" spans="1:5">
      <c r="A73" s="25"/>
      <c r="B73" s="24" t="s">
        <v>75</v>
      </c>
      <c r="C73" s="25"/>
      <c r="D73" s="26"/>
      <c r="E73" s="26"/>
    </row>
    <row r="74" s="5" customFormat="1" spans="1:5">
      <c r="A74" s="25"/>
      <c r="B74" s="24" t="s">
        <v>15</v>
      </c>
      <c r="C74" s="25"/>
      <c r="D74" s="26"/>
      <c r="E74" s="26"/>
    </row>
    <row r="75" s="5" customFormat="1" spans="1:5">
      <c r="A75" s="25"/>
      <c r="B75" s="24" t="s">
        <v>16</v>
      </c>
      <c r="C75" s="25"/>
      <c r="D75" s="26"/>
      <c r="E75" s="26"/>
    </row>
    <row r="76" s="5" customFormat="1" spans="1:5">
      <c r="A76" s="25"/>
      <c r="B76" s="49" t="s">
        <v>76</v>
      </c>
      <c r="C76" s="25"/>
      <c r="D76" s="26"/>
      <c r="E76" s="26"/>
    </row>
    <row r="77" s="5" customFormat="1" spans="1:5">
      <c r="A77" s="25"/>
      <c r="B77" s="49" t="s">
        <v>77</v>
      </c>
      <c r="C77" s="25"/>
      <c r="D77" s="26"/>
      <c r="E77" s="26"/>
    </row>
    <row r="78" s="5" customFormat="1" spans="1:5">
      <c r="A78" s="25"/>
      <c r="B78" s="51" t="s">
        <v>78</v>
      </c>
      <c r="C78" s="25"/>
      <c r="D78" s="26"/>
      <c r="E78" s="26"/>
    </row>
    <row r="79" s="5" customFormat="1" spans="1:5">
      <c r="A79" s="25"/>
      <c r="B79" s="49" t="s">
        <v>79</v>
      </c>
      <c r="C79" s="25"/>
      <c r="D79" s="26"/>
      <c r="E79" s="26"/>
    </row>
    <row r="80" s="5" customFormat="1" spans="1:5">
      <c r="A80" s="25"/>
      <c r="B80" s="24" t="s">
        <v>80</v>
      </c>
      <c r="C80" s="25"/>
      <c r="D80" s="26"/>
      <c r="E80" s="26"/>
    </row>
    <row r="81" s="5" customFormat="1" spans="1:5">
      <c r="A81" s="23"/>
      <c r="B81" s="24" t="s">
        <v>81</v>
      </c>
      <c r="C81" s="25"/>
      <c r="D81" s="26"/>
      <c r="E81" s="26"/>
    </row>
    <row r="82" s="5" customFormat="1" spans="1:5">
      <c r="A82" s="23"/>
      <c r="B82" s="24" t="s">
        <v>82</v>
      </c>
      <c r="C82" s="25"/>
      <c r="D82" s="26"/>
      <c r="E82" s="26"/>
    </row>
    <row r="83" s="5" customFormat="1" spans="1:5">
      <c r="A83" s="23"/>
      <c r="B83" s="24" t="s">
        <v>83</v>
      </c>
      <c r="C83" s="25"/>
      <c r="D83" s="26"/>
      <c r="E83" s="26"/>
    </row>
    <row r="84" s="5" customFormat="1" spans="1:5">
      <c r="A84" s="23"/>
      <c r="B84" s="24" t="s">
        <v>84</v>
      </c>
      <c r="C84" s="25"/>
      <c r="D84" s="26"/>
      <c r="E84" s="26"/>
    </row>
    <row r="85" s="5" customFormat="1" ht="15" spans="1:5">
      <c r="A85" s="23"/>
      <c r="B85" s="24" t="s">
        <v>85</v>
      </c>
      <c r="C85" s="25"/>
      <c r="D85" s="26"/>
      <c r="E85" s="26"/>
    </row>
    <row r="86" s="5" customFormat="1" spans="1:5">
      <c r="A86" s="23"/>
      <c r="B86" s="24" t="s">
        <v>86</v>
      </c>
      <c r="C86" s="25"/>
      <c r="D86" s="26"/>
      <c r="E86" s="26"/>
    </row>
    <row r="87" s="5" customFormat="1" spans="1:5">
      <c r="A87" s="23"/>
      <c r="B87" s="24" t="s">
        <v>87</v>
      </c>
      <c r="C87" s="25"/>
      <c r="D87" s="26"/>
      <c r="E87" s="26"/>
    </row>
    <row r="88" s="5" customFormat="1" spans="1:5">
      <c r="A88" s="23"/>
      <c r="B88" s="24" t="s">
        <v>88</v>
      </c>
      <c r="C88" s="25"/>
      <c r="D88" s="26"/>
      <c r="E88" s="26"/>
    </row>
    <row r="89" s="5" customFormat="1" spans="1:5">
      <c r="A89" s="23"/>
      <c r="B89" s="5" t="s">
        <v>89</v>
      </c>
      <c r="C89" s="25"/>
      <c r="D89" s="26"/>
      <c r="E89" s="26"/>
    </row>
    <row r="90" s="5" customFormat="1" spans="1:5">
      <c r="A90" s="23"/>
      <c r="B90" s="24" t="s">
        <v>90</v>
      </c>
      <c r="C90" s="25"/>
      <c r="D90" s="26"/>
      <c r="E90" s="26"/>
    </row>
    <row r="91" s="5" customFormat="1" spans="1:5">
      <c r="A91" s="23"/>
      <c r="B91" s="24" t="s">
        <v>91</v>
      </c>
      <c r="C91" s="25"/>
      <c r="D91" s="26"/>
      <c r="E91" s="26"/>
    </row>
    <row r="92" s="5" customFormat="1" spans="1:5">
      <c r="A92" s="23"/>
      <c r="B92" s="24" t="s">
        <v>92</v>
      </c>
      <c r="C92" s="25"/>
      <c r="D92" s="26"/>
      <c r="E92" s="26"/>
    </row>
    <row r="93" s="5" customFormat="1" spans="1:5">
      <c r="A93" s="23"/>
      <c r="B93" s="24" t="s">
        <v>93</v>
      </c>
      <c r="C93" s="25"/>
      <c r="D93" s="26"/>
      <c r="E93" s="26"/>
    </row>
    <row r="94" s="5" customFormat="1" spans="1:5">
      <c r="A94" s="23"/>
      <c r="B94" s="24" t="s">
        <v>94</v>
      </c>
      <c r="C94" s="25"/>
      <c r="D94" s="26"/>
      <c r="E94" s="26"/>
    </row>
    <row r="95" s="5" customFormat="1" spans="1:5">
      <c r="A95" s="23"/>
      <c r="B95" s="24" t="s">
        <v>95</v>
      </c>
      <c r="C95" s="25"/>
      <c r="D95" s="26"/>
      <c r="E95" s="26"/>
    </row>
    <row r="96" s="5" customFormat="1" spans="1:5">
      <c r="A96" s="23"/>
      <c r="B96" s="24" t="s">
        <v>96</v>
      </c>
      <c r="C96" s="25"/>
      <c r="D96" s="26"/>
      <c r="E96" s="26"/>
    </row>
    <row r="97" s="5" customFormat="1" ht="15" spans="1:5">
      <c r="A97" s="23"/>
      <c r="B97" s="21" t="s">
        <v>55</v>
      </c>
      <c r="C97" s="25"/>
      <c r="D97" s="26"/>
      <c r="E97" s="26"/>
    </row>
    <row r="98" s="5" customFormat="1" spans="1:5">
      <c r="A98" s="23"/>
      <c r="B98" s="24" t="s">
        <v>97</v>
      </c>
      <c r="C98" s="25"/>
      <c r="D98" s="26"/>
      <c r="E98" s="26"/>
    </row>
    <row r="99" s="5" customFormat="1" spans="1:5">
      <c r="A99" s="23"/>
      <c r="B99" s="24" t="s">
        <v>98</v>
      </c>
      <c r="C99" s="25"/>
      <c r="D99" s="26"/>
      <c r="E99" s="26"/>
    </row>
    <row r="100" s="5" customFormat="1" spans="1:5">
      <c r="A100" s="23"/>
      <c r="B100" s="24" t="s">
        <v>99</v>
      </c>
      <c r="C100" s="25"/>
      <c r="D100" s="26"/>
      <c r="E100" s="26"/>
    </row>
    <row r="101" ht="15" spans="1:5">
      <c r="A101" s="29"/>
      <c r="B101" s="30" t="s">
        <v>100</v>
      </c>
      <c r="C101" s="30"/>
      <c r="D101" s="31"/>
      <c r="E101" s="31">
        <f>SUM(E9:E100)</f>
        <v>1949000000</v>
      </c>
    </row>
    <row r="102" ht="15" spans="2:5">
      <c r="B102" s="32" t="s">
        <v>101</v>
      </c>
      <c r="C102" s="32"/>
      <c r="D102" s="33"/>
      <c r="E102" s="33">
        <f>E101*0.1</f>
        <v>194900000</v>
      </c>
    </row>
    <row r="103" ht="15" spans="2:5">
      <c r="B103" s="32" t="s">
        <v>102</v>
      </c>
      <c r="C103" s="32"/>
      <c r="D103" s="33"/>
      <c r="E103" s="33">
        <f>E101+E102</f>
        <v>2143900000</v>
      </c>
    </row>
    <row r="104" ht="11.25" customHeight="1" spans="4:5">
      <c r="D104" s="34"/>
      <c r="E104" s="34"/>
    </row>
    <row r="105" s="3" customFormat="1" ht="15" spans="1:6">
      <c r="A105" s="35" t="s">
        <v>103</v>
      </c>
      <c r="B105" s="36"/>
      <c r="C105" s="36"/>
      <c r="D105" s="37"/>
      <c r="E105" s="37"/>
      <c r="F105" s="38"/>
    </row>
    <row r="106" s="3" customFormat="1" ht="18" customHeight="1" spans="1:6">
      <c r="A106" s="6"/>
      <c r="B106" s="39" t="s">
        <v>104</v>
      </c>
      <c r="C106" s="39"/>
      <c r="D106" s="39"/>
      <c r="E106" s="39"/>
      <c r="F106" s="38"/>
    </row>
    <row r="107" s="3" customFormat="1" spans="1:5">
      <c r="A107" s="6"/>
      <c r="B107" s="39" t="s">
        <v>105</v>
      </c>
      <c r="C107" s="39"/>
      <c r="D107" s="39"/>
      <c r="E107" s="39"/>
    </row>
    <row r="108" s="3" customFormat="1" spans="1:5">
      <c r="A108" s="6"/>
      <c r="B108" s="39" t="s">
        <v>106</v>
      </c>
      <c r="C108" s="39"/>
      <c r="D108" s="39"/>
      <c r="E108" s="39"/>
    </row>
    <row r="109" s="3" customFormat="1" spans="1:5">
      <c r="A109" s="6"/>
      <c r="B109" s="39" t="s">
        <v>107</v>
      </c>
      <c r="C109" s="39"/>
      <c r="D109" s="39"/>
      <c r="E109" s="39"/>
    </row>
    <row r="110" s="3" customFormat="1" spans="1:5">
      <c r="A110" s="6"/>
      <c r="B110" s="39" t="s">
        <v>108</v>
      </c>
      <c r="C110" s="39"/>
      <c r="D110" s="39"/>
      <c r="E110" s="39"/>
    </row>
    <row r="111" s="3" customFormat="1" spans="1:5">
      <c r="A111" s="6"/>
      <c r="B111" s="39"/>
      <c r="C111" s="39"/>
      <c r="D111" s="39"/>
      <c r="E111" s="39"/>
    </row>
    <row r="112" s="3" customFormat="1" ht="15.75" spans="2:5">
      <c r="B112" s="40" t="s">
        <v>109</v>
      </c>
      <c r="C112" s="41"/>
      <c r="D112" s="41"/>
      <c r="E112" s="42"/>
    </row>
    <row r="113" s="3" customFormat="1" ht="15.75" spans="2:5">
      <c r="B113" s="40" t="s">
        <v>110</v>
      </c>
      <c r="C113" s="41"/>
      <c r="D113" s="41"/>
      <c r="E113" s="42"/>
    </row>
    <row r="114" s="3" customFormat="1" ht="15.75" spans="2:8">
      <c r="B114" s="43" t="s">
        <v>111</v>
      </c>
      <c r="C114" s="44"/>
      <c r="D114" s="44"/>
      <c r="F114" s="45"/>
      <c r="G114" s="38"/>
      <c r="H114" s="45"/>
    </row>
    <row r="115" spans="2:2">
      <c r="B115" s="46"/>
    </row>
    <row r="116" spans="2:4">
      <c r="B116" s="46"/>
      <c r="C116" s="47"/>
      <c r="D116" s="48"/>
    </row>
    <row r="117" spans="2:4">
      <c r="B117" s="46"/>
      <c r="D117" s="48"/>
    </row>
    <row r="118" spans="2:4">
      <c r="B118" s="46"/>
      <c r="C118" s="47"/>
      <c r="D118" s="48"/>
    </row>
    <row r="119" spans="2:4">
      <c r="B119" s="46"/>
      <c r="C119" s="47"/>
      <c r="D119" s="48"/>
    </row>
    <row r="120" spans="2:4">
      <c r="B120" s="46"/>
      <c r="C120" s="47"/>
      <c r="D120" s="48"/>
    </row>
    <row r="121" spans="2:2">
      <c r="B121" s="46"/>
    </row>
  </sheetData>
  <mergeCells count="6">
    <mergeCell ref="C115:D115"/>
    <mergeCell ref="C116:D116"/>
    <mergeCell ref="C117:D117"/>
    <mergeCell ref="C118:D118"/>
    <mergeCell ref="C119:D119"/>
    <mergeCell ref="C120:D120"/>
  </mergeCells>
  <pageMargins left="0.39" right="0.24" top="1.23" bottom="0.62" header="0.12" footer="0.12"/>
  <pageSetup paperSize="9" orientation="portrait" horizontalDpi="1200" verticalDpi="1200"/>
  <headerFooter>
    <oddHeader>&amp;L&amp;G</oddHeader>
    <oddFooter>&amp;L&amp;G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9" sqref="R9"/>
    </sheetView>
  </sheetViews>
  <sheetFormatPr defaultColWidth="8.82857142857143" defaultRowHeight="15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</vt:lpstr>
      <vt:lpstr>Diagram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CHANGE_ME</dc:creator>
  <cp:lastModifiedBy>Hạnh Phan</cp:lastModifiedBy>
  <dcterms:created xsi:type="dcterms:W3CDTF">2010-01-04T02:49:00Z</dcterms:created>
  <cp:lastPrinted>2021-01-14T08:55:00Z</cp:lastPrinted>
  <dcterms:modified xsi:type="dcterms:W3CDTF">2021-04-24T07:32:25Z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