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0980" windowHeight="7665"/>
  </bookViews>
  <sheets>
    <sheet name="Special" sheetId="15" r:id="rId1"/>
  </sheets>
  <definedNames>
    <definedName name="_xlnm.Print_Titles" localSheetId="0">Special!$8:$8</definedName>
  </definedNames>
  <calcPr calcId="144525"/>
</workbook>
</file>

<file path=xl/sharedStrings.xml><?xml version="1.0" encoding="utf-8"?>
<sst xmlns="http://schemas.openxmlformats.org/spreadsheetml/2006/main" count="86" uniqueCount="79">
  <si>
    <t>BÁO GIÁ</t>
  </si>
  <si>
    <t>Số: 10210813/BG</t>
  </si>
  <si>
    <t>Ngày: 11/5/2021</t>
  </si>
  <si>
    <t>Kính gửi: Trung tâm chuyển giao công nghệ</t>
  </si>
  <si>
    <t>Người nhận: Mr. Nam</t>
  </si>
  <si>
    <t>Cám ơn quý khách hàng đã quan tâm đến sản phẩm của chúng tôi</t>
  </si>
  <si>
    <t>Chúng tôi xin trân trọng gửi đến quý khách hàng báo giá thiết bị như sau:</t>
  </si>
  <si>
    <t>STT</t>
  </si>
  <si>
    <t>Tên hàng hóa</t>
  </si>
  <si>
    <t>SL</t>
  </si>
  <si>
    <t>Đơn giá</t>
  </si>
  <si>
    <t>Thành tiền</t>
  </si>
  <si>
    <t>Thiết bị phát bụi</t>
  </si>
  <si>
    <t>Nhà sản xuất: Palas</t>
  </si>
  <si>
    <t>Model: BGR1000</t>
  </si>
  <si>
    <t>Xuất xứ: Đức</t>
  </si>
  <si>
    <t>Ứng dụng:</t>
  </si>
  <si>
    <t>- Hiệu chuẩn các thiết bị đo bụi</t>
  </si>
  <si>
    <t>- Công nghiệp ngành lọc bụi:</t>
  </si>
  <si>
    <t xml:space="preserve">  Xác định hiệu xuất tách lọc phân đoạn</t>
  </si>
  <si>
    <t xml:space="preserve">  Xác định tổng hiệu xuất tách lọc</t>
  </si>
  <si>
    <t xml:space="preserve">  Bụi lâu ngày</t>
  </si>
  <si>
    <t xml:space="preserve">  Phương tiện lọc bụi</t>
  </si>
  <si>
    <t xml:space="preserve">  Làm sạch chân không và lọc làm sạch chân không</t>
  </si>
  <si>
    <t xml:space="preserve">  Lọc bụi trong ô tô</t>
  </si>
  <si>
    <t xml:space="preserve">  Lọc trong các động cơ</t>
  </si>
  <si>
    <t>- Kiểm tra hít thở</t>
  </si>
  <si>
    <t>- Hạt đánh dấu cho LDA, PIV,..</t>
  </si>
  <si>
    <t>- Phủ bề mặt</t>
  </si>
  <si>
    <t>Lưu lượng: 0.5 – 5.0 m³/h</t>
  </si>
  <si>
    <t xml:space="preserve">                 0,04 - 430 g/h</t>
  </si>
  <si>
    <t>Nồng độ bụi tối đa: 10 hạt/cm³</t>
  </si>
  <si>
    <r>
      <t>Cỡ bụi: 0,1 - 100</t>
    </r>
    <r>
      <rPr>
        <sz val="11.5"/>
        <rFont val="Calibri"/>
        <charset val="134"/>
      </rPr>
      <t>µ</t>
    </r>
    <r>
      <rPr>
        <sz val="12.5"/>
        <rFont val="Arial"/>
        <charset val="134"/>
      </rPr>
      <t>m</t>
    </r>
  </si>
  <si>
    <t>Cấp phát bụi: 5 - 700 mm/h</t>
  </si>
  <si>
    <t>Áp suất khí nén: 4-8 bar</t>
  </si>
  <si>
    <t>Đường kính ống chứa (Reservoir): 7, 10, 14, 20, 28mm</t>
  </si>
  <si>
    <t>Chiều dài ống chứa: 70mm</t>
  </si>
  <si>
    <t>Nắp phân tán (Dispersion cover): Loại A, loại B, loại C và loại D</t>
  </si>
  <si>
    <t>Kết nối ống ra:</t>
  </si>
  <si>
    <t xml:space="preserve">- Đường kính trong ngoài Loại A: 5mm / 8mm </t>
  </si>
  <si>
    <t xml:space="preserve">- Đường kính trong ngoài Loại B: 3,6mm / 6mm </t>
  </si>
  <si>
    <t xml:space="preserve">- Đường kính trong ngoài Loại C/D: 2,6mm / 6mm </t>
  </si>
  <si>
    <t>Lượng bụi trong ống chứa:</t>
  </si>
  <si>
    <t>- Φ 7mm: 2,7g</t>
  </si>
  <si>
    <t>- Φ 10mm: 5,5g</t>
  </si>
  <si>
    <t>- Φ 14mm: 10,8g</t>
  </si>
  <si>
    <t>- Φ 20mm: 22g</t>
  </si>
  <si>
    <t>- Φ 28mm: 43g</t>
  </si>
  <si>
    <t>Nguồn: 115-230V/50-60Hz</t>
  </si>
  <si>
    <t>Trọng lượng: gần 19kg</t>
  </si>
  <si>
    <t xml:space="preserve">Kích thước: 465 x 320 x 200 mm </t>
  </si>
  <si>
    <t>Cung cấp bao gồm:</t>
  </si>
  <si>
    <t>Máy phát bụi BGR1000</t>
  </si>
  <si>
    <t>Nắp phân tán loại A</t>
  </si>
  <si>
    <t>Ống chứa bụi 14mm</t>
  </si>
  <si>
    <t>Chổi quét phát bụi bằng thép</t>
  </si>
  <si>
    <t>Bộ chia 3 và chia loãng 1:10</t>
  </si>
  <si>
    <t>Model: VKL 10</t>
  </si>
  <si>
    <t>Tỉ lệ pha loãng: 1:10</t>
  </si>
  <si>
    <t>Kim hút đẳng tốc: 2-5 LPM / 15-37 LPM</t>
  </si>
  <si>
    <r>
      <rPr>
        <sz val="11.5"/>
        <rFont val="Arial"/>
        <charset val="134"/>
      </rPr>
      <t>Cỡ bụi: 20</t>
    </r>
    <r>
      <rPr>
        <sz val="11.5"/>
        <rFont val="Calibri"/>
        <charset val="134"/>
      </rPr>
      <t>µ</t>
    </r>
    <r>
      <rPr>
        <sz val="10.35"/>
        <rFont val="Arial"/>
        <charset val="134"/>
      </rPr>
      <t>m</t>
    </r>
  </si>
  <si>
    <t>Lưu lượng: 18 – 45 LPM (Khí sạch - Clean air)</t>
  </si>
  <si>
    <t xml:space="preserve">                   2 – 5 LPM (hút mẫu - suction)</t>
  </si>
  <si>
    <t>Trọng lượng: gần 10kg</t>
  </si>
  <si>
    <t xml:space="preserve">Kích thước: 500 x 230 x 150 mm </t>
  </si>
  <si>
    <t>-</t>
  </si>
  <si>
    <t>Đầu nối chia 1/3: 1 ngõ vào và 3 ngõ ra đồng nhất nhau</t>
  </si>
  <si>
    <t>Bộ pha loãng VKL 10</t>
  </si>
  <si>
    <t>Kim ngõ ra 2-5 LPM</t>
  </si>
  <si>
    <t>Tổng cộng báo giá</t>
  </si>
  <si>
    <t>ĐIỀU KIỆN THƯƠNG MẠI:</t>
  </si>
  <si>
    <t>1. Giá báo trên là giá giao hàng tận nơi, hướng dẫn sử dụng thành thạo.</t>
  </si>
  <si>
    <t>2. Thanh toán: 50% ứng trước; 50% trước khi giao thiết bị.</t>
  </si>
  <si>
    <t>3. Thời gian giao hàng: trong vòng 06-08 tuần, sau khi nhận tạm ứng đợt 1.</t>
  </si>
  <si>
    <t>4. Bảo hành: 12 tháng theo tiêu chuẩn của nhà sản xuất.</t>
  </si>
  <si>
    <t>5. Hiệu lực báo giá: báo giá này có hiệu lực 60 ngày.</t>
  </si>
  <si>
    <t>Công ty TNHH Công nghệ Digi</t>
  </si>
  <si>
    <t>Huỳnh Văn Đấy (0919 666 735)</t>
  </si>
  <si>
    <t>Email: hvday@digivn.com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</si>
</sst>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6">
    <font>
      <sz val="11"/>
      <color theme="1"/>
      <name val="Calibri"/>
      <charset val="134"/>
      <scheme val="minor"/>
    </font>
    <font>
      <sz val="11.5"/>
      <color theme="1"/>
      <name val="Arial"/>
      <charset val="134"/>
    </font>
    <font>
      <sz val="11.5"/>
      <color indexed="8"/>
      <name val="Arial"/>
      <charset val="134"/>
    </font>
    <font>
      <sz val="11.5"/>
      <name val="Arial"/>
      <charset val="134"/>
    </font>
    <font>
      <b/>
      <sz val="22"/>
      <name val="Arial"/>
      <charset val="134"/>
    </font>
    <font>
      <b/>
      <sz val="11.5"/>
      <name val="Arial"/>
      <charset val="134"/>
    </font>
    <font>
      <b/>
      <sz val="12"/>
      <name val="Arial"/>
      <charset val="134"/>
    </font>
    <font>
      <sz val="11.5"/>
      <color theme="0"/>
      <name val="Arial"/>
      <charset val="134"/>
    </font>
    <font>
      <b/>
      <i/>
      <u/>
      <sz val="11.5"/>
      <name val="Arial"/>
      <charset val="134"/>
    </font>
    <font>
      <u/>
      <sz val="11.5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0"/>
      <name val="MS Sans Serif"/>
      <charset val="134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0"/>
      <name val="Arial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indexed="8"/>
      <name val="Calibri"/>
      <charset val="134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.5"/>
      <name val="Calibri"/>
      <charset val="134"/>
    </font>
    <font>
      <sz val="12.5"/>
      <name val="Arial"/>
      <charset val="134"/>
    </font>
    <font>
      <sz val="10.35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4">
    <xf numFmtId="0" fontId="0" fillId="0" borderId="0"/>
    <xf numFmtId="0" fontId="11" fillId="4" borderId="0" applyNumberFormat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3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0" fillId="11" borderId="5" applyNumberFormat="0" applyFon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19" borderId="6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0" fillId="13" borderId="9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1" fillId="0" borderId="0"/>
    <xf numFmtId="0" fontId="11" fillId="2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1" fillId="0" borderId="0"/>
    <xf numFmtId="0" fontId="12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6" fillId="0" borderId="0"/>
    <xf numFmtId="0" fontId="11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28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44" applyFont="1"/>
    <xf numFmtId="0" fontId="3" fillId="0" borderId="0" xfId="0" applyFont="1" applyBorder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3" fontId="3" fillId="0" borderId="0" xfId="44" applyNumberFormat="1" applyFont="1" applyAlignment="1">
      <alignment horizontal="right"/>
    </xf>
    <xf numFmtId="0" fontId="5" fillId="0" borderId="0" xfId="44" applyFont="1" applyAlignment="1">
      <alignment horizontal="left"/>
    </xf>
    <xf numFmtId="3" fontId="3" fillId="0" borderId="0" xfId="44" applyNumberFormat="1" applyFont="1" applyAlignment="1">
      <alignment horizontal="right" vertical="top"/>
    </xf>
    <xf numFmtId="0" fontId="6" fillId="0" borderId="0" xfId="44" applyFont="1"/>
    <xf numFmtId="0" fontId="5" fillId="0" borderId="0" xfId="44" applyFont="1"/>
    <xf numFmtId="0" fontId="3" fillId="0" borderId="0" xfId="44" applyFont="1" applyAlignment="1">
      <alignment vertical="top"/>
    </xf>
    <xf numFmtId="0" fontId="3" fillId="0" borderId="0" xfId="44" applyFont="1" applyAlignment="1">
      <alignment horizontal="left"/>
    </xf>
    <xf numFmtId="0" fontId="3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3" fontId="5" fillId="0" borderId="0" xfId="0" applyNumberFormat="1" applyFont="1" applyBorder="1" applyAlignment="1">
      <alignment horizontal="right" wrapText="1"/>
    </xf>
    <xf numFmtId="0" fontId="3" fillId="0" borderId="0" xfId="0" applyFont="1" applyBorder="1" applyAlignment="1">
      <alignment horizontal="right"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3" fontId="5" fillId="0" borderId="0" xfId="0" applyNumberFormat="1" applyFont="1" applyBorder="1" applyAlignment="1">
      <alignment horizontal="right" vertical="top" wrapText="1"/>
    </xf>
    <xf numFmtId="3" fontId="3" fillId="0" borderId="0" xfId="0" applyNumberFormat="1" applyFont="1" applyBorder="1" applyAlignment="1">
      <alignment horizontal="right" vertical="top" wrapText="1"/>
    </xf>
    <xf numFmtId="0" fontId="5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3" fontId="3" fillId="0" borderId="2" xfId="0" applyNumberFormat="1" applyFont="1" applyBorder="1" applyAlignment="1">
      <alignment horizontal="right" vertical="top"/>
    </xf>
    <xf numFmtId="3" fontId="5" fillId="0" borderId="2" xfId="0" applyNumberFormat="1" applyFont="1" applyBorder="1" applyAlignment="1">
      <alignment horizontal="right" vertical="top"/>
    </xf>
    <xf numFmtId="3" fontId="3" fillId="0" borderId="0" xfId="0" applyNumberFormat="1" applyFont="1" applyBorder="1" applyAlignment="1">
      <alignment horizontal="right" vertical="top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right" indent="1"/>
    </xf>
    <xf numFmtId="0" fontId="3" fillId="0" borderId="0" xfId="0" applyFont="1" applyAlignment="1">
      <alignment horizontal="left" inden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0" fontId="3" fillId="0" borderId="0" xfId="0" applyFont="1" applyBorder="1" applyAlignment="1">
      <alignment horizontal="right" vertical="top"/>
    </xf>
    <xf numFmtId="0" fontId="3" fillId="0" borderId="0" xfId="0" applyFont="1" applyBorder="1" applyAlignment="1" quotePrefix="1">
      <alignment vertical="top" wrapText="1"/>
    </xf>
    <xf numFmtId="0" fontId="3" fillId="0" borderId="0" xfId="0" applyFont="1" applyBorder="1" applyAlignment="1" quotePrefix="1">
      <alignment horizontal="right" vertical="top" wrapText="1"/>
    </xf>
  </cellXfs>
  <cellStyles count="54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Ledger 17 x 11 in 2" xfId="41"/>
    <cellStyle name="Accent4" xfId="42" builtinId="41"/>
    <cellStyle name="20% - Accent4" xfId="43" builtinId="42"/>
    <cellStyle name="Ledger 17 x 11 in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Comma 2" xfId="52"/>
    <cellStyle name="Comma 3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52916</xdr:colOff>
      <xdr:row>10</xdr:row>
      <xdr:rowOff>84664</xdr:rowOff>
    </xdr:from>
    <xdr:to>
      <xdr:col>4</xdr:col>
      <xdr:colOff>211666</xdr:colOff>
      <xdr:row>19</xdr:row>
      <xdr:rowOff>21165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04" t="11852" r="23951" b="11111"/>
        <a:stretch>
          <a:fillRect/>
        </a:stretch>
      </xdr:blipFill>
      <xdr:spPr>
        <a:xfrm>
          <a:off x="4729480" y="2313305"/>
          <a:ext cx="1120775" cy="1651000"/>
        </a:xfrm>
        <a:prstGeom prst="rect">
          <a:avLst/>
        </a:prstGeom>
      </xdr:spPr>
    </xdr:pic>
    <xdr:clientData/>
  </xdr:twoCellAnchor>
  <xdr:twoCellAnchor editAs="oneCell">
    <xdr:from>
      <xdr:col>2</xdr:col>
      <xdr:colOff>21166</xdr:colOff>
      <xdr:row>19</xdr:row>
      <xdr:rowOff>126998</xdr:rowOff>
    </xdr:from>
    <xdr:to>
      <xdr:col>5</xdr:col>
      <xdr:colOff>42332</xdr:colOff>
      <xdr:row>28</xdr:row>
      <xdr:rowOff>107948</xdr:rowOff>
    </xdr:to>
    <xdr:pic>
      <xdr:nvPicPr>
        <xdr:cNvPr id="3" name="Picture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01" r="5379"/>
        <a:stretch>
          <a:fillRect/>
        </a:stretch>
      </xdr:blipFill>
      <xdr:spPr>
        <a:xfrm>
          <a:off x="4440555" y="4069715"/>
          <a:ext cx="226885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701037</xdr:colOff>
      <xdr:row>61</xdr:row>
      <xdr:rowOff>16935</xdr:rowOff>
    </xdr:from>
    <xdr:to>
      <xdr:col>4</xdr:col>
      <xdr:colOff>71737</xdr:colOff>
      <xdr:row>66</xdr:row>
      <xdr:rowOff>42334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645" b="21257"/>
        <a:stretch>
          <a:fillRect/>
        </a:stretch>
      </xdr:blipFill>
      <xdr:spPr>
        <a:xfrm rot="5400000">
          <a:off x="5059680" y="12326620"/>
          <a:ext cx="968375" cy="332740"/>
        </a:xfrm>
        <a:prstGeom prst="rect">
          <a:avLst/>
        </a:prstGeom>
      </xdr:spPr>
    </xdr:pic>
    <xdr:clientData/>
  </xdr:twoCellAnchor>
  <xdr:twoCellAnchor editAs="oneCell">
    <xdr:from>
      <xdr:col>3</xdr:col>
      <xdr:colOff>661458</xdr:colOff>
      <xdr:row>54</xdr:row>
      <xdr:rowOff>37043</xdr:rowOff>
    </xdr:from>
    <xdr:to>
      <xdr:col>4</xdr:col>
      <xdr:colOff>219255</xdr:colOff>
      <xdr:row>60</xdr:row>
      <xdr:rowOff>63504</xdr:rowOff>
    </xdr:to>
    <xdr:pic>
      <xdr:nvPicPr>
        <xdr:cNvPr id="6" name="Picture 5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9" t="10031" r="11290" b="16666"/>
        <a:stretch>
          <a:fillRect/>
        </a:stretch>
      </xdr:blipFill>
      <xdr:spPr>
        <a:xfrm rot="5400000">
          <a:off x="5027295" y="11043920"/>
          <a:ext cx="1141095" cy="519430"/>
        </a:xfrm>
        <a:prstGeom prst="rect">
          <a:avLst/>
        </a:prstGeom>
      </xdr:spPr>
    </xdr:pic>
    <xdr:clientData/>
  </xdr:twoCellAnchor>
  <xdr:twoCellAnchor editAs="oneCell">
    <xdr:from>
      <xdr:col>3</xdr:col>
      <xdr:colOff>171871</xdr:colOff>
      <xdr:row>60</xdr:row>
      <xdr:rowOff>175685</xdr:rowOff>
    </xdr:from>
    <xdr:to>
      <xdr:col>3</xdr:col>
      <xdr:colOff>505654</xdr:colOff>
      <xdr:row>66</xdr:row>
      <xdr:rowOff>21167</xdr:rowOff>
    </xdr:to>
    <xdr:pic>
      <xdr:nvPicPr>
        <xdr:cNvPr id="7" name="Picture 6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645" b="21257"/>
        <a:stretch>
          <a:fillRect/>
        </a:stretch>
      </xdr:blipFill>
      <xdr:spPr>
        <a:xfrm rot="5400000">
          <a:off x="4530725" y="12304395"/>
          <a:ext cx="969010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235371</xdr:colOff>
      <xdr:row>61</xdr:row>
      <xdr:rowOff>27519</xdr:rowOff>
    </xdr:from>
    <xdr:to>
      <xdr:col>4</xdr:col>
      <xdr:colOff>569154</xdr:colOff>
      <xdr:row>66</xdr:row>
      <xdr:rowOff>52918</xdr:rowOff>
    </xdr:to>
    <xdr:pic>
      <xdr:nvPicPr>
        <xdr:cNvPr id="8" name="Picture 7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645" b="21257"/>
        <a:stretch>
          <a:fillRect/>
        </a:stretch>
      </xdr:blipFill>
      <xdr:spPr>
        <a:xfrm rot="5400000">
          <a:off x="5556250" y="12336780"/>
          <a:ext cx="968375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tabSelected="1" zoomScale="90" zoomScaleNormal="90" topLeftCell="A51" workbookViewId="0">
      <selection activeCell="B37" sqref="B37"/>
    </sheetView>
  </sheetViews>
  <sheetFormatPr defaultColWidth="9.14285714285714" defaultRowHeight="14.25" outlineLevelCol="4"/>
  <cols>
    <col min="1" max="1" width="5.28571428571429" style="5" customWidth="1"/>
    <col min="2" max="2" width="61" style="5" customWidth="1"/>
    <col min="3" max="3" width="3.85714285714286" style="5" customWidth="1"/>
    <col min="4" max="4" width="14.4285714285714" style="5" customWidth="1"/>
    <col min="5" max="5" width="15.4285714285714" style="5" customWidth="1"/>
    <col min="6" max="16384" width="9.14285714285714" style="5"/>
  </cols>
  <sheetData>
    <row r="1" s="1" customFormat="1" ht="27.75" spans="1:5">
      <c r="A1" s="6"/>
      <c r="B1" s="7" t="s">
        <v>0</v>
      </c>
      <c r="C1" s="8"/>
      <c r="D1" s="8"/>
      <c r="E1" s="9" t="s">
        <v>1</v>
      </c>
    </row>
    <row r="2" s="2" customFormat="1" ht="15" spans="1:5">
      <c r="A2" s="10"/>
      <c r="E2" s="11" t="s">
        <v>2</v>
      </c>
    </row>
    <row r="3" s="2" customFormat="1" ht="15.75" spans="1:5">
      <c r="A3" s="12" t="s">
        <v>3</v>
      </c>
      <c r="B3" s="13"/>
      <c r="C3" s="13"/>
      <c r="D3" s="13"/>
      <c r="E3" s="13"/>
    </row>
    <row r="4" s="2" customFormat="1" ht="15.75" spans="1:5">
      <c r="A4" s="12" t="s">
        <v>4</v>
      </c>
      <c r="B4" s="13"/>
      <c r="C4" s="13"/>
      <c r="D4" s="13"/>
      <c r="E4" s="13"/>
    </row>
    <row r="5" s="3" customFormat="1" ht="18" customHeight="1" spans="1:5">
      <c r="A5" s="14"/>
      <c r="B5" s="13"/>
      <c r="C5" s="13"/>
      <c r="D5" s="13"/>
      <c r="E5" s="4"/>
    </row>
    <row r="6" s="4" customFormat="1" ht="15" spans="1:4">
      <c r="A6" s="15" t="s">
        <v>5</v>
      </c>
      <c r="B6" s="13"/>
      <c r="C6" s="13"/>
      <c r="D6" s="13"/>
    </row>
    <row r="7" s="3" customFormat="1" spans="1:1">
      <c r="A7" s="16" t="s">
        <v>6</v>
      </c>
    </row>
    <row r="8" ht="18" customHeight="1" spans="1:5">
      <c r="A8" s="17" t="s">
        <v>7</v>
      </c>
      <c r="B8" s="17" t="s">
        <v>8</v>
      </c>
      <c r="C8" s="17" t="s">
        <v>9</v>
      </c>
      <c r="D8" s="17" t="s">
        <v>10</v>
      </c>
      <c r="E8" s="17" t="s">
        <v>11</v>
      </c>
    </row>
    <row r="9" ht="21" customHeight="1" spans="1:5">
      <c r="A9" s="18">
        <v>1</v>
      </c>
      <c r="B9" s="19" t="s">
        <v>12</v>
      </c>
      <c r="C9" s="18">
        <v>1</v>
      </c>
      <c r="D9" s="20">
        <v>350020000</v>
      </c>
      <c r="E9" s="20">
        <f>D9*C9</f>
        <v>350020000</v>
      </c>
    </row>
    <row r="10" ht="15" spans="1:5">
      <c r="A10" s="21"/>
      <c r="B10" s="22" t="s">
        <v>13</v>
      </c>
      <c r="C10" s="23"/>
      <c r="D10" s="24"/>
      <c r="E10" s="25"/>
    </row>
    <row r="11" ht="15" spans="1:5">
      <c r="A11" s="21"/>
      <c r="B11" s="22" t="s">
        <v>14</v>
      </c>
      <c r="C11" s="23"/>
      <c r="D11" s="24"/>
      <c r="E11" s="25"/>
    </row>
    <row r="12" ht="15" spans="1:5">
      <c r="A12" s="21"/>
      <c r="B12" s="22" t="s">
        <v>15</v>
      </c>
      <c r="C12" s="23"/>
      <c r="D12" s="24"/>
      <c r="E12" s="25"/>
    </row>
    <row r="13" ht="15" spans="1:5">
      <c r="A13" s="21"/>
      <c r="B13" s="22" t="s">
        <v>16</v>
      </c>
      <c r="C13" s="23"/>
      <c r="D13" s="24"/>
      <c r="E13" s="25"/>
    </row>
    <row r="14" ht="15" spans="1:5">
      <c r="A14" s="21"/>
      <c r="B14" s="43" t="s">
        <v>17</v>
      </c>
      <c r="C14" s="23"/>
      <c r="D14" s="24"/>
      <c r="E14" s="25"/>
    </row>
    <row r="15" ht="15" spans="1:5">
      <c r="A15" s="21"/>
      <c r="B15" s="43" t="s">
        <v>18</v>
      </c>
      <c r="C15" s="23"/>
      <c r="D15" s="24"/>
      <c r="E15" s="25"/>
    </row>
    <row r="16" ht="15" spans="1:5">
      <c r="A16" s="21"/>
      <c r="B16" s="22" t="s">
        <v>19</v>
      </c>
      <c r="C16" s="23"/>
      <c r="D16" s="24"/>
      <c r="E16" s="25"/>
    </row>
    <row r="17" ht="15" spans="1:5">
      <c r="A17" s="21"/>
      <c r="B17" s="22" t="s">
        <v>20</v>
      </c>
      <c r="C17" s="23"/>
      <c r="D17" s="24"/>
      <c r="E17" s="25"/>
    </row>
    <row r="18" ht="15" spans="1:5">
      <c r="A18" s="21"/>
      <c r="B18" s="22" t="s">
        <v>21</v>
      </c>
      <c r="C18" s="23"/>
      <c r="D18" s="24"/>
      <c r="E18" s="25"/>
    </row>
    <row r="19" ht="15" spans="1:5">
      <c r="A19" s="21"/>
      <c r="B19" s="22" t="s">
        <v>22</v>
      </c>
      <c r="C19" s="23"/>
      <c r="D19" s="24"/>
      <c r="E19" s="25"/>
    </row>
    <row r="20" ht="15" spans="1:5">
      <c r="A20" s="21"/>
      <c r="B20" s="22" t="s">
        <v>23</v>
      </c>
      <c r="C20" s="23"/>
      <c r="D20" s="24"/>
      <c r="E20" s="25"/>
    </row>
    <row r="21" ht="15" spans="1:5">
      <c r="A21" s="21"/>
      <c r="B21" s="22" t="s">
        <v>24</v>
      </c>
      <c r="C21" s="23"/>
      <c r="D21" s="24"/>
      <c r="E21" s="25"/>
    </row>
    <row r="22" ht="15" spans="1:5">
      <c r="A22" s="21"/>
      <c r="B22" s="22" t="s">
        <v>25</v>
      </c>
      <c r="C22" s="23"/>
      <c r="D22" s="24"/>
      <c r="E22" s="25"/>
    </row>
    <row r="23" ht="15" spans="1:5">
      <c r="A23" s="21"/>
      <c r="B23" s="43" t="s">
        <v>26</v>
      </c>
      <c r="C23" s="23"/>
      <c r="D23" s="24"/>
      <c r="E23" s="25"/>
    </row>
    <row r="24" ht="15" spans="1:5">
      <c r="A24" s="21"/>
      <c r="B24" s="43" t="s">
        <v>27</v>
      </c>
      <c r="C24" s="23"/>
      <c r="D24" s="24"/>
      <c r="E24" s="25"/>
    </row>
    <row r="25" ht="15" spans="1:5">
      <c r="A25" s="21"/>
      <c r="B25" s="43" t="s">
        <v>28</v>
      </c>
      <c r="C25" s="23"/>
      <c r="D25" s="24"/>
      <c r="E25" s="25"/>
    </row>
    <row r="26" ht="15" spans="1:5">
      <c r="A26" s="21"/>
      <c r="B26" s="22" t="s">
        <v>29</v>
      </c>
      <c r="C26" s="23"/>
      <c r="D26" s="24"/>
      <c r="E26" s="25"/>
    </row>
    <row r="27" ht="15" spans="1:5">
      <c r="A27" s="21"/>
      <c r="B27" s="22" t="s">
        <v>30</v>
      </c>
      <c r="C27" s="23"/>
      <c r="D27" s="24"/>
      <c r="E27" s="25"/>
    </row>
    <row r="28" ht="15" spans="1:5">
      <c r="A28" s="21"/>
      <c r="B28" s="22" t="s">
        <v>31</v>
      </c>
      <c r="C28" s="23"/>
      <c r="D28" s="24"/>
      <c r="E28" s="25"/>
    </row>
    <row r="29" ht="16.5" spans="1:5">
      <c r="A29" s="21"/>
      <c r="B29" s="22" t="s">
        <v>32</v>
      </c>
      <c r="C29" s="23"/>
      <c r="D29" s="24"/>
      <c r="E29" s="25"/>
    </row>
    <row r="30" ht="15" spans="1:5">
      <c r="A30" s="21"/>
      <c r="B30" s="22" t="s">
        <v>33</v>
      </c>
      <c r="C30" s="23"/>
      <c r="D30" s="24"/>
      <c r="E30" s="25"/>
    </row>
    <row r="31" ht="15" spans="1:5">
      <c r="A31" s="21"/>
      <c r="B31" s="22" t="s">
        <v>34</v>
      </c>
      <c r="C31" s="23"/>
      <c r="D31" s="24"/>
      <c r="E31" s="25"/>
    </row>
    <row r="32" ht="15" spans="1:5">
      <c r="A32" s="21"/>
      <c r="B32" s="22" t="s">
        <v>35</v>
      </c>
      <c r="C32" s="23"/>
      <c r="D32" s="24"/>
      <c r="E32" s="25"/>
    </row>
    <row r="33" ht="15" spans="1:5">
      <c r="A33" s="21"/>
      <c r="B33" s="22" t="s">
        <v>36</v>
      </c>
      <c r="C33" s="23"/>
      <c r="D33" s="24"/>
      <c r="E33" s="25"/>
    </row>
    <row r="34" ht="15" spans="1:5">
      <c r="A34" s="21"/>
      <c r="B34" s="22" t="s">
        <v>37</v>
      </c>
      <c r="C34" s="23"/>
      <c r="D34" s="24"/>
      <c r="E34" s="25"/>
    </row>
    <row r="35" ht="15" spans="1:5">
      <c r="A35" s="21"/>
      <c r="B35" s="22" t="s">
        <v>38</v>
      </c>
      <c r="C35" s="23"/>
      <c r="D35" s="24"/>
      <c r="E35" s="25"/>
    </row>
    <row r="36" ht="15" spans="1:5">
      <c r="A36" s="21"/>
      <c r="B36" s="43" t="s">
        <v>39</v>
      </c>
      <c r="C36" s="23"/>
      <c r="D36" s="24"/>
      <c r="E36" s="25"/>
    </row>
    <row r="37" ht="15" spans="1:5">
      <c r="A37" s="21"/>
      <c r="B37" s="43" t="s">
        <v>40</v>
      </c>
      <c r="C37" s="23"/>
      <c r="D37" s="24"/>
      <c r="E37" s="25"/>
    </row>
    <row r="38" ht="15" spans="1:5">
      <c r="A38" s="21"/>
      <c r="B38" s="43" t="s">
        <v>41</v>
      </c>
      <c r="C38" s="23"/>
      <c r="D38" s="24"/>
      <c r="E38" s="25"/>
    </row>
    <row r="39" ht="15" spans="1:5">
      <c r="A39" s="21"/>
      <c r="B39" s="22" t="s">
        <v>42</v>
      </c>
      <c r="C39" s="23"/>
      <c r="D39" s="24"/>
      <c r="E39" s="25"/>
    </row>
    <row r="40" ht="15" spans="1:5">
      <c r="A40" s="21"/>
      <c r="B40" s="43" t="s">
        <v>43</v>
      </c>
      <c r="C40" s="23"/>
      <c r="D40" s="24"/>
      <c r="E40" s="25"/>
    </row>
    <row r="41" ht="15" spans="1:5">
      <c r="A41" s="21"/>
      <c r="B41" s="43" t="s">
        <v>44</v>
      </c>
      <c r="C41" s="23"/>
      <c r="D41" s="24"/>
      <c r="E41" s="25"/>
    </row>
    <row r="42" ht="15" spans="1:5">
      <c r="A42" s="21"/>
      <c r="B42" s="43" t="s">
        <v>45</v>
      </c>
      <c r="C42" s="23"/>
      <c r="D42" s="24"/>
      <c r="E42" s="25"/>
    </row>
    <row r="43" ht="15" spans="1:5">
      <c r="A43" s="21"/>
      <c r="B43" s="43" t="s">
        <v>46</v>
      </c>
      <c r="C43" s="23"/>
      <c r="D43" s="24"/>
      <c r="E43" s="25"/>
    </row>
    <row r="44" ht="15" spans="1:5">
      <c r="A44" s="21"/>
      <c r="B44" s="43" t="s">
        <v>47</v>
      </c>
      <c r="C44" s="23"/>
      <c r="D44" s="24"/>
      <c r="E44" s="25"/>
    </row>
    <row r="45" ht="15" spans="1:5">
      <c r="A45" s="21"/>
      <c r="B45" s="22" t="s">
        <v>48</v>
      </c>
      <c r="C45" s="23"/>
      <c r="D45" s="24"/>
      <c r="E45" s="25"/>
    </row>
    <row r="46" ht="15" spans="1:5">
      <c r="A46" s="21"/>
      <c r="B46" s="43" t="s">
        <v>49</v>
      </c>
      <c r="C46" s="23"/>
      <c r="D46" s="24"/>
      <c r="E46" s="25"/>
    </row>
    <row r="47" ht="15" spans="1:5">
      <c r="A47" s="21"/>
      <c r="B47" s="43" t="s">
        <v>50</v>
      </c>
      <c r="C47" s="23"/>
      <c r="D47" s="24"/>
      <c r="E47" s="25"/>
    </row>
    <row r="48" ht="15" spans="1:5">
      <c r="A48" s="21"/>
      <c r="B48" s="26" t="s">
        <v>51</v>
      </c>
      <c r="C48" s="23"/>
      <c r="D48" s="24"/>
      <c r="E48" s="25"/>
    </row>
    <row r="49" spans="1:5">
      <c r="A49" s="21"/>
      <c r="B49" s="22" t="s">
        <v>52</v>
      </c>
      <c r="C49" s="23"/>
      <c r="D49" s="25"/>
      <c r="E49" s="25"/>
    </row>
    <row r="50" spans="1:5">
      <c r="A50" s="21"/>
      <c r="B50" s="22" t="s">
        <v>53</v>
      </c>
      <c r="C50" s="23"/>
      <c r="D50" s="25"/>
      <c r="E50" s="25"/>
    </row>
    <row r="51" spans="1:5">
      <c r="A51" s="21"/>
      <c r="B51" s="22" t="s">
        <v>54</v>
      </c>
      <c r="C51" s="23"/>
      <c r="D51" s="25"/>
      <c r="E51" s="25"/>
    </row>
    <row r="52" spans="1:5">
      <c r="A52" s="21"/>
      <c r="B52" s="22" t="s">
        <v>55</v>
      </c>
      <c r="C52" s="23"/>
      <c r="D52" s="25"/>
      <c r="E52" s="25"/>
    </row>
    <row r="53" ht="23.25" customHeight="1" spans="1:5">
      <c r="A53" s="18">
        <v>2</v>
      </c>
      <c r="B53" s="19" t="s">
        <v>56</v>
      </c>
      <c r="C53" s="18">
        <v>1</v>
      </c>
      <c r="D53" s="20">
        <v>251350000</v>
      </c>
      <c r="E53" s="20">
        <f>D53*C53</f>
        <v>251350000</v>
      </c>
    </row>
    <row r="54" ht="15" spans="1:5">
      <c r="A54" s="21"/>
      <c r="B54" s="22" t="s">
        <v>13</v>
      </c>
      <c r="C54" s="23"/>
      <c r="D54" s="24"/>
      <c r="E54" s="25"/>
    </row>
    <row r="55" ht="15" spans="1:5">
      <c r="A55" s="21"/>
      <c r="B55" s="22" t="s">
        <v>57</v>
      </c>
      <c r="C55" s="23"/>
      <c r="D55" s="24"/>
      <c r="E55" s="25"/>
    </row>
    <row r="56" ht="15" spans="1:5">
      <c r="A56" s="21"/>
      <c r="B56" s="22" t="s">
        <v>15</v>
      </c>
      <c r="C56" s="23"/>
      <c r="D56" s="24"/>
      <c r="E56" s="25"/>
    </row>
    <row r="57" spans="1:5">
      <c r="A57" s="23"/>
      <c r="B57" s="22" t="s">
        <v>58</v>
      </c>
      <c r="C57" s="23"/>
      <c r="D57" s="25"/>
      <c r="E57" s="25"/>
    </row>
    <row r="58" spans="1:5">
      <c r="A58" s="23"/>
      <c r="B58" s="22" t="s">
        <v>59</v>
      </c>
      <c r="C58" s="23"/>
      <c r="D58" s="25"/>
      <c r="E58" s="25"/>
    </row>
    <row r="59" ht="15" spans="1:5">
      <c r="A59" s="23"/>
      <c r="B59" s="22" t="s">
        <v>60</v>
      </c>
      <c r="C59" s="23"/>
      <c r="D59" s="25"/>
      <c r="E59" s="25"/>
    </row>
    <row r="60" spans="1:5">
      <c r="A60" s="23"/>
      <c r="B60" s="22" t="s">
        <v>61</v>
      </c>
      <c r="C60" s="23"/>
      <c r="D60" s="25"/>
      <c r="E60" s="25"/>
    </row>
    <row r="61" spans="1:5">
      <c r="A61" s="23"/>
      <c r="B61" s="22" t="s">
        <v>62</v>
      </c>
      <c r="C61" s="23"/>
      <c r="D61" s="25"/>
      <c r="E61" s="25"/>
    </row>
    <row r="62" spans="1:5">
      <c r="A62" s="23"/>
      <c r="B62" s="22" t="s">
        <v>34</v>
      </c>
      <c r="C62" s="23"/>
      <c r="D62" s="25"/>
      <c r="E62" s="25"/>
    </row>
    <row r="63" ht="15" spans="1:5">
      <c r="A63" s="21"/>
      <c r="B63" s="22" t="s">
        <v>48</v>
      </c>
      <c r="C63" s="23"/>
      <c r="D63" s="24"/>
      <c r="E63" s="25"/>
    </row>
    <row r="64" ht="15" spans="1:5">
      <c r="A64" s="21"/>
      <c r="B64" s="43" t="s">
        <v>63</v>
      </c>
      <c r="C64" s="23"/>
      <c r="D64" s="24"/>
      <c r="E64" s="25"/>
    </row>
    <row r="65" ht="15" spans="1:5">
      <c r="A65" s="21"/>
      <c r="B65" s="43" t="s">
        <v>64</v>
      </c>
      <c r="C65" s="23"/>
      <c r="D65" s="24"/>
      <c r="E65" s="25"/>
    </row>
    <row r="66" ht="15" spans="1:5">
      <c r="A66" s="23"/>
      <c r="B66" s="26" t="s">
        <v>51</v>
      </c>
      <c r="C66" s="27">
        <v>1</v>
      </c>
      <c r="D66" s="25"/>
      <c r="E66" s="25"/>
    </row>
    <row r="67" spans="1:5">
      <c r="A67" s="44" t="s">
        <v>65</v>
      </c>
      <c r="B67" s="22" t="s">
        <v>66</v>
      </c>
      <c r="C67" s="23">
        <v>1</v>
      </c>
      <c r="D67" s="25"/>
      <c r="E67" s="25"/>
    </row>
    <row r="68" spans="1:5">
      <c r="A68" s="44" t="s">
        <v>65</v>
      </c>
      <c r="B68" s="22" t="s">
        <v>67</v>
      </c>
      <c r="C68" s="23">
        <v>3</v>
      </c>
      <c r="D68" s="25"/>
      <c r="E68" s="25"/>
    </row>
    <row r="69" spans="1:5">
      <c r="A69" s="44" t="s">
        <v>65</v>
      </c>
      <c r="B69" s="22" t="s">
        <v>68</v>
      </c>
      <c r="C69" s="23">
        <v>3</v>
      </c>
      <c r="D69" s="25"/>
      <c r="E69" s="25"/>
    </row>
    <row r="70" ht="17.25" customHeight="1" spans="1:5">
      <c r="A70" s="28"/>
      <c r="B70" s="29" t="s">
        <v>69</v>
      </c>
      <c r="C70" s="28"/>
      <c r="D70" s="30"/>
      <c r="E70" s="31">
        <f>SUM(E9:E69)</f>
        <v>601370000</v>
      </c>
    </row>
    <row r="71" ht="11.25" customHeight="1" spans="4:5">
      <c r="D71" s="32"/>
      <c r="E71" s="32"/>
    </row>
    <row r="72" s="3" customFormat="1" ht="15" spans="1:5">
      <c r="A72" s="33" t="s">
        <v>70</v>
      </c>
      <c r="B72" s="34"/>
      <c r="C72" s="34"/>
      <c r="D72" s="35"/>
      <c r="E72" s="35"/>
    </row>
    <row r="73" s="3" customFormat="1" ht="18" customHeight="1" spans="1:5">
      <c r="A73" s="6"/>
      <c r="B73" s="36" t="s">
        <v>71</v>
      </c>
      <c r="C73" s="36"/>
      <c r="D73" s="36"/>
      <c r="E73" s="36"/>
    </row>
    <row r="74" s="3" customFormat="1" spans="1:5">
      <c r="A74" s="6"/>
      <c r="B74" s="36" t="s">
        <v>72</v>
      </c>
      <c r="C74" s="36"/>
      <c r="D74" s="36"/>
      <c r="E74" s="36"/>
    </row>
    <row r="75" s="3" customFormat="1" spans="1:5">
      <c r="A75" s="6"/>
      <c r="B75" s="36" t="s">
        <v>73</v>
      </c>
      <c r="C75" s="36"/>
      <c r="D75" s="36"/>
      <c r="E75" s="36"/>
    </row>
    <row r="76" s="3" customFormat="1" spans="1:5">
      <c r="A76" s="6"/>
      <c r="B76" s="36" t="s">
        <v>74</v>
      </c>
      <c r="C76" s="36"/>
      <c r="D76" s="36"/>
      <c r="E76" s="36"/>
    </row>
    <row r="77" s="3" customFormat="1" spans="1:5">
      <c r="A77" s="6"/>
      <c r="B77" s="36" t="s">
        <v>75</v>
      </c>
      <c r="C77" s="36"/>
      <c r="D77" s="36"/>
      <c r="E77" s="36"/>
    </row>
    <row r="78" s="3" customFormat="1" spans="1:5">
      <c r="A78" s="6"/>
      <c r="B78" s="36"/>
      <c r="C78" s="36"/>
      <c r="D78" s="36"/>
      <c r="E78" s="36"/>
    </row>
    <row r="79" s="3" customFormat="1" ht="15.75" spans="2:5">
      <c r="B79" s="37" t="s">
        <v>76</v>
      </c>
      <c r="C79" s="38"/>
      <c r="D79" s="38"/>
      <c r="E79" s="39"/>
    </row>
    <row r="80" s="3" customFormat="1" ht="15.75" spans="2:5">
      <c r="B80" s="37" t="s">
        <v>77</v>
      </c>
      <c r="C80" s="38"/>
      <c r="D80" s="38"/>
      <c r="E80" s="39"/>
    </row>
    <row r="81" s="3" customFormat="1" ht="15.75" spans="2:4">
      <c r="B81" s="40" t="s">
        <v>78</v>
      </c>
      <c r="C81" s="41"/>
      <c r="D81" s="41"/>
    </row>
    <row r="82" spans="2:2">
      <c r="B82" s="42"/>
    </row>
  </sheetData>
  <mergeCells count="1">
    <mergeCell ref="C82:D82"/>
  </mergeCells>
  <pageMargins left="0.39" right="0.24" top="1.23" bottom="0.62" header="0.12" footer="0.12"/>
  <pageSetup paperSize="9" orientation="portrait" horizontalDpi="1200" verticalDpi="1200"/>
  <headerFooter>
    <oddHeader>&amp;L&amp;G</oddHeader>
    <oddFooter>&amp;L&amp;G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CHANGE_ME</dc:creator>
  <cp:lastModifiedBy>Hạnh Phan</cp:lastModifiedBy>
  <dcterms:created xsi:type="dcterms:W3CDTF">2010-01-04T02:49:00Z</dcterms:created>
  <cp:lastPrinted>2021-01-14T08:55:00Z</cp:lastPrinted>
  <dcterms:modified xsi:type="dcterms:W3CDTF">2021-06-11T08:50:24Z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