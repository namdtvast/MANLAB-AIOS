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LTK\4. HDSD\2. Khi\3. Tram khong khi xung quanh\"/>
    </mc:Choice>
  </mc:AlternateContent>
  <xr:revisionPtr revIDLastSave="0" documentId="13_ncr:1_{03E7A58D-4A78-4D25-BFC9-EA4C57CE8CDB}" xr6:coauthVersionLast="45" xr6:coauthVersionMax="45" xr10:uidLastSave="{00000000-0000-0000-0000-000000000000}"/>
  <bookViews>
    <workbookView xWindow="-120" yWindow="-120" windowWidth="20640" windowHeight="11160" activeTab="1" xr2:uid="{106E1171-EB18-425C-B5BE-96E8B98D2683}"/>
  </bookViews>
  <sheets>
    <sheet name="Information " sheetId="1" r:id="rId1"/>
    <sheet name="APMC 370_O3_C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I3" i="2"/>
  <c r="I4" i="2"/>
  <c r="I5" i="2"/>
  <c r="I6" i="2"/>
  <c r="I7" i="2"/>
  <c r="I8" i="2"/>
  <c r="I9" i="2"/>
  <c r="I10" i="2"/>
  <c r="I11" i="2"/>
  <c r="C17" i="1"/>
  <c r="I2" i="2"/>
</calcChain>
</file>

<file path=xl/sharedStrings.xml><?xml version="1.0" encoding="utf-8"?>
<sst xmlns="http://schemas.openxmlformats.org/spreadsheetml/2006/main" count="88" uniqueCount="61">
  <si>
    <t>STT</t>
  </si>
  <si>
    <t>Cretech</t>
  </si>
  <si>
    <t>Cem Đồng Nai</t>
  </si>
  <si>
    <t>Nội dung</t>
  </si>
  <si>
    <t>Model</t>
  </si>
  <si>
    <t>Hãng</t>
  </si>
  <si>
    <t>Dải đo dòng khí pha loãng, mL/min</t>
  </si>
  <si>
    <t>Dải đo dòng khí nồng độ, mL/min</t>
  </si>
  <si>
    <t>HORIBA</t>
  </si>
  <si>
    <t>APMC-370</t>
  </si>
  <si>
    <t>(100 ~ 5000)</t>
  </si>
  <si>
    <t>(4 ~ 200)</t>
  </si>
  <si>
    <t>Độ chính xác</t>
  </si>
  <si>
    <t>0,5% R.D + 0,1% F.S</t>
  </si>
  <si>
    <t>Độ lặp lại</t>
  </si>
  <si>
    <t>Độ tuyến tính</t>
  </si>
  <si>
    <t>0,2% R.D</t>
  </si>
  <si>
    <t>0,1% F.S</t>
  </si>
  <si>
    <t>Áp suất đầu vào</t>
  </si>
  <si>
    <t>1 bar</t>
  </si>
  <si>
    <t>có</t>
  </si>
  <si>
    <t>Sử dụng bơm hút khí không/ N2</t>
  </si>
  <si>
    <t>không (phải đẩy áp lực)</t>
  </si>
  <si>
    <t>1/250</t>
  </si>
  <si>
    <t>1/11</t>
  </si>
  <si>
    <t>Lưu lượng đo tại chuẩn khi pha 0,5 L/min</t>
  </si>
  <si>
    <t>Lưu lượng đo tại chuẩn khi pha 2 L/min</t>
  </si>
  <si>
    <t>Lưu lượng đo tại chuẩn khi pha 3 L/min</t>
  </si>
  <si>
    <t>Ghi chú</t>
  </si>
  <si>
    <t>Phù hợp với tất cả các thiết bị</t>
  </si>
  <si>
    <t>Phù hợp với các thiết bị có bơm hút mẫu cưỡng bức và phải sử dụng thêm đường bypass do lưu lượng ra bị sai số nhiều.</t>
  </si>
  <si>
    <t>Nồng độ pha tỷ lệ nghịch với lưu lượng</t>
  </si>
  <si>
    <t>Tỷ lệ pha loãng thấp nhất đặt được ở 1L/min</t>
  </si>
  <si>
    <t>Tỷ lệ pha loãng cao nhất đặt được ở 1L/min</t>
  </si>
  <si>
    <t>Đối tượng phù hợp</t>
  </si>
  <si>
    <t>500ppb</t>
  </si>
  <si>
    <t>Thời gian khởi động để có kết quả tốt nhất</t>
  </si>
  <si>
    <t>30 phút</t>
  </si>
  <si>
    <t>Nguồn cấp</t>
  </si>
  <si>
    <t>110-230V, 50-60Hz</t>
  </si>
  <si>
    <t>Nồng độ tạo O3 (qua ống UV ở 70 oC) tối đa ở 1 L/min</t>
  </si>
  <si>
    <t xml:space="preserve">Fix nồng độ O3 tạo ra là 0,5 ppm tại mục cài đặt "Concentration O3 at 1 L/min" </t>
  </si>
  <si>
    <t>sai số lớn, &lt; 0,1 L/min</t>
  </si>
  <si>
    <t>1/21</t>
  </si>
  <si>
    <t>Kết qủa kiểm tra với thiết bị Lasi ở 0,125 ppm</t>
  </si>
  <si>
    <t>Kết qủa kiểm tra với thiết bị Lasi ở 0,2 ppm</t>
  </si>
  <si>
    <t>Kết qủa kiểm tra với thiết bị Lasi ở 0,3 ppm</t>
  </si>
  <si>
    <t>Kết qủa kiểm tra với thiết bị Lasi ở 0,4 ppm</t>
  </si>
  <si>
    <t>Kết qủa kiểm tra với thiết bị Lasi ở 0,5 ppm</t>
  </si>
  <si>
    <t>Kết qủa kiểm tra với thiết bị Lasi ở 0,6 ppm</t>
  </si>
  <si>
    <t>Kết qủa kiểm tra với thiết bị Lasi ở 0,7 ppm</t>
  </si>
  <si>
    <t>Kết qủa kiểm tra với thiết bị Lasi ở 0,8 ppm</t>
  </si>
  <si>
    <t>Kết qủa kiểm tra với thiết bị Lasi ở 0,9 ppm</t>
  </si>
  <si>
    <t>Kết qủa kiểm tra với thiết bị Lasi ở 1 ppm</t>
  </si>
  <si>
    <t>Máy 1</t>
  </si>
  <si>
    <t>Máy 2</t>
  </si>
  <si>
    <t>Máy 3</t>
  </si>
  <si>
    <t>Máy 4</t>
  </si>
  <si>
    <t>Máy 5</t>
  </si>
  <si>
    <t>Máy 6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</si>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</sst>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2" fontId="0" fillId="0" borderId="0" xfId="0" applyNumberFormat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E86C-B026-4945-B385-FB8B45677843}">
  <dimension ref="A1:F31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D20" sqref="D20"/>
    </sheetView>
  </sheetViews>
  <sheetFormatPr defaultRowHeight="15" x14ac:dyDescent="0.25"/>
  <cols>
    <col min="1" max="1" width="5.7109375" style="1" customWidth="1"/>
    <col min="2" max="2" width="42.140625" customWidth="1"/>
    <col min="3" max="3" width="26.85546875" customWidth="1"/>
    <col min="4" max="4" width="28.42578125" customWidth="1"/>
    <col min="5" max="5" width="35.5703125" customWidth="1"/>
    <col min="6" max="6" width="11.42578125" customWidth="1"/>
  </cols>
  <sheetData>
    <row r="1" spans="1:6" ht="20.25" customHeight="1" x14ac:dyDescent="0.25">
      <c r="A1" s="8" t="s">
        <v>0</v>
      </c>
      <c r="B1" s="9" t="s">
        <v>3</v>
      </c>
      <c r="C1" s="9" t="s">
        <v>1</v>
      </c>
      <c r="D1" s="9" t="s">
        <v>2</v>
      </c>
      <c r="E1" s="9" t="s">
        <v>28</v>
      </c>
      <c r="F1" s="14"/>
    </row>
    <row r="2" spans="1:6" x14ac:dyDescent="0.25">
      <c r="A2" s="2">
        <v>1</v>
      </c>
      <c r="B2" s="3" t="s">
        <v>5</v>
      </c>
      <c r="C2" s="2" t="s">
        <v>8</v>
      </c>
      <c r="D2" s="2" t="s">
        <v>8</v>
      </c>
      <c r="E2" s="4"/>
    </row>
    <row r="3" spans="1:6" x14ac:dyDescent="0.25">
      <c r="A3" s="2">
        <v>2</v>
      </c>
      <c r="B3" s="3" t="s">
        <v>4</v>
      </c>
      <c r="C3" s="2" t="s">
        <v>9</v>
      </c>
      <c r="D3" s="2" t="s">
        <v>9</v>
      </c>
      <c r="E3" s="4"/>
    </row>
    <row r="4" spans="1:6" x14ac:dyDescent="0.25">
      <c r="A4" s="2">
        <v>3</v>
      </c>
      <c r="B4" s="3" t="s">
        <v>6</v>
      </c>
      <c r="C4" s="2" t="s">
        <v>10</v>
      </c>
      <c r="D4" s="2" t="s">
        <v>10</v>
      </c>
      <c r="E4" s="4"/>
    </row>
    <row r="5" spans="1:6" x14ac:dyDescent="0.25">
      <c r="A5" s="2">
        <v>4</v>
      </c>
      <c r="B5" s="3" t="s">
        <v>7</v>
      </c>
      <c r="C5" s="2" t="s">
        <v>11</v>
      </c>
      <c r="D5" s="2" t="s">
        <v>11</v>
      </c>
      <c r="E5" s="4"/>
    </row>
    <row r="6" spans="1:6" x14ac:dyDescent="0.25">
      <c r="A6" s="2">
        <v>5</v>
      </c>
      <c r="B6" s="3" t="s">
        <v>12</v>
      </c>
      <c r="C6" s="2" t="s">
        <v>13</v>
      </c>
      <c r="D6" s="2" t="s">
        <v>13</v>
      </c>
      <c r="E6" s="4"/>
    </row>
    <row r="7" spans="1:6" x14ac:dyDescent="0.25">
      <c r="A7" s="2">
        <v>6</v>
      </c>
      <c r="B7" s="3" t="s">
        <v>14</v>
      </c>
      <c r="C7" s="2" t="s">
        <v>16</v>
      </c>
      <c r="D7" s="2" t="s">
        <v>16</v>
      </c>
      <c r="E7" s="4"/>
    </row>
    <row r="8" spans="1:6" x14ac:dyDescent="0.25">
      <c r="A8" s="2">
        <v>7</v>
      </c>
      <c r="B8" s="3" t="s">
        <v>15</v>
      </c>
      <c r="C8" s="2" t="s">
        <v>17</v>
      </c>
      <c r="D8" s="2" t="s">
        <v>17</v>
      </c>
      <c r="E8" s="4"/>
    </row>
    <row r="9" spans="1:6" x14ac:dyDescent="0.25">
      <c r="A9" s="2">
        <v>8</v>
      </c>
      <c r="B9" s="3" t="s">
        <v>21</v>
      </c>
      <c r="C9" s="2" t="s">
        <v>20</v>
      </c>
      <c r="D9" s="2" t="s">
        <v>22</v>
      </c>
      <c r="E9" s="4"/>
    </row>
    <row r="10" spans="1:6" x14ac:dyDescent="0.25">
      <c r="A10" s="2">
        <v>9</v>
      </c>
      <c r="B10" s="3" t="s">
        <v>18</v>
      </c>
      <c r="C10" s="2" t="s">
        <v>19</v>
      </c>
      <c r="D10" s="2" t="s">
        <v>19</v>
      </c>
      <c r="E10" s="4"/>
    </row>
    <row r="11" spans="1:6" x14ac:dyDescent="0.25">
      <c r="A11" s="2">
        <v>10</v>
      </c>
      <c r="B11" s="3" t="s">
        <v>32</v>
      </c>
      <c r="C11" s="2" t="s">
        <v>23</v>
      </c>
      <c r="D11" s="2" t="s">
        <v>23</v>
      </c>
      <c r="E11" s="4" t="s">
        <v>31</v>
      </c>
    </row>
    <row r="12" spans="1:6" x14ac:dyDescent="0.25">
      <c r="A12" s="2">
        <v>11</v>
      </c>
      <c r="B12" s="3" t="s">
        <v>33</v>
      </c>
      <c r="C12" s="12" t="s">
        <v>43</v>
      </c>
      <c r="D12" s="11" t="s">
        <v>24</v>
      </c>
      <c r="E12" s="4" t="s">
        <v>31</v>
      </c>
    </row>
    <row r="13" spans="1:6" x14ac:dyDescent="0.25">
      <c r="A13" s="2">
        <v>12</v>
      </c>
      <c r="B13" s="3" t="s">
        <v>25</v>
      </c>
      <c r="C13" s="2">
        <v>0.47</v>
      </c>
      <c r="D13" s="2" t="s">
        <v>42</v>
      </c>
      <c r="E13" s="4"/>
    </row>
    <row r="14" spans="1:6" x14ac:dyDescent="0.25">
      <c r="A14" s="2">
        <v>13</v>
      </c>
      <c r="B14" s="3" t="s">
        <v>26</v>
      </c>
      <c r="C14" s="2">
        <v>2.1</v>
      </c>
      <c r="D14" s="2" t="s">
        <v>42</v>
      </c>
      <c r="E14" s="4"/>
    </row>
    <row r="15" spans="1:6" x14ac:dyDescent="0.25">
      <c r="A15" s="2">
        <v>14</v>
      </c>
      <c r="B15" s="3" t="s">
        <v>27</v>
      </c>
      <c r="C15" s="2">
        <v>3.05</v>
      </c>
      <c r="D15" s="2" t="s">
        <v>42</v>
      </c>
      <c r="E15" s="4"/>
    </row>
    <row r="16" spans="1:6" ht="45" x14ac:dyDescent="0.25">
      <c r="A16" s="2">
        <v>15</v>
      </c>
      <c r="B16" s="7" t="s">
        <v>40</v>
      </c>
      <c r="C16" s="2" t="s">
        <v>35</v>
      </c>
      <c r="D16" s="2" t="s">
        <v>35</v>
      </c>
      <c r="E16" s="10" t="s">
        <v>41</v>
      </c>
    </row>
    <row r="17" spans="1:6" x14ac:dyDescent="0.25">
      <c r="A17" s="2">
        <v>16</v>
      </c>
      <c r="B17" s="7" t="s">
        <v>44</v>
      </c>
      <c r="C17" s="16">
        <f>'APMC 370_O3_Cre'!I2</f>
        <v>8.0499999999999988E-2</v>
      </c>
      <c r="D17" s="2"/>
      <c r="E17" s="10"/>
      <c r="F17" s="15"/>
    </row>
    <row r="18" spans="1:6" x14ac:dyDescent="0.25">
      <c r="A18" s="2">
        <v>17</v>
      </c>
      <c r="B18" s="7" t="s">
        <v>45</v>
      </c>
      <c r="C18" s="16">
        <f>'APMC 370_O3_Cre'!I3</f>
        <v>0.123</v>
      </c>
      <c r="D18" s="2"/>
      <c r="E18" s="13"/>
      <c r="F18" s="15"/>
    </row>
    <row r="19" spans="1:6" x14ac:dyDescent="0.25">
      <c r="A19" s="2">
        <v>18</v>
      </c>
      <c r="B19" s="7" t="s">
        <v>46</v>
      </c>
      <c r="C19" s="16">
        <f>'APMC 370_O3_Cre'!I4</f>
        <v>0.1855</v>
      </c>
      <c r="D19" s="2"/>
      <c r="E19" s="13"/>
      <c r="F19" s="15"/>
    </row>
    <row r="20" spans="1:6" x14ac:dyDescent="0.25">
      <c r="A20" s="2">
        <v>19</v>
      </c>
      <c r="B20" s="7" t="s">
        <v>47</v>
      </c>
      <c r="C20" s="16">
        <f>'APMC 370_O3_Cre'!I5</f>
        <v>0.23349999999999999</v>
      </c>
      <c r="D20" s="2"/>
      <c r="E20" s="13"/>
      <c r="F20" s="15"/>
    </row>
    <row r="21" spans="1:6" x14ac:dyDescent="0.25">
      <c r="A21" s="2">
        <v>20</v>
      </c>
      <c r="B21" s="7" t="s">
        <v>48</v>
      </c>
      <c r="C21" s="16">
        <f>'APMC 370_O3_Cre'!I6</f>
        <v>0.29899999999999999</v>
      </c>
      <c r="D21" s="2"/>
      <c r="E21" s="13"/>
      <c r="F21" s="15"/>
    </row>
    <row r="22" spans="1:6" x14ac:dyDescent="0.25">
      <c r="A22" s="2">
        <v>21</v>
      </c>
      <c r="B22" s="7" t="s">
        <v>49</v>
      </c>
      <c r="C22" s="16">
        <f>'APMC 370_O3_Cre'!I7</f>
        <v>0.35250000000000004</v>
      </c>
      <c r="D22" s="2"/>
      <c r="E22" s="13"/>
      <c r="F22" s="15"/>
    </row>
    <row r="23" spans="1:6" x14ac:dyDescent="0.25">
      <c r="A23" s="2">
        <v>22</v>
      </c>
      <c r="B23" s="7" t="s">
        <v>50</v>
      </c>
      <c r="C23" s="16">
        <f>'APMC 370_O3_Cre'!I8</f>
        <v>0.41600000000000004</v>
      </c>
      <c r="D23" s="2"/>
      <c r="E23" s="13"/>
      <c r="F23" s="15"/>
    </row>
    <row r="24" spans="1:6" x14ac:dyDescent="0.25">
      <c r="A24" s="2">
        <v>23</v>
      </c>
      <c r="B24" s="7" t="s">
        <v>51</v>
      </c>
      <c r="C24" s="16">
        <f>'APMC 370_O3_Cre'!I9</f>
        <v>0.45099999999999996</v>
      </c>
      <c r="D24" s="2"/>
      <c r="E24" s="13"/>
      <c r="F24" s="15"/>
    </row>
    <row r="25" spans="1:6" x14ac:dyDescent="0.25">
      <c r="A25" s="2">
        <v>24</v>
      </c>
      <c r="B25" s="7" t="s">
        <v>52</v>
      </c>
      <c r="C25" s="16">
        <f>'APMC 370_O3_Cre'!I10</f>
        <v>0.498</v>
      </c>
      <c r="D25" s="2"/>
      <c r="E25" s="13"/>
      <c r="F25" s="15"/>
    </row>
    <row r="26" spans="1:6" x14ac:dyDescent="0.25">
      <c r="A26" s="2">
        <v>25</v>
      </c>
      <c r="B26" s="7" t="s">
        <v>53</v>
      </c>
      <c r="C26" s="16">
        <f>'APMC 370_O3_Cre'!I11</f>
        <v>0.55349999999999999</v>
      </c>
      <c r="D26" s="2"/>
      <c r="E26" s="13"/>
      <c r="F26" s="15"/>
    </row>
    <row r="27" spans="1:6" x14ac:dyDescent="0.25">
      <c r="A27" s="2">
        <v>26</v>
      </c>
      <c r="B27" s="3" t="s">
        <v>36</v>
      </c>
      <c r="C27" s="2" t="s">
        <v>37</v>
      </c>
      <c r="D27" s="2" t="s">
        <v>37</v>
      </c>
      <c r="E27" s="4"/>
    </row>
    <row r="28" spans="1:6" x14ac:dyDescent="0.25">
      <c r="A28" s="2">
        <v>27</v>
      </c>
      <c r="B28" s="3" t="s">
        <v>38</v>
      </c>
      <c r="C28" s="2" t="s">
        <v>39</v>
      </c>
      <c r="D28" s="2" t="s">
        <v>39</v>
      </c>
      <c r="E28" s="4"/>
    </row>
    <row r="29" spans="1:6" ht="60" x14ac:dyDescent="0.25">
      <c r="A29" s="2">
        <v>28</v>
      </c>
      <c r="B29" s="5" t="s">
        <v>34</v>
      </c>
      <c r="C29" s="6" t="s">
        <v>29</v>
      </c>
      <c r="D29" s="10" t="s">
        <v>30</v>
      </c>
      <c r="E29" s="3"/>
    </row>
    <row r="30" spans="1:6" x14ac:dyDescent="0.25">
      <c r="A30" s="2">
        <v>17</v>
      </c>
    </row>
    <row r="31" spans="1:6" x14ac:dyDescent="0.25">
      <c r="A31" s="2">
        <v>18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8954-FC44-43E0-A934-AA6B4CC1EDA5}">
  <dimension ref="A1:I11"/>
  <sheetViews>
    <sheetView tabSelected="1" workbookViewId="0">
      <selection activeCell="E16" sqref="E16"/>
    </sheetView>
  </sheetViews>
  <sheetFormatPr defaultRowHeight="15" x14ac:dyDescent="0.25"/>
  <cols>
    <col min="1" max="1" width="7.28515625" customWidth="1"/>
    <col min="2" max="2" width="41.7109375" customWidth="1"/>
    <col min="3" max="3" width="17.7109375" customWidth="1"/>
    <col min="4" max="8" width="13" customWidth="1"/>
    <col min="9" max="9" width="13.7109375" customWidth="1"/>
  </cols>
  <sheetData>
    <row r="1" spans="1:9" x14ac:dyDescent="0.25">
      <c r="A1" s="8" t="s">
        <v>0</v>
      </c>
      <c r="B1" s="9" t="s">
        <v>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</row>
    <row r="2" spans="1:9" x14ac:dyDescent="0.25">
      <c r="A2" s="2">
        <v>1</v>
      </c>
      <c r="B2" s="7" t="s">
        <v>44</v>
      </c>
      <c r="C2" s="2">
        <v>8.5999999999999993E-2</v>
      </c>
      <c r="D2" s="2">
        <v>7.4999999999999997E-2</v>
      </c>
      <c r="E2" s="2"/>
      <c r="F2" s="2"/>
      <c r="G2" s="2"/>
      <c r="H2" s="2"/>
      <c r="I2" s="10">
        <f>AVERAGE(C2:H2)</f>
        <v>8.0499999999999988E-2</v>
      </c>
    </row>
    <row r="3" spans="1:9" x14ac:dyDescent="0.25">
      <c r="A3" s="2">
        <v>2</v>
      </c>
      <c r="B3" s="7" t="s">
        <v>45</v>
      </c>
      <c r="C3" s="2">
        <v>0.11600000000000001</v>
      </c>
      <c r="D3" s="2">
        <v>0.13</v>
      </c>
      <c r="E3" s="2"/>
      <c r="F3" s="2"/>
      <c r="G3" s="2"/>
      <c r="H3" s="2"/>
      <c r="I3" s="10">
        <f t="shared" ref="I3:I11" si="0">AVERAGE(C3:H3)</f>
        <v>0.123</v>
      </c>
    </row>
    <row r="4" spans="1:9" x14ac:dyDescent="0.25">
      <c r="A4" s="2">
        <v>3</v>
      </c>
      <c r="B4" s="7" t="s">
        <v>46</v>
      </c>
      <c r="C4" s="2">
        <v>0.191</v>
      </c>
      <c r="D4" s="2">
        <v>0.18</v>
      </c>
      <c r="E4" s="2"/>
      <c r="F4" s="2"/>
      <c r="G4" s="2"/>
      <c r="H4" s="2"/>
      <c r="I4" s="10">
        <f t="shared" si="0"/>
        <v>0.1855</v>
      </c>
    </row>
    <row r="5" spans="1:9" x14ac:dyDescent="0.25">
      <c r="A5" s="2">
        <v>4</v>
      </c>
      <c r="B5" s="7" t="s">
        <v>47</v>
      </c>
      <c r="C5" s="2">
        <v>0.22700000000000001</v>
      </c>
      <c r="D5" s="2">
        <v>0.24</v>
      </c>
      <c r="E5" s="2"/>
      <c r="F5" s="2"/>
      <c r="G5" s="2"/>
      <c r="H5" s="2"/>
      <c r="I5" s="10">
        <f t="shared" si="0"/>
        <v>0.23349999999999999</v>
      </c>
    </row>
    <row r="6" spans="1:9" x14ac:dyDescent="0.25">
      <c r="A6" s="2">
        <v>5</v>
      </c>
      <c r="B6" s="7" t="s">
        <v>48</v>
      </c>
      <c r="C6" s="2">
        <v>0.309</v>
      </c>
      <c r="D6" s="2">
        <v>0.28899999999999998</v>
      </c>
      <c r="E6" s="2"/>
      <c r="F6" s="2"/>
      <c r="G6" s="2"/>
      <c r="H6" s="2"/>
      <c r="I6" s="10">
        <f t="shared" si="0"/>
        <v>0.29899999999999999</v>
      </c>
    </row>
    <row r="7" spans="1:9" x14ac:dyDescent="0.25">
      <c r="A7" s="2">
        <v>6</v>
      </c>
      <c r="B7" s="7" t="s">
        <v>49</v>
      </c>
      <c r="C7" s="2">
        <v>0.33900000000000002</v>
      </c>
      <c r="D7" s="2">
        <v>0.36599999999999999</v>
      </c>
      <c r="E7" s="2"/>
      <c r="F7" s="2"/>
      <c r="G7" s="2"/>
      <c r="H7" s="2"/>
      <c r="I7" s="10">
        <f t="shared" si="0"/>
        <v>0.35250000000000004</v>
      </c>
    </row>
    <row r="8" spans="1:9" x14ac:dyDescent="0.25">
      <c r="A8" s="2">
        <v>7</v>
      </c>
      <c r="B8" s="7" t="s">
        <v>50</v>
      </c>
      <c r="C8" s="2">
        <v>0.40400000000000003</v>
      </c>
      <c r="D8" s="2">
        <v>0.42799999999999999</v>
      </c>
      <c r="E8" s="2"/>
      <c r="F8" s="2"/>
      <c r="G8" s="2"/>
      <c r="H8" s="2"/>
      <c r="I8" s="10">
        <f t="shared" si="0"/>
        <v>0.41600000000000004</v>
      </c>
    </row>
    <row r="9" spans="1:9" x14ac:dyDescent="0.25">
      <c r="A9" s="2">
        <v>8</v>
      </c>
      <c r="B9" s="7" t="s">
        <v>51</v>
      </c>
      <c r="C9" s="2">
        <v>0.41699999999999998</v>
      </c>
      <c r="D9" s="2">
        <v>0.48499999999999999</v>
      </c>
      <c r="E9" s="2"/>
      <c r="F9" s="2"/>
      <c r="G9" s="2"/>
      <c r="H9" s="2"/>
      <c r="I9" s="10">
        <f t="shared" si="0"/>
        <v>0.45099999999999996</v>
      </c>
    </row>
    <row r="10" spans="1:9" x14ac:dyDescent="0.25">
      <c r="A10" s="2">
        <v>9</v>
      </c>
      <c r="B10" s="7" t="s">
        <v>52</v>
      </c>
      <c r="C10" s="2">
        <v>0.47099999999999997</v>
      </c>
      <c r="D10" s="2">
        <v>0.52500000000000002</v>
      </c>
      <c r="E10" s="2"/>
      <c r="F10" s="2"/>
      <c r="G10" s="2"/>
      <c r="H10" s="2"/>
      <c r="I10" s="10">
        <f t="shared" si="0"/>
        <v>0.498</v>
      </c>
    </row>
    <row r="11" spans="1:9" x14ac:dyDescent="0.25">
      <c r="A11" s="2">
        <v>10</v>
      </c>
      <c r="B11" s="7" t="s">
        <v>53</v>
      </c>
      <c r="C11" s="2">
        <v>0.51900000000000002</v>
      </c>
      <c r="D11" s="2">
        <v>0.58799999999999997</v>
      </c>
      <c r="E11" s="2"/>
      <c r="F11" s="2"/>
      <c r="G11" s="2"/>
      <c r="H11" s="2"/>
      <c r="I11" s="10">
        <f t="shared" si="0"/>
        <v>0.55349999999999999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</vt:lpstr>
      <vt:lpstr>APMC 370_O3_Cre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2020-11-21T06:40:17Z</dcterms:created>
  <dcterms:modified xsi:type="dcterms:W3CDTF">2020-12-01T04:50:22Z</dcterms:modified>
</cp:coreProperties>
</file>