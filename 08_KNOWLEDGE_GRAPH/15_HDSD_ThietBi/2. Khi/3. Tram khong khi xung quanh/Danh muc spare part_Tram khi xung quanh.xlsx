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8385"/>
  </bookViews>
  <sheets>
    <sheet name="thay the nam 2014" sheetId="4" r:id="rId1"/>
    <sheet name="danh sách" sheetId="1" r:id="rId2"/>
    <sheet name="du toan" sheetId="2" r:id="rId3"/>
    <sheet name="so sánh" sheetId="3" r:id="rId4"/>
  </sheets>
  <calcPr calcId="152511" concurrentCalc="0"/>
</workbook>
</file>

<file path=xl/calcChain.xml><?xml version="1.0" encoding="utf-8"?>
<calcChain xmlns="http://schemas.openxmlformats.org/spreadsheetml/2006/main">
  <c r="F30" i="3" l="1"/>
  <c r="H30" i="3"/>
  <c r="F29" i="3"/>
  <c r="H29" i="3"/>
  <c r="F28" i="3"/>
  <c r="H28" i="3"/>
  <c r="G27" i="3"/>
  <c r="F27" i="3"/>
  <c r="F26" i="3"/>
  <c r="H26" i="3"/>
  <c r="F25" i="3"/>
  <c r="H25" i="3"/>
  <c r="F24" i="3"/>
  <c r="H24" i="3"/>
  <c r="G23" i="3"/>
  <c r="F22" i="3"/>
  <c r="H22" i="3"/>
  <c r="F21" i="3"/>
  <c r="H21" i="3"/>
  <c r="F20" i="3"/>
  <c r="H20" i="3"/>
  <c r="F19" i="3"/>
  <c r="H19" i="3"/>
  <c r="G18" i="3"/>
  <c r="F17" i="3"/>
  <c r="H17" i="3"/>
  <c r="F16" i="3"/>
  <c r="H16" i="3"/>
  <c r="F15" i="3"/>
  <c r="H15" i="3"/>
  <c r="F14" i="3"/>
  <c r="H14" i="3"/>
  <c r="F13" i="3"/>
  <c r="H13" i="3"/>
  <c r="G12" i="3"/>
  <c r="F11" i="3"/>
  <c r="H11" i="3"/>
  <c r="F10" i="3"/>
  <c r="H10" i="3"/>
  <c r="F9" i="3"/>
  <c r="H9" i="3"/>
  <c r="F8" i="3"/>
  <c r="H8" i="3"/>
  <c r="F7" i="3"/>
  <c r="H7" i="3"/>
  <c r="G6" i="3"/>
  <c r="G5" i="3"/>
  <c r="F59" i="2"/>
  <c r="F57" i="2"/>
  <c r="F56" i="2"/>
  <c r="F55" i="2"/>
  <c r="F54" i="2"/>
  <c r="F53" i="2"/>
  <c r="F50" i="2"/>
  <c r="F49" i="2"/>
  <c r="F48" i="2"/>
  <c r="F47" i="2"/>
  <c r="F46" i="2"/>
  <c r="F45" i="2"/>
  <c r="F43" i="2"/>
  <c r="F42" i="2"/>
  <c r="F41" i="2"/>
  <c r="F40" i="2"/>
  <c r="F39" i="2"/>
  <c r="F38" i="2"/>
  <c r="F37" i="2"/>
  <c r="F36" i="2"/>
  <c r="F35" i="2"/>
  <c r="F34" i="2"/>
  <c r="F33" i="2"/>
  <c r="F32" i="2"/>
  <c r="F30" i="2"/>
  <c r="F29" i="2"/>
  <c r="F28" i="2"/>
  <c r="F27" i="2"/>
  <c r="F25" i="2"/>
  <c r="F24" i="2"/>
  <c r="F23" i="2"/>
  <c r="F22" i="2"/>
  <c r="F21" i="2"/>
  <c r="F20" i="2"/>
  <c r="F18" i="2"/>
  <c r="F17" i="2"/>
  <c r="F16" i="2"/>
  <c r="F15" i="2"/>
  <c r="F14" i="2"/>
  <c r="F13" i="2"/>
  <c r="F12" i="2"/>
  <c r="F11" i="2"/>
  <c r="F10" i="2"/>
  <c r="F9" i="2"/>
  <c r="F8" i="2"/>
  <c r="F26" i="2"/>
  <c r="F19" i="2"/>
  <c r="F44" i="2"/>
  <c r="F52" i="2"/>
  <c r="F23" i="3"/>
  <c r="F6" i="3"/>
  <c r="F12" i="3"/>
  <c r="F18" i="3"/>
  <c r="F7" i="2"/>
  <c r="F60" i="2"/>
  <c r="F61" i="2"/>
  <c r="F5" i="3"/>
</calcChain>
</file>

<file path=xl/sharedStrings.xml><?xml version="1.0" encoding="utf-8"?>
<sst xmlns="http://schemas.openxmlformats.org/spreadsheetml/2006/main" count="595" uniqueCount="206">
  <si>
    <t>Đơn giá</t>
  </si>
  <si>
    <t>Thành tiền</t>
  </si>
  <si>
    <r>
      <t>Phụ kiện cho môđun phân tích NO- NO</t>
    </r>
    <r>
      <rPr>
        <b/>
        <vertAlign val="subscript"/>
        <sz val="12"/>
        <rFont val="Times New Roman"/>
        <family val="1"/>
      </rPr>
      <t>2</t>
    </r>
    <r>
      <rPr>
        <b/>
        <sz val="12"/>
        <rFont val="Times New Roman"/>
        <family val="1"/>
      </rPr>
      <t>-NOx:</t>
    </r>
  </si>
  <si>
    <t>Bộ lọc mẫu (25 chiếc) ( Filter element)</t>
  </si>
  <si>
    <t>hàng tuần</t>
  </si>
  <si>
    <t>Bộ khử ozôn (DO unit: For deozonizer)</t>
  </si>
  <si>
    <t>1 năm</t>
  </si>
  <si>
    <t>Đèn tử ngoại (UV) ( UV lamp unit)</t>
  </si>
  <si>
    <t>Lớp lót UV (UV liner)</t>
  </si>
  <si>
    <t>Bộ làm khô thẩm thấu ( Dehumidier unit)</t>
  </si>
  <si>
    <t>Ống chuyển đổi (Catalyst tube)</t>
  </si>
  <si>
    <t>Bộ lọc khí (Air filter)</t>
  </si>
  <si>
    <t>Gioăng ( O ring)</t>
  </si>
  <si>
    <t>F-packing ( Filter parcking )</t>
  </si>
  <si>
    <t>Scrubber</t>
  </si>
  <si>
    <t xml:space="preserve">SV unit  </t>
  </si>
  <si>
    <t>2 năm</t>
  </si>
  <si>
    <t xml:space="preserve">Bơm (230V) </t>
  </si>
  <si>
    <t>Diaphramg assembly</t>
  </si>
  <si>
    <t>Batlery ( pin Cell mode)</t>
  </si>
  <si>
    <t>3 năm</t>
  </si>
  <si>
    <t>LCD unit</t>
  </si>
  <si>
    <t>Scrubber Mix</t>
  </si>
  <si>
    <t>Phụ kiện cho môđun phân tích CO:</t>
  </si>
  <si>
    <t>Bộ lọc mẫu (25 chiếc)</t>
  </si>
  <si>
    <t>Ống xúc tác (catalyzer)</t>
  </si>
  <si>
    <t>Bộ màng ngăn</t>
  </si>
  <si>
    <t>Bộ lọc</t>
  </si>
  <si>
    <t>F-packing</t>
  </si>
  <si>
    <t>Silicagel</t>
  </si>
  <si>
    <r>
      <t>Phụ kiện cho môđun phân tích O</t>
    </r>
    <r>
      <rPr>
        <b/>
        <vertAlign val="subscript"/>
        <sz val="12"/>
        <rFont val="Times New Roman"/>
        <family val="1"/>
      </rPr>
      <t>3</t>
    </r>
    <r>
      <rPr>
        <b/>
        <sz val="12"/>
        <rFont val="Times New Roman"/>
        <family val="1"/>
      </rPr>
      <t>:</t>
    </r>
  </si>
  <si>
    <t>Ống DO ( DO pipe)</t>
  </si>
  <si>
    <t>Đèn thuỷ ngân (UV lamp)</t>
  </si>
  <si>
    <t>SV Unit, WTB-3K-N1F-3</t>
  </si>
  <si>
    <t>Bơm (230V)</t>
  </si>
  <si>
    <t>Than hoạt tính</t>
  </si>
  <si>
    <t>Phụ kiện cho môđun phân tích SO2:</t>
  </si>
  <si>
    <t>Xenon lamp</t>
  </si>
  <si>
    <t>HC cutler assembly ( bộ loại hidro cacbon)</t>
  </si>
  <si>
    <t>Phụ kiện và hiệu chuẩn máy phân tích bụi:</t>
  </si>
  <si>
    <t>Ống silicon</t>
  </si>
  <si>
    <t>BQ filter</t>
  </si>
  <si>
    <t>CQ filter</t>
  </si>
  <si>
    <t>Rinsing Air Controller</t>
  </si>
  <si>
    <t>Modul THC</t>
  </si>
  <si>
    <t>1</t>
  </si>
  <si>
    <t>filter element</t>
  </si>
  <si>
    <t>silicafel</t>
  </si>
  <si>
    <t>Catalyst Kit</t>
  </si>
  <si>
    <t>2</t>
  </si>
  <si>
    <t>CAT.PACK</t>
  </si>
  <si>
    <t>Pumb unit</t>
  </si>
  <si>
    <t>Solenoid valve unit</t>
  </si>
  <si>
    <t>3</t>
  </si>
  <si>
    <t>pin</t>
  </si>
  <si>
    <t>Phụ lục 3</t>
  </si>
  <si>
    <t>Dự toán kinh phí thực hiện nhiệm vụ "Duy trì và vận hành Trạm Quan trắc không khí tự động, cố định tại 556 Nguyễn Văn Cừ, Long Biên, Hà Nội"</t>
  </si>
  <si>
    <t>Căn cứ lập dự toán:</t>
  </si>
  <si>
    <t xml:space="preserve">1. Thông tư liên tịch số 01/2008/TTLT-BTNMT-BTC của Bộ Tài chính và Bộ Tài nguyên và Môi trường ngày 29 tháng 4 năm 2008 về việc Hướng dẫn lập dự toán công tác bảo vệ môi trường thuộc nguồn kinh phí sự nghiệp môi trường;
2.  Thông tư liên tịch số 45/2010/TTLT-BTC-BTNMT của Bộ Tài chính và Bộ Tài nguyên và Môi trường ngày 30 tháng 3 năm 2010 về việc Hướng dẫn việc quản lý kinh phí sự nghiệp môi trường;
3. Quyết định số 784/QĐ-BTNMT ngày 29/05/2012 của Bộ Tài nguyên và Môi trường ban hành Quy định về tiêu chuẩn và mức chi thanh toán công tác phí và hôi nghị phí sử dụng ngân sách nhà nước trong các cơ quan hành chính đơn vị sự nghiệp thuộc Bộ Tài nguyên và Môi trường.
4. Công văn số 68/TCMT ngày 10 tháng 2 năm 2014 của Tổng cục Môi trường về việc giao kế hoạch và dự toán chi ngân sách Nhà nước năm 2014;.
5. Căn cứ thông tư 07/2005/TT-BNV ngày 05 tháng 01 năm 2005 của Bộ Nội vụ hướng dẫn thực hiện chế độ phụ cấp độc hại nguy hiểm;
6. Quyết định số 118/QĐ-BTNMT ngày 8/3/2013 của Tổng cục Môi trường về việc ban hành quy chế lập, thẩm định, phê duyệt, quản lý và thực hiện các dự án, nhiệm vụ;
7. Căn cứ công văn 386/TCMT-KHTC ngày 10/3/2014 của Tổng cục Môi trường hướng dẫn xây dựng, phê duyệt, triển khai thực hiện các dự án, nhiệm vụ chuyên môn năm 2014
8. Thông tư 38/2012/TT-BCT của Bộ Công thương ngày 20 tháng 12 năm 2012 về việc quy định giá bán  điện và hướng dẫn thực hiện;
9. Căn cứ  công văn số 615/BNV-TL ngày 25 tháng 2 năm 2013 về việc chế độ phụ cấp đối với viên chức quan trắc môi trường;
10. Căn cứ Báo giá cung cấp phụ kiện, vật tư tiêu hao;
11. Căn cứ vào nội dung và khối lượng công việc thực hiện.
</t>
  </si>
  <si>
    <t>Đơn vị tính: VNĐ</t>
  </si>
  <si>
    <t>TT</t>
  </si>
  <si>
    <t>Nội dung</t>
  </si>
  <si>
    <t>Đơn vị tính</t>
  </si>
  <si>
    <t>Số 
lượng</t>
  </si>
  <si>
    <t>A</t>
  </si>
  <si>
    <t>CHI PHÍ TRỰC TIẾP</t>
  </si>
  <si>
    <t>Chi phí nhân công (Bao gồm lương và các khoản phụ cấp theo lương)</t>
  </si>
  <si>
    <t>1.1</t>
  </si>
  <si>
    <t>01 Lãnh đạo Phòng có hệ số lương cơ bản là 3,3</t>
  </si>
  <si>
    <t>Công</t>
  </si>
  <si>
    <t>1.2</t>
  </si>
  <si>
    <t>02 cán bộ có hệ số lương cơ bản là 2,67</t>
  </si>
  <si>
    <t>1.3</t>
  </si>
  <si>
    <t>01 cán bộ có hệ số lương cơ bản là 2,34</t>
  </si>
  <si>
    <t>1.4</t>
  </si>
  <si>
    <t>Phụ cấp độc hại 02 cán bộ vận hành Trạm</t>
  </si>
  <si>
    <t xml:space="preserve">02 cán bộ (5 ngày/tuần) </t>
  </si>
  <si>
    <t>Tuần</t>
  </si>
  <si>
    <t>Chi phí năng lượng</t>
  </si>
  <si>
    <t>2.1</t>
  </si>
  <si>
    <t>Chi phí điện phục vụ vận hành trạm không khí tự động, cố định trong 12 tháng (tạm tính)</t>
  </si>
  <si>
    <t>Tháng</t>
  </si>
  <si>
    <t>2.2</t>
  </si>
  <si>
    <t>Chi phí dầu chạy máy phát điện trong trường hợp mất điện (tạm tính)</t>
  </si>
  <si>
    <t>Lít</t>
  </si>
  <si>
    <t>2.3</t>
  </si>
  <si>
    <t>Chi phí bảo dưỡng máy phát điện định kỳ</t>
  </si>
  <si>
    <t>Gói</t>
  </si>
  <si>
    <t>2.4</t>
  </si>
  <si>
    <t>Chi phí bảo dưỡng, nạp gas điều hoà nhiệt độ 2 chiếc x 2 lần/năm</t>
  </si>
  <si>
    <t>Chiếc</t>
  </si>
  <si>
    <t>Chi phí phụ kiện, vật tư tiêu hao cho trạm không khí tự động, cố định theo thực tế phát sinh  kèm theo (tạm tính)</t>
  </si>
  <si>
    <t>3.1</t>
  </si>
  <si>
    <t>Phụ kiện cho module NO-NO2-NOx: (APNA 370 - Horiba) (tạm tính)</t>
  </si>
  <si>
    <t>Bộ lọc mẫu (Filter element) (24 chiếc)</t>
  </si>
  <si>
    <t>Bộ</t>
  </si>
  <si>
    <t>Bộ khử ozôn (DO Unit)</t>
  </si>
  <si>
    <t>Đèn tử ngoại (UV Lamp Unit)</t>
  </si>
  <si>
    <t>Lớp lót UV (UV Liner)</t>
  </si>
  <si>
    <t>Ống chuyển đổi (Catalyzer Pipe)</t>
  </si>
  <si>
    <t>3.2</t>
  </si>
  <si>
    <t>Phụ kiện cho module phân tích SO2 (APSA 370 - Horiba) (tạm tính)</t>
  </si>
  <si>
    <t>Đèn Xenon (Xenon Lamp)</t>
  </si>
  <si>
    <t>Bộ loại hydrocacbon (HC cutter)</t>
  </si>
  <si>
    <t>3.3</t>
  </si>
  <si>
    <t>Ống DO (Glass tube)</t>
  </si>
  <si>
    <t>Ống</t>
  </si>
  <si>
    <t>Đèn thuỷ ngân (Mecury lamp)</t>
  </si>
  <si>
    <t>3.4</t>
  </si>
  <si>
    <t>Phụ kiện cho module phân tích CO (APMA 370 - Horiba) (tạm tính)</t>
  </si>
  <si>
    <t>Ống xúc tác (catalyzer tube)</t>
  </si>
  <si>
    <t>Màng bơm (Diaphragm assembly)</t>
  </si>
  <si>
    <t>3.5</t>
  </si>
  <si>
    <t>Khí chuẩn tiêu hao cho Trạm khí sau 1 năm sử dụng, xuất xứ: Singapore hoặc Mỹ  (có CQ/ CO hàng hóa) (tạm tính)</t>
  </si>
  <si>
    <t>Khí chuẩn H2 tinh khiết 99.99%, 50lit</t>
  </si>
  <si>
    <t>Bình</t>
  </si>
  <si>
    <t>Bình 50 ppm CH4, 50lit
Không bao gồm van điều áp</t>
  </si>
  <si>
    <t xml:space="preserve">Bình </t>
  </si>
  <si>
    <t>Phí vận chuyển bình khí</t>
  </si>
  <si>
    <t>Lần</t>
  </si>
  <si>
    <t>Chi phân tích, đánh giá theo chuyên đề; báo cáo tổng hợp kết quả quan trắc</t>
  </si>
  <si>
    <t>4.1</t>
  </si>
  <si>
    <t>Báo cáo kết quả quan trắc so sánh đối chiếu giữa Trạm cố định và Xe di động</t>
  </si>
  <si>
    <t>Báo cáo</t>
  </si>
  <si>
    <t>4.2</t>
  </si>
  <si>
    <t>Báo cáo kết quả quan trắc môi trường không khí tự động, cố định từng tháng trong năm 2014</t>
  </si>
  <si>
    <t>4.3</t>
  </si>
  <si>
    <t>Báo cáo tổng hợp kết quả quan trắc môi trường không khí tự động, cố định năm 2014</t>
  </si>
  <si>
    <t>4.4</t>
  </si>
  <si>
    <t>Báo cáo diễn biến kết quả quan trắc môi trường không khí tự động 05 năm từ năm 2010-2014</t>
  </si>
  <si>
    <t>4.5</t>
  </si>
  <si>
    <t xml:space="preserve">Báo cáo tình hình thực hiện nhiệm vụ </t>
  </si>
  <si>
    <t>Chi xây dựng đề cương nhiệm vụ</t>
  </si>
  <si>
    <t>Đề cương</t>
  </si>
  <si>
    <t>Chi phí in ấn, photo tài liệu, nhật ký vận hành trạm, văn phòng phẩm (tạm tính)</t>
  </si>
  <si>
    <t>Họp nghiệm thu nhiệm vụ</t>
  </si>
  <si>
    <t>Chủ tịch Hội đồng</t>
  </si>
  <si>
    <t>Người/buổi</t>
  </si>
  <si>
    <t>Uỷ viên</t>
  </si>
  <si>
    <t>Nhận xét của Uỷ viên Hội đồng</t>
  </si>
  <si>
    <t>Bài viết</t>
  </si>
  <si>
    <t>Đại biểu tham dự</t>
  </si>
  <si>
    <t>Nước uống</t>
  </si>
  <si>
    <t>Photocopy, in ấn (tạm tính)</t>
  </si>
  <si>
    <t>8</t>
  </si>
  <si>
    <t>Chi khác</t>
  </si>
  <si>
    <t>B</t>
  </si>
  <si>
    <t>CHI PHÍ QUẢN LÝ CHUNG (B=15,5%*(A-A.3)</t>
  </si>
  <si>
    <t>C</t>
  </si>
  <si>
    <t>TỔNG CỘNG (C=A+B)</t>
  </si>
  <si>
    <t>Làm tròn</t>
  </si>
  <si>
    <t>(Bằng chữ: Sáu trăm triệu đồng chẵn)</t>
  </si>
  <si>
    <t xml:space="preserve">Hà Nội, ngày     tháng   năm 2014 </t>
  </si>
  <si>
    <t>CƠ QUAN CHỦ TRÌ</t>
  </si>
  <si>
    <t>ĐƠN VỊ THỰC HIỆN</t>
  </si>
  <si>
    <t>Tổng cục trưởng</t>
  </si>
  <si>
    <t>Giám đốc</t>
  </si>
  <si>
    <t>Người chủ trì</t>
  </si>
  <si>
    <t>Bùi Cách Tuyến</t>
  </si>
  <si>
    <t>Nguyễn Văn Thùy</t>
  </si>
  <si>
    <t>Cao Vũ Anh</t>
  </si>
  <si>
    <r>
      <t>Phụ kiện cho module NO-NO</t>
    </r>
    <r>
      <rPr>
        <b/>
        <vertAlign val="subscript"/>
        <sz val="13"/>
        <rFont val="Times New Roman"/>
        <family val="1"/>
      </rPr>
      <t>2</t>
    </r>
    <r>
      <rPr>
        <b/>
        <sz val="13"/>
        <rFont val="Times New Roman"/>
        <family val="1"/>
      </rPr>
      <t>-NOx: (APNA 370 - Horiba) (tạm tính)</t>
    </r>
  </si>
  <si>
    <r>
      <t>Phụ kiện cho module phân tích SO</t>
    </r>
    <r>
      <rPr>
        <b/>
        <vertAlign val="subscript"/>
        <sz val="13"/>
        <color indexed="8"/>
        <rFont val="Times New Roman"/>
        <family val="1"/>
      </rPr>
      <t>2</t>
    </r>
    <r>
      <rPr>
        <b/>
        <sz val="13"/>
        <color indexed="8"/>
        <rFont val="Times New Roman"/>
        <family val="1"/>
      </rPr>
      <t xml:space="preserve"> (APSA 370 - Horiba) (tạm tính)</t>
    </r>
  </si>
  <si>
    <r>
      <t>Phụ kiện cho module phân tích O</t>
    </r>
    <r>
      <rPr>
        <b/>
        <vertAlign val="subscript"/>
        <sz val="13"/>
        <color indexed="8"/>
        <rFont val="Times New Roman"/>
        <family val="1"/>
      </rPr>
      <t xml:space="preserve">3 </t>
    </r>
    <r>
      <rPr>
        <b/>
        <sz val="13"/>
        <color indexed="8"/>
        <rFont val="Times New Roman"/>
        <family val="1"/>
      </rPr>
      <t>(APOA 370 - Horiba) (tạm tính)</t>
    </r>
  </si>
  <si>
    <r>
      <t>Bình 50 ppm CH</t>
    </r>
    <r>
      <rPr>
        <vertAlign val="subscript"/>
        <sz val="13"/>
        <rFont val="Times New Roman"/>
        <family val="1"/>
      </rPr>
      <t>4</t>
    </r>
    <r>
      <rPr>
        <sz val="13"/>
        <rFont val="Times New Roman"/>
        <family val="1"/>
      </rPr>
      <t>, 50lit
Không bao gồm van điều áp</t>
    </r>
  </si>
  <si>
    <r>
      <t>Khí chuẩn 90ppm CO trong N</t>
    </r>
    <r>
      <rPr>
        <vertAlign val="subscript"/>
        <sz val="13"/>
        <rFont val="Times New Roman"/>
        <family val="1"/>
      </rPr>
      <t>2</t>
    </r>
    <r>
      <rPr>
        <sz val="13"/>
        <rFont val="Times New Roman"/>
        <family val="1"/>
      </rPr>
      <t>, dung tích 10 lít</t>
    </r>
  </si>
  <si>
    <r>
      <t>Bình 6ppm NO trong N</t>
    </r>
    <r>
      <rPr>
        <vertAlign val="subscript"/>
        <sz val="13"/>
        <rFont val="Times New Roman"/>
        <family val="1"/>
      </rPr>
      <t>2</t>
    </r>
    <r>
      <rPr>
        <sz val="13"/>
        <rFont val="Times New Roman"/>
        <family val="1"/>
      </rPr>
      <t>, 15 lít, không bao gồm van điều áp</t>
    </r>
  </si>
  <si>
    <r>
      <t>Phụ kiện cho môđun phân tích NO- NO</t>
    </r>
    <r>
      <rPr>
        <b/>
        <vertAlign val="subscript"/>
        <sz val="11"/>
        <rFont val="Times New Roman"/>
        <family val="1"/>
      </rPr>
      <t>2</t>
    </r>
    <r>
      <rPr>
        <b/>
        <sz val="11"/>
        <rFont val="Times New Roman"/>
        <family val="1"/>
      </rPr>
      <t>-NOx:</t>
    </r>
  </si>
  <si>
    <r>
      <t>Phụ kiện cho môđun phân tích O</t>
    </r>
    <r>
      <rPr>
        <b/>
        <vertAlign val="subscript"/>
        <sz val="11"/>
        <rFont val="Times New Roman"/>
        <family val="1"/>
      </rPr>
      <t>3</t>
    </r>
    <r>
      <rPr>
        <b/>
        <sz val="11"/>
        <rFont val="Times New Roman"/>
        <family val="1"/>
      </rPr>
      <t>:</t>
    </r>
  </si>
  <si>
    <t>Năm 2014</t>
  </si>
  <si>
    <t>Giá năm 2014</t>
  </si>
  <si>
    <t>Chi phí phụ kiện, vật tư tiêu hao cho trạm không khí tự động, cố định theo thực tế phát sinh có biên bản kiểm tra thiết bị kèm theo (tạm tính)</t>
  </si>
  <si>
    <t>Phụ kiện cho module phân tích O3(APOA 370 - Horiba) (tạm tính)</t>
  </si>
  <si>
    <t>Bộ màng ngăn (Diaphragm assembly)</t>
  </si>
  <si>
    <t>Bình H2 tinh khiết 99.99%, 50lit</t>
  </si>
  <si>
    <t>Bình 90ppm CO trong N2, dung tích 10lit, không kèm van điều áp</t>
  </si>
  <si>
    <t>Bình 6ppm NO trong N2, 15 lit, không bao gồm van điều áp</t>
  </si>
  <si>
    <t>Giá mua thiết bị theo dự toán năm 2013 so sánh với năm 2014</t>
  </si>
  <si>
    <t>Chênh lệch so với năm trước (%)</t>
  </si>
  <si>
    <t>Bơm mẫu</t>
  </si>
  <si>
    <t>Bơm khô</t>
  </si>
  <si>
    <t>Van Solenoid (SV unit)</t>
  </si>
  <si>
    <t>Tên danh muc các phụ kiện</t>
  </si>
  <si>
    <t>Tần suất (khuyến cáo thay thế)</t>
  </si>
  <si>
    <t>Năm 2013</t>
  </si>
  <si>
    <t>Có</t>
  </si>
  <si>
    <t xml:space="preserve">Có </t>
  </si>
  <si>
    <t>Không</t>
  </si>
  <si>
    <t>6 tháng</t>
  </si>
  <si>
    <t>2 tháng</t>
  </si>
  <si>
    <t>Bình khí chuẩn</t>
  </si>
  <si>
    <r>
      <t>Bình 90ppm CO trong N</t>
    </r>
    <r>
      <rPr>
        <vertAlign val="subscript"/>
        <sz val="13"/>
        <rFont val="Times New Roman"/>
        <family val="1"/>
      </rPr>
      <t>2</t>
    </r>
    <r>
      <rPr>
        <sz val="13"/>
        <rFont val="Times New Roman"/>
        <family val="1"/>
      </rPr>
      <t>, dung tích 10 lít</t>
    </r>
  </si>
  <si>
    <r>
      <t>Bình 6ppm NO trong N</t>
    </r>
    <r>
      <rPr>
        <vertAlign val="subscript"/>
        <sz val="13"/>
        <rFont val="Times New Roman"/>
        <family val="1"/>
      </rPr>
      <t>2</t>
    </r>
    <r>
      <rPr>
        <sz val="13"/>
        <rFont val="Times New Roman"/>
        <family val="1"/>
      </rPr>
      <t>, 15 lít</t>
    </r>
  </si>
  <si>
    <t>Hiệu chuẩn modul bụi Grim tại hãng sản xuất</t>
  </si>
  <si>
    <t>Phí hiệu chuẩn nhà máy tại Đức (lần/ năm)
(Theo khuyến cáo của Gimm 1 năm hiệu chuẩn 1 lần )</t>
  </si>
  <si>
    <t>\</t>
  </si>
  <si>
    <t>Kinh phí thay thế (không bao gồm bình khí)</t>
  </si>
  <si>
    <t>Ghi chú</t>
  </si>
  <si>
    <t>Bộ hiệu chuẩn cầm tay MCC-1000</t>
  </si>
  <si>
    <t>Đang hỏng, cần kiểm tra và hiệu chuẩn lại</t>
  </si>
  <si>
    <t>Dùng từ năm 5/4/2011</t>
  </si>
  <si>
    <t>Van solenoid (SV Unit)</t>
  </si>
  <si>
    <t>Chưa thay lần nào</t>
  </si>
  <si>
    <t>Van Solenoid (SV Unit)</t>
  </si>
  <si>
    <t>Cần mua thay thế bơm hút ẩm modul Bụi</t>
  </si>
  <si>
    <r>
      <t>Bình 50 ppm CH</t>
    </r>
    <r>
      <rPr>
        <vertAlign val="subscript"/>
        <sz val="13"/>
        <rFont val="Times New Roman"/>
        <family val="1"/>
      </rPr>
      <t>4</t>
    </r>
    <r>
      <rPr>
        <sz val="13"/>
        <rFont val="Times New Roman"/>
        <family val="1"/>
      </rPr>
      <t>, 50lit</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</si>
</sst>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_(* #,##0_);_(* \(#,##0\);_(* &quot;-&quot;??_);_(@_)"/>
    <numFmt numFmtId="166" formatCode="#,##0.0"/>
  </numFmts>
  <fonts count="34" x14ac:knownFonts="1">
    <font>
      <sz val="11"/>
      <color theme="1"/>
      <name val="Arial"/>
      <family val="2"/>
      <scheme val="minor"/>
    </font>
    <font>
      <sz val="10"/>
      <name val="Arial"/>
      <family val="2"/>
    </font>
    <font>
      <b/>
      <sz val="12"/>
      <name val="Times New Roman"/>
      <family val="1"/>
    </font>
    <font>
      <b/>
      <vertAlign val="subscript"/>
      <sz val="12"/>
      <name val="Times New Roman"/>
      <family val="1"/>
    </font>
    <font>
      <sz val="8"/>
      <name val="Arial"/>
      <family val="2"/>
    </font>
    <font>
      <sz val="12"/>
      <name val="Times New Roman"/>
      <family val="1"/>
    </font>
    <font>
      <b/>
      <sz val="13"/>
      <name val="Times New Roman"/>
      <family val="1"/>
    </font>
    <font>
      <sz val="13"/>
      <color indexed="8"/>
      <name val="Calibri"/>
      <family val="2"/>
      <charset val="163"/>
    </font>
    <font>
      <sz val="13"/>
      <name val="Arial"/>
      <family val="2"/>
    </font>
    <font>
      <sz val="13"/>
      <name val="Times New Roman"/>
      <family val="1"/>
    </font>
    <font>
      <sz val="13"/>
      <color rgb="FFFF0000"/>
      <name val="Calibri"/>
      <family val="2"/>
      <charset val="163"/>
    </font>
    <font>
      <i/>
      <sz val="13"/>
      <name val="Times New Roman"/>
      <family val="1"/>
    </font>
    <font>
      <b/>
      <sz val="13"/>
      <color indexed="8"/>
      <name val="Calibri"/>
      <family val="2"/>
    </font>
    <font>
      <b/>
      <sz val="13"/>
      <color indexed="8"/>
      <name val="Times New Roman"/>
      <family val="1"/>
    </font>
    <font>
      <b/>
      <i/>
      <sz val="13"/>
      <name val="Times New Roman"/>
      <family val="1"/>
    </font>
    <font>
      <sz val="13"/>
      <color indexed="8"/>
      <name val="Times New Roman"/>
      <family val="1"/>
    </font>
    <font>
      <b/>
      <i/>
      <sz val="13"/>
      <color rgb="FFFF0000"/>
      <name val="Arial"/>
      <family val="2"/>
    </font>
    <font>
      <b/>
      <i/>
      <sz val="13"/>
      <name val="Arial"/>
      <family val="2"/>
    </font>
    <font>
      <b/>
      <i/>
      <sz val="13"/>
      <color indexed="8"/>
      <name val="Times New Roman"/>
      <family val="1"/>
    </font>
    <font>
      <b/>
      <vertAlign val="subscript"/>
      <sz val="13"/>
      <name val="Times New Roman"/>
      <family val="1"/>
    </font>
    <font>
      <b/>
      <vertAlign val="subscript"/>
      <sz val="13"/>
      <color indexed="8"/>
      <name val="Times New Roman"/>
      <family val="1"/>
    </font>
    <font>
      <sz val="13"/>
      <color rgb="FFFF0000"/>
      <name val="Times New Roman"/>
      <family val="1"/>
    </font>
    <font>
      <vertAlign val="subscript"/>
      <sz val="13"/>
      <name val="Times New Roman"/>
      <family val="1"/>
    </font>
    <font>
      <b/>
      <sz val="13"/>
      <color theme="1"/>
      <name val="Times New Roman"/>
      <family val="1"/>
    </font>
    <font>
      <b/>
      <sz val="14"/>
      <color indexed="8"/>
      <name val="Times New Roman"/>
      <family val="1"/>
    </font>
    <font>
      <sz val="11"/>
      <color theme="1"/>
      <name val="Times New Roman"/>
      <family val="1"/>
    </font>
    <font>
      <b/>
      <sz val="11"/>
      <color indexed="8"/>
      <name val="Times New Roman"/>
      <family val="1"/>
    </font>
    <font>
      <b/>
      <sz val="11"/>
      <name val="Times New Roman"/>
      <family val="1"/>
    </font>
    <font>
      <b/>
      <vertAlign val="subscript"/>
      <sz val="11"/>
      <name val="Times New Roman"/>
      <family val="1"/>
    </font>
    <font>
      <sz val="11"/>
      <name val="Times New Roman"/>
      <family val="1"/>
    </font>
    <font>
      <sz val="11"/>
      <color indexed="8"/>
      <name val="Times New Roman"/>
      <family val="1"/>
    </font>
    <font>
      <b/>
      <sz val="11"/>
      <color theme="1"/>
      <name val="Times New Roman"/>
      <family val="1"/>
    </font>
    <font>
      <b/>
      <sz val="15"/>
      <color theme="1"/>
      <name val="Times New Roman"/>
      <family val="1"/>
    </font>
    <font>
      <b/>
      <sz val="14"/>
      <name val="Times New Roman"/>
      <family val="1"/>
    </font>
  </fonts>
  <fills count="7">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bottom/>
      <diagonal/>
    </border>
  </borders>
  <cellStyleXfs count="5">
    <xf numFmtId="0" fontId="0" fillId="0" borderId="0"/>
    <xf numFmtId="0" fontId="1" fillId="0" borderId="0"/>
    <xf numFmtId="0" fontId="4" fillId="0" borderId="0"/>
    <xf numFmtId="0" fontId="1" fillId="0" borderId="0"/>
    <xf numFmtId="0" fontId="1" fillId="0" borderId="0"/>
  </cellStyleXfs>
  <cellXfs count="240">
    <xf numFmtId="0" fontId="0" fillId="0" borderId="0" xfId="0"/>
    <xf numFmtId="0" fontId="2" fillId="2" borderId="1" xfId="1" applyFont="1" applyFill="1" applyBorder="1" applyAlignment="1">
      <alignment horizontal="center" vertical="top" wrapText="1"/>
    </xf>
    <xf numFmtId="49" fontId="2" fillId="2" borderId="1" xfId="1" applyNumberFormat="1" applyFont="1" applyFill="1" applyBorder="1" applyAlignment="1">
      <alignment horizontal="justify" vertical="top" wrapText="1"/>
    </xf>
    <xf numFmtId="49" fontId="2" fillId="2" borderId="1" xfId="1" applyNumberFormat="1" applyFont="1" applyFill="1" applyBorder="1" applyAlignment="1">
      <alignment horizontal="center" vertical="top" wrapText="1"/>
    </xf>
    <xf numFmtId="0" fontId="2" fillId="0" borderId="2" xfId="1" applyFont="1" applyBorder="1" applyAlignment="1">
      <alignment horizontal="center" vertical="top" wrapText="1"/>
    </xf>
    <xf numFmtId="0" fontId="2" fillId="0" borderId="2" xfId="1" applyFont="1" applyFill="1" applyBorder="1" applyAlignment="1">
      <alignment horizontal="center" vertical="top" wrapText="1"/>
    </xf>
    <xf numFmtId="0" fontId="2" fillId="0" borderId="6" xfId="1" applyFont="1" applyFill="1" applyBorder="1" applyAlignment="1">
      <alignment horizontal="center" vertical="top" wrapText="1"/>
    </xf>
    <xf numFmtId="0" fontId="7" fillId="3" borderId="0" xfId="0" applyFont="1" applyFill="1"/>
    <xf numFmtId="0" fontId="0" fillId="3" borderId="0" xfId="0" applyFill="1"/>
    <xf numFmtId="0" fontId="8" fillId="3" borderId="0" xfId="3" applyFont="1" applyFill="1" applyAlignment="1">
      <alignment horizontal="center" vertical="center"/>
    </xf>
    <xf numFmtId="0" fontId="8" fillId="3" borderId="0" xfId="3" applyFont="1" applyFill="1" applyAlignment="1">
      <alignment horizontal="right" vertical="center"/>
    </xf>
    <xf numFmtId="0" fontId="10" fillId="3" borderId="0" xfId="0" applyFont="1" applyFill="1"/>
    <xf numFmtId="0" fontId="8" fillId="3" borderId="0" xfId="3" applyFont="1" applyFill="1" applyAlignment="1">
      <alignment vertical="center"/>
    </xf>
    <xf numFmtId="0" fontId="7" fillId="3" borderId="0" xfId="0" applyFont="1" applyFill="1" applyBorder="1"/>
    <xf numFmtId="0" fontId="0" fillId="3" borderId="0" xfId="0" applyFill="1" applyBorder="1"/>
    <xf numFmtId="0" fontId="6" fillId="3" borderId="9" xfId="3" applyFont="1" applyFill="1" applyBorder="1" applyAlignment="1">
      <alignment horizontal="center" vertical="center" wrapText="1"/>
    </xf>
    <xf numFmtId="49" fontId="6" fillId="3" borderId="1" xfId="3" applyNumberFormat="1" applyFont="1" applyFill="1" applyBorder="1" applyAlignment="1">
      <alignment horizontal="center" vertical="center" wrapText="1"/>
    </xf>
    <xf numFmtId="0" fontId="6" fillId="3" borderId="1" xfId="3" applyFont="1" applyFill="1" applyBorder="1" applyAlignment="1">
      <alignment horizontal="center" vertical="center" wrapText="1"/>
    </xf>
    <xf numFmtId="3" fontId="6" fillId="3" borderId="1" xfId="3" applyNumberFormat="1" applyFont="1" applyFill="1" applyBorder="1" applyAlignment="1">
      <alignment horizontal="center" vertical="center" wrapText="1"/>
    </xf>
    <xf numFmtId="3" fontId="6" fillId="3" borderId="10" xfId="3" applyNumberFormat="1" applyFont="1" applyFill="1" applyBorder="1" applyAlignment="1">
      <alignment horizontal="center" vertical="center" wrapText="1"/>
    </xf>
    <xf numFmtId="0" fontId="12" fillId="3" borderId="0" xfId="0" applyFont="1" applyFill="1" applyAlignment="1">
      <alignment horizontal="center"/>
    </xf>
    <xf numFmtId="3" fontId="6" fillId="3" borderId="10" xfId="3" applyNumberFormat="1" applyFont="1" applyFill="1" applyBorder="1" applyAlignment="1">
      <alignment horizontal="right" vertical="center" wrapText="1"/>
    </xf>
    <xf numFmtId="3" fontId="13" fillId="3" borderId="0" xfId="0" applyNumberFormat="1" applyFont="1" applyFill="1" applyAlignment="1">
      <alignment horizontal="center" vertical="center"/>
    </xf>
    <xf numFmtId="3" fontId="7" fillId="3" borderId="0" xfId="0" applyNumberFormat="1" applyFont="1" applyFill="1"/>
    <xf numFmtId="3" fontId="7" fillId="3" borderId="0" xfId="0" applyNumberFormat="1" applyFont="1" applyFill="1" applyBorder="1"/>
    <xf numFmtId="3" fontId="6" fillId="3" borderId="10" xfId="3" applyNumberFormat="1" applyFont="1" applyFill="1" applyBorder="1" applyAlignment="1">
      <alignment horizontal="right" vertical="center"/>
    </xf>
    <xf numFmtId="3" fontId="13" fillId="3" borderId="0" xfId="0" applyNumberFormat="1" applyFont="1" applyFill="1"/>
    <xf numFmtId="0" fontId="14" fillId="3" borderId="1" xfId="3" applyFont="1" applyFill="1" applyBorder="1" applyAlignment="1">
      <alignment horizontal="center" vertical="center" wrapText="1"/>
    </xf>
    <xf numFmtId="49" fontId="14" fillId="3" borderId="1" xfId="3" applyNumberFormat="1" applyFont="1" applyFill="1" applyBorder="1" applyAlignment="1">
      <alignment horizontal="left" vertical="center" wrapText="1"/>
    </xf>
    <xf numFmtId="49" fontId="9" fillId="3" borderId="1" xfId="3" applyNumberFormat="1" applyFont="1" applyFill="1" applyBorder="1" applyAlignment="1">
      <alignment horizontal="center" vertical="center" wrapText="1"/>
    </xf>
    <xf numFmtId="3" fontId="9" fillId="3" borderId="10" xfId="0" applyNumberFormat="1" applyFont="1" applyFill="1" applyBorder="1" applyAlignment="1">
      <alignment horizontal="right" vertical="center"/>
    </xf>
    <xf numFmtId="3" fontId="14" fillId="3" borderId="1" xfId="3" applyNumberFormat="1" applyFont="1" applyFill="1" applyBorder="1" applyAlignment="1">
      <alignment horizontal="right" vertical="center" wrapText="1"/>
    </xf>
    <xf numFmtId="3" fontId="10" fillId="3" borderId="0" xfId="0" applyNumberFormat="1" applyFont="1" applyFill="1"/>
    <xf numFmtId="49" fontId="14" fillId="3" borderId="1" xfId="3" applyNumberFormat="1" applyFont="1" applyFill="1" applyBorder="1" applyAlignment="1">
      <alignment vertical="center" wrapText="1"/>
    </xf>
    <xf numFmtId="0" fontId="9" fillId="3" borderId="10" xfId="3" applyFont="1" applyFill="1" applyBorder="1" applyAlignment="1">
      <alignment horizontal="center" vertical="center" wrapText="1"/>
    </xf>
    <xf numFmtId="3" fontId="9" fillId="3" borderId="10" xfId="0" applyNumberFormat="1" applyFont="1" applyFill="1" applyBorder="1" applyAlignment="1">
      <alignment horizontal="center" vertical="center"/>
    </xf>
    <xf numFmtId="3" fontId="9" fillId="3" borderId="10" xfId="3" applyNumberFormat="1" applyFont="1" applyFill="1" applyBorder="1" applyAlignment="1">
      <alignment horizontal="center" vertical="center" wrapText="1"/>
    </xf>
    <xf numFmtId="164" fontId="7" fillId="3" borderId="0" xfId="0" applyNumberFormat="1" applyFont="1" applyFill="1" applyBorder="1" applyAlignment="1">
      <alignment horizontal="center" vertical="center"/>
    </xf>
    <xf numFmtId="3" fontId="6" fillId="3" borderId="0" xfId="3" applyNumberFormat="1" applyFont="1" applyFill="1" applyBorder="1" applyAlignment="1">
      <alignment horizontal="right" vertical="center"/>
    </xf>
    <xf numFmtId="3" fontId="9" fillId="3" borderId="1" xfId="3" applyNumberFormat="1" applyFont="1" applyFill="1" applyBorder="1" applyAlignment="1">
      <alignment horizontal="center" vertical="center" wrapText="1"/>
    </xf>
    <xf numFmtId="0" fontId="15" fillId="3" borderId="1" xfId="0" applyFont="1" applyFill="1" applyBorder="1" applyAlignment="1">
      <alignment horizontal="center" vertical="center"/>
    </xf>
    <xf numFmtId="3" fontId="14" fillId="3" borderId="1" xfId="3" applyNumberFormat="1" applyFont="1" applyFill="1" applyBorder="1" applyAlignment="1">
      <alignment horizontal="right" vertical="center"/>
    </xf>
    <xf numFmtId="0" fontId="16" fillId="3" borderId="0" xfId="0" applyFont="1" applyFill="1" applyBorder="1" applyAlignment="1">
      <alignment horizontal="left" vertical="center"/>
    </xf>
    <xf numFmtId="49" fontId="14" fillId="3" borderId="0" xfId="3" applyNumberFormat="1" applyFont="1" applyFill="1" applyBorder="1" applyAlignment="1">
      <alignment horizontal="left" vertical="center" wrapText="1"/>
    </xf>
    <xf numFmtId="49" fontId="9" fillId="3" borderId="0" xfId="3" applyNumberFormat="1" applyFont="1" applyFill="1" applyBorder="1" applyAlignment="1">
      <alignment horizontal="center" vertical="center" wrapText="1"/>
    </xf>
    <xf numFmtId="3" fontId="9" fillId="3" borderId="0" xfId="0" applyNumberFormat="1" applyFont="1" applyFill="1" applyBorder="1" applyAlignment="1">
      <alignment horizontal="right" vertical="center"/>
    </xf>
    <xf numFmtId="0" fontId="14" fillId="3" borderId="9" xfId="3" applyFont="1" applyFill="1" applyBorder="1" applyAlignment="1">
      <alignment horizontal="center" vertical="center" wrapText="1"/>
    </xf>
    <xf numFmtId="49" fontId="9" fillId="3" borderId="1" xfId="3" applyNumberFormat="1" applyFont="1" applyFill="1" applyBorder="1" applyAlignment="1">
      <alignment horizontal="left" vertical="center" wrapText="1"/>
    </xf>
    <xf numFmtId="3" fontId="9" fillId="3" borderId="10" xfId="3" applyNumberFormat="1" applyFont="1" applyFill="1" applyBorder="1" applyAlignment="1">
      <alignment horizontal="right" vertical="center"/>
    </xf>
    <xf numFmtId="0" fontId="7" fillId="3" borderId="0" xfId="0" applyFont="1" applyFill="1" applyBorder="1" applyAlignment="1">
      <alignment horizontal="center" vertical="center"/>
    </xf>
    <xf numFmtId="49" fontId="14" fillId="3" borderId="0" xfId="3" applyNumberFormat="1" applyFont="1" applyFill="1" applyBorder="1" applyAlignment="1">
      <alignment vertical="center" wrapText="1"/>
    </xf>
    <xf numFmtId="0" fontId="14" fillId="3" borderId="0" xfId="3" applyFont="1" applyFill="1" applyBorder="1" applyAlignment="1">
      <alignment horizontal="center" vertical="center" wrapText="1"/>
    </xf>
    <xf numFmtId="3" fontId="17" fillId="3" borderId="0" xfId="3" applyNumberFormat="1" applyFont="1" applyFill="1" applyBorder="1" applyAlignment="1">
      <alignment horizontal="center" vertical="center"/>
    </xf>
    <xf numFmtId="3" fontId="17" fillId="3" borderId="0" xfId="3" applyNumberFormat="1" applyFont="1" applyFill="1" applyBorder="1" applyAlignment="1">
      <alignment horizontal="right" vertical="center"/>
    </xf>
    <xf numFmtId="3" fontId="14" fillId="3" borderId="0" xfId="3" applyNumberFormat="1" applyFont="1" applyFill="1" applyBorder="1" applyAlignment="1">
      <alignment horizontal="right" vertical="center" wrapText="1"/>
    </xf>
    <xf numFmtId="0" fontId="9" fillId="3" borderId="1" xfId="3" applyFont="1" applyFill="1" applyBorder="1" applyAlignment="1">
      <alignment horizontal="center" vertical="center"/>
    </xf>
    <xf numFmtId="0" fontId="9" fillId="3" borderId="1" xfId="1" applyFont="1" applyFill="1" applyBorder="1" applyAlignment="1">
      <alignment vertical="center" wrapText="1"/>
    </xf>
    <xf numFmtId="3" fontId="9" fillId="3" borderId="1" xfId="3" applyNumberFormat="1" applyFont="1" applyFill="1" applyBorder="1" applyAlignment="1">
      <alignment horizontal="center" vertical="center"/>
    </xf>
    <xf numFmtId="3" fontId="9" fillId="3" borderId="1" xfId="3" applyNumberFormat="1" applyFont="1" applyFill="1" applyBorder="1" applyAlignment="1">
      <alignment horizontal="right" vertical="center"/>
    </xf>
    <xf numFmtId="0" fontId="10" fillId="3" borderId="0" xfId="0" applyFont="1" applyFill="1" applyBorder="1" applyAlignment="1">
      <alignment horizontal="left" vertical="center"/>
    </xf>
    <xf numFmtId="0" fontId="15" fillId="3" borderId="0" xfId="0" applyFont="1" applyFill="1" applyBorder="1" applyAlignment="1">
      <alignment vertical="center" wrapText="1"/>
    </xf>
    <xf numFmtId="3" fontId="9" fillId="3" borderId="0" xfId="3" applyNumberFormat="1" applyFont="1" applyFill="1" applyBorder="1" applyAlignment="1">
      <alignment horizontal="center" vertical="center" wrapText="1"/>
    </xf>
    <xf numFmtId="0" fontId="15" fillId="3" borderId="0" xfId="0" applyFont="1" applyFill="1" applyBorder="1" applyAlignment="1">
      <alignment horizontal="center" vertical="center"/>
    </xf>
    <xf numFmtId="3" fontId="9" fillId="3" borderId="0" xfId="3" applyNumberFormat="1" applyFont="1" applyFill="1" applyBorder="1" applyAlignment="1">
      <alignment horizontal="right" vertical="center"/>
    </xf>
    <xf numFmtId="0" fontId="9" fillId="3" borderId="1" xfId="3" applyFont="1" applyFill="1" applyBorder="1" applyAlignment="1">
      <alignment vertical="center" wrapText="1"/>
    </xf>
    <xf numFmtId="0" fontId="9" fillId="3" borderId="9" xfId="3" applyFont="1" applyFill="1" applyBorder="1" applyAlignment="1">
      <alignment horizontal="center" vertical="center"/>
    </xf>
    <xf numFmtId="0" fontId="18" fillId="3" borderId="0" xfId="0" applyFont="1" applyFill="1" applyBorder="1" applyAlignment="1">
      <alignment horizontal="center" vertical="center"/>
    </xf>
    <xf numFmtId="0" fontId="6" fillId="3" borderId="9" xfId="3" applyFont="1" applyFill="1" applyBorder="1" applyAlignment="1">
      <alignment horizontal="center" vertical="center"/>
    </xf>
    <xf numFmtId="3" fontId="6" fillId="3" borderId="1" xfId="3" applyNumberFormat="1" applyFont="1" applyFill="1" applyBorder="1" applyAlignment="1">
      <alignment vertical="center" wrapText="1"/>
    </xf>
    <xf numFmtId="3" fontId="6" fillId="3" borderId="1" xfId="3" applyNumberFormat="1" applyFont="1" applyFill="1" applyBorder="1" applyAlignment="1">
      <alignment horizontal="center" vertical="center"/>
    </xf>
    <xf numFmtId="0" fontId="6" fillId="3" borderId="1" xfId="3" applyFont="1" applyFill="1" applyBorder="1" applyAlignment="1">
      <alignment horizontal="center" vertical="center"/>
    </xf>
    <xf numFmtId="3" fontId="6" fillId="3" borderId="1" xfId="3" applyNumberFormat="1" applyFont="1" applyFill="1" applyBorder="1" applyAlignment="1">
      <alignment horizontal="right" vertical="center"/>
    </xf>
    <xf numFmtId="0" fontId="9" fillId="3" borderId="12" xfId="0" applyFont="1" applyFill="1" applyBorder="1" applyAlignment="1">
      <alignment horizontal="center" vertical="center" wrapText="1"/>
    </xf>
    <xf numFmtId="0" fontId="9" fillId="3" borderId="12" xfId="0" applyFont="1" applyFill="1" applyBorder="1" applyAlignment="1">
      <alignment vertical="center" wrapText="1"/>
    </xf>
    <xf numFmtId="0" fontId="9" fillId="3" borderId="1"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3" xfId="3" applyFont="1" applyFill="1" applyBorder="1" applyAlignment="1">
      <alignment vertical="center" wrapText="1"/>
    </xf>
    <xf numFmtId="165" fontId="9" fillId="3" borderId="1" xfId="0" applyNumberFormat="1" applyFont="1" applyFill="1" applyBorder="1" applyAlignment="1">
      <alignment vertical="center" wrapText="1"/>
    </xf>
    <xf numFmtId="0" fontId="6" fillId="3" borderId="7" xfId="4" applyFont="1" applyFill="1" applyBorder="1" applyAlignment="1">
      <alignment horizontal="center" vertical="center"/>
    </xf>
    <xf numFmtId="0" fontId="13" fillId="3" borderId="6" xfId="0" applyFont="1" applyFill="1" applyBorder="1" applyAlignment="1">
      <alignment vertical="center" wrapText="1"/>
    </xf>
    <xf numFmtId="3" fontId="6" fillId="3" borderId="6" xfId="4" applyNumberFormat="1" applyFont="1" applyFill="1" applyBorder="1" applyAlignment="1">
      <alignment horizontal="center" vertical="center" wrapText="1"/>
    </xf>
    <xf numFmtId="3" fontId="14" fillId="3" borderId="14" xfId="3" applyNumberFormat="1" applyFont="1" applyFill="1" applyBorder="1" applyAlignment="1">
      <alignment horizontal="right" vertical="center"/>
    </xf>
    <xf numFmtId="0" fontId="9" fillId="3" borderId="9" xfId="4" applyFont="1" applyFill="1" applyBorder="1" applyAlignment="1">
      <alignment horizontal="center" vertical="center"/>
    </xf>
    <xf numFmtId="0" fontId="15" fillId="3" borderId="6" xfId="0" applyFont="1" applyFill="1" applyBorder="1" applyAlignment="1">
      <alignment vertical="center" wrapText="1"/>
    </xf>
    <xf numFmtId="3" fontId="9" fillId="3" borderId="1" xfId="4" applyNumberFormat="1" applyFont="1" applyFill="1" applyBorder="1" applyAlignment="1">
      <alignment horizontal="center" vertical="center" wrapText="1"/>
    </xf>
    <xf numFmtId="0" fontId="9" fillId="3" borderId="15" xfId="3" applyFont="1" applyFill="1" applyBorder="1" applyAlignment="1">
      <alignment vertical="center" wrapText="1"/>
    </xf>
    <xf numFmtId="0" fontId="6" fillId="3" borderId="9" xfId="4" applyFont="1" applyFill="1" applyBorder="1" applyAlignment="1">
      <alignment horizontal="center" vertical="center"/>
    </xf>
    <xf numFmtId="3" fontId="14" fillId="3" borderId="10" xfId="3" applyNumberFormat="1" applyFont="1" applyFill="1" applyBorder="1" applyAlignment="1">
      <alignment horizontal="right" vertical="center"/>
    </xf>
    <xf numFmtId="0" fontId="15" fillId="3" borderId="1" xfId="0" applyFont="1" applyFill="1" applyBorder="1" applyAlignment="1">
      <alignment vertical="center" wrapText="1"/>
    </xf>
    <xf numFmtId="165" fontId="9" fillId="3" borderId="0" xfId="0" applyNumberFormat="1" applyFont="1" applyFill="1" applyBorder="1" applyAlignment="1">
      <alignment vertical="center" wrapText="1"/>
    </xf>
    <xf numFmtId="165" fontId="9" fillId="3" borderId="1" xfId="0" applyNumberFormat="1" applyFont="1" applyFill="1" applyBorder="1" applyAlignment="1">
      <alignment horizontal="right" vertical="center" wrapText="1"/>
    </xf>
    <xf numFmtId="165" fontId="5" fillId="0" borderId="0" xfId="0" applyNumberFormat="1" applyFont="1" applyBorder="1" applyAlignment="1">
      <alignment vertical="center" wrapText="1"/>
    </xf>
    <xf numFmtId="3" fontId="6" fillId="3" borderId="1" xfId="4" applyNumberFormat="1" applyFont="1" applyFill="1" applyBorder="1" applyAlignment="1">
      <alignment vertical="center" wrapText="1"/>
    </xf>
    <xf numFmtId="3" fontId="6" fillId="3" borderId="1" xfId="4" applyNumberFormat="1" applyFont="1" applyFill="1" applyBorder="1" applyAlignment="1">
      <alignment horizontal="center" vertical="center"/>
    </xf>
    <xf numFmtId="0" fontId="6" fillId="3" borderId="1" xfId="4" applyFont="1" applyFill="1" applyBorder="1" applyAlignment="1">
      <alignment horizontal="center" vertical="center"/>
    </xf>
    <xf numFmtId="3" fontId="6" fillId="3" borderId="1" xfId="4" applyNumberFormat="1" applyFont="1" applyFill="1" applyBorder="1" applyAlignment="1">
      <alignment horizontal="right" vertical="center"/>
    </xf>
    <xf numFmtId="165" fontId="21" fillId="3" borderId="0" xfId="0" applyNumberFormat="1" applyFont="1" applyFill="1" applyBorder="1" applyAlignment="1">
      <alignment vertical="center" wrapText="1"/>
    </xf>
    <xf numFmtId="0" fontId="9" fillId="0" borderId="1" xfId="3" quotePrefix="1" applyFont="1" applyBorder="1" applyAlignment="1">
      <alignment vertical="center" wrapText="1"/>
    </xf>
    <xf numFmtId="3" fontId="9" fillId="3" borderId="1" xfId="4" applyNumberFormat="1" applyFont="1" applyFill="1" applyBorder="1" applyAlignment="1">
      <alignment horizontal="center" vertical="center"/>
    </xf>
    <xf numFmtId="0" fontId="9" fillId="3" borderId="1" xfId="4" applyFont="1" applyFill="1" applyBorder="1" applyAlignment="1">
      <alignment horizontal="center" vertical="center"/>
    </xf>
    <xf numFmtId="165" fontId="21" fillId="3" borderId="3" xfId="0" applyNumberFormat="1" applyFont="1" applyFill="1" applyBorder="1" applyAlignment="1">
      <alignment vertical="center" wrapText="1"/>
    </xf>
    <xf numFmtId="165" fontId="0" fillId="3" borderId="0" xfId="0" applyNumberFormat="1" applyFill="1" applyBorder="1"/>
    <xf numFmtId="0" fontId="9" fillId="3" borderId="6" xfId="1" quotePrefix="1" applyFont="1" applyFill="1" applyBorder="1" applyAlignment="1">
      <alignment vertical="center" wrapText="1"/>
    </xf>
    <xf numFmtId="0" fontId="9" fillId="3" borderId="1" xfId="1" quotePrefix="1" applyFont="1" applyFill="1" applyBorder="1" applyAlignment="1">
      <alignment vertical="center" wrapText="1"/>
    </xf>
    <xf numFmtId="3" fontId="21" fillId="3" borderId="10" xfId="3" applyNumberFormat="1" applyFont="1" applyFill="1" applyBorder="1" applyAlignment="1">
      <alignment horizontal="right" vertical="center"/>
    </xf>
    <xf numFmtId="0" fontId="9" fillId="3" borderId="9" xfId="1" applyFont="1" applyFill="1" applyBorder="1" applyAlignment="1">
      <alignment vertical="center" wrapText="1"/>
    </xf>
    <xf numFmtId="3" fontId="9" fillId="3" borderId="14" xfId="3" applyNumberFormat="1" applyFont="1" applyFill="1" applyBorder="1" applyAlignment="1">
      <alignment horizontal="right" vertical="center"/>
    </xf>
    <xf numFmtId="3" fontId="6" fillId="3" borderId="14" xfId="3" applyNumberFormat="1" applyFont="1" applyFill="1" applyBorder="1" applyAlignment="1">
      <alignment horizontal="right" vertical="center"/>
    </xf>
    <xf numFmtId="3" fontId="9" fillId="3" borderId="1" xfId="4" applyNumberFormat="1" applyFont="1" applyFill="1" applyBorder="1" applyAlignment="1">
      <alignment horizontal="right" vertical="center"/>
    </xf>
    <xf numFmtId="0" fontId="9" fillId="3" borderId="6" xfId="1" applyFont="1" applyFill="1" applyBorder="1" applyAlignment="1">
      <alignment vertical="center" wrapText="1"/>
    </xf>
    <xf numFmtId="1" fontId="9" fillId="3" borderId="1" xfId="3" applyNumberFormat="1" applyFont="1" applyFill="1" applyBorder="1" applyAlignment="1">
      <alignment horizontal="center" vertical="center"/>
    </xf>
    <xf numFmtId="3" fontId="9" fillId="3" borderId="0" xfId="4" applyNumberFormat="1" applyFont="1" applyFill="1" applyBorder="1" applyAlignment="1">
      <alignment horizontal="right" vertical="center"/>
    </xf>
    <xf numFmtId="49" fontId="6" fillId="3" borderId="1" xfId="3" applyNumberFormat="1" applyFont="1" applyFill="1" applyBorder="1" applyAlignment="1">
      <alignment vertical="center" wrapText="1"/>
    </xf>
    <xf numFmtId="0" fontId="9" fillId="3" borderId="1" xfId="3" applyFont="1" applyFill="1" applyBorder="1" applyAlignment="1">
      <alignment horizontal="center" vertical="center" wrapText="1"/>
    </xf>
    <xf numFmtId="3" fontId="9" fillId="3" borderId="1" xfId="3" applyNumberFormat="1" applyFont="1" applyFill="1" applyBorder="1" applyAlignment="1">
      <alignment horizontal="right" vertical="center" wrapText="1"/>
    </xf>
    <xf numFmtId="3" fontId="6" fillId="3" borderId="1" xfId="3" applyNumberFormat="1" applyFont="1" applyFill="1" applyBorder="1" applyAlignment="1">
      <alignment horizontal="right" vertical="center" wrapText="1"/>
    </xf>
    <xf numFmtId="0" fontId="6" fillId="3" borderId="6" xfId="3" applyFont="1" applyFill="1" applyBorder="1" applyAlignment="1">
      <alignment vertical="center" wrapText="1"/>
    </xf>
    <xf numFmtId="0" fontId="9" fillId="3" borderId="6" xfId="3" applyFont="1" applyFill="1" applyBorder="1" applyAlignment="1">
      <alignment horizontal="center" vertical="center"/>
    </xf>
    <xf numFmtId="0" fontId="11" fillId="3" borderId="1" xfId="3" applyFont="1" applyFill="1" applyBorder="1" applyAlignment="1">
      <alignment horizontal="center" vertical="center"/>
    </xf>
    <xf numFmtId="0" fontId="9" fillId="3" borderId="1" xfId="3" applyFont="1" applyFill="1" applyBorder="1" applyAlignment="1">
      <alignment vertical="center"/>
    </xf>
    <xf numFmtId="0" fontId="5" fillId="0" borderId="0" xfId="0" applyFont="1" applyBorder="1" applyAlignment="1">
      <alignment vertical="center" wrapText="1"/>
    </xf>
    <xf numFmtId="49" fontId="9" fillId="3" borderId="6" xfId="3" applyNumberFormat="1" applyFont="1" applyFill="1" applyBorder="1" applyAlignment="1">
      <alignment horizontal="center" vertical="center" wrapText="1"/>
    </xf>
    <xf numFmtId="49" fontId="6" fillId="3" borderId="7" xfId="3" applyNumberFormat="1" applyFont="1" applyFill="1" applyBorder="1" applyAlignment="1">
      <alignment horizontal="center" vertical="center" wrapText="1"/>
    </xf>
    <xf numFmtId="0" fontId="6" fillId="3" borderId="9" xfId="3" applyFont="1" applyFill="1" applyBorder="1" applyAlignment="1">
      <alignment vertical="center"/>
    </xf>
    <xf numFmtId="3" fontId="23" fillId="0" borderId="0" xfId="0" applyNumberFormat="1" applyFont="1"/>
    <xf numFmtId="0" fontId="6" fillId="3" borderId="16" xfId="3" applyFont="1" applyFill="1" applyBorder="1" applyAlignment="1">
      <alignment horizontal="center" vertical="center"/>
    </xf>
    <xf numFmtId="49" fontId="6" fillId="3" borderId="16" xfId="3" applyNumberFormat="1" applyFont="1" applyFill="1" applyBorder="1" applyAlignment="1">
      <alignment horizontal="left" vertical="center" wrapText="1"/>
    </xf>
    <xf numFmtId="0" fontId="14" fillId="3" borderId="16" xfId="3" applyFont="1" applyFill="1" applyBorder="1" applyAlignment="1">
      <alignment horizontal="center" vertical="center" wrapText="1"/>
    </xf>
    <xf numFmtId="0" fontId="11" fillId="3" borderId="0" xfId="3" applyFont="1" applyFill="1" applyBorder="1" applyAlignment="1">
      <alignment horizontal="center" vertical="center"/>
    </xf>
    <xf numFmtId="0" fontId="11" fillId="3" borderId="0" xfId="3" applyFont="1" applyFill="1" applyBorder="1" applyAlignment="1">
      <alignment vertical="center"/>
    </xf>
    <xf numFmtId="3" fontId="6" fillId="3" borderId="0" xfId="3" applyNumberFormat="1" applyFont="1" applyFill="1" applyBorder="1" applyAlignment="1">
      <alignment horizontal="right" vertical="center" wrapText="1"/>
    </xf>
    <xf numFmtId="0" fontId="6" fillId="3" borderId="0" xfId="3" applyFont="1" applyFill="1" applyBorder="1" applyAlignment="1">
      <alignment vertical="center"/>
    </xf>
    <xf numFmtId="0" fontId="13" fillId="3" borderId="0" xfId="0" applyFont="1" applyFill="1" applyAlignment="1">
      <alignment vertical="top" wrapText="1"/>
    </xf>
    <xf numFmtId="0" fontId="24" fillId="3" borderId="0" xfId="0" applyFont="1" applyFill="1" applyAlignment="1">
      <alignment vertical="top" wrapText="1"/>
    </xf>
    <xf numFmtId="0" fontId="24" fillId="3" borderId="0" xfId="0" applyFont="1" applyFill="1" applyAlignment="1">
      <alignment horizontal="center" vertical="top" wrapText="1"/>
    </xf>
    <xf numFmtId="0" fontId="0" fillId="3" borderId="0" xfId="0" applyFill="1" applyAlignment="1"/>
    <xf numFmtId="0" fontId="25" fillId="0" borderId="0" xfId="0" applyFont="1"/>
    <xf numFmtId="49" fontId="27" fillId="2" borderId="1" xfId="1" applyNumberFormat="1" applyFont="1" applyFill="1" applyBorder="1" applyAlignment="1">
      <alignment horizontal="center" vertical="top" wrapText="1"/>
    </xf>
    <xf numFmtId="49" fontId="29" fillId="0" borderId="2" xfId="2" applyNumberFormat="1" applyFont="1" applyBorder="1" applyAlignment="1">
      <alignment horizontal="center" vertical="top"/>
    </xf>
    <xf numFmtId="49" fontId="27" fillId="2" borderId="1" xfId="1" applyNumberFormat="1" applyFont="1" applyFill="1" applyBorder="1" applyAlignment="1">
      <alignment horizontal="center" vertical="top"/>
    </xf>
    <xf numFmtId="49" fontId="29" fillId="0" borderId="5" xfId="2" applyNumberFormat="1" applyFont="1" applyBorder="1" applyAlignment="1">
      <alignment horizontal="center" vertical="top"/>
    </xf>
    <xf numFmtId="0" fontId="29" fillId="0" borderId="5" xfId="2" applyFont="1" applyFill="1" applyBorder="1" applyAlignment="1">
      <alignment horizontal="center" vertical="top"/>
    </xf>
    <xf numFmtId="49" fontId="29" fillId="0" borderId="2" xfId="2" applyNumberFormat="1" applyFont="1" applyFill="1" applyBorder="1" applyAlignment="1">
      <alignment horizontal="center" vertical="top"/>
    </xf>
    <xf numFmtId="49" fontId="29" fillId="0" borderId="6" xfId="2" applyNumberFormat="1" applyFont="1" applyFill="1" applyBorder="1" applyAlignment="1">
      <alignment horizontal="center" vertical="top"/>
    </xf>
    <xf numFmtId="0" fontId="25" fillId="0" borderId="0" xfId="0" applyFont="1" applyAlignment="1">
      <alignment horizontal="center"/>
    </xf>
    <xf numFmtId="0" fontId="6" fillId="3" borderId="12" xfId="0" applyFont="1" applyFill="1" applyBorder="1" applyAlignment="1">
      <alignment horizontal="center" vertical="center" wrapText="1"/>
    </xf>
    <xf numFmtId="166" fontId="6" fillId="3" borderId="10" xfId="3" applyNumberFormat="1" applyFont="1" applyFill="1" applyBorder="1" applyAlignment="1">
      <alignment horizontal="center" vertical="center"/>
    </xf>
    <xf numFmtId="3" fontId="14" fillId="3" borderId="11" xfId="3" applyNumberFormat="1" applyFont="1" applyFill="1" applyBorder="1" applyAlignment="1">
      <alignment horizontal="right" vertical="center"/>
    </xf>
    <xf numFmtId="3" fontId="9" fillId="3" borderId="11" xfId="3" applyNumberFormat="1" applyFont="1" applyFill="1" applyBorder="1" applyAlignment="1">
      <alignment horizontal="right" vertical="center"/>
    </xf>
    <xf numFmtId="166" fontId="9" fillId="3" borderId="10" xfId="3" applyNumberFormat="1" applyFont="1" applyFill="1" applyBorder="1" applyAlignment="1">
      <alignment horizontal="center" vertical="center"/>
    </xf>
    <xf numFmtId="0" fontId="2" fillId="2" borderId="1" xfId="1" applyFont="1" applyFill="1" applyBorder="1" applyAlignment="1">
      <alignment horizontal="center" vertical="center" wrapText="1"/>
    </xf>
    <xf numFmtId="49" fontId="2" fillId="2" borderId="1" xfId="1" applyNumberFormat="1" applyFont="1" applyFill="1" applyBorder="1" applyAlignment="1">
      <alignment horizontal="justify" vertical="center" wrapText="1"/>
    </xf>
    <xf numFmtId="49" fontId="2" fillId="2" borderId="1" xfId="1" applyNumberFormat="1" applyFont="1" applyFill="1" applyBorder="1" applyAlignment="1">
      <alignment horizontal="center" vertical="center" wrapText="1"/>
    </xf>
    <xf numFmtId="0" fontId="25" fillId="0" borderId="0" xfId="0" applyFont="1" applyAlignment="1">
      <alignment vertical="center"/>
    </xf>
    <xf numFmtId="49" fontId="5" fillId="0" borderId="1" xfId="2" applyNumberFormat="1" applyFont="1" applyBorder="1" applyAlignment="1">
      <alignment vertical="top"/>
    </xf>
    <xf numFmtId="49" fontId="5" fillId="0" borderId="1" xfId="2" applyNumberFormat="1" applyFont="1" applyBorder="1" applyAlignment="1">
      <alignment horizontal="center" vertical="top"/>
    </xf>
    <xf numFmtId="0" fontId="25" fillId="0" borderId="1" xfId="0" applyFont="1" applyBorder="1" applyAlignment="1">
      <alignment horizontal="center"/>
    </xf>
    <xf numFmtId="49" fontId="5" fillId="0" borderId="1" xfId="2" applyNumberFormat="1" applyFont="1" applyFill="1" applyBorder="1" applyAlignment="1">
      <alignment vertical="top"/>
    </xf>
    <xf numFmtId="0" fontId="2" fillId="0" borderId="6" xfId="1" applyFont="1" applyBorder="1" applyAlignment="1">
      <alignment horizontal="center" vertical="top" wrapText="1"/>
    </xf>
    <xf numFmtId="49" fontId="2" fillId="2" borderId="1" xfId="1" applyNumberFormat="1" applyFont="1" applyFill="1" applyBorder="1" applyAlignment="1">
      <alignment horizontal="justify" vertical="center"/>
    </xf>
    <xf numFmtId="49" fontId="2" fillId="2" borderId="1" xfId="1" applyNumberFormat="1" applyFont="1" applyFill="1" applyBorder="1" applyAlignment="1">
      <alignment horizontal="center" vertical="center"/>
    </xf>
    <xf numFmtId="49" fontId="5" fillId="0" borderId="1" xfId="2" applyNumberFormat="1" applyFont="1" applyBorder="1" applyAlignment="1">
      <alignment horizontal="left" vertical="top"/>
    </xf>
    <xf numFmtId="0" fontId="5" fillId="0" borderId="1" xfId="2" applyFont="1" applyBorder="1" applyAlignment="1">
      <alignment vertical="top"/>
    </xf>
    <xf numFmtId="0" fontId="5" fillId="0" borderId="1" xfId="2" applyFont="1" applyFill="1" applyBorder="1" applyAlignment="1">
      <alignment vertical="top"/>
    </xf>
    <xf numFmtId="0" fontId="5" fillId="0" borderId="1" xfId="2" applyFont="1" applyFill="1" applyBorder="1" applyAlignment="1">
      <alignment horizontal="center" vertical="top"/>
    </xf>
    <xf numFmtId="0" fontId="25" fillId="0" borderId="2" xfId="0" applyFont="1" applyBorder="1"/>
    <xf numFmtId="0" fontId="25" fillId="0" borderId="1" xfId="0" applyFont="1" applyBorder="1" applyAlignment="1">
      <alignment horizontal="center" vertical="center"/>
    </xf>
    <xf numFmtId="0" fontId="25" fillId="0" borderId="6" xfId="0" applyFont="1" applyBorder="1"/>
    <xf numFmtId="49" fontId="27" fillId="4" borderId="1" xfId="2" applyNumberFormat="1" applyFont="1" applyFill="1" applyBorder="1" applyAlignment="1">
      <alignment horizontal="center" vertical="top"/>
    </xf>
    <xf numFmtId="49" fontId="27" fillId="2" borderId="10" xfId="1" applyNumberFormat="1" applyFont="1" applyFill="1" applyBorder="1" applyAlignment="1">
      <alignment horizontal="justify" vertical="top" wrapText="1"/>
    </xf>
    <xf numFmtId="49" fontId="29" fillId="4" borderId="5" xfId="2" applyNumberFormat="1" applyFont="1" applyFill="1" applyBorder="1" applyAlignment="1">
      <alignment vertical="top"/>
    </xf>
    <xf numFmtId="49" fontId="29" fillId="0" borderId="5" xfId="2" applyNumberFormat="1" applyFont="1" applyBorder="1" applyAlignment="1">
      <alignment vertical="top"/>
    </xf>
    <xf numFmtId="49" fontId="29" fillId="0" borderId="5" xfId="2" applyNumberFormat="1" applyFont="1" applyFill="1" applyBorder="1" applyAlignment="1">
      <alignment vertical="top"/>
    </xf>
    <xf numFmtId="49" fontId="29" fillId="4" borderId="5" xfId="2" applyNumberFormat="1" applyFont="1" applyFill="1" applyBorder="1" applyAlignment="1">
      <alignment horizontal="left" vertical="top"/>
    </xf>
    <xf numFmtId="0" fontId="30" fillId="4" borderId="14" xfId="0" applyFont="1" applyFill="1" applyBorder="1" applyAlignment="1">
      <alignment vertical="center" wrapText="1"/>
    </xf>
    <xf numFmtId="0" fontId="29" fillId="0" borderId="5" xfId="2" applyFont="1" applyBorder="1" applyAlignment="1">
      <alignment vertical="top"/>
    </xf>
    <xf numFmtId="49" fontId="29" fillId="4" borderId="18" xfId="2" applyNumberFormat="1" applyFont="1" applyFill="1" applyBorder="1" applyAlignment="1">
      <alignment vertical="top"/>
    </xf>
    <xf numFmtId="0" fontId="29" fillId="0" borderId="5" xfId="2" applyFont="1" applyFill="1" applyBorder="1" applyAlignment="1">
      <alignment vertical="top"/>
    </xf>
    <xf numFmtId="49" fontId="27" fillId="2" borderId="10" xfId="2" applyNumberFormat="1" applyFont="1" applyFill="1" applyBorder="1" applyAlignment="1">
      <alignment vertical="top"/>
    </xf>
    <xf numFmtId="49" fontId="29" fillId="0" borderId="0" xfId="2" applyNumberFormat="1" applyFont="1" applyFill="1" applyBorder="1" applyAlignment="1">
      <alignment vertical="top"/>
    </xf>
    <xf numFmtId="49" fontId="29" fillId="0" borderId="8" xfId="2" applyNumberFormat="1" applyFont="1" applyFill="1" applyBorder="1" applyAlignment="1">
      <alignment vertical="top"/>
    </xf>
    <xf numFmtId="0" fontId="27" fillId="2" borderId="19" xfId="1" applyFont="1" applyFill="1" applyBorder="1" applyAlignment="1">
      <alignment horizontal="center" vertical="center" wrapText="1"/>
    </xf>
    <xf numFmtId="0" fontId="27" fillId="0" borderId="20" xfId="1" applyFont="1" applyBorder="1" applyAlignment="1">
      <alignment horizontal="center" vertical="center" wrapText="1"/>
    </xf>
    <xf numFmtId="0" fontId="27" fillId="2" borderId="21" xfId="1" applyFont="1" applyFill="1" applyBorder="1" applyAlignment="1">
      <alignment horizontal="center" vertical="center" wrapText="1"/>
    </xf>
    <xf numFmtId="0" fontId="27" fillId="0" borderId="20" xfId="1" applyFont="1" applyFill="1" applyBorder="1" applyAlignment="1">
      <alignment horizontal="center" vertical="center" wrapText="1"/>
    </xf>
    <xf numFmtId="0" fontId="27" fillId="0" borderId="22" xfId="1" applyFont="1" applyFill="1" applyBorder="1" applyAlignment="1">
      <alignment horizontal="center" vertical="center" wrapText="1"/>
    </xf>
    <xf numFmtId="0" fontId="27" fillId="0" borderId="22" xfId="1" applyFont="1" applyBorder="1" applyAlignment="1">
      <alignment horizontal="center" vertical="center" wrapText="1"/>
    </xf>
    <xf numFmtId="0" fontId="26" fillId="0" borderId="20" xfId="0" applyFont="1" applyBorder="1" applyAlignment="1">
      <alignment horizontal="center" vertical="center"/>
    </xf>
    <xf numFmtId="0" fontId="30" fillId="0" borderId="20" xfId="0" applyFont="1" applyFill="1" applyBorder="1" applyAlignment="1">
      <alignment horizontal="center" vertical="center"/>
    </xf>
    <xf numFmtId="0" fontId="30" fillId="0" borderId="23" xfId="0" applyFont="1" applyFill="1" applyBorder="1" applyAlignment="1">
      <alignment horizontal="center" vertical="center"/>
    </xf>
    <xf numFmtId="0" fontId="26" fillId="2" borderId="17" xfId="0" applyFont="1" applyFill="1" applyBorder="1" applyAlignment="1">
      <alignment horizontal="center" vertical="center"/>
    </xf>
    <xf numFmtId="0" fontId="27" fillId="2" borderId="17" xfId="1" applyFont="1" applyFill="1" applyBorder="1" applyAlignment="1">
      <alignment horizontal="center" vertical="center" wrapText="1"/>
    </xf>
    <xf numFmtId="0" fontId="31" fillId="4" borderId="1" xfId="0" applyFont="1" applyFill="1" applyBorder="1" applyAlignment="1">
      <alignment horizontal="center" vertical="center"/>
    </xf>
    <xf numFmtId="3" fontId="29" fillId="3" borderId="1" xfId="3" applyNumberFormat="1" applyFont="1" applyFill="1" applyBorder="1" applyAlignment="1">
      <alignment horizontal="right" vertical="center"/>
    </xf>
    <xf numFmtId="3" fontId="29" fillId="4" borderId="1" xfId="3" applyNumberFormat="1" applyFont="1" applyFill="1" applyBorder="1" applyAlignment="1">
      <alignment horizontal="right" vertical="center"/>
    </xf>
    <xf numFmtId="0" fontId="25" fillId="0" borderId="1" xfId="0" applyFont="1" applyBorder="1"/>
    <xf numFmtId="0" fontId="25" fillId="4" borderId="1" xfId="0" applyFont="1" applyFill="1" applyBorder="1"/>
    <xf numFmtId="49" fontId="27" fillId="2" borderId="8" xfId="2" applyNumberFormat="1" applyFont="1" applyFill="1" applyBorder="1" applyAlignment="1">
      <alignment vertical="top"/>
    </xf>
    <xf numFmtId="49" fontId="27" fillId="2" borderId="6" xfId="2" applyNumberFormat="1" applyFont="1" applyFill="1" applyBorder="1" applyAlignment="1">
      <alignment horizontal="center" vertical="top"/>
    </xf>
    <xf numFmtId="0" fontId="31" fillId="4" borderId="1" xfId="0" applyFont="1" applyFill="1" applyBorder="1"/>
    <xf numFmtId="49" fontId="27" fillId="5" borderId="5" xfId="2" applyNumberFormat="1" applyFont="1" applyFill="1" applyBorder="1" applyAlignment="1">
      <alignment vertical="top"/>
    </xf>
    <xf numFmtId="49" fontId="27" fillId="5" borderId="2" xfId="2" applyNumberFormat="1" applyFont="1" applyFill="1" applyBorder="1" applyAlignment="1">
      <alignment horizontal="center" vertical="top"/>
    </xf>
    <xf numFmtId="3" fontId="27" fillId="5" borderId="1" xfId="3" applyNumberFormat="1" applyFont="1" applyFill="1" applyBorder="1" applyAlignment="1">
      <alignment horizontal="right" vertical="center"/>
    </xf>
    <xf numFmtId="49" fontId="27" fillId="5" borderId="5" xfId="2" applyNumberFormat="1" applyFont="1" applyFill="1" applyBorder="1" applyAlignment="1">
      <alignment horizontal="center" vertical="top"/>
    </xf>
    <xf numFmtId="49" fontId="27" fillId="5" borderId="8" xfId="2" applyNumberFormat="1" applyFont="1" applyFill="1" applyBorder="1" applyAlignment="1">
      <alignment vertical="center" wrapText="1"/>
    </xf>
    <xf numFmtId="49" fontId="27" fillId="5" borderId="6" xfId="2" applyNumberFormat="1" applyFont="1" applyFill="1" applyBorder="1" applyAlignment="1">
      <alignment horizontal="center" vertical="center"/>
    </xf>
    <xf numFmtId="49" fontId="27" fillId="5" borderId="8" xfId="2" applyNumberFormat="1" applyFont="1" applyFill="1" applyBorder="1" applyAlignment="1">
      <alignment vertical="top"/>
    </xf>
    <xf numFmtId="49" fontId="27" fillId="5" borderId="6" xfId="2" applyNumberFormat="1" applyFont="1" applyFill="1" applyBorder="1" applyAlignment="1">
      <alignment horizontal="center" vertical="top"/>
    </xf>
    <xf numFmtId="49" fontId="27" fillId="2" borderId="10" xfId="1" applyNumberFormat="1" applyFont="1" applyFill="1" applyBorder="1" applyAlignment="1">
      <alignment horizontal="justify" vertical="center" wrapText="1"/>
    </xf>
    <xf numFmtId="49" fontId="27" fillId="2" borderId="10" xfId="1" applyNumberFormat="1" applyFont="1" applyFill="1" applyBorder="1" applyAlignment="1">
      <alignment horizontal="justify" vertical="center"/>
    </xf>
    <xf numFmtId="0" fontId="27" fillId="0" borderId="24" xfId="1" applyFont="1" applyBorder="1" applyAlignment="1">
      <alignment horizontal="center" vertical="center" wrapText="1"/>
    </xf>
    <xf numFmtId="49" fontId="27" fillId="5" borderId="1" xfId="2" applyNumberFormat="1" applyFont="1" applyFill="1" applyBorder="1" applyAlignment="1">
      <alignment vertical="top"/>
    </xf>
    <xf numFmtId="49" fontId="27" fillId="5" borderId="1" xfId="2" applyNumberFormat="1" applyFont="1" applyFill="1" applyBorder="1" applyAlignment="1">
      <alignment horizontal="center" vertical="top"/>
    </xf>
    <xf numFmtId="0" fontId="27" fillId="0" borderId="24" xfId="1" applyFont="1" applyFill="1" applyBorder="1" applyAlignment="1">
      <alignment horizontal="center" vertical="center" wrapText="1"/>
    </xf>
    <xf numFmtId="0" fontId="27" fillId="5" borderId="1" xfId="2" applyFont="1" applyFill="1" applyBorder="1" applyAlignment="1">
      <alignment horizontal="center" vertical="top"/>
    </xf>
    <xf numFmtId="0" fontId="33" fillId="6" borderId="6" xfId="1" applyFont="1" applyFill="1" applyBorder="1" applyAlignment="1">
      <alignment horizontal="center" vertical="center" wrapText="1"/>
    </xf>
    <xf numFmtId="0" fontId="33" fillId="6" borderId="1" xfId="1" applyFont="1" applyFill="1" applyBorder="1" applyAlignment="1">
      <alignment horizontal="center" vertical="center" wrapText="1"/>
    </xf>
    <xf numFmtId="3" fontId="6" fillId="6" borderId="1" xfId="3" applyNumberFormat="1" applyFont="1" applyFill="1" applyBorder="1" applyAlignment="1">
      <alignment horizontal="right" vertical="center"/>
    </xf>
    <xf numFmtId="0" fontId="25" fillId="6" borderId="1" xfId="0" applyFont="1" applyFill="1" applyBorder="1"/>
    <xf numFmtId="0" fontId="25" fillId="4" borderId="1" xfId="0" applyFont="1" applyFill="1" applyBorder="1" applyAlignment="1">
      <alignment vertical="center"/>
    </xf>
    <xf numFmtId="49" fontId="5" fillId="2" borderId="1" xfId="1" applyNumberFormat="1" applyFont="1" applyFill="1" applyBorder="1" applyAlignment="1">
      <alignment horizontal="center" vertical="center" wrapText="1"/>
    </xf>
    <xf numFmtId="0" fontId="33" fillId="0" borderId="1" xfId="1" applyFont="1" applyBorder="1" applyAlignment="1">
      <alignment horizontal="center" vertical="center" wrapText="1"/>
    </xf>
    <xf numFmtId="0" fontId="33" fillId="0" borderId="4" xfId="1" applyFont="1" applyBorder="1" applyAlignment="1">
      <alignment horizontal="center" vertical="center" wrapText="1"/>
    </xf>
    <xf numFmtId="0" fontId="33" fillId="0" borderId="6" xfId="1" applyFont="1" applyBorder="1" applyAlignment="1">
      <alignment horizontal="center" vertical="center" wrapText="1"/>
    </xf>
    <xf numFmtId="0" fontId="24" fillId="3" borderId="0" xfId="0" applyFont="1" applyFill="1" applyAlignment="1">
      <alignment horizontal="center" vertical="top" wrapText="1"/>
    </xf>
    <xf numFmtId="49" fontId="6" fillId="3" borderId="9" xfId="3" applyNumberFormat="1" applyFont="1" applyFill="1" applyBorder="1" applyAlignment="1">
      <alignment horizontal="left" vertical="center" wrapText="1"/>
    </xf>
    <xf numFmtId="49" fontId="6" fillId="3" borderId="11" xfId="3" applyNumberFormat="1" applyFont="1" applyFill="1" applyBorder="1" applyAlignment="1">
      <alignment horizontal="left" vertical="center" wrapText="1"/>
    </xf>
    <xf numFmtId="49" fontId="6" fillId="3" borderId="10" xfId="3" applyNumberFormat="1" applyFont="1" applyFill="1" applyBorder="1" applyAlignment="1">
      <alignment horizontal="left" vertical="center" wrapText="1"/>
    </xf>
    <xf numFmtId="0" fontId="14" fillId="3" borderId="16" xfId="3" applyFont="1" applyFill="1" applyBorder="1" applyAlignment="1">
      <alignment horizontal="center" vertical="center" wrapText="1"/>
    </xf>
    <xf numFmtId="0" fontId="11" fillId="3" borderId="0" xfId="3" applyFont="1" applyFill="1" applyBorder="1" applyAlignment="1">
      <alignment horizontal="right" vertical="center"/>
    </xf>
    <xf numFmtId="0" fontId="6" fillId="3" borderId="0" xfId="3" applyFont="1" applyFill="1" applyBorder="1" applyAlignment="1">
      <alignment horizontal="center" vertical="center"/>
    </xf>
    <xf numFmtId="49" fontId="6" fillId="3" borderId="0" xfId="3" applyNumberFormat="1" applyFont="1" applyFill="1" applyBorder="1" applyAlignment="1">
      <alignment horizontal="left" vertical="center" wrapText="1"/>
    </xf>
    <xf numFmtId="49" fontId="6" fillId="3" borderId="1" xfId="3" applyNumberFormat="1" applyFont="1" applyFill="1" applyBorder="1" applyAlignment="1">
      <alignment horizontal="left" vertical="center" wrapText="1"/>
    </xf>
    <xf numFmtId="0" fontId="13" fillId="3" borderId="0" xfId="0" applyFont="1" applyFill="1" applyAlignment="1">
      <alignment horizontal="center" vertical="top" wrapText="1"/>
    </xf>
    <xf numFmtId="49" fontId="6" fillId="3" borderId="0" xfId="3" applyNumberFormat="1" applyFont="1" applyFill="1" applyAlignment="1">
      <alignment horizontal="center" vertical="center" wrapText="1"/>
    </xf>
    <xf numFmtId="0" fontId="6" fillId="3" borderId="0" xfId="3" applyFont="1" applyFill="1" applyBorder="1" applyAlignment="1">
      <alignment horizontal="center" vertical="center" wrapText="1"/>
    </xf>
    <xf numFmtId="49" fontId="6" fillId="3" borderId="0" xfId="3" applyNumberFormat="1" applyFont="1" applyFill="1" applyAlignment="1">
      <alignment horizontal="left" vertical="center" wrapText="1"/>
    </xf>
    <xf numFmtId="0" fontId="9" fillId="3" borderId="0" xfId="3" quotePrefix="1" applyNumberFormat="1" applyFont="1" applyFill="1" applyAlignment="1">
      <alignment horizontal="justify" vertical="top" wrapText="1"/>
    </xf>
    <xf numFmtId="3" fontId="11" fillId="3" borderId="8" xfId="3" applyNumberFormat="1" applyFont="1" applyFill="1" applyBorder="1" applyAlignment="1">
      <alignment horizontal="center" vertical="center"/>
    </xf>
    <xf numFmtId="0" fontId="32" fillId="0" borderId="0" xfId="0" applyFont="1" applyAlignment="1">
      <alignment horizontal="center" vertical="center"/>
    </xf>
  </cellXfs>
  <cellStyles count="5">
    <cellStyle name="Ledger 17 x 11 in" xfId="1"/>
    <cellStyle name="Normal" xfId="0" builtinId="0"/>
    <cellStyle name="Normal 2" xfId="3"/>
    <cellStyle name="Normal 3" xfId="4"/>
    <cellStyle name="Standard_Consumables for AP serie and systems"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69"/>
  <sheetViews>
    <sheetView tabSelected="1" workbookViewId="0">
      <selection activeCell="D64" sqref="D64:E67"/>
    </sheetView>
  </sheetViews>
  <sheetFormatPr defaultColWidth="9.125" defaultRowHeight="15" x14ac:dyDescent="0.25"/>
  <cols>
    <col min="1" max="1" width="6.375" style="136" customWidth="1"/>
    <col min="2" max="2" width="45.25" style="136" customWidth="1"/>
    <col min="3" max="3" width="16.625" style="136" customWidth="1"/>
    <col min="4" max="5" width="14.25" style="144" bestFit="1" customWidth="1"/>
    <col min="6" max="6" width="21.375" style="136" customWidth="1"/>
    <col min="7" max="16384" width="9.125" style="136"/>
  </cols>
  <sheetData>
    <row r="3" spans="1:6" x14ac:dyDescent="0.25">
      <c r="A3" s="222" t="s">
        <v>60</v>
      </c>
      <c r="B3" s="221" t="s">
        <v>182</v>
      </c>
      <c r="C3" s="221" t="s">
        <v>183</v>
      </c>
      <c r="D3" s="221" t="s">
        <v>184</v>
      </c>
      <c r="E3" s="221" t="s">
        <v>169</v>
      </c>
      <c r="F3" s="221" t="s">
        <v>197</v>
      </c>
    </row>
    <row r="4" spans="1:6" ht="45.75" customHeight="1" x14ac:dyDescent="0.25">
      <c r="A4" s="223"/>
      <c r="B4" s="221"/>
      <c r="C4" s="221"/>
      <c r="D4" s="221"/>
      <c r="E4" s="221"/>
      <c r="F4" s="221"/>
    </row>
    <row r="5" spans="1:6" ht="45.75" customHeight="1" x14ac:dyDescent="0.25">
      <c r="A5" s="215"/>
      <c r="B5" s="216" t="s">
        <v>196</v>
      </c>
      <c r="C5" s="216"/>
      <c r="D5" s="217">
        <v>306602000</v>
      </c>
      <c r="E5" s="217">
        <v>289857000</v>
      </c>
      <c r="F5" s="218"/>
    </row>
    <row r="6" spans="1:6" s="153" customFormat="1" ht="23.25" customHeight="1" x14ac:dyDescent="0.2">
      <c r="A6" s="150">
        <v>1</v>
      </c>
      <c r="B6" s="151" t="s">
        <v>2</v>
      </c>
      <c r="C6" s="152"/>
      <c r="D6" s="152"/>
      <c r="E6" s="152"/>
      <c r="F6" s="219"/>
    </row>
    <row r="7" spans="1:6" ht="15.75" x14ac:dyDescent="0.25">
      <c r="A7" s="4"/>
      <c r="B7" s="154" t="s">
        <v>3</v>
      </c>
      <c r="C7" s="155" t="s">
        <v>4</v>
      </c>
      <c r="D7" s="156" t="s">
        <v>185</v>
      </c>
      <c r="E7" s="156" t="s">
        <v>186</v>
      </c>
      <c r="F7" s="195"/>
    </row>
    <row r="8" spans="1:6" ht="15.75" x14ac:dyDescent="0.25">
      <c r="A8" s="4"/>
      <c r="B8" s="154" t="s">
        <v>5</v>
      </c>
      <c r="C8" s="155" t="s">
        <v>6</v>
      </c>
      <c r="D8" s="156" t="s">
        <v>185</v>
      </c>
      <c r="E8" s="156" t="s">
        <v>186</v>
      </c>
      <c r="F8" s="195"/>
    </row>
    <row r="9" spans="1:6" ht="15.75" x14ac:dyDescent="0.25">
      <c r="A9" s="4"/>
      <c r="B9" s="154" t="s">
        <v>7</v>
      </c>
      <c r="C9" s="155" t="s">
        <v>6</v>
      </c>
      <c r="D9" s="156" t="s">
        <v>185</v>
      </c>
      <c r="E9" s="156" t="s">
        <v>186</v>
      </c>
      <c r="F9" s="195"/>
    </row>
    <row r="10" spans="1:6" ht="15.75" x14ac:dyDescent="0.25">
      <c r="A10" s="4"/>
      <c r="B10" s="154" t="s">
        <v>8</v>
      </c>
      <c r="C10" s="155" t="s">
        <v>6</v>
      </c>
      <c r="D10" s="156" t="s">
        <v>185</v>
      </c>
      <c r="E10" s="156" t="s">
        <v>186</v>
      </c>
      <c r="F10" s="195"/>
    </row>
    <row r="11" spans="1:6" ht="15.75" x14ac:dyDescent="0.25">
      <c r="A11" s="4"/>
      <c r="B11" s="154" t="s">
        <v>9</v>
      </c>
      <c r="C11" s="155" t="s">
        <v>6</v>
      </c>
      <c r="D11" s="156" t="s">
        <v>185</v>
      </c>
      <c r="E11" s="156" t="s">
        <v>187</v>
      </c>
      <c r="F11" s="195"/>
    </row>
    <row r="12" spans="1:6" ht="15.75" x14ac:dyDescent="0.25">
      <c r="A12" s="4"/>
      <c r="B12" s="154" t="s">
        <v>10</v>
      </c>
      <c r="C12" s="155" t="s">
        <v>6</v>
      </c>
      <c r="D12" s="156" t="s">
        <v>185</v>
      </c>
      <c r="E12" s="156" t="s">
        <v>186</v>
      </c>
      <c r="F12" s="195"/>
    </row>
    <row r="13" spans="1:6" ht="15.75" x14ac:dyDescent="0.25">
      <c r="A13" s="4"/>
      <c r="B13" s="154" t="s">
        <v>11</v>
      </c>
      <c r="C13" s="155" t="s">
        <v>6</v>
      </c>
      <c r="D13" s="156" t="s">
        <v>187</v>
      </c>
      <c r="E13" s="156" t="s">
        <v>187</v>
      </c>
      <c r="F13" s="195"/>
    </row>
    <row r="14" spans="1:6" ht="15.75" x14ac:dyDescent="0.25">
      <c r="A14" s="4"/>
      <c r="B14" s="154" t="s">
        <v>12</v>
      </c>
      <c r="C14" s="155" t="s">
        <v>6</v>
      </c>
      <c r="D14" s="156" t="s">
        <v>187</v>
      </c>
      <c r="E14" s="156" t="s">
        <v>187</v>
      </c>
      <c r="F14" s="195"/>
    </row>
    <row r="15" spans="1:6" ht="15.75" x14ac:dyDescent="0.25">
      <c r="A15" s="4"/>
      <c r="B15" s="157" t="s">
        <v>13</v>
      </c>
      <c r="C15" s="155" t="s">
        <v>6</v>
      </c>
      <c r="D15" s="156" t="s">
        <v>187</v>
      </c>
      <c r="E15" s="156" t="s">
        <v>187</v>
      </c>
      <c r="F15" s="195"/>
    </row>
    <row r="16" spans="1:6" ht="15.75" x14ac:dyDescent="0.25">
      <c r="A16" s="4"/>
      <c r="B16" s="154" t="s">
        <v>14</v>
      </c>
      <c r="C16" s="155" t="s">
        <v>6</v>
      </c>
      <c r="D16" s="156" t="s">
        <v>187</v>
      </c>
      <c r="E16" s="156" t="s">
        <v>187</v>
      </c>
      <c r="F16" s="195"/>
    </row>
    <row r="17" spans="1:6" ht="15.75" x14ac:dyDescent="0.25">
      <c r="A17" s="4"/>
      <c r="B17" s="154" t="s">
        <v>15</v>
      </c>
      <c r="C17" s="155" t="s">
        <v>16</v>
      </c>
      <c r="D17" s="156" t="s">
        <v>187</v>
      </c>
      <c r="E17" s="156" t="s">
        <v>187</v>
      </c>
      <c r="F17" s="195"/>
    </row>
    <row r="18" spans="1:6" ht="15.75" x14ac:dyDescent="0.25">
      <c r="A18" s="4"/>
      <c r="B18" s="154" t="s">
        <v>17</v>
      </c>
      <c r="C18" s="155" t="s">
        <v>16</v>
      </c>
      <c r="D18" s="156" t="s">
        <v>187</v>
      </c>
      <c r="E18" s="156" t="s">
        <v>187</v>
      </c>
      <c r="F18" s="196" t="s">
        <v>200</v>
      </c>
    </row>
    <row r="19" spans="1:6" ht="15.75" x14ac:dyDescent="0.25">
      <c r="A19" s="4"/>
      <c r="B19" s="154" t="s">
        <v>18</v>
      </c>
      <c r="C19" s="155" t="s">
        <v>16</v>
      </c>
      <c r="D19" s="156" t="s">
        <v>187</v>
      </c>
      <c r="E19" s="156" t="s">
        <v>187</v>
      </c>
      <c r="F19" s="195"/>
    </row>
    <row r="20" spans="1:6" ht="15.75" x14ac:dyDescent="0.25">
      <c r="A20" s="4"/>
      <c r="B20" s="154" t="s">
        <v>19</v>
      </c>
      <c r="C20" s="155" t="s">
        <v>20</v>
      </c>
      <c r="D20" s="156" t="s">
        <v>187</v>
      </c>
      <c r="E20" s="156" t="s">
        <v>187</v>
      </c>
      <c r="F20" s="195"/>
    </row>
    <row r="21" spans="1:6" ht="15.75" x14ac:dyDescent="0.25">
      <c r="A21" s="4"/>
      <c r="B21" s="154" t="s">
        <v>21</v>
      </c>
      <c r="C21" s="155" t="s">
        <v>20</v>
      </c>
      <c r="D21" s="156" t="s">
        <v>187</v>
      </c>
      <c r="E21" s="156" t="s">
        <v>187</v>
      </c>
      <c r="F21" s="195"/>
    </row>
    <row r="22" spans="1:6" ht="15.75" x14ac:dyDescent="0.25">
      <c r="A22" s="4"/>
      <c r="B22" s="154" t="s">
        <v>201</v>
      </c>
      <c r="C22" s="155" t="s">
        <v>16</v>
      </c>
      <c r="D22" s="156" t="s">
        <v>187</v>
      </c>
      <c r="E22" s="156" t="s">
        <v>187</v>
      </c>
      <c r="F22" s="196" t="s">
        <v>202</v>
      </c>
    </row>
    <row r="23" spans="1:6" ht="15.75" x14ac:dyDescent="0.25">
      <c r="A23" s="158"/>
      <c r="B23" s="154" t="s">
        <v>22</v>
      </c>
      <c r="C23" s="155" t="s">
        <v>188</v>
      </c>
      <c r="D23" s="156" t="s">
        <v>187</v>
      </c>
      <c r="E23" s="156" t="s">
        <v>187</v>
      </c>
      <c r="F23" s="195"/>
    </row>
    <row r="24" spans="1:6" s="153" customFormat="1" ht="22.5" customHeight="1" x14ac:dyDescent="0.2">
      <c r="A24" s="150">
        <v>2</v>
      </c>
      <c r="B24" s="159" t="s">
        <v>23</v>
      </c>
      <c r="C24" s="160"/>
      <c r="D24" s="152"/>
      <c r="E24" s="152"/>
      <c r="F24" s="219"/>
    </row>
    <row r="25" spans="1:6" ht="15.75" x14ac:dyDescent="0.25">
      <c r="A25" s="4"/>
      <c r="B25" s="154" t="s">
        <v>24</v>
      </c>
      <c r="C25" s="155" t="s">
        <v>4</v>
      </c>
      <c r="D25" s="156" t="s">
        <v>185</v>
      </c>
      <c r="E25" s="156" t="s">
        <v>185</v>
      </c>
      <c r="F25" s="195"/>
    </row>
    <row r="26" spans="1:6" ht="15.75" x14ac:dyDescent="0.25">
      <c r="A26" s="4"/>
      <c r="B26" s="161" t="s">
        <v>25</v>
      </c>
      <c r="C26" s="155" t="s">
        <v>6</v>
      </c>
      <c r="D26" s="156" t="s">
        <v>185</v>
      </c>
      <c r="E26" s="156" t="s">
        <v>185</v>
      </c>
      <c r="F26" s="195"/>
    </row>
    <row r="27" spans="1:6" ht="15.75" x14ac:dyDescent="0.25">
      <c r="A27" s="4"/>
      <c r="B27" s="154" t="s">
        <v>26</v>
      </c>
      <c r="C27" s="155" t="s">
        <v>6</v>
      </c>
      <c r="D27" s="156" t="s">
        <v>187</v>
      </c>
      <c r="E27" s="156" t="s">
        <v>185</v>
      </c>
      <c r="F27" s="195"/>
    </row>
    <row r="28" spans="1:6" ht="15.75" x14ac:dyDescent="0.25">
      <c r="A28" s="4"/>
      <c r="B28" s="154" t="s">
        <v>27</v>
      </c>
      <c r="C28" s="155" t="s">
        <v>6</v>
      </c>
      <c r="D28" s="156" t="s">
        <v>187</v>
      </c>
      <c r="E28" s="156" t="s">
        <v>187</v>
      </c>
      <c r="F28" s="195"/>
    </row>
    <row r="29" spans="1:6" ht="15.75" x14ac:dyDescent="0.25">
      <c r="A29" s="4"/>
      <c r="B29" s="154" t="s">
        <v>12</v>
      </c>
      <c r="C29" s="155" t="s">
        <v>6</v>
      </c>
      <c r="D29" s="156" t="s">
        <v>187</v>
      </c>
      <c r="E29" s="156" t="s">
        <v>187</v>
      </c>
      <c r="F29" s="195"/>
    </row>
    <row r="30" spans="1:6" ht="15.75" x14ac:dyDescent="0.25">
      <c r="A30" s="4"/>
      <c r="B30" s="162" t="s">
        <v>28</v>
      </c>
      <c r="C30" s="155" t="s">
        <v>6</v>
      </c>
      <c r="D30" s="156" t="s">
        <v>187</v>
      </c>
      <c r="E30" s="156" t="s">
        <v>187</v>
      </c>
      <c r="F30" s="195"/>
    </row>
    <row r="31" spans="1:6" ht="15.75" x14ac:dyDescent="0.25">
      <c r="A31" s="4"/>
      <c r="B31" s="154" t="s">
        <v>14</v>
      </c>
      <c r="C31" s="155" t="s">
        <v>6</v>
      </c>
      <c r="D31" s="156" t="s">
        <v>187</v>
      </c>
      <c r="E31" s="156" t="s">
        <v>187</v>
      </c>
      <c r="F31" s="195"/>
    </row>
    <row r="32" spans="1:6" ht="15.75" x14ac:dyDescent="0.25">
      <c r="A32" s="4"/>
      <c r="B32" s="154" t="s">
        <v>15</v>
      </c>
      <c r="C32" s="155" t="s">
        <v>16</v>
      </c>
      <c r="D32" s="156" t="s">
        <v>187</v>
      </c>
      <c r="E32" s="156" t="s">
        <v>187</v>
      </c>
      <c r="F32" s="195"/>
    </row>
    <row r="33" spans="1:6" ht="15.75" x14ac:dyDescent="0.25">
      <c r="A33" s="4"/>
      <c r="B33" s="154" t="s">
        <v>17</v>
      </c>
      <c r="C33" s="155" t="s">
        <v>16</v>
      </c>
      <c r="D33" s="156" t="s">
        <v>187</v>
      </c>
      <c r="E33" s="156" t="s">
        <v>187</v>
      </c>
      <c r="F33" s="196" t="s">
        <v>200</v>
      </c>
    </row>
    <row r="34" spans="1:6" ht="15.75" x14ac:dyDescent="0.25">
      <c r="A34" s="4"/>
      <c r="B34" s="154" t="s">
        <v>19</v>
      </c>
      <c r="C34" s="155" t="s">
        <v>20</v>
      </c>
      <c r="D34" s="156" t="s">
        <v>187</v>
      </c>
      <c r="E34" s="156" t="s">
        <v>187</v>
      </c>
      <c r="F34" s="195"/>
    </row>
    <row r="35" spans="1:6" ht="15.75" x14ac:dyDescent="0.25">
      <c r="A35" s="4"/>
      <c r="B35" s="154" t="s">
        <v>21</v>
      </c>
      <c r="C35" s="155" t="s">
        <v>20</v>
      </c>
      <c r="D35" s="156" t="s">
        <v>187</v>
      </c>
      <c r="E35" s="156" t="s">
        <v>187</v>
      </c>
      <c r="F35" s="195"/>
    </row>
    <row r="36" spans="1:6" ht="15.75" x14ac:dyDescent="0.25">
      <c r="A36" s="4"/>
      <c r="B36" s="154" t="s">
        <v>201</v>
      </c>
      <c r="C36" s="155" t="s">
        <v>16</v>
      </c>
      <c r="D36" s="156" t="s">
        <v>187</v>
      </c>
      <c r="E36" s="156" t="s">
        <v>187</v>
      </c>
      <c r="F36" s="196" t="s">
        <v>202</v>
      </c>
    </row>
    <row r="37" spans="1:6" ht="15.75" x14ac:dyDescent="0.25">
      <c r="A37" s="158"/>
      <c r="B37" s="154" t="s">
        <v>29</v>
      </c>
      <c r="C37" s="155" t="s">
        <v>189</v>
      </c>
      <c r="D37" s="156" t="s">
        <v>187</v>
      </c>
      <c r="E37" s="156" t="s">
        <v>187</v>
      </c>
      <c r="F37" s="195"/>
    </row>
    <row r="38" spans="1:6" s="153" customFormat="1" ht="23.25" customHeight="1" x14ac:dyDescent="0.2">
      <c r="A38" s="150">
        <v>3</v>
      </c>
      <c r="B38" s="151" t="s">
        <v>30</v>
      </c>
      <c r="C38" s="152"/>
      <c r="D38" s="152"/>
      <c r="E38" s="152"/>
      <c r="F38" s="219"/>
    </row>
    <row r="39" spans="1:6" ht="15.75" x14ac:dyDescent="0.25">
      <c r="A39" s="4"/>
      <c r="B39" s="154" t="s">
        <v>3</v>
      </c>
      <c r="C39" s="155" t="s">
        <v>4</v>
      </c>
      <c r="D39" s="156" t="s">
        <v>185</v>
      </c>
      <c r="E39" s="156" t="s">
        <v>185</v>
      </c>
      <c r="F39" s="195"/>
    </row>
    <row r="40" spans="1:6" ht="15.75" x14ac:dyDescent="0.25">
      <c r="A40" s="4"/>
      <c r="B40" s="154" t="s">
        <v>12</v>
      </c>
      <c r="C40" s="155" t="s">
        <v>6</v>
      </c>
      <c r="D40" s="156" t="s">
        <v>187</v>
      </c>
      <c r="E40" s="156" t="s">
        <v>187</v>
      </c>
      <c r="F40" s="195"/>
    </row>
    <row r="41" spans="1:6" ht="15.75" x14ac:dyDescent="0.25">
      <c r="A41" s="4"/>
      <c r="B41" s="154" t="s">
        <v>31</v>
      </c>
      <c r="C41" s="155" t="s">
        <v>6</v>
      </c>
      <c r="D41" s="156" t="s">
        <v>185</v>
      </c>
      <c r="E41" s="156" t="s">
        <v>185</v>
      </c>
      <c r="F41" s="195"/>
    </row>
    <row r="42" spans="1:6" ht="15.75" x14ac:dyDescent="0.25">
      <c r="A42" s="4"/>
      <c r="B42" s="154" t="s">
        <v>32</v>
      </c>
      <c r="C42" s="155" t="s">
        <v>6</v>
      </c>
      <c r="D42" s="156" t="s">
        <v>185</v>
      </c>
      <c r="E42" s="156" t="s">
        <v>185</v>
      </c>
      <c r="F42" s="195"/>
    </row>
    <row r="43" spans="1:6" ht="15.75" x14ac:dyDescent="0.25">
      <c r="A43" s="5"/>
      <c r="B43" s="163" t="s">
        <v>33</v>
      </c>
      <c r="C43" s="164" t="s">
        <v>16</v>
      </c>
      <c r="D43" s="156" t="s">
        <v>187</v>
      </c>
      <c r="E43" s="156" t="s">
        <v>187</v>
      </c>
      <c r="F43" s="195"/>
    </row>
    <row r="44" spans="1:6" ht="15.75" x14ac:dyDescent="0.25">
      <c r="A44" s="5"/>
      <c r="B44" s="157" t="s">
        <v>34</v>
      </c>
      <c r="C44" s="164" t="s">
        <v>16</v>
      </c>
      <c r="D44" s="156" t="s">
        <v>187</v>
      </c>
      <c r="E44" s="156" t="s">
        <v>187</v>
      </c>
      <c r="F44" s="196" t="s">
        <v>200</v>
      </c>
    </row>
    <row r="45" spans="1:6" ht="15.75" x14ac:dyDescent="0.25">
      <c r="A45" s="5"/>
      <c r="B45" s="154" t="s">
        <v>19</v>
      </c>
      <c r="C45" s="155" t="s">
        <v>20</v>
      </c>
      <c r="D45" s="156" t="s">
        <v>187</v>
      </c>
      <c r="E45" s="156" t="s">
        <v>187</v>
      </c>
      <c r="F45" s="195"/>
    </row>
    <row r="46" spans="1:6" ht="15.75" x14ac:dyDescent="0.25">
      <c r="A46" s="5"/>
      <c r="B46" s="154" t="s">
        <v>18</v>
      </c>
      <c r="C46" s="155" t="s">
        <v>16</v>
      </c>
      <c r="D46" s="156" t="s">
        <v>187</v>
      </c>
      <c r="E46" s="156" t="s">
        <v>187</v>
      </c>
      <c r="F46" s="195"/>
    </row>
    <row r="47" spans="1:6" ht="15.75" x14ac:dyDescent="0.25">
      <c r="A47" s="5"/>
      <c r="B47" s="154" t="s">
        <v>21</v>
      </c>
      <c r="C47" s="155" t="s">
        <v>20</v>
      </c>
      <c r="D47" s="156" t="s">
        <v>187</v>
      </c>
      <c r="E47" s="156" t="s">
        <v>187</v>
      </c>
      <c r="F47" s="195"/>
    </row>
    <row r="48" spans="1:6" ht="15.75" x14ac:dyDescent="0.25">
      <c r="A48" s="6"/>
      <c r="B48" s="154" t="s">
        <v>35</v>
      </c>
      <c r="C48" s="155" t="s">
        <v>189</v>
      </c>
      <c r="D48" s="156" t="s">
        <v>187</v>
      </c>
      <c r="E48" s="156" t="s">
        <v>187</v>
      </c>
      <c r="F48" s="195"/>
    </row>
    <row r="49" spans="1:6" ht="15.75" x14ac:dyDescent="0.25">
      <c r="A49" s="6"/>
      <c r="B49" s="154" t="s">
        <v>203</v>
      </c>
      <c r="C49" s="155" t="s">
        <v>16</v>
      </c>
      <c r="D49" s="156" t="s">
        <v>187</v>
      </c>
      <c r="E49" s="156" t="s">
        <v>187</v>
      </c>
      <c r="F49" s="196" t="s">
        <v>202</v>
      </c>
    </row>
    <row r="50" spans="1:6" s="153" customFormat="1" ht="21.75" customHeight="1" x14ac:dyDescent="0.2">
      <c r="A50" s="150">
        <v>4</v>
      </c>
      <c r="B50" s="151" t="s">
        <v>36</v>
      </c>
      <c r="C50" s="152"/>
      <c r="D50" s="152"/>
      <c r="E50" s="152"/>
      <c r="F50" s="219"/>
    </row>
    <row r="51" spans="1:6" ht="15.75" x14ac:dyDescent="0.25">
      <c r="A51" s="5"/>
      <c r="B51" s="154" t="s">
        <v>3</v>
      </c>
      <c r="C51" s="155" t="s">
        <v>4</v>
      </c>
      <c r="D51" s="156" t="s">
        <v>185</v>
      </c>
      <c r="E51" s="156" t="s">
        <v>185</v>
      </c>
      <c r="F51" s="195"/>
    </row>
    <row r="52" spans="1:6" ht="15.75" x14ac:dyDescent="0.25">
      <c r="A52" s="5"/>
      <c r="B52" s="154" t="s">
        <v>37</v>
      </c>
      <c r="C52" s="155" t="s">
        <v>6</v>
      </c>
      <c r="D52" s="156" t="s">
        <v>185</v>
      </c>
      <c r="E52" s="156" t="s">
        <v>185</v>
      </c>
      <c r="F52" s="195"/>
    </row>
    <row r="53" spans="1:6" ht="15.75" x14ac:dyDescent="0.25">
      <c r="A53" s="5"/>
      <c r="B53" s="154" t="s">
        <v>11</v>
      </c>
      <c r="C53" s="155" t="s">
        <v>6</v>
      </c>
      <c r="D53" s="156" t="s">
        <v>185</v>
      </c>
      <c r="E53" s="156" t="s">
        <v>187</v>
      </c>
      <c r="F53" s="195"/>
    </row>
    <row r="54" spans="1:6" ht="15.75" x14ac:dyDescent="0.25">
      <c r="A54" s="5"/>
      <c r="B54" s="154" t="s">
        <v>12</v>
      </c>
      <c r="C54" s="155" t="s">
        <v>6</v>
      </c>
      <c r="D54" s="156" t="s">
        <v>187</v>
      </c>
      <c r="E54" s="156" t="s">
        <v>187</v>
      </c>
      <c r="F54" s="195"/>
    </row>
    <row r="55" spans="1:6" ht="15.75" x14ac:dyDescent="0.25">
      <c r="A55" s="5"/>
      <c r="B55" s="154" t="s">
        <v>38</v>
      </c>
      <c r="C55" s="155" t="s">
        <v>6</v>
      </c>
      <c r="D55" s="156" t="s">
        <v>185</v>
      </c>
      <c r="E55" s="156" t="s">
        <v>185</v>
      </c>
      <c r="F55" s="195"/>
    </row>
    <row r="56" spans="1:6" ht="15.75" x14ac:dyDescent="0.25">
      <c r="A56" s="5"/>
      <c r="B56" s="154" t="s">
        <v>18</v>
      </c>
      <c r="C56" s="155" t="s">
        <v>6</v>
      </c>
      <c r="D56" s="156" t="s">
        <v>187</v>
      </c>
      <c r="E56" s="156" t="s">
        <v>187</v>
      </c>
      <c r="F56" s="195"/>
    </row>
    <row r="57" spans="1:6" ht="15.75" x14ac:dyDescent="0.25">
      <c r="A57" s="5"/>
      <c r="B57" s="154" t="s">
        <v>14</v>
      </c>
      <c r="C57" s="155" t="s">
        <v>16</v>
      </c>
      <c r="D57" s="156" t="s">
        <v>185</v>
      </c>
      <c r="E57" s="156" t="s">
        <v>187</v>
      </c>
      <c r="F57" s="195"/>
    </row>
    <row r="58" spans="1:6" ht="15.75" x14ac:dyDescent="0.25">
      <c r="A58" s="5"/>
      <c r="B58" s="154" t="s">
        <v>15</v>
      </c>
      <c r="C58" s="155" t="s">
        <v>16</v>
      </c>
      <c r="D58" s="156" t="s">
        <v>187</v>
      </c>
      <c r="E58" s="156" t="s">
        <v>187</v>
      </c>
      <c r="F58" s="195"/>
    </row>
    <row r="59" spans="1:6" ht="15.75" x14ac:dyDescent="0.25">
      <c r="A59" s="5"/>
      <c r="B59" s="154" t="s">
        <v>17</v>
      </c>
      <c r="C59" s="155" t="s">
        <v>16</v>
      </c>
      <c r="D59" s="156" t="s">
        <v>187</v>
      </c>
      <c r="E59" s="156" t="s">
        <v>187</v>
      </c>
      <c r="F59" s="196" t="s">
        <v>200</v>
      </c>
    </row>
    <row r="60" spans="1:6" ht="15.75" x14ac:dyDescent="0.25">
      <c r="A60" s="5"/>
      <c r="B60" s="154" t="s">
        <v>19</v>
      </c>
      <c r="C60" s="155" t="s">
        <v>20</v>
      </c>
      <c r="D60" s="156" t="s">
        <v>187</v>
      </c>
      <c r="E60" s="156" t="s">
        <v>187</v>
      </c>
      <c r="F60" s="195"/>
    </row>
    <row r="61" spans="1:6" ht="15.75" x14ac:dyDescent="0.25">
      <c r="A61" s="6"/>
      <c r="B61" s="154" t="s">
        <v>21</v>
      </c>
      <c r="C61" s="155" t="s">
        <v>20</v>
      </c>
      <c r="D61" s="156" t="s">
        <v>187</v>
      </c>
      <c r="E61" s="156" t="s">
        <v>187</v>
      </c>
      <c r="F61" s="195"/>
    </row>
    <row r="62" spans="1:6" ht="15.75" x14ac:dyDescent="0.25">
      <c r="A62" s="6"/>
      <c r="B62" s="154" t="s">
        <v>35</v>
      </c>
      <c r="C62" s="155" t="s">
        <v>189</v>
      </c>
      <c r="D62" s="156" t="s">
        <v>187</v>
      </c>
      <c r="E62" s="156" t="s">
        <v>187</v>
      </c>
      <c r="F62" s="195"/>
    </row>
    <row r="63" spans="1:6" ht="20.25" customHeight="1" x14ac:dyDescent="0.25">
      <c r="A63" s="1">
        <v>5</v>
      </c>
      <c r="B63" s="2" t="s">
        <v>190</v>
      </c>
      <c r="C63" s="3"/>
      <c r="D63" s="3"/>
      <c r="E63" s="3"/>
      <c r="F63" s="196"/>
    </row>
    <row r="64" spans="1:6" ht="18.75" customHeight="1" x14ac:dyDescent="0.25">
      <c r="A64" s="165"/>
      <c r="B64" s="97" t="s">
        <v>174</v>
      </c>
      <c r="C64" s="156" t="s">
        <v>188</v>
      </c>
      <c r="D64" s="166" t="s">
        <v>185</v>
      </c>
      <c r="E64" s="166" t="s">
        <v>185</v>
      </c>
      <c r="F64" s="195"/>
    </row>
    <row r="65" spans="1:6" ht="25.5" customHeight="1" x14ac:dyDescent="0.25">
      <c r="A65" s="165"/>
      <c r="B65" s="103" t="s">
        <v>205</v>
      </c>
      <c r="C65" s="166" t="s">
        <v>6</v>
      </c>
      <c r="D65" s="166" t="s">
        <v>185</v>
      </c>
      <c r="E65" s="166" t="s">
        <v>185</v>
      </c>
      <c r="F65" s="195"/>
    </row>
    <row r="66" spans="1:6" ht="19.5" x14ac:dyDescent="0.25">
      <c r="A66" s="165"/>
      <c r="B66" s="103" t="s">
        <v>191</v>
      </c>
      <c r="C66" s="166" t="s">
        <v>16</v>
      </c>
      <c r="D66" s="166" t="s">
        <v>185</v>
      </c>
      <c r="E66" s="166" t="s">
        <v>185</v>
      </c>
      <c r="F66" s="195"/>
    </row>
    <row r="67" spans="1:6" ht="19.5" x14ac:dyDescent="0.25">
      <c r="A67" s="167"/>
      <c r="B67" s="56" t="s">
        <v>192</v>
      </c>
      <c r="C67" s="166" t="s">
        <v>20</v>
      </c>
      <c r="D67" s="166" t="s">
        <v>187</v>
      </c>
      <c r="E67" s="166" t="s">
        <v>185</v>
      </c>
      <c r="F67" s="195"/>
    </row>
    <row r="68" spans="1:6" ht="37.5" customHeight="1" x14ac:dyDescent="0.25">
      <c r="A68" s="1">
        <v>6</v>
      </c>
      <c r="B68" s="151" t="s">
        <v>193</v>
      </c>
      <c r="C68" s="152" t="s">
        <v>16</v>
      </c>
      <c r="D68" s="220" t="s">
        <v>187</v>
      </c>
      <c r="E68" s="220" t="s">
        <v>187</v>
      </c>
      <c r="F68" s="220" t="s">
        <v>204</v>
      </c>
    </row>
    <row r="69" spans="1:6" ht="31.5" x14ac:dyDescent="0.25">
      <c r="A69" s="150">
        <v>7</v>
      </c>
      <c r="B69" s="151" t="s">
        <v>198</v>
      </c>
      <c r="C69" s="152" t="s">
        <v>16</v>
      </c>
      <c r="D69" s="220"/>
      <c r="E69" s="220"/>
      <c r="F69" s="220" t="s">
        <v>199</v>
      </c>
    </row>
  </sheetData>
  <mergeCells count="6">
    <mergeCell ref="F3:F4"/>
    <mergeCell ref="A3:A4"/>
    <mergeCell ref="B3:B4"/>
    <mergeCell ref="C3:C4"/>
    <mergeCell ref="D3:D4"/>
    <mergeCell ref="E3: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82"/>
  <sheetViews>
    <sheetView topLeftCell="A47" workbookViewId="0">
      <selection activeCell="E63" sqref="E63"/>
    </sheetView>
  </sheetViews>
  <sheetFormatPr defaultColWidth="9.125" defaultRowHeight="15" x14ac:dyDescent="0.25"/>
  <cols>
    <col min="1" max="1" width="9.125" style="136"/>
    <col min="2" max="2" width="9.125" style="153"/>
    <col min="3" max="3" width="41.75" style="136" bestFit="1" customWidth="1"/>
    <col min="4" max="4" width="9.125" style="136"/>
    <col min="5" max="5" width="14.625" style="136" customWidth="1"/>
    <col min="6" max="16384" width="9.125" style="136"/>
  </cols>
  <sheetData>
    <row r="2" spans="2:5" ht="15.75" thickBot="1" x14ac:dyDescent="0.3"/>
    <row r="3" spans="2:5" ht="40.5" customHeight="1" x14ac:dyDescent="0.25">
      <c r="B3" s="181">
        <v>1</v>
      </c>
      <c r="C3" s="169" t="s">
        <v>167</v>
      </c>
      <c r="D3" s="137"/>
      <c r="E3" s="192" t="s">
        <v>170</v>
      </c>
    </row>
    <row r="4" spans="2:5" x14ac:dyDescent="0.25">
      <c r="B4" s="182"/>
      <c r="C4" s="170" t="s">
        <v>3</v>
      </c>
      <c r="D4" s="138" t="s">
        <v>4</v>
      </c>
      <c r="E4" s="193">
        <v>5392000</v>
      </c>
    </row>
    <row r="5" spans="2:5" x14ac:dyDescent="0.25">
      <c r="B5" s="182"/>
      <c r="C5" s="170" t="s">
        <v>5</v>
      </c>
      <c r="D5" s="138" t="s">
        <v>6</v>
      </c>
      <c r="E5" s="193">
        <v>11624000</v>
      </c>
    </row>
    <row r="6" spans="2:5" x14ac:dyDescent="0.25">
      <c r="B6" s="182"/>
      <c r="C6" s="170" t="s">
        <v>7</v>
      </c>
      <c r="D6" s="138" t="s">
        <v>6</v>
      </c>
      <c r="E6" s="193">
        <v>27983000</v>
      </c>
    </row>
    <row r="7" spans="2:5" x14ac:dyDescent="0.25">
      <c r="B7" s="182"/>
      <c r="C7" s="170" t="s">
        <v>8</v>
      </c>
      <c r="D7" s="138" t="s">
        <v>6</v>
      </c>
      <c r="E7" s="193">
        <v>7554000</v>
      </c>
    </row>
    <row r="8" spans="2:5" x14ac:dyDescent="0.25">
      <c r="B8" s="182"/>
      <c r="C8" s="170" t="s">
        <v>10</v>
      </c>
      <c r="D8" s="138" t="s">
        <v>6</v>
      </c>
      <c r="E8" s="193">
        <v>12550000</v>
      </c>
    </row>
    <row r="9" spans="2:5" x14ac:dyDescent="0.25">
      <c r="B9" s="182"/>
      <c r="C9" s="171" t="s">
        <v>9</v>
      </c>
      <c r="D9" s="138" t="s">
        <v>6</v>
      </c>
      <c r="E9" s="193"/>
    </row>
    <row r="10" spans="2:5" x14ac:dyDescent="0.25">
      <c r="B10" s="182"/>
      <c r="C10" s="171" t="s">
        <v>11</v>
      </c>
      <c r="D10" s="138" t="s">
        <v>6</v>
      </c>
      <c r="E10" s="193"/>
    </row>
    <row r="11" spans="2:5" x14ac:dyDescent="0.25">
      <c r="B11" s="182"/>
      <c r="C11" s="171" t="s">
        <v>12</v>
      </c>
      <c r="D11" s="138" t="s">
        <v>6</v>
      </c>
      <c r="E11" s="193"/>
    </row>
    <row r="12" spans="2:5" x14ac:dyDescent="0.25">
      <c r="B12" s="182"/>
      <c r="C12" s="172" t="s">
        <v>13</v>
      </c>
      <c r="D12" s="138" t="s">
        <v>6</v>
      </c>
      <c r="E12" s="193"/>
    </row>
    <row r="13" spans="2:5" x14ac:dyDescent="0.25">
      <c r="B13" s="182"/>
      <c r="C13" s="171" t="s">
        <v>14</v>
      </c>
      <c r="D13" s="138" t="s">
        <v>6</v>
      </c>
      <c r="E13" s="193"/>
    </row>
    <row r="14" spans="2:5" x14ac:dyDescent="0.25">
      <c r="B14" s="182"/>
      <c r="C14" s="171" t="s">
        <v>15</v>
      </c>
      <c r="D14" s="138" t="s">
        <v>16</v>
      </c>
      <c r="E14" s="193"/>
    </row>
    <row r="15" spans="2:5" x14ac:dyDescent="0.25">
      <c r="B15" s="210"/>
      <c r="C15" s="211" t="s">
        <v>17</v>
      </c>
      <c r="D15" s="212" t="s">
        <v>16</v>
      </c>
      <c r="E15" s="202">
        <v>49016000</v>
      </c>
    </row>
    <row r="16" spans="2:5" x14ac:dyDescent="0.25">
      <c r="B16" s="182"/>
      <c r="C16" s="171" t="s">
        <v>18</v>
      </c>
      <c r="D16" s="138" t="s">
        <v>16</v>
      </c>
      <c r="E16" s="193"/>
    </row>
    <row r="17" spans="2:8" x14ac:dyDescent="0.25">
      <c r="B17" s="182"/>
      <c r="C17" s="171" t="s">
        <v>19</v>
      </c>
      <c r="D17" s="138" t="s">
        <v>20</v>
      </c>
      <c r="E17" s="193"/>
    </row>
    <row r="18" spans="2:8" x14ac:dyDescent="0.25">
      <c r="B18" s="182"/>
      <c r="C18" s="171" t="s">
        <v>21</v>
      </c>
      <c r="D18" s="138" t="s">
        <v>20</v>
      </c>
      <c r="E18" s="193"/>
    </row>
    <row r="19" spans="2:8" x14ac:dyDescent="0.25">
      <c r="B19" s="182"/>
      <c r="C19" s="171" t="s">
        <v>22</v>
      </c>
      <c r="D19" s="138"/>
      <c r="E19" s="193"/>
    </row>
    <row r="20" spans="2:8" x14ac:dyDescent="0.25">
      <c r="B20" s="182"/>
      <c r="C20" s="200" t="s">
        <v>181</v>
      </c>
      <c r="D20" s="201"/>
      <c r="E20" s="202">
        <v>17256000</v>
      </c>
    </row>
    <row r="21" spans="2:8" ht="22.5" customHeight="1" x14ac:dyDescent="0.25">
      <c r="B21" s="183">
        <v>2</v>
      </c>
      <c r="C21" s="209" t="s">
        <v>23</v>
      </c>
      <c r="D21" s="139"/>
      <c r="E21" s="194"/>
    </row>
    <row r="22" spans="2:8" x14ac:dyDescent="0.25">
      <c r="B22" s="182"/>
      <c r="C22" s="170" t="s">
        <v>24</v>
      </c>
      <c r="D22" s="138" t="s">
        <v>4</v>
      </c>
      <c r="E22" s="193">
        <v>5392000</v>
      </c>
    </row>
    <row r="23" spans="2:8" x14ac:dyDescent="0.25">
      <c r="B23" s="182"/>
      <c r="C23" s="173" t="s">
        <v>25</v>
      </c>
      <c r="D23" s="138" t="s">
        <v>6</v>
      </c>
      <c r="E23" s="193">
        <v>13333000</v>
      </c>
    </row>
    <row r="24" spans="2:8" x14ac:dyDescent="0.25">
      <c r="B24" s="182"/>
      <c r="C24" s="174" t="s">
        <v>111</v>
      </c>
      <c r="D24" s="138" t="s">
        <v>6</v>
      </c>
      <c r="E24" s="193">
        <v>24020000</v>
      </c>
    </row>
    <row r="25" spans="2:8" x14ac:dyDescent="0.25">
      <c r="B25" s="182"/>
      <c r="C25" s="171" t="s">
        <v>26</v>
      </c>
      <c r="D25" s="138" t="s">
        <v>6</v>
      </c>
      <c r="E25" s="193"/>
    </row>
    <row r="26" spans="2:8" x14ac:dyDescent="0.25">
      <c r="B26" s="182"/>
      <c r="C26" s="171" t="s">
        <v>27</v>
      </c>
      <c r="D26" s="138" t="s">
        <v>6</v>
      </c>
      <c r="E26" s="193"/>
    </row>
    <row r="27" spans="2:8" x14ac:dyDescent="0.25">
      <c r="B27" s="182"/>
      <c r="C27" s="171" t="s">
        <v>12</v>
      </c>
      <c r="D27" s="138" t="s">
        <v>6</v>
      </c>
      <c r="E27" s="193"/>
    </row>
    <row r="28" spans="2:8" x14ac:dyDescent="0.25">
      <c r="B28" s="182"/>
      <c r="C28" s="175" t="s">
        <v>28</v>
      </c>
      <c r="D28" s="138" t="s">
        <v>6</v>
      </c>
      <c r="E28" s="193"/>
      <c r="H28" s="136" t="s">
        <v>195</v>
      </c>
    </row>
    <row r="29" spans="2:8" x14ac:dyDescent="0.25">
      <c r="B29" s="182"/>
      <c r="C29" s="171" t="s">
        <v>14</v>
      </c>
      <c r="D29" s="138" t="s">
        <v>6</v>
      </c>
      <c r="E29" s="193"/>
    </row>
    <row r="30" spans="2:8" x14ac:dyDescent="0.25">
      <c r="B30" s="182"/>
      <c r="C30" s="171" t="s">
        <v>15</v>
      </c>
      <c r="D30" s="138" t="s">
        <v>16</v>
      </c>
      <c r="E30" s="193"/>
    </row>
    <row r="31" spans="2:8" x14ac:dyDescent="0.25">
      <c r="B31" s="210"/>
      <c r="C31" s="211" t="s">
        <v>17</v>
      </c>
      <c r="D31" s="212" t="s">
        <v>16</v>
      </c>
      <c r="E31" s="202">
        <v>41663000</v>
      </c>
    </row>
    <row r="32" spans="2:8" x14ac:dyDescent="0.25">
      <c r="B32" s="182"/>
      <c r="C32" s="171" t="s">
        <v>19</v>
      </c>
      <c r="D32" s="138" t="s">
        <v>20</v>
      </c>
      <c r="E32" s="193"/>
    </row>
    <row r="33" spans="2:5" x14ac:dyDescent="0.25">
      <c r="B33" s="182"/>
      <c r="C33" s="171" t="s">
        <v>21</v>
      </c>
      <c r="D33" s="138" t="s">
        <v>20</v>
      </c>
      <c r="E33" s="193"/>
    </row>
    <row r="34" spans="2:5" x14ac:dyDescent="0.25">
      <c r="B34" s="182"/>
      <c r="C34" s="171" t="s">
        <v>29</v>
      </c>
      <c r="D34" s="138"/>
      <c r="E34" s="193"/>
    </row>
    <row r="35" spans="2:5" x14ac:dyDescent="0.25">
      <c r="B35" s="210"/>
      <c r="C35" s="211" t="s">
        <v>181</v>
      </c>
      <c r="D35" s="212" t="s">
        <v>16</v>
      </c>
      <c r="E35" s="202">
        <v>26727000</v>
      </c>
    </row>
    <row r="36" spans="2:5" ht="30.75" customHeight="1" x14ac:dyDescent="0.25">
      <c r="B36" s="183">
        <v>3</v>
      </c>
      <c r="C36" s="208" t="s">
        <v>168</v>
      </c>
      <c r="D36" s="137"/>
      <c r="E36" s="194"/>
    </row>
    <row r="37" spans="2:5" x14ac:dyDescent="0.25">
      <c r="B37" s="182"/>
      <c r="C37" s="176" t="s">
        <v>3</v>
      </c>
      <c r="D37" s="140" t="s">
        <v>4</v>
      </c>
      <c r="E37" s="193">
        <v>5392000</v>
      </c>
    </row>
    <row r="38" spans="2:5" x14ac:dyDescent="0.25">
      <c r="B38" s="182"/>
      <c r="C38" s="170" t="s">
        <v>31</v>
      </c>
      <c r="D38" s="140" t="s">
        <v>6</v>
      </c>
      <c r="E38" s="193">
        <v>45377000</v>
      </c>
    </row>
    <row r="39" spans="2:5" x14ac:dyDescent="0.25">
      <c r="B39" s="182"/>
      <c r="C39" s="170" t="s">
        <v>32</v>
      </c>
      <c r="D39" s="140" t="s">
        <v>6</v>
      </c>
      <c r="E39" s="193">
        <v>58445000</v>
      </c>
    </row>
    <row r="40" spans="2:5" x14ac:dyDescent="0.25">
      <c r="B40" s="182"/>
      <c r="C40" s="171" t="s">
        <v>12</v>
      </c>
      <c r="D40" s="140" t="s">
        <v>6</v>
      </c>
      <c r="E40" s="193"/>
    </row>
    <row r="41" spans="2:5" x14ac:dyDescent="0.25">
      <c r="B41" s="184"/>
      <c r="C41" s="177" t="s">
        <v>33</v>
      </c>
      <c r="D41" s="141" t="s">
        <v>16</v>
      </c>
      <c r="E41" s="193"/>
    </row>
    <row r="42" spans="2:5" x14ac:dyDescent="0.25">
      <c r="B42" s="213"/>
      <c r="C42" s="211" t="s">
        <v>34</v>
      </c>
      <c r="D42" s="214" t="s">
        <v>16</v>
      </c>
      <c r="E42" s="202">
        <v>26055000</v>
      </c>
    </row>
    <row r="43" spans="2:5" x14ac:dyDescent="0.25">
      <c r="B43" s="184"/>
      <c r="C43" s="171" t="s">
        <v>19</v>
      </c>
      <c r="D43" s="140" t="s">
        <v>20</v>
      </c>
      <c r="E43" s="193"/>
    </row>
    <row r="44" spans="2:5" x14ac:dyDescent="0.25">
      <c r="B44" s="184"/>
      <c r="C44" s="171" t="s">
        <v>18</v>
      </c>
      <c r="D44" s="140" t="s">
        <v>16</v>
      </c>
      <c r="E44" s="193"/>
    </row>
    <row r="45" spans="2:5" x14ac:dyDescent="0.25">
      <c r="B45" s="184"/>
      <c r="C45" s="171" t="s">
        <v>21</v>
      </c>
      <c r="D45" s="140" t="s">
        <v>20</v>
      </c>
      <c r="E45" s="193"/>
    </row>
    <row r="46" spans="2:5" x14ac:dyDescent="0.25">
      <c r="B46" s="184"/>
      <c r="C46" s="171" t="s">
        <v>35</v>
      </c>
      <c r="D46" s="140"/>
      <c r="E46" s="193"/>
    </row>
    <row r="47" spans="2:5" x14ac:dyDescent="0.25">
      <c r="B47" s="184"/>
      <c r="C47" s="200" t="s">
        <v>181</v>
      </c>
      <c r="D47" s="203" t="s">
        <v>16</v>
      </c>
      <c r="E47" s="202">
        <v>26727000</v>
      </c>
    </row>
    <row r="48" spans="2:5" ht="31.5" customHeight="1" x14ac:dyDescent="0.25">
      <c r="B48" s="183">
        <v>4</v>
      </c>
      <c r="C48" s="208" t="s">
        <v>36</v>
      </c>
      <c r="D48" s="137"/>
      <c r="E48" s="194"/>
    </row>
    <row r="49" spans="2:5" x14ac:dyDescent="0.25">
      <c r="B49" s="184"/>
      <c r="C49" s="170" t="s">
        <v>3</v>
      </c>
      <c r="D49" s="138" t="s">
        <v>4</v>
      </c>
      <c r="E49" s="193">
        <v>5392000</v>
      </c>
    </row>
    <row r="50" spans="2:5" x14ac:dyDescent="0.25">
      <c r="B50" s="184"/>
      <c r="C50" s="170" t="s">
        <v>37</v>
      </c>
      <c r="D50" s="138" t="s">
        <v>6</v>
      </c>
      <c r="E50" s="193">
        <v>50743000</v>
      </c>
    </row>
    <row r="51" spans="2:5" x14ac:dyDescent="0.25">
      <c r="B51" s="184"/>
      <c r="C51" s="170" t="s">
        <v>38</v>
      </c>
      <c r="D51" s="138" t="s">
        <v>6</v>
      </c>
      <c r="E51" s="193">
        <v>25496000</v>
      </c>
    </row>
    <row r="52" spans="2:5" x14ac:dyDescent="0.25">
      <c r="B52" s="184"/>
      <c r="C52" s="171" t="s">
        <v>11</v>
      </c>
      <c r="D52" s="138" t="s">
        <v>6</v>
      </c>
      <c r="E52" s="193"/>
    </row>
    <row r="53" spans="2:5" x14ac:dyDescent="0.25">
      <c r="B53" s="184"/>
      <c r="C53" s="171" t="s">
        <v>12</v>
      </c>
      <c r="D53" s="138" t="s">
        <v>6</v>
      </c>
      <c r="E53" s="193"/>
    </row>
    <row r="54" spans="2:5" x14ac:dyDescent="0.25">
      <c r="B54" s="184"/>
      <c r="C54" s="171" t="s">
        <v>18</v>
      </c>
      <c r="D54" s="138" t="s">
        <v>6</v>
      </c>
      <c r="E54" s="195"/>
    </row>
    <row r="55" spans="2:5" x14ac:dyDescent="0.25">
      <c r="B55" s="184"/>
      <c r="C55" s="171" t="s">
        <v>14</v>
      </c>
      <c r="D55" s="138" t="s">
        <v>16</v>
      </c>
      <c r="E55" s="195"/>
    </row>
    <row r="56" spans="2:5" x14ac:dyDescent="0.25">
      <c r="B56" s="184"/>
      <c r="C56" s="171" t="s">
        <v>15</v>
      </c>
      <c r="D56" s="138" t="s">
        <v>16</v>
      </c>
      <c r="E56" s="195"/>
    </row>
    <row r="57" spans="2:5" x14ac:dyDescent="0.25">
      <c r="B57" s="213"/>
      <c r="C57" s="211" t="s">
        <v>17</v>
      </c>
      <c r="D57" s="212" t="s">
        <v>16</v>
      </c>
      <c r="E57" s="202">
        <v>49016000</v>
      </c>
    </row>
    <row r="58" spans="2:5" x14ac:dyDescent="0.25">
      <c r="B58" s="184"/>
      <c r="C58" s="171" t="s">
        <v>19</v>
      </c>
      <c r="D58" s="138" t="s">
        <v>20</v>
      </c>
      <c r="E58" s="195"/>
    </row>
    <row r="59" spans="2:5" x14ac:dyDescent="0.25">
      <c r="B59" s="185"/>
      <c r="C59" s="171" t="s">
        <v>21</v>
      </c>
      <c r="D59" s="138" t="s">
        <v>20</v>
      </c>
      <c r="E59" s="195"/>
    </row>
    <row r="60" spans="2:5" ht="15.75" thickBot="1" x14ac:dyDescent="0.3">
      <c r="B60" s="184"/>
      <c r="C60" s="171" t="s">
        <v>35</v>
      </c>
      <c r="D60" s="138"/>
      <c r="E60" s="195"/>
    </row>
    <row r="61" spans="2:5" ht="15.75" thickBot="1" x14ac:dyDescent="0.3">
      <c r="B61" s="191">
        <v>5</v>
      </c>
      <c r="C61" s="178" t="s">
        <v>39</v>
      </c>
      <c r="D61" s="168"/>
      <c r="E61" s="196"/>
    </row>
    <row r="62" spans="2:5" ht="57" customHeight="1" x14ac:dyDescent="0.25">
      <c r="B62" s="186"/>
      <c r="C62" s="204" t="s">
        <v>194</v>
      </c>
      <c r="D62" s="205" t="s">
        <v>6</v>
      </c>
      <c r="E62" s="202">
        <v>180414000</v>
      </c>
    </row>
    <row r="63" spans="2:5" x14ac:dyDescent="0.25">
      <c r="B63" s="187"/>
      <c r="C63" s="179" t="s">
        <v>40</v>
      </c>
      <c r="D63" s="142" t="s">
        <v>16</v>
      </c>
      <c r="E63" s="195"/>
    </row>
    <row r="64" spans="2:5" x14ac:dyDescent="0.25">
      <c r="B64" s="187"/>
      <c r="C64" s="179" t="s">
        <v>41</v>
      </c>
      <c r="D64" s="142" t="s">
        <v>16</v>
      </c>
      <c r="E64" s="195"/>
    </row>
    <row r="65" spans="2:5" x14ac:dyDescent="0.25">
      <c r="B65" s="187"/>
      <c r="C65" s="179" t="s">
        <v>42</v>
      </c>
      <c r="D65" s="142" t="s">
        <v>16</v>
      </c>
      <c r="E65" s="195"/>
    </row>
    <row r="66" spans="2:5" x14ac:dyDescent="0.25">
      <c r="B66" s="187"/>
      <c r="C66" s="180" t="s">
        <v>43</v>
      </c>
      <c r="D66" s="143" t="s">
        <v>16</v>
      </c>
      <c r="E66" s="195"/>
    </row>
    <row r="67" spans="2:5" x14ac:dyDescent="0.25">
      <c r="B67" s="187"/>
      <c r="C67" s="206" t="s">
        <v>179</v>
      </c>
      <c r="D67" s="207"/>
      <c r="E67" s="202">
        <v>81029000</v>
      </c>
    </row>
    <row r="68" spans="2:5" ht="15.75" thickBot="1" x14ac:dyDescent="0.3">
      <c r="B68" s="187"/>
      <c r="C68" s="206" t="s">
        <v>180</v>
      </c>
      <c r="D68" s="207"/>
      <c r="E68" s="202">
        <v>80429000</v>
      </c>
    </row>
    <row r="69" spans="2:5" ht="15.75" thickBot="1" x14ac:dyDescent="0.3">
      <c r="B69" s="190">
        <v>6</v>
      </c>
      <c r="C69" s="197" t="s">
        <v>44</v>
      </c>
      <c r="D69" s="198"/>
      <c r="E69" s="199"/>
    </row>
    <row r="70" spans="2:5" x14ac:dyDescent="0.25">
      <c r="B70" s="188">
        <v>1</v>
      </c>
      <c r="C70" s="171" t="s">
        <v>3</v>
      </c>
      <c r="D70" s="143"/>
      <c r="E70" s="195"/>
    </row>
    <row r="71" spans="2:5" x14ac:dyDescent="0.25">
      <c r="B71" s="188">
        <v>2</v>
      </c>
      <c r="C71" s="171" t="s">
        <v>12</v>
      </c>
      <c r="D71" s="143" t="s">
        <v>45</v>
      </c>
      <c r="E71" s="195"/>
    </row>
    <row r="72" spans="2:5" x14ac:dyDescent="0.25">
      <c r="B72" s="188">
        <v>3</v>
      </c>
      <c r="C72" s="172" t="s">
        <v>13</v>
      </c>
      <c r="D72" s="143" t="s">
        <v>45</v>
      </c>
      <c r="E72" s="195"/>
    </row>
    <row r="73" spans="2:5" x14ac:dyDescent="0.25">
      <c r="B73" s="188">
        <v>4</v>
      </c>
      <c r="C73" s="171" t="s">
        <v>18</v>
      </c>
      <c r="D73" s="143" t="s">
        <v>45</v>
      </c>
      <c r="E73" s="195"/>
    </row>
    <row r="74" spans="2:5" x14ac:dyDescent="0.25">
      <c r="B74" s="188">
        <v>5</v>
      </c>
      <c r="C74" s="180" t="s">
        <v>46</v>
      </c>
      <c r="D74" s="143" t="s">
        <v>45</v>
      </c>
      <c r="E74" s="195"/>
    </row>
    <row r="75" spans="2:5" x14ac:dyDescent="0.25">
      <c r="B75" s="188">
        <v>6</v>
      </c>
      <c r="C75" s="171" t="s">
        <v>11</v>
      </c>
      <c r="D75" s="143" t="s">
        <v>45</v>
      </c>
      <c r="E75" s="195"/>
    </row>
    <row r="76" spans="2:5" x14ac:dyDescent="0.25">
      <c r="B76" s="188">
        <v>7</v>
      </c>
      <c r="C76" s="180" t="s">
        <v>47</v>
      </c>
      <c r="D76" s="143" t="s">
        <v>45</v>
      </c>
      <c r="E76" s="195"/>
    </row>
    <row r="77" spans="2:5" x14ac:dyDescent="0.25">
      <c r="B77" s="188">
        <v>8</v>
      </c>
      <c r="C77" s="180" t="s">
        <v>48</v>
      </c>
      <c r="D77" s="143" t="s">
        <v>49</v>
      </c>
      <c r="E77" s="195"/>
    </row>
    <row r="78" spans="2:5" x14ac:dyDescent="0.25">
      <c r="B78" s="188">
        <v>9</v>
      </c>
      <c r="C78" s="180" t="s">
        <v>50</v>
      </c>
      <c r="D78" s="143" t="s">
        <v>49</v>
      </c>
      <c r="E78" s="195"/>
    </row>
    <row r="79" spans="2:5" x14ac:dyDescent="0.25">
      <c r="B79" s="188">
        <v>10</v>
      </c>
      <c r="C79" s="180" t="s">
        <v>51</v>
      </c>
      <c r="D79" s="143" t="s">
        <v>49</v>
      </c>
      <c r="E79" s="195"/>
    </row>
    <row r="80" spans="2:5" x14ac:dyDescent="0.25">
      <c r="B80" s="188">
        <v>11</v>
      </c>
      <c r="C80" s="180" t="s">
        <v>52</v>
      </c>
      <c r="D80" s="143" t="s">
        <v>53</v>
      </c>
      <c r="E80" s="195"/>
    </row>
    <row r="81" spans="2:5" x14ac:dyDescent="0.25">
      <c r="B81" s="188">
        <v>12</v>
      </c>
      <c r="C81" s="180" t="s">
        <v>21</v>
      </c>
      <c r="D81" s="143" t="s">
        <v>53</v>
      </c>
      <c r="E81" s="195"/>
    </row>
    <row r="82" spans="2:5" ht="15.75" thickBot="1" x14ac:dyDescent="0.3">
      <c r="B82" s="189">
        <v>13</v>
      </c>
      <c r="C82" s="180" t="s">
        <v>54</v>
      </c>
      <c r="D82" s="143" t="s">
        <v>53</v>
      </c>
      <c r="E82" s="19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1"/>
  <sheetViews>
    <sheetView topLeftCell="A36" workbookViewId="0">
      <selection activeCell="B45" sqref="B45"/>
    </sheetView>
  </sheetViews>
  <sheetFormatPr defaultColWidth="9.125" defaultRowHeight="14.25" x14ac:dyDescent="0.2"/>
  <cols>
    <col min="1" max="1" width="5.25" style="8" bestFit="1" customWidth="1"/>
    <col min="2" max="2" width="42.875" style="135" customWidth="1"/>
    <col min="3" max="3" width="12.75" style="8" customWidth="1"/>
    <col min="4" max="4" width="10.75" style="8" customWidth="1"/>
    <col min="5" max="5" width="13.75" style="8" customWidth="1"/>
    <col min="6" max="6" width="19.125" style="8" customWidth="1"/>
    <col min="7" max="7" width="17.625" style="8" customWidth="1"/>
    <col min="8" max="8" width="29" style="8" customWidth="1"/>
    <col min="9" max="9" width="15" style="8" customWidth="1"/>
    <col min="10" max="10" width="14" style="8" customWidth="1"/>
    <col min="11" max="11" width="15" style="8" customWidth="1"/>
    <col min="12" max="12" width="14.375" style="8" customWidth="1"/>
    <col min="13" max="13" width="9.125" style="8"/>
    <col min="14" max="14" width="11.125" style="8" customWidth="1"/>
    <col min="15" max="15" width="14.125" style="8" customWidth="1"/>
    <col min="16" max="16384" width="9.125" style="8"/>
  </cols>
  <sheetData>
    <row r="1" spans="1:17" ht="17.25" x14ac:dyDescent="0.3">
      <c r="A1" s="234" t="s">
        <v>55</v>
      </c>
      <c r="B1" s="234"/>
      <c r="C1" s="234"/>
      <c r="D1" s="234"/>
      <c r="E1" s="234"/>
      <c r="F1" s="234"/>
      <c r="G1" s="7"/>
      <c r="H1" s="7"/>
      <c r="I1" s="7"/>
      <c r="J1" s="7"/>
      <c r="K1" s="7"/>
    </row>
    <row r="2" spans="1:17" ht="17.25" x14ac:dyDescent="0.3">
      <c r="A2" s="235" t="s">
        <v>56</v>
      </c>
      <c r="B2" s="235"/>
      <c r="C2" s="235"/>
      <c r="D2" s="235"/>
      <c r="E2" s="235"/>
      <c r="F2" s="235"/>
      <c r="G2" s="7"/>
      <c r="H2" s="7"/>
      <c r="I2" s="7"/>
      <c r="J2" s="7"/>
      <c r="K2" s="7"/>
    </row>
    <row r="3" spans="1:17" ht="17.25" x14ac:dyDescent="0.3">
      <c r="A3" s="236" t="s">
        <v>57</v>
      </c>
      <c r="B3" s="236"/>
      <c r="C3" s="236"/>
      <c r="D3" s="9"/>
      <c r="E3" s="10"/>
      <c r="F3" s="10"/>
      <c r="G3" s="7"/>
      <c r="H3" s="7"/>
      <c r="I3" s="7"/>
      <c r="J3" s="7"/>
      <c r="K3" s="7"/>
    </row>
    <row r="4" spans="1:17" ht="117.75" customHeight="1" x14ac:dyDescent="0.3">
      <c r="A4" s="237" t="s">
        <v>58</v>
      </c>
      <c r="B4" s="237"/>
      <c r="C4" s="237"/>
      <c r="D4" s="237"/>
      <c r="E4" s="237"/>
      <c r="F4" s="237"/>
      <c r="G4" s="11"/>
      <c r="H4" s="7"/>
      <c r="I4" s="7"/>
      <c r="J4" s="7"/>
      <c r="K4" s="7"/>
    </row>
    <row r="5" spans="1:17" ht="17.25" x14ac:dyDescent="0.3">
      <c r="A5" s="9"/>
      <c r="B5" s="12"/>
      <c r="C5" s="9"/>
      <c r="D5" s="9"/>
      <c r="E5" s="238" t="s">
        <v>59</v>
      </c>
      <c r="F5" s="238"/>
      <c r="G5" s="7"/>
      <c r="H5" s="7"/>
      <c r="I5" s="7"/>
      <c r="J5" s="13"/>
      <c r="K5" s="13"/>
      <c r="L5" s="14"/>
      <c r="M5" s="14"/>
      <c r="N5" s="14"/>
      <c r="O5" s="14"/>
      <c r="P5" s="14"/>
      <c r="Q5" s="14"/>
    </row>
    <row r="6" spans="1:17" ht="33" x14ac:dyDescent="0.3">
      <c r="A6" s="15" t="s">
        <v>60</v>
      </c>
      <c r="B6" s="16" t="s">
        <v>61</v>
      </c>
      <c r="C6" s="17" t="s">
        <v>62</v>
      </c>
      <c r="D6" s="17" t="s">
        <v>63</v>
      </c>
      <c r="E6" s="18" t="s">
        <v>0</v>
      </c>
      <c r="F6" s="19" t="s">
        <v>1</v>
      </c>
      <c r="G6" s="7"/>
      <c r="H6" s="20"/>
      <c r="I6" s="7"/>
      <c r="J6" s="13"/>
      <c r="K6" s="13"/>
      <c r="L6" s="14"/>
      <c r="M6" s="14"/>
      <c r="N6" s="14"/>
      <c r="O6" s="14"/>
      <c r="P6" s="14"/>
      <c r="Q6" s="14"/>
    </row>
    <row r="7" spans="1:17" ht="17.25" x14ac:dyDescent="0.3">
      <c r="A7" s="15" t="s">
        <v>64</v>
      </c>
      <c r="B7" s="225" t="s">
        <v>65</v>
      </c>
      <c r="C7" s="226"/>
      <c r="D7" s="226"/>
      <c r="E7" s="227"/>
      <c r="F7" s="21">
        <f>F8+F14+F19+F44+F51+F52+F59+H63+F50</f>
        <v>567358553</v>
      </c>
      <c r="G7" s="22"/>
      <c r="H7" s="23"/>
      <c r="I7" s="23"/>
      <c r="J7" s="24"/>
      <c r="K7" s="13"/>
      <c r="L7" s="14"/>
      <c r="M7" s="14"/>
      <c r="N7" s="14"/>
      <c r="O7" s="14"/>
      <c r="P7" s="14"/>
      <c r="Q7" s="14"/>
    </row>
    <row r="8" spans="1:17" ht="17.25" x14ac:dyDescent="0.3">
      <c r="A8" s="15">
        <v>1</v>
      </c>
      <c r="B8" s="225" t="s">
        <v>66</v>
      </c>
      <c r="C8" s="226"/>
      <c r="D8" s="226"/>
      <c r="E8" s="227"/>
      <c r="F8" s="25">
        <f>SUM(F9:F12)</f>
        <v>88382028</v>
      </c>
      <c r="G8" s="26"/>
      <c r="H8" s="23"/>
      <c r="I8" s="7"/>
      <c r="J8" s="13"/>
      <c r="K8" s="13"/>
      <c r="L8" s="14"/>
      <c r="M8" s="14"/>
      <c r="N8" s="14"/>
      <c r="O8" s="14"/>
      <c r="P8" s="14"/>
      <c r="Q8" s="14"/>
    </row>
    <row r="9" spans="1:17" ht="34.5" x14ac:dyDescent="0.3">
      <c r="A9" s="27" t="s">
        <v>67</v>
      </c>
      <c r="B9" s="28" t="s">
        <v>68</v>
      </c>
      <c r="C9" s="29" t="s">
        <v>69</v>
      </c>
      <c r="D9" s="29">
        <v>26</v>
      </c>
      <c r="E9" s="30">
        <v>180992</v>
      </c>
      <c r="F9" s="31">
        <f>E9*D9</f>
        <v>4705792</v>
      </c>
      <c r="G9" s="26"/>
      <c r="H9" s="32"/>
      <c r="I9" s="7"/>
      <c r="J9" s="13"/>
      <c r="K9" s="13"/>
      <c r="L9" s="14"/>
      <c r="M9" s="14"/>
      <c r="N9" s="14"/>
      <c r="O9" s="14"/>
      <c r="P9" s="14"/>
      <c r="Q9" s="14"/>
    </row>
    <row r="10" spans="1:17" ht="17.25" x14ac:dyDescent="0.3">
      <c r="A10" s="27" t="s">
        <v>70</v>
      </c>
      <c r="B10" s="33" t="s">
        <v>71</v>
      </c>
      <c r="C10" s="34" t="s">
        <v>69</v>
      </c>
      <c r="D10" s="35">
        <v>344</v>
      </c>
      <c r="E10" s="30">
        <v>146439</v>
      </c>
      <c r="F10" s="31">
        <f>E10*D10</f>
        <v>50375016</v>
      </c>
      <c r="G10" s="7"/>
      <c r="H10" s="23"/>
      <c r="I10" s="7"/>
      <c r="J10" s="13"/>
      <c r="K10" s="13"/>
      <c r="L10" s="14"/>
      <c r="M10" s="14"/>
      <c r="N10" s="14"/>
      <c r="O10" s="14"/>
      <c r="P10" s="14"/>
      <c r="Q10" s="14"/>
    </row>
    <row r="11" spans="1:17" ht="17.25" x14ac:dyDescent="0.3">
      <c r="A11" s="27" t="s">
        <v>72</v>
      </c>
      <c r="B11" s="33" t="s">
        <v>73</v>
      </c>
      <c r="C11" s="36" t="s">
        <v>69</v>
      </c>
      <c r="D11" s="35">
        <v>244</v>
      </c>
      <c r="E11" s="30">
        <v>128340</v>
      </c>
      <c r="F11" s="31">
        <f>D11*E11</f>
        <v>31314960</v>
      </c>
      <c r="G11" s="37"/>
      <c r="H11" s="7"/>
      <c r="I11" s="7"/>
      <c r="J11" s="13"/>
      <c r="K11" s="231"/>
      <c r="L11" s="231"/>
      <c r="M11" s="231"/>
      <c r="N11" s="231"/>
      <c r="O11" s="38"/>
      <c r="P11" s="14"/>
      <c r="Q11" s="14"/>
    </row>
    <row r="12" spans="1:17" ht="17.25" x14ac:dyDescent="0.3">
      <c r="A12" s="27" t="s">
        <v>74</v>
      </c>
      <c r="B12" s="33" t="s">
        <v>75</v>
      </c>
      <c r="C12" s="39"/>
      <c r="D12" s="40"/>
      <c r="E12" s="30"/>
      <c r="F12" s="41">
        <f>F13</f>
        <v>1986260</v>
      </c>
      <c r="G12" s="42"/>
      <c r="H12" s="42"/>
      <c r="I12" s="7"/>
      <c r="J12" s="13"/>
      <c r="K12" s="43"/>
      <c r="L12" s="44"/>
      <c r="M12" s="44"/>
      <c r="N12" s="45"/>
      <c r="O12" s="38"/>
      <c r="P12" s="14"/>
      <c r="Q12" s="14"/>
    </row>
    <row r="13" spans="1:17" ht="17.25" x14ac:dyDescent="0.3">
      <c r="A13" s="46"/>
      <c r="B13" s="47" t="s">
        <v>76</v>
      </c>
      <c r="C13" s="39" t="s">
        <v>77</v>
      </c>
      <c r="D13" s="40">
        <v>380</v>
      </c>
      <c r="E13" s="30">
        <v>5227</v>
      </c>
      <c r="F13" s="48">
        <f>D13*E13</f>
        <v>1986260</v>
      </c>
      <c r="G13" s="42"/>
      <c r="H13" s="42"/>
      <c r="I13" s="7"/>
      <c r="J13" s="13"/>
      <c r="K13" s="43"/>
      <c r="L13" s="44"/>
      <c r="M13" s="44"/>
      <c r="N13" s="45"/>
      <c r="O13" s="38"/>
      <c r="P13" s="14"/>
      <c r="Q13" s="14"/>
    </row>
    <row r="14" spans="1:17" ht="17.25" x14ac:dyDescent="0.3">
      <c r="A14" s="15">
        <v>2</v>
      </c>
      <c r="B14" s="232" t="s">
        <v>78</v>
      </c>
      <c r="C14" s="232"/>
      <c r="D14" s="232"/>
      <c r="E14" s="232"/>
      <c r="F14" s="25">
        <f>SUM(F15:F18)</f>
        <v>41084000</v>
      </c>
      <c r="G14" s="49"/>
      <c r="H14" s="49"/>
      <c r="I14" s="7"/>
      <c r="J14" s="13"/>
      <c r="K14" s="50"/>
      <c r="L14" s="51"/>
      <c r="M14" s="52"/>
      <c r="N14" s="53"/>
      <c r="O14" s="54"/>
      <c r="P14" s="14"/>
      <c r="Q14" s="14"/>
    </row>
    <row r="15" spans="1:17" ht="33" x14ac:dyDescent="0.3">
      <c r="A15" s="55" t="s">
        <v>79</v>
      </c>
      <c r="B15" s="56" t="s">
        <v>80</v>
      </c>
      <c r="C15" s="55" t="s">
        <v>81</v>
      </c>
      <c r="D15" s="57">
        <v>12</v>
      </c>
      <c r="E15" s="58">
        <v>2150000</v>
      </c>
      <c r="F15" s="48">
        <f>D15*E15</f>
        <v>25800000</v>
      </c>
      <c r="G15" s="59"/>
      <c r="H15" s="59"/>
      <c r="I15" s="7"/>
      <c r="J15" s="13"/>
      <c r="K15" s="60"/>
      <c r="L15" s="61"/>
      <c r="M15" s="62"/>
      <c r="N15" s="45"/>
      <c r="O15" s="63"/>
      <c r="P15" s="14"/>
      <c r="Q15" s="14"/>
    </row>
    <row r="16" spans="1:17" ht="39" customHeight="1" x14ac:dyDescent="0.3">
      <c r="A16" s="55" t="s">
        <v>82</v>
      </c>
      <c r="B16" s="56" t="s">
        <v>83</v>
      </c>
      <c r="C16" s="55" t="s">
        <v>84</v>
      </c>
      <c r="D16" s="57">
        <v>100</v>
      </c>
      <c r="E16" s="58">
        <v>22840</v>
      </c>
      <c r="F16" s="48">
        <f>D16*E16</f>
        <v>2284000</v>
      </c>
      <c r="G16" s="59"/>
      <c r="H16" s="59"/>
      <c r="I16" s="7"/>
      <c r="J16" s="13"/>
      <c r="K16" s="60"/>
      <c r="L16" s="61"/>
      <c r="M16" s="62"/>
      <c r="N16" s="45"/>
      <c r="O16" s="63"/>
      <c r="P16" s="14"/>
      <c r="Q16" s="14"/>
    </row>
    <row r="17" spans="1:17" ht="30" customHeight="1" x14ac:dyDescent="0.3">
      <c r="A17" s="55" t="s">
        <v>85</v>
      </c>
      <c r="B17" s="64" t="s">
        <v>86</v>
      </c>
      <c r="C17" s="55" t="s">
        <v>87</v>
      </c>
      <c r="D17" s="55">
        <v>1</v>
      </c>
      <c r="E17" s="58">
        <v>11000000</v>
      </c>
      <c r="F17" s="48">
        <f>D17*E17</f>
        <v>11000000</v>
      </c>
      <c r="G17" s="7"/>
      <c r="H17" s="7"/>
      <c r="I17" s="7"/>
      <c r="J17" s="13"/>
      <c r="K17" s="60"/>
      <c r="L17" s="61"/>
      <c r="M17" s="62"/>
      <c r="N17" s="45"/>
      <c r="O17" s="63"/>
      <c r="P17" s="14"/>
      <c r="Q17" s="14"/>
    </row>
    <row r="18" spans="1:17" ht="46.5" customHeight="1" x14ac:dyDescent="0.3">
      <c r="A18" s="65" t="s">
        <v>88</v>
      </c>
      <c r="B18" s="56" t="s">
        <v>89</v>
      </c>
      <c r="C18" s="55" t="s">
        <v>90</v>
      </c>
      <c r="D18" s="55">
        <v>4</v>
      </c>
      <c r="E18" s="58">
        <v>500000</v>
      </c>
      <c r="F18" s="48">
        <f>D18*E18</f>
        <v>2000000</v>
      </c>
      <c r="G18" s="7"/>
      <c r="H18" s="7"/>
      <c r="I18" s="7"/>
      <c r="J18" s="13"/>
      <c r="K18" s="50"/>
      <c r="L18" s="61"/>
      <c r="M18" s="66"/>
      <c r="N18" s="45"/>
      <c r="O18" s="54"/>
      <c r="P18" s="14"/>
      <c r="Q18" s="14"/>
    </row>
    <row r="19" spans="1:17" ht="38.25" customHeight="1" x14ac:dyDescent="0.3">
      <c r="A19" s="15">
        <v>3</v>
      </c>
      <c r="B19" s="225" t="s">
        <v>91</v>
      </c>
      <c r="C19" s="226"/>
      <c r="D19" s="226"/>
      <c r="E19" s="227"/>
      <c r="F19" s="25">
        <f>F20+F26+F38+F30+F34</f>
        <v>356764525</v>
      </c>
      <c r="G19" s="11"/>
      <c r="H19" s="11"/>
      <c r="I19" s="7"/>
      <c r="J19" s="13"/>
      <c r="K19" s="60"/>
      <c r="L19" s="61"/>
      <c r="M19" s="62"/>
      <c r="N19" s="45"/>
      <c r="O19" s="63"/>
      <c r="P19" s="14"/>
      <c r="Q19" s="14"/>
    </row>
    <row r="20" spans="1:17" ht="33" customHeight="1" x14ac:dyDescent="0.3">
      <c r="A20" s="67" t="s">
        <v>92</v>
      </c>
      <c r="B20" s="68" t="s">
        <v>161</v>
      </c>
      <c r="C20" s="69"/>
      <c r="D20" s="70"/>
      <c r="E20" s="71"/>
      <c r="F20" s="41">
        <f>SUM(F21:F25)</f>
        <v>65103000</v>
      </c>
      <c r="G20" s="7"/>
      <c r="H20" s="7"/>
      <c r="I20" s="7"/>
      <c r="J20" s="13"/>
      <c r="K20" s="60"/>
      <c r="L20" s="61"/>
      <c r="M20" s="62"/>
      <c r="N20" s="45"/>
      <c r="O20" s="63"/>
      <c r="P20" s="14"/>
      <c r="Q20" s="14"/>
    </row>
    <row r="21" spans="1:17" ht="21.75" customHeight="1" x14ac:dyDescent="0.3">
      <c r="A21" s="72">
        <v>1</v>
      </c>
      <c r="B21" s="73" t="s">
        <v>94</v>
      </c>
      <c r="C21" s="57" t="s">
        <v>95</v>
      </c>
      <c r="D21" s="74">
        <v>1</v>
      </c>
      <c r="E21" s="48">
        <v>5392000</v>
      </c>
      <c r="F21" s="48">
        <f t="shared" ref="F21:F25" si="0">D21*E21</f>
        <v>5392000</v>
      </c>
      <c r="G21" s="7"/>
      <c r="H21" s="7"/>
      <c r="I21" s="7"/>
      <c r="J21" s="13"/>
      <c r="K21" s="13"/>
      <c r="L21" s="14"/>
      <c r="M21" s="14"/>
      <c r="N21" s="14"/>
      <c r="O21" s="14"/>
      <c r="P21" s="14"/>
      <c r="Q21" s="14"/>
    </row>
    <row r="22" spans="1:17" ht="21.75" customHeight="1" x14ac:dyDescent="0.3">
      <c r="A22" s="75">
        <v>2</v>
      </c>
      <c r="B22" s="76" t="s">
        <v>96</v>
      </c>
      <c r="C22" s="57" t="s">
        <v>95</v>
      </c>
      <c r="D22" s="74">
        <v>1</v>
      </c>
      <c r="E22" s="48">
        <v>11624000</v>
      </c>
      <c r="F22" s="48">
        <f t="shared" si="0"/>
        <v>11624000</v>
      </c>
      <c r="G22" s="7"/>
      <c r="H22" s="7"/>
      <c r="I22" s="7"/>
      <c r="J22" s="13"/>
      <c r="K22" s="13"/>
      <c r="L22" s="14"/>
      <c r="M22" s="14"/>
      <c r="N22" s="14"/>
      <c r="O22" s="14"/>
      <c r="P22" s="14"/>
      <c r="Q22" s="14"/>
    </row>
    <row r="23" spans="1:17" ht="21.75" customHeight="1" x14ac:dyDescent="0.3">
      <c r="A23" s="74">
        <v>3</v>
      </c>
      <c r="B23" s="64" t="s">
        <v>97</v>
      </c>
      <c r="C23" s="57" t="s">
        <v>90</v>
      </c>
      <c r="D23" s="74">
        <v>1</v>
      </c>
      <c r="E23" s="48">
        <v>27983000</v>
      </c>
      <c r="F23" s="48">
        <f t="shared" si="0"/>
        <v>27983000</v>
      </c>
      <c r="G23" s="7"/>
      <c r="H23" s="7"/>
      <c r="I23" s="7"/>
      <c r="J23" s="13"/>
      <c r="K23" s="231"/>
      <c r="L23" s="231"/>
      <c r="M23" s="231"/>
      <c r="N23" s="231"/>
      <c r="O23" s="14"/>
      <c r="P23" s="14"/>
      <c r="Q23" s="14"/>
    </row>
    <row r="24" spans="1:17" ht="22.5" customHeight="1" x14ac:dyDescent="0.3">
      <c r="A24" s="74">
        <v>4</v>
      </c>
      <c r="B24" s="64" t="s">
        <v>98</v>
      </c>
      <c r="C24" s="57" t="s">
        <v>95</v>
      </c>
      <c r="D24" s="74">
        <v>1</v>
      </c>
      <c r="E24" s="48">
        <v>7554000</v>
      </c>
      <c r="F24" s="48">
        <f t="shared" si="0"/>
        <v>7554000</v>
      </c>
      <c r="G24" s="77"/>
      <c r="H24" s="7"/>
      <c r="I24" s="7"/>
      <c r="J24" s="13"/>
      <c r="K24" s="50"/>
      <c r="L24" s="51"/>
      <c r="M24" s="52"/>
      <c r="N24" s="53"/>
      <c r="O24" s="62"/>
      <c r="P24" s="62"/>
      <c r="Q24" s="14"/>
    </row>
    <row r="25" spans="1:17" ht="22.5" customHeight="1" x14ac:dyDescent="0.3">
      <c r="A25" s="74">
        <v>5</v>
      </c>
      <c r="B25" s="64" t="s">
        <v>99</v>
      </c>
      <c r="C25" s="57" t="s">
        <v>90</v>
      </c>
      <c r="D25" s="74">
        <v>1</v>
      </c>
      <c r="E25" s="48">
        <v>12550000</v>
      </c>
      <c r="F25" s="48">
        <f t="shared" si="0"/>
        <v>12550000</v>
      </c>
      <c r="G25" s="77"/>
      <c r="H25" s="7"/>
      <c r="I25" s="7"/>
      <c r="J25" s="13"/>
      <c r="K25" s="60"/>
      <c r="L25" s="61"/>
      <c r="M25" s="62"/>
      <c r="N25" s="45"/>
      <c r="O25" s="62"/>
      <c r="P25" s="62"/>
      <c r="Q25" s="14"/>
    </row>
    <row r="26" spans="1:17" ht="40.5" customHeight="1" x14ac:dyDescent="0.3">
      <c r="A26" s="78" t="s">
        <v>100</v>
      </c>
      <c r="B26" s="79" t="s">
        <v>162</v>
      </c>
      <c r="C26" s="80"/>
      <c r="D26" s="80"/>
      <c r="E26" s="80"/>
      <c r="F26" s="81">
        <f>SUM(F27:F29)</f>
        <v>81631000</v>
      </c>
      <c r="G26" s="77"/>
      <c r="H26" s="7"/>
      <c r="I26" s="7"/>
      <c r="J26" s="13"/>
      <c r="K26" s="60"/>
      <c r="L26" s="61"/>
      <c r="M26" s="62"/>
      <c r="N26" s="45"/>
      <c r="O26" s="62"/>
      <c r="P26" s="62"/>
      <c r="Q26" s="14"/>
    </row>
    <row r="27" spans="1:17" ht="22.5" customHeight="1" x14ac:dyDescent="0.3">
      <c r="A27" s="82">
        <v>1</v>
      </c>
      <c r="B27" s="83" t="s">
        <v>94</v>
      </c>
      <c r="C27" s="84" t="s">
        <v>95</v>
      </c>
      <c r="D27" s="75">
        <v>1</v>
      </c>
      <c r="E27" s="48">
        <v>5392000</v>
      </c>
      <c r="F27" s="48">
        <f t="shared" ref="F27:F33" si="1">D27*E27</f>
        <v>5392000</v>
      </c>
      <c r="G27" s="77"/>
      <c r="H27" s="7"/>
      <c r="I27" s="7"/>
      <c r="J27" s="13"/>
      <c r="K27" s="50"/>
      <c r="L27" s="61"/>
      <c r="M27" s="66"/>
      <c r="N27" s="45"/>
      <c r="O27" s="62"/>
      <c r="P27" s="62"/>
      <c r="Q27" s="14"/>
    </row>
    <row r="28" spans="1:17" ht="22.5" customHeight="1" x14ac:dyDescent="0.3">
      <c r="A28" s="75">
        <v>2</v>
      </c>
      <c r="B28" s="76" t="s">
        <v>102</v>
      </c>
      <c r="C28" s="84" t="s">
        <v>90</v>
      </c>
      <c r="D28" s="74">
        <v>1</v>
      </c>
      <c r="E28" s="48">
        <v>50743000</v>
      </c>
      <c r="F28" s="48">
        <f t="shared" si="1"/>
        <v>50743000</v>
      </c>
      <c r="G28" s="77"/>
      <c r="H28" s="7"/>
      <c r="I28" s="7"/>
      <c r="J28" s="13"/>
      <c r="K28" s="60"/>
      <c r="L28" s="61"/>
      <c r="M28" s="62"/>
      <c r="N28" s="45"/>
      <c r="O28" s="62"/>
      <c r="P28" s="62"/>
      <c r="Q28" s="14"/>
    </row>
    <row r="29" spans="1:17" ht="24.75" customHeight="1" x14ac:dyDescent="0.3">
      <c r="A29" s="75">
        <v>3</v>
      </c>
      <c r="B29" s="85" t="s">
        <v>103</v>
      </c>
      <c r="C29" s="84" t="s">
        <v>95</v>
      </c>
      <c r="D29" s="74">
        <v>1</v>
      </c>
      <c r="E29" s="48">
        <v>25496000</v>
      </c>
      <c r="F29" s="48">
        <f t="shared" si="1"/>
        <v>25496000</v>
      </c>
      <c r="G29" s="77"/>
      <c r="H29" s="7"/>
      <c r="I29" s="7"/>
      <c r="J29" s="13"/>
      <c r="K29" s="13"/>
      <c r="L29" s="14"/>
      <c r="M29" s="14"/>
      <c r="N29" s="14"/>
      <c r="O29" s="14"/>
      <c r="P29" s="14"/>
      <c r="Q29" s="14"/>
    </row>
    <row r="30" spans="1:17" ht="35.25" customHeight="1" x14ac:dyDescent="0.3">
      <c r="A30" s="86" t="s">
        <v>104</v>
      </c>
      <c r="B30" s="79" t="s">
        <v>163</v>
      </c>
      <c r="C30" s="84"/>
      <c r="D30" s="74"/>
      <c r="E30" s="77"/>
      <c r="F30" s="87">
        <f>SUM(F31:F33)</f>
        <v>109214000</v>
      </c>
      <c r="G30" s="77"/>
      <c r="H30" s="7"/>
      <c r="I30" s="7"/>
      <c r="J30" s="13"/>
      <c r="K30" s="13"/>
      <c r="L30" s="14"/>
      <c r="M30" s="14"/>
      <c r="N30" s="14"/>
      <c r="O30" s="14"/>
      <c r="P30" s="14"/>
      <c r="Q30" s="14"/>
    </row>
    <row r="31" spans="1:17" ht="22.5" customHeight="1" x14ac:dyDescent="0.3">
      <c r="A31" s="82">
        <v>1</v>
      </c>
      <c r="B31" s="83" t="s">
        <v>94</v>
      </c>
      <c r="C31" s="84" t="s">
        <v>95</v>
      </c>
      <c r="D31" s="75">
        <v>1</v>
      </c>
      <c r="E31" s="48">
        <v>5392000</v>
      </c>
      <c r="F31" s="48">
        <v>5392000</v>
      </c>
      <c r="G31" s="77"/>
      <c r="H31" s="23"/>
      <c r="I31" s="7"/>
      <c r="J31" s="13"/>
      <c r="K31" s="13"/>
      <c r="L31" s="14"/>
      <c r="M31" s="14"/>
      <c r="N31" s="14"/>
      <c r="O31" s="14"/>
      <c r="P31" s="14"/>
      <c r="Q31" s="14"/>
    </row>
    <row r="32" spans="1:17" ht="22.5" customHeight="1" x14ac:dyDescent="0.3">
      <c r="A32" s="74">
        <v>2</v>
      </c>
      <c r="B32" s="64" t="s">
        <v>105</v>
      </c>
      <c r="C32" s="84" t="s">
        <v>106</v>
      </c>
      <c r="D32" s="74">
        <v>1</v>
      </c>
      <c r="E32" s="48">
        <v>45377000</v>
      </c>
      <c r="F32" s="48">
        <f t="shared" si="1"/>
        <v>45377000</v>
      </c>
      <c r="G32" s="77"/>
      <c r="H32" s="7"/>
      <c r="I32" s="7"/>
      <c r="J32" s="13"/>
      <c r="K32" s="13"/>
      <c r="L32" s="14"/>
      <c r="M32" s="14"/>
      <c r="N32" s="14"/>
      <c r="O32" s="14"/>
      <c r="P32" s="14"/>
      <c r="Q32" s="14"/>
    </row>
    <row r="33" spans="1:17" ht="22.5" customHeight="1" x14ac:dyDescent="0.3">
      <c r="A33" s="82">
        <v>3</v>
      </c>
      <c r="B33" s="88" t="s">
        <v>107</v>
      </c>
      <c r="C33" s="84" t="s">
        <v>90</v>
      </c>
      <c r="D33" s="74">
        <v>1</v>
      </c>
      <c r="E33" s="48">
        <v>58445000</v>
      </c>
      <c r="F33" s="48">
        <f t="shared" si="1"/>
        <v>58445000</v>
      </c>
      <c r="G33" s="89"/>
      <c r="H33" s="7"/>
      <c r="I33" s="7"/>
      <c r="J33" s="13"/>
      <c r="K33" s="13"/>
      <c r="L33" s="14"/>
      <c r="M33" s="14"/>
      <c r="N33" s="14"/>
      <c r="O33" s="14"/>
      <c r="P33" s="14"/>
      <c r="Q33" s="14"/>
    </row>
    <row r="34" spans="1:17" ht="33" x14ac:dyDescent="0.3">
      <c r="A34" s="86" t="s">
        <v>108</v>
      </c>
      <c r="B34" s="79" t="s">
        <v>109</v>
      </c>
      <c r="C34" s="84"/>
      <c r="D34" s="74"/>
      <c r="E34" s="90"/>
      <c r="F34" s="87">
        <f>SUM(F35:F37)</f>
        <v>33909000</v>
      </c>
      <c r="G34" s="89"/>
      <c r="H34" s="7"/>
      <c r="I34" s="7"/>
      <c r="J34" s="13"/>
      <c r="K34" s="13"/>
      <c r="L34" s="14"/>
      <c r="M34" s="14"/>
      <c r="N34" s="14"/>
      <c r="O34" s="14"/>
      <c r="P34" s="14"/>
      <c r="Q34" s="14"/>
    </row>
    <row r="35" spans="1:17" ht="24" customHeight="1" x14ac:dyDescent="0.3">
      <c r="A35" s="82">
        <v>1</v>
      </c>
      <c r="B35" s="83" t="s">
        <v>94</v>
      </c>
      <c r="C35" s="84" t="s">
        <v>95</v>
      </c>
      <c r="D35" s="74">
        <v>1</v>
      </c>
      <c r="E35" s="48">
        <v>5392000</v>
      </c>
      <c r="F35" s="48">
        <f t="shared" ref="F35" si="2">E35*D35</f>
        <v>5392000</v>
      </c>
      <c r="G35" s="91"/>
      <c r="H35" s="7"/>
      <c r="I35" s="7"/>
      <c r="J35" s="13"/>
      <c r="K35" s="13"/>
      <c r="L35" s="14"/>
      <c r="M35" s="14"/>
      <c r="N35" s="14"/>
      <c r="O35" s="14"/>
      <c r="P35" s="14"/>
      <c r="Q35" s="14"/>
    </row>
    <row r="36" spans="1:17" ht="24" customHeight="1" x14ac:dyDescent="0.3">
      <c r="A36" s="82">
        <v>2</v>
      </c>
      <c r="B36" s="83" t="s">
        <v>110</v>
      </c>
      <c r="C36" s="84" t="s">
        <v>90</v>
      </c>
      <c r="D36" s="74">
        <v>1</v>
      </c>
      <c r="E36" s="48">
        <v>24020000</v>
      </c>
      <c r="F36" s="48">
        <f>E36*D36</f>
        <v>24020000</v>
      </c>
      <c r="G36" s="89"/>
      <c r="H36" s="7"/>
      <c r="I36" s="7"/>
      <c r="J36" s="13"/>
      <c r="K36" s="13"/>
      <c r="L36" s="14"/>
      <c r="M36" s="14"/>
      <c r="N36" s="14"/>
      <c r="O36" s="14"/>
      <c r="P36" s="14"/>
      <c r="Q36" s="14"/>
    </row>
    <row r="37" spans="1:17" ht="24" customHeight="1" x14ac:dyDescent="0.3">
      <c r="A37" s="82">
        <v>3</v>
      </c>
      <c r="B37" s="83" t="s">
        <v>111</v>
      </c>
      <c r="C37" s="84" t="s">
        <v>90</v>
      </c>
      <c r="D37" s="74">
        <v>1</v>
      </c>
      <c r="E37" s="48">
        <v>4497000</v>
      </c>
      <c r="F37" s="48">
        <f>E37*D37</f>
        <v>4497000</v>
      </c>
      <c r="G37" s="89"/>
      <c r="H37" s="7"/>
      <c r="I37" s="7"/>
      <c r="J37" s="13"/>
      <c r="K37" s="13"/>
      <c r="L37" s="14"/>
      <c r="M37" s="14"/>
      <c r="N37" s="14"/>
      <c r="O37" s="14"/>
      <c r="P37" s="14"/>
      <c r="Q37" s="14"/>
    </row>
    <row r="38" spans="1:17" ht="52.5" customHeight="1" x14ac:dyDescent="0.3">
      <c r="A38" s="86" t="s">
        <v>112</v>
      </c>
      <c r="B38" s="92" t="s">
        <v>113</v>
      </c>
      <c r="C38" s="93"/>
      <c r="D38" s="94"/>
      <c r="E38" s="95"/>
      <c r="F38" s="87">
        <f>SUM(F39:F43)</f>
        <v>66907525</v>
      </c>
      <c r="G38" s="96"/>
      <c r="H38" s="96"/>
      <c r="I38" s="7"/>
      <c r="J38" s="13"/>
      <c r="K38" s="13"/>
      <c r="L38" s="14"/>
      <c r="M38" s="14"/>
      <c r="N38" s="14"/>
      <c r="O38" s="14"/>
      <c r="P38" s="14"/>
      <c r="Q38" s="14"/>
    </row>
    <row r="39" spans="1:17" ht="21" customHeight="1" x14ac:dyDescent="0.2">
      <c r="A39" s="82">
        <v>1</v>
      </c>
      <c r="B39" s="97" t="s">
        <v>114</v>
      </c>
      <c r="C39" s="98" t="s">
        <v>115</v>
      </c>
      <c r="D39" s="99">
        <v>1</v>
      </c>
      <c r="E39" s="58">
        <v>1620850</v>
      </c>
      <c r="F39" s="48">
        <f>D39*E39</f>
        <v>1620850</v>
      </c>
      <c r="G39" s="100"/>
      <c r="H39" s="100"/>
      <c r="I39" s="96"/>
      <c r="J39" s="96"/>
      <c r="K39" s="96"/>
      <c r="L39" s="101"/>
      <c r="M39" s="14"/>
      <c r="N39" s="14"/>
      <c r="O39" s="14"/>
      <c r="P39" s="14"/>
      <c r="Q39" s="14"/>
    </row>
    <row r="40" spans="1:17" ht="39" customHeight="1" x14ac:dyDescent="0.2">
      <c r="A40" s="82">
        <v>2</v>
      </c>
      <c r="B40" s="102" t="s">
        <v>164</v>
      </c>
      <c r="C40" s="98" t="s">
        <v>115</v>
      </c>
      <c r="D40" s="99">
        <v>1</v>
      </c>
      <c r="E40" s="58">
        <v>8104250</v>
      </c>
      <c r="F40" s="48">
        <f>D40*E40</f>
        <v>8104250</v>
      </c>
      <c r="G40" s="100"/>
      <c r="H40" s="100"/>
      <c r="I40" s="96"/>
      <c r="J40" s="96"/>
      <c r="K40" s="96"/>
      <c r="L40" s="101"/>
      <c r="M40" s="14"/>
      <c r="N40" s="14"/>
      <c r="O40" s="14"/>
      <c r="P40" s="14"/>
      <c r="Q40" s="14"/>
    </row>
    <row r="41" spans="1:17" ht="19.5" x14ac:dyDescent="0.3">
      <c r="A41" s="82">
        <v>3</v>
      </c>
      <c r="B41" s="103" t="s">
        <v>165</v>
      </c>
      <c r="C41" s="98" t="s">
        <v>117</v>
      </c>
      <c r="D41" s="99">
        <v>1</v>
      </c>
      <c r="E41" s="58">
        <v>6599175</v>
      </c>
      <c r="F41" s="48">
        <f>D41*E41</f>
        <v>6599175</v>
      </c>
      <c r="G41" s="104"/>
      <c r="H41" s="11"/>
      <c r="I41" s="96"/>
      <c r="J41" s="96"/>
      <c r="K41" s="96"/>
      <c r="L41" s="101"/>
      <c r="M41" s="14"/>
      <c r="N41" s="14"/>
      <c r="O41" s="14"/>
      <c r="P41" s="14"/>
      <c r="Q41" s="14"/>
    </row>
    <row r="42" spans="1:17" ht="36" x14ac:dyDescent="0.3">
      <c r="A42" s="82">
        <v>4</v>
      </c>
      <c r="B42" s="105" t="s">
        <v>166</v>
      </c>
      <c r="C42" s="98" t="s">
        <v>117</v>
      </c>
      <c r="D42" s="99">
        <v>1</v>
      </c>
      <c r="E42" s="58">
        <v>49783250</v>
      </c>
      <c r="F42" s="48">
        <f>D42*E42</f>
        <v>49783250</v>
      </c>
      <c r="G42" s="104"/>
      <c r="H42" s="11"/>
      <c r="I42" s="96"/>
      <c r="J42" s="96"/>
      <c r="K42" s="96"/>
      <c r="L42" s="101"/>
      <c r="M42" s="14"/>
      <c r="N42" s="14"/>
      <c r="O42" s="14"/>
      <c r="P42" s="14"/>
      <c r="Q42" s="14"/>
    </row>
    <row r="43" spans="1:17" ht="17.25" x14ac:dyDescent="0.3">
      <c r="A43" s="82">
        <v>5</v>
      </c>
      <c r="B43" s="105" t="s">
        <v>118</v>
      </c>
      <c r="C43" s="98" t="s">
        <v>119</v>
      </c>
      <c r="D43" s="99">
        <v>2</v>
      </c>
      <c r="E43" s="48">
        <v>400000</v>
      </c>
      <c r="F43" s="106">
        <f>D43*E43</f>
        <v>800000</v>
      </c>
      <c r="G43" s="104"/>
      <c r="H43" s="11"/>
      <c r="I43" s="96"/>
      <c r="J43" s="96"/>
      <c r="K43" s="96"/>
      <c r="L43" s="101"/>
      <c r="M43" s="14"/>
      <c r="N43" s="14"/>
      <c r="O43" s="14"/>
      <c r="P43" s="14"/>
      <c r="Q43" s="14"/>
    </row>
    <row r="44" spans="1:17" ht="37.5" customHeight="1" x14ac:dyDescent="0.3">
      <c r="A44" s="15">
        <v>4</v>
      </c>
      <c r="B44" s="225" t="s">
        <v>120</v>
      </c>
      <c r="C44" s="226"/>
      <c r="D44" s="226"/>
      <c r="E44" s="227"/>
      <c r="F44" s="107">
        <f>SUM(F45:F49)</f>
        <v>67000000</v>
      </c>
      <c r="G44" s="108"/>
      <c r="H44" s="108"/>
      <c r="I44" s="7"/>
      <c r="J44" s="13"/>
      <c r="K44" s="13"/>
      <c r="L44" s="14"/>
      <c r="M44" s="14"/>
      <c r="N44" s="14"/>
      <c r="O44" s="14"/>
      <c r="P44" s="14"/>
      <c r="Q44" s="14"/>
    </row>
    <row r="45" spans="1:17" ht="37.5" customHeight="1" x14ac:dyDescent="0.3">
      <c r="A45" s="55" t="s">
        <v>121</v>
      </c>
      <c r="B45" s="109" t="s">
        <v>122</v>
      </c>
      <c r="C45" s="55" t="s">
        <v>123</v>
      </c>
      <c r="D45" s="55">
        <v>1</v>
      </c>
      <c r="E45" s="58">
        <v>5000000</v>
      </c>
      <c r="F45" s="48">
        <f>D45*E45</f>
        <v>5000000</v>
      </c>
      <c r="G45" s="108"/>
      <c r="H45" s="108"/>
      <c r="I45" s="7"/>
      <c r="J45" s="13"/>
      <c r="K45" s="13"/>
      <c r="L45" s="14"/>
      <c r="M45" s="14"/>
      <c r="N45" s="14"/>
      <c r="O45" s="14"/>
      <c r="P45" s="14"/>
      <c r="Q45" s="14"/>
    </row>
    <row r="46" spans="1:17" ht="33" x14ac:dyDescent="0.3">
      <c r="A46" s="55" t="s">
        <v>124</v>
      </c>
      <c r="B46" s="109" t="s">
        <v>125</v>
      </c>
      <c r="C46" s="55" t="s">
        <v>123</v>
      </c>
      <c r="D46" s="110">
        <v>12</v>
      </c>
      <c r="E46" s="58">
        <v>3000000</v>
      </c>
      <c r="F46" s="48">
        <f>D46*E46</f>
        <v>36000000</v>
      </c>
      <c r="G46" s="111"/>
      <c r="H46" s="7"/>
      <c r="I46" s="7"/>
      <c r="J46" s="13"/>
      <c r="K46" s="13"/>
      <c r="L46" s="14"/>
      <c r="M46" s="14"/>
      <c r="N46" s="14"/>
      <c r="O46" s="14"/>
      <c r="P46" s="14"/>
      <c r="Q46" s="14"/>
    </row>
    <row r="47" spans="1:17" ht="33" x14ac:dyDescent="0.3">
      <c r="A47" s="55" t="s">
        <v>126</v>
      </c>
      <c r="B47" s="109" t="s">
        <v>127</v>
      </c>
      <c r="C47" s="55" t="s">
        <v>123</v>
      </c>
      <c r="D47" s="110">
        <v>1</v>
      </c>
      <c r="E47" s="58">
        <v>10000000</v>
      </c>
      <c r="F47" s="48">
        <f>D47*E47</f>
        <v>10000000</v>
      </c>
      <c r="G47" s="7"/>
      <c r="H47" s="7"/>
      <c r="I47" s="7"/>
      <c r="J47" s="13"/>
      <c r="K47" s="13"/>
      <c r="L47" s="14"/>
      <c r="M47" s="14"/>
      <c r="N47" s="14"/>
      <c r="O47" s="14"/>
      <c r="P47" s="14"/>
      <c r="Q47" s="14"/>
    </row>
    <row r="48" spans="1:17" ht="33" x14ac:dyDescent="0.3">
      <c r="A48" s="65" t="s">
        <v>128</v>
      </c>
      <c r="B48" s="109" t="s">
        <v>129</v>
      </c>
      <c r="C48" s="55" t="s">
        <v>123</v>
      </c>
      <c r="D48" s="110">
        <v>1</v>
      </c>
      <c r="E48" s="58">
        <v>8000000</v>
      </c>
      <c r="F48" s="48">
        <f>D48*E48</f>
        <v>8000000</v>
      </c>
      <c r="G48" s="7"/>
      <c r="H48" s="7"/>
      <c r="I48" s="7"/>
      <c r="J48" s="13"/>
      <c r="K48" s="13"/>
      <c r="L48" s="14"/>
      <c r="M48" s="14"/>
      <c r="N48" s="14"/>
      <c r="O48" s="14"/>
      <c r="P48" s="14"/>
      <c r="Q48" s="14"/>
    </row>
    <row r="49" spans="1:17" ht="17.25" x14ac:dyDescent="0.3">
      <c r="A49" s="65" t="s">
        <v>130</v>
      </c>
      <c r="B49" s="109" t="s">
        <v>131</v>
      </c>
      <c r="C49" s="55" t="s">
        <v>123</v>
      </c>
      <c r="D49" s="110">
        <v>1</v>
      </c>
      <c r="E49" s="58">
        <v>8000000</v>
      </c>
      <c r="F49" s="48">
        <f>D49*E49</f>
        <v>8000000</v>
      </c>
      <c r="G49" s="7"/>
      <c r="H49" s="7"/>
      <c r="I49" s="7"/>
      <c r="J49" s="13"/>
      <c r="K49" s="13"/>
      <c r="L49" s="14"/>
      <c r="M49" s="14"/>
      <c r="N49" s="14"/>
      <c r="O49" s="14"/>
      <c r="P49" s="14"/>
      <c r="Q49" s="14"/>
    </row>
    <row r="50" spans="1:17" ht="24.75" customHeight="1" x14ac:dyDescent="0.3">
      <c r="A50" s="15">
        <v>5</v>
      </c>
      <c r="B50" s="112" t="s">
        <v>132</v>
      </c>
      <c r="C50" s="113" t="s">
        <v>133</v>
      </c>
      <c r="D50" s="113">
        <v>1</v>
      </c>
      <c r="E50" s="114">
        <v>1500000</v>
      </c>
      <c r="F50" s="115">
        <f>E50*D50</f>
        <v>1500000</v>
      </c>
      <c r="G50" s="7"/>
      <c r="H50" s="7"/>
      <c r="I50" s="7"/>
      <c r="J50" s="7"/>
      <c r="K50" s="7"/>
    </row>
    <row r="51" spans="1:17" ht="38.25" customHeight="1" x14ac:dyDescent="0.3">
      <c r="A51" s="15">
        <v>6</v>
      </c>
      <c r="B51" s="116" t="s">
        <v>134</v>
      </c>
      <c r="C51" s="55"/>
      <c r="D51" s="117"/>
      <c r="E51" s="58"/>
      <c r="F51" s="25">
        <v>4000000</v>
      </c>
      <c r="G51" s="7"/>
      <c r="H51" s="7"/>
      <c r="I51" s="7"/>
      <c r="J51" s="7"/>
      <c r="K51" s="7"/>
    </row>
    <row r="52" spans="1:17" ht="21" customHeight="1" x14ac:dyDescent="0.3">
      <c r="A52" s="15">
        <v>7</v>
      </c>
      <c r="B52" s="225" t="s">
        <v>135</v>
      </c>
      <c r="C52" s="226"/>
      <c r="D52" s="226"/>
      <c r="E52" s="227"/>
      <c r="F52" s="25">
        <f>SUM(F53:F58)</f>
        <v>5778000</v>
      </c>
      <c r="G52" s="7"/>
      <c r="H52" s="7"/>
      <c r="I52" s="7"/>
      <c r="J52" s="7"/>
      <c r="K52" s="7"/>
    </row>
    <row r="53" spans="1:17" ht="17.25" x14ac:dyDescent="0.3">
      <c r="A53" s="118"/>
      <c r="B53" s="119" t="s">
        <v>136</v>
      </c>
      <c r="C53" s="55" t="s">
        <v>137</v>
      </c>
      <c r="D53" s="110">
        <v>1</v>
      </c>
      <c r="E53" s="58">
        <v>400000</v>
      </c>
      <c r="F53" s="48">
        <f>D53*E53</f>
        <v>400000</v>
      </c>
      <c r="G53" s="7"/>
      <c r="H53" s="7"/>
      <c r="I53" s="7"/>
      <c r="J53" s="7"/>
      <c r="K53" s="7"/>
    </row>
    <row r="54" spans="1:17" ht="17.25" x14ac:dyDescent="0.3">
      <c r="A54" s="29"/>
      <c r="B54" s="119" t="s">
        <v>138</v>
      </c>
      <c r="C54" s="55" t="s">
        <v>137</v>
      </c>
      <c r="D54" s="110">
        <v>4</v>
      </c>
      <c r="E54" s="58">
        <v>300000</v>
      </c>
      <c r="F54" s="48">
        <f>D54*E54</f>
        <v>1200000</v>
      </c>
      <c r="G54" s="7"/>
      <c r="H54" s="120"/>
      <c r="I54" s="120"/>
      <c r="J54" s="120"/>
      <c r="K54" s="7"/>
    </row>
    <row r="55" spans="1:17" ht="17.25" x14ac:dyDescent="0.3">
      <c r="A55" s="29"/>
      <c r="B55" s="119" t="s">
        <v>139</v>
      </c>
      <c r="C55" s="55" t="s">
        <v>140</v>
      </c>
      <c r="D55" s="110">
        <v>5</v>
      </c>
      <c r="E55" s="58">
        <v>300000</v>
      </c>
      <c r="F55" s="48">
        <f>D55*E55</f>
        <v>1500000</v>
      </c>
      <c r="G55" s="7"/>
      <c r="H55" s="120"/>
      <c r="I55" s="120"/>
      <c r="J55" s="120"/>
      <c r="K55" s="7"/>
    </row>
    <row r="56" spans="1:17" ht="17.25" x14ac:dyDescent="0.3">
      <c r="A56" s="29"/>
      <c r="B56" s="119" t="s">
        <v>141</v>
      </c>
      <c r="C56" s="55" t="s">
        <v>137</v>
      </c>
      <c r="D56" s="110">
        <v>10</v>
      </c>
      <c r="E56" s="58">
        <v>70000</v>
      </c>
      <c r="F56" s="48">
        <f>D56*E56</f>
        <v>700000</v>
      </c>
      <c r="G56" s="7"/>
      <c r="H56" s="120"/>
      <c r="I56" s="120"/>
      <c r="J56" s="120"/>
      <c r="K56" s="7"/>
    </row>
    <row r="57" spans="1:17" ht="17.25" x14ac:dyDescent="0.3">
      <c r="A57" s="29"/>
      <c r="B57" s="119" t="s">
        <v>142</v>
      </c>
      <c r="C57" s="55" t="s">
        <v>137</v>
      </c>
      <c r="D57" s="110">
        <v>15</v>
      </c>
      <c r="E57" s="58">
        <v>15000</v>
      </c>
      <c r="F57" s="48">
        <f>D57*E57</f>
        <v>225000</v>
      </c>
      <c r="G57" s="7"/>
      <c r="H57" s="120"/>
      <c r="I57" s="120"/>
      <c r="J57" s="120"/>
      <c r="K57" s="7"/>
    </row>
    <row r="58" spans="1:17" ht="17.25" x14ac:dyDescent="0.3">
      <c r="A58" s="121"/>
      <c r="B58" s="119" t="s">
        <v>143</v>
      </c>
      <c r="C58" s="55"/>
      <c r="D58" s="110"/>
      <c r="E58" s="58"/>
      <c r="F58" s="58">
        <v>1753000</v>
      </c>
      <c r="G58" s="7"/>
      <c r="H58" s="120"/>
      <c r="I58" s="120"/>
      <c r="J58" s="120"/>
      <c r="K58" s="7"/>
    </row>
    <row r="59" spans="1:17" ht="17.25" x14ac:dyDescent="0.3">
      <c r="A59" s="122" t="s">
        <v>144</v>
      </c>
      <c r="B59" s="123" t="s">
        <v>145</v>
      </c>
      <c r="C59" s="55"/>
      <c r="D59" s="110"/>
      <c r="E59" s="58"/>
      <c r="F59" s="71">
        <f>2850000</f>
        <v>2850000</v>
      </c>
      <c r="G59" s="7"/>
      <c r="H59" s="120"/>
      <c r="I59" s="120"/>
      <c r="J59" s="120"/>
      <c r="K59" s="7"/>
    </row>
    <row r="60" spans="1:17" ht="17.25" x14ac:dyDescent="0.3">
      <c r="A60" s="15" t="s">
        <v>146</v>
      </c>
      <c r="B60" s="225" t="s">
        <v>147</v>
      </c>
      <c r="C60" s="226"/>
      <c r="D60" s="226"/>
      <c r="E60" s="227"/>
      <c r="F60" s="115">
        <f>G64-193</f>
        <v>-193</v>
      </c>
      <c r="G60" s="7"/>
      <c r="H60" s="7"/>
      <c r="I60" s="7"/>
      <c r="J60" s="7"/>
      <c r="K60" s="7"/>
    </row>
    <row r="61" spans="1:17" ht="17.25" x14ac:dyDescent="0.3">
      <c r="A61" s="70" t="s">
        <v>148</v>
      </c>
      <c r="B61" s="225" t="s">
        <v>149</v>
      </c>
      <c r="C61" s="226"/>
      <c r="D61" s="226"/>
      <c r="E61" s="227"/>
      <c r="F61" s="71">
        <f>F60+F7</f>
        <v>567358360</v>
      </c>
      <c r="G61" s="23"/>
      <c r="H61" s="124"/>
      <c r="I61" s="7"/>
      <c r="J61" s="7"/>
      <c r="K61" s="7"/>
    </row>
    <row r="62" spans="1:17" ht="17.25" x14ac:dyDescent="0.3">
      <c r="A62" s="125"/>
      <c r="B62" s="126" t="s">
        <v>150</v>
      </c>
      <c r="C62" s="126"/>
      <c r="D62" s="126"/>
      <c r="E62" s="126"/>
      <c r="F62" s="71">
        <v>600000000</v>
      </c>
      <c r="G62" s="23"/>
      <c r="H62" s="7"/>
      <c r="I62" s="7"/>
      <c r="J62" s="7"/>
      <c r="K62" s="7"/>
    </row>
    <row r="63" spans="1:17" ht="17.25" x14ac:dyDescent="0.3">
      <c r="A63" s="127"/>
      <c r="B63" s="228" t="s">
        <v>151</v>
      </c>
      <c r="C63" s="228"/>
      <c r="D63" s="228"/>
      <c r="E63" s="228"/>
      <c r="F63" s="228"/>
      <c r="G63" s="7"/>
      <c r="H63" s="7"/>
      <c r="I63" s="7"/>
      <c r="J63" s="7"/>
      <c r="K63" s="7"/>
    </row>
    <row r="64" spans="1:17" ht="17.25" x14ac:dyDescent="0.3">
      <c r="A64" s="128"/>
      <c r="B64" s="129"/>
      <c r="C64" s="229" t="s">
        <v>152</v>
      </c>
      <c r="D64" s="229"/>
      <c r="E64" s="229"/>
      <c r="F64" s="229"/>
      <c r="G64" s="130"/>
      <c r="H64" s="7"/>
      <c r="I64" s="7"/>
      <c r="J64" s="7"/>
      <c r="K64" s="7"/>
    </row>
    <row r="65" spans="1:11" ht="17.25" x14ac:dyDescent="0.3">
      <c r="A65" s="128"/>
      <c r="B65" s="131" t="s">
        <v>153</v>
      </c>
      <c r="C65" s="230" t="s">
        <v>154</v>
      </c>
      <c r="D65" s="230"/>
      <c r="E65" s="230"/>
      <c r="F65" s="230"/>
      <c r="G65" s="130"/>
      <c r="H65" s="7"/>
      <c r="I65" s="7"/>
      <c r="J65" s="7"/>
      <c r="K65" s="7"/>
    </row>
    <row r="66" spans="1:11" ht="17.25" x14ac:dyDescent="0.3">
      <c r="A66" s="7"/>
      <c r="B66" s="132" t="s">
        <v>155</v>
      </c>
      <c r="C66" s="233" t="s">
        <v>156</v>
      </c>
      <c r="D66" s="233"/>
      <c r="E66" s="233" t="s">
        <v>157</v>
      </c>
      <c r="F66" s="233"/>
      <c r="G66" s="7"/>
      <c r="H66" s="23"/>
      <c r="I66" s="7"/>
      <c r="J66" s="7"/>
      <c r="K66" s="7"/>
    </row>
    <row r="67" spans="1:11" ht="18.75" x14ac:dyDescent="0.3">
      <c r="B67" s="133"/>
      <c r="C67" s="134"/>
      <c r="D67" s="134"/>
      <c r="F67" s="134"/>
      <c r="G67" s="7"/>
      <c r="H67" s="124"/>
      <c r="I67" s="7"/>
      <c r="J67" s="7"/>
      <c r="K67" s="7"/>
    </row>
    <row r="68" spans="1:11" ht="18.75" x14ac:dyDescent="0.3">
      <c r="B68" s="133"/>
      <c r="C68" s="134"/>
      <c r="D68" s="134"/>
      <c r="F68" s="134"/>
      <c r="G68" s="7"/>
      <c r="H68" s="7"/>
      <c r="I68" s="7"/>
      <c r="J68" s="7"/>
      <c r="K68" s="7"/>
    </row>
    <row r="69" spans="1:11" ht="18.75" x14ac:dyDescent="0.3">
      <c r="B69" s="133"/>
      <c r="C69" s="134"/>
      <c r="D69" s="134"/>
      <c r="F69" s="134"/>
      <c r="G69" s="7"/>
      <c r="H69" s="7"/>
      <c r="I69" s="7"/>
      <c r="J69" s="7"/>
      <c r="K69" s="7"/>
    </row>
    <row r="70" spans="1:11" ht="18.75" x14ac:dyDescent="0.2">
      <c r="B70" s="133"/>
      <c r="C70" s="134"/>
      <c r="D70" s="134"/>
      <c r="F70" s="134"/>
    </row>
    <row r="71" spans="1:11" ht="18.75" x14ac:dyDescent="0.2">
      <c r="B71" s="133" t="s">
        <v>158</v>
      </c>
      <c r="C71" s="224" t="s">
        <v>159</v>
      </c>
      <c r="D71" s="224"/>
      <c r="E71" s="224" t="s">
        <v>160</v>
      </c>
      <c r="F71" s="224"/>
    </row>
  </sheetData>
  <mergeCells count="22">
    <mergeCell ref="B7:E7"/>
    <mergeCell ref="B8:E8"/>
    <mergeCell ref="A1:F1"/>
    <mergeCell ref="A2:F2"/>
    <mergeCell ref="A3:C3"/>
    <mergeCell ref="A4:F4"/>
    <mergeCell ref="E5:F5"/>
    <mergeCell ref="K11:N11"/>
    <mergeCell ref="B14:E14"/>
    <mergeCell ref="B19:E19"/>
    <mergeCell ref="K23:N23"/>
    <mergeCell ref="C66:D66"/>
    <mergeCell ref="E66:F66"/>
    <mergeCell ref="B44:E44"/>
    <mergeCell ref="C71:D71"/>
    <mergeCell ref="E71:F71"/>
    <mergeCell ref="B52:E52"/>
    <mergeCell ref="B60:E60"/>
    <mergeCell ref="B61:E61"/>
    <mergeCell ref="B63:F63"/>
    <mergeCell ref="C64:F64"/>
    <mergeCell ref="C65:F6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selection activeCell="L7" sqref="L7"/>
    </sheetView>
  </sheetViews>
  <sheetFormatPr defaultRowHeight="14.25" x14ac:dyDescent="0.2"/>
  <cols>
    <col min="2" max="2" width="35.75" customWidth="1"/>
    <col min="4" max="4" width="10.875" customWidth="1"/>
    <col min="5" max="5" width="14.125" customWidth="1"/>
    <col min="6" max="6" width="15.125" customWidth="1"/>
    <col min="7" max="7" width="16" customWidth="1"/>
    <col min="8" max="8" width="20.375" customWidth="1"/>
  </cols>
  <sheetData>
    <row r="1" spans="1:8" x14ac:dyDescent="0.2">
      <c r="B1" s="239" t="s">
        <v>177</v>
      </c>
      <c r="C1" s="239"/>
      <c r="D1" s="239"/>
      <c r="E1" s="239"/>
      <c r="F1" s="239"/>
      <c r="G1" s="239"/>
      <c r="H1" s="239"/>
    </row>
    <row r="2" spans="1:8" x14ac:dyDescent="0.2">
      <c r="B2" s="239"/>
      <c r="C2" s="239"/>
      <c r="D2" s="239"/>
      <c r="E2" s="239"/>
      <c r="F2" s="239"/>
      <c r="G2" s="239"/>
      <c r="H2" s="239"/>
    </row>
    <row r="4" spans="1:8" ht="33.75" customHeight="1" x14ac:dyDescent="0.2">
      <c r="F4" s="145">
        <v>2013</v>
      </c>
      <c r="G4" s="145">
        <v>2014</v>
      </c>
      <c r="H4" s="145" t="s">
        <v>178</v>
      </c>
    </row>
    <row r="5" spans="1:8" ht="48" customHeight="1" x14ac:dyDescent="0.2">
      <c r="A5" s="15">
        <v>3</v>
      </c>
      <c r="B5" s="225" t="s">
        <v>171</v>
      </c>
      <c r="C5" s="226"/>
      <c r="D5" s="226"/>
      <c r="E5" s="227"/>
      <c r="F5" s="25">
        <f>F6+F12+F27+F18+F23</f>
        <v>340786000</v>
      </c>
      <c r="G5" s="25">
        <f>G6+G12+G27+G18+G23</f>
        <v>441819000</v>
      </c>
    </row>
    <row r="6" spans="1:8" ht="48" customHeight="1" x14ac:dyDescent="0.2">
      <c r="A6" s="67" t="s">
        <v>92</v>
      </c>
      <c r="B6" s="68" t="s">
        <v>93</v>
      </c>
      <c r="C6" s="69"/>
      <c r="D6" s="70"/>
      <c r="E6" s="71"/>
      <c r="F6" s="41">
        <f>SUM(F7:F11)</f>
        <v>56640000</v>
      </c>
      <c r="G6" s="41">
        <f>SUM(G7:G11)</f>
        <v>65103000</v>
      </c>
    </row>
    <row r="7" spans="1:8" ht="39.75" customHeight="1" x14ac:dyDescent="0.2">
      <c r="A7" s="72">
        <v>1</v>
      </c>
      <c r="B7" s="73" t="s">
        <v>94</v>
      </c>
      <c r="C7" s="57" t="s">
        <v>95</v>
      </c>
      <c r="D7" s="74">
        <v>1</v>
      </c>
      <c r="E7" s="90">
        <v>4975000</v>
      </c>
      <c r="F7" s="48">
        <f t="shared" ref="F7:F11" si="0">D7*E7</f>
        <v>4975000</v>
      </c>
      <c r="G7" s="48">
        <v>5392000</v>
      </c>
      <c r="H7" s="146">
        <f>(G7-F7)/F7*100</f>
        <v>8.3819095477386938</v>
      </c>
    </row>
    <row r="8" spans="1:8" ht="39.75" customHeight="1" x14ac:dyDescent="0.2">
      <c r="A8" s="75">
        <v>2</v>
      </c>
      <c r="B8" s="76" t="s">
        <v>96</v>
      </c>
      <c r="C8" s="57" t="s">
        <v>95</v>
      </c>
      <c r="D8" s="74">
        <v>1</v>
      </c>
      <c r="E8" s="90">
        <v>10181000</v>
      </c>
      <c r="F8" s="48">
        <f t="shared" si="0"/>
        <v>10181000</v>
      </c>
      <c r="G8" s="48">
        <v>11624000</v>
      </c>
      <c r="H8" s="146">
        <f t="shared" ref="H8:H30" si="1">(G8-F8)/F8*100</f>
        <v>14.173460367350948</v>
      </c>
    </row>
    <row r="9" spans="1:8" ht="39.75" customHeight="1" x14ac:dyDescent="0.2">
      <c r="A9" s="74">
        <v>3</v>
      </c>
      <c r="B9" s="64" t="s">
        <v>97</v>
      </c>
      <c r="C9" s="57" t="s">
        <v>90</v>
      </c>
      <c r="D9" s="74">
        <v>1</v>
      </c>
      <c r="E9" s="90">
        <v>24670000</v>
      </c>
      <c r="F9" s="48">
        <f t="shared" si="0"/>
        <v>24670000</v>
      </c>
      <c r="G9" s="48">
        <v>27983000</v>
      </c>
      <c r="H9" s="146">
        <f t="shared" si="1"/>
        <v>13.42926631536279</v>
      </c>
    </row>
    <row r="10" spans="1:8" ht="39.75" customHeight="1" x14ac:dyDescent="0.2">
      <c r="A10" s="74">
        <v>5</v>
      </c>
      <c r="B10" s="64" t="s">
        <v>98</v>
      </c>
      <c r="C10" s="57" t="s">
        <v>95</v>
      </c>
      <c r="D10" s="74">
        <v>1</v>
      </c>
      <c r="E10" s="90">
        <v>6334000</v>
      </c>
      <c r="F10" s="48">
        <f t="shared" si="0"/>
        <v>6334000</v>
      </c>
      <c r="G10" s="48">
        <v>7554000</v>
      </c>
      <c r="H10" s="146">
        <f t="shared" si="1"/>
        <v>19.261130407325545</v>
      </c>
    </row>
    <row r="11" spans="1:8" ht="39.75" customHeight="1" x14ac:dyDescent="0.2">
      <c r="A11" s="74">
        <v>6</v>
      </c>
      <c r="B11" s="64" t="s">
        <v>99</v>
      </c>
      <c r="C11" s="57" t="s">
        <v>90</v>
      </c>
      <c r="D11" s="74">
        <v>1</v>
      </c>
      <c r="E11" s="90">
        <v>10480000</v>
      </c>
      <c r="F11" s="48">
        <f t="shared" si="0"/>
        <v>10480000</v>
      </c>
      <c r="G11" s="48">
        <v>12550000</v>
      </c>
      <c r="H11" s="146">
        <f t="shared" si="1"/>
        <v>19.751908396946565</v>
      </c>
    </row>
    <row r="12" spans="1:8" ht="39.75" customHeight="1" x14ac:dyDescent="0.2">
      <c r="A12" s="78" t="s">
        <v>100</v>
      </c>
      <c r="B12" s="79" t="s">
        <v>101</v>
      </c>
      <c r="C12" s="80"/>
      <c r="D12" s="80"/>
      <c r="E12" s="80"/>
      <c r="F12" s="81">
        <f>SUM(F13:F17)</f>
        <v>71957000</v>
      </c>
      <c r="G12" s="81">
        <f>SUM(G13:G17)</f>
        <v>88052000</v>
      </c>
      <c r="H12" s="146"/>
    </row>
    <row r="13" spans="1:8" ht="39.75" customHeight="1" x14ac:dyDescent="0.2">
      <c r="A13" s="82">
        <v>1</v>
      </c>
      <c r="B13" s="83" t="s">
        <v>94</v>
      </c>
      <c r="C13" s="84" t="s">
        <v>95</v>
      </c>
      <c r="D13" s="75">
        <v>1</v>
      </c>
      <c r="E13" s="90">
        <v>4975000</v>
      </c>
      <c r="F13" s="48">
        <f t="shared" ref="F13:F22" si="2">D13*E13</f>
        <v>4975000</v>
      </c>
      <c r="G13" s="48">
        <v>5392000</v>
      </c>
      <c r="H13" s="146">
        <f t="shared" si="1"/>
        <v>8.3819095477386938</v>
      </c>
    </row>
    <row r="14" spans="1:8" ht="39.75" customHeight="1" x14ac:dyDescent="0.2">
      <c r="A14" s="75">
        <v>2</v>
      </c>
      <c r="B14" s="76" t="s">
        <v>102</v>
      </c>
      <c r="C14" s="84" t="s">
        <v>90</v>
      </c>
      <c r="D14" s="74">
        <v>1</v>
      </c>
      <c r="E14" s="90">
        <v>40977000</v>
      </c>
      <c r="F14" s="48">
        <f t="shared" si="2"/>
        <v>40977000</v>
      </c>
      <c r="G14" s="48">
        <v>50743000</v>
      </c>
      <c r="H14" s="146">
        <f t="shared" si="1"/>
        <v>23.832881860555922</v>
      </c>
    </row>
    <row r="15" spans="1:8" ht="39.75" customHeight="1" x14ac:dyDescent="0.2">
      <c r="A15" s="75">
        <v>3</v>
      </c>
      <c r="B15" s="76" t="s">
        <v>14</v>
      </c>
      <c r="C15" s="84" t="s">
        <v>90</v>
      </c>
      <c r="D15" s="74">
        <v>1</v>
      </c>
      <c r="E15" s="90">
        <v>2257000</v>
      </c>
      <c r="F15" s="48">
        <f t="shared" si="2"/>
        <v>2257000</v>
      </c>
      <c r="G15" s="48">
        <v>3035000</v>
      </c>
      <c r="H15" s="146">
        <f t="shared" si="1"/>
        <v>34.470536109880371</v>
      </c>
    </row>
    <row r="16" spans="1:8" ht="39.75" customHeight="1" x14ac:dyDescent="0.2">
      <c r="A16" s="75">
        <v>4</v>
      </c>
      <c r="B16" s="76" t="s">
        <v>11</v>
      </c>
      <c r="C16" s="84" t="s">
        <v>90</v>
      </c>
      <c r="D16" s="74">
        <v>1</v>
      </c>
      <c r="E16" s="90">
        <v>2534000</v>
      </c>
      <c r="F16" s="48">
        <f t="shared" si="2"/>
        <v>2534000</v>
      </c>
      <c r="G16" s="48">
        <v>3386000</v>
      </c>
      <c r="H16" s="146">
        <f t="shared" si="1"/>
        <v>33.622730860299924</v>
      </c>
    </row>
    <row r="17" spans="1:8" ht="39.75" customHeight="1" x14ac:dyDescent="0.2">
      <c r="A17" s="75">
        <v>5</v>
      </c>
      <c r="B17" s="85" t="s">
        <v>103</v>
      </c>
      <c r="C17" s="84" t="s">
        <v>95</v>
      </c>
      <c r="D17" s="74">
        <v>1</v>
      </c>
      <c r="E17" s="90">
        <v>21214000</v>
      </c>
      <c r="F17" s="48">
        <f t="shared" si="2"/>
        <v>21214000</v>
      </c>
      <c r="G17" s="48">
        <v>25496000</v>
      </c>
      <c r="H17" s="146">
        <f t="shared" si="1"/>
        <v>20.184783633449609</v>
      </c>
    </row>
    <row r="18" spans="1:8" ht="39.75" customHeight="1" x14ac:dyDescent="0.2">
      <c r="A18" s="86" t="s">
        <v>104</v>
      </c>
      <c r="B18" s="79" t="s">
        <v>172</v>
      </c>
      <c r="C18" s="84"/>
      <c r="D18" s="74"/>
      <c r="E18" s="77"/>
      <c r="F18" s="87">
        <f>SUM(F19:F22)</f>
        <v>103376000</v>
      </c>
      <c r="G18" s="87">
        <f>SUM(G19:G22)</f>
        <v>113711000</v>
      </c>
      <c r="H18" s="146"/>
    </row>
    <row r="19" spans="1:8" ht="39.75" customHeight="1" x14ac:dyDescent="0.2">
      <c r="A19" s="82">
        <v>1</v>
      </c>
      <c r="B19" s="83" t="s">
        <v>94</v>
      </c>
      <c r="C19" s="84" t="s">
        <v>95</v>
      </c>
      <c r="D19" s="75">
        <v>1</v>
      </c>
      <c r="E19" s="90">
        <v>4975000</v>
      </c>
      <c r="F19" s="48">
        <f t="shared" si="2"/>
        <v>4975000</v>
      </c>
      <c r="G19" s="48">
        <v>5392000</v>
      </c>
      <c r="H19" s="146">
        <f t="shared" si="1"/>
        <v>8.3819095477386938</v>
      </c>
    </row>
    <row r="20" spans="1:8" ht="39.75" customHeight="1" x14ac:dyDescent="0.2">
      <c r="A20" s="74">
        <v>2</v>
      </c>
      <c r="B20" s="64" t="s">
        <v>105</v>
      </c>
      <c r="C20" s="84" t="s">
        <v>106</v>
      </c>
      <c r="D20" s="74">
        <v>1</v>
      </c>
      <c r="E20" s="90">
        <v>41392000</v>
      </c>
      <c r="F20" s="48">
        <f t="shared" si="2"/>
        <v>41392000</v>
      </c>
      <c r="G20" s="48">
        <v>45377000</v>
      </c>
      <c r="H20" s="146">
        <f t="shared" si="1"/>
        <v>9.627464244298416</v>
      </c>
    </row>
    <row r="21" spans="1:8" ht="39.75" customHeight="1" x14ac:dyDescent="0.2">
      <c r="A21" s="74">
        <v>3</v>
      </c>
      <c r="B21" s="64" t="s">
        <v>173</v>
      </c>
      <c r="C21" s="84" t="s">
        <v>95</v>
      </c>
      <c r="D21" s="74">
        <v>1</v>
      </c>
      <c r="E21" s="90">
        <v>4215000</v>
      </c>
      <c r="F21" s="48">
        <f t="shared" si="2"/>
        <v>4215000</v>
      </c>
      <c r="G21" s="48">
        <v>4497000</v>
      </c>
      <c r="H21" s="146">
        <f t="shared" si="1"/>
        <v>6.6903914590747338</v>
      </c>
    </row>
    <row r="22" spans="1:8" ht="39.75" customHeight="1" x14ac:dyDescent="0.2">
      <c r="A22" s="82">
        <v>4</v>
      </c>
      <c r="B22" s="88" t="s">
        <v>107</v>
      </c>
      <c r="C22" s="84" t="s">
        <v>90</v>
      </c>
      <c r="D22" s="74">
        <v>1</v>
      </c>
      <c r="E22" s="90">
        <v>52794000</v>
      </c>
      <c r="F22" s="48">
        <f t="shared" si="2"/>
        <v>52794000</v>
      </c>
      <c r="G22" s="48">
        <v>58445000</v>
      </c>
      <c r="H22" s="146">
        <f t="shared" si="1"/>
        <v>10.703867863772398</v>
      </c>
    </row>
    <row r="23" spans="1:8" ht="39.75" customHeight="1" x14ac:dyDescent="0.2">
      <c r="A23" s="86" t="s">
        <v>108</v>
      </c>
      <c r="B23" s="79" t="s">
        <v>109</v>
      </c>
      <c r="C23" s="84"/>
      <c r="D23" s="74"/>
      <c r="E23" s="90"/>
      <c r="F23" s="87">
        <f>SUM(F24:F26)</f>
        <v>39019000</v>
      </c>
      <c r="G23" s="87">
        <f>SUM(G24:G26)</f>
        <v>42745000</v>
      </c>
      <c r="H23" s="146"/>
    </row>
    <row r="24" spans="1:8" ht="39.75" customHeight="1" x14ac:dyDescent="0.2">
      <c r="A24" s="82">
        <v>1</v>
      </c>
      <c r="B24" s="83" t="s">
        <v>94</v>
      </c>
      <c r="C24" s="84" t="s">
        <v>95</v>
      </c>
      <c r="D24" s="74">
        <v>1</v>
      </c>
      <c r="E24" s="90">
        <v>4975000</v>
      </c>
      <c r="F24" s="48">
        <f t="shared" ref="F24:F25" si="3">E24*D24</f>
        <v>4975000</v>
      </c>
      <c r="G24" s="48">
        <v>5392000</v>
      </c>
      <c r="H24" s="146">
        <f t="shared" si="1"/>
        <v>8.3819095477386938</v>
      </c>
    </row>
    <row r="25" spans="1:8" ht="39.75" customHeight="1" x14ac:dyDescent="0.2">
      <c r="A25" s="82">
        <v>2</v>
      </c>
      <c r="B25" s="83" t="s">
        <v>14</v>
      </c>
      <c r="C25" s="84" t="s">
        <v>90</v>
      </c>
      <c r="D25" s="74">
        <v>1</v>
      </c>
      <c r="E25" s="90">
        <v>12139000</v>
      </c>
      <c r="F25" s="48">
        <f t="shared" si="3"/>
        <v>12139000</v>
      </c>
      <c r="G25" s="48">
        <v>13333000</v>
      </c>
      <c r="H25" s="146">
        <f t="shared" si="1"/>
        <v>9.8360655737704921</v>
      </c>
    </row>
    <row r="26" spans="1:8" ht="39.75" customHeight="1" x14ac:dyDescent="0.2">
      <c r="A26" s="82">
        <v>3</v>
      </c>
      <c r="B26" s="83" t="s">
        <v>110</v>
      </c>
      <c r="C26" s="84" t="s">
        <v>90</v>
      </c>
      <c r="D26" s="74">
        <v>1</v>
      </c>
      <c r="E26" s="90">
        <v>21905000</v>
      </c>
      <c r="F26" s="48">
        <f>E26*D26</f>
        <v>21905000</v>
      </c>
      <c r="G26" s="48">
        <v>24020000</v>
      </c>
      <c r="H26" s="146">
        <f t="shared" si="1"/>
        <v>9.6553298333713755</v>
      </c>
    </row>
    <row r="27" spans="1:8" ht="39.75" customHeight="1" x14ac:dyDescent="0.2">
      <c r="A27" s="86" t="s">
        <v>112</v>
      </c>
      <c r="B27" s="92" t="s">
        <v>113</v>
      </c>
      <c r="C27" s="93"/>
      <c r="D27" s="94"/>
      <c r="E27" s="95"/>
      <c r="F27" s="147">
        <f>SUM(F28:F30)</f>
        <v>69794000</v>
      </c>
      <c r="G27" s="147">
        <f>SUM(G28:G31)</f>
        <v>132208000</v>
      </c>
      <c r="H27" s="146"/>
    </row>
    <row r="28" spans="1:8" ht="39.75" customHeight="1" x14ac:dyDescent="0.2">
      <c r="A28" s="82">
        <v>1</v>
      </c>
      <c r="B28" s="97" t="s">
        <v>174</v>
      </c>
      <c r="C28" s="98" t="s">
        <v>115</v>
      </c>
      <c r="D28" s="99">
        <v>1</v>
      </c>
      <c r="E28" s="108">
        <v>18082000</v>
      </c>
      <c r="F28" s="148">
        <f>D28*E28</f>
        <v>18082000</v>
      </c>
      <c r="G28" s="58">
        <v>17599000</v>
      </c>
      <c r="H28" s="146">
        <f t="shared" si="1"/>
        <v>-2.6711646941709986</v>
      </c>
    </row>
    <row r="29" spans="1:8" ht="39.75" customHeight="1" x14ac:dyDescent="0.2">
      <c r="A29" s="82">
        <v>2</v>
      </c>
      <c r="B29" s="102" t="s">
        <v>116</v>
      </c>
      <c r="C29" s="98" t="s">
        <v>115</v>
      </c>
      <c r="D29" s="99">
        <v>1</v>
      </c>
      <c r="E29" s="108">
        <v>35565000</v>
      </c>
      <c r="F29" s="148">
        <f>D29*E29</f>
        <v>35565000</v>
      </c>
      <c r="G29" s="58">
        <v>22321000</v>
      </c>
      <c r="H29" s="146">
        <f t="shared" si="1"/>
        <v>-37.238858428230003</v>
      </c>
    </row>
    <row r="30" spans="1:8" ht="39.75" customHeight="1" x14ac:dyDescent="0.2">
      <c r="A30" s="82">
        <v>3</v>
      </c>
      <c r="B30" s="103" t="s">
        <v>175</v>
      </c>
      <c r="C30" s="98" t="s">
        <v>117</v>
      </c>
      <c r="D30" s="99">
        <v>1</v>
      </c>
      <c r="E30" s="108">
        <v>16147000</v>
      </c>
      <c r="F30" s="148">
        <f>D30*E30</f>
        <v>16147000</v>
      </c>
      <c r="G30" s="58">
        <v>22321000</v>
      </c>
      <c r="H30" s="146">
        <f t="shared" si="1"/>
        <v>38.236204867777296</v>
      </c>
    </row>
    <row r="31" spans="1:8" ht="33" x14ac:dyDescent="0.2">
      <c r="B31" s="103" t="s">
        <v>176</v>
      </c>
      <c r="C31" s="98" t="s">
        <v>117</v>
      </c>
      <c r="D31" s="99">
        <v>1</v>
      </c>
      <c r="G31" s="58">
        <v>69967000</v>
      </c>
      <c r="H31" s="149"/>
    </row>
  </sheetData>
  <mergeCells count="2">
    <mergeCell ref="B5:E5"/>
    <mergeCell ref="B1: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thay the nam 2014</vt:lpstr>
      <vt:lpstr>danh sách</vt:lpstr>
      <vt:lpstr>du toan</vt:lpstr>
      <vt:lpstr>so sánh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2015-03-31T07:39:42Z</dcterms:modified>
</cp:coreProperties>
</file>