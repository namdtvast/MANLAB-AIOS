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opbox\Z. Dang hoan thien\8. Kim\2. Working\"/>
    </mc:Choice>
  </mc:AlternateContent>
  <xr:revisionPtr revIDLastSave="0" documentId="8_{9D1991DC-01F6-441D-A30E-518EC2D4C512}" xr6:coauthVersionLast="45" xr6:coauthVersionMax="45" xr10:uidLastSave="{00000000-0000-0000-0000-000000000000}"/>
  <bookViews>
    <workbookView xWindow="-120" yWindow="-120" windowWidth="20640" windowHeight="11160" xr2:uid="{A046FBF5-46BB-43CA-A855-EC5388B4C73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2" i="1" l="1"/>
  <c r="F11" i="1"/>
  <c r="F10" i="1"/>
  <c r="F9" i="1"/>
  <c r="F8" i="1"/>
  <c r="E12" i="1"/>
  <c r="K12" i="1" s="1"/>
  <c r="L12" i="1" s="1"/>
  <c r="E11" i="1"/>
  <c r="E10" i="1"/>
  <c r="K10" i="1" s="1"/>
  <c r="L10" i="1" s="1"/>
  <c r="E9" i="1"/>
  <c r="K9" i="1" s="1"/>
  <c r="L9" i="1" s="1"/>
  <c r="E8" i="1"/>
  <c r="K11" i="1"/>
  <c r="L11" i="1" s="1"/>
  <c r="K8" i="1"/>
  <c r="L8" i="1" s="1"/>
  <c r="F7" i="1"/>
  <c r="E7" i="1"/>
  <c r="K7" i="1" s="1"/>
  <c r="L7" i="1" s="1"/>
  <c r="H6" i="1"/>
  <c r="F6" i="1"/>
  <c r="E6" i="1"/>
  <c r="K6" i="1" s="1"/>
  <c r="L6" i="1" s="1"/>
  <c r="H5" i="1"/>
  <c r="F5" i="1"/>
  <c r="E5" i="1"/>
  <c r="K5" i="1" s="1"/>
  <c r="L5" i="1" s="1"/>
</calcChain>
</file>

<file path=xl/sharedStrings.xml><?xml version="1.0" encoding="utf-8"?>
<sst xmlns="http://schemas.openxmlformats.org/spreadsheetml/2006/main" count="26" uniqueCount="14">
  <si>
    <t>STT</t>
  </si>
  <si>
    <t>Đơn vị</t>
  </si>
  <si>
    <t>kgf/cm2</t>
  </si>
  <si>
    <t>Bar</t>
  </si>
  <si>
    <t>Tỷ lệ chuẩn/PTĐ</t>
  </si>
  <si>
    <t>bar</t>
  </si>
  <si>
    <t>Dải đo</t>
  </si>
  <si>
    <t>Độ chính xác</t>
  </si>
  <si>
    <t>Chuẩn</t>
  </si>
  <si>
    <t>Đổi theo đơn vị PTĐ</t>
  </si>
  <si>
    <t>Đơn vị thực hiện</t>
  </si>
  <si>
    <t>psi</t>
  </si>
  <si>
    <t>Cấp chính xác</t>
  </si>
  <si>
    <t>Kiểm tra dải đo đồng hồ áp để chọn đơn vị kiểm định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</si>
</sst>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79A4D-0C7A-4AC6-80CC-11C155C3B790}">
  <dimension ref="A1:L18"/>
  <sheetViews>
    <sheetView tabSelected="1" workbookViewId="0">
      <selection activeCell="D14" sqref="D14"/>
    </sheetView>
  </sheetViews>
  <sheetFormatPr defaultRowHeight="15" x14ac:dyDescent="0.25"/>
  <cols>
    <col min="1" max="1" width="4.7109375" customWidth="1"/>
    <col min="4" max="4" width="15.140625" customWidth="1"/>
    <col min="5" max="5" width="12.28515625" customWidth="1"/>
    <col min="8" max="8" width="12" customWidth="1"/>
    <col min="9" max="9" width="7.5703125" customWidth="1"/>
    <col min="10" max="10" width="18.28515625" customWidth="1"/>
    <col min="11" max="11" width="16.7109375" customWidth="1"/>
    <col min="12" max="12" width="25" customWidth="1"/>
  </cols>
  <sheetData>
    <row r="1" spans="1:12" ht="18.75" x14ac:dyDescent="0.3">
      <c r="A1" s="10" t="s">
        <v>13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</row>
    <row r="3" spans="1:12" x14ac:dyDescent="0.25">
      <c r="A3" s="2" t="s">
        <v>0</v>
      </c>
      <c r="B3" s="7" t="s">
        <v>6</v>
      </c>
      <c r="C3" s="8"/>
      <c r="D3" s="8"/>
      <c r="E3" s="8"/>
      <c r="F3" s="9"/>
      <c r="G3" s="7" t="s">
        <v>8</v>
      </c>
      <c r="H3" s="8"/>
      <c r="I3" s="8"/>
      <c r="J3" s="9"/>
      <c r="K3" s="2" t="s">
        <v>4</v>
      </c>
      <c r="L3" s="2" t="s">
        <v>10</v>
      </c>
    </row>
    <row r="4" spans="1:12" x14ac:dyDescent="0.25">
      <c r="A4" s="2"/>
      <c r="B4" s="3"/>
      <c r="C4" s="3" t="s">
        <v>1</v>
      </c>
      <c r="D4" s="3" t="s">
        <v>12</v>
      </c>
      <c r="E4" s="3" t="s">
        <v>7</v>
      </c>
      <c r="F4" s="3" t="s">
        <v>1</v>
      </c>
      <c r="G4" s="3" t="s">
        <v>6</v>
      </c>
      <c r="H4" s="3" t="s">
        <v>7</v>
      </c>
      <c r="I4" s="3" t="s">
        <v>1</v>
      </c>
      <c r="J4" s="3" t="s">
        <v>9</v>
      </c>
      <c r="K4" s="2"/>
      <c r="L4" s="2"/>
    </row>
    <row r="5" spans="1:12" x14ac:dyDescent="0.25">
      <c r="A5" s="4">
        <v>1</v>
      </c>
      <c r="B5" s="4">
        <v>6</v>
      </c>
      <c r="C5" s="4" t="s">
        <v>2</v>
      </c>
      <c r="D5" s="4">
        <v>1.5</v>
      </c>
      <c r="E5" s="5">
        <f>B5*D5%</f>
        <v>0.09</v>
      </c>
      <c r="F5" s="4" t="str">
        <f>C5</f>
        <v>kgf/cm2</v>
      </c>
      <c r="G5" s="4">
        <v>140</v>
      </c>
      <c r="H5" s="5">
        <f>140*0.05%</f>
        <v>7.0000000000000007E-2</v>
      </c>
      <c r="I5" s="4" t="s">
        <v>3</v>
      </c>
      <c r="J5" s="4">
        <v>6.9000000000000006E-2</v>
      </c>
      <c r="K5" s="6">
        <f>J5/E5</f>
        <v>0.76666666666666672</v>
      </c>
      <c r="L5" s="4" t="str">
        <f>IF(K5&gt;0.25, "NTP", "ETV")</f>
        <v>NTP</v>
      </c>
    </row>
    <row r="6" spans="1:12" x14ac:dyDescent="0.25">
      <c r="A6" s="4">
        <v>2</v>
      </c>
      <c r="B6" s="4">
        <v>1</v>
      </c>
      <c r="C6" s="4" t="s">
        <v>5</v>
      </c>
      <c r="D6" s="4">
        <v>1.5</v>
      </c>
      <c r="E6" s="5">
        <f>B6*D6%</f>
        <v>1.4999999999999999E-2</v>
      </c>
      <c r="F6" s="4" t="str">
        <f>C6</f>
        <v>bar</v>
      </c>
      <c r="G6" s="4">
        <v>140</v>
      </c>
      <c r="H6" s="5">
        <f>140*0.05%</f>
        <v>7.0000000000000007E-2</v>
      </c>
      <c r="I6" s="4" t="s">
        <v>3</v>
      </c>
      <c r="J6" s="4">
        <v>7.0000000000000007E-2</v>
      </c>
      <c r="K6" s="6">
        <f>J6/E6</f>
        <v>4.666666666666667</v>
      </c>
      <c r="L6" s="4" t="str">
        <f>IF(K6&gt;0.25, "NTP", "ETV")</f>
        <v>NTP</v>
      </c>
    </row>
    <row r="7" spans="1:12" x14ac:dyDescent="0.25">
      <c r="A7" s="4">
        <v>3</v>
      </c>
      <c r="B7" s="4">
        <v>280</v>
      </c>
      <c r="C7" s="4" t="s">
        <v>11</v>
      </c>
      <c r="D7" s="4">
        <v>1.6</v>
      </c>
      <c r="E7" s="5">
        <f t="shared" ref="E7:E12" si="0">B7*D7%</f>
        <v>4.4800000000000004</v>
      </c>
      <c r="F7" s="4" t="str">
        <f>C7</f>
        <v>psi</v>
      </c>
      <c r="G7" s="4">
        <v>140</v>
      </c>
      <c r="H7" s="5">
        <v>7.0000000000000007E-2</v>
      </c>
      <c r="I7" s="4" t="s">
        <v>3</v>
      </c>
      <c r="J7" s="4">
        <v>1.0149999999999999</v>
      </c>
      <c r="K7" s="6">
        <f t="shared" ref="K7:K12" si="1">J7/E7</f>
        <v>0.22656249999999994</v>
      </c>
      <c r="L7" s="4" t="str">
        <f t="shared" ref="L7:L12" si="2">IF(K7&gt;0.25, "NTP", "ETV")</f>
        <v>ETV</v>
      </c>
    </row>
    <row r="8" spans="1:12" x14ac:dyDescent="0.25">
      <c r="A8" s="4">
        <v>4</v>
      </c>
      <c r="B8" s="4">
        <v>140</v>
      </c>
      <c r="C8" s="4" t="s">
        <v>11</v>
      </c>
      <c r="D8" s="4">
        <v>1.6</v>
      </c>
      <c r="E8" s="5">
        <f t="shared" si="0"/>
        <v>2.2400000000000002</v>
      </c>
      <c r="F8" s="4" t="str">
        <f t="shared" ref="F8:F12" si="3">C8</f>
        <v>psi</v>
      </c>
      <c r="G8" s="4">
        <v>140</v>
      </c>
      <c r="H8" s="5">
        <v>7.0000000000000007E-2</v>
      </c>
      <c r="I8" s="4" t="s">
        <v>3</v>
      </c>
      <c r="J8" s="4">
        <v>1.0149999999999999</v>
      </c>
      <c r="K8" s="5">
        <f t="shared" si="1"/>
        <v>0.45312499999999989</v>
      </c>
      <c r="L8" s="4" t="str">
        <f t="shared" si="2"/>
        <v>NTP</v>
      </c>
    </row>
    <row r="9" spans="1:12" x14ac:dyDescent="0.25">
      <c r="A9" s="4">
        <v>5</v>
      </c>
      <c r="B9" s="4"/>
      <c r="C9" s="4"/>
      <c r="D9" s="4"/>
      <c r="E9" s="5">
        <f t="shared" si="0"/>
        <v>0</v>
      </c>
      <c r="F9" s="4">
        <f t="shared" si="3"/>
        <v>0</v>
      </c>
      <c r="G9" s="4"/>
      <c r="H9" s="4"/>
      <c r="I9" s="4" t="s">
        <v>3</v>
      </c>
      <c r="J9" s="4">
        <v>7.0000000000000007E-2</v>
      </c>
      <c r="K9" s="6" t="e">
        <f t="shared" si="1"/>
        <v>#DIV/0!</v>
      </c>
      <c r="L9" s="4" t="e">
        <f t="shared" si="2"/>
        <v>#DIV/0!</v>
      </c>
    </row>
    <row r="10" spans="1:12" x14ac:dyDescent="0.25">
      <c r="A10" s="4">
        <v>6</v>
      </c>
      <c r="B10" s="4"/>
      <c r="C10" s="4"/>
      <c r="D10" s="4"/>
      <c r="E10" s="5">
        <f t="shared" si="0"/>
        <v>0</v>
      </c>
      <c r="F10" s="4">
        <f t="shared" si="3"/>
        <v>0</v>
      </c>
      <c r="G10" s="4"/>
      <c r="H10" s="4"/>
      <c r="I10" s="4" t="s">
        <v>3</v>
      </c>
      <c r="J10" s="4">
        <v>7.0000000000000007E-2</v>
      </c>
      <c r="K10" s="6" t="e">
        <f t="shared" si="1"/>
        <v>#DIV/0!</v>
      </c>
      <c r="L10" s="4" t="e">
        <f t="shared" si="2"/>
        <v>#DIV/0!</v>
      </c>
    </row>
    <row r="11" spans="1:12" x14ac:dyDescent="0.25">
      <c r="A11" s="4"/>
      <c r="B11" s="4"/>
      <c r="C11" s="4"/>
      <c r="D11" s="4"/>
      <c r="E11" s="5">
        <f t="shared" si="0"/>
        <v>0</v>
      </c>
      <c r="F11" s="4">
        <f t="shared" si="3"/>
        <v>0</v>
      </c>
      <c r="G11" s="4"/>
      <c r="H11" s="4"/>
      <c r="I11" s="4" t="s">
        <v>3</v>
      </c>
      <c r="J11" s="4">
        <v>7.0000000000000007E-2</v>
      </c>
      <c r="K11" s="6" t="e">
        <f t="shared" si="1"/>
        <v>#DIV/0!</v>
      </c>
      <c r="L11" s="4" t="e">
        <f t="shared" si="2"/>
        <v>#DIV/0!</v>
      </c>
    </row>
    <row r="12" spans="1:12" x14ac:dyDescent="0.25">
      <c r="A12" s="4"/>
      <c r="B12" s="4"/>
      <c r="C12" s="4"/>
      <c r="D12" s="4"/>
      <c r="E12" s="5">
        <f t="shared" si="0"/>
        <v>0</v>
      </c>
      <c r="F12" s="4">
        <f t="shared" si="3"/>
        <v>0</v>
      </c>
      <c r="G12" s="4"/>
      <c r="H12" s="4"/>
      <c r="I12" s="4" t="s">
        <v>3</v>
      </c>
      <c r="J12" s="4">
        <v>7.0000000000000007E-2</v>
      </c>
      <c r="K12" s="6" t="e">
        <f t="shared" si="1"/>
        <v>#DIV/0!</v>
      </c>
      <c r="L12" s="4" t="e">
        <f t="shared" si="2"/>
        <v>#DIV/0!</v>
      </c>
    </row>
    <row r="13" spans="1:12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</row>
    <row r="14" spans="1:12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</row>
    <row r="15" spans="1:12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</row>
    <row r="16" spans="1:12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</row>
    <row r="17" spans="1:12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1:12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</row>
  </sheetData>
  <mergeCells count="6">
    <mergeCell ref="L3:L4"/>
    <mergeCell ref="B3:F3"/>
    <mergeCell ref="G3:J3"/>
    <mergeCell ref="A1:L1"/>
    <mergeCell ref="A3:A4"/>
    <mergeCell ref="K3:K4"/>
  </mergeCells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2020-12-24T00:36:26Z</dcterms:created>
  <dcterms:modified xsi:type="dcterms:W3CDTF">2020-12-24T00:53:01Z</dcterms:modified>
</cp:coreProperties>
</file>