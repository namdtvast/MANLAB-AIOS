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Z. Dang hoan thien\8. Kim\2. Working\De suat chuan Ap suat\"/>
    </mc:Choice>
  </mc:AlternateContent>
  <xr:revisionPtr revIDLastSave="0" documentId="13_ncr:1_{8FCFEDA9-8947-4529-8F09-4AA0474372A8}" xr6:coauthVersionLast="46" xr6:coauthVersionMax="46" xr10:uidLastSave="{00000000-0000-0000-0000-000000000000}"/>
  <bookViews>
    <workbookView xWindow="-120" yWindow="-120" windowWidth="20640" windowHeight="11160" xr2:uid="{D969E8C6-816D-4CD9-8F05-59B0FAF887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3" i="1" l="1"/>
  <c r="G8" i="1"/>
  <c r="G17" i="1"/>
  <c r="H17" i="1"/>
  <c r="F8" i="1"/>
  <c r="F2" i="1"/>
  <c r="G3" i="1"/>
  <c r="G2" i="1" l="1"/>
  <c r="D23" i="1"/>
  <c r="D33" i="1"/>
  <c r="H2" i="1" l="1"/>
  <c r="D32" i="1" l="1"/>
  <c r="D31" i="1"/>
  <c r="D30" i="1"/>
  <c r="D29" i="1"/>
  <c r="D28" i="1"/>
  <c r="D27" i="1" l="1"/>
  <c r="H23" i="1"/>
  <c r="F23" i="1"/>
  <c r="F12" i="1" l="1"/>
  <c r="F7" i="1"/>
  <c r="G7" i="1" s="1"/>
  <c r="H7" i="1" s="1"/>
  <c r="G6" i="1"/>
  <c r="H6" i="1" s="1"/>
  <c r="F5" i="1"/>
  <c r="G5" i="1" s="1"/>
  <c r="H5" i="1" s="1"/>
  <c r="F4" i="1"/>
  <c r="G4" i="1" s="1"/>
  <c r="H16" i="1" s="1"/>
  <c r="G16" i="1" s="1"/>
  <c r="G15" i="1" l="1"/>
  <c r="H15" i="1" s="1"/>
  <c r="G14" i="1"/>
  <c r="H14" i="1" s="1"/>
  <c r="H4" i="1"/>
  <c r="G13" i="1"/>
  <c r="H12" i="1"/>
  <c r="G11" i="1"/>
  <c r="H11" i="1"/>
  <c r="H13" i="1"/>
  <c r="G12" i="1"/>
</calcChain>
</file>

<file path=xl/sharedStrings.xml><?xml version="1.0" encoding="utf-8"?>
<sst xmlns="http://schemas.openxmlformats.org/spreadsheetml/2006/main" count="45" uniqueCount="43">
  <si>
    <t>Cấp CX, 
%</t>
  </si>
  <si>
    <t>Độ cx chuẩn min
%</t>
  </si>
  <si>
    <t>Testo 350</t>
  </si>
  <si>
    <t>testo 510</t>
  </si>
  <si>
    <t>Testo 526</t>
  </si>
  <si>
    <t>ISO Stack</t>
  </si>
  <si>
    <t>0,500 ~ 3,556</t>
  </si>
  <si>
    <t>cấp chính xác, %</t>
  </si>
  <si>
    <t>Nếu chọn theo tetso 350, C5000</t>
  </si>
  <si>
    <t>Nếu chọn theo tetso 510, 350, C5000</t>
  </si>
  <si>
    <t>Nếu chọn theo tetso 510, 526, 350, C5000, ISO STACK</t>
  </si>
  <si>
    <t>Nếu chọn theo tetso 526, 350, C5000</t>
  </si>
  <si>
    <t>Điểm đo max,
mbar</t>
  </si>
  <si>
    <t>MPE, 
mbar</t>
  </si>
  <si>
    <t>Chuẩn
mbar</t>
  </si>
  <si>
    <t>Acc (1)
%</t>
  </si>
  <si>
    <t>cấp chính xác, mbar</t>
  </si>
  <si>
    <t>Acc (1)
mbar</t>
  </si>
  <si>
    <t>Acc (3)
%</t>
  </si>
  <si>
    <t>Acc (2)
%</t>
  </si>
  <si>
    <t>Acc (2)
mbar</t>
  </si>
  <si>
    <t>Acc (3)
mbar</t>
  </si>
  <si>
    <t>Hàng có sẵn</t>
  </si>
  <si>
    <t>Áp dụng cho Isokinetic</t>
  </si>
  <si>
    <t>FLUKE 700P03</t>
  </si>
  <si>
    <t>FLUKE 700P01</t>
  </si>
  <si>
    <t>Độ cx chuẩn min
mbar</t>
  </si>
  <si>
    <t>Làm ISOKINETIC</t>
  </si>
  <si>
    <t>Làm testo 350</t>
  </si>
  <si>
    <t>FLUKE-700P02</t>
  </si>
  <si>
    <t>FLUKE-700P22</t>
  </si>
  <si>
    <t>không thực hiện được ISO</t>
  </si>
  <si>
    <t>làm được testo 350</t>
  </si>
  <si>
    <t>FLUKE-700P04</t>
  </si>
  <si>
    <t>(-50~50)</t>
  </si>
  <si>
    <t>(-200~-50)/ (50 ~ 200)</t>
  </si>
  <si>
    <t>Isokinetic</t>
  </si>
  <si>
    <t>E+H (PCM21)</t>
  </si>
  <si>
    <t>(-10 ~ 30)</t>
  </si>
  <si>
    <t>Nếu chọn theo tetso 350, C5000, E+H (PCM21)</t>
  </si>
  <si>
    <t>Nếu chọn theo tetso C5000, E+H (PCM21)</t>
  </si>
  <si>
    <t>Nếu chọn theo tetso 350</t>
  </si>
  <si>
    <r>
      <t xml:space="preserve">Dải đo, </t>
    </r>
    <r>
      <rPr>
        <sz val="11"/>
        <color theme="1"/>
        <rFont val="Calibri"/>
        <family val="2"/>
        <scheme val="minor"/>
      </rPr>
      <t>mbar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</si>
</sst>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10" fontId="0" fillId="0" borderId="0" xfId="0" applyNumberFormat="1"/>
    <xf numFmtId="164" fontId="0" fillId="0" borderId="0" xfId="0" applyNumberFormat="1"/>
    <xf numFmtId="9" fontId="0" fillId="0" borderId="0" xfId="0" applyNumberFormat="1"/>
    <xf numFmtId="0" fontId="0" fillId="0" borderId="0" xfId="0" applyAlignment="1">
      <alignment horizontal="right" vertical="center"/>
    </xf>
    <xf numFmtId="0" fontId="0" fillId="0" borderId="0" xfId="0" applyAlignment="1">
      <alignment wrapText="1"/>
    </xf>
    <xf numFmtId="0" fontId="1" fillId="0" borderId="0" xfId="0" applyFont="1"/>
    <xf numFmtId="0" fontId="0" fillId="2" borderId="0" xfId="0" applyFill="1"/>
    <xf numFmtId="165" fontId="0" fillId="0" borderId="0" xfId="0" applyNumberFormat="1"/>
    <xf numFmtId="164" fontId="1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0" fillId="0" borderId="0" xfId="0" applyFont="1"/>
    <xf numFmtId="0" fontId="1" fillId="0" borderId="0" xfId="0" applyFont="1" applyAlignment="1">
      <alignment wrapText="1"/>
    </xf>
    <xf numFmtId="166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D2EF3-6FF5-465C-A91C-B405E4DA4B0D}">
  <dimension ref="A1:P33"/>
  <sheetViews>
    <sheetView tabSelected="1" topLeftCell="A4" zoomScale="115" zoomScaleNormal="115" workbookViewId="0">
      <selection activeCell="F16" sqref="F16"/>
    </sheetView>
  </sheetViews>
  <sheetFormatPr defaultRowHeight="15" x14ac:dyDescent="0.25"/>
  <cols>
    <col min="1" max="1" width="15.85546875" customWidth="1"/>
    <col min="3" max="3" width="11.5703125" customWidth="1"/>
    <col min="4" max="4" width="19.85546875" customWidth="1"/>
    <col min="5" max="5" width="11.85546875" customWidth="1"/>
    <col min="6" max="6" width="12.140625" customWidth="1"/>
    <col min="7" max="7" width="16.140625" customWidth="1"/>
    <col min="8" max="8" width="18.5703125" customWidth="1"/>
    <col min="9" max="9" width="7.7109375" customWidth="1"/>
  </cols>
  <sheetData>
    <row r="1" spans="2:16" ht="31.5" customHeight="1" x14ac:dyDescent="0.25">
      <c r="D1" s="1" t="s">
        <v>12</v>
      </c>
      <c r="E1" s="1" t="s">
        <v>0</v>
      </c>
      <c r="F1" s="1" t="s">
        <v>13</v>
      </c>
      <c r="G1" s="11" t="s">
        <v>26</v>
      </c>
      <c r="H1" s="11" t="s">
        <v>1</v>
      </c>
      <c r="I1" s="1"/>
    </row>
    <row r="2" spans="2:16" x14ac:dyDescent="0.25">
      <c r="C2" t="s">
        <v>2</v>
      </c>
      <c r="D2" t="s">
        <v>35</v>
      </c>
      <c r="E2" s="2">
        <v>1.4999999999999999E-2</v>
      </c>
      <c r="F2" s="3">
        <f>200*E2</f>
        <v>3</v>
      </c>
      <c r="G2">
        <f>F2/4</f>
        <v>0.75</v>
      </c>
      <c r="H2">
        <f>G2/200*100</f>
        <v>0.375</v>
      </c>
    </row>
    <row r="3" spans="2:16" x14ac:dyDescent="0.25">
      <c r="C3" t="s">
        <v>2</v>
      </c>
      <c r="D3" t="s">
        <v>34</v>
      </c>
      <c r="E3" s="2"/>
      <c r="F3" s="3">
        <v>0.5</v>
      </c>
      <c r="G3">
        <f>F3/4</f>
        <v>0.125</v>
      </c>
    </row>
    <row r="4" spans="2:16" x14ac:dyDescent="0.25">
      <c r="C4" t="s">
        <v>36</v>
      </c>
      <c r="D4">
        <v>24.515999999999998</v>
      </c>
      <c r="E4" s="4">
        <v>0.02</v>
      </c>
      <c r="F4" s="3">
        <f t="shared" ref="F4:F5" si="0">D4*E4</f>
        <v>0.49031999999999998</v>
      </c>
      <c r="G4" s="12">
        <f t="shared" ref="G4:G8" si="1">F4/4</f>
        <v>0.12257999999999999</v>
      </c>
      <c r="H4" s="3">
        <f t="shared" ref="H4:H6" si="2">G4/D4*100</f>
        <v>0.5</v>
      </c>
      <c r="I4" s="3"/>
    </row>
    <row r="5" spans="2:16" x14ac:dyDescent="0.25">
      <c r="C5" t="s">
        <v>3</v>
      </c>
      <c r="D5">
        <v>2000</v>
      </c>
      <c r="E5" s="2">
        <v>1E-3</v>
      </c>
      <c r="F5" s="3">
        <f t="shared" si="0"/>
        <v>2</v>
      </c>
      <c r="G5">
        <f t="shared" si="1"/>
        <v>0.5</v>
      </c>
      <c r="H5">
        <f t="shared" si="2"/>
        <v>2.5000000000000001E-2</v>
      </c>
    </row>
    <row r="6" spans="2:16" x14ac:dyDescent="0.25">
      <c r="C6" t="s">
        <v>4</v>
      </c>
      <c r="D6">
        <v>100</v>
      </c>
      <c r="F6" s="3">
        <v>0.1</v>
      </c>
      <c r="G6">
        <f t="shared" si="1"/>
        <v>2.5000000000000001E-2</v>
      </c>
      <c r="H6">
        <f t="shared" si="2"/>
        <v>2.5000000000000001E-2</v>
      </c>
    </row>
    <row r="7" spans="2:16" x14ac:dyDescent="0.25">
      <c r="C7" t="s">
        <v>5</v>
      </c>
      <c r="D7" s="5" t="s">
        <v>6</v>
      </c>
      <c r="E7" s="2">
        <v>1.4999999999999999E-2</v>
      </c>
      <c r="F7" s="3">
        <f>E7*3.556</f>
        <v>5.3339999999999999E-2</v>
      </c>
      <c r="G7">
        <f t="shared" si="1"/>
        <v>1.3335E-2</v>
      </c>
      <c r="H7">
        <f>G7/3.556*100</f>
        <v>0.375</v>
      </c>
    </row>
    <row r="8" spans="2:16" x14ac:dyDescent="0.25">
      <c r="C8" t="s">
        <v>37</v>
      </c>
      <c r="D8" t="s">
        <v>38</v>
      </c>
      <c r="E8" s="2">
        <v>3.0000000000000001E-3</v>
      </c>
      <c r="F8" s="3">
        <f>E8*30</f>
        <v>0.09</v>
      </c>
      <c r="G8">
        <f t="shared" si="1"/>
        <v>2.2499999999999999E-2</v>
      </c>
    </row>
    <row r="10" spans="2:16" ht="20.25" customHeight="1" x14ac:dyDescent="0.25">
      <c r="F10" s="13" t="s">
        <v>42</v>
      </c>
      <c r="G10" s="7" t="s">
        <v>7</v>
      </c>
      <c r="H10" t="s">
        <v>16</v>
      </c>
      <c r="J10" s="6"/>
      <c r="K10" s="6"/>
      <c r="L10" s="6"/>
      <c r="M10" s="6"/>
      <c r="N10" s="6"/>
      <c r="O10" s="6"/>
      <c r="P10" s="6"/>
    </row>
    <row r="11" spans="2:16" x14ac:dyDescent="0.25">
      <c r="B11" s="7" t="s">
        <v>8</v>
      </c>
      <c r="C11" s="7"/>
      <c r="D11" s="7"/>
      <c r="E11" s="7"/>
      <c r="F11" s="7">
        <v>200</v>
      </c>
      <c r="G11" s="7">
        <f>MIN(G2:G4)/200*100</f>
        <v>6.1289999999999997E-2</v>
      </c>
      <c r="H11" s="12">
        <f>MIN(G2:G4)</f>
        <v>0.12257999999999999</v>
      </c>
      <c r="J11" s="3"/>
    </row>
    <row r="12" spans="2:16" x14ac:dyDescent="0.25">
      <c r="B12" t="s">
        <v>9</v>
      </c>
      <c r="F12">
        <f>MAX(D2:D5)</f>
        <v>2000</v>
      </c>
      <c r="G12">
        <f>MIN(G2:G5)/MAX(D2:D5)*100</f>
        <v>6.128999999999999E-3</v>
      </c>
      <c r="H12" s="12">
        <f>MIN(G2:G5)</f>
        <v>0.12257999999999999</v>
      </c>
    </row>
    <row r="13" spans="2:16" x14ac:dyDescent="0.25">
      <c r="B13" t="s">
        <v>11</v>
      </c>
      <c r="F13">
        <v>200</v>
      </c>
      <c r="G13">
        <f>MIN(G2:G6)/200*100</f>
        <v>1.2500000000000001E-2</v>
      </c>
      <c r="H13" s="12">
        <f>MIN(G2:G4,G6)</f>
        <v>2.5000000000000001E-2</v>
      </c>
      <c r="K13">
        <f>4500*70%</f>
        <v>3150</v>
      </c>
    </row>
    <row r="14" spans="2:16" x14ac:dyDescent="0.25">
      <c r="B14" t="s">
        <v>10</v>
      </c>
      <c r="F14">
        <v>2000</v>
      </c>
      <c r="G14" s="9">
        <f>MIN(G2:G8)/2000*100</f>
        <v>6.6675000000000002E-4</v>
      </c>
      <c r="H14" s="14">
        <f>G14%*F14</f>
        <v>1.3335E-2</v>
      </c>
    </row>
    <row r="15" spans="2:16" x14ac:dyDescent="0.25">
      <c r="B15" s="7" t="s">
        <v>39</v>
      </c>
      <c r="C15" s="7"/>
      <c r="D15" s="7"/>
      <c r="E15" s="7"/>
      <c r="F15" s="7">
        <v>200</v>
      </c>
      <c r="G15" s="7">
        <f>MIN(G2:G4,G8)/200*100</f>
        <v>1.125E-2</v>
      </c>
      <c r="H15" s="12">
        <f>F15*G15%</f>
        <v>2.2499999999999999E-2</v>
      </c>
    </row>
    <row r="16" spans="2:16" x14ac:dyDescent="0.25">
      <c r="B16" s="7" t="s">
        <v>40</v>
      </c>
      <c r="C16" s="7"/>
      <c r="D16" s="7"/>
      <c r="E16" s="7"/>
      <c r="F16" s="7">
        <v>50</v>
      </c>
      <c r="G16" s="10">
        <f>H16*100/F16</f>
        <v>4.4999999999999998E-2</v>
      </c>
      <c r="H16" s="12">
        <f>MIN(G4, G8)</f>
        <v>2.2499999999999999E-2</v>
      </c>
    </row>
    <row r="17" spans="1:10" x14ac:dyDescent="0.25">
      <c r="B17" s="7" t="s">
        <v>41</v>
      </c>
      <c r="C17" s="7"/>
      <c r="D17" s="7"/>
      <c r="E17" s="7"/>
      <c r="F17" s="7">
        <v>400</v>
      </c>
      <c r="G17" s="7">
        <f>MIN(G2:G3)*100/F17</f>
        <v>3.125E-2</v>
      </c>
      <c r="H17" s="12">
        <f>MIN(G8:G10)</f>
        <v>2.2499999999999999E-2</v>
      </c>
      <c r="J17" s="3"/>
    </row>
    <row r="19" spans="1:10" x14ac:dyDescent="0.25">
      <c r="B19" s="7" t="s">
        <v>22</v>
      </c>
    </row>
    <row r="20" spans="1:10" ht="30" x14ac:dyDescent="0.25">
      <c r="B20" s="6" t="s">
        <v>14</v>
      </c>
      <c r="C20" s="6" t="s">
        <v>15</v>
      </c>
      <c r="D20" s="6" t="s">
        <v>17</v>
      </c>
      <c r="E20" s="6" t="s">
        <v>19</v>
      </c>
      <c r="F20" s="6" t="s">
        <v>20</v>
      </c>
      <c r="G20" s="6" t="s">
        <v>18</v>
      </c>
      <c r="H20" s="6" t="s">
        <v>21</v>
      </c>
    </row>
    <row r="21" spans="1:10" x14ac:dyDescent="0.25">
      <c r="B21">
        <v>10</v>
      </c>
    </row>
    <row r="22" spans="1:10" x14ac:dyDescent="0.25">
      <c r="B22">
        <v>20</v>
      </c>
    </row>
    <row r="23" spans="1:10" x14ac:dyDescent="0.25">
      <c r="B23" s="7">
        <v>25</v>
      </c>
      <c r="C23" s="7">
        <v>0.2</v>
      </c>
      <c r="D23">
        <f>C23%*$B$23</f>
        <v>0.05</v>
      </c>
      <c r="E23">
        <v>0.5</v>
      </c>
      <c r="F23">
        <f>E23%*$B$23</f>
        <v>0.125</v>
      </c>
      <c r="G23">
        <v>1</v>
      </c>
      <c r="H23">
        <f>G23%*$B$23</f>
        <v>0.25</v>
      </c>
      <c r="J23" t="s">
        <v>23</v>
      </c>
    </row>
    <row r="24" spans="1:10" x14ac:dyDescent="0.25">
      <c r="B24">
        <v>50</v>
      </c>
    </row>
    <row r="25" spans="1:10" x14ac:dyDescent="0.25">
      <c r="B25">
        <v>100</v>
      </c>
    </row>
    <row r="26" spans="1:10" x14ac:dyDescent="0.25">
      <c r="B26">
        <v>160</v>
      </c>
    </row>
    <row r="27" spans="1:10" x14ac:dyDescent="0.25">
      <c r="B27">
        <v>2500</v>
      </c>
      <c r="C27">
        <v>2.5000000000000001E-2</v>
      </c>
      <c r="D27">
        <f>C27%*$B$27</f>
        <v>0.625</v>
      </c>
    </row>
    <row r="28" spans="1:10" x14ac:dyDescent="0.25">
      <c r="A28" t="s">
        <v>24</v>
      </c>
      <c r="B28">
        <v>344.74</v>
      </c>
      <c r="C28">
        <v>0.1</v>
      </c>
      <c r="D28">
        <f t="shared" ref="D28:D33" si="3">C28%*B28</f>
        <v>0.34473999999999999</v>
      </c>
      <c r="E28" t="s">
        <v>28</v>
      </c>
    </row>
    <row r="29" spans="1:10" x14ac:dyDescent="0.25">
      <c r="A29" t="s">
        <v>25</v>
      </c>
      <c r="B29">
        <v>25</v>
      </c>
      <c r="C29">
        <v>0.3</v>
      </c>
      <c r="D29">
        <f t="shared" si="3"/>
        <v>7.4999999999999997E-2</v>
      </c>
      <c r="E29" t="s">
        <v>27</v>
      </c>
    </row>
    <row r="30" spans="1:10" x14ac:dyDescent="0.25">
      <c r="A30" t="s">
        <v>29</v>
      </c>
      <c r="B30">
        <v>68.95</v>
      </c>
      <c r="C30">
        <v>0.3</v>
      </c>
      <c r="D30">
        <f t="shared" si="3"/>
        <v>0.20685000000000001</v>
      </c>
      <c r="E30" t="s">
        <v>31</v>
      </c>
    </row>
    <row r="31" spans="1:10" x14ac:dyDescent="0.25">
      <c r="A31" s="8" t="s">
        <v>30</v>
      </c>
      <c r="B31">
        <v>68.95</v>
      </c>
      <c r="C31">
        <v>0.15</v>
      </c>
      <c r="D31">
        <f t="shared" si="3"/>
        <v>0.103425</v>
      </c>
      <c r="E31" t="s">
        <v>27</v>
      </c>
    </row>
    <row r="32" spans="1:10" x14ac:dyDescent="0.25">
      <c r="A32" s="8" t="s">
        <v>33</v>
      </c>
      <c r="B32">
        <v>1034</v>
      </c>
      <c r="C32">
        <v>0.05</v>
      </c>
      <c r="D32">
        <f t="shared" si="3"/>
        <v>0.51700000000000002</v>
      </c>
      <c r="E32" t="s">
        <v>32</v>
      </c>
    </row>
    <row r="33" spans="2:4" x14ac:dyDescent="0.25">
      <c r="B33">
        <v>200</v>
      </c>
      <c r="C33">
        <v>0.05</v>
      </c>
      <c r="D33" s="3">
        <f t="shared" si="3"/>
        <v>0.1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2020-04-22T04:36:06Z</dcterms:created>
  <dcterms:modified xsi:type="dcterms:W3CDTF">2021-01-28T02:26:39Z</dcterms:modified>
</cp:coreProperties>
</file>