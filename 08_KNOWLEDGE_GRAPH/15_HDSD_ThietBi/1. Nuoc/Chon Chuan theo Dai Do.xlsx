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Z. Dang hoan thien\15_Cretech_Hung\0. DangXuLy\"/>
    </mc:Choice>
  </mc:AlternateContent>
  <xr:revisionPtr revIDLastSave="0" documentId="13_ncr:1_{EAFC0DDF-8223-447E-B816-E978249B6E80}" xr6:coauthVersionLast="47" xr6:coauthVersionMax="47" xr10:uidLastSave="{00000000-0000-0000-0000-000000000000}"/>
  <bookViews>
    <workbookView xWindow="0" yWindow="0" windowWidth="28800" windowHeight="15600" xr2:uid="{60FB328F-1A5A-4A6E-BD58-3ED417BE639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2" l="1"/>
  <c r="N7" i="2"/>
  <c r="N8" i="2"/>
  <c r="N9" i="2"/>
  <c r="N10" i="2"/>
  <c r="N11" i="2"/>
  <c r="N12" i="2"/>
  <c r="N13" i="2"/>
  <c r="N5" i="2"/>
  <c r="M4" i="2"/>
  <c r="M3" i="2"/>
  <c r="M2" i="2"/>
  <c r="M5" i="2"/>
  <c r="M6" i="2"/>
  <c r="M7" i="2"/>
  <c r="M8" i="2"/>
  <c r="M9" i="2"/>
  <c r="M10" i="2"/>
  <c r="M11" i="2"/>
  <c r="M12" i="2"/>
  <c r="M13" i="2"/>
  <c r="N4" i="2"/>
  <c r="N3" i="2"/>
  <c r="N2" i="2"/>
</calcChain>
</file>

<file path=xl/sharedStrings.xml><?xml version="1.0" encoding="utf-8"?>
<sst xmlns="http://schemas.openxmlformats.org/spreadsheetml/2006/main" count="151" uniqueCount="104">
  <si>
    <t>120-180</t>
  </si>
  <si>
    <t>210-270</t>
  </si>
  <si>
    <t>50-150</t>
  </si>
  <si>
    <t>200-300</t>
  </si>
  <si>
    <t>350-450</t>
  </si>
  <si>
    <t>30-90</t>
  </si>
  <si>
    <t>44.7-134.1</t>
  </si>
  <si>
    <t>178.8-268.2</t>
  </si>
  <si>
    <t>312.9-402.3</t>
  </si>
  <si>
    <t>20-60</t>
  </si>
  <si>
    <t>80-120</t>
  </si>
  <si>
    <t>140-180</t>
  </si>
  <si>
    <t>40-120</t>
  </si>
  <si>
    <t>160-240</t>
  </si>
  <si>
    <t>280-360</t>
  </si>
  <si>
    <t>37.5-112.5</t>
  </si>
  <si>
    <t>150-225</t>
  </si>
  <si>
    <t>262.5-337.5</t>
  </si>
  <si>
    <t>37.1-111.3</t>
  </si>
  <si>
    <t>148.4-222.6</t>
  </si>
  <si>
    <t>259.7-333.9</t>
  </si>
  <si>
    <t>50/ 100</t>
  </si>
  <si>
    <t>150/ 200</t>
  </si>
  <si>
    <t>50/ 100/ 150</t>
  </si>
  <si>
    <t>200/ 250/ 300</t>
  </si>
  <si>
    <t>COD</t>
  </si>
  <si>
    <t>Dải đo</t>
  </si>
  <si>
    <t>Khoảng chọn chuẩn</t>
  </si>
  <si>
    <t>Chọn chuẩn</t>
  </si>
  <si>
    <t>TSS</t>
  </si>
  <si>
    <t>Amoni</t>
  </si>
  <si>
    <t>5-15</t>
  </si>
  <si>
    <t>20-30</t>
  </si>
  <si>
    <t>35-45</t>
  </si>
  <si>
    <t>10-30</t>
  </si>
  <si>
    <t>40-60</t>
  </si>
  <si>
    <t>70-90</t>
  </si>
  <si>
    <t>2-6</t>
  </si>
  <si>
    <t>8-12</t>
  </si>
  <si>
    <t>14-18</t>
  </si>
  <si>
    <t>TDS</t>
  </si>
  <si>
    <t>Độ đục</t>
  </si>
  <si>
    <t>200-600</t>
  </si>
  <si>
    <t>800-1200</t>
  </si>
  <si>
    <t>1400-1800</t>
  </si>
  <si>
    <t>100-300</t>
  </si>
  <si>
    <t>4000-6000</t>
  </si>
  <si>
    <t>1000-3000</t>
  </si>
  <si>
    <t>5000-15000</t>
  </si>
  <si>
    <t>20000-30000</t>
  </si>
  <si>
    <t>35000-45000</t>
  </si>
  <si>
    <t>10000-30000</t>
  </si>
  <si>
    <t>40000-60000</t>
  </si>
  <si>
    <t>70000-80000</t>
  </si>
  <si>
    <t>20000-60000</t>
  </si>
  <si>
    <t>80000-120000</t>
  </si>
  <si>
    <t>140000-180000</t>
  </si>
  <si>
    <t>7000-9000</t>
  </si>
  <si>
    <t>20000/ 40000</t>
  </si>
  <si>
    <t>Khoảng chọn chuẩn DLVN382</t>
  </si>
  <si>
    <t>Khoảng chọn chuẩn DLVN80</t>
  </si>
  <si>
    <t>400-800</t>
  </si>
  <si>
    <t>2000-4000</t>
  </si>
  <si>
    <t>10000-20000</t>
  </si>
  <si>
    <t>20000-40000</t>
  </si>
  <si>
    <t>40000-80000</t>
  </si>
  <si>
    <t>1000/ 1500/ 2000</t>
  </si>
  <si>
    <t>Khoảng chọn chuẩn DLVN384</t>
  </si>
  <si>
    <t>Chọn chuẩn DLVN275</t>
  </si>
  <si>
    <t>400-600</t>
  </si>
  <si>
    <t>700-900</t>
  </si>
  <si>
    <t>400-1200</t>
  </si>
  <si>
    <t>1600-2400</t>
  </si>
  <si>
    <t>2800-3600</t>
  </si>
  <si>
    <t>100/ 200</t>
  </si>
  <si>
    <t>400/ 800</t>
  </si>
  <si>
    <t>EC</t>
  </si>
  <si>
    <t>20uS/cm</t>
  </si>
  <si>
    <t>199uS/cm</t>
  </si>
  <si>
    <t>1999uS/cm</t>
  </si>
  <si>
    <t>19.99mS/cm</t>
  </si>
  <si>
    <t>500mS/cm</t>
  </si>
  <si>
    <t>Chọn chuẩn DLVN383</t>
  </si>
  <si>
    <t>Dải đo DLVN274</t>
  </si>
  <si>
    <t>200uS/cm</t>
  </si>
  <si>
    <t>2000uS/cm</t>
  </si>
  <si>
    <t>20mS/cm</t>
  </si>
  <si>
    <t>Nc cất (&lt;2uS/cm)</t>
  </si>
  <si>
    <t>10/ 15</t>
  </si>
  <si>
    <t>200/ 300</t>
  </si>
  <si>
    <t>Dải đo</t>
  </si>
  <si>
    <t>Điểm min</t>
  </si>
  <si>
    <t>Điểm max</t>
  </si>
  <si>
    <t>Điểm thực hiện</t>
  </si>
  <si>
    <t>Nồng độ 1</t>
  </si>
  <si>
    <t>Nồng độ 2</t>
  </si>
  <si>
    <t>Nồng độ 3</t>
  </si>
  <si>
    <t>Nồng độ 32</t>
  </si>
  <si>
    <t>Nồng độ 33</t>
  </si>
  <si>
    <t>Nồng độ 34</t>
  </si>
  <si>
    <t>Nồng độ 35</t>
  </si>
  <si>
    <t>Nồng độ 36</t>
  </si>
  <si>
    <t>Nồng độ 37</t>
  </si>
  <si>
    <t>PTĐ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</si>
</sst>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sz val="12"/>
      <color rgb="FFFF0000"/>
      <name val="Times New Roman"/>
      <family val="2"/>
    </font>
    <font>
      <b/>
      <sz val="14"/>
      <color rgb="FFFF0000"/>
      <name val="Times New Roman"/>
      <family val="1"/>
    </font>
    <font>
      <sz val="12"/>
      <name val="Times New Roman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6" borderId="4" xfId="0" applyNumberForma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8" borderId="6" xfId="0" applyFont="1" applyFill="1" applyBorder="1" applyAlignment="1">
      <alignment vertical="center"/>
    </xf>
    <xf numFmtId="0" fontId="3" fillId="8" borderId="9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099D24-DC62-4B87-B702-1964099F64E6}" name="Table1" displayName="Table1" ref="A1:L13" totalsRowShown="0" headerRowDxfId="18" dataDxfId="16" headerRowBorderDxfId="17" tableBorderDxfId="15" totalsRowBorderDxfId="14">
  <autoFilter ref="A1:L13" xr:uid="{0B099D24-DC62-4B87-B702-1964099F64E6}"/>
  <tableColumns count="12">
    <tableColumn id="1" xr3:uid="{1FE76758-7277-49BC-BDC7-B8A70ADFAFBC}" name="PTĐ" dataDxfId="13"/>
    <tableColumn id="2" xr3:uid="{8980C274-0334-4CB3-8954-4683F75D7194}" name="Dải đo" dataDxfId="12"/>
    <tableColumn id="3" xr3:uid="{81287B27-31AF-490C-9CD9-FAEC9B02ACCB}" name="Điểm thực hiện" dataDxfId="11"/>
    <tableColumn id="4" xr3:uid="{DC725727-8166-4119-8580-A59545FAA7AF}" name="Nồng độ 1" dataDxfId="10"/>
    <tableColumn id="5" xr3:uid="{D9D4F4F5-29DE-4B21-9B96-A8654192A632}" name="Nồng độ 2" dataDxfId="9"/>
    <tableColumn id="6" xr3:uid="{2CF7FBB0-CDA1-46A1-BF21-9B0204FF8DDA}" name="Nồng độ 3" dataDxfId="8"/>
    <tableColumn id="7" xr3:uid="{61A6FA5D-A733-49C6-A93B-FE30BED06CF3}" name="Nồng độ 32" dataDxfId="7"/>
    <tableColumn id="8" xr3:uid="{13DCAD9B-08C4-466F-AE4C-FD5C9A1C0496}" name="Nồng độ 33" dataDxfId="6"/>
    <tableColumn id="9" xr3:uid="{584D5D66-FB8F-4D3A-8F79-F9F9FB826680}" name="Nồng độ 34" dataDxfId="5"/>
    <tableColumn id="10" xr3:uid="{801460B6-B493-4ABB-A8A9-48D0FF2B5D7F}" name="Nồng độ 35" dataDxfId="4"/>
    <tableColumn id="11" xr3:uid="{1AA41A85-D741-4945-A88E-FE0500BC034C}" name="Nồng độ 36" dataDxfId="3"/>
    <tableColumn id="12" xr3:uid="{DD059E6E-DF37-4AAE-8342-2DD129E74C9F}" name="Nồng độ 37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413A-6ABA-4B5C-98DA-868E697A6D60}">
  <dimension ref="A1:S36"/>
  <sheetViews>
    <sheetView tabSelected="1" zoomScale="85" zoomScaleNormal="85" workbookViewId="0">
      <selection activeCell="E35" sqref="E35:G35"/>
    </sheetView>
  </sheetViews>
  <sheetFormatPr defaultColWidth="8.75" defaultRowHeight="15.75" x14ac:dyDescent="0.25"/>
  <cols>
    <col min="1" max="1" width="25.125" style="1" bestFit="1" customWidth="1"/>
    <col min="2" max="2" width="7.625" style="1" bestFit="1" customWidth="1"/>
    <col min="3" max="3" width="8.625" style="1" bestFit="1" customWidth="1"/>
    <col min="4" max="4" width="9.625" style="1" bestFit="1" customWidth="1"/>
    <col min="5" max="5" width="15.25" style="1" bestFit="1" customWidth="1"/>
    <col min="6" max="7" width="10.625" style="1" bestFit="1" customWidth="1"/>
    <col min="8" max="13" width="11.625" style="1" bestFit="1" customWidth="1"/>
    <col min="14" max="14" width="12" style="1" bestFit="1" customWidth="1"/>
    <col min="15" max="15" width="12.625" style="1" bestFit="1" customWidth="1"/>
    <col min="16" max="16" width="13.75" style="1" bestFit="1" customWidth="1"/>
    <col min="17" max="17" width="11.125" style="1" bestFit="1" customWidth="1"/>
    <col min="18" max="18" width="12.125" style="1" bestFit="1" customWidth="1"/>
    <col min="19" max="19" width="7.625" style="1" bestFit="1" customWidth="1"/>
    <col min="20" max="16384" width="8.75" style="1"/>
  </cols>
  <sheetData>
    <row r="1" spans="1:19" s="8" customFormat="1" ht="18.75" x14ac:dyDescent="0.25">
      <c r="A1" s="26" t="s">
        <v>25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33"/>
    </row>
    <row r="2" spans="1:19" x14ac:dyDescent="0.25">
      <c r="A2" s="4" t="s">
        <v>26</v>
      </c>
      <c r="B2" s="27">
        <v>200</v>
      </c>
      <c r="C2" s="28"/>
      <c r="D2" s="29"/>
      <c r="E2" s="27">
        <v>371</v>
      </c>
      <c r="F2" s="28"/>
      <c r="G2" s="29"/>
      <c r="H2" s="27">
        <v>375</v>
      </c>
      <c r="I2" s="28"/>
      <c r="J2" s="29"/>
      <c r="K2" s="27">
        <v>400</v>
      </c>
      <c r="L2" s="28"/>
      <c r="M2" s="29"/>
      <c r="N2" s="27">
        <v>447</v>
      </c>
      <c r="O2" s="28"/>
      <c r="P2" s="29"/>
      <c r="Q2" s="27">
        <v>500</v>
      </c>
      <c r="R2" s="28"/>
      <c r="S2" s="29"/>
    </row>
    <row r="3" spans="1:19" s="2" customFormat="1" x14ac:dyDescent="0.25">
      <c r="A3" s="5" t="s">
        <v>27</v>
      </c>
      <c r="B3" s="6" t="s">
        <v>9</v>
      </c>
      <c r="C3" s="6" t="s">
        <v>10</v>
      </c>
      <c r="D3" s="6" t="s">
        <v>11</v>
      </c>
      <c r="E3" s="10" t="s">
        <v>18</v>
      </c>
      <c r="F3" s="10" t="s">
        <v>19</v>
      </c>
      <c r="G3" s="10" t="s">
        <v>20</v>
      </c>
      <c r="H3" s="6" t="s">
        <v>15</v>
      </c>
      <c r="I3" s="6" t="s">
        <v>16</v>
      </c>
      <c r="J3" s="6" t="s">
        <v>17</v>
      </c>
      <c r="K3" s="9" t="s">
        <v>12</v>
      </c>
      <c r="L3" s="9" t="s">
        <v>13</v>
      </c>
      <c r="M3" s="9" t="s">
        <v>14</v>
      </c>
      <c r="N3" s="6" t="s">
        <v>6</v>
      </c>
      <c r="O3" s="6" t="s">
        <v>7</v>
      </c>
      <c r="P3" s="6" t="s">
        <v>8</v>
      </c>
      <c r="Q3" s="9" t="s">
        <v>2</v>
      </c>
      <c r="R3" s="9" t="s">
        <v>3</v>
      </c>
      <c r="S3" s="11" t="s">
        <v>4</v>
      </c>
    </row>
    <row r="4" spans="1:19" x14ac:dyDescent="0.25">
      <c r="A4" s="4" t="s">
        <v>28</v>
      </c>
      <c r="B4" s="7">
        <v>50</v>
      </c>
      <c r="C4" s="7">
        <v>100</v>
      </c>
      <c r="D4" s="7">
        <v>150</v>
      </c>
      <c r="E4" s="10" t="s">
        <v>21</v>
      </c>
      <c r="F4" s="10" t="s">
        <v>22</v>
      </c>
      <c r="G4" s="10">
        <v>300</v>
      </c>
      <c r="H4" s="7" t="s">
        <v>21</v>
      </c>
      <c r="I4" s="7" t="s">
        <v>22</v>
      </c>
      <c r="J4" s="7">
        <v>300</v>
      </c>
      <c r="K4" s="10" t="s">
        <v>21</v>
      </c>
      <c r="L4" s="10">
        <v>200</v>
      </c>
      <c r="M4" s="10">
        <v>300</v>
      </c>
      <c r="N4" s="7" t="s">
        <v>21</v>
      </c>
      <c r="O4" s="7">
        <v>200</v>
      </c>
      <c r="P4" s="7">
        <v>400</v>
      </c>
      <c r="Q4" s="10" t="s">
        <v>23</v>
      </c>
      <c r="R4" s="10" t="s">
        <v>89</v>
      </c>
      <c r="S4" s="12">
        <v>400</v>
      </c>
    </row>
    <row r="6" spans="1:19" s="8" customFormat="1" ht="18.75" x14ac:dyDescent="0.25">
      <c r="A6" s="26" t="s">
        <v>29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7" spans="1:19" x14ac:dyDescent="0.25">
      <c r="A7" s="4" t="s">
        <v>26</v>
      </c>
      <c r="B7" s="27">
        <v>200</v>
      </c>
      <c r="C7" s="28"/>
      <c r="D7" s="29"/>
      <c r="E7" s="27">
        <v>300</v>
      </c>
      <c r="F7" s="28"/>
      <c r="G7" s="29"/>
      <c r="H7" s="14"/>
      <c r="I7" s="14"/>
      <c r="J7" s="14"/>
      <c r="K7" s="27">
        <v>400</v>
      </c>
      <c r="L7" s="28"/>
      <c r="M7" s="29"/>
      <c r="N7" s="14"/>
      <c r="O7" s="14"/>
      <c r="P7" s="14"/>
      <c r="Q7" s="27">
        <v>500</v>
      </c>
      <c r="R7" s="28"/>
      <c r="S7" s="29"/>
    </row>
    <row r="8" spans="1:19" s="2" customFormat="1" x14ac:dyDescent="0.25">
      <c r="A8" s="5" t="s">
        <v>27</v>
      </c>
      <c r="B8" s="6" t="s">
        <v>9</v>
      </c>
      <c r="C8" s="6" t="s">
        <v>10</v>
      </c>
      <c r="D8" s="6" t="s">
        <v>11</v>
      </c>
      <c r="E8" s="9" t="s">
        <v>5</v>
      </c>
      <c r="F8" s="9" t="s">
        <v>0</v>
      </c>
      <c r="G8" s="9" t="s">
        <v>1</v>
      </c>
      <c r="H8" s="6"/>
      <c r="I8" s="6"/>
      <c r="J8" s="6"/>
      <c r="K8" s="9" t="s">
        <v>12</v>
      </c>
      <c r="L8" s="9" t="s">
        <v>13</v>
      </c>
      <c r="M8" s="9" t="s">
        <v>14</v>
      </c>
      <c r="N8" s="6"/>
      <c r="O8" s="6"/>
      <c r="P8" s="6"/>
      <c r="Q8" s="9" t="s">
        <v>2</v>
      </c>
      <c r="R8" s="9" t="s">
        <v>3</v>
      </c>
      <c r="S8" s="9" t="s">
        <v>4</v>
      </c>
    </row>
    <row r="9" spans="1:19" x14ac:dyDescent="0.25">
      <c r="A9" s="4" t="s">
        <v>28</v>
      </c>
      <c r="B9" s="7">
        <v>50</v>
      </c>
      <c r="C9" s="7">
        <v>100</v>
      </c>
      <c r="D9" s="7">
        <v>150</v>
      </c>
      <c r="E9" s="10">
        <v>50</v>
      </c>
      <c r="F9" s="10">
        <v>150</v>
      </c>
      <c r="G9" s="10">
        <v>250</v>
      </c>
      <c r="H9" s="7"/>
      <c r="I9" s="7"/>
      <c r="J9" s="7"/>
      <c r="K9" s="10" t="s">
        <v>21</v>
      </c>
      <c r="L9" s="10">
        <v>200</v>
      </c>
      <c r="M9" s="10">
        <v>300</v>
      </c>
      <c r="N9" s="7"/>
      <c r="O9" s="7"/>
      <c r="P9" s="7"/>
      <c r="Q9" s="10" t="s">
        <v>23</v>
      </c>
      <c r="R9" s="10" t="s">
        <v>24</v>
      </c>
      <c r="S9" s="10">
        <v>400</v>
      </c>
    </row>
    <row r="11" spans="1:19" s="8" customFormat="1" ht="18.75" x14ac:dyDescent="0.25">
      <c r="A11" s="26" t="s">
        <v>30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</row>
    <row r="12" spans="1:19" x14ac:dyDescent="0.25">
      <c r="A12" s="4" t="s">
        <v>26</v>
      </c>
      <c r="B12" s="27">
        <v>20</v>
      </c>
      <c r="C12" s="28"/>
      <c r="D12" s="29"/>
      <c r="E12" s="27">
        <v>50</v>
      </c>
      <c r="F12" s="28"/>
      <c r="G12" s="29"/>
      <c r="H12" s="27">
        <v>100</v>
      </c>
      <c r="I12" s="28"/>
      <c r="J12" s="29"/>
      <c r="K12" s="27">
        <v>200</v>
      </c>
      <c r="L12" s="28"/>
      <c r="M12" s="29"/>
      <c r="N12" s="3"/>
      <c r="O12" s="3"/>
      <c r="P12" s="3"/>
      <c r="Q12" s="3"/>
      <c r="R12" s="3"/>
      <c r="S12" s="3"/>
    </row>
    <row r="13" spans="1:19" s="2" customFormat="1" x14ac:dyDescent="0.25">
      <c r="A13" s="5" t="s">
        <v>27</v>
      </c>
      <c r="B13" s="6" t="s">
        <v>37</v>
      </c>
      <c r="C13" s="6" t="s">
        <v>38</v>
      </c>
      <c r="D13" s="6" t="s">
        <v>39</v>
      </c>
      <c r="E13" s="9" t="s">
        <v>31</v>
      </c>
      <c r="F13" s="9" t="s">
        <v>32</v>
      </c>
      <c r="G13" s="9" t="s">
        <v>33</v>
      </c>
      <c r="H13" s="6" t="s">
        <v>34</v>
      </c>
      <c r="I13" s="6" t="s">
        <v>35</v>
      </c>
      <c r="J13" s="6" t="s">
        <v>36</v>
      </c>
      <c r="K13" s="9" t="s">
        <v>9</v>
      </c>
      <c r="L13" s="9" t="s">
        <v>10</v>
      </c>
      <c r="M13" s="9" t="s">
        <v>11</v>
      </c>
      <c r="N13" s="6"/>
      <c r="O13" s="6"/>
      <c r="P13" s="6"/>
      <c r="Q13" s="9"/>
      <c r="R13" s="9"/>
      <c r="S13" s="9"/>
    </row>
    <row r="14" spans="1:19" x14ac:dyDescent="0.25">
      <c r="A14" s="4" t="s">
        <v>28</v>
      </c>
      <c r="B14" s="7">
        <v>5</v>
      </c>
      <c r="C14" s="7">
        <v>10</v>
      </c>
      <c r="D14" s="7">
        <v>15</v>
      </c>
      <c r="E14" s="9" t="s">
        <v>88</v>
      </c>
      <c r="F14" s="10">
        <v>20</v>
      </c>
      <c r="G14" s="10">
        <v>40</v>
      </c>
      <c r="H14" s="7">
        <v>20</v>
      </c>
      <c r="I14" s="7">
        <v>40</v>
      </c>
      <c r="J14" s="7">
        <v>80</v>
      </c>
      <c r="K14" s="10">
        <v>20</v>
      </c>
      <c r="L14" s="10">
        <v>80</v>
      </c>
      <c r="M14" s="10">
        <v>160</v>
      </c>
      <c r="N14" s="7"/>
      <c r="O14" s="7"/>
      <c r="P14" s="7"/>
      <c r="Q14" s="10"/>
      <c r="R14" s="10"/>
      <c r="S14" s="10"/>
    </row>
    <row r="15" spans="1:19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10"/>
      <c r="R15" s="10"/>
      <c r="S15" s="10"/>
    </row>
    <row r="16" spans="1:19" s="8" customFormat="1" ht="18.75" x14ac:dyDescent="0.25">
      <c r="A16" s="26" t="s">
        <v>40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</row>
    <row r="17" spans="1:19" x14ac:dyDescent="0.25">
      <c r="A17" s="4" t="s">
        <v>26</v>
      </c>
      <c r="B17" s="27">
        <v>2000</v>
      </c>
      <c r="C17" s="28"/>
      <c r="D17" s="29"/>
      <c r="E17" s="27">
        <v>10000</v>
      </c>
      <c r="F17" s="28"/>
      <c r="G17" s="29"/>
      <c r="H17" s="27">
        <v>50000</v>
      </c>
      <c r="I17" s="28"/>
      <c r="J17" s="29"/>
      <c r="K17" s="27">
        <v>100000</v>
      </c>
      <c r="L17" s="28"/>
      <c r="M17" s="29"/>
      <c r="N17" s="27">
        <v>200000</v>
      </c>
      <c r="O17" s="28"/>
      <c r="P17" s="29"/>
      <c r="Q17" s="3"/>
      <c r="R17" s="3"/>
      <c r="S17" s="3"/>
    </row>
    <row r="18" spans="1:19" s="2" customFormat="1" x14ac:dyDescent="0.25">
      <c r="A18" s="5" t="s">
        <v>59</v>
      </c>
      <c r="B18" s="6" t="s">
        <v>42</v>
      </c>
      <c r="C18" s="6" t="s">
        <v>43</v>
      </c>
      <c r="D18" s="6" t="s">
        <v>44</v>
      </c>
      <c r="E18" s="9" t="s">
        <v>47</v>
      </c>
      <c r="F18" s="9" t="s">
        <v>46</v>
      </c>
      <c r="G18" s="9" t="s">
        <v>57</v>
      </c>
      <c r="H18" s="6" t="s">
        <v>48</v>
      </c>
      <c r="I18" s="6" t="s">
        <v>49</v>
      </c>
      <c r="J18" s="6" t="s">
        <v>50</v>
      </c>
      <c r="K18" s="9" t="s">
        <v>51</v>
      </c>
      <c r="L18" s="9" t="s">
        <v>52</v>
      </c>
      <c r="M18" s="9" t="s">
        <v>53</v>
      </c>
      <c r="N18" s="6" t="s">
        <v>54</v>
      </c>
      <c r="O18" s="6" t="s">
        <v>55</v>
      </c>
      <c r="P18" s="6" t="s">
        <v>56</v>
      </c>
      <c r="Q18" s="9"/>
      <c r="R18" s="9"/>
      <c r="S18" s="9"/>
    </row>
    <row r="19" spans="1:19" x14ac:dyDescent="0.25">
      <c r="A19" s="4" t="s">
        <v>28</v>
      </c>
      <c r="B19" s="7">
        <v>500</v>
      </c>
      <c r="C19" s="7">
        <v>1000</v>
      </c>
      <c r="D19" s="7">
        <v>1500</v>
      </c>
      <c r="E19" s="10" t="s">
        <v>66</v>
      </c>
      <c r="F19" s="10">
        <v>5000</v>
      </c>
      <c r="G19" s="10">
        <v>8000</v>
      </c>
      <c r="H19" s="7">
        <v>10000</v>
      </c>
      <c r="I19" s="7">
        <v>20000</v>
      </c>
      <c r="J19" s="7">
        <v>40000</v>
      </c>
      <c r="K19" s="10">
        <v>20000</v>
      </c>
      <c r="L19" s="10">
        <v>40000</v>
      </c>
      <c r="M19" s="10">
        <v>80000</v>
      </c>
      <c r="N19" s="7" t="s">
        <v>58</v>
      </c>
      <c r="O19" s="7">
        <v>80000</v>
      </c>
      <c r="P19" s="7">
        <v>160000</v>
      </c>
      <c r="Q19" s="10"/>
      <c r="R19" s="10"/>
      <c r="S19" s="10"/>
    </row>
    <row r="21" spans="1:19" s="2" customFormat="1" x14ac:dyDescent="0.25">
      <c r="A21" s="5" t="s">
        <v>60</v>
      </c>
      <c r="B21" s="6" t="s">
        <v>61</v>
      </c>
      <c r="C21" s="6" t="s">
        <v>43</v>
      </c>
      <c r="D21" s="6" t="s">
        <v>44</v>
      </c>
      <c r="E21" s="9" t="s">
        <v>62</v>
      </c>
      <c r="F21" s="9" t="s">
        <v>46</v>
      </c>
      <c r="G21" s="9" t="s">
        <v>57</v>
      </c>
      <c r="H21" s="6" t="s">
        <v>63</v>
      </c>
      <c r="I21" s="6" t="s">
        <v>49</v>
      </c>
      <c r="J21" s="6" t="s">
        <v>50</v>
      </c>
      <c r="K21" s="9" t="s">
        <v>64</v>
      </c>
      <c r="L21" s="9" t="s">
        <v>52</v>
      </c>
      <c r="M21" s="9" t="s">
        <v>53</v>
      </c>
      <c r="N21" s="6" t="s">
        <v>65</v>
      </c>
      <c r="O21" s="6" t="s">
        <v>55</v>
      </c>
      <c r="P21" s="6" t="s">
        <v>56</v>
      </c>
      <c r="Q21" s="9"/>
      <c r="R21" s="9"/>
      <c r="S21" s="9"/>
    </row>
    <row r="22" spans="1:19" x14ac:dyDescent="0.25">
      <c r="A22" s="4" t="s">
        <v>28</v>
      </c>
      <c r="B22" s="7">
        <v>500</v>
      </c>
      <c r="C22" s="7">
        <v>1000</v>
      </c>
      <c r="D22" s="7">
        <v>1500</v>
      </c>
      <c r="E22" s="10">
        <v>2000</v>
      </c>
      <c r="F22" s="10">
        <v>5000</v>
      </c>
      <c r="G22" s="10">
        <v>8000</v>
      </c>
      <c r="H22" s="7">
        <v>10000</v>
      </c>
      <c r="I22" s="7">
        <v>20000</v>
      </c>
      <c r="J22" s="7">
        <v>40000</v>
      </c>
      <c r="K22" s="10">
        <v>20000</v>
      </c>
      <c r="L22" s="10">
        <v>40000</v>
      </c>
      <c r="M22" s="10">
        <v>80000</v>
      </c>
      <c r="N22" s="7">
        <v>40000</v>
      </c>
      <c r="O22" s="7">
        <v>80000</v>
      </c>
      <c r="P22" s="7">
        <v>160000</v>
      </c>
      <c r="Q22" s="10"/>
      <c r="R22" s="10"/>
      <c r="S22" s="10"/>
    </row>
    <row r="24" spans="1:19" s="8" customFormat="1" ht="18.75" x14ac:dyDescent="0.25">
      <c r="A24" s="26" t="s">
        <v>41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</row>
    <row r="25" spans="1:19" x14ac:dyDescent="0.25">
      <c r="A25" s="4" t="s">
        <v>26</v>
      </c>
      <c r="B25" s="27">
        <v>500</v>
      </c>
      <c r="C25" s="28"/>
      <c r="D25" s="29"/>
      <c r="E25" s="27">
        <v>1000</v>
      </c>
      <c r="F25" s="28"/>
      <c r="G25" s="29"/>
      <c r="H25" s="27">
        <v>4000</v>
      </c>
      <c r="I25" s="28"/>
      <c r="J25" s="29"/>
      <c r="K25" s="30"/>
      <c r="L25" s="31"/>
      <c r="M25" s="32"/>
      <c r="N25" s="3"/>
      <c r="O25" s="3"/>
      <c r="P25" s="3"/>
      <c r="Q25" s="3"/>
      <c r="R25" s="3"/>
      <c r="S25" s="3"/>
    </row>
    <row r="26" spans="1:19" s="2" customFormat="1" x14ac:dyDescent="0.25">
      <c r="A26" s="5" t="s">
        <v>67</v>
      </c>
      <c r="B26" s="6" t="s">
        <v>2</v>
      </c>
      <c r="C26" s="6" t="s">
        <v>3</v>
      </c>
      <c r="D26" s="6" t="s">
        <v>4</v>
      </c>
      <c r="E26" s="9" t="s">
        <v>45</v>
      </c>
      <c r="F26" s="9" t="s">
        <v>69</v>
      </c>
      <c r="G26" s="9" t="s">
        <v>70</v>
      </c>
      <c r="H26" s="6" t="s">
        <v>71</v>
      </c>
      <c r="I26" s="6" t="s">
        <v>72</v>
      </c>
      <c r="J26" s="6" t="s">
        <v>73</v>
      </c>
      <c r="K26" s="9"/>
      <c r="L26" s="9"/>
      <c r="M26" s="9"/>
      <c r="N26" s="6"/>
      <c r="O26" s="6"/>
      <c r="P26" s="6"/>
      <c r="Q26" s="9"/>
      <c r="R26" s="9"/>
      <c r="S26" s="9"/>
    </row>
    <row r="27" spans="1:19" x14ac:dyDescent="0.25">
      <c r="A27" s="4" t="s">
        <v>28</v>
      </c>
      <c r="B27" s="7">
        <v>100</v>
      </c>
      <c r="C27" s="7">
        <v>200</v>
      </c>
      <c r="D27" s="7">
        <v>400</v>
      </c>
      <c r="E27" s="10" t="s">
        <v>74</v>
      </c>
      <c r="F27" s="10">
        <v>400</v>
      </c>
      <c r="G27" s="10">
        <v>800</v>
      </c>
      <c r="H27" s="7" t="s">
        <v>75</v>
      </c>
      <c r="I27" s="7">
        <v>2000</v>
      </c>
      <c r="J27" s="7">
        <v>3200</v>
      </c>
      <c r="K27" s="10"/>
      <c r="L27" s="10"/>
      <c r="M27" s="10"/>
      <c r="N27" s="7"/>
      <c r="O27" s="7"/>
      <c r="P27" s="7"/>
      <c r="Q27" s="10"/>
      <c r="R27" s="10"/>
      <c r="S27" s="10"/>
    </row>
    <row r="29" spans="1:19" x14ac:dyDescent="0.25">
      <c r="A29" s="4" t="s">
        <v>68</v>
      </c>
      <c r="B29" s="7">
        <v>20</v>
      </c>
      <c r="C29" s="7">
        <v>200</v>
      </c>
      <c r="D29" s="7">
        <v>400</v>
      </c>
      <c r="E29" s="10">
        <v>200</v>
      </c>
      <c r="F29" s="10">
        <v>400</v>
      </c>
      <c r="G29" s="10">
        <v>800</v>
      </c>
      <c r="H29" s="7">
        <v>400</v>
      </c>
      <c r="I29" s="7">
        <v>800</v>
      </c>
      <c r="J29" s="7">
        <v>2000</v>
      </c>
      <c r="K29" s="10"/>
      <c r="L29" s="10"/>
      <c r="M29" s="10"/>
      <c r="N29" s="7"/>
      <c r="O29" s="7"/>
      <c r="P29" s="7"/>
      <c r="Q29" s="10"/>
      <c r="R29" s="10"/>
      <c r="S29" s="10"/>
    </row>
    <row r="31" spans="1:19" s="8" customFormat="1" ht="18.75" x14ac:dyDescent="0.25">
      <c r="A31" s="26" t="s">
        <v>76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</row>
    <row r="32" spans="1:19" x14ac:dyDescent="0.25">
      <c r="A32" s="4" t="s">
        <v>26</v>
      </c>
      <c r="B32" s="27" t="s">
        <v>77</v>
      </c>
      <c r="C32" s="28"/>
      <c r="D32" s="29"/>
      <c r="E32" s="27" t="s">
        <v>78</v>
      </c>
      <c r="F32" s="28"/>
      <c r="G32" s="29"/>
      <c r="H32" s="27" t="s">
        <v>79</v>
      </c>
      <c r="I32" s="28"/>
      <c r="J32" s="29"/>
      <c r="K32" s="27" t="s">
        <v>80</v>
      </c>
      <c r="L32" s="28"/>
      <c r="M32" s="29"/>
      <c r="N32" s="27" t="s">
        <v>81</v>
      </c>
      <c r="O32" s="28"/>
      <c r="P32" s="29"/>
      <c r="Q32" s="3"/>
      <c r="R32" s="3"/>
      <c r="S32" s="3"/>
    </row>
    <row r="33" spans="1:19" x14ac:dyDescent="0.25">
      <c r="A33" s="4" t="s">
        <v>82</v>
      </c>
      <c r="B33" s="13"/>
      <c r="C33" s="13"/>
      <c r="D33" s="13"/>
      <c r="E33" s="10">
        <v>10</v>
      </c>
      <c r="F33" s="10">
        <v>84</v>
      </c>
      <c r="G33" s="10">
        <v>147</v>
      </c>
      <c r="H33" s="7">
        <v>147</v>
      </c>
      <c r="I33" s="7">
        <v>1000</v>
      </c>
      <c r="J33" s="7">
        <v>1413</v>
      </c>
      <c r="K33" s="10">
        <v>1413</v>
      </c>
      <c r="L33" s="10">
        <v>8000</v>
      </c>
      <c r="M33" s="10">
        <v>12880</v>
      </c>
      <c r="N33" s="7">
        <v>12880</v>
      </c>
      <c r="O33" s="7">
        <v>111300</v>
      </c>
      <c r="P33" s="7">
        <v>400000</v>
      </c>
      <c r="Q33" s="10"/>
      <c r="R33" s="10"/>
      <c r="S33" s="10"/>
    </row>
    <row r="35" spans="1:19" x14ac:dyDescent="0.25">
      <c r="A35" s="4" t="s">
        <v>83</v>
      </c>
      <c r="B35" s="27" t="s">
        <v>77</v>
      </c>
      <c r="C35" s="28"/>
      <c r="D35" s="29"/>
      <c r="E35" s="27" t="s">
        <v>84</v>
      </c>
      <c r="F35" s="28"/>
      <c r="G35" s="29"/>
      <c r="H35" s="27" t="s">
        <v>85</v>
      </c>
      <c r="I35" s="28"/>
      <c r="J35" s="29"/>
      <c r="K35" s="27" t="s">
        <v>86</v>
      </c>
      <c r="L35" s="28"/>
      <c r="M35" s="29"/>
      <c r="N35" s="27" t="s">
        <v>81</v>
      </c>
      <c r="O35" s="28"/>
      <c r="P35" s="29"/>
      <c r="Q35" s="3"/>
      <c r="R35" s="3"/>
      <c r="S35" s="3"/>
    </row>
    <row r="36" spans="1:19" x14ac:dyDescent="0.25">
      <c r="A36" s="4" t="s">
        <v>28</v>
      </c>
      <c r="B36" s="24" t="s">
        <v>87</v>
      </c>
      <c r="C36" s="25"/>
      <c r="D36" s="7">
        <v>10</v>
      </c>
      <c r="E36" s="10">
        <v>10</v>
      </c>
      <c r="F36" s="10">
        <v>84</v>
      </c>
      <c r="G36" s="10">
        <v>147</v>
      </c>
      <c r="H36" s="7">
        <v>147</v>
      </c>
      <c r="I36" s="7">
        <v>1000</v>
      </c>
      <c r="J36" s="7">
        <v>1413</v>
      </c>
      <c r="K36" s="10">
        <v>1413</v>
      </c>
      <c r="L36" s="10">
        <v>8000</v>
      </c>
      <c r="M36" s="10">
        <v>12880</v>
      </c>
      <c r="N36" s="7">
        <v>1413</v>
      </c>
      <c r="O36" s="7">
        <v>12880</v>
      </c>
      <c r="P36" s="7">
        <v>111300</v>
      </c>
      <c r="Q36" s="10"/>
      <c r="R36" s="10"/>
      <c r="S36" s="10"/>
    </row>
  </sheetData>
  <mergeCells count="40">
    <mergeCell ref="A1:S1"/>
    <mergeCell ref="A6:S6"/>
    <mergeCell ref="A11:S11"/>
    <mergeCell ref="B2:D2"/>
    <mergeCell ref="H2:J2"/>
    <mergeCell ref="K2:M2"/>
    <mergeCell ref="N2:P2"/>
    <mergeCell ref="Q2:S2"/>
    <mergeCell ref="E2:G2"/>
    <mergeCell ref="A24:S24"/>
    <mergeCell ref="B25:D25"/>
    <mergeCell ref="E25:G25"/>
    <mergeCell ref="H25:J25"/>
    <mergeCell ref="K25:M25"/>
    <mergeCell ref="N17:P17"/>
    <mergeCell ref="B17:D17"/>
    <mergeCell ref="E17:G17"/>
    <mergeCell ref="H17:J17"/>
    <mergeCell ref="K17:M17"/>
    <mergeCell ref="A16:S16"/>
    <mergeCell ref="Q7:S7"/>
    <mergeCell ref="K7:M7"/>
    <mergeCell ref="E7:G7"/>
    <mergeCell ref="B7:D7"/>
    <mergeCell ref="B12:D12"/>
    <mergeCell ref="E12:G12"/>
    <mergeCell ref="H12:J12"/>
    <mergeCell ref="K12:M12"/>
    <mergeCell ref="B36:C36"/>
    <mergeCell ref="A31:S31"/>
    <mergeCell ref="B32:D32"/>
    <mergeCell ref="E32:G32"/>
    <mergeCell ref="H32:J32"/>
    <mergeCell ref="K32:M32"/>
    <mergeCell ref="N32:P32"/>
    <mergeCell ref="B35:D35"/>
    <mergeCell ref="E35:G35"/>
    <mergeCell ref="H35:J35"/>
    <mergeCell ref="K35:M35"/>
    <mergeCell ref="N35:P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9E94-98AB-4300-A23B-E72AF2A1C26C}">
  <dimension ref="A1:N13"/>
  <sheetViews>
    <sheetView workbookViewId="0">
      <selection activeCell="N5" sqref="N5:N13"/>
    </sheetView>
  </sheetViews>
  <sheetFormatPr defaultRowHeight="15.75" x14ac:dyDescent="0.25"/>
  <cols>
    <col min="1" max="2" width="9" style="15"/>
    <col min="3" max="3" width="15.875" style="1" customWidth="1"/>
    <col min="4" max="12" width="10.125" style="15" customWidth="1"/>
    <col min="13" max="13" width="10.75" style="15" customWidth="1"/>
    <col min="14" max="14" width="11.25" style="15" customWidth="1"/>
    <col min="15" max="16384" width="9" style="15"/>
  </cols>
  <sheetData>
    <row r="1" spans="1:14" s="1" customFormat="1" x14ac:dyDescent="0.25">
      <c r="A1" s="16" t="s">
        <v>103</v>
      </c>
      <c r="B1" s="17" t="s">
        <v>90</v>
      </c>
      <c r="C1" s="17" t="s">
        <v>93</v>
      </c>
      <c r="D1" s="17" t="s">
        <v>94</v>
      </c>
      <c r="E1" s="17" t="s">
        <v>95</v>
      </c>
      <c r="F1" s="17" t="s">
        <v>96</v>
      </c>
      <c r="G1" s="17" t="s">
        <v>97</v>
      </c>
      <c r="H1" s="17" t="s">
        <v>98</v>
      </c>
      <c r="I1" s="17" t="s">
        <v>99</v>
      </c>
      <c r="J1" s="17" t="s">
        <v>100</v>
      </c>
      <c r="K1" s="17" t="s">
        <v>101</v>
      </c>
      <c r="L1" s="17" t="s">
        <v>102</v>
      </c>
      <c r="M1" s="22" t="s">
        <v>91</v>
      </c>
      <c r="N1" s="22" t="s">
        <v>92</v>
      </c>
    </row>
    <row r="2" spans="1:14" x14ac:dyDescent="0.25">
      <c r="A2" s="18" t="s">
        <v>25</v>
      </c>
      <c r="B2" s="19">
        <v>200</v>
      </c>
      <c r="C2" s="22">
        <v>1</v>
      </c>
      <c r="D2" s="19">
        <v>50</v>
      </c>
      <c r="E2" s="19">
        <v>100</v>
      </c>
      <c r="F2" s="19">
        <v>150</v>
      </c>
      <c r="G2" s="19">
        <v>200</v>
      </c>
      <c r="H2" s="19">
        <v>250</v>
      </c>
      <c r="I2" s="19">
        <v>300</v>
      </c>
      <c r="J2" s="19">
        <v>400</v>
      </c>
      <c r="K2" s="19"/>
      <c r="L2" s="19"/>
      <c r="M2" s="19">
        <f>IF(Table1[[#This Row],[Dải đo]]=0, " ",IF(C2=$C$2, B2*0.2, IF(C2=$C$3, B2*0.4, B2*0.6)))</f>
        <v>40</v>
      </c>
      <c r="N2" s="19">
        <f>IF(C2=$C$2, B2*0.4, IF(C2=$C$3, B2*0.6, B2*0.8))</f>
        <v>80</v>
      </c>
    </row>
    <row r="3" spans="1:14" x14ac:dyDescent="0.25">
      <c r="A3" s="18"/>
      <c r="B3" s="19"/>
      <c r="C3" s="22">
        <v>2</v>
      </c>
      <c r="D3" s="19">
        <v>50</v>
      </c>
      <c r="E3" s="19">
        <v>100</v>
      </c>
      <c r="F3" s="19">
        <v>150</v>
      </c>
      <c r="G3" s="19">
        <v>200</v>
      </c>
      <c r="H3" s="19">
        <v>250</v>
      </c>
      <c r="I3" s="19">
        <v>300</v>
      </c>
      <c r="J3" s="19">
        <v>400</v>
      </c>
      <c r="K3" s="19"/>
      <c r="L3" s="19"/>
      <c r="M3" s="19">
        <f>IF(B2=0, " ",IF(C3=$C$2, B2*0.2, IF(C3=$C$3, B2*0.4, B2*0.6)))</f>
        <v>80</v>
      </c>
      <c r="N3" s="19">
        <f>IF(C3=$C$2, B2*0.4, IF(C3=$C$3, B2*0.6, B2*0.8))</f>
        <v>120</v>
      </c>
    </row>
    <row r="4" spans="1:14" x14ac:dyDescent="0.25">
      <c r="A4" s="18"/>
      <c r="B4" s="19"/>
      <c r="C4" s="22">
        <v>3</v>
      </c>
      <c r="D4" s="19">
        <v>50</v>
      </c>
      <c r="E4" s="19">
        <v>100</v>
      </c>
      <c r="F4" s="19">
        <v>150</v>
      </c>
      <c r="G4" s="19">
        <v>200</v>
      </c>
      <c r="H4" s="19">
        <v>250</v>
      </c>
      <c r="I4" s="19">
        <v>300</v>
      </c>
      <c r="J4" s="19">
        <v>400</v>
      </c>
      <c r="K4" s="19"/>
      <c r="L4" s="19"/>
      <c r="M4" s="19">
        <f>IF(B2=0, " ",IF(C4=$C$2, B3*0.2, IF(C4=$C$3, B3*0.4, B3*0.6)))</f>
        <v>0</v>
      </c>
      <c r="N4" s="19">
        <f>IF(C4=$C$2, B2*0.4, IF(C4=$C$3, B2*0.6, B2*0.8))</f>
        <v>160</v>
      </c>
    </row>
    <row r="5" spans="1:14" x14ac:dyDescent="0.25">
      <c r="A5" s="18"/>
      <c r="B5" s="19"/>
      <c r="C5" s="22"/>
      <c r="D5" s="19"/>
      <c r="E5" s="19"/>
      <c r="F5" s="19"/>
      <c r="G5" s="19"/>
      <c r="H5" s="19"/>
      <c r="I5" s="19"/>
      <c r="J5" s="19"/>
      <c r="K5" s="19"/>
      <c r="L5" s="19"/>
      <c r="M5" s="19" t="str">
        <f>IF(Table1[[#This Row],[Dải đo]]=0, " ",IF(C5=$C$2, B5*0.2, IF(C5=$C$3, B5*0.4, B5*0.6)))</f>
        <v xml:space="preserve"> </v>
      </c>
      <c r="N5" s="19" t="str">
        <f>IF(Table1[[#This Row],[Dải đo]]=0, " ", IF(C5=$C$2, B5*0.4, IF(C5=$C$3, B5*0.6, B5*0.8)))</f>
        <v xml:space="preserve"> </v>
      </c>
    </row>
    <row r="6" spans="1:14" x14ac:dyDescent="0.25">
      <c r="A6" s="18"/>
      <c r="B6" s="19"/>
      <c r="C6" s="22"/>
      <c r="D6" s="19"/>
      <c r="E6" s="19"/>
      <c r="F6" s="19"/>
      <c r="G6" s="19"/>
      <c r="H6" s="19"/>
      <c r="I6" s="19"/>
      <c r="J6" s="19"/>
      <c r="K6" s="19"/>
      <c r="L6" s="19"/>
      <c r="M6" s="19" t="str">
        <f>IF(Table1[[#This Row],[Dải đo]]=0, " ",IF(C6=$C$2, B6*0.2, IF(C6=$C$3, B6*0.4, B6*0.6)))</f>
        <v xml:space="preserve"> </v>
      </c>
      <c r="N6" s="19" t="str">
        <f>IF(Table1[[#This Row],[Dải đo]]=0, " ", IF(C6=$C$2, B6*0.4, IF(C6=$C$3, B6*0.6, B6*0.8)))</f>
        <v xml:space="preserve"> </v>
      </c>
    </row>
    <row r="7" spans="1:14" x14ac:dyDescent="0.25">
      <c r="A7" s="18"/>
      <c r="B7" s="19"/>
      <c r="C7" s="22"/>
      <c r="D7" s="19"/>
      <c r="E7" s="19"/>
      <c r="F7" s="19"/>
      <c r="G7" s="19"/>
      <c r="H7" s="19"/>
      <c r="I7" s="19"/>
      <c r="J7" s="19"/>
      <c r="K7" s="19"/>
      <c r="L7" s="19"/>
      <c r="M7" s="19" t="str">
        <f>IF(Table1[[#This Row],[Dải đo]]=0, " ",IF(C7=$C$2, B7*0.2, IF(C7=$C$3, B7*0.4, B7*0.6)))</f>
        <v xml:space="preserve"> </v>
      </c>
      <c r="N7" s="19" t="str">
        <f>IF(Table1[[#This Row],[Dải đo]]=0, " ", IF(C7=$C$2, B7*0.4, IF(C7=$C$3, B7*0.6, B7*0.8)))</f>
        <v xml:space="preserve"> </v>
      </c>
    </row>
    <row r="8" spans="1:14" x14ac:dyDescent="0.25">
      <c r="A8" s="18"/>
      <c r="B8" s="19"/>
      <c r="C8" s="22"/>
      <c r="D8" s="19"/>
      <c r="E8" s="19"/>
      <c r="F8" s="19"/>
      <c r="G8" s="19"/>
      <c r="H8" s="19"/>
      <c r="I8" s="19"/>
      <c r="J8" s="19"/>
      <c r="K8" s="19"/>
      <c r="L8" s="19"/>
      <c r="M8" s="19" t="str">
        <f>IF(Table1[[#This Row],[Dải đo]]=0, " ",IF(C8=$C$2, B8*0.2, IF(C8=$C$3, B8*0.4, B8*0.6)))</f>
        <v xml:space="preserve"> </v>
      </c>
      <c r="N8" s="19" t="str">
        <f>IF(Table1[[#This Row],[Dải đo]]=0, " ", IF(C8=$C$2, B8*0.4, IF(C8=$C$3, B8*0.6, B8*0.8)))</f>
        <v xml:space="preserve"> </v>
      </c>
    </row>
    <row r="9" spans="1:14" x14ac:dyDescent="0.25">
      <c r="A9" s="18"/>
      <c r="B9" s="19"/>
      <c r="C9" s="22"/>
      <c r="D9" s="19"/>
      <c r="E9" s="19"/>
      <c r="F9" s="19"/>
      <c r="G9" s="19"/>
      <c r="H9" s="19"/>
      <c r="I9" s="19"/>
      <c r="J9" s="19"/>
      <c r="K9" s="19"/>
      <c r="L9" s="19"/>
      <c r="M9" s="19" t="str">
        <f>IF(Table1[[#This Row],[Dải đo]]=0, " ",IF(C9=$C$2, B9*0.2, IF(C9=$C$3, B9*0.4, B9*0.6)))</f>
        <v xml:space="preserve"> </v>
      </c>
      <c r="N9" s="19" t="str">
        <f>IF(Table1[[#This Row],[Dải đo]]=0, " ", IF(C9=$C$2, B9*0.4, IF(C9=$C$3, B9*0.6, B9*0.8)))</f>
        <v xml:space="preserve"> </v>
      </c>
    </row>
    <row r="10" spans="1:14" x14ac:dyDescent="0.25">
      <c r="A10" s="18"/>
      <c r="B10" s="19"/>
      <c r="C10" s="22"/>
      <c r="D10" s="19"/>
      <c r="E10" s="19"/>
      <c r="F10" s="19"/>
      <c r="G10" s="19"/>
      <c r="H10" s="19"/>
      <c r="I10" s="19"/>
      <c r="J10" s="19"/>
      <c r="K10" s="19"/>
      <c r="L10" s="19"/>
      <c r="M10" s="19" t="str">
        <f>IF(Table1[[#This Row],[Dải đo]]=0, " ",IF(C10=$C$2, B10*0.2, IF(C10=$C$3, B10*0.4, B10*0.6)))</f>
        <v xml:space="preserve"> </v>
      </c>
      <c r="N10" s="19" t="str">
        <f>IF(Table1[[#This Row],[Dải đo]]=0, " ", IF(C10=$C$2, B10*0.4, IF(C10=$C$3, B10*0.6, B10*0.8)))</f>
        <v xml:space="preserve"> </v>
      </c>
    </row>
    <row r="11" spans="1:14" x14ac:dyDescent="0.25">
      <c r="A11" s="18"/>
      <c r="B11" s="19"/>
      <c r="C11" s="22"/>
      <c r="D11" s="19"/>
      <c r="E11" s="19"/>
      <c r="F11" s="19"/>
      <c r="G11" s="19"/>
      <c r="H11" s="19"/>
      <c r="I11" s="19"/>
      <c r="J11" s="19"/>
      <c r="K11" s="19"/>
      <c r="L11" s="19"/>
      <c r="M11" s="19" t="str">
        <f>IF(Table1[[#This Row],[Dải đo]]=0, " ",IF(C11=$C$2, B11*0.2, IF(C11=$C$3, B11*0.4, B11*0.6)))</f>
        <v xml:space="preserve"> </v>
      </c>
      <c r="N11" s="19" t="str">
        <f>IF(Table1[[#This Row],[Dải đo]]=0, " ", IF(C11=$C$2, B11*0.4, IF(C11=$C$3, B11*0.6, B11*0.8)))</f>
        <v xml:space="preserve"> </v>
      </c>
    </row>
    <row r="12" spans="1:14" x14ac:dyDescent="0.25">
      <c r="A12" s="18"/>
      <c r="B12" s="19"/>
      <c r="C12" s="22"/>
      <c r="D12" s="19"/>
      <c r="E12" s="19"/>
      <c r="F12" s="19"/>
      <c r="G12" s="19"/>
      <c r="H12" s="19"/>
      <c r="I12" s="19"/>
      <c r="J12" s="19"/>
      <c r="K12" s="19"/>
      <c r="L12" s="19"/>
      <c r="M12" s="19" t="str">
        <f>IF(Table1[[#This Row],[Dải đo]]=0, " ",IF(C12=$C$2, B12*0.2, IF(C12=$C$3, B12*0.4, B12*0.6)))</f>
        <v xml:space="preserve"> </v>
      </c>
      <c r="N12" s="19" t="str">
        <f>IF(Table1[[#This Row],[Dải đo]]=0, " ", IF(C12=$C$2, B12*0.4, IF(C12=$C$3, B12*0.6, B12*0.8)))</f>
        <v xml:space="preserve"> </v>
      </c>
    </row>
    <row r="13" spans="1:14" x14ac:dyDescent="0.25">
      <c r="A13" s="20"/>
      <c r="B13" s="21"/>
      <c r="C13" s="23"/>
      <c r="D13" s="21"/>
      <c r="E13" s="21"/>
      <c r="F13" s="21"/>
      <c r="G13" s="21"/>
      <c r="H13" s="21"/>
      <c r="I13" s="21"/>
      <c r="J13" s="21"/>
      <c r="K13" s="21"/>
      <c r="L13" s="21"/>
      <c r="M13" s="19" t="str">
        <f>IF(Table1[[#This Row],[Dải đo]]=0, " ",IF(C13=$C$2, B13*0.2, IF(C13=$C$3, B13*0.4, B13*0.6)))</f>
        <v xml:space="preserve"> </v>
      </c>
      <c r="N13" s="19" t="str">
        <f>IF(Table1[[#This Row],[Dải đo]]=0, " ", IF(C13=$C$2, B13*0.4, IF(C13=$C$3, B13*0.6, B13*0.8)))</f>
        <v xml:space="preserve"> </v>
      </c>
    </row>
  </sheetData>
  <conditionalFormatting sqref="D2:D13">
    <cfRule type="cellIs" dxfId="1" priority="2" operator="between">
      <formula>$M2</formula>
      <formula>$N2</formula>
    </cfRule>
  </conditionalFormatting>
  <conditionalFormatting sqref="E2:E13">
    <cfRule type="cellIs" dxfId="0" priority="1" operator="between">
      <formula>$M2</formula>
      <formula>$N2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Hưng</dc:creator>
  <cp:lastModifiedBy>Dell</cp:lastModifiedBy>
  <dcterms:created xsi:type="dcterms:W3CDTF">2023-10-13T02:14:23Z</dcterms:created>
  <dcterms:modified xsi:type="dcterms:W3CDTF">2023-11-06T01:35:00Z</dcterms:modified>
</cp:coreProperties>
</file>