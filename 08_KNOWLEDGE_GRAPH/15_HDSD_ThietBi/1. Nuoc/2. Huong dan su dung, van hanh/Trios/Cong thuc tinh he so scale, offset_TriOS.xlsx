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filterPrivacy="1" defaultThemeVersion="124226"/>
  <xr:revisionPtr revIDLastSave="0" documentId="13_ncr:1_{6167F40D-13D6-4B21-9AC9-248ED6E15602}" xr6:coauthVersionLast="45" xr6:coauthVersionMax="45" xr10:uidLastSave="{00000000-0000-0000-0000-000000000000}"/>
  <bookViews>
    <workbookView xWindow="-120" yWindow="-120" windowWidth="20640" windowHeight="11160" activeTab="2" xr2:uid="{00000000-000D-0000-FFFF-FFFF00000000}"/>
  </bookViews>
  <sheets>
    <sheet name="BOD" sheetId="1" r:id="rId1"/>
    <sheet name="TSS" sheetId="2" r:id="rId2"/>
    <sheet name="p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" i="3" l="1"/>
  <c r="F9" i="3" s="1"/>
  <c r="E8" i="2" l="1"/>
  <c r="E9" i="2" s="1"/>
  <c r="E7" i="2"/>
  <c r="E7" i="1" l="1"/>
  <c r="E8" i="1" s="1"/>
  <c r="E6" i="1"/>
</calcChain>
</file>

<file path=xl/sharedStrings.xml><?xml version="1.0" encoding="utf-8"?>
<sst xmlns="http://schemas.openxmlformats.org/spreadsheetml/2006/main" count="44" uniqueCount="26">
  <si>
    <t>measure1</t>
  </si>
  <si>
    <t>measure2</t>
  </si>
  <si>
    <t>offet1</t>
  </si>
  <si>
    <t>OFFSET2</t>
  </si>
  <si>
    <t>scaling factory</t>
  </si>
  <si>
    <t>(lap2 - lap1)/ (measure 2- measure 1)</t>
  </si>
  <si>
    <t>measure 2- (Lab2 / Scaling factory)</t>
  </si>
  <si>
    <t>Lab1</t>
  </si>
  <si>
    <t>Lab2</t>
  </si>
  <si>
    <t>giá trị phân tích trong phòng thí nghiệm 1</t>
  </si>
  <si>
    <t>giá trị phân tích trong phòng thí nghiệm 2</t>
  </si>
  <si>
    <t>giá trị thô (RAW) của đầu dò trong môi trường nước thải 2</t>
  </si>
  <si>
    <t>giá trị thô (RAW) của đầu dò trong môi trường nước thải 1</t>
  </si>
  <si>
    <t>offset = measure 1</t>
  </si>
  <si>
    <t>CÔNG THỨC TÍNH HỆ SỐ SCAL VÀ OFFSET</t>
  </si>
  <si>
    <t>nhập giá trị này vào mục scale</t>
  </si>
  <si>
    <t>nhập giá trị này vào mục offset</t>
  </si>
  <si>
    <t>Y1</t>
  </si>
  <si>
    <t>X1</t>
  </si>
  <si>
    <t>Y2</t>
  </si>
  <si>
    <t>X2</t>
  </si>
  <si>
    <t>offset</t>
  </si>
  <si>
    <t>scalling</t>
  </si>
  <si>
    <t>Giá trị chuẩn @pH7</t>
  </si>
  <si>
    <t>Giá trị PTĐ @pH7</t>
  </si>
  <si>
    <t>Giá trị chuẩn @pH4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</si>
</sst>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/>
    <xf numFmtId="0" fontId="5" fillId="0" borderId="1" xfId="0" applyFont="1" applyBorder="1"/>
    <xf numFmtId="0" fontId="5" fillId="0" borderId="0" xfId="0" applyFont="1"/>
    <xf numFmtId="0" fontId="6" fillId="0" borderId="1" xfId="0" applyFont="1" applyBorder="1"/>
    <xf numFmtId="0" fontId="2" fillId="0" borderId="0" xfId="0" applyFont="1"/>
    <xf numFmtId="0" fontId="7" fillId="0" borderId="1" xfId="0" applyFont="1" applyBorder="1"/>
    <xf numFmtId="2" fontId="0" fillId="0" borderId="0" xfId="0" applyNumberFormat="1"/>
    <xf numFmtId="164" fontId="0" fillId="0" borderId="0" xfId="0" applyNumberFormat="1"/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8"/>
  <sheetViews>
    <sheetView workbookViewId="0">
      <selection activeCell="D13" sqref="D13"/>
    </sheetView>
  </sheetViews>
  <sheetFormatPr defaultRowHeight="16.5" x14ac:dyDescent="0.25"/>
  <cols>
    <col min="1" max="2" width="9.140625" style="1"/>
    <col min="3" max="3" width="17" style="6" bestFit="1" customWidth="1"/>
    <col min="4" max="4" width="34.42578125" style="1" bestFit="1" customWidth="1"/>
    <col min="5" max="5" width="9.140625" style="1"/>
    <col min="6" max="6" width="59.5703125" style="1" bestFit="1" customWidth="1"/>
    <col min="7" max="16384" width="9.140625" style="1"/>
  </cols>
  <sheetData>
    <row r="1" spans="3:6" x14ac:dyDescent="0.25">
      <c r="C1" s="12" t="s">
        <v>14</v>
      </c>
      <c r="D1" s="12"/>
      <c r="E1" s="12"/>
      <c r="F1" s="12"/>
    </row>
    <row r="2" spans="3:6" x14ac:dyDescent="0.25">
      <c r="C2" s="5" t="s">
        <v>7</v>
      </c>
      <c r="D2" s="2"/>
      <c r="E2" s="2">
        <v>40</v>
      </c>
      <c r="F2" s="2" t="s">
        <v>9</v>
      </c>
    </row>
    <row r="3" spans="3:6" x14ac:dyDescent="0.25">
      <c r="C3" s="5" t="s">
        <v>8</v>
      </c>
      <c r="D3" s="2"/>
      <c r="E3" s="2">
        <v>50</v>
      </c>
      <c r="F3" s="2" t="s">
        <v>10</v>
      </c>
    </row>
    <row r="4" spans="3:6" x14ac:dyDescent="0.25">
      <c r="C4" s="5" t="s">
        <v>1</v>
      </c>
      <c r="D4" s="2"/>
      <c r="E4" s="2">
        <v>233</v>
      </c>
      <c r="F4" s="2" t="s">
        <v>11</v>
      </c>
    </row>
    <row r="5" spans="3:6" x14ac:dyDescent="0.25">
      <c r="C5" s="5" t="s">
        <v>0</v>
      </c>
      <c r="D5" s="2"/>
      <c r="E5" s="2">
        <v>163</v>
      </c>
      <c r="F5" s="2" t="s">
        <v>12</v>
      </c>
    </row>
    <row r="6" spans="3:6" x14ac:dyDescent="0.25">
      <c r="C6" s="5" t="s">
        <v>2</v>
      </c>
      <c r="D6" s="2"/>
      <c r="E6" s="2">
        <f>E5</f>
        <v>163</v>
      </c>
      <c r="F6" s="2" t="s">
        <v>13</v>
      </c>
    </row>
    <row r="7" spans="3:6" x14ac:dyDescent="0.25">
      <c r="C7" s="5" t="s">
        <v>4</v>
      </c>
      <c r="D7" s="2" t="s">
        <v>5</v>
      </c>
      <c r="E7" s="3">
        <f>(E3-E2)/(E4-E5)</f>
        <v>0.14285714285714285</v>
      </c>
      <c r="F7" s="2" t="s">
        <v>15</v>
      </c>
    </row>
    <row r="8" spans="3:6" x14ac:dyDescent="0.25">
      <c r="C8" s="5" t="s">
        <v>3</v>
      </c>
      <c r="D8" s="2" t="s">
        <v>6</v>
      </c>
      <c r="E8" s="3">
        <f>E4-(E3/E7)</f>
        <v>-117</v>
      </c>
      <c r="F8" s="2" t="s">
        <v>16</v>
      </c>
    </row>
  </sheetData>
  <mergeCells count="1">
    <mergeCell ref="C1:F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F9"/>
  <sheetViews>
    <sheetView workbookViewId="0">
      <selection activeCell="E13" sqref="E13"/>
    </sheetView>
  </sheetViews>
  <sheetFormatPr defaultRowHeight="15" x14ac:dyDescent="0.25"/>
  <cols>
    <col min="3" max="3" width="14.42578125" style="8" bestFit="1" customWidth="1"/>
    <col min="4" max="4" width="33.140625" bestFit="1" customWidth="1"/>
    <col min="5" max="5" width="12" bestFit="1" customWidth="1"/>
    <col min="6" max="6" width="59.5703125" bestFit="1" customWidth="1"/>
  </cols>
  <sheetData>
    <row r="2" spans="3:6" ht="16.5" x14ac:dyDescent="0.25">
      <c r="C2" s="12" t="s">
        <v>14</v>
      </c>
      <c r="D2" s="12"/>
      <c r="E2" s="12"/>
      <c r="F2" s="12"/>
    </row>
    <row r="3" spans="3:6" ht="16.5" x14ac:dyDescent="0.25">
      <c r="C3" s="7" t="s">
        <v>7</v>
      </c>
      <c r="D3" s="4"/>
      <c r="E3" s="4">
        <v>450</v>
      </c>
      <c r="F3" s="2" t="s">
        <v>9</v>
      </c>
    </row>
    <row r="4" spans="3:6" ht="16.5" x14ac:dyDescent="0.25">
      <c r="C4" s="7" t="s">
        <v>8</v>
      </c>
      <c r="D4" s="4"/>
      <c r="E4" s="4">
        <v>500</v>
      </c>
      <c r="F4" s="2" t="s">
        <v>10</v>
      </c>
    </row>
    <row r="5" spans="3:6" ht="16.5" x14ac:dyDescent="0.25">
      <c r="C5" s="7" t="s">
        <v>1</v>
      </c>
      <c r="D5" s="4"/>
      <c r="E5" s="4">
        <v>2091</v>
      </c>
      <c r="F5" s="2" t="s">
        <v>11</v>
      </c>
    </row>
    <row r="6" spans="3:6" ht="16.5" x14ac:dyDescent="0.25">
      <c r="C6" s="7" t="s">
        <v>0</v>
      </c>
      <c r="D6" s="4"/>
      <c r="E6" s="4">
        <v>2000</v>
      </c>
      <c r="F6" s="2" t="s">
        <v>12</v>
      </c>
    </row>
    <row r="7" spans="3:6" ht="16.5" x14ac:dyDescent="0.25">
      <c r="C7" s="7" t="s">
        <v>2</v>
      </c>
      <c r="D7" s="4"/>
      <c r="E7" s="4">
        <f>E6</f>
        <v>2000</v>
      </c>
      <c r="F7" s="2" t="s">
        <v>13</v>
      </c>
    </row>
    <row r="8" spans="3:6" ht="16.5" x14ac:dyDescent="0.25">
      <c r="C8" s="7" t="s">
        <v>4</v>
      </c>
      <c r="D8" s="4" t="s">
        <v>5</v>
      </c>
      <c r="E8" s="9">
        <f>(E4-E3)/(E5-E6)</f>
        <v>0.5494505494505495</v>
      </c>
      <c r="F8" s="2" t="s">
        <v>15</v>
      </c>
    </row>
    <row r="9" spans="3:6" ht="16.5" x14ac:dyDescent="0.25">
      <c r="C9" s="7" t="s">
        <v>3</v>
      </c>
      <c r="D9" s="4" t="s">
        <v>6</v>
      </c>
      <c r="E9" s="9">
        <f>E5-(E4/E8)</f>
        <v>1181</v>
      </c>
      <c r="F9" s="2" t="s">
        <v>16</v>
      </c>
    </row>
  </sheetData>
  <mergeCells count="1">
    <mergeCell ref="C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5:F10"/>
  <sheetViews>
    <sheetView tabSelected="1" workbookViewId="0">
      <selection activeCell="I11" sqref="I11"/>
    </sheetView>
  </sheetViews>
  <sheetFormatPr defaultRowHeight="15" x14ac:dyDescent="0.25"/>
  <cols>
    <col min="4" max="4" width="18" customWidth="1"/>
  </cols>
  <sheetData>
    <row r="5" spans="4:6" x14ac:dyDescent="0.25">
      <c r="D5" t="s">
        <v>23</v>
      </c>
      <c r="E5" t="s">
        <v>17</v>
      </c>
      <c r="F5" s="10">
        <v>7</v>
      </c>
    </row>
    <row r="6" spans="4:6" x14ac:dyDescent="0.25">
      <c r="D6" t="s">
        <v>24</v>
      </c>
      <c r="E6" t="s">
        <v>18</v>
      </c>
      <c r="F6">
        <v>7.7</v>
      </c>
    </row>
    <row r="7" spans="4:6" x14ac:dyDescent="0.25">
      <c r="D7" t="s">
        <v>25</v>
      </c>
      <c r="E7" t="s">
        <v>19</v>
      </c>
      <c r="F7" s="10">
        <v>10</v>
      </c>
    </row>
    <row r="8" spans="4:6" x14ac:dyDescent="0.25">
      <c r="D8" t="s">
        <v>24</v>
      </c>
      <c r="E8" t="s">
        <v>20</v>
      </c>
      <c r="F8">
        <v>10.17</v>
      </c>
    </row>
    <row r="9" spans="4:6" x14ac:dyDescent="0.25">
      <c r="E9" t="s">
        <v>21</v>
      </c>
      <c r="F9" s="11">
        <f>F6-(F5/F10)</f>
        <v>1.9366666666666674</v>
      </c>
    </row>
    <row r="10" spans="4:6" x14ac:dyDescent="0.25">
      <c r="E10" t="s">
        <v>22</v>
      </c>
      <c r="F10" s="11">
        <f>(F5-F7)/(F6-F8)</f>
        <v>1.2145748987854252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BOD</vt:lpstr>
      <vt:lpstr>TSS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2020-08-12T09:11:49Z</dcterms:modified>
</cp:coreProperties>
</file>