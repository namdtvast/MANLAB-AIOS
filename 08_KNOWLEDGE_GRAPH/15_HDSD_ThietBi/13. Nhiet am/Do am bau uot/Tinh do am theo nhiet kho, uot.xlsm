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 codeName="ThisWorkbook"/>
  <bookViews>
    <workbookView xWindow="0" yWindow="0" windowWidth="15360" windowHeight="7935"/>
  </bookViews>
  <sheets>
    <sheet name="Sheet1" sheetId="1" r:id="rId1"/>
    <sheet name="Sheet2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J3" i="1" l="1"/>
  <c r="K5" i="1" l="1"/>
  <c r="J7" i="1"/>
  <c r="E20" i="1" l="1"/>
  <c r="E7" i="1"/>
  <c r="E25" i="1" l="1"/>
  <c r="E23" i="1"/>
  <c r="E24" i="1"/>
  <c r="J6" i="1"/>
  <c r="J8" i="1" s="1"/>
  <c r="E2" i="1"/>
  <c r="E22" i="1" s="1"/>
  <c r="E26" i="1" l="1"/>
  <c r="E27" i="1" s="1"/>
  <c r="J5" i="1" s="1"/>
  <c r="J9" i="1" s="1"/>
  <c r="E11" i="1"/>
  <c r="E9" i="1"/>
  <c r="E12" i="1"/>
  <c r="E10" i="1"/>
  <c r="E13" i="1" l="1"/>
  <c r="E14" i="1" s="1"/>
  <c r="J10" i="1" s="1"/>
  <c r="J11" i="1" s="1"/>
</calcChain>
</file>

<file path=xl/sharedStrings.xml><?xml version="1.0" encoding="utf-8"?>
<sst xmlns="http://schemas.openxmlformats.org/spreadsheetml/2006/main" count="71" uniqueCount="58">
  <si>
    <t>g1</t>
  </si>
  <si>
    <t>g2</t>
  </si>
  <si>
    <t>g3</t>
  </si>
  <si>
    <t>g4</t>
  </si>
  <si>
    <t>es</t>
  </si>
  <si>
    <t>T68</t>
  </si>
  <si>
    <t>t68</t>
  </si>
  <si>
    <t>Pascal</t>
  </si>
  <si>
    <t>Tổng</t>
  </si>
  <si>
    <t>A</t>
  </si>
  <si>
    <t>tw</t>
  </si>
  <si>
    <t>p</t>
  </si>
  <si>
    <t>ew</t>
  </si>
  <si>
    <t>t-tw</t>
  </si>
  <si>
    <t>A*p</t>
  </si>
  <si>
    <t>e</t>
  </si>
  <si>
    <r>
      <t>e</t>
    </r>
    <r>
      <rPr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(</t>
    </r>
    <r>
      <rPr>
        <sz val="11"/>
        <color theme="1"/>
        <rFont val="Times New Roman"/>
        <family val="2"/>
      </rPr>
      <t>t</t>
    </r>
    <r>
      <rPr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)</t>
    </r>
  </si>
  <si>
    <t>A*p*(t-tw)</t>
  </si>
  <si>
    <t>where: g1 = −0,63536311e+04</t>
  </si>
  <si>
    <t>g2 = 0,3404926034e+02</t>
  </si>
  <si>
    <t>g3 = −0,19509874e−01</t>
  </si>
  <si>
    <t>g4 = 0,12811805e−04</t>
  </si>
  <si>
    <t>es = in Pascal, and</t>
  </si>
  <si>
    <t>T68 = 273.15 + t68, and</t>
  </si>
  <si>
    <t>t68 = −degree Celsius (International Practical Temperature</t>
  </si>
  <si>
    <t>Scale of 1968).</t>
  </si>
  <si>
    <t>where:</t>
  </si>
  <si>
    <t>ew,es in Pa, and</t>
  </si>
  <si>
    <t>t,tw in °C.</t>
  </si>
  <si>
    <t>A=</t>
  </si>
  <si>
    <t>6,60e-04(1 + 0.00115*tw)</t>
  </si>
  <si>
    <t>p = 1013,25 hPa,</t>
  </si>
  <si>
    <t>hPa</t>
  </si>
  <si>
    <t>Pa</t>
  </si>
  <si>
    <t>i2 =</t>
  </si>
  <si>
    <t>i3 =</t>
  </si>
  <si>
    <t>i1 =</t>
  </si>
  <si>
    <t>%RH = e/es*100</t>
  </si>
  <si>
    <t>k1,oC</t>
  </si>
  <si>
    <t>k2,oC</t>
  </si>
  <si>
    <t>k3,oC</t>
  </si>
  <si>
    <t>k4,oC</t>
  </si>
  <si>
    <t>k5,oC</t>
  </si>
  <si>
    <t>k6,oC</t>
  </si>
  <si>
    <t>k7,oC</t>
  </si>
  <si>
    <t>k8,oC</t>
  </si>
  <si>
    <t>k9,oC</t>
  </si>
  <si>
    <t>k1,%RH</t>
  </si>
  <si>
    <t>k2,%RH</t>
  </si>
  <si>
    <t>k3,%RH</t>
  </si>
  <si>
    <t>k4,%RH</t>
  </si>
  <si>
    <t>k5,%RH</t>
  </si>
  <si>
    <t>k6,%RH</t>
  </si>
  <si>
    <t>k7,%RH</t>
  </si>
  <si>
    <t>k8,%RH</t>
  </si>
  <si>
    <t>k9,%RH</t>
  </si>
  <si>
    <t>27,6</t>
  </si>
  <si>
    <t xml:space="preserve">tw , oC=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</si>
</sst>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0000000"/>
    <numFmt numFmtId="166" formatCode="0.0000"/>
    <numFmt numFmtId="167" formatCode="0.0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FF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2" fontId="0" fillId="0" borderId="0" xfId="0" applyNumberFormat="1" applyBorder="1"/>
    <xf numFmtId="0" fontId="0" fillId="0" borderId="5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4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0" xfId="0" applyNumberFormat="1"/>
    <xf numFmtId="0" fontId="0" fillId="2" borderId="2" xfId="0" applyFill="1" applyBorder="1"/>
    <xf numFmtId="0" fontId="3" fillId="0" borderId="0" xfId="0" applyFont="1" applyBorder="1"/>
    <xf numFmtId="0" fontId="1" fillId="3" borderId="9" xfId="0" applyFont="1" applyFill="1" applyBorder="1"/>
    <xf numFmtId="2" fontId="1" fillId="3" borderId="10" xfId="0" applyNumberFormat="1" applyFont="1" applyFill="1" applyBorder="1"/>
    <xf numFmtId="0" fontId="0" fillId="4" borderId="0" xfId="0" applyFill="1"/>
    <xf numFmtId="0" fontId="4" fillId="4" borderId="0" xfId="0" applyFont="1" applyFill="1" applyAlignment="1">
      <alignment vertical="center"/>
    </xf>
    <xf numFmtId="0" fontId="0" fillId="0" borderId="9" xfId="0" applyBorder="1"/>
    <xf numFmtId="2" fontId="1" fillId="0" borderId="10" xfId="0" applyNumberFormat="1" applyFont="1" applyBorder="1"/>
    <xf numFmtId="166" fontId="1" fillId="0" borderId="10" xfId="0" applyNumberFormat="1" applyFont="1" applyBorder="1"/>
    <xf numFmtId="167" fontId="0" fillId="0" borderId="11" xfId="0" applyNumberFormat="1" applyBorder="1"/>
    <xf numFmtId="167" fontId="0" fillId="0" borderId="0" xfId="0" applyNumberFormat="1" applyBorder="1"/>
    <xf numFmtId="0" fontId="5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8</xdr:row>
      <xdr:rowOff>47625</xdr:rowOff>
    </xdr:from>
    <xdr:to>
      <xdr:col>0</xdr:col>
      <xdr:colOff>2008943</xdr:colOff>
      <xdr:row>11</xdr:row>
      <xdr:rowOff>19050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590675"/>
          <a:ext cx="1561268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133350</xdr:colOff>
      <xdr:row>8</xdr:row>
      <xdr:rowOff>152400</xdr:rowOff>
    </xdr:from>
    <xdr:to>
      <xdr:col>15</xdr:col>
      <xdr:colOff>333011</xdr:colOff>
      <xdr:row>11</xdr:row>
      <xdr:rowOff>104707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96700" y="1695450"/>
          <a:ext cx="2914286" cy="5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2</xdr:row>
      <xdr:rowOff>142875</xdr:rowOff>
    </xdr:from>
    <xdr:to>
      <xdr:col>11</xdr:col>
      <xdr:colOff>266700</xdr:colOff>
      <xdr:row>8</xdr:row>
      <xdr:rowOff>114300</xdr:rowOff>
    </xdr:to>
    <xdr:sp macro="" textlink="">
      <xdr:nvSpPr>
        <xdr:cNvPr id="2" name="Right Arrow 1"/>
        <xdr:cNvSpPr/>
      </xdr:nvSpPr>
      <xdr:spPr>
        <a:xfrm>
          <a:off x="5905500" y="523875"/>
          <a:ext cx="1066800" cy="11144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38101</xdr:colOff>
      <xdr:row>3</xdr:row>
      <xdr:rowOff>114299</xdr:rowOff>
    </xdr:from>
    <xdr:to>
      <xdr:col>7</xdr:col>
      <xdr:colOff>333375</xdr:colOff>
      <xdr:row>8</xdr:row>
      <xdr:rowOff>114300</xdr:rowOff>
    </xdr:to>
    <xdr:sp macro="" textlink="">
      <xdr:nvSpPr>
        <xdr:cNvPr id="3" name="Flowchart: Sequential Access Storage 2"/>
        <xdr:cNvSpPr/>
      </xdr:nvSpPr>
      <xdr:spPr>
        <a:xfrm>
          <a:off x="647701" y="685799"/>
          <a:ext cx="3952874" cy="952501"/>
        </a:xfrm>
        <a:prstGeom prst="flowChartMagneticTap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t68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8"/>
  <sheetViews>
    <sheetView tabSelected="1" workbookViewId="0">
      <selection activeCell="J11" sqref="J11"/>
    </sheetView>
  </sheetViews>
  <sheetFormatPr defaultRowHeight="15" x14ac:dyDescent="0.25"/>
  <cols>
    <col min="1" max="1" width="54.85546875" customWidth="1"/>
    <col min="4" max="4" width="9.42578125" bestFit="1" customWidth="1"/>
    <col min="5" max="5" width="18.7109375" customWidth="1"/>
    <col min="6" max="6" width="12.42578125" customWidth="1"/>
    <col min="9" max="9" width="20.140625" customWidth="1"/>
    <col min="10" max="10" width="14.85546875" customWidth="1"/>
    <col min="13" max="13" width="13.28515625" customWidth="1"/>
  </cols>
  <sheetData>
    <row r="1" spans="1:16" x14ac:dyDescent="0.25">
      <c r="A1" s="22" t="s">
        <v>18</v>
      </c>
      <c r="C1" s="3"/>
      <c r="D1" s="4" t="s">
        <v>6</v>
      </c>
      <c r="E1" s="17">
        <v>25</v>
      </c>
      <c r="F1" s="4"/>
      <c r="G1" s="5"/>
      <c r="L1" s="21"/>
      <c r="M1" s="21"/>
      <c r="N1" s="21"/>
      <c r="O1" s="21"/>
      <c r="P1" s="21"/>
    </row>
    <row r="2" spans="1:16" x14ac:dyDescent="0.25">
      <c r="A2" s="22" t="s">
        <v>19</v>
      </c>
      <c r="C2" s="6"/>
      <c r="D2" s="7" t="s">
        <v>0</v>
      </c>
      <c r="E2" s="7">
        <f>-6353.6311</f>
        <v>-6353.6310999999996</v>
      </c>
      <c r="F2" s="8"/>
      <c r="G2" s="9"/>
      <c r="I2" t="s">
        <v>10</v>
      </c>
      <c r="J2" s="1">
        <f>E18</f>
        <v>21.2</v>
      </c>
      <c r="L2" s="21" t="s">
        <v>26</v>
      </c>
      <c r="M2" s="21"/>
      <c r="N2" s="21"/>
      <c r="O2" s="21"/>
      <c r="P2" s="21"/>
    </row>
    <row r="3" spans="1:16" x14ac:dyDescent="0.25">
      <c r="A3" s="22" t="s">
        <v>20</v>
      </c>
      <c r="C3" s="6"/>
      <c r="D3" s="7" t="s">
        <v>1</v>
      </c>
      <c r="E3" s="10">
        <v>34.049260339999996</v>
      </c>
      <c r="F3" s="7"/>
      <c r="G3" s="9"/>
      <c r="I3" t="s">
        <v>9</v>
      </c>
      <c r="J3">
        <f>0.00066*(1+0.00115*J2)</f>
        <v>6.7609080000000002E-4</v>
      </c>
      <c r="L3" s="21" t="s">
        <v>29</v>
      </c>
      <c r="M3" s="21" t="s">
        <v>30</v>
      </c>
      <c r="N3" s="21"/>
      <c r="O3" s="21"/>
      <c r="P3" s="21"/>
    </row>
    <row r="4" spans="1:16" x14ac:dyDescent="0.25">
      <c r="A4" s="22" t="s">
        <v>21</v>
      </c>
      <c r="C4" s="6"/>
      <c r="D4" s="7" t="s">
        <v>2</v>
      </c>
      <c r="E4" s="10">
        <v>-1.9509874E-2</v>
      </c>
      <c r="F4" s="7"/>
      <c r="G4" s="9"/>
      <c r="I4" t="s">
        <v>11</v>
      </c>
      <c r="J4">
        <v>1013.25</v>
      </c>
      <c r="K4" t="s">
        <v>32</v>
      </c>
      <c r="L4" s="21" t="s">
        <v>31</v>
      </c>
      <c r="M4" s="21"/>
      <c r="N4" s="21"/>
      <c r="O4" s="21"/>
      <c r="P4" s="21"/>
    </row>
    <row r="5" spans="1:16" ht="16.5" x14ac:dyDescent="0.3">
      <c r="A5" s="22" t="s">
        <v>22</v>
      </c>
      <c r="C5" s="6"/>
      <c r="D5" s="7" t="s">
        <v>3</v>
      </c>
      <c r="E5" s="11">
        <v>1.2811805E-5</v>
      </c>
      <c r="F5" s="7"/>
      <c r="G5" s="9"/>
      <c r="I5" t="s">
        <v>16</v>
      </c>
      <c r="J5" s="2">
        <f>E27*0.01</f>
        <v>25.181379175170825</v>
      </c>
      <c r="K5">
        <f>6.1094*EXP(17.625*J2/(243.04+J2))</f>
        <v>25.1255177433382</v>
      </c>
      <c r="L5" s="21" t="s">
        <v>27</v>
      </c>
      <c r="M5" s="21"/>
      <c r="N5" s="21"/>
      <c r="O5" s="21"/>
      <c r="P5" s="21"/>
    </row>
    <row r="6" spans="1:16" x14ac:dyDescent="0.25">
      <c r="A6" s="22" t="s">
        <v>23</v>
      </c>
      <c r="C6" s="6"/>
      <c r="D6" s="7" t="s">
        <v>4</v>
      </c>
      <c r="E6" s="7" t="s">
        <v>7</v>
      </c>
      <c r="F6" s="7"/>
      <c r="G6" s="9"/>
      <c r="I6" t="s">
        <v>13</v>
      </c>
      <c r="J6">
        <f>E1-E18</f>
        <v>3.8000000000000007</v>
      </c>
      <c r="L6" s="21" t="s">
        <v>28</v>
      </c>
      <c r="M6" s="21"/>
      <c r="N6" s="21"/>
      <c r="O6" s="21"/>
      <c r="P6" s="21"/>
    </row>
    <row r="7" spans="1:16" x14ac:dyDescent="0.25">
      <c r="A7" s="22" t="s">
        <v>24</v>
      </c>
      <c r="C7" s="6"/>
      <c r="D7" s="7" t="s">
        <v>5</v>
      </c>
      <c r="E7" s="7">
        <f>273.15+E1</f>
        <v>298.14999999999998</v>
      </c>
      <c r="F7" s="7"/>
      <c r="G7" s="9"/>
      <c r="I7" t="s">
        <v>14</v>
      </c>
      <c r="J7">
        <f>J3*J4</f>
        <v>0.68504900310000005</v>
      </c>
      <c r="L7" s="21"/>
      <c r="M7" s="21"/>
      <c r="N7" s="21"/>
      <c r="O7" s="21"/>
      <c r="P7" s="21"/>
    </row>
    <row r="8" spans="1:16" x14ac:dyDescent="0.25">
      <c r="A8" s="22" t="s">
        <v>25</v>
      </c>
      <c r="C8" s="6"/>
      <c r="D8" s="7"/>
      <c r="E8" s="7"/>
      <c r="F8" s="7"/>
      <c r="G8" s="9"/>
      <c r="I8" t="s">
        <v>17</v>
      </c>
      <c r="J8">
        <f>J7*J6</f>
        <v>2.6031862117800006</v>
      </c>
      <c r="L8" s="21"/>
      <c r="M8" s="21"/>
      <c r="N8" s="21"/>
      <c r="O8" s="21"/>
      <c r="P8" s="21"/>
    </row>
    <row r="9" spans="1:16" x14ac:dyDescent="0.25">
      <c r="A9" s="21"/>
      <c r="C9" s="12" t="s">
        <v>36</v>
      </c>
      <c r="D9" s="7"/>
      <c r="E9" s="8">
        <f>E2*E7^-1</f>
        <v>-21.310183129297336</v>
      </c>
      <c r="F9" s="7"/>
      <c r="G9" s="9"/>
      <c r="I9" t="s">
        <v>15</v>
      </c>
      <c r="J9" s="2">
        <f>J5-J8</f>
        <v>22.578192963390826</v>
      </c>
      <c r="L9" s="21"/>
      <c r="M9" s="21"/>
      <c r="N9" s="21"/>
      <c r="O9" s="21"/>
      <c r="P9" s="21"/>
    </row>
    <row r="10" spans="1:16" ht="15.75" thickBot="1" x14ac:dyDescent="0.3">
      <c r="A10" s="21"/>
      <c r="C10" s="12" t="s">
        <v>34</v>
      </c>
      <c r="D10" s="7"/>
      <c r="E10" s="8">
        <f>E3*E7^0</f>
        <v>34.049260339999996</v>
      </c>
      <c r="F10" s="7"/>
      <c r="G10" s="9"/>
      <c r="I10" t="s">
        <v>4</v>
      </c>
      <c r="J10" s="16">
        <f>E14*0.01</f>
        <v>31.687531849622271</v>
      </c>
      <c r="K10" t="s">
        <v>32</v>
      </c>
      <c r="L10" s="21"/>
      <c r="M10" s="21"/>
      <c r="N10" s="21"/>
      <c r="O10" s="21"/>
      <c r="P10" s="21"/>
    </row>
    <row r="11" spans="1:16" ht="15.75" thickBot="1" x14ac:dyDescent="0.3">
      <c r="A11" s="21"/>
      <c r="C11" s="12" t="s">
        <v>35</v>
      </c>
      <c r="D11" s="7"/>
      <c r="E11" s="8">
        <f>E4*E7^1</f>
        <v>-5.8168689330999994</v>
      </c>
      <c r="F11" s="7"/>
      <c r="G11" s="9"/>
      <c r="I11" s="19" t="s">
        <v>37</v>
      </c>
      <c r="J11" s="20">
        <f>(J9/J10)*100</f>
        <v>71.252608346206586</v>
      </c>
      <c r="L11" s="21"/>
      <c r="M11" s="21"/>
      <c r="N11" s="21"/>
      <c r="O11" s="21"/>
      <c r="P11" s="21"/>
    </row>
    <row r="12" spans="1:16" x14ac:dyDescent="0.25">
      <c r="C12" s="12" t="s">
        <v>35</v>
      </c>
      <c r="D12" s="7"/>
      <c r="E12" s="8">
        <f>E5*E7^2</f>
        <v>1.1388851948526124</v>
      </c>
      <c r="F12" s="7"/>
      <c r="G12" s="9"/>
      <c r="L12" s="21"/>
      <c r="M12" s="21"/>
      <c r="N12" s="21"/>
      <c r="O12" s="21"/>
      <c r="P12" s="21"/>
    </row>
    <row r="13" spans="1:16" ht="15.75" thickBot="1" x14ac:dyDescent="0.3">
      <c r="C13" s="6"/>
      <c r="D13" s="7" t="s">
        <v>8</v>
      </c>
      <c r="E13" s="18">
        <f>SUM(E9:E12)</f>
        <v>8.0610934724552727</v>
      </c>
      <c r="F13" s="7"/>
      <c r="G13" s="9"/>
      <c r="L13" s="21"/>
      <c r="M13" s="21"/>
      <c r="N13" s="21"/>
      <c r="O13" s="21"/>
      <c r="P13" s="21"/>
    </row>
    <row r="14" spans="1:16" ht="15.75" thickBot="1" x14ac:dyDescent="0.3">
      <c r="C14" s="6"/>
      <c r="D14" s="23" t="s">
        <v>4</v>
      </c>
      <c r="E14" s="24">
        <f>EXP(E13)</f>
        <v>3168.7531849622269</v>
      </c>
      <c r="F14" s="7" t="s">
        <v>33</v>
      </c>
      <c r="G14" s="9"/>
      <c r="L14" s="21"/>
      <c r="M14" s="21"/>
      <c r="N14" s="21"/>
      <c r="O14" s="21"/>
      <c r="P14" s="21"/>
    </row>
    <row r="15" spans="1:16" ht="15.75" thickBot="1" x14ac:dyDescent="0.3">
      <c r="C15" s="13"/>
      <c r="D15" s="14"/>
      <c r="E15" s="14"/>
      <c r="F15" s="14"/>
      <c r="G15" s="15"/>
    </row>
    <row r="16" spans="1:16" x14ac:dyDescent="0.25">
      <c r="C16" s="7"/>
      <c r="D16" s="7"/>
      <c r="E16" s="7"/>
      <c r="F16" s="7"/>
      <c r="G16" s="7"/>
    </row>
    <row r="17" spans="3:7" ht="15.75" thickBot="1" x14ac:dyDescent="0.3">
      <c r="C17" s="7"/>
      <c r="D17" s="7"/>
      <c r="E17" s="7"/>
      <c r="F17" s="7"/>
      <c r="G17" s="7"/>
    </row>
    <row r="18" spans="3:7" x14ac:dyDescent="0.25">
      <c r="C18" s="3"/>
      <c r="D18" s="4" t="s">
        <v>10</v>
      </c>
      <c r="E18" s="17">
        <v>21.2</v>
      </c>
      <c r="F18" s="4"/>
      <c r="G18" s="5"/>
    </row>
    <row r="19" spans="3:7" x14ac:dyDescent="0.25">
      <c r="C19" s="6"/>
      <c r="D19" s="7" t="s">
        <v>12</v>
      </c>
      <c r="E19" s="7" t="s">
        <v>7</v>
      </c>
      <c r="F19" s="7"/>
      <c r="G19" s="9"/>
    </row>
    <row r="20" spans="3:7" x14ac:dyDescent="0.25">
      <c r="C20" s="6"/>
      <c r="D20" s="7" t="s">
        <v>5</v>
      </c>
      <c r="E20" s="7">
        <f>273.15+E18</f>
        <v>294.34999999999997</v>
      </c>
      <c r="F20" s="7"/>
      <c r="G20" s="9"/>
    </row>
    <row r="21" spans="3:7" x14ac:dyDescent="0.25">
      <c r="C21" s="6"/>
      <c r="D21" s="7"/>
      <c r="E21" s="7"/>
      <c r="F21" s="7"/>
      <c r="G21" s="9"/>
    </row>
    <row r="22" spans="3:7" x14ac:dyDescent="0.25">
      <c r="C22" s="12" t="s">
        <v>36</v>
      </c>
      <c r="D22" s="7"/>
      <c r="E22" s="8">
        <f>E2*E20^-1</f>
        <v>-21.585293358246986</v>
      </c>
      <c r="F22" s="7"/>
      <c r="G22" s="9"/>
    </row>
    <row r="23" spans="3:7" x14ac:dyDescent="0.25">
      <c r="C23" s="12" t="s">
        <v>34</v>
      </c>
      <c r="D23" s="7"/>
      <c r="E23" s="8">
        <f>E3*E20^0</f>
        <v>34.049260339999996</v>
      </c>
      <c r="F23" s="7"/>
      <c r="G23" s="9"/>
    </row>
    <row r="24" spans="3:7" x14ac:dyDescent="0.25">
      <c r="C24" s="12" t="s">
        <v>35</v>
      </c>
      <c r="D24" s="7"/>
      <c r="E24" s="8">
        <f>E4*E20^1</f>
        <v>-5.7427314118999995</v>
      </c>
      <c r="F24" s="7"/>
      <c r="G24" s="9"/>
    </row>
    <row r="25" spans="3:7" x14ac:dyDescent="0.25">
      <c r="C25" s="12" t="s">
        <v>35</v>
      </c>
      <c r="D25" s="7"/>
      <c r="E25" s="8">
        <f>E5*E20^2</f>
        <v>1.1100394158951123</v>
      </c>
      <c r="F25" s="7"/>
      <c r="G25" s="9"/>
    </row>
    <row r="26" spans="3:7" ht="15.75" thickBot="1" x14ac:dyDescent="0.3">
      <c r="C26" s="6"/>
      <c r="D26" s="7" t="s">
        <v>8</v>
      </c>
      <c r="E26" s="18">
        <f>SUM(E22:E25)</f>
        <v>7.8312749857481236</v>
      </c>
      <c r="F26" s="7"/>
      <c r="G26" s="9"/>
    </row>
    <row r="27" spans="3:7" ht="15.75" thickBot="1" x14ac:dyDescent="0.3">
      <c r="C27" s="6"/>
      <c r="D27" s="23" t="s">
        <v>12</v>
      </c>
      <c r="E27" s="25">
        <f>EXP(E26)</f>
        <v>2518.1379175170823</v>
      </c>
      <c r="F27" s="7"/>
      <c r="G27" s="9"/>
    </row>
    <row r="28" spans="3:7" ht="15.75" thickBot="1" x14ac:dyDescent="0.3">
      <c r="C28" s="13"/>
      <c r="D28" s="14"/>
      <c r="E28" s="14"/>
      <c r="F28" s="14"/>
      <c r="G28" s="1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41"/>
  <sheetViews>
    <sheetView workbookViewId="0">
      <selection activeCell="K14" sqref="K14"/>
    </sheetView>
  </sheetViews>
  <sheetFormatPr defaultRowHeight="15" x14ac:dyDescent="0.25"/>
  <cols>
    <col min="12" max="12" width="8.5703125" customWidth="1"/>
  </cols>
  <sheetData>
    <row r="1" spans="1:21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K1" s="28" t="s">
        <v>57</v>
      </c>
      <c r="L1" s="28" t="s">
        <v>56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</row>
    <row r="2" spans="1:21" x14ac:dyDescent="0.25">
      <c r="A2" s="26">
        <v>28.9</v>
      </c>
      <c r="B2" s="26">
        <v>28.5</v>
      </c>
      <c r="C2" s="26">
        <v>28.5</v>
      </c>
      <c r="D2" s="26">
        <v>28.8</v>
      </c>
      <c r="E2" s="26">
        <v>28.9</v>
      </c>
      <c r="F2" s="26">
        <v>28.1</v>
      </c>
      <c r="G2" s="26">
        <v>28.5</v>
      </c>
      <c r="H2" s="26">
        <v>28.9</v>
      </c>
      <c r="I2" s="26">
        <v>28.8</v>
      </c>
      <c r="J2" s="27"/>
      <c r="K2" s="27"/>
      <c r="M2" s="26"/>
      <c r="N2" s="26"/>
      <c r="O2" s="26"/>
      <c r="P2" s="26"/>
      <c r="Q2" s="26"/>
      <c r="R2" s="26"/>
      <c r="S2" s="26"/>
      <c r="T2" s="26"/>
      <c r="U2" s="26"/>
    </row>
    <row r="3" spans="1:21" x14ac:dyDescent="0.25">
      <c r="A3" s="26">
        <v>28.9</v>
      </c>
      <c r="B3" s="26">
        <v>28.6</v>
      </c>
      <c r="C3" s="26">
        <v>28.6</v>
      </c>
      <c r="D3" s="26">
        <v>28.8</v>
      </c>
      <c r="E3" s="26">
        <v>28.9</v>
      </c>
      <c r="F3" s="26">
        <v>28.3</v>
      </c>
      <c r="G3" s="26">
        <v>28.6</v>
      </c>
      <c r="H3" s="26">
        <v>28.9</v>
      </c>
      <c r="I3" s="26">
        <v>28.8</v>
      </c>
      <c r="J3" s="27"/>
      <c r="K3" s="27"/>
      <c r="M3" s="26"/>
      <c r="N3" s="26"/>
      <c r="O3" s="26"/>
      <c r="P3" s="26"/>
      <c r="Q3" s="26"/>
      <c r="R3" s="26"/>
      <c r="S3" s="26"/>
      <c r="T3" s="26"/>
      <c r="U3" s="26"/>
    </row>
    <row r="4" spans="1:21" x14ac:dyDescent="0.25">
      <c r="A4" s="26">
        <v>29</v>
      </c>
      <c r="B4" s="26">
        <v>28.7</v>
      </c>
      <c r="C4" s="26">
        <v>28.7</v>
      </c>
      <c r="D4" s="26">
        <v>28.9</v>
      </c>
      <c r="E4" s="26">
        <v>29</v>
      </c>
      <c r="F4" s="26">
        <v>28.6</v>
      </c>
      <c r="G4" s="26">
        <v>28.8</v>
      </c>
      <c r="H4" s="26">
        <v>29</v>
      </c>
      <c r="I4" s="26">
        <v>28.9</v>
      </c>
      <c r="J4" s="27"/>
      <c r="K4" s="27"/>
      <c r="M4" s="26"/>
      <c r="N4" s="26"/>
      <c r="O4" s="26"/>
      <c r="P4" s="26"/>
      <c r="Q4" s="26"/>
      <c r="R4" s="26"/>
      <c r="S4" s="26"/>
      <c r="T4" s="26"/>
      <c r="U4" s="26"/>
    </row>
    <row r="5" spans="1:21" x14ac:dyDescent="0.25">
      <c r="A5" s="26">
        <v>29</v>
      </c>
      <c r="B5" s="26">
        <v>28.7</v>
      </c>
      <c r="C5" s="26">
        <v>28.8</v>
      </c>
      <c r="D5" s="26">
        <v>28.9</v>
      </c>
      <c r="E5" s="26">
        <v>29.1</v>
      </c>
      <c r="F5" s="26">
        <v>28.7</v>
      </c>
      <c r="G5" s="26">
        <v>28.8</v>
      </c>
      <c r="H5" s="26">
        <v>29.1</v>
      </c>
      <c r="I5" s="26">
        <v>29</v>
      </c>
      <c r="J5" s="27"/>
      <c r="K5" s="27"/>
      <c r="M5" s="26"/>
      <c r="N5" s="26"/>
      <c r="O5" s="26"/>
      <c r="P5" s="26"/>
      <c r="Q5" s="26"/>
      <c r="R5" s="26"/>
      <c r="S5" s="26"/>
      <c r="T5" s="26"/>
      <c r="U5" s="26"/>
    </row>
    <row r="6" spans="1:21" x14ac:dyDescent="0.25">
      <c r="A6" s="26">
        <v>29.1</v>
      </c>
      <c r="B6" s="26">
        <v>28.8</v>
      </c>
      <c r="C6" s="26">
        <v>28.8</v>
      </c>
      <c r="D6" s="26">
        <v>29</v>
      </c>
      <c r="E6" s="26">
        <v>29.1</v>
      </c>
      <c r="F6" s="26">
        <v>28.8</v>
      </c>
      <c r="G6" s="26">
        <v>28.9</v>
      </c>
      <c r="H6" s="26">
        <v>29.1</v>
      </c>
      <c r="I6" s="26">
        <v>29</v>
      </c>
      <c r="J6" s="27"/>
      <c r="K6" s="27"/>
      <c r="M6" s="26"/>
      <c r="N6" s="26"/>
      <c r="O6" s="26"/>
      <c r="P6" s="26"/>
      <c r="Q6" s="26"/>
      <c r="R6" s="26"/>
      <c r="S6" s="26"/>
      <c r="T6" s="26"/>
      <c r="U6" s="26"/>
    </row>
    <row r="7" spans="1:21" x14ac:dyDescent="0.25">
      <c r="A7" s="26">
        <v>29.1</v>
      </c>
      <c r="B7" s="26">
        <v>28.9</v>
      </c>
      <c r="C7" s="26">
        <v>28.9</v>
      </c>
      <c r="D7" s="26">
        <v>29</v>
      </c>
      <c r="E7" s="26">
        <v>29.2</v>
      </c>
      <c r="F7" s="26">
        <v>29</v>
      </c>
      <c r="G7" s="26">
        <v>29</v>
      </c>
      <c r="H7" s="26">
        <v>29.1</v>
      </c>
      <c r="I7" s="26">
        <v>29.1</v>
      </c>
      <c r="J7" s="27"/>
      <c r="K7" s="27"/>
      <c r="M7" s="26"/>
      <c r="N7" s="26"/>
      <c r="O7" s="26"/>
      <c r="P7" s="26"/>
      <c r="Q7" s="26"/>
      <c r="R7" s="26"/>
      <c r="S7" s="26"/>
      <c r="T7" s="26"/>
      <c r="U7" s="26"/>
    </row>
    <row r="8" spans="1:21" x14ac:dyDescent="0.25">
      <c r="A8" s="26">
        <v>29.2</v>
      </c>
      <c r="B8" s="26">
        <v>29</v>
      </c>
      <c r="C8" s="26">
        <v>29</v>
      </c>
      <c r="D8" s="26">
        <v>29.1</v>
      </c>
      <c r="E8" s="26">
        <v>29.3</v>
      </c>
      <c r="F8" s="26">
        <v>29.1</v>
      </c>
      <c r="G8" s="26">
        <v>29</v>
      </c>
      <c r="H8" s="26">
        <v>29.2</v>
      </c>
      <c r="I8" s="26">
        <v>29.2</v>
      </c>
      <c r="J8" s="27"/>
      <c r="K8" s="27"/>
      <c r="M8" s="26"/>
      <c r="N8" s="26"/>
      <c r="O8" s="26"/>
      <c r="P8" s="26"/>
      <c r="Q8" s="26"/>
      <c r="R8" s="26"/>
      <c r="S8" s="26"/>
      <c r="T8" s="26"/>
      <c r="U8" s="26"/>
    </row>
    <row r="9" spans="1:21" x14ac:dyDescent="0.25">
      <c r="A9" s="26">
        <v>29.3</v>
      </c>
      <c r="B9" s="26">
        <v>29.1</v>
      </c>
      <c r="C9" s="26">
        <v>29.1</v>
      </c>
      <c r="D9" s="26">
        <v>29.2</v>
      </c>
      <c r="E9" s="26">
        <v>29.4</v>
      </c>
      <c r="F9" s="26">
        <v>29.3</v>
      </c>
      <c r="G9" s="26">
        <v>29.1</v>
      </c>
      <c r="H9" s="26">
        <v>29.3</v>
      </c>
      <c r="I9" s="26">
        <v>29.3</v>
      </c>
      <c r="J9" s="27"/>
      <c r="K9" s="27"/>
      <c r="M9" s="26"/>
      <c r="N9" s="26"/>
      <c r="O9" s="26"/>
      <c r="P9" s="26"/>
      <c r="Q9" s="26"/>
      <c r="R9" s="26"/>
      <c r="S9" s="26"/>
      <c r="T9" s="26"/>
      <c r="U9" s="26"/>
    </row>
    <row r="10" spans="1:21" x14ac:dyDescent="0.25">
      <c r="A10" s="26">
        <v>29.4</v>
      </c>
      <c r="B10" s="26">
        <v>29.1</v>
      </c>
      <c r="C10" s="26">
        <v>29.2</v>
      </c>
      <c r="D10" s="26">
        <v>29.3</v>
      </c>
      <c r="E10" s="26">
        <v>29.5</v>
      </c>
      <c r="F10" s="26">
        <v>29.4</v>
      </c>
      <c r="G10" s="26">
        <v>29.2</v>
      </c>
      <c r="H10" s="26">
        <v>29.4</v>
      </c>
      <c r="I10" s="26">
        <v>29.4</v>
      </c>
      <c r="J10" s="27"/>
      <c r="K10" s="27"/>
      <c r="M10" s="26"/>
      <c r="N10" s="26"/>
      <c r="O10" s="26"/>
      <c r="P10" s="26"/>
      <c r="Q10" s="26"/>
      <c r="R10" s="26"/>
      <c r="S10" s="26"/>
      <c r="T10" s="26"/>
      <c r="U10" s="26"/>
    </row>
    <row r="11" spans="1:21" x14ac:dyDescent="0.25">
      <c r="A11" s="26">
        <v>29.5</v>
      </c>
      <c r="B11" s="26">
        <v>29.3</v>
      </c>
      <c r="C11" s="26">
        <v>29.3</v>
      </c>
      <c r="D11" s="26">
        <v>29.4</v>
      </c>
      <c r="E11" s="26">
        <v>29.6</v>
      </c>
      <c r="F11" s="26">
        <v>29.5</v>
      </c>
      <c r="G11" s="26">
        <v>29.4</v>
      </c>
      <c r="H11" s="26">
        <v>29.5</v>
      </c>
      <c r="I11" s="26">
        <v>29.5</v>
      </c>
      <c r="J11" s="27"/>
      <c r="K11" s="27"/>
      <c r="M11" s="26"/>
      <c r="N11" s="26"/>
      <c r="O11" s="26"/>
      <c r="P11" s="26"/>
      <c r="Q11" s="26"/>
      <c r="R11" s="26"/>
      <c r="S11" s="26"/>
      <c r="T11" s="26"/>
      <c r="U11" s="26"/>
    </row>
    <row r="12" spans="1:21" x14ac:dyDescent="0.25">
      <c r="A12" s="26">
        <v>29.5</v>
      </c>
      <c r="B12" s="26">
        <v>29.4</v>
      </c>
      <c r="C12" s="26">
        <v>29.4</v>
      </c>
      <c r="D12" s="26">
        <v>29.5</v>
      </c>
      <c r="E12" s="26">
        <v>29.7</v>
      </c>
      <c r="F12" s="26">
        <v>29.7</v>
      </c>
      <c r="G12" s="26">
        <v>29.5</v>
      </c>
      <c r="H12" s="26">
        <v>29.6</v>
      </c>
      <c r="I12" s="26">
        <v>29.6</v>
      </c>
      <c r="J12" s="27"/>
      <c r="K12" s="27"/>
      <c r="M12" s="26"/>
      <c r="N12" s="26"/>
      <c r="O12" s="26"/>
      <c r="P12" s="26"/>
      <c r="Q12" s="26"/>
      <c r="R12" s="26"/>
      <c r="S12" s="26"/>
      <c r="T12" s="26"/>
      <c r="U12" s="26"/>
    </row>
    <row r="13" spans="1:21" x14ac:dyDescent="0.25">
      <c r="A13" s="26">
        <v>29.6</v>
      </c>
      <c r="B13" s="26">
        <v>29.4</v>
      </c>
      <c r="C13" s="26">
        <v>29.5</v>
      </c>
      <c r="D13" s="26">
        <v>29.6</v>
      </c>
      <c r="E13" s="26">
        <v>29.8</v>
      </c>
      <c r="F13" s="26">
        <v>29.8</v>
      </c>
      <c r="G13" s="26">
        <v>29.6</v>
      </c>
      <c r="H13" s="26">
        <v>29.7</v>
      </c>
      <c r="I13" s="26">
        <v>29.7</v>
      </c>
      <c r="J13" s="27"/>
      <c r="K13" s="27"/>
      <c r="M13" s="26"/>
      <c r="N13" s="26"/>
      <c r="O13" s="26"/>
      <c r="P13" s="26"/>
      <c r="Q13" s="26"/>
      <c r="R13" s="26"/>
      <c r="S13" s="26"/>
      <c r="T13" s="26"/>
      <c r="U13" s="26"/>
    </row>
    <row r="14" spans="1:21" x14ac:dyDescent="0.25">
      <c r="A14" s="26">
        <v>29.8</v>
      </c>
      <c r="B14" s="26">
        <v>29.5</v>
      </c>
      <c r="C14" s="26">
        <v>29.6</v>
      </c>
      <c r="D14" s="26">
        <v>29.7</v>
      </c>
      <c r="E14" s="26">
        <v>29.9</v>
      </c>
      <c r="F14" s="26">
        <v>29.9</v>
      </c>
      <c r="G14" s="26">
        <v>29.7</v>
      </c>
      <c r="H14" s="26">
        <v>29.8</v>
      </c>
      <c r="I14" s="26">
        <v>29.8</v>
      </c>
      <c r="J14" s="27"/>
      <c r="K14" s="27"/>
      <c r="M14" s="26"/>
      <c r="N14" s="26"/>
      <c r="O14" s="26"/>
      <c r="P14" s="26"/>
      <c r="Q14" s="26"/>
      <c r="R14" s="26"/>
      <c r="S14" s="26"/>
      <c r="T14" s="26"/>
      <c r="U14" s="26"/>
    </row>
    <row r="15" spans="1:21" x14ac:dyDescent="0.25">
      <c r="A15" s="26">
        <v>29.8</v>
      </c>
      <c r="B15" s="26">
        <v>29.6</v>
      </c>
      <c r="C15" s="26">
        <v>29.7</v>
      </c>
      <c r="D15" s="26">
        <v>29.7</v>
      </c>
      <c r="E15" s="26">
        <v>29.9</v>
      </c>
      <c r="F15" s="26">
        <v>29.9</v>
      </c>
      <c r="G15" s="26">
        <v>29.7</v>
      </c>
      <c r="H15" s="26">
        <v>29.8</v>
      </c>
      <c r="I15" s="26">
        <v>29.9</v>
      </c>
      <c r="J15" s="27"/>
      <c r="K15" s="27"/>
      <c r="M15" s="26"/>
      <c r="N15" s="26"/>
      <c r="O15" s="26"/>
      <c r="P15" s="26"/>
      <c r="Q15" s="26"/>
      <c r="R15" s="26"/>
      <c r="S15" s="26"/>
      <c r="T15" s="26"/>
      <c r="U15" s="26"/>
    </row>
    <row r="16" spans="1:21" x14ac:dyDescent="0.25">
      <c r="A16" s="26">
        <v>29.9</v>
      </c>
      <c r="B16" s="26">
        <v>29.7</v>
      </c>
      <c r="C16" s="26">
        <v>29.8</v>
      </c>
      <c r="D16" s="26">
        <v>29.8</v>
      </c>
      <c r="E16" s="26">
        <v>30</v>
      </c>
      <c r="F16" s="26">
        <v>30</v>
      </c>
      <c r="G16" s="26">
        <v>29.8</v>
      </c>
      <c r="H16" s="26">
        <v>29.9</v>
      </c>
      <c r="I16" s="26">
        <v>30</v>
      </c>
      <c r="J16" s="27"/>
      <c r="K16" s="27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25">
      <c r="A17" s="26">
        <v>30</v>
      </c>
      <c r="B17" s="26">
        <v>29.7</v>
      </c>
      <c r="C17" s="26">
        <v>29.9</v>
      </c>
      <c r="D17" s="26">
        <v>29.9</v>
      </c>
      <c r="E17" s="26">
        <v>30.1</v>
      </c>
      <c r="F17" s="26">
        <v>30.1</v>
      </c>
      <c r="G17" s="26">
        <v>29.9</v>
      </c>
      <c r="H17" s="26">
        <v>30</v>
      </c>
      <c r="I17" s="26">
        <v>30</v>
      </c>
      <c r="J17" s="27"/>
      <c r="K17" s="27"/>
      <c r="M17" s="26"/>
      <c r="N17" s="26"/>
      <c r="O17" s="26"/>
      <c r="P17" s="26"/>
      <c r="Q17" s="26"/>
      <c r="R17" s="26"/>
      <c r="S17" s="26"/>
      <c r="T17" s="26"/>
      <c r="U17" s="26"/>
    </row>
    <row r="18" spans="1:21" x14ac:dyDescent="0.25">
      <c r="A18" s="26">
        <v>30.1</v>
      </c>
      <c r="B18" s="26">
        <v>29.9</v>
      </c>
      <c r="C18" s="26">
        <v>30</v>
      </c>
      <c r="D18" s="26">
        <v>30.1</v>
      </c>
      <c r="E18" s="26">
        <v>30.3</v>
      </c>
      <c r="F18" s="26">
        <v>30.3</v>
      </c>
      <c r="G18" s="26">
        <v>30</v>
      </c>
      <c r="H18" s="26">
        <v>30.2</v>
      </c>
      <c r="I18" s="26">
        <v>30.2</v>
      </c>
      <c r="J18" s="27"/>
      <c r="K18" s="27"/>
      <c r="M18" s="26"/>
      <c r="N18" s="26"/>
      <c r="O18" s="26"/>
      <c r="P18" s="26"/>
      <c r="Q18" s="26"/>
      <c r="R18" s="26"/>
      <c r="S18" s="26"/>
      <c r="T18" s="26"/>
      <c r="U18" s="26"/>
    </row>
    <row r="19" spans="1:21" x14ac:dyDescent="0.25">
      <c r="A19" s="26">
        <v>30.2</v>
      </c>
      <c r="B19" s="26">
        <v>30</v>
      </c>
      <c r="C19" s="26">
        <v>30.2</v>
      </c>
      <c r="D19" s="26">
        <v>30.1</v>
      </c>
      <c r="E19" s="26">
        <v>30.4</v>
      </c>
      <c r="F19" s="26">
        <v>30.4</v>
      </c>
      <c r="G19" s="26">
        <v>30.1</v>
      </c>
      <c r="H19" s="26">
        <v>30.3</v>
      </c>
      <c r="I19" s="26">
        <v>30.3</v>
      </c>
      <c r="J19" s="27"/>
      <c r="K19" s="27"/>
      <c r="M19" s="26"/>
      <c r="N19" s="26"/>
      <c r="O19" s="26"/>
      <c r="P19" s="26"/>
      <c r="Q19" s="26"/>
      <c r="R19" s="26"/>
      <c r="S19" s="26"/>
      <c r="T19" s="26"/>
      <c r="U19" s="26"/>
    </row>
    <row r="20" spans="1:21" x14ac:dyDescent="0.25">
      <c r="A20" s="26">
        <v>30.3</v>
      </c>
      <c r="B20" s="26">
        <v>30.1</v>
      </c>
      <c r="C20" s="26">
        <v>30.2</v>
      </c>
      <c r="D20" s="26">
        <v>30.2</v>
      </c>
      <c r="E20" s="26">
        <v>30.4</v>
      </c>
      <c r="F20" s="26">
        <v>30.5</v>
      </c>
      <c r="G20" s="26">
        <v>30.2</v>
      </c>
      <c r="H20" s="26">
        <v>30.3</v>
      </c>
      <c r="I20" s="26">
        <v>30.4</v>
      </c>
      <c r="J20" s="27"/>
      <c r="K20" s="27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6">
        <v>30.3</v>
      </c>
      <c r="B21" s="26">
        <v>30.1</v>
      </c>
      <c r="C21" s="26">
        <v>30.2</v>
      </c>
      <c r="D21" s="26">
        <v>30.2</v>
      </c>
      <c r="E21" s="26">
        <v>30.4</v>
      </c>
      <c r="F21" s="26">
        <v>30.5</v>
      </c>
      <c r="G21" s="26">
        <v>30.3</v>
      </c>
      <c r="H21" s="26">
        <v>30.4</v>
      </c>
      <c r="I21" s="26">
        <v>30.4</v>
      </c>
      <c r="J21" s="27"/>
      <c r="K21" s="27"/>
      <c r="M21" s="26"/>
      <c r="N21" s="26"/>
      <c r="O21" s="26"/>
      <c r="P21" s="26"/>
      <c r="Q21" s="26"/>
      <c r="R21" s="26"/>
      <c r="S21" s="26"/>
      <c r="T21" s="26"/>
      <c r="U21" s="26"/>
    </row>
    <row r="22" spans="1:21" x14ac:dyDescent="0.25">
      <c r="A22" s="26">
        <v>29.5</v>
      </c>
      <c r="B22" s="26">
        <v>29.2</v>
      </c>
      <c r="C22" s="26">
        <v>29.3</v>
      </c>
      <c r="D22" s="26">
        <v>29.5</v>
      </c>
      <c r="E22" s="26">
        <v>29.6</v>
      </c>
      <c r="F22" s="26">
        <v>28.9</v>
      </c>
      <c r="G22" s="26">
        <v>29.4</v>
      </c>
      <c r="H22" s="26">
        <v>29.7</v>
      </c>
      <c r="I22" s="26">
        <v>29.6</v>
      </c>
      <c r="J22" s="27"/>
      <c r="K22" s="27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6">
        <v>28.9</v>
      </c>
      <c r="B23" s="26">
        <v>28.6</v>
      </c>
      <c r="C23" s="26">
        <v>28.6</v>
      </c>
      <c r="D23" s="26">
        <v>28.9</v>
      </c>
      <c r="E23" s="26">
        <v>29</v>
      </c>
      <c r="F23" s="26">
        <v>28</v>
      </c>
      <c r="G23" s="26">
        <v>28.6</v>
      </c>
      <c r="H23" s="26">
        <v>29</v>
      </c>
      <c r="I23" s="26">
        <v>28.9</v>
      </c>
      <c r="J23" s="27"/>
      <c r="K23" s="27"/>
      <c r="M23" s="26"/>
      <c r="N23" s="26"/>
      <c r="O23" s="26"/>
      <c r="P23" s="26"/>
      <c r="Q23" s="26"/>
      <c r="R23" s="26"/>
      <c r="S23" s="26"/>
      <c r="T23" s="26"/>
      <c r="U23" s="26"/>
    </row>
    <row r="24" spans="1:21" x14ac:dyDescent="0.25">
      <c r="A24" s="26">
        <v>28.9</v>
      </c>
      <c r="B24" s="26">
        <v>28.6</v>
      </c>
      <c r="C24" s="26">
        <v>28.6</v>
      </c>
      <c r="D24" s="26">
        <v>28.8</v>
      </c>
      <c r="E24" s="26">
        <v>29</v>
      </c>
      <c r="F24" s="26">
        <v>28.3</v>
      </c>
      <c r="G24" s="26">
        <v>28.7</v>
      </c>
      <c r="H24" s="26">
        <v>29</v>
      </c>
      <c r="I24" s="26">
        <v>28.9</v>
      </c>
      <c r="J24" s="27"/>
      <c r="K24" s="27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6">
        <v>28.9</v>
      </c>
      <c r="B25" s="26">
        <v>28.6</v>
      </c>
      <c r="C25" s="26">
        <v>28.6</v>
      </c>
      <c r="D25" s="26">
        <v>28.8</v>
      </c>
      <c r="E25" s="26">
        <v>29</v>
      </c>
      <c r="F25" s="26">
        <v>28.5</v>
      </c>
      <c r="G25" s="26">
        <v>28.7</v>
      </c>
      <c r="H25" s="26">
        <v>29</v>
      </c>
      <c r="I25" s="26">
        <v>28.9</v>
      </c>
      <c r="J25" s="27"/>
      <c r="K25" s="27"/>
      <c r="M25" s="26"/>
      <c r="N25" s="26"/>
      <c r="O25" s="26"/>
      <c r="P25" s="26"/>
      <c r="Q25" s="26"/>
      <c r="R25" s="26"/>
      <c r="S25" s="26"/>
      <c r="T25" s="26"/>
      <c r="U25" s="26"/>
    </row>
    <row r="26" spans="1:21" x14ac:dyDescent="0.25">
      <c r="A26" s="26">
        <v>29</v>
      </c>
      <c r="B26" s="26">
        <v>28.7</v>
      </c>
      <c r="C26" s="26">
        <v>28.8</v>
      </c>
      <c r="D26" s="26">
        <v>29</v>
      </c>
      <c r="E26" s="26">
        <v>29.1</v>
      </c>
      <c r="F26" s="26">
        <v>28.7</v>
      </c>
      <c r="G26" s="26">
        <v>28.9</v>
      </c>
      <c r="H26" s="26">
        <v>29.1</v>
      </c>
      <c r="I26" s="26">
        <v>29</v>
      </c>
      <c r="J26" s="27"/>
      <c r="K26" s="27"/>
      <c r="M26" s="26"/>
      <c r="N26" s="26"/>
      <c r="O26" s="26"/>
      <c r="P26" s="26"/>
      <c r="Q26" s="26"/>
      <c r="R26" s="26"/>
      <c r="S26" s="26"/>
      <c r="T26" s="26"/>
      <c r="U26" s="26"/>
    </row>
    <row r="27" spans="1:21" x14ac:dyDescent="0.25">
      <c r="A27" s="26">
        <v>29</v>
      </c>
      <c r="B27" s="26">
        <v>28.8</v>
      </c>
      <c r="C27" s="26">
        <v>28.8</v>
      </c>
      <c r="D27" s="26">
        <v>29</v>
      </c>
      <c r="E27" s="26">
        <v>29.1</v>
      </c>
      <c r="F27" s="26">
        <v>28.8</v>
      </c>
      <c r="G27" s="26">
        <v>28.9</v>
      </c>
      <c r="H27" s="26">
        <v>29.1</v>
      </c>
      <c r="I27" s="26">
        <v>29.1</v>
      </c>
      <c r="J27" s="27"/>
      <c r="K27" s="27"/>
      <c r="M27" s="26"/>
      <c r="N27" s="26"/>
      <c r="O27" s="26"/>
      <c r="P27" s="26"/>
      <c r="Q27" s="26"/>
      <c r="R27" s="26"/>
      <c r="S27" s="26"/>
      <c r="T27" s="26"/>
      <c r="U27" s="26"/>
    </row>
    <row r="28" spans="1:21" x14ac:dyDescent="0.25">
      <c r="A28" s="26">
        <v>29.1</v>
      </c>
      <c r="B28" s="26">
        <v>28.8</v>
      </c>
      <c r="C28" s="26">
        <v>28.9</v>
      </c>
      <c r="D28" s="26">
        <v>29</v>
      </c>
      <c r="E28" s="26">
        <v>29.2</v>
      </c>
      <c r="F28" s="26">
        <v>28.9</v>
      </c>
      <c r="G28" s="26">
        <v>29</v>
      </c>
      <c r="H28" s="26">
        <v>29.2</v>
      </c>
      <c r="I28" s="26">
        <v>29.1</v>
      </c>
      <c r="J28" s="27"/>
      <c r="K28" s="27"/>
      <c r="M28" s="26"/>
      <c r="N28" s="26"/>
      <c r="O28" s="26"/>
      <c r="P28" s="26"/>
      <c r="Q28" s="26"/>
      <c r="R28" s="26"/>
      <c r="S28" s="26"/>
      <c r="T28" s="26"/>
      <c r="U28" s="26"/>
    </row>
    <row r="29" spans="1:21" x14ac:dyDescent="0.25">
      <c r="A29" s="26">
        <v>29.2</v>
      </c>
      <c r="B29" s="26">
        <v>28.9</v>
      </c>
      <c r="C29" s="26">
        <v>29</v>
      </c>
      <c r="D29" s="26">
        <v>29.1</v>
      </c>
      <c r="E29" s="26">
        <v>29.3</v>
      </c>
      <c r="F29" s="26">
        <v>29.1</v>
      </c>
      <c r="G29" s="26">
        <v>29.1</v>
      </c>
      <c r="H29" s="26">
        <v>29.3</v>
      </c>
      <c r="I29" s="26">
        <v>29.2</v>
      </c>
      <c r="J29" s="27"/>
      <c r="K29" s="27"/>
      <c r="M29" s="26"/>
      <c r="N29" s="26"/>
      <c r="O29" s="26"/>
      <c r="P29" s="26"/>
      <c r="Q29" s="26"/>
      <c r="R29" s="26"/>
      <c r="S29" s="26"/>
      <c r="T29" s="26"/>
      <c r="U29" s="26"/>
    </row>
    <row r="30" spans="1:21" x14ac:dyDescent="0.25">
      <c r="A30" s="26">
        <v>29.2</v>
      </c>
      <c r="B30" s="26">
        <v>29</v>
      </c>
      <c r="C30" s="26">
        <v>29.1</v>
      </c>
      <c r="D30" s="26">
        <v>29.2</v>
      </c>
      <c r="E30" s="26">
        <v>29.4</v>
      </c>
      <c r="F30" s="26">
        <v>29.2</v>
      </c>
      <c r="G30" s="26">
        <v>29.1</v>
      </c>
      <c r="H30" s="26">
        <v>29.3</v>
      </c>
      <c r="I30" s="26">
        <v>29.3</v>
      </c>
      <c r="J30" s="27"/>
      <c r="K30" s="27"/>
      <c r="M30" s="26"/>
      <c r="N30" s="26"/>
      <c r="O30" s="26"/>
      <c r="P30" s="26"/>
      <c r="Q30" s="26"/>
      <c r="R30" s="26"/>
      <c r="S30" s="26"/>
      <c r="T30" s="26"/>
      <c r="U30" s="26"/>
    </row>
    <row r="31" spans="1:21" x14ac:dyDescent="0.25">
      <c r="A31" s="26">
        <v>29.4</v>
      </c>
      <c r="B31" s="26">
        <v>29.2</v>
      </c>
      <c r="C31" s="26">
        <v>29.2</v>
      </c>
      <c r="D31" s="26">
        <v>29.3</v>
      </c>
      <c r="E31" s="26">
        <v>29.5</v>
      </c>
      <c r="F31" s="26">
        <v>29.4</v>
      </c>
      <c r="G31" s="26">
        <v>29.3</v>
      </c>
      <c r="H31" s="26">
        <v>29.4</v>
      </c>
      <c r="I31" s="26">
        <v>29.4</v>
      </c>
      <c r="J31" s="27"/>
      <c r="K31" s="27"/>
      <c r="M31" s="26"/>
      <c r="N31" s="26"/>
      <c r="O31" s="26"/>
      <c r="P31" s="26"/>
      <c r="Q31" s="26"/>
      <c r="R31" s="26"/>
      <c r="S31" s="26"/>
      <c r="T31" s="26"/>
      <c r="U31" s="26"/>
    </row>
    <row r="32" spans="1:21" x14ac:dyDescent="0.25">
      <c r="A32" s="26">
        <v>29.4</v>
      </c>
      <c r="B32" s="26">
        <v>29.2</v>
      </c>
      <c r="C32" s="26">
        <v>29.3</v>
      </c>
      <c r="D32" s="26">
        <v>29.4</v>
      </c>
      <c r="E32" s="26">
        <v>29.6</v>
      </c>
      <c r="F32" s="26">
        <v>29.5</v>
      </c>
      <c r="G32" s="26">
        <v>29.3</v>
      </c>
      <c r="H32" s="26">
        <v>29.5</v>
      </c>
      <c r="I32" s="26">
        <v>29.5</v>
      </c>
      <c r="J32" s="27"/>
      <c r="K32" s="27"/>
      <c r="M32" s="26"/>
      <c r="N32" s="26"/>
      <c r="O32" s="26"/>
      <c r="P32" s="26"/>
      <c r="Q32" s="26"/>
      <c r="R32" s="26"/>
      <c r="S32" s="26"/>
      <c r="T32" s="26"/>
      <c r="U32" s="26"/>
    </row>
    <row r="33" spans="1:21" x14ac:dyDescent="0.25">
      <c r="A33" s="26">
        <v>29.5</v>
      </c>
      <c r="B33" s="26">
        <v>29.3</v>
      </c>
      <c r="C33" s="26">
        <v>29.4</v>
      </c>
      <c r="D33" s="26">
        <v>29.5</v>
      </c>
      <c r="E33" s="26">
        <v>29.7</v>
      </c>
      <c r="F33" s="26">
        <v>29.6</v>
      </c>
      <c r="G33" s="26">
        <v>29.4</v>
      </c>
      <c r="H33" s="26">
        <v>29.6</v>
      </c>
      <c r="I33" s="26">
        <v>29.6</v>
      </c>
      <c r="J33" s="27"/>
      <c r="K33" s="27"/>
      <c r="M33" s="26"/>
      <c r="N33" s="26"/>
      <c r="O33" s="26"/>
      <c r="P33" s="26"/>
      <c r="Q33" s="26"/>
      <c r="R33" s="26"/>
      <c r="S33" s="26"/>
      <c r="T33" s="26"/>
      <c r="U33" s="26"/>
    </row>
    <row r="34" spans="1:21" x14ac:dyDescent="0.25">
      <c r="A34" s="26">
        <v>29.6</v>
      </c>
      <c r="B34" s="26">
        <v>29.4</v>
      </c>
      <c r="C34" s="26">
        <v>29.5</v>
      </c>
      <c r="D34" s="26">
        <v>29.5</v>
      </c>
      <c r="E34" s="26">
        <v>29.8</v>
      </c>
      <c r="F34" s="26">
        <v>29.8</v>
      </c>
      <c r="G34" s="26">
        <v>29.6</v>
      </c>
      <c r="H34" s="26">
        <v>29.7</v>
      </c>
      <c r="I34" s="26">
        <v>29.7</v>
      </c>
      <c r="J34" s="27"/>
      <c r="K34" s="27"/>
      <c r="M34" s="26"/>
      <c r="N34" s="26"/>
      <c r="O34" s="26"/>
      <c r="P34" s="26"/>
      <c r="Q34" s="26"/>
      <c r="R34" s="26"/>
      <c r="S34" s="26"/>
      <c r="T34" s="26"/>
      <c r="U34" s="26"/>
    </row>
    <row r="35" spans="1:21" x14ac:dyDescent="0.25">
      <c r="A35" s="26">
        <v>29.7</v>
      </c>
      <c r="B35" s="26">
        <v>29.5</v>
      </c>
      <c r="C35" s="26">
        <v>29.6</v>
      </c>
      <c r="D35" s="26">
        <v>29.6</v>
      </c>
      <c r="E35" s="26">
        <v>29.9</v>
      </c>
      <c r="F35" s="26">
        <v>29.8</v>
      </c>
      <c r="G35" s="26">
        <v>29.7</v>
      </c>
      <c r="H35" s="26">
        <v>29.8</v>
      </c>
      <c r="I35" s="26">
        <v>29.8</v>
      </c>
      <c r="J35" s="27"/>
      <c r="K35" s="27"/>
      <c r="M35" s="26"/>
      <c r="N35" s="26"/>
      <c r="O35" s="26"/>
      <c r="P35" s="26"/>
      <c r="Q35" s="26"/>
      <c r="R35" s="26"/>
      <c r="S35" s="26"/>
      <c r="T35" s="26"/>
      <c r="U35" s="26"/>
    </row>
    <row r="36" spans="1:21" x14ac:dyDescent="0.25">
      <c r="A36" s="26">
        <v>29.8</v>
      </c>
      <c r="B36" s="26">
        <v>29.5</v>
      </c>
      <c r="C36" s="26">
        <v>29.7</v>
      </c>
      <c r="D36" s="26">
        <v>29.7</v>
      </c>
      <c r="E36" s="26">
        <v>29.9</v>
      </c>
      <c r="F36" s="26">
        <v>30</v>
      </c>
      <c r="G36" s="26">
        <v>29.7</v>
      </c>
      <c r="H36" s="26">
        <v>29.8</v>
      </c>
      <c r="I36" s="26">
        <v>29.9</v>
      </c>
      <c r="J36" s="27"/>
      <c r="K36" s="27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6">
        <v>29.9</v>
      </c>
      <c r="B37" s="26">
        <v>29.7</v>
      </c>
      <c r="C37" s="26">
        <v>29.8</v>
      </c>
      <c r="D37" s="26">
        <v>29.8</v>
      </c>
      <c r="E37" s="26">
        <v>30</v>
      </c>
      <c r="F37" s="26">
        <v>30</v>
      </c>
      <c r="G37" s="26">
        <v>29.8</v>
      </c>
      <c r="H37" s="26">
        <v>29.9</v>
      </c>
      <c r="I37" s="26">
        <v>29.9</v>
      </c>
      <c r="J37" s="27"/>
      <c r="K37" s="27"/>
      <c r="M37" s="26"/>
      <c r="N37" s="26"/>
      <c r="O37" s="26"/>
      <c r="P37" s="26"/>
      <c r="Q37" s="26"/>
      <c r="R37" s="26"/>
      <c r="S37" s="26"/>
      <c r="T37" s="26"/>
      <c r="U37" s="26"/>
    </row>
    <row r="38" spans="1:21" x14ac:dyDescent="0.25">
      <c r="A38" s="26">
        <v>30</v>
      </c>
      <c r="B38" s="26">
        <v>29.8</v>
      </c>
      <c r="C38" s="26">
        <v>29.9</v>
      </c>
      <c r="D38" s="26">
        <v>29.9</v>
      </c>
      <c r="E38" s="26">
        <v>30.1</v>
      </c>
      <c r="F38" s="26">
        <v>30.1</v>
      </c>
      <c r="G38" s="26">
        <v>29.9</v>
      </c>
      <c r="H38" s="26">
        <v>30</v>
      </c>
      <c r="I38" s="26">
        <v>30.1</v>
      </c>
      <c r="J38" s="27"/>
      <c r="K38" s="27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6">
        <v>30</v>
      </c>
      <c r="B39" s="26">
        <v>29.8</v>
      </c>
      <c r="C39" s="26">
        <v>29.9</v>
      </c>
      <c r="D39" s="26">
        <v>30</v>
      </c>
      <c r="E39" s="26">
        <v>30.2</v>
      </c>
      <c r="F39" s="26">
        <v>30.2</v>
      </c>
      <c r="G39" s="26">
        <v>30</v>
      </c>
      <c r="H39" s="26">
        <v>30.1</v>
      </c>
      <c r="I39" s="26">
        <v>30.1</v>
      </c>
      <c r="J39" s="27"/>
      <c r="K39" s="27"/>
      <c r="M39" s="26"/>
      <c r="N39" s="26"/>
      <c r="O39" s="26"/>
      <c r="P39" s="26"/>
      <c r="Q39" s="26"/>
      <c r="R39" s="26"/>
      <c r="S39" s="26"/>
      <c r="T39" s="26"/>
      <c r="U39" s="26"/>
    </row>
    <row r="40" spans="1:21" x14ac:dyDescent="0.25">
      <c r="A40" s="26">
        <v>30.1</v>
      </c>
      <c r="B40" s="26">
        <v>29.9</v>
      </c>
      <c r="C40" s="26">
        <v>30.1</v>
      </c>
      <c r="D40" s="26">
        <v>30</v>
      </c>
      <c r="E40" s="26">
        <v>30.3</v>
      </c>
      <c r="F40" s="26">
        <v>30.3</v>
      </c>
      <c r="G40" s="26">
        <v>30.1</v>
      </c>
      <c r="H40" s="26">
        <v>30.2</v>
      </c>
      <c r="I40" s="26">
        <v>30.2</v>
      </c>
      <c r="J40" s="27"/>
      <c r="K40" s="27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6">
        <v>30.2</v>
      </c>
      <c r="B41" s="26">
        <v>30</v>
      </c>
      <c r="C41" s="26">
        <v>30.1</v>
      </c>
      <c r="D41" s="26">
        <v>30.1</v>
      </c>
      <c r="E41" s="26">
        <v>30.4</v>
      </c>
      <c r="F41" s="26">
        <v>30.4</v>
      </c>
      <c r="G41" s="26">
        <v>30.2</v>
      </c>
      <c r="H41" s="26">
        <v>30.3</v>
      </c>
      <c r="I41" s="26">
        <v>30.3</v>
      </c>
      <c r="J41" s="27"/>
      <c r="K41" s="27"/>
      <c r="M41" s="26"/>
      <c r="N41" s="26"/>
      <c r="O41" s="26"/>
      <c r="P41" s="26"/>
      <c r="Q41" s="26"/>
      <c r="R41" s="26"/>
      <c r="S41" s="26"/>
      <c r="T41" s="26"/>
      <c r="U41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Tran Van</dc:creator>
  <cp:lastModifiedBy>user</cp:lastModifiedBy>
  <dcterms:created xsi:type="dcterms:W3CDTF">2015-10-02T06:40:01Z</dcterms:created>
  <dcterms:modified xsi:type="dcterms:W3CDTF">2017-05-29T07:58:14Z</dcterms:modified>
</cp:coreProperties>
</file>