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Dropbox\TAI LIEU\1. 4. Thong tu\Thong tu 20. 2017_Dinh muc KTKT Quan trac\Don gia trinh Bo Tai chinh - TT 20.2017\"/>
    </mc:Choice>
  </mc:AlternateContent>
  <bookViews>
    <workbookView xWindow="-20" yWindow="-20" windowWidth="10260" windowHeight="7640" firstSheet="1" activeTab="6"/>
  </bookViews>
  <sheets>
    <sheet name="Phuong phap" sheetId="7" r:id="rId1"/>
    <sheet name="DGL" sheetId="5" r:id="rId2"/>
    <sheet name="LDKT" sheetId="1" r:id="rId3"/>
    <sheet name="Dcu" sheetId="2" r:id="rId4"/>
    <sheet name="VL" sheetId="3" r:id="rId5"/>
    <sheet name="TB" sheetId="4" r:id="rId6"/>
    <sheet name="TH dongia" sheetId="6" r:id="rId7"/>
  </sheets>
  <externalReferences>
    <externalReference r:id="rId8"/>
  </externalReferences>
  <definedNames>
    <definedName name="_xlnm._FilterDatabase" localSheetId="3" hidden="1">Dcu!$A$3:$G$951</definedName>
    <definedName name="_xlnm._FilterDatabase" localSheetId="5" hidden="1">TB!$A$1:$J$318</definedName>
    <definedName name="_xlnm._FilterDatabase" localSheetId="4" hidden="1">VL!$A$4:$G$528</definedName>
    <definedName name="_xlnm.Print_Titles" localSheetId="0">'Phuong phap'!$2:$2</definedName>
  </definedNames>
  <calcPr calcId="162913"/>
</workbook>
</file>

<file path=xl/calcChain.xml><?xml version="1.0" encoding="utf-8"?>
<calcChain xmlns="http://schemas.openxmlformats.org/spreadsheetml/2006/main">
  <c r="I9" i="5" l="1"/>
  <c r="I10" i="5"/>
  <c r="I11" i="5"/>
  <c r="I12" i="5"/>
  <c r="I13" i="5"/>
  <c r="I15" i="5"/>
  <c r="I16" i="5"/>
  <c r="I17" i="5"/>
  <c r="I18" i="5"/>
  <c r="I19" i="5"/>
  <c r="I20" i="5"/>
  <c r="I8" i="5"/>
  <c r="J131" i="3"/>
  <c r="F115" i="3"/>
  <c r="F116" i="3"/>
  <c r="F117" i="3"/>
  <c r="F109" i="3"/>
  <c r="F110" i="3"/>
  <c r="F111" i="3"/>
  <c r="F112" i="3"/>
  <c r="F124" i="3"/>
  <c r="F125" i="3"/>
  <c r="F126" i="3"/>
  <c r="F127" i="3"/>
  <c r="F128" i="3"/>
  <c r="F129" i="3"/>
  <c r="F130" i="3"/>
  <c r="F131" i="3"/>
  <c r="F132" i="3"/>
  <c r="F133" i="3"/>
  <c r="F134" i="3"/>
  <c r="F135" i="3"/>
  <c r="F136" i="3"/>
  <c r="F139" i="3"/>
  <c r="F140" i="3"/>
  <c r="F141" i="3"/>
  <c r="F142" i="3"/>
  <c r="F143" i="3"/>
  <c r="F144" i="3"/>
  <c r="F145" i="3"/>
  <c r="F146" i="3"/>
  <c r="F147" i="3"/>
  <c r="F148" i="3"/>
  <c r="F149" i="3"/>
  <c r="F152" i="3"/>
  <c r="F153" i="3"/>
  <c r="F154" i="3"/>
  <c r="F155" i="3"/>
  <c r="F158" i="3"/>
  <c r="F159" i="3"/>
  <c r="F160" i="3"/>
  <c r="F161" i="3"/>
  <c r="F162" i="3"/>
  <c r="F163" i="3"/>
  <c r="F164" i="3"/>
  <c r="F165" i="3"/>
  <c r="F166" i="3"/>
  <c r="F167" i="3"/>
  <c r="F168" i="3"/>
  <c r="F169" i="3"/>
  <c r="F170" i="3"/>
  <c r="F171" i="3"/>
  <c r="F172" i="3"/>
  <c r="F173" i="3"/>
  <c r="F176" i="3"/>
  <c r="F177" i="3"/>
  <c r="F178" i="3"/>
  <c r="F179" i="3"/>
  <c r="F180" i="3"/>
  <c r="F181" i="3"/>
  <c r="F182" i="3"/>
  <c r="F183" i="3"/>
  <c r="F184" i="3"/>
  <c r="F185" i="3"/>
  <c r="F186" i="3"/>
  <c r="F187" i="3"/>
  <c r="F188" i="3"/>
  <c r="F189" i="3"/>
  <c r="F190" i="3"/>
  <c r="F191" i="3"/>
  <c r="F192" i="3"/>
  <c r="F193" i="3"/>
  <c r="F194" i="3"/>
  <c r="F195" i="3"/>
  <c r="F196" i="3"/>
  <c r="F201" i="3"/>
  <c r="F202" i="3"/>
  <c r="F203" i="3"/>
  <c r="F204" i="3"/>
  <c r="F205" i="3"/>
  <c r="F206" i="3"/>
  <c r="F207" i="3"/>
  <c r="F208" i="3"/>
  <c r="F209" i="3"/>
  <c r="F210" i="3"/>
  <c r="F213" i="3"/>
  <c r="F214" i="3"/>
  <c r="F215" i="3"/>
  <c r="F216" i="3"/>
  <c r="F217" i="3"/>
  <c r="F218" i="3"/>
  <c r="F219" i="3"/>
  <c r="F220" i="3"/>
  <c r="F221" i="3"/>
  <c r="F222" i="3"/>
  <c r="F223" i="3"/>
  <c r="F224" i="3"/>
  <c r="F225" i="3"/>
  <c r="F228" i="3"/>
  <c r="F229" i="3"/>
  <c r="F230" i="3"/>
  <c r="F231" i="3"/>
  <c r="F232" i="3"/>
  <c r="F233" i="3"/>
  <c r="F234" i="3"/>
  <c r="F235" i="3"/>
  <c r="F236" i="3"/>
  <c r="F237" i="3"/>
  <c r="F238" i="3"/>
  <c r="F239" i="3"/>
  <c r="F242" i="3"/>
  <c r="F243" i="3"/>
  <c r="F244" i="3"/>
  <c r="F245" i="3"/>
  <c r="F246" i="3"/>
  <c r="F247" i="3"/>
  <c r="F248" i="3"/>
  <c r="F249" i="3"/>
  <c r="F250" i="3"/>
  <c r="F251" i="3"/>
  <c r="F252" i="3"/>
  <c r="F253" i="3"/>
  <c r="F254" i="3"/>
  <c r="F257" i="3"/>
  <c r="F258" i="3"/>
  <c r="F259" i="3"/>
  <c r="F260" i="3"/>
  <c r="F261" i="3"/>
  <c r="F262" i="3"/>
  <c r="F263" i="3"/>
  <c r="F264" i="3"/>
  <c r="F265" i="3"/>
  <c r="F266" i="3"/>
  <c r="F267" i="3"/>
  <c r="F270" i="3"/>
  <c r="F271" i="3"/>
  <c r="F272" i="3"/>
  <c r="F273" i="3"/>
  <c r="F274" i="3"/>
  <c r="F275" i="3"/>
  <c r="F276" i="3"/>
  <c r="F277" i="3"/>
  <c r="F278" i="3"/>
  <c r="F281" i="3"/>
  <c r="F282" i="3"/>
  <c r="F283" i="3"/>
  <c r="F284" i="3"/>
  <c r="F285" i="3"/>
  <c r="F286" i="3"/>
  <c r="F287" i="3"/>
  <c r="F290" i="3"/>
  <c r="F291" i="3"/>
  <c r="F292" i="3"/>
  <c r="F293" i="3"/>
  <c r="F294" i="3"/>
  <c r="F295" i="3"/>
  <c r="F296" i="3"/>
  <c r="F297" i="3"/>
  <c r="F298" i="3"/>
  <c r="F299" i="3"/>
  <c r="F300" i="3"/>
  <c r="F301" i="3"/>
  <c r="F302" i="3"/>
  <c r="F303" i="3"/>
  <c r="F304" i="3"/>
  <c r="F305" i="3"/>
  <c r="F308" i="3"/>
  <c r="F309" i="3"/>
  <c r="F310" i="3"/>
  <c r="F311" i="3"/>
  <c r="F312" i="3"/>
  <c r="F313" i="3"/>
  <c r="F314" i="3"/>
  <c r="F315" i="3"/>
  <c r="F316" i="3"/>
  <c r="F319" i="3"/>
  <c r="F320" i="3"/>
  <c r="F321" i="3"/>
  <c r="F322" i="3"/>
  <c r="F323" i="3"/>
  <c r="F324" i="3"/>
  <c r="F325" i="3"/>
  <c r="F326" i="3"/>
  <c r="F329" i="3"/>
  <c r="F330" i="3"/>
  <c r="F331" i="3"/>
  <c r="F332" i="3"/>
  <c r="F333" i="3"/>
  <c r="F334" i="3"/>
  <c r="F335" i="3"/>
  <c r="F336" i="3"/>
  <c r="F337" i="3"/>
  <c r="F338" i="3"/>
  <c r="F339" i="3"/>
  <c r="F340" i="3"/>
  <c r="F341" i="3"/>
  <c r="F344" i="3"/>
  <c r="F345" i="3"/>
  <c r="F346" i="3"/>
  <c r="F347" i="3"/>
  <c r="F348" i="3"/>
  <c r="F349" i="3"/>
  <c r="F350" i="3"/>
  <c r="F351" i="3"/>
  <c r="F352" i="3"/>
  <c r="F353" i="3"/>
  <c r="F354" i="3"/>
  <c r="F357" i="3"/>
  <c r="F358" i="3"/>
  <c r="F359" i="3"/>
  <c r="F360" i="3"/>
  <c r="F361" i="3"/>
  <c r="F362" i="3"/>
  <c r="F363" i="3"/>
  <c r="F364" i="3"/>
  <c r="F365" i="3"/>
  <c r="F366" i="3"/>
  <c r="F367" i="3"/>
  <c r="F370" i="3"/>
  <c r="F371" i="3"/>
  <c r="F372" i="3"/>
  <c r="F373" i="3"/>
  <c r="F374" i="3"/>
  <c r="F375" i="3"/>
  <c r="F376" i="3"/>
  <c r="F377" i="3"/>
  <c r="F378" i="3"/>
  <c r="F379" i="3"/>
  <c r="F383" i="3"/>
  <c r="F384" i="3"/>
  <c r="F385" i="3"/>
  <c r="F386" i="3"/>
  <c r="F387" i="3"/>
  <c r="F388" i="3"/>
  <c r="F389" i="3"/>
  <c r="F390" i="3"/>
  <c r="F391" i="3"/>
  <c r="F392" i="3"/>
  <c r="F393" i="3"/>
  <c r="F394" i="3"/>
  <c r="F395" i="3"/>
  <c r="F411" i="3"/>
  <c r="F398" i="3"/>
  <c r="F399" i="3"/>
  <c r="F400" i="3"/>
  <c r="F401" i="3"/>
  <c r="F402" i="3"/>
  <c r="F403" i="3"/>
  <c r="F404" i="3"/>
  <c r="F405" i="3"/>
  <c r="F406" i="3"/>
  <c r="F407" i="3"/>
  <c r="F408" i="3"/>
  <c r="F409" i="3"/>
  <c r="F410" i="3"/>
  <c r="F414" i="3"/>
  <c r="F415" i="3"/>
  <c r="F416" i="3"/>
  <c r="F417" i="3"/>
  <c r="F418" i="3"/>
  <c r="F419" i="3"/>
  <c r="F420" i="3"/>
  <c r="F421" i="3"/>
  <c r="F422" i="3"/>
  <c r="F430" i="3"/>
  <c r="F431" i="3"/>
  <c r="F432" i="3"/>
  <c r="F433" i="3"/>
  <c r="F434" i="3"/>
  <c r="F435" i="3"/>
  <c r="F436" i="3"/>
  <c r="F437" i="3"/>
  <c r="F438" i="3"/>
  <c r="F439" i="3"/>
  <c r="F440" i="3"/>
  <c r="F441" i="3"/>
  <c r="F442" i="3"/>
  <c r="F443" i="3"/>
  <c r="F444" i="3"/>
  <c r="F445" i="3"/>
  <c r="F446" i="3"/>
  <c r="F449" i="3"/>
  <c r="F450" i="3"/>
  <c r="F451" i="3"/>
  <c r="F452" i="3"/>
  <c r="F453" i="3"/>
  <c r="F454" i="3"/>
  <c r="F455" i="3"/>
  <c r="F456" i="3"/>
  <c r="F457" i="3"/>
  <c r="F458" i="3"/>
  <c r="F459" i="3"/>
  <c r="F460" i="3"/>
  <c r="F461" i="3"/>
  <c r="F462" i="3"/>
  <c r="F463" i="3"/>
  <c r="F464" i="3"/>
  <c r="F467" i="3"/>
  <c r="F468" i="3"/>
  <c r="F469" i="3"/>
  <c r="F470" i="3"/>
  <c r="F471" i="3"/>
  <c r="F472" i="3"/>
  <c r="F473" i="3"/>
  <c r="F474" i="3"/>
  <c r="F475" i="3"/>
  <c r="F476" i="3"/>
  <c r="F477" i="3"/>
  <c r="F478" i="3"/>
  <c r="F479" i="3"/>
  <c r="F480" i="3"/>
  <c r="F481" i="3"/>
  <c r="F501" i="3"/>
  <c r="F502" i="3"/>
  <c r="F503" i="3"/>
  <c r="F504" i="3"/>
  <c r="F505" i="3"/>
  <c r="F506" i="3"/>
  <c r="F507" i="3"/>
  <c r="F508" i="3"/>
  <c r="F509" i="3"/>
  <c r="F510" i="3"/>
  <c r="F511" i="3"/>
  <c r="F512" i="3"/>
  <c r="F513" i="3"/>
  <c r="F514" i="3"/>
  <c r="F515" i="3"/>
  <c r="F484" i="3"/>
  <c r="F485" i="3"/>
  <c r="F486" i="3"/>
  <c r="F487" i="3"/>
  <c r="F488" i="3"/>
  <c r="F489" i="3"/>
  <c r="F490" i="3"/>
  <c r="F491" i="3"/>
  <c r="F492" i="3"/>
  <c r="F493" i="3"/>
  <c r="F494" i="3"/>
  <c r="F495" i="3"/>
  <c r="F496" i="3"/>
  <c r="F497" i="3"/>
  <c r="F498" i="3"/>
  <c r="F518" i="3"/>
  <c r="F519" i="3"/>
  <c r="F520" i="3"/>
  <c r="F521" i="3"/>
  <c r="F522" i="3"/>
  <c r="F523" i="3"/>
  <c r="F524" i="3"/>
  <c r="F525" i="3"/>
  <c r="F526" i="3"/>
  <c r="F527" i="3"/>
  <c r="F528" i="3"/>
  <c r="F538" i="2"/>
  <c r="J318" i="4" l="1"/>
  <c r="J317" i="4"/>
  <c r="J316" i="4"/>
  <c r="J315" i="4"/>
  <c r="J314" i="4"/>
  <c r="J313" i="4"/>
  <c r="J312" i="4"/>
  <c r="J311" i="4"/>
  <c r="J310" i="4"/>
  <c r="J309" i="4"/>
  <c r="J308" i="4"/>
  <c r="J304" i="4"/>
  <c r="J303" i="4"/>
  <c r="J302" i="4"/>
  <c r="J301" i="4"/>
  <c r="J300" i="4"/>
  <c r="J299" i="4"/>
  <c r="J298" i="4"/>
  <c r="J297" i="4"/>
  <c r="J296" i="4"/>
  <c r="J295" i="4"/>
  <c r="J294" i="4"/>
  <c r="J293" i="4"/>
  <c r="J292" i="4"/>
  <c r="J290" i="4"/>
  <c r="J289" i="4"/>
  <c r="J288" i="4"/>
  <c r="J287" i="4"/>
  <c r="J286" i="4"/>
  <c r="J285" i="4"/>
  <c r="J284" i="4"/>
  <c r="J283" i="4"/>
  <c r="J281" i="4"/>
  <c r="J280" i="4"/>
  <c r="J279" i="4"/>
  <c r="J278" i="4"/>
  <c r="J277" i="4"/>
  <c r="J276" i="4"/>
  <c r="J275" i="4"/>
  <c r="J274" i="4"/>
  <c r="J267" i="4"/>
  <c r="J266" i="4"/>
  <c r="J265" i="4"/>
  <c r="J264" i="4"/>
  <c r="J263" i="4"/>
  <c r="J262" i="4"/>
  <c r="J261" i="4"/>
  <c r="J260" i="4"/>
  <c r="J259" i="4"/>
  <c r="J258" i="4"/>
  <c r="J257" i="4"/>
  <c r="J254" i="4"/>
  <c r="J253" i="4"/>
  <c r="J252" i="4"/>
  <c r="J251" i="4"/>
  <c r="J250" i="4"/>
  <c r="J249" i="4"/>
  <c r="J248" i="4"/>
  <c r="J247" i="4"/>
  <c r="J246" i="4"/>
  <c r="J245" i="4"/>
  <c r="J244" i="4"/>
  <c r="J243" i="4"/>
  <c r="J240" i="4"/>
  <c r="J239" i="4"/>
  <c r="J238" i="4"/>
  <c r="J237" i="4"/>
  <c r="J236" i="4"/>
  <c r="J235" i="4"/>
  <c r="J234" i="4"/>
  <c r="J233" i="4"/>
  <c r="J232" i="4"/>
  <c r="J231" i="4"/>
  <c r="J230" i="4"/>
  <c r="J228" i="4"/>
  <c r="J227" i="4"/>
  <c r="J226" i="4"/>
  <c r="J225" i="4"/>
  <c r="J224" i="4"/>
  <c r="J223" i="4"/>
  <c r="J222" i="4"/>
  <c r="J220" i="4"/>
  <c r="J219" i="4"/>
  <c r="J218" i="4"/>
  <c r="J217" i="4"/>
  <c r="J216" i="4"/>
  <c r="J215" i="4"/>
  <c r="J214" i="4"/>
  <c r="J212" i="4"/>
  <c r="J211" i="4"/>
  <c r="J210" i="4"/>
  <c r="J209" i="4"/>
  <c r="J208" i="4"/>
  <c r="J207" i="4"/>
  <c r="J206" i="4"/>
  <c r="J205" i="4"/>
  <c r="J203" i="4"/>
  <c r="J202" i="4"/>
  <c r="J201" i="4"/>
  <c r="J200" i="4"/>
  <c r="J199" i="4"/>
  <c r="J198" i="4"/>
  <c r="J197" i="4"/>
  <c r="J196" i="4"/>
  <c r="J194" i="4"/>
  <c r="J193" i="4"/>
  <c r="J192" i="4"/>
  <c r="J191" i="4"/>
  <c r="J190" i="4"/>
  <c r="J189" i="4"/>
  <c r="J188" i="4"/>
  <c r="J187" i="4"/>
  <c r="J185" i="4"/>
  <c r="J184" i="4"/>
  <c r="J183" i="4"/>
  <c r="J182" i="4"/>
  <c r="J181" i="4"/>
  <c r="J180" i="4"/>
  <c r="J179" i="4"/>
  <c r="J178" i="4"/>
  <c r="J175" i="4"/>
  <c r="J174" i="4"/>
  <c r="J173" i="4"/>
  <c r="J172" i="4"/>
  <c r="J171" i="4"/>
  <c r="J170" i="4"/>
  <c r="J169" i="4"/>
  <c r="J168" i="4"/>
  <c r="J166" i="4"/>
  <c r="J165" i="4"/>
  <c r="J164" i="4"/>
  <c r="J163" i="4"/>
  <c r="J162" i="4"/>
  <c r="J161" i="4"/>
  <c r="J160" i="4"/>
  <c r="J158" i="4"/>
  <c r="J157" i="4"/>
  <c r="J156" i="4"/>
  <c r="J155" i="4"/>
  <c r="J154" i="4"/>
  <c r="J153" i="4"/>
  <c r="J152" i="4"/>
  <c r="J151" i="4"/>
  <c r="J150" i="4"/>
  <c r="J148" i="4"/>
  <c r="J147" i="4"/>
  <c r="J146" i="4"/>
  <c r="J145" i="4"/>
  <c r="J144" i="4"/>
  <c r="J143" i="4"/>
  <c r="J142" i="4"/>
  <c r="J141" i="4"/>
  <c r="J140" i="4"/>
  <c r="J138" i="4"/>
  <c r="J137" i="4"/>
  <c r="J136" i="4"/>
  <c r="J135" i="4"/>
  <c r="J134" i="4"/>
  <c r="J133" i="4"/>
  <c r="J132" i="4"/>
  <c r="J131" i="4"/>
  <c r="J129" i="4"/>
  <c r="J128" i="4"/>
  <c r="J127" i="4"/>
  <c r="J126" i="4"/>
  <c r="J125" i="4"/>
  <c r="J124" i="4"/>
  <c r="J123" i="4"/>
  <c r="J122" i="4"/>
  <c r="J117" i="4"/>
  <c r="J116" i="4"/>
  <c r="J115" i="4"/>
  <c r="J114" i="4"/>
  <c r="J113" i="4"/>
  <c r="J112" i="4"/>
  <c r="J111" i="4"/>
  <c r="J110" i="4"/>
  <c r="J109" i="4"/>
  <c r="J107" i="4"/>
  <c r="J106" i="4"/>
  <c r="J105" i="4"/>
  <c r="J104" i="4"/>
  <c r="J103" i="4"/>
  <c r="J102" i="4"/>
  <c r="J101" i="4"/>
  <c r="J99" i="4"/>
  <c r="J98" i="4"/>
  <c r="J97" i="4"/>
  <c r="J96" i="4"/>
  <c r="J95" i="4"/>
  <c r="J94" i="4"/>
  <c r="J93" i="4"/>
  <c r="J92" i="4"/>
  <c r="J91" i="4"/>
  <c r="J89" i="4"/>
  <c r="J88" i="4"/>
  <c r="J87" i="4"/>
  <c r="J86" i="4"/>
  <c r="J85" i="4"/>
  <c r="J84" i="4"/>
  <c r="J79" i="4"/>
  <c r="J78" i="4"/>
  <c r="J77" i="4"/>
  <c r="J53" i="4"/>
  <c r="J52" i="4"/>
  <c r="J51" i="4"/>
  <c r="J49" i="4"/>
  <c r="J48" i="4"/>
  <c r="J47" i="4"/>
  <c r="J45" i="4"/>
  <c r="J44" i="4"/>
  <c r="J43" i="4"/>
  <c r="J40" i="4"/>
  <c r="J39" i="4"/>
  <c r="J38" i="4"/>
  <c r="J36" i="4"/>
  <c r="J35" i="4"/>
  <c r="J34" i="4"/>
  <c r="J32" i="4"/>
  <c r="J31" i="4"/>
  <c r="J30" i="4"/>
  <c r="J28" i="4"/>
  <c r="J27" i="4"/>
  <c r="J26" i="4"/>
  <c r="J23" i="4"/>
  <c r="J22" i="4"/>
  <c r="J21" i="4"/>
  <c r="J19" i="4"/>
  <c r="J18" i="4"/>
  <c r="J17" i="4"/>
  <c r="J15" i="4"/>
  <c r="J14" i="4"/>
  <c r="J13" i="4"/>
  <c r="J12" i="4"/>
  <c r="J11" i="4"/>
  <c r="J9" i="4"/>
  <c r="J8" i="4"/>
  <c r="J7" i="4"/>
  <c r="J6" i="4"/>
  <c r="J5" i="4"/>
  <c r="F517" i="3"/>
  <c r="F500" i="3"/>
  <c r="F483" i="3"/>
  <c r="F466" i="3"/>
  <c r="F448" i="3"/>
  <c r="F429" i="3"/>
  <c r="F413" i="3"/>
  <c r="F397" i="3"/>
  <c r="F382" i="3"/>
  <c r="F369" i="3"/>
  <c r="F356" i="3"/>
  <c r="F343" i="3"/>
  <c r="F328" i="3"/>
  <c r="F318" i="3"/>
  <c r="F307" i="3"/>
  <c r="G305" i="3"/>
  <c r="G304" i="3"/>
  <c r="G303" i="3"/>
  <c r="G302" i="3"/>
  <c r="G301" i="3"/>
  <c r="G300" i="3"/>
  <c r="G299" i="3"/>
  <c r="G298" i="3"/>
  <c r="G297" i="3"/>
  <c r="G296" i="3"/>
  <c r="G295" i="3"/>
  <c r="G294" i="3"/>
  <c r="G293" i="3"/>
  <c r="G292" i="3"/>
  <c r="G291" i="3"/>
  <c r="G290" i="3"/>
  <c r="F289" i="3"/>
  <c r="G289" i="3" s="1"/>
  <c r="F280" i="3"/>
  <c r="F269" i="3"/>
  <c r="F256" i="3"/>
  <c r="F241" i="3"/>
  <c r="F227" i="3"/>
  <c r="F212" i="3"/>
  <c r="F200" i="3"/>
  <c r="F175" i="3"/>
  <c r="F157" i="3"/>
  <c r="F151" i="3"/>
  <c r="F138" i="3"/>
  <c r="F123" i="3"/>
  <c r="F118" i="3"/>
  <c r="F108" i="3"/>
  <c r="F106" i="3"/>
  <c r="F105" i="3"/>
  <c r="F104" i="3"/>
  <c r="F103" i="3"/>
  <c r="F102" i="3"/>
  <c r="F80" i="3"/>
  <c r="F79" i="3"/>
  <c r="F78" i="3"/>
  <c r="F77" i="3"/>
  <c r="F76" i="3"/>
  <c r="F75" i="3"/>
  <c r="F74" i="3"/>
  <c r="F72" i="3"/>
  <c r="F71" i="3"/>
  <c r="F70" i="3"/>
  <c r="F69" i="3"/>
  <c r="F68" i="3"/>
  <c r="F67" i="3"/>
  <c r="F66" i="3"/>
  <c r="F64" i="3"/>
  <c r="F63" i="3"/>
  <c r="F62" i="3"/>
  <c r="F61" i="3"/>
  <c r="F60" i="3"/>
  <c r="F57" i="3"/>
  <c r="F56" i="3"/>
  <c r="F55" i="3"/>
  <c r="F54" i="3"/>
  <c r="F53" i="3"/>
  <c r="F51" i="3"/>
  <c r="F50" i="3"/>
  <c r="F49" i="3"/>
  <c r="F48" i="3"/>
  <c r="F46" i="3"/>
  <c r="F45" i="3"/>
  <c r="F44" i="3"/>
  <c r="F43" i="3"/>
  <c r="F42" i="3"/>
  <c r="F41" i="3"/>
  <c r="F39" i="3"/>
  <c r="F38" i="3"/>
  <c r="F37" i="3"/>
  <c r="F36" i="3"/>
  <c r="F33" i="3"/>
  <c r="F32" i="3"/>
  <c r="F31" i="3"/>
  <c r="F30" i="3"/>
  <c r="F29" i="3"/>
  <c r="F27" i="3"/>
  <c r="F26" i="3"/>
  <c r="F25" i="3"/>
  <c r="F24" i="3"/>
  <c r="F22" i="3"/>
  <c r="F21" i="3"/>
  <c r="F20" i="3"/>
  <c r="F19" i="3"/>
  <c r="F18" i="3"/>
  <c r="F17" i="3"/>
  <c r="F16" i="3"/>
  <c r="F14" i="3"/>
  <c r="F13" i="3"/>
  <c r="F12" i="3"/>
  <c r="F11" i="3"/>
  <c r="F10" i="3"/>
  <c r="F9" i="3"/>
  <c r="F8" i="3"/>
  <c r="F950" i="2"/>
  <c r="F949" i="2"/>
  <c r="F948" i="2"/>
  <c r="F947" i="2"/>
  <c r="F946" i="2"/>
  <c r="F945" i="2"/>
  <c r="F944" i="2"/>
  <c r="F943" i="2"/>
  <c r="F942" i="2"/>
  <c r="F941" i="2"/>
  <c r="F940" i="2"/>
  <c r="F939" i="2"/>
  <c r="F938" i="2"/>
  <c r="F937" i="2"/>
  <c r="F936" i="2"/>
  <c r="F935" i="2"/>
  <c r="F934" i="2"/>
  <c r="F933" i="2"/>
  <c r="F932" i="2"/>
  <c r="F931" i="2"/>
  <c r="F930" i="2"/>
  <c r="F929" i="2"/>
  <c r="F928" i="2"/>
  <c r="F927" i="2"/>
  <c r="F926" i="2"/>
  <c r="F925" i="2"/>
  <c r="F922" i="2"/>
  <c r="F921" i="2"/>
  <c r="F920" i="2"/>
  <c r="F919" i="2"/>
  <c r="F918" i="2"/>
  <c r="F917" i="2"/>
  <c r="F916" i="2"/>
  <c r="F915" i="2"/>
  <c r="F914" i="2"/>
  <c r="F913" i="2"/>
  <c r="F912" i="2"/>
  <c r="F911" i="2"/>
  <c r="F910" i="2"/>
  <c r="F909" i="2"/>
  <c r="F908" i="2"/>
  <c r="F907" i="2"/>
  <c r="F906" i="2"/>
  <c r="F905" i="2"/>
  <c r="F904" i="2"/>
  <c r="F903" i="2"/>
  <c r="F902" i="2"/>
  <c r="F901" i="2"/>
  <c r="F900" i="2"/>
  <c r="F899" i="2"/>
  <c r="F898" i="2"/>
  <c r="F897" i="2"/>
  <c r="F894" i="2"/>
  <c r="F893" i="2"/>
  <c r="F892" i="2"/>
  <c r="F891" i="2"/>
  <c r="F890" i="2"/>
  <c r="F889" i="2"/>
  <c r="F888" i="2"/>
  <c r="F887" i="2"/>
  <c r="F886" i="2"/>
  <c r="F885" i="2"/>
  <c r="F884" i="2"/>
  <c r="F883" i="2"/>
  <c r="F882" i="2"/>
  <c r="F881" i="2"/>
  <c r="F880" i="2"/>
  <c r="F879" i="2"/>
  <c r="F878" i="2"/>
  <c r="F877" i="2"/>
  <c r="F876" i="2"/>
  <c r="F875" i="2"/>
  <c r="F874" i="2"/>
  <c r="F873" i="2"/>
  <c r="F872" i="2"/>
  <c r="F871" i="2"/>
  <c r="F870" i="2"/>
  <c r="F869" i="2"/>
  <c r="F866" i="2"/>
  <c r="F865" i="2"/>
  <c r="F864" i="2"/>
  <c r="F863" i="2"/>
  <c r="F862" i="2"/>
  <c r="F861" i="2"/>
  <c r="F860" i="2"/>
  <c r="F859" i="2"/>
  <c r="F858" i="2"/>
  <c r="F857" i="2"/>
  <c r="F856" i="2"/>
  <c r="F855" i="2"/>
  <c r="F854" i="2"/>
  <c r="F853" i="2"/>
  <c r="F852" i="2"/>
  <c r="F851" i="2"/>
  <c r="F850" i="2"/>
  <c r="F849" i="2"/>
  <c r="F848" i="2"/>
  <c r="F847" i="2"/>
  <c r="F846" i="2"/>
  <c r="F845" i="2"/>
  <c r="F844" i="2"/>
  <c r="F843" i="2"/>
  <c r="F842" i="2"/>
  <c r="F841" i="2"/>
  <c r="F838" i="2"/>
  <c r="F837" i="2"/>
  <c r="F836" i="2"/>
  <c r="F835" i="2"/>
  <c r="F834" i="2"/>
  <c r="F833" i="2"/>
  <c r="F832" i="2"/>
  <c r="F831" i="2"/>
  <c r="F830" i="2"/>
  <c r="F829" i="2"/>
  <c r="F828" i="2"/>
  <c r="F827" i="2"/>
  <c r="F826" i="2"/>
  <c r="F825" i="2"/>
  <c r="F824" i="2"/>
  <c r="F823" i="2"/>
  <c r="F822" i="2"/>
  <c r="F821" i="2"/>
  <c r="F820" i="2"/>
  <c r="F819" i="2"/>
  <c r="F818" i="2"/>
  <c r="F817" i="2"/>
  <c r="F816" i="2"/>
  <c r="F815" i="2"/>
  <c r="F814" i="2"/>
  <c r="F813" i="2"/>
  <c r="F810" i="2"/>
  <c r="F809" i="2"/>
  <c r="F808" i="2"/>
  <c r="F807" i="2"/>
  <c r="F806" i="2"/>
  <c r="F805" i="2"/>
  <c r="F804" i="2"/>
  <c r="F803" i="2"/>
  <c r="F802" i="2"/>
  <c r="F801" i="2"/>
  <c r="F800" i="2"/>
  <c r="F799" i="2"/>
  <c r="F798" i="2"/>
  <c r="F797" i="2"/>
  <c r="F796" i="2"/>
  <c r="F795" i="2"/>
  <c r="F794" i="2"/>
  <c r="F793" i="2"/>
  <c r="F792" i="2"/>
  <c r="F791" i="2"/>
  <c r="F790" i="2"/>
  <c r="F789" i="2"/>
  <c r="F788" i="2"/>
  <c r="F787" i="2"/>
  <c r="F786" i="2"/>
  <c r="F785" i="2"/>
  <c r="F777" i="2"/>
  <c r="F776" i="2"/>
  <c r="F775" i="2"/>
  <c r="F774" i="2"/>
  <c r="F773" i="2"/>
  <c r="F772" i="2"/>
  <c r="F771" i="2"/>
  <c r="F770" i="2"/>
  <c r="F769" i="2"/>
  <c r="F768" i="2"/>
  <c r="F767" i="2"/>
  <c r="F766" i="2"/>
  <c r="F765" i="2"/>
  <c r="F764" i="2"/>
  <c r="F763" i="2"/>
  <c r="F762" i="2"/>
  <c r="F761" i="2"/>
  <c r="F760" i="2"/>
  <c r="F759" i="2"/>
  <c r="F758" i="2"/>
  <c r="F757" i="2"/>
  <c r="F756" i="2"/>
  <c r="F755" i="2"/>
  <c r="F754" i="2"/>
  <c r="F753" i="2"/>
  <c r="F752" i="2"/>
  <c r="F751" i="2"/>
  <c r="F750" i="2"/>
  <c r="F746" i="2"/>
  <c r="F745" i="2"/>
  <c r="F744" i="2"/>
  <c r="F743" i="2"/>
  <c r="F742" i="2"/>
  <c r="F741" i="2"/>
  <c r="F740" i="2"/>
  <c r="F739" i="2"/>
  <c r="F738" i="2"/>
  <c r="F737" i="2"/>
  <c r="F736" i="2"/>
  <c r="F735" i="2"/>
  <c r="F734" i="2"/>
  <c r="F733" i="2"/>
  <c r="F732" i="2"/>
  <c r="F731" i="2"/>
  <c r="F730" i="2"/>
  <c r="F729" i="2"/>
  <c r="F728" i="2"/>
  <c r="F727" i="2"/>
  <c r="F726" i="2"/>
  <c r="F725" i="2"/>
  <c r="F724" i="2"/>
  <c r="F723" i="2"/>
  <c r="F722" i="2"/>
  <c r="F721" i="2"/>
  <c r="F720" i="2"/>
  <c r="F719" i="2"/>
  <c r="F718" i="2"/>
  <c r="F717" i="2"/>
  <c r="F713" i="2"/>
  <c r="F712" i="2"/>
  <c r="F711" i="2"/>
  <c r="F710" i="2"/>
  <c r="F709" i="2"/>
  <c r="F708" i="2"/>
  <c r="F707" i="2"/>
  <c r="F706" i="2"/>
  <c r="F705" i="2"/>
  <c r="F704" i="2"/>
  <c r="F703" i="2"/>
  <c r="F702" i="2"/>
  <c r="F701" i="2"/>
  <c r="F700" i="2"/>
  <c r="F699" i="2"/>
  <c r="F698" i="2"/>
  <c r="F697" i="2"/>
  <c r="F696" i="2"/>
  <c r="F695" i="2"/>
  <c r="F694" i="2"/>
  <c r="F693" i="2"/>
  <c r="F692" i="2"/>
  <c r="F691" i="2"/>
  <c r="F690" i="2"/>
  <c r="F689" i="2"/>
  <c r="F688" i="2"/>
  <c r="F687" i="2"/>
  <c r="F686" i="2"/>
  <c r="F685" i="2"/>
  <c r="F682" i="2"/>
  <c r="F681" i="2"/>
  <c r="F680" i="2"/>
  <c r="F679" i="2"/>
  <c r="F678" i="2"/>
  <c r="F677" i="2"/>
  <c r="F676" i="2"/>
  <c r="F675" i="2"/>
  <c r="F674" i="2"/>
  <c r="F673" i="2"/>
  <c r="F672" i="2"/>
  <c r="F671" i="2"/>
  <c r="F670" i="2"/>
  <c r="F669" i="2"/>
  <c r="F668" i="2"/>
  <c r="F667" i="2"/>
  <c r="F666" i="2"/>
  <c r="F665" i="2"/>
  <c r="F664" i="2"/>
  <c r="F663" i="2"/>
  <c r="F662" i="2"/>
  <c r="F661" i="2"/>
  <c r="F660" i="2"/>
  <c r="F659" i="2"/>
  <c r="F658" i="2"/>
  <c r="F657" i="2"/>
  <c r="F656" i="2"/>
  <c r="F653" i="2"/>
  <c r="F652" i="2"/>
  <c r="F651" i="2"/>
  <c r="F650" i="2"/>
  <c r="F649" i="2"/>
  <c r="F648" i="2"/>
  <c r="F647" i="2"/>
  <c r="F646" i="2"/>
  <c r="F645" i="2"/>
  <c r="F644" i="2"/>
  <c r="F643" i="2"/>
  <c r="F642" i="2"/>
  <c r="F641" i="2"/>
  <c r="F640" i="2"/>
  <c r="F639" i="2"/>
  <c r="F638" i="2"/>
  <c r="F637" i="2"/>
  <c r="F636" i="2"/>
  <c r="F635" i="2"/>
  <c r="F634" i="2"/>
  <c r="F633" i="2"/>
  <c r="F632" i="2"/>
  <c r="F631" i="2"/>
  <c r="F628" i="2"/>
  <c r="F627" i="2"/>
  <c r="F626" i="2"/>
  <c r="F625" i="2"/>
  <c r="F624" i="2"/>
  <c r="F623" i="2"/>
  <c r="F622" i="2"/>
  <c r="F621" i="2"/>
  <c r="F620" i="2"/>
  <c r="F619" i="2"/>
  <c r="F618" i="2"/>
  <c r="F617" i="2"/>
  <c r="F616" i="2"/>
  <c r="F615" i="2"/>
  <c r="F614" i="2"/>
  <c r="F613" i="2"/>
  <c r="F612" i="2"/>
  <c r="F611" i="2"/>
  <c r="F610" i="2"/>
  <c r="F609" i="2"/>
  <c r="F608" i="2"/>
  <c r="F607" i="2"/>
  <c r="F606" i="2"/>
  <c r="F605" i="2"/>
  <c r="F604" i="2"/>
  <c r="F603" i="2"/>
  <c r="F602" i="2"/>
  <c r="F601" i="2"/>
  <c r="F600"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7" i="2"/>
  <c r="F536" i="2"/>
  <c r="F535" i="2"/>
  <c r="F534" i="2"/>
  <c r="F533" i="2"/>
  <c r="F532" i="2"/>
  <c r="F531" i="2"/>
  <c r="F530" i="2"/>
  <c r="F529" i="2"/>
  <c r="F528" i="2"/>
  <c r="F527" i="2"/>
  <c r="F526" i="2"/>
  <c r="F525" i="2"/>
  <c r="F524" i="2"/>
  <c r="F523" i="2"/>
  <c r="F522" i="2"/>
  <c r="F521" i="2"/>
  <c r="F520" i="2"/>
  <c r="F519" i="2"/>
  <c r="F518" i="2"/>
  <c r="F517" i="2"/>
  <c r="F516" i="2"/>
  <c r="F515" i="2"/>
  <c r="F514" i="2"/>
  <c r="F513" i="2"/>
  <c r="F512" i="2"/>
  <c r="F511" i="2"/>
  <c r="F510" i="2"/>
  <c r="F509" i="2"/>
  <c r="F508" i="2"/>
  <c r="F507" i="2"/>
  <c r="F506"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58" i="2"/>
  <c r="F257" i="2"/>
  <c r="F256" i="2"/>
  <c r="F255" i="2"/>
  <c r="F254" i="2"/>
  <c r="F253" i="2"/>
  <c r="F252" i="2"/>
  <c r="F251" i="2"/>
  <c r="F250" i="2"/>
  <c r="F249" i="2"/>
  <c r="F248" i="2"/>
  <c r="F247" i="2"/>
  <c r="F246" i="2"/>
  <c r="F245" i="2"/>
  <c r="F244" i="2"/>
  <c r="F243" i="2"/>
  <c r="F242" i="2"/>
  <c r="F241"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1" i="2"/>
  <c r="F180" i="2"/>
  <c r="F179" i="2"/>
  <c r="F178" i="2"/>
  <c r="F177" i="2"/>
  <c r="F176" i="2"/>
  <c r="F175" i="2"/>
  <c r="F174" i="2"/>
  <c r="F173" i="2"/>
  <c r="F172" i="2"/>
  <c r="F171" i="2"/>
  <c r="F170" i="2"/>
  <c r="F146" i="2"/>
  <c r="F145" i="2"/>
  <c r="F144" i="2"/>
  <c r="F143" i="2"/>
  <c r="F142" i="2"/>
  <c r="F141" i="2"/>
  <c r="F140" i="2"/>
  <c r="F139" i="2"/>
  <c r="F138" i="2"/>
  <c r="F137" i="2"/>
  <c r="F136" i="2"/>
  <c r="F135" i="2"/>
  <c r="F134" i="2"/>
  <c r="F132" i="2"/>
  <c r="F131" i="2"/>
  <c r="F130" i="2"/>
  <c r="F129" i="2"/>
  <c r="F128" i="2"/>
  <c r="F127" i="2"/>
  <c r="F126" i="2"/>
  <c r="F125" i="2"/>
  <c r="F124" i="2"/>
  <c r="F123" i="2"/>
  <c r="F122" i="2"/>
  <c r="F121" i="2"/>
  <c r="F119" i="2"/>
  <c r="F118" i="2"/>
  <c r="F117" i="2"/>
  <c r="F116" i="2"/>
  <c r="F115" i="2"/>
  <c r="F114" i="2"/>
  <c r="F113" i="2"/>
  <c r="F112" i="2"/>
  <c r="F111" i="2"/>
  <c r="F110" i="2"/>
  <c r="F109" i="2"/>
  <c r="F108" i="2"/>
  <c r="F107" i="2"/>
  <c r="F104" i="2"/>
  <c r="F103" i="2"/>
  <c r="F102" i="2"/>
  <c r="F101" i="2"/>
  <c r="F100" i="2"/>
  <c r="F99" i="2"/>
  <c r="F98" i="2"/>
  <c r="F97" i="2"/>
  <c r="F96" i="2"/>
  <c r="F95" i="2"/>
  <c r="F94" i="2"/>
  <c r="F93" i="2"/>
  <c r="F92" i="2"/>
  <c r="F90" i="2"/>
  <c r="F89" i="2"/>
  <c r="F88" i="2"/>
  <c r="F87" i="2"/>
  <c r="F86" i="2"/>
  <c r="F85" i="2"/>
  <c r="F84" i="2"/>
  <c r="F83" i="2"/>
  <c r="F82" i="2"/>
  <c r="F81" i="2"/>
  <c r="F80" i="2"/>
  <c r="F79" i="2"/>
  <c r="F78" i="2"/>
  <c r="F77" i="2"/>
  <c r="F75" i="2"/>
  <c r="F74" i="2"/>
  <c r="F73" i="2"/>
  <c r="F72" i="2"/>
  <c r="F71" i="2"/>
  <c r="F70" i="2"/>
  <c r="F69" i="2"/>
  <c r="F68" i="2"/>
  <c r="F67" i="2"/>
  <c r="F66" i="2"/>
  <c r="F65" i="2"/>
  <c r="F64" i="2"/>
  <c r="F63" i="2"/>
  <c r="F61" i="2"/>
  <c r="F60" i="2"/>
  <c r="F59" i="2"/>
  <c r="F58" i="2"/>
  <c r="F57" i="2"/>
  <c r="F56" i="2"/>
  <c r="F55" i="2"/>
  <c r="F54" i="2"/>
  <c r="F53" i="2"/>
  <c r="F52" i="2"/>
  <c r="F51" i="2"/>
  <c r="F50" i="2"/>
  <c r="F46" i="2"/>
  <c r="F45" i="2"/>
  <c r="F44" i="2"/>
  <c r="F43" i="2"/>
  <c r="F42" i="2"/>
  <c r="F41" i="2"/>
  <c r="F40" i="2"/>
  <c r="F39" i="2"/>
  <c r="F38" i="2"/>
  <c r="F37" i="2"/>
  <c r="F36" i="2"/>
  <c r="F35" i="2"/>
  <c r="F34" i="2"/>
  <c r="F32" i="2"/>
  <c r="F31" i="2"/>
  <c r="F30" i="2"/>
  <c r="F29" i="2"/>
  <c r="F28" i="2"/>
  <c r="F27" i="2"/>
  <c r="F26" i="2"/>
  <c r="F25" i="2"/>
  <c r="F24" i="2"/>
  <c r="F23" i="2"/>
  <c r="F22" i="2"/>
  <c r="F21" i="2"/>
  <c r="F18" i="2"/>
  <c r="F17" i="2"/>
  <c r="F16" i="2"/>
  <c r="F15" i="2"/>
  <c r="F14" i="2"/>
  <c r="F13" i="2"/>
  <c r="F12" i="2"/>
  <c r="F11" i="2"/>
  <c r="F10" i="2"/>
  <c r="F9" i="2"/>
  <c r="F8"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3" i="2"/>
  <c r="D652" i="2"/>
  <c r="D651" i="2"/>
  <c r="D650" i="2"/>
  <c r="D649" i="2"/>
  <c r="D648" i="2"/>
  <c r="D647" i="2"/>
  <c r="D646" i="2"/>
  <c r="D645" i="2"/>
  <c r="D644" i="2"/>
  <c r="D643" i="2"/>
  <c r="D642" i="2"/>
  <c r="D641" i="2"/>
  <c r="D640" i="2"/>
  <c r="D639" i="2"/>
  <c r="D638" i="2"/>
  <c r="D637" i="2"/>
  <c r="D636" i="2"/>
  <c r="D635" i="2"/>
  <c r="D634" i="2"/>
  <c r="D633" i="2"/>
  <c r="D632" i="2"/>
  <c r="D631"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58" i="2"/>
  <c r="D257" i="2"/>
  <c r="D256" i="2"/>
  <c r="D255" i="2"/>
  <c r="D254" i="2"/>
  <c r="D253" i="2"/>
  <c r="D252" i="2"/>
  <c r="D251" i="2"/>
  <c r="D250" i="2"/>
  <c r="D249" i="2"/>
  <c r="D248" i="2"/>
  <c r="D247" i="2"/>
  <c r="D246" i="2"/>
  <c r="D245" i="2"/>
  <c r="D244" i="2"/>
  <c r="D243" i="2"/>
  <c r="D242" i="2"/>
  <c r="D241"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1" i="2"/>
  <c r="D180" i="2"/>
  <c r="D179" i="2"/>
  <c r="D178" i="2"/>
  <c r="D177" i="2"/>
  <c r="D176" i="2"/>
  <c r="D175" i="2"/>
  <c r="D174" i="2"/>
  <c r="D173" i="2"/>
  <c r="D172" i="2"/>
  <c r="D171" i="2"/>
  <c r="D170" i="2"/>
  <c r="D146" i="2"/>
  <c r="D145" i="2"/>
  <c r="D144" i="2"/>
  <c r="D143" i="2"/>
  <c r="D142" i="2"/>
  <c r="D141" i="2"/>
  <c r="D140" i="2"/>
  <c r="D139" i="2"/>
  <c r="D138" i="2"/>
  <c r="D137" i="2"/>
  <c r="D136" i="2"/>
  <c r="D135" i="2"/>
  <c r="D134" i="2"/>
  <c r="D132" i="2"/>
  <c r="D131" i="2"/>
  <c r="D130" i="2"/>
  <c r="D129" i="2"/>
  <c r="D128" i="2"/>
  <c r="D127" i="2"/>
  <c r="D126" i="2"/>
  <c r="D125" i="2"/>
  <c r="D124" i="2"/>
  <c r="D123" i="2"/>
  <c r="D122" i="2"/>
  <c r="D121" i="2"/>
  <c r="D119" i="2"/>
  <c r="D118" i="2"/>
  <c r="D117" i="2"/>
  <c r="D116" i="2"/>
  <c r="D115" i="2"/>
  <c r="D114" i="2"/>
  <c r="D113" i="2"/>
  <c r="D112" i="2"/>
  <c r="D111" i="2"/>
  <c r="D110" i="2"/>
  <c r="D109" i="2"/>
  <c r="D108" i="2"/>
  <c r="D107" i="2"/>
  <c r="D104" i="2"/>
  <c r="D103" i="2"/>
  <c r="D102" i="2"/>
  <c r="D101" i="2"/>
  <c r="D100" i="2"/>
  <c r="D99" i="2"/>
  <c r="D98" i="2"/>
  <c r="D97" i="2"/>
  <c r="D96" i="2"/>
  <c r="D95" i="2"/>
  <c r="D94" i="2"/>
  <c r="D93" i="2"/>
  <c r="D92" i="2"/>
  <c r="D90" i="2"/>
  <c r="D89" i="2"/>
  <c r="D88" i="2"/>
  <c r="D87" i="2"/>
  <c r="D86" i="2"/>
  <c r="D85" i="2"/>
  <c r="D84" i="2"/>
  <c r="D83" i="2"/>
  <c r="D82" i="2"/>
  <c r="D81" i="2"/>
  <c r="D80" i="2"/>
  <c r="D79" i="2"/>
  <c r="D78" i="2"/>
  <c r="D77" i="2"/>
  <c r="D75" i="2"/>
  <c r="D74" i="2"/>
  <c r="D73" i="2"/>
  <c r="D72" i="2"/>
  <c r="D71" i="2"/>
  <c r="D70" i="2"/>
  <c r="D69" i="2"/>
  <c r="D68" i="2"/>
  <c r="D67" i="2"/>
  <c r="D66" i="2"/>
  <c r="D65" i="2"/>
  <c r="D64" i="2"/>
  <c r="D63" i="2"/>
  <c r="D61" i="2"/>
  <c r="D60" i="2"/>
  <c r="D59" i="2"/>
  <c r="D58" i="2"/>
  <c r="D57" i="2"/>
  <c r="D56" i="2"/>
  <c r="D55" i="2"/>
  <c r="D54" i="2"/>
  <c r="D53" i="2"/>
  <c r="D52" i="2"/>
  <c r="D51" i="2"/>
  <c r="D50" i="2"/>
  <c r="D46" i="2"/>
  <c r="D45" i="2"/>
  <c r="D44" i="2"/>
  <c r="D43" i="2"/>
  <c r="D42" i="2"/>
  <c r="D41" i="2"/>
  <c r="D40" i="2"/>
  <c r="D39" i="2"/>
  <c r="D38" i="2"/>
  <c r="D37" i="2"/>
  <c r="D36" i="2"/>
  <c r="D35" i="2"/>
  <c r="D34" i="2"/>
  <c r="D32" i="2"/>
  <c r="D31" i="2"/>
  <c r="D30" i="2"/>
  <c r="D29" i="2"/>
  <c r="D28" i="2"/>
  <c r="D27" i="2"/>
  <c r="D26" i="2"/>
  <c r="D25" i="2"/>
  <c r="D24" i="2"/>
  <c r="D23" i="2"/>
  <c r="D22" i="2"/>
  <c r="D21" i="2"/>
  <c r="D18" i="2"/>
  <c r="D17" i="2"/>
  <c r="D16" i="2"/>
  <c r="D15" i="2"/>
  <c r="D14" i="2"/>
  <c r="D13" i="2"/>
  <c r="D12" i="2"/>
  <c r="D11" i="2"/>
  <c r="D10" i="2"/>
  <c r="D9" i="2"/>
  <c r="D8" i="2"/>
  <c r="G305" i="2"/>
  <c r="H126" i="4"/>
  <c r="G126" i="4" l="1"/>
  <c r="I126" i="4" s="1"/>
  <c r="G393" i="3"/>
  <c r="H155" i="4"/>
  <c r="G155" i="4" s="1"/>
  <c r="G700" i="2" l="1"/>
  <c r="G698" i="2"/>
  <c r="G699" i="2"/>
  <c r="G538" i="2"/>
  <c r="G534" i="2" l="1"/>
  <c r="G536" i="2"/>
  <c r="G518" i="2"/>
  <c r="G520" i="2"/>
  <c r="G522" i="2"/>
  <c r="G524" i="2"/>
  <c r="G526" i="2"/>
  <c r="G528" i="2"/>
  <c r="G530" i="2"/>
  <c r="G532" i="2"/>
  <c r="G510" i="2"/>
  <c r="G514" i="2"/>
  <c r="G516" i="2"/>
  <c r="G512" i="2"/>
  <c r="G507" i="2"/>
  <c r="G509" i="2"/>
  <c r="G511" i="2"/>
  <c r="G513" i="2"/>
  <c r="G515" i="2"/>
  <c r="G517" i="2"/>
  <c r="G519" i="2"/>
  <c r="G521" i="2"/>
  <c r="G523" i="2"/>
  <c r="G525" i="2"/>
  <c r="G527" i="2"/>
  <c r="G529" i="2"/>
  <c r="G531" i="2"/>
  <c r="G533" i="2"/>
  <c r="G535" i="2"/>
  <c r="G537" i="2"/>
  <c r="G508" i="2"/>
  <c r="G288" i="3"/>
  <c r="G527" i="3"/>
  <c r="H86" i="4"/>
  <c r="H85" i="4"/>
  <c r="H94" i="4"/>
  <c r="H93" i="4"/>
  <c r="H103" i="4"/>
  <c r="H102" i="4"/>
  <c r="H111" i="4"/>
  <c r="H110" i="4"/>
  <c r="H143" i="4"/>
  <c r="H142" i="4"/>
  <c r="H153" i="4"/>
  <c r="H152" i="4"/>
  <c r="H162" i="4"/>
  <c r="H161" i="4"/>
  <c r="H170" i="4"/>
  <c r="H169" i="4"/>
  <c r="H180" i="4"/>
  <c r="H179" i="4"/>
  <c r="H189" i="4"/>
  <c r="H188" i="4"/>
  <c r="H198" i="4"/>
  <c r="H197" i="4"/>
  <c r="H207" i="4"/>
  <c r="H206" i="4"/>
  <c r="H233" i="4"/>
  <c r="H232" i="4"/>
  <c r="H247" i="4"/>
  <c r="H246" i="4"/>
  <c r="H261" i="4"/>
  <c r="H260" i="4"/>
  <c r="H277" i="4"/>
  <c r="H276" i="4"/>
  <c r="H295" i="4"/>
  <c r="H294" i="4"/>
  <c r="H311" i="4"/>
  <c r="H310" i="4"/>
  <c r="H318" i="4"/>
  <c r="H317" i="4"/>
  <c r="H316" i="4"/>
  <c r="H315" i="4"/>
  <c r="H314" i="4"/>
  <c r="H313" i="4"/>
  <c r="H312" i="4"/>
  <c r="H309" i="4"/>
  <c r="H308" i="4"/>
  <c r="H304" i="4"/>
  <c r="H303" i="4"/>
  <c r="H302" i="4"/>
  <c r="H301" i="4"/>
  <c r="H300" i="4"/>
  <c r="H299" i="4"/>
  <c r="H298" i="4"/>
  <c r="H297" i="4"/>
  <c r="H296" i="4"/>
  <c r="H293" i="4"/>
  <c r="H292" i="4"/>
  <c r="H290" i="4"/>
  <c r="H289" i="4"/>
  <c r="G289" i="4" s="1"/>
  <c r="H288" i="4"/>
  <c r="H287" i="4"/>
  <c r="G287" i="4" s="1"/>
  <c r="H286" i="4"/>
  <c r="H285" i="4"/>
  <c r="G285" i="4" s="1"/>
  <c r="H284" i="4"/>
  <c r="H283" i="4"/>
  <c r="G283" i="4" s="1"/>
  <c r="H281" i="4"/>
  <c r="H280" i="4"/>
  <c r="G280" i="4" s="1"/>
  <c r="H279" i="4"/>
  <c r="H278" i="4"/>
  <c r="G278" i="4" s="1"/>
  <c r="H275" i="4"/>
  <c r="H274" i="4"/>
  <c r="G274" i="4" s="1"/>
  <c r="H267" i="4"/>
  <c r="H266" i="4"/>
  <c r="G266" i="4" s="1"/>
  <c r="H265" i="4"/>
  <c r="H264" i="4"/>
  <c r="G264" i="4" s="1"/>
  <c r="H263" i="4"/>
  <c r="H262" i="4"/>
  <c r="G262" i="4" s="1"/>
  <c r="H259" i="4"/>
  <c r="H258" i="4"/>
  <c r="G258" i="4" s="1"/>
  <c r="H257" i="4"/>
  <c r="H254" i="4"/>
  <c r="H253" i="4"/>
  <c r="H252" i="4"/>
  <c r="G252" i="4" s="1"/>
  <c r="H251" i="4"/>
  <c r="H250" i="4"/>
  <c r="G250" i="4" s="1"/>
  <c r="H249" i="4"/>
  <c r="H248" i="4"/>
  <c r="G248" i="4" s="1"/>
  <c r="H245" i="4"/>
  <c r="H244" i="4"/>
  <c r="G244" i="4" s="1"/>
  <c r="H243" i="4"/>
  <c r="H240" i="4"/>
  <c r="H239" i="4"/>
  <c r="H238" i="4"/>
  <c r="G238" i="4" s="1"/>
  <c r="H237" i="4"/>
  <c r="H236" i="4"/>
  <c r="G236" i="4" s="1"/>
  <c r="H235" i="4"/>
  <c r="H234" i="4"/>
  <c r="G234" i="4" s="1"/>
  <c r="H231" i="4"/>
  <c r="H230" i="4"/>
  <c r="G230" i="4" s="1"/>
  <c r="H228" i="4"/>
  <c r="H227" i="4"/>
  <c r="G227" i="4" s="1"/>
  <c r="H226" i="4"/>
  <c r="H225" i="4"/>
  <c r="G225" i="4" s="1"/>
  <c r="H224" i="4"/>
  <c r="H223" i="4"/>
  <c r="G223" i="4" s="1"/>
  <c r="H222" i="4"/>
  <c r="H220" i="4"/>
  <c r="H219" i="4"/>
  <c r="H218" i="4"/>
  <c r="H217" i="4"/>
  <c r="H216" i="4"/>
  <c r="H215" i="4"/>
  <c r="H214" i="4"/>
  <c r="H212" i="4"/>
  <c r="H211" i="4"/>
  <c r="H210" i="4"/>
  <c r="H209" i="4"/>
  <c r="H208" i="4"/>
  <c r="H205" i="4"/>
  <c r="H203" i="4"/>
  <c r="H202" i="4"/>
  <c r="H201" i="4"/>
  <c r="H200" i="4"/>
  <c r="H199" i="4"/>
  <c r="H196" i="4"/>
  <c r="H194" i="4"/>
  <c r="H193" i="4"/>
  <c r="H192" i="4"/>
  <c r="H191" i="4"/>
  <c r="H190" i="4"/>
  <c r="H187" i="4"/>
  <c r="H185" i="4"/>
  <c r="H184" i="4"/>
  <c r="H183" i="4"/>
  <c r="H182" i="4"/>
  <c r="H181" i="4"/>
  <c r="H178" i="4"/>
  <c r="H175" i="4"/>
  <c r="H174" i="4"/>
  <c r="H173" i="4"/>
  <c r="H172" i="4"/>
  <c r="H171" i="4"/>
  <c r="H168" i="4"/>
  <c r="H166" i="4"/>
  <c r="H165" i="4"/>
  <c r="H164" i="4"/>
  <c r="H163" i="4"/>
  <c r="H160" i="4"/>
  <c r="H158" i="4"/>
  <c r="H157" i="4"/>
  <c r="H156" i="4"/>
  <c r="H154" i="4"/>
  <c r="H151" i="4"/>
  <c r="H150" i="4"/>
  <c r="H148" i="4"/>
  <c r="H147" i="4"/>
  <c r="H146" i="4"/>
  <c r="H145" i="4"/>
  <c r="H144" i="4"/>
  <c r="H141" i="4"/>
  <c r="H140" i="4"/>
  <c r="H138" i="4"/>
  <c r="H137" i="4"/>
  <c r="H136" i="4"/>
  <c r="H135" i="4"/>
  <c r="H134" i="4"/>
  <c r="H133" i="4"/>
  <c r="H132" i="4"/>
  <c r="H131" i="4"/>
  <c r="H129" i="4"/>
  <c r="H128" i="4"/>
  <c r="H127" i="4"/>
  <c r="H125" i="4"/>
  <c r="H124" i="4"/>
  <c r="H123" i="4"/>
  <c r="H122" i="4"/>
  <c r="H117" i="4"/>
  <c r="H116" i="4"/>
  <c r="H115" i="4"/>
  <c r="H114" i="4"/>
  <c r="H113" i="4"/>
  <c r="H112" i="4"/>
  <c r="H109" i="4"/>
  <c r="H107" i="4"/>
  <c r="H106" i="4"/>
  <c r="H105" i="4"/>
  <c r="H104" i="4"/>
  <c r="H101" i="4"/>
  <c r="H99" i="4"/>
  <c r="H98" i="4"/>
  <c r="H97" i="4"/>
  <c r="H96" i="4"/>
  <c r="H95" i="4"/>
  <c r="H92" i="4"/>
  <c r="H91" i="4"/>
  <c r="H89" i="4"/>
  <c r="H88" i="4"/>
  <c r="H87" i="4"/>
  <c r="H84" i="4"/>
  <c r="H79" i="4"/>
  <c r="H78" i="4"/>
  <c r="H77" i="4"/>
  <c r="H53" i="4"/>
  <c r="H52" i="4"/>
  <c r="H51" i="4"/>
  <c r="H49" i="4"/>
  <c r="H48" i="4"/>
  <c r="H47" i="4"/>
  <c r="H45" i="4"/>
  <c r="H44" i="4"/>
  <c r="H43" i="4"/>
  <c r="H40" i="4"/>
  <c r="H39" i="4"/>
  <c r="H38" i="4"/>
  <c r="H36" i="4"/>
  <c r="H35" i="4"/>
  <c r="H34" i="4"/>
  <c r="H32" i="4"/>
  <c r="H31" i="4"/>
  <c r="H30" i="4"/>
  <c r="H28" i="4"/>
  <c r="H27" i="4"/>
  <c r="H26" i="4"/>
  <c r="H23" i="4"/>
  <c r="H22" i="4"/>
  <c r="H21" i="4"/>
  <c r="H19" i="4"/>
  <c r="H18" i="4"/>
  <c r="H17" i="4"/>
  <c r="H15" i="4"/>
  <c r="H14" i="4"/>
  <c r="H13" i="4"/>
  <c r="H12" i="4"/>
  <c r="H11" i="4"/>
  <c r="H6" i="4"/>
  <c r="H7" i="4"/>
  <c r="H8" i="4"/>
  <c r="H9" i="4"/>
  <c r="H5" i="4"/>
  <c r="G196" i="3"/>
  <c r="G195" i="3"/>
  <c r="G194" i="3"/>
  <c r="G193" i="3"/>
  <c r="G192" i="3"/>
  <c r="G191" i="3"/>
  <c r="G190" i="3"/>
  <c r="G189" i="3"/>
  <c r="G188" i="3"/>
  <c r="G187" i="3"/>
  <c r="G186" i="3"/>
  <c r="G185" i="3"/>
  <c r="G184" i="3"/>
  <c r="G183" i="3"/>
  <c r="G182" i="3"/>
  <c r="G181" i="3"/>
  <c r="G180" i="3"/>
  <c r="G179" i="3"/>
  <c r="G178" i="3"/>
  <c r="G177" i="3"/>
  <c r="G176" i="3"/>
  <c r="G175" i="3"/>
  <c r="F951" i="2"/>
  <c r="F923" i="2"/>
  <c r="F895" i="2"/>
  <c r="F867" i="2"/>
  <c r="F839" i="2"/>
  <c r="F811" i="2"/>
  <c r="F778" i="2"/>
  <c r="F747" i="2"/>
  <c r="F714" i="2"/>
  <c r="G702" i="2"/>
  <c r="G701" i="2"/>
  <c r="F683" i="2"/>
  <c r="F654" i="2"/>
  <c r="F629" i="2"/>
  <c r="F598" i="2"/>
  <c r="F567" i="2"/>
  <c r="F504" i="2"/>
  <c r="F473" i="2"/>
  <c r="F443" i="2"/>
  <c r="F413" i="2"/>
  <c r="F381" i="2"/>
  <c r="F349" i="2"/>
  <c r="F322" i="2"/>
  <c r="F290" i="2"/>
  <c r="F259" i="2"/>
  <c r="F239" i="2"/>
  <c r="F211" i="2"/>
  <c r="G162" i="4" l="1"/>
  <c r="I162" i="4" s="1"/>
  <c r="G295" i="4"/>
  <c r="I295" i="4" s="1"/>
  <c r="G233" i="4"/>
  <c r="I233" i="4" s="1"/>
  <c r="G103" i="4"/>
  <c r="I103" i="4" s="1"/>
  <c r="G86" i="4"/>
  <c r="I86" i="4" s="1"/>
  <c r="G310" i="4"/>
  <c r="I310" i="4" s="1"/>
  <c r="G294" i="4"/>
  <c r="I294" i="4" s="1"/>
  <c r="G276" i="4"/>
  <c r="I276" i="4" s="1"/>
  <c r="G260" i="4"/>
  <c r="I260" i="4" s="1"/>
  <c r="G246" i="4"/>
  <c r="I246" i="4" s="1"/>
  <c r="G232" i="4"/>
  <c r="I232" i="4" s="1"/>
  <c r="G206" i="4"/>
  <c r="I206" i="4" s="1"/>
  <c r="G197" i="4"/>
  <c r="I197" i="4" s="1"/>
  <c r="G93" i="4"/>
  <c r="I93" i="4" s="1"/>
  <c r="G85" i="4"/>
  <c r="I85" i="4" s="1"/>
  <c r="G261" i="4"/>
  <c r="I261" i="4" s="1"/>
  <c r="G198" i="4"/>
  <c r="I198" i="4" s="1"/>
  <c r="G189" i="4"/>
  <c r="I189" i="4" s="1"/>
  <c r="G170" i="4"/>
  <c r="I170" i="4" s="1"/>
  <c r="G153" i="4"/>
  <c r="I153" i="4" s="1"/>
  <c r="G111" i="4"/>
  <c r="I111" i="4" s="1"/>
  <c r="G247" i="4"/>
  <c r="I247" i="4" s="1"/>
  <c r="G207" i="4"/>
  <c r="I207" i="4" s="1"/>
  <c r="G152" i="4"/>
  <c r="I152" i="4" s="1"/>
  <c r="G142" i="4"/>
  <c r="I142" i="4" s="1"/>
  <c r="G110" i="4"/>
  <c r="I110" i="4" s="1"/>
  <c r="G102" i="4"/>
  <c r="I102" i="4" s="1"/>
  <c r="G180" i="4"/>
  <c r="I180" i="4" s="1"/>
  <c r="G311" i="4"/>
  <c r="I311" i="4" s="1"/>
  <c r="G277" i="4"/>
  <c r="I277" i="4" s="1"/>
  <c r="G188" i="4"/>
  <c r="I188" i="4" s="1"/>
  <c r="G179" i="4"/>
  <c r="I179" i="4" s="1"/>
  <c r="G169" i="4"/>
  <c r="I169" i="4" s="1"/>
  <c r="G161" i="4"/>
  <c r="I161" i="4" s="1"/>
  <c r="G143" i="4"/>
  <c r="I143" i="4" s="1"/>
  <c r="G94" i="4"/>
  <c r="I94" i="4" s="1"/>
  <c r="G224" i="4"/>
  <c r="G235" i="4"/>
  <c r="G239" i="4"/>
  <c r="G245" i="4"/>
  <c r="G251" i="4"/>
  <c r="G257" i="4"/>
  <c r="G263" i="4"/>
  <c r="G279" i="4"/>
  <c r="G284" i="4"/>
  <c r="G288" i="4"/>
  <c r="G222" i="4"/>
  <c r="G226" i="4"/>
  <c r="G231" i="4"/>
  <c r="G237" i="4"/>
  <c r="G243" i="4"/>
  <c r="G249" i="4"/>
  <c r="G253" i="4"/>
  <c r="G259" i="4"/>
  <c r="G265" i="4"/>
  <c r="G275" i="4"/>
  <c r="G286" i="4"/>
  <c r="G951" i="2"/>
  <c r="G268" i="2" l="1"/>
  <c r="G174" i="3" l="1"/>
  <c r="F51" i="6" s="1"/>
  <c r="G80" i="3"/>
  <c r="G79" i="3"/>
  <c r="G170" i="2"/>
  <c r="G135" i="2"/>
  <c r="G131" i="2"/>
  <c r="G108" i="2"/>
  <c r="G78" i="2"/>
  <c r="G79" i="2"/>
  <c r="G44" i="3"/>
  <c r="G64" i="2"/>
  <c r="G50" i="2"/>
  <c r="G30" i="3"/>
  <c r="G35" i="2"/>
  <c r="G22" i="3"/>
  <c r="G198" i="3" l="1"/>
  <c r="F53" i="6" s="1"/>
  <c r="G116" i="3"/>
  <c r="G112" i="3"/>
  <c r="G111" i="3"/>
  <c r="G110" i="3"/>
  <c r="G109" i="3"/>
  <c r="G108" i="3"/>
  <c r="G104" i="3"/>
  <c r="G76" i="3"/>
  <c r="G67" i="3"/>
  <c r="G62" i="3"/>
  <c r="G55" i="3"/>
  <c r="G51" i="3"/>
  <c r="G50" i="3"/>
  <c r="G49" i="3"/>
  <c r="G48" i="3"/>
  <c r="G105" i="3"/>
  <c r="G106" i="3"/>
  <c r="G12" i="3"/>
  <c r="G13" i="3"/>
  <c r="G61" i="3"/>
  <c r="G63" i="3"/>
  <c r="G64" i="3"/>
  <c r="G68" i="3"/>
  <c r="G69" i="3"/>
  <c r="G70" i="3"/>
  <c r="G71" i="3"/>
  <c r="G72" i="3"/>
  <c r="G75" i="3"/>
  <c r="G77" i="3"/>
  <c r="G78" i="3"/>
  <c r="G54" i="3"/>
  <c r="G56" i="3"/>
  <c r="G57" i="3"/>
  <c r="G103" i="3"/>
  <c r="G42" i="3"/>
  <c r="G43" i="3"/>
  <c r="G45" i="3"/>
  <c r="G46" i="3"/>
  <c r="G31" i="3"/>
  <c r="G32" i="3"/>
  <c r="G33" i="3"/>
  <c r="G25" i="3"/>
  <c r="G26" i="3"/>
  <c r="G27" i="3"/>
  <c r="G17" i="3"/>
  <c r="G18" i="3"/>
  <c r="G19" i="3"/>
  <c r="G20" i="3"/>
  <c r="G21" i="3"/>
  <c r="G37" i="3"/>
  <c r="G38" i="3"/>
  <c r="G39" i="3"/>
  <c r="G114" i="3"/>
  <c r="G115" i="3"/>
  <c r="G117" i="3"/>
  <c r="G118" i="3"/>
  <c r="G36" i="3"/>
  <c r="G74" i="3"/>
  <c r="G88" i="3" s="1"/>
  <c r="F28" i="6" s="1"/>
  <c r="G66" i="3"/>
  <c r="G60" i="3"/>
  <c r="G53" i="3"/>
  <c r="G102" i="3"/>
  <c r="G41" i="3"/>
  <c r="G29" i="3"/>
  <c r="G28" i="3" s="1"/>
  <c r="G24" i="3"/>
  <c r="G16" i="3"/>
  <c r="G9" i="3"/>
  <c r="G10" i="3"/>
  <c r="G11" i="3"/>
  <c r="G14" i="3"/>
  <c r="G8" i="3"/>
  <c r="G47" i="3" l="1"/>
  <c r="G73" i="3"/>
  <c r="G35" i="3"/>
  <c r="F13" i="6" s="1"/>
  <c r="G15" i="3"/>
  <c r="F9" i="6" s="1"/>
  <c r="G59" i="3"/>
  <c r="F18" i="6" s="1"/>
  <c r="G40" i="3"/>
  <c r="F14" i="6" s="1"/>
  <c r="F15" i="6"/>
  <c r="G107" i="3"/>
  <c r="F42" i="6" s="1"/>
  <c r="G45" i="4"/>
  <c r="I45" i="4" s="1"/>
  <c r="G32" i="4"/>
  <c r="I32" i="4" s="1"/>
  <c r="G30" i="4"/>
  <c r="I30" i="4" s="1"/>
  <c r="G27" i="4"/>
  <c r="I27" i="4" s="1"/>
  <c r="G51" i="4"/>
  <c r="I51" i="4" s="1"/>
  <c r="G9" i="4"/>
  <c r="I9" i="4" s="1"/>
  <c r="G43" i="4"/>
  <c r="I43" i="4" s="1"/>
  <c r="G39" i="4"/>
  <c r="I39" i="4" s="1"/>
  <c r="G34" i="4"/>
  <c r="I34" i="4" s="1"/>
  <c r="G49" i="4"/>
  <c r="I49" i="4" s="1"/>
  <c r="G36" i="4"/>
  <c r="I36" i="4" s="1"/>
  <c r="G53" i="4"/>
  <c r="I53" i="4" s="1"/>
  <c r="G44" i="4"/>
  <c r="I44" i="4" s="1"/>
  <c r="G40" i="4"/>
  <c r="I40" i="4" s="1"/>
  <c r="G31" i="4"/>
  <c r="I31" i="4" s="1"/>
  <c r="G28" i="4"/>
  <c r="I28" i="4" s="1"/>
  <c r="G78" i="4"/>
  <c r="I78" i="4" s="1"/>
  <c r="G23" i="4"/>
  <c r="I23" i="4" s="1"/>
  <c r="G6" i="4"/>
  <c r="I6" i="4" s="1"/>
  <c r="G48" i="4"/>
  <c r="I48" i="4" s="1"/>
  <c r="G38" i="4"/>
  <c r="I38" i="4" s="1"/>
  <c r="G35" i="4"/>
  <c r="I35" i="4" s="1"/>
  <c r="G26" i="4"/>
  <c r="I26" i="4" s="1"/>
  <c r="G52" i="4"/>
  <c r="I52" i="4" s="1"/>
  <c r="G47" i="4"/>
  <c r="I47" i="4" s="1"/>
  <c r="G79" i="4"/>
  <c r="I79" i="4" s="1"/>
  <c r="G77" i="4"/>
  <c r="I77" i="4" s="1"/>
  <c r="G14" i="4"/>
  <c r="I14" i="4" s="1"/>
  <c r="G11" i="4"/>
  <c r="I11" i="4" s="1"/>
  <c r="G19" i="4"/>
  <c r="I19" i="4" s="1"/>
  <c r="G13" i="4"/>
  <c r="I13" i="4" s="1"/>
  <c r="G7" i="4"/>
  <c r="I7" i="4" s="1"/>
  <c r="G5" i="4"/>
  <c r="I5" i="4" s="1"/>
  <c r="G22" i="4"/>
  <c r="I22" i="4" s="1"/>
  <c r="G15" i="4"/>
  <c r="I15" i="4" s="1"/>
  <c r="G21" i="4"/>
  <c r="I21" i="4" s="1"/>
  <c r="G18" i="4"/>
  <c r="I18" i="4" s="1"/>
  <c r="G8" i="4"/>
  <c r="I8" i="4" s="1"/>
  <c r="G12" i="4"/>
  <c r="I12" i="4" s="1"/>
  <c r="G17" i="4"/>
  <c r="I17" i="4" s="1"/>
  <c r="G101" i="3"/>
  <c r="G52" i="3"/>
  <c r="F12" i="6"/>
  <c r="G113" i="3"/>
  <c r="G65" i="3"/>
  <c r="F19" i="6" s="1"/>
  <c r="G7" i="3"/>
  <c r="F8" i="6" s="1"/>
  <c r="G23" i="3"/>
  <c r="F10" i="6" s="1"/>
  <c r="F20" i="6" l="1"/>
  <c r="G98" i="3"/>
  <c r="F38" i="6" s="1"/>
  <c r="G99" i="3"/>
  <c r="F39" i="6" s="1"/>
  <c r="G94" i="3"/>
  <c r="F34" i="6" s="1"/>
  <c r="G100" i="3"/>
  <c r="F40" i="6" s="1"/>
  <c r="G96" i="3"/>
  <c r="F36" i="6" s="1"/>
  <c r="G97" i="3"/>
  <c r="F37" i="6" s="1"/>
  <c r="G34" i="3"/>
  <c r="F11" i="6" s="1"/>
  <c r="G119" i="3"/>
  <c r="F44" i="6" s="1"/>
  <c r="G120" i="3"/>
  <c r="F45" i="6" s="1"/>
  <c r="F43" i="6"/>
  <c r="G87" i="3"/>
  <c r="F27" i="6" s="1"/>
  <c r="G83" i="3"/>
  <c r="G86" i="3"/>
  <c r="F26" i="6" s="1"/>
  <c r="G82" i="3"/>
  <c r="G81" i="3"/>
  <c r="G85" i="3"/>
  <c r="G84" i="3"/>
  <c r="G92" i="3" s="1"/>
  <c r="F32" i="6" s="1"/>
  <c r="F41" i="6"/>
  <c r="G58" i="3"/>
  <c r="F17" i="6" s="1"/>
  <c r="F16" i="6"/>
  <c r="I20" i="4"/>
  <c r="H12" i="6" s="1"/>
  <c r="I25" i="4"/>
  <c r="H13" i="6" s="1"/>
  <c r="I4" i="4"/>
  <c r="H8" i="6" s="1"/>
  <c r="I76" i="4"/>
  <c r="I42" i="4"/>
  <c r="H18" i="6" s="1"/>
  <c r="I16" i="4"/>
  <c r="H10" i="6" s="1"/>
  <c r="I10" i="4"/>
  <c r="H9" i="6" s="1"/>
  <c r="I29" i="4"/>
  <c r="H14" i="6" s="1"/>
  <c r="I46" i="4"/>
  <c r="H19" i="6" s="1"/>
  <c r="I37" i="4"/>
  <c r="I33" i="4"/>
  <c r="H15" i="6" s="1"/>
  <c r="I50" i="4"/>
  <c r="I24" i="4" l="1"/>
  <c r="H11" i="6" s="1"/>
  <c r="I81" i="4"/>
  <c r="H45" i="6" s="1"/>
  <c r="I80" i="4"/>
  <c r="H44" i="6" s="1"/>
  <c r="H43" i="6"/>
  <c r="I54" i="4"/>
  <c r="H21" i="6" s="1"/>
  <c r="I66" i="4"/>
  <c r="H33" i="6" s="1"/>
  <c r="I61" i="4"/>
  <c r="H28" i="6" s="1"/>
  <c r="I57" i="4"/>
  <c r="H24" i="6" s="1"/>
  <c r="I64" i="4"/>
  <c r="I60" i="4"/>
  <c r="H27" i="6" s="1"/>
  <c r="I56" i="4"/>
  <c r="H23" i="6" s="1"/>
  <c r="I63" i="4"/>
  <c r="H30" i="6" s="1"/>
  <c r="I59" i="4"/>
  <c r="H26" i="6" s="1"/>
  <c r="I55" i="4"/>
  <c r="H22" i="6" s="1"/>
  <c r="I68" i="4"/>
  <c r="H35" i="6" s="1"/>
  <c r="I62" i="4"/>
  <c r="H29" i="6" s="1"/>
  <c r="I58" i="4"/>
  <c r="H25" i="6" s="1"/>
  <c r="H20" i="6"/>
  <c r="I41" i="4"/>
  <c r="H17" i="6" s="1"/>
  <c r="H16" i="6"/>
  <c r="G89" i="3"/>
  <c r="F29" i="6" s="1"/>
  <c r="F21" i="6"/>
  <c r="G90" i="3"/>
  <c r="F30" i="6" s="1"/>
  <c r="F22" i="6"/>
  <c r="G93" i="3"/>
  <c r="F33" i="6" s="1"/>
  <c r="F24" i="6"/>
  <c r="G95" i="3"/>
  <c r="F35" i="6" s="1"/>
  <c r="F25" i="6"/>
  <c r="G91" i="3"/>
  <c r="F31" i="6" s="1"/>
  <c r="F23" i="6"/>
  <c r="I74" i="4"/>
  <c r="H41" i="6" s="1"/>
  <c r="I75" i="4"/>
  <c r="H42" i="6" s="1"/>
  <c r="H31" i="6" l="1"/>
  <c r="I65" i="4"/>
  <c r="H32" i="6" s="1"/>
  <c r="I67" i="4"/>
  <c r="H34" i="6" s="1"/>
  <c r="I69" i="4"/>
  <c r="H36" i="6" s="1"/>
  <c r="G90" i="2"/>
  <c r="G89" i="2"/>
  <c r="G88" i="2"/>
  <c r="G87" i="2"/>
  <c r="G86" i="2"/>
  <c r="G85" i="2"/>
  <c r="G84" i="2"/>
  <c r="G83" i="2"/>
  <c r="G82" i="2"/>
  <c r="G81" i="2"/>
  <c r="G80" i="2"/>
  <c r="G77" i="2"/>
  <c r="G76" i="2" l="1"/>
  <c r="E15" i="6" s="1"/>
  <c r="I71" i="4"/>
  <c r="H38" i="6" s="1"/>
  <c r="I72" i="4"/>
  <c r="H39" i="6" s="1"/>
  <c r="I70" i="4"/>
  <c r="H37" i="6" s="1"/>
  <c r="I73" i="4"/>
  <c r="H40" i="6" s="1"/>
  <c r="G9" i="2"/>
  <c r="G10" i="2"/>
  <c r="G11" i="2"/>
  <c r="G12" i="2"/>
  <c r="G13" i="2"/>
  <c r="G14" i="2"/>
  <c r="G15" i="2"/>
  <c r="G16" i="2"/>
  <c r="G17" i="2"/>
  <c r="G18" i="2"/>
  <c r="G21" i="2"/>
  <c r="G22" i="2"/>
  <c r="G23" i="2"/>
  <c r="G24" i="2"/>
  <c r="G25" i="2"/>
  <c r="G26" i="2"/>
  <c r="G27" i="2"/>
  <c r="G28" i="2"/>
  <c r="G29" i="2"/>
  <c r="G30" i="2"/>
  <c r="G31" i="2"/>
  <c r="G32" i="2"/>
  <c r="G34" i="2"/>
  <c r="G36" i="2"/>
  <c r="G37" i="2"/>
  <c r="G38" i="2"/>
  <c r="G39" i="2"/>
  <c r="G40" i="2"/>
  <c r="G41" i="2"/>
  <c r="G42" i="2"/>
  <c r="G43" i="2"/>
  <c r="G44" i="2"/>
  <c r="G45" i="2"/>
  <c r="G46" i="2"/>
  <c r="G63" i="2"/>
  <c r="G65" i="2"/>
  <c r="G66" i="2"/>
  <c r="G67" i="2"/>
  <c r="G68" i="2"/>
  <c r="G69" i="2"/>
  <c r="G70" i="2"/>
  <c r="G71" i="2"/>
  <c r="G72" i="2"/>
  <c r="G73" i="2"/>
  <c r="G74" i="2"/>
  <c r="G75" i="2"/>
  <c r="G134" i="2"/>
  <c r="G136" i="2"/>
  <c r="G137" i="2"/>
  <c r="G138" i="2"/>
  <c r="G139" i="2"/>
  <c r="G140" i="2"/>
  <c r="G141" i="2"/>
  <c r="G142" i="2"/>
  <c r="G143" i="2"/>
  <c r="G144" i="2"/>
  <c r="G145" i="2"/>
  <c r="G146" i="2"/>
  <c r="G92" i="2"/>
  <c r="G93" i="2"/>
  <c r="G94" i="2"/>
  <c r="G95" i="2"/>
  <c r="G96" i="2"/>
  <c r="G97" i="2"/>
  <c r="G98" i="2"/>
  <c r="G99" i="2"/>
  <c r="G100" i="2"/>
  <c r="G101" i="2"/>
  <c r="G102" i="2"/>
  <c r="G103" i="2"/>
  <c r="G104" i="2"/>
  <c r="G107" i="2"/>
  <c r="G109" i="2"/>
  <c r="G110" i="2"/>
  <c r="G111" i="2"/>
  <c r="G112" i="2"/>
  <c r="G113" i="2"/>
  <c r="G114" i="2"/>
  <c r="G115" i="2"/>
  <c r="G116" i="2"/>
  <c r="G117" i="2"/>
  <c r="G118" i="2"/>
  <c r="G119" i="2"/>
  <c r="G121" i="2"/>
  <c r="G122" i="2"/>
  <c r="G123" i="2"/>
  <c r="G124" i="2"/>
  <c r="G125" i="2"/>
  <c r="G126" i="2"/>
  <c r="G127" i="2"/>
  <c r="G128" i="2"/>
  <c r="G129" i="2"/>
  <c r="G130" i="2"/>
  <c r="G132" i="2"/>
  <c r="G51" i="2"/>
  <c r="G52" i="2"/>
  <c r="G53" i="2"/>
  <c r="G54" i="2"/>
  <c r="G55" i="2"/>
  <c r="G56" i="2"/>
  <c r="G57" i="2"/>
  <c r="G58" i="2"/>
  <c r="G59" i="2"/>
  <c r="G60" i="2"/>
  <c r="G61" i="2"/>
  <c r="G171" i="2"/>
  <c r="G172" i="2"/>
  <c r="G173" i="2"/>
  <c r="G174" i="2"/>
  <c r="G175" i="2"/>
  <c r="G176" i="2"/>
  <c r="G177" i="2"/>
  <c r="G178" i="2"/>
  <c r="G179" i="2"/>
  <c r="G180" i="2"/>
  <c r="G181" i="2"/>
  <c r="G8" i="2"/>
  <c r="G7" i="2" l="1"/>
  <c r="G106" i="2"/>
  <c r="G120" i="2"/>
  <c r="E19" i="6" s="1"/>
  <c r="G169" i="2"/>
  <c r="G49" i="2"/>
  <c r="E13" i="6" s="1"/>
  <c r="G91" i="2"/>
  <c r="G133" i="2"/>
  <c r="G62" i="2"/>
  <c r="E14" i="6" s="1"/>
  <c r="G33" i="2"/>
  <c r="E12" i="6" s="1"/>
  <c r="E18" i="6"/>
  <c r="G20" i="2"/>
  <c r="E10" i="6" s="1"/>
  <c r="G421" i="2"/>
  <c r="G422" i="2"/>
  <c r="G423" i="2"/>
  <c r="G203" i="3"/>
  <c r="G158" i="2" l="1"/>
  <c r="E32" i="6" s="1"/>
  <c r="G160" i="2"/>
  <c r="E34" i="6" s="1"/>
  <c r="G47" i="2"/>
  <c r="E11" i="6" s="1"/>
  <c r="E43" i="6"/>
  <c r="G183" i="2"/>
  <c r="E45" i="6" s="1"/>
  <c r="G182" i="2"/>
  <c r="E44" i="6" s="1"/>
  <c r="E20" i="6"/>
  <c r="G161" i="2"/>
  <c r="E35" i="6" s="1"/>
  <c r="G155" i="2"/>
  <c r="E29" i="6" s="1"/>
  <c r="G151" i="2"/>
  <c r="E25" i="6" s="1"/>
  <c r="G147" i="2"/>
  <c r="G156" i="2"/>
  <c r="E30" i="6" s="1"/>
  <c r="G152" i="2"/>
  <c r="E26" i="6" s="1"/>
  <c r="G148" i="2"/>
  <c r="G159" i="2"/>
  <c r="E33" i="6" s="1"/>
  <c r="G154" i="2"/>
  <c r="E28" i="6" s="1"/>
  <c r="G150" i="2"/>
  <c r="G157" i="2"/>
  <c r="E31" i="6" s="1"/>
  <c r="G153" i="2"/>
  <c r="E27" i="6" s="1"/>
  <c r="G149" i="2"/>
  <c r="E23" i="6" s="1"/>
  <c r="G105" i="2"/>
  <c r="E17" i="6" s="1"/>
  <c r="E16" i="6"/>
  <c r="E8" i="6"/>
  <c r="G19" i="2"/>
  <c r="E9" i="6" s="1"/>
  <c r="G167" i="2"/>
  <c r="E41" i="6" s="1"/>
  <c r="G168" i="2"/>
  <c r="E42" i="6" s="1"/>
  <c r="G430" i="3"/>
  <c r="E24" i="6" l="1"/>
  <c r="G166" i="2"/>
  <c r="E40" i="6" s="1"/>
  <c r="E22" i="6"/>
  <c r="G165" i="2"/>
  <c r="E39" i="6" s="1"/>
  <c r="E21" i="6"/>
  <c r="G164" i="2"/>
  <c r="E38" i="6" s="1"/>
  <c r="G162" i="2"/>
  <c r="E36" i="6" s="1"/>
  <c r="G163" i="2"/>
  <c r="E37" i="6" s="1"/>
  <c r="G158" i="3"/>
  <c r="G159" i="3"/>
  <c r="G160" i="3"/>
  <c r="G161" i="3"/>
  <c r="G162" i="3"/>
  <c r="G163" i="3"/>
  <c r="G164" i="3"/>
  <c r="G165" i="3"/>
  <c r="G166" i="3"/>
  <c r="G167" i="3"/>
  <c r="G168" i="3"/>
  <c r="G169" i="3"/>
  <c r="G170" i="3"/>
  <c r="G171" i="3"/>
  <c r="G172" i="3"/>
  <c r="G173" i="3"/>
  <c r="I290" i="4"/>
  <c r="G78" i="6" s="1"/>
  <c r="G822" i="2"/>
  <c r="G821" i="2"/>
  <c r="G820" i="2"/>
  <c r="G449" i="3"/>
  <c r="G450" i="3"/>
  <c r="G451" i="3"/>
  <c r="G452" i="3"/>
  <c r="G453" i="3"/>
  <c r="G454" i="3"/>
  <c r="G455" i="3"/>
  <c r="G456" i="3"/>
  <c r="G457" i="3"/>
  <c r="G458" i="3"/>
  <c r="G459" i="3"/>
  <c r="G460" i="3"/>
  <c r="G461" i="3"/>
  <c r="G462" i="3"/>
  <c r="G463" i="3"/>
  <c r="G464" i="3"/>
  <c r="G448" i="3"/>
  <c r="G839" i="2"/>
  <c r="G814" i="2"/>
  <c r="G815" i="2"/>
  <c r="G816" i="2"/>
  <c r="G817" i="2"/>
  <c r="G818" i="2"/>
  <c r="G819" i="2"/>
  <c r="G823" i="2"/>
  <c r="G824" i="2"/>
  <c r="G825" i="2"/>
  <c r="G826" i="2"/>
  <c r="G827" i="2"/>
  <c r="G828" i="2"/>
  <c r="G829" i="2"/>
  <c r="G830" i="2"/>
  <c r="G831" i="2"/>
  <c r="G832" i="2"/>
  <c r="G833" i="2"/>
  <c r="G834" i="2"/>
  <c r="G835" i="2"/>
  <c r="G836" i="2"/>
  <c r="G837" i="2"/>
  <c r="G838" i="2"/>
  <c r="G813" i="2"/>
  <c r="G812" i="2" l="1"/>
  <c r="I283" i="4"/>
  <c r="I285" i="4"/>
  <c r="I288" i="4"/>
  <c r="I287" i="4"/>
  <c r="I284" i="4"/>
  <c r="I286" i="4"/>
  <c r="I289" i="4"/>
  <c r="G447" i="3"/>
  <c r="F78" i="6" s="1"/>
  <c r="E78" i="6"/>
  <c r="G664" i="2"/>
  <c r="I282" i="4" l="1"/>
  <c r="H78" i="6" s="1"/>
  <c r="G505" i="3"/>
  <c r="G488" i="3"/>
  <c r="G476" i="3"/>
  <c r="G310" i="3"/>
  <c r="G311" i="3"/>
  <c r="G312" i="3"/>
  <c r="G284" i="3"/>
  <c r="G249" i="3"/>
  <c r="G152" i="3"/>
  <c r="G153" i="3"/>
  <c r="G154" i="3"/>
  <c r="G155" i="3"/>
  <c r="I89" i="4"/>
  <c r="G47" i="6" s="1"/>
  <c r="I99" i="4"/>
  <c r="G48" i="6" s="1"/>
  <c r="I107" i="4"/>
  <c r="G49" i="6" s="1"/>
  <c r="I117" i="4"/>
  <c r="I129" i="4"/>
  <c r="G54" i="6" s="1"/>
  <c r="I138" i="4"/>
  <c r="G55" i="6" s="1"/>
  <c r="I148" i="4"/>
  <c r="G56" i="6" s="1"/>
  <c r="I158" i="4"/>
  <c r="G57" i="6" s="1"/>
  <c r="I166" i="4"/>
  <c r="G58" i="6" s="1"/>
  <c r="I175" i="4"/>
  <c r="G60" i="6" s="1"/>
  <c r="I185" i="4"/>
  <c r="G61" i="6" s="1"/>
  <c r="I194" i="4"/>
  <c r="G62" i="6" s="1"/>
  <c r="I203" i="4"/>
  <c r="G63" i="6" s="1"/>
  <c r="I212" i="4"/>
  <c r="G64" i="6" s="1"/>
  <c r="I220" i="4"/>
  <c r="G65" i="6" s="1"/>
  <c r="I281" i="4"/>
  <c r="G77" i="6" s="1"/>
  <c r="I228" i="4"/>
  <c r="G66" i="6" s="1"/>
  <c r="I240" i="4"/>
  <c r="I254" i="4"/>
  <c r="I267" i="4"/>
  <c r="I304" i="4"/>
  <c r="G81" i="6" s="1"/>
  <c r="I318" i="4"/>
  <c r="G82" i="6" s="1"/>
  <c r="G69" i="6" l="1"/>
  <c r="G70" i="6"/>
  <c r="G73" i="6"/>
  <c r="G74" i="6"/>
  <c r="G75" i="6"/>
  <c r="G71" i="6"/>
  <c r="G76" i="6"/>
  <c r="G72" i="6"/>
  <c r="G67" i="6"/>
  <c r="G68" i="6"/>
  <c r="G53" i="6"/>
  <c r="G51" i="6"/>
  <c r="G50" i="6"/>
  <c r="G52" i="6"/>
  <c r="G59" i="6"/>
  <c r="I259" i="4"/>
  <c r="G219" i="4"/>
  <c r="I219" i="4" s="1"/>
  <c r="G184" i="4"/>
  <c r="I184" i="4" s="1"/>
  <c r="G79" i="6"/>
  <c r="G125" i="4"/>
  <c r="I125" i="4" s="1"/>
  <c r="G80" i="6"/>
  <c r="G296" i="4"/>
  <c r="I296" i="4" s="1"/>
  <c r="G292" i="4"/>
  <c r="I292" i="4" s="1"/>
  <c r="I266" i="4"/>
  <c r="I264" i="4"/>
  <c r="I262" i="4"/>
  <c r="I258" i="4"/>
  <c r="I252" i="4"/>
  <c r="I250" i="4"/>
  <c r="I248" i="4"/>
  <c r="I244" i="4"/>
  <c r="I238" i="4"/>
  <c r="I236" i="4"/>
  <c r="I234" i="4"/>
  <c r="I230" i="4"/>
  <c r="I227" i="4"/>
  <c r="I225" i="4"/>
  <c r="I223" i="4"/>
  <c r="I279" i="4"/>
  <c r="I275" i="4"/>
  <c r="G218" i="4"/>
  <c r="I218" i="4" s="1"/>
  <c r="G216" i="4"/>
  <c r="I216" i="4" s="1"/>
  <c r="G214" i="4"/>
  <c r="I214" i="4" s="1"/>
  <c r="G211" i="4"/>
  <c r="I211" i="4" s="1"/>
  <c r="G209" i="4"/>
  <c r="I209" i="4" s="1"/>
  <c r="G201" i="4"/>
  <c r="I201" i="4" s="1"/>
  <c r="G199" i="4"/>
  <c r="I199" i="4" s="1"/>
  <c r="G196" i="4"/>
  <c r="I196" i="4" s="1"/>
  <c r="G193" i="4"/>
  <c r="I193" i="4" s="1"/>
  <c r="G191" i="4"/>
  <c r="I191" i="4" s="1"/>
  <c r="G183" i="4"/>
  <c r="I183" i="4" s="1"/>
  <c r="G181" i="4"/>
  <c r="I181" i="4" s="1"/>
  <c r="G178" i="4"/>
  <c r="I178" i="4" s="1"/>
  <c r="G174" i="4"/>
  <c r="I174" i="4" s="1"/>
  <c r="G172" i="4"/>
  <c r="I172" i="4" s="1"/>
  <c r="G164" i="4"/>
  <c r="I164" i="4" s="1"/>
  <c r="G156" i="4"/>
  <c r="I156" i="4" s="1"/>
  <c r="G154" i="4"/>
  <c r="I154" i="4" s="1"/>
  <c r="G151" i="4"/>
  <c r="I151" i="4" s="1"/>
  <c r="G146" i="4"/>
  <c r="I146" i="4" s="1"/>
  <c r="G144" i="4"/>
  <c r="I144" i="4" s="1"/>
  <c r="G141" i="4"/>
  <c r="I141" i="4" s="1"/>
  <c r="G136" i="4"/>
  <c r="I136" i="4" s="1"/>
  <c r="G134" i="4"/>
  <c r="I134" i="4" s="1"/>
  <c r="G132" i="4"/>
  <c r="I132" i="4" s="1"/>
  <c r="G127" i="4"/>
  <c r="I127" i="4" s="1"/>
  <c r="G124" i="4"/>
  <c r="I124" i="4" s="1"/>
  <c r="G122" i="4"/>
  <c r="I122" i="4" s="1"/>
  <c r="G116" i="4"/>
  <c r="I116" i="4" s="1"/>
  <c r="G114" i="4"/>
  <c r="I114" i="4" s="1"/>
  <c r="G112" i="4"/>
  <c r="I112" i="4" s="1"/>
  <c r="G109" i="4"/>
  <c r="I109" i="4" s="1"/>
  <c r="G106" i="4"/>
  <c r="I106" i="4" s="1"/>
  <c r="G104" i="4"/>
  <c r="I104" i="4" s="1"/>
  <c r="G101" i="4"/>
  <c r="I101" i="4" s="1"/>
  <c r="G98" i="4"/>
  <c r="I98" i="4" s="1"/>
  <c r="G96" i="4"/>
  <c r="I96" i="4" s="1"/>
  <c r="G92" i="4"/>
  <c r="I92" i="4" s="1"/>
  <c r="G87" i="4"/>
  <c r="I87" i="4" s="1"/>
  <c r="G316" i="4"/>
  <c r="I316" i="4" s="1"/>
  <c r="G314" i="4"/>
  <c r="I314" i="4" s="1"/>
  <c r="G312" i="4"/>
  <c r="I312" i="4" s="1"/>
  <c r="G308" i="4"/>
  <c r="I308" i="4" s="1"/>
  <c r="G303" i="4"/>
  <c r="I303" i="4" s="1"/>
  <c r="G301" i="4"/>
  <c r="I301" i="4" s="1"/>
  <c r="G299" i="4"/>
  <c r="I299" i="4" s="1"/>
  <c r="G297" i="4"/>
  <c r="I297" i="4" s="1"/>
  <c r="I235" i="4"/>
  <c r="G147" i="4"/>
  <c r="I147" i="4" s="1"/>
  <c r="G84" i="4"/>
  <c r="I84" i="4" s="1"/>
  <c r="G317" i="4"/>
  <c r="I317" i="4" s="1"/>
  <c r="G315" i="4"/>
  <c r="I315" i="4" s="1"/>
  <c r="G313" i="4"/>
  <c r="I313" i="4" s="1"/>
  <c r="G309" i="4"/>
  <c r="I309" i="4" s="1"/>
  <c r="G302" i="4"/>
  <c r="I302" i="4" s="1"/>
  <c r="G300" i="4"/>
  <c r="I300" i="4" s="1"/>
  <c r="G298" i="4"/>
  <c r="I298" i="4" s="1"/>
  <c r="G293" i="4"/>
  <c r="I293" i="4" s="1"/>
  <c r="I265" i="4"/>
  <c r="I263" i="4"/>
  <c r="I257" i="4"/>
  <c r="I253" i="4"/>
  <c r="I251" i="4"/>
  <c r="I249" i="4"/>
  <c r="I245" i="4"/>
  <c r="I243" i="4"/>
  <c r="I239" i="4"/>
  <c r="I237" i="4"/>
  <c r="I231" i="4"/>
  <c r="I226" i="4"/>
  <c r="I224" i="4"/>
  <c r="I222" i="4"/>
  <c r="I280" i="4"/>
  <c r="I278" i="4"/>
  <c r="I274" i="4"/>
  <c r="G217" i="4"/>
  <c r="I217" i="4" s="1"/>
  <c r="G215" i="4"/>
  <c r="I215" i="4" s="1"/>
  <c r="G210" i="4"/>
  <c r="I210" i="4" s="1"/>
  <c r="G208" i="4"/>
  <c r="I208" i="4" s="1"/>
  <c r="G205" i="4"/>
  <c r="I205" i="4" s="1"/>
  <c r="G202" i="4"/>
  <c r="I202" i="4" s="1"/>
  <c r="G200" i="4"/>
  <c r="I200" i="4" s="1"/>
  <c r="G192" i="4"/>
  <c r="I192" i="4" s="1"/>
  <c r="G190" i="4"/>
  <c r="I190" i="4" s="1"/>
  <c r="G187" i="4"/>
  <c r="I187" i="4" s="1"/>
  <c r="G182" i="4"/>
  <c r="I182" i="4" s="1"/>
  <c r="G173" i="4"/>
  <c r="I173" i="4" s="1"/>
  <c r="G171" i="4"/>
  <c r="I171" i="4" s="1"/>
  <c r="G168" i="4"/>
  <c r="I168" i="4" s="1"/>
  <c r="G165" i="4"/>
  <c r="I165" i="4" s="1"/>
  <c r="G163" i="4"/>
  <c r="I163" i="4" s="1"/>
  <c r="G160" i="4"/>
  <c r="I160" i="4" s="1"/>
  <c r="G157" i="4"/>
  <c r="I157" i="4" s="1"/>
  <c r="I155" i="4"/>
  <c r="G150" i="4"/>
  <c r="I150" i="4" s="1"/>
  <c r="G145" i="4"/>
  <c r="I145" i="4" s="1"/>
  <c r="G140" i="4"/>
  <c r="I140" i="4" s="1"/>
  <c r="G137" i="4"/>
  <c r="I137" i="4" s="1"/>
  <c r="G135" i="4"/>
  <c r="I135" i="4" s="1"/>
  <c r="G133" i="4"/>
  <c r="I133" i="4" s="1"/>
  <c r="G131" i="4"/>
  <c r="I131" i="4" s="1"/>
  <c r="G128" i="4"/>
  <c r="I128" i="4" s="1"/>
  <c r="G123" i="4"/>
  <c r="I123" i="4" s="1"/>
  <c r="G115" i="4"/>
  <c r="I115" i="4" s="1"/>
  <c r="G113" i="4"/>
  <c r="I113" i="4" s="1"/>
  <c r="G105" i="4"/>
  <c r="I105" i="4" s="1"/>
  <c r="G97" i="4"/>
  <c r="I97" i="4" s="1"/>
  <c r="G95" i="4"/>
  <c r="I95" i="4" s="1"/>
  <c r="G91" i="4"/>
  <c r="I91" i="4" s="1"/>
  <c r="G88" i="4"/>
  <c r="I88" i="4" s="1"/>
  <c r="I195" i="4" l="1"/>
  <c r="H63" i="6" s="1"/>
  <c r="I100" i="4"/>
  <c r="H49" i="6" s="1"/>
  <c r="I177" i="4"/>
  <c r="H61" i="6" s="1"/>
  <c r="I291" i="4"/>
  <c r="H79" i="6" s="1"/>
  <c r="I256" i="4"/>
  <c r="H71" i="6" s="1"/>
  <c r="I204" i="4"/>
  <c r="H64" i="6" s="1"/>
  <c r="I108" i="4"/>
  <c r="I121" i="4"/>
  <c r="H54" i="6" s="1"/>
  <c r="I149" i="4"/>
  <c r="H57" i="6" s="1"/>
  <c r="I159" i="4"/>
  <c r="H58" i="6" s="1"/>
  <c r="I186" i="4"/>
  <c r="H62" i="6" s="1"/>
  <c r="I213" i="4"/>
  <c r="H65" i="6" s="1"/>
  <c r="I273" i="4"/>
  <c r="H77" i="6" s="1"/>
  <c r="I229" i="4"/>
  <c r="I242" i="4"/>
  <c r="H69" i="6" s="1"/>
  <c r="I307" i="4"/>
  <c r="H82" i="6" s="1"/>
  <c r="I83" i="4"/>
  <c r="H47" i="6" s="1"/>
  <c r="I139" i="4"/>
  <c r="H56" i="6" s="1"/>
  <c r="I221" i="4"/>
  <c r="H66" i="6" s="1"/>
  <c r="I130" i="4"/>
  <c r="H55" i="6" s="1"/>
  <c r="I90" i="4"/>
  <c r="H48" i="6" s="1"/>
  <c r="I167" i="4"/>
  <c r="H59" i="6" s="1"/>
  <c r="I270" i="4" l="1"/>
  <c r="H74" i="6" s="1"/>
  <c r="I271" i="4"/>
  <c r="H75" i="6" s="1"/>
  <c r="I272" i="4"/>
  <c r="H76" i="6" s="1"/>
  <c r="I268" i="4"/>
  <c r="H72" i="6" s="1"/>
  <c r="I269" i="4"/>
  <c r="H73" i="6" s="1"/>
  <c r="H67" i="6"/>
  <c r="I241" i="4"/>
  <c r="H68" i="6" s="1"/>
  <c r="I119" i="4"/>
  <c r="H52" i="6" s="1"/>
  <c r="I118" i="4"/>
  <c r="H51" i="6" s="1"/>
  <c r="H50" i="6"/>
  <c r="I255" i="4"/>
  <c r="H70" i="6" s="1"/>
  <c r="I120" i="4"/>
  <c r="H53" i="6" s="1"/>
  <c r="I176" i="4"/>
  <c r="H60" i="6" s="1"/>
  <c r="I305" i="4"/>
  <c r="H80" i="6" s="1"/>
  <c r="I306" i="4"/>
  <c r="H81" i="6" s="1"/>
  <c r="G200" i="3" l="1"/>
  <c r="G127" i="3"/>
  <c r="G124" i="3"/>
  <c r="G125" i="3"/>
  <c r="G126" i="3"/>
  <c r="G128" i="3"/>
  <c r="G129" i="3"/>
  <c r="G130" i="3"/>
  <c r="G131" i="3"/>
  <c r="G132" i="3"/>
  <c r="G133" i="3"/>
  <c r="G134" i="3"/>
  <c r="G135" i="3"/>
  <c r="G136" i="3"/>
  <c r="G138" i="3"/>
  <c r="G139" i="3"/>
  <c r="G140" i="3"/>
  <c r="G141" i="3"/>
  <c r="G142" i="3"/>
  <c r="G143" i="3"/>
  <c r="G144" i="3"/>
  <c r="G145" i="3"/>
  <c r="G146" i="3"/>
  <c r="G147" i="3"/>
  <c r="G148" i="3"/>
  <c r="G149" i="3"/>
  <c r="G151" i="3"/>
  <c r="G150" i="3" s="1"/>
  <c r="F49" i="6" s="1"/>
  <c r="G157" i="3"/>
  <c r="G201" i="3"/>
  <c r="G202" i="3"/>
  <c r="G204" i="3"/>
  <c r="G205" i="3"/>
  <c r="G206" i="3"/>
  <c r="G207" i="3"/>
  <c r="G208" i="3"/>
  <c r="G209" i="3"/>
  <c r="G210" i="3"/>
  <c r="G212" i="3"/>
  <c r="G213" i="3"/>
  <c r="G214" i="3"/>
  <c r="G215" i="3"/>
  <c r="G216" i="3"/>
  <c r="G217" i="3"/>
  <c r="G218" i="3"/>
  <c r="G219" i="3"/>
  <c r="G220" i="3"/>
  <c r="G221" i="3"/>
  <c r="G222" i="3"/>
  <c r="G223" i="3"/>
  <c r="G224" i="3"/>
  <c r="G225" i="3"/>
  <c r="G227" i="3"/>
  <c r="G228" i="3"/>
  <c r="G229" i="3"/>
  <c r="G230" i="3"/>
  <c r="G231" i="3"/>
  <c r="G232" i="3"/>
  <c r="G233" i="3"/>
  <c r="G234" i="3"/>
  <c r="G235" i="3"/>
  <c r="G236" i="3"/>
  <c r="G237" i="3"/>
  <c r="G238" i="3"/>
  <c r="G239" i="3"/>
  <c r="G241" i="3"/>
  <c r="G242" i="3"/>
  <c r="G243" i="3"/>
  <c r="G244" i="3"/>
  <c r="G245" i="3"/>
  <c r="G246" i="3"/>
  <c r="G247" i="3"/>
  <c r="G248" i="3"/>
  <c r="G250" i="3"/>
  <c r="G251" i="3"/>
  <c r="G252" i="3"/>
  <c r="G253" i="3"/>
  <c r="G254" i="3"/>
  <c r="G256" i="3"/>
  <c r="G257" i="3"/>
  <c r="G258" i="3"/>
  <c r="G259" i="3"/>
  <c r="G260" i="3"/>
  <c r="G261" i="3"/>
  <c r="G262" i="3"/>
  <c r="G263" i="3"/>
  <c r="G264" i="3"/>
  <c r="G265" i="3"/>
  <c r="G266" i="3"/>
  <c r="G267" i="3"/>
  <c r="G269" i="3"/>
  <c r="G270" i="3"/>
  <c r="G271" i="3"/>
  <c r="G272" i="3"/>
  <c r="G273" i="3"/>
  <c r="G274" i="3"/>
  <c r="G275" i="3"/>
  <c r="G276" i="3"/>
  <c r="G277" i="3"/>
  <c r="G278" i="3"/>
  <c r="G280" i="3"/>
  <c r="G281" i="3"/>
  <c r="G282" i="3"/>
  <c r="G283" i="3"/>
  <c r="G285" i="3"/>
  <c r="G286" i="3"/>
  <c r="G287" i="3"/>
  <c r="G307" i="3"/>
  <c r="G308" i="3"/>
  <c r="G309" i="3"/>
  <c r="G313" i="3"/>
  <c r="G314" i="3"/>
  <c r="G315" i="3"/>
  <c r="G316" i="3"/>
  <c r="G318" i="3"/>
  <c r="G319" i="3"/>
  <c r="G320" i="3"/>
  <c r="G321" i="3"/>
  <c r="G322" i="3"/>
  <c r="G323" i="3"/>
  <c r="G324" i="3"/>
  <c r="G325" i="3"/>
  <c r="G326" i="3"/>
  <c r="G328" i="3"/>
  <c r="G329" i="3"/>
  <c r="G330" i="3"/>
  <c r="G331" i="3"/>
  <c r="G332" i="3"/>
  <c r="G333" i="3"/>
  <c r="G334" i="3"/>
  <c r="G335" i="3"/>
  <c r="G336" i="3"/>
  <c r="G337" i="3"/>
  <c r="G338" i="3"/>
  <c r="G339" i="3"/>
  <c r="G340" i="3"/>
  <c r="G341" i="3"/>
  <c r="G343" i="3"/>
  <c r="G344" i="3"/>
  <c r="G345" i="3"/>
  <c r="G346" i="3"/>
  <c r="G347" i="3"/>
  <c r="G348" i="3"/>
  <c r="G349" i="3"/>
  <c r="G350" i="3"/>
  <c r="G351" i="3"/>
  <c r="G352" i="3"/>
  <c r="G353" i="3"/>
  <c r="G354" i="3"/>
  <c r="G429" i="3"/>
  <c r="G431" i="3"/>
  <c r="G432" i="3"/>
  <c r="G433" i="3"/>
  <c r="G434" i="3"/>
  <c r="G435" i="3"/>
  <c r="G436" i="3"/>
  <c r="G437" i="3"/>
  <c r="G438" i="3"/>
  <c r="G439" i="3"/>
  <c r="G440" i="3"/>
  <c r="G441" i="3"/>
  <c r="G442" i="3"/>
  <c r="G443" i="3"/>
  <c r="G444" i="3"/>
  <c r="G445" i="3"/>
  <c r="G446" i="3"/>
  <c r="G356" i="3"/>
  <c r="G357" i="3"/>
  <c r="G358" i="3"/>
  <c r="G359" i="3"/>
  <c r="G360" i="3"/>
  <c r="G361" i="3"/>
  <c r="G362" i="3"/>
  <c r="G363" i="3"/>
  <c r="G364" i="3"/>
  <c r="G365" i="3"/>
  <c r="G366" i="3"/>
  <c r="G367" i="3"/>
  <c r="G369" i="3"/>
  <c r="G370" i="3"/>
  <c r="G371" i="3"/>
  <c r="G372" i="3"/>
  <c r="G373" i="3"/>
  <c r="G374" i="3"/>
  <c r="G375" i="3"/>
  <c r="G376" i="3"/>
  <c r="G377" i="3"/>
  <c r="G378" i="3"/>
  <c r="G379" i="3"/>
  <c r="G382" i="3"/>
  <c r="G383" i="3"/>
  <c r="G384" i="3"/>
  <c r="G385" i="3"/>
  <c r="G386" i="3"/>
  <c r="G387" i="3"/>
  <c r="G388" i="3"/>
  <c r="G389" i="3"/>
  <c r="G390" i="3"/>
  <c r="G391" i="3"/>
  <c r="G392" i="3"/>
  <c r="G394" i="3"/>
  <c r="G395" i="3"/>
  <c r="G397" i="3"/>
  <c r="G398" i="3"/>
  <c r="G399" i="3"/>
  <c r="G400" i="3"/>
  <c r="G401" i="3"/>
  <c r="G402" i="3"/>
  <c r="G403" i="3"/>
  <c r="G404" i="3"/>
  <c r="G405" i="3"/>
  <c r="G406" i="3"/>
  <c r="G407" i="3"/>
  <c r="G408" i="3"/>
  <c r="G409" i="3"/>
  <c r="G410" i="3"/>
  <c r="G411" i="3"/>
  <c r="G413" i="3"/>
  <c r="G414" i="3"/>
  <c r="G415" i="3"/>
  <c r="G416" i="3"/>
  <c r="G417" i="3"/>
  <c r="G418" i="3"/>
  <c r="G419" i="3"/>
  <c r="G420" i="3"/>
  <c r="G421" i="3"/>
  <c r="G422" i="3"/>
  <c r="G466" i="3"/>
  <c r="G467" i="3"/>
  <c r="G468" i="3"/>
  <c r="G469" i="3"/>
  <c r="G470" i="3"/>
  <c r="G471" i="3"/>
  <c r="G472" i="3"/>
  <c r="G473" i="3"/>
  <c r="G474" i="3"/>
  <c r="G475" i="3"/>
  <c r="G477" i="3"/>
  <c r="G478" i="3"/>
  <c r="G479" i="3"/>
  <c r="G480" i="3"/>
  <c r="G481" i="3"/>
  <c r="G483" i="3"/>
  <c r="G484" i="3"/>
  <c r="G485" i="3"/>
  <c r="G486" i="3"/>
  <c r="G487" i="3"/>
  <c r="G489" i="3"/>
  <c r="G490" i="3"/>
  <c r="G491" i="3"/>
  <c r="G492" i="3"/>
  <c r="G493" i="3"/>
  <c r="G494" i="3"/>
  <c r="G495" i="3"/>
  <c r="G496" i="3"/>
  <c r="G497" i="3"/>
  <c r="G498" i="3"/>
  <c r="G500" i="3"/>
  <c r="G501" i="3"/>
  <c r="G502" i="3"/>
  <c r="G503" i="3"/>
  <c r="G504" i="3"/>
  <c r="G506" i="3"/>
  <c r="G507" i="3"/>
  <c r="G508" i="3"/>
  <c r="G509" i="3"/>
  <c r="G510" i="3"/>
  <c r="G511" i="3"/>
  <c r="G512" i="3"/>
  <c r="G513" i="3"/>
  <c r="G514" i="3"/>
  <c r="G515" i="3"/>
  <c r="G517" i="3"/>
  <c r="G518" i="3"/>
  <c r="G519" i="3"/>
  <c r="G520" i="3"/>
  <c r="G521" i="3"/>
  <c r="G522" i="3"/>
  <c r="G523" i="3"/>
  <c r="G524" i="3"/>
  <c r="G525" i="3"/>
  <c r="G526" i="3"/>
  <c r="G528" i="3"/>
  <c r="G123" i="3"/>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1" i="2"/>
  <c r="G242" i="2"/>
  <c r="G243" i="2"/>
  <c r="G244" i="2"/>
  <c r="G245" i="2"/>
  <c r="G246" i="2"/>
  <c r="G247" i="2"/>
  <c r="G248" i="2"/>
  <c r="G249" i="2"/>
  <c r="G250" i="2"/>
  <c r="G251" i="2"/>
  <c r="G252" i="2"/>
  <c r="G253" i="2"/>
  <c r="G254" i="2"/>
  <c r="G255" i="2"/>
  <c r="G256" i="2"/>
  <c r="G257" i="2"/>
  <c r="G258" i="2"/>
  <c r="G259" i="2"/>
  <c r="G261" i="2"/>
  <c r="G262" i="2"/>
  <c r="G263" i="2"/>
  <c r="G264" i="2"/>
  <c r="G265" i="2"/>
  <c r="G266" i="2"/>
  <c r="G267" i="2"/>
  <c r="G269" i="2"/>
  <c r="G270" i="2"/>
  <c r="G271" i="2"/>
  <c r="G272" i="2"/>
  <c r="G273" i="2"/>
  <c r="G274" i="2"/>
  <c r="G275" i="2"/>
  <c r="G276" i="2"/>
  <c r="G277" i="2"/>
  <c r="G278" i="2"/>
  <c r="G279" i="2"/>
  <c r="G280" i="2"/>
  <c r="G281" i="2"/>
  <c r="G282" i="2"/>
  <c r="G283" i="2"/>
  <c r="G284" i="2"/>
  <c r="G285" i="2"/>
  <c r="G286" i="2"/>
  <c r="G287" i="2"/>
  <c r="G288" i="2"/>
  <c r="G289" i="2"/>
  <c r="G290" i="2"/>
  <c r="G295" i="2"/>
  <c r="G296" i="2"/>
  <c r="G297" i="2"/>
  <c r="G298" i="2"/>
  <c r="G299" i="2"/>
  <c r="G300" i="2"/>
  <c r="G301" i="2"/>
  <c r="G302" i="2"/>
  <c r="G303" i="2"/>
  <c r="G304" i="2"/>
  <c r="G306" i="2"/>
  <c r="G307" i="2"/>
  <c r="G308" i="2"/>
  <c r="G309" i="2"/>
  <c r="G310" i="2"/>
  <c r="G311" i="2"/>
  <c r="G312" i="2"/>
  <c r="G313" i="2"/>
  <c r="G314" i="2"/>
  <c r="G315" i="2"/>
  <c r="G316" i="2"/>
  <c r="G317" i="2"/>
  <c r="G318" i="2"/>
  <c r="G319" i="2"/>
  <c r="G320" i="2"/>
  <c r="G321" i="2"/>
  <c r="G322"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5" i="2"/>
  <c r="G416" i="2"/>
  <c r="G417" i="2"/>
  <c r="G418" i="2"/>
  <c r="G419" i="2"/>
  <c r="G420" i="2"/>
  <c r="G424" i="2"/>
  <c r="G425" i="2"/>
  <c r="G426" i="2"/>
  <c r="G427" i="2"/>
  <c r="G428" i="2"/>
  <c r="G429" i="2"/>
  <c r="G430" i="2"/>
  <c r="G431" i="2"/>
  <c r="G432" i="2"/>
  <c r="G433" i="2"/>
  <c r="G434" i="2"/>
  <c r="G435" i="2"/>
  <c r="G436" i="2"/>
  <c r="G437" i="2"/>
  <c r="G438" i="2"/>
  <c r="G439" i="2"/>
  <c r="G440" i="2"/>
  <c r="G441" i="2"/>
  <c r="G442" i="2"/>
  <c r="G443"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6" i="2"/>
  <c r="G505" i="2" s="1"/>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1" i="2"/>
  <c r="G632" i="2"/>
  <c r="G633" i="2"/>
  <c r="G634" i="2"/>
  <c r="G635" i="2"/>
  <c r="G636" i="2"/>
  <c r="G637" i="2"/>
  <c r="G638" i="2"/>
  <c r="G639" i="2"/>
  <c r="G640" i="2"/>
  <c r="G641" i="2"/>
  <c r="G642" i="2"/>
  <c r="G643" i="2"/>
  <c r="G644" i="2"/>
  <c r="G645" i="2"/>
  <c r="G646" i="2"/>
  <c r="G647" i="2"/>
  <c r="G648" i="2"/>
  <c r="G649" i="2"/>
  <c r="G650" i="2"/>
  <c r="G651" i="2"/>
  <c r="G652" i="2"/>
  <c r="G653" i="2"/>
  <c r="G65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656" i="2"/>
  <c r="G657" i="2"/>
  <c r="G658" i="2"/>
  <c r="G659" i="2"/>
  <c r="G660" i="2"/>
  <c r="G661" i="2"/>
  <c r="G662" i="2"/>
  <c r="G663" i="2"/>
  <c r="G665" i="2"/>
  <c r="G666" i="2"/>
  <c r="G667" i="2"/>
  <c r="G668" i="2"/>
  <c r="G669" i="2"/>
  <c r="G670" i="2"/>
  <c r="G671" i="2"/>
  <c r="G672" i="2"/>
  <c r="G673" i="2"/>
  <c r="G674" i="2"/>
  <c r="G675" i="2"/>
  <c r="G676" i="2"/>
  <c r="G677" i="2"/>
  <c r="G678" i="2"/>
  <c r="G679" i="2"/>
  <c r="G680" i="2"/>
  <c r="G681" i="2"/>
  <c r="G682" i="2"/>
  <c r="G683" i="2"/>
  <c r="G685" i="2"/>
  <c r="G686" i="2"/>
  <c r="G687" i="2"/>
  <c r="G688" i="2"/>
  <c r="G689" i="2"/>
  <c r="G690" i="2"/>
  <c r="G691" i="2"/>
  <c r="G692" i="2"/>
  <c r="G693" i="2"/>
  <c r="G694" i="2"/>
  <c r="G695" i="2"/>
  <c r="G696" i="2"/>
  <c r="G697" i="2"/>
  <c r="G703" i="2"/>
  <c r="G704" i="2"/>
  <c r="G705" i="2"/>
  <c r="G706" i="2"/>
  <c r="G707" i="2"/>
  <c r="G708" i="2"/>
  <c r="G709" i="2"/>
  <c r="G710" i="2"/>
  <c r="G711" i="2"/>
  <c r="G712" i="2"/>
  <c r="G713" i="2"/>
  <c r="G714"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186" i="2"/>
  <c r="H20" i="5"/>
  <c r="G20" i="5"/>
  <c r="E20" i="5"/>
  <c r="H19" i="5"/>
  <c r="G19" i="5"/>
  <c r="E19" i="5"/>
  <c r="H18" i="5"/>
  <c r="G18" i="5"/>
  <c r="E18" i="5"/>
  <c r="H17" i="5"/>
  <c r="G17" i="5"/>
  <c r="E17" i="5"/>
  <c r="H16" i="5"/>
  <c r="E16" i="5"/>
  <c r="H15" i="5"/>
  <c r="G15" i="5"/>
  <c r="E15" i="5"/>
  <c r="H13" i="5"/>
  <c r="G13" i="5"/>
  <c r="E13" i="5"/>
  <c r="H12" i="5"/>
  <c r="G12" i="5"/>
  <c r="E12" i="5"/>
  <c r="H11" i="5"/>
  <c r="G11" i="5"/>
  <c r="E11" i="5"/>
  <c r="H10" i="5"/>
  <c r="G10" i="5"/>
  <c r="E10" i="5"/>
  <c r="H9" i="5"/>
  <c r="G9" i="5"/>
  <c r="E9" i="5"/>
  <c r="H8" i="5"/>
  <c r="G8" i="5"/>
  <c r="E8" i="5"/>
  <c r="J15" i="5" l="1"/>
  <c r="J9" i="5"/>
  <c r="J10" i="5"/>
  <c r="J13" i="5"/>
  <c r="K13" i="5"/>
  <c r="J8" i="5"/>
  <c r="J12" i="5"/>
  <c r="K12" i="5"/>
  <c r="J20" i="5"/>
  <c r="G568" i="2"/>
  <c r="J18" i="5"/>
  <c r="J17" i="5"/>
  <c r="J11" i="5"/>
  <c r="F16" i="5"/>
  <c r="J16" i="5"/>
  <c r="K16" i="5"/>
  <c r="L16" i="5" s="1"/>
  <c r="J19" i="5"/>
  <c r="G185" i="2"/>
  <c r="E47" i="6" s="1"/>
  <c r="G924" i="2"/>
  <c r="E82" i="6" s="1"/>
  <c r="G784" i="2"/>
  <c r="G630" i="2"/>
  <c r="E63" i="6"/>
  <c r="G539" i="2"/>
  <c r="E62" i="6" s="1"/>
  <c r="G444" i="2"/>
  <c r="G350" i="2"/>
  <c r="G212" i="2"/>
  <c r="E48" i="6" s="1"/>
  <c r="G896" i="2"/>
  <c r="G474" i="2"/>
  <c r="G868" i="2"/>
  <c r="G749" i="2"/>
  <c r="G684" i="2"/>
  <c r="G599" i="2"/>
  <c r="G414" i="2"/>
  <c r="G323" i="2"/>
  <c r="E55" i="6" s="1"/>
  <c r="G260" i="2"/>
  <c r="G840" i="2"/>
  <c r="G716" i="2"/>
  <c r="G655" i="2"/>
  <c r="E66" i="6" s="1"/>
  <c r="G382" i="2"/>
  <c r="G294" i="2"/>
  <c r="G240" i="2"/>
  <c r="F20" i="5"/>
  <c r="F19" i="5"/>
  <c r="K19" i="5" s="1"/>
  <c r="F10" i="5"/>
  <c r="K10" i="5" s="1"/>
  <c r="F15" i="5"/>
  <c r="K15" i="5" s="1"/>
  <c r="F8" i="5"/>
  <c r="F12" i="5"/>
  <c r="E65" i="6"/>
  <c r="F9" i="5"/>
  <c r="K9" i="5" s="1"/>
  <c r="F11" i="5"/>
  <c r="K11" i="5" s="1"/>
  <c r="F13" i="5"/>
  <c r="F18" i="5"/>
  <c r="K18" i="5" s="1"/>
  <c r="F17" i="5"/>
  <c r="K17" i="5" s="1"/>
  <c r="E69" i="6"/>
  <c r="G199" i="3"/>
  <c r="F54" i="6" s="1"/>
  <c r="G342" i="3"/>
  <c r="F65" i="6" s="1"/>
  <c r="G317" i="3"/>
  <c r="F63" i="6" s="1"/>
  <c r="G268" i="3"/>
  <c r="F59" i="6" s="1"/>
  <c r="G240" i="3"/>
  <c r="F57" i="6" s="1"/>
  <c r="G279" i="3"/>
  <c r="F60" i="6" s="1"/>
  <c r="G255" i="3"/>
  <c r="F58" i="6" s="1"/>
  <c r="G226" i="3"/>
  <c r="F56" i="6" s="1"/>
  <c r="G428" i="3"/>
  <c r="F77" i="6" s="1"/>
  <c r="G306" i="3"/>
  <c r="F62" i="6" s="1"/>
  <c r="F61" i="6"/>
  <c r="G156" i="3"/>
  <c r="F50" i="6" s="1"/>
  <c r="G137" i="3"/>
  <c r="F48" i="6" s="1"/>
  <c r="G122" i="3"/>
  <c r="F47" i="6" s="1"/>
  <c r="G355" i="3"/>
  <c r="F66" i="6" s="1"/>
  <c r="G499" i="3"/>
  <c r="F81" i="6" s="1"/>
  <c r="E54" i="6"/>
  <c r="E81" i="6"/>
  <c r="E77" i="6"/>
  <c r="G482" i="3"/>
  <c r="F80" i="6" s="1"/>
  <c r="G465" i="3"/>
  <c r="F79" i="6" s="1"/>
  <c r="E80" i="6"/>
  <c r="E64" i="6"/>
  <c r="E61" i="6"/>
  <c r="E60" i="6"/>
  <c r="E57" i="6"/>
  <c r="E56" i="6"/>
  <c r="E79" i="6"/>
  <c r="G381" i="3"/>
  <c r="F69" i="6" s="1"/>
  <c r="E59" i="6"/>
  <c r="E58" i="6"/>
  <c r="E49" i="6"/>
  <c r="G516" i="3"/>
  <c r="F82" i="6" s="1"/>
  <c r="G412" i="3"/>
  <c r="G396" i="3"/>
  <c r="F70" i="6" s="1"/>
  <c r="G368" i="3"/>
  <c r="G327" i="3"/>
  <c r="F64" i="6" s="1"/>
  <c r="G211" i="3"/>
  <c r="F55" i="6" s="1"/>
  <c r="K20" i="5" l="1"/>
  <c r="L20" i="5" s="1"/>
  <c r="K8" i="5"/>
  <c r="L8" i="5" s="1"/>
  <c r="F46" i="1"/>
  <c r="F45" i="1"/>
  <c r="F56" i="1"/>
  <c r="F47" i="1"/>
  <c r="G47" i="1" s="1"/>
  <c r="D49" i="6" s="1"/>
  <c r="L15" i="5"/>
  <c r="L13" i="5"/>
  <c r="L19" i="5"/>
  <c r="L17" i="5"/>
  <c r="L9" i="5"/>
  <c r="L10" i="5"/>
  <c r="L18" i="5"/>
  <c r="L11" i="5"/>
  <c r="L12" i="5"/>
  <c r="G783" i="2"/>
  <c r="E76" i="6" s="1"/>
  <c r="G779" i="2"/>
  <c r="E72" i="6" s="1"/>
  <c r="G780" i="2"/>
  <c r="E73" i="6" s="1"/>
  <c r="E71" i="6"/>
  <c r="G781" i="2"/>
  <c r="E74" i="6" s="1"/>
  <c r="G782" i="2"/>
  <c r="E75" i="6" s="1"/>
  <c r="G426" i="3"/>
  <c r="F75" i="6" s="1"/>
  <c r="F71" i="6"/>
  <c r="G427" i="3"/>
  <c r="F76" i="6" s="1"/>
  <c r="G423" i="3"/>
  <c r="F72" i="6" s="1"/>
  <c r="G424" i="3"/>
  <c r="F73" i="6" s="1"/>
  <c r="G425" i="3"/>
  <c r="F74" i="6" s="1"/>
  <c r="F67" i="6"/>
  <c r="G380" i="3"/>
  <c r="F68" i="6" s="1"/>
  <c r="E67" i="6"/>
  <c r="G715" i="2"/>
  <c r="E68" i="6" s="1"/>
  <c r="G56" i="1"/>
  <c r="D58" i="6" s="1"/>
  <c r="G46" i="1"/>
  <c r="D48" i="6" s="1"/>
  <c r="I48" i="6" s="1"/>
  <c r="J48" i="6" s="1"/>
  <c r="K48" i="6" s="1"/>
  <c r="G748" i="2"/>
  <c r="E70" i="6" s="1"/>
  <c r="G293" i="2"/>
  <c r="E53" i="6" s="1"/>
  <c r="G291" i="2"/>
  <c r="E51" i="6" s="1"/>
  <c r="E50" i="6"/>
  <c r="G197" i="3"/>
  <c r="F52" i="6" s="1"/>
  <c r="G292" i="2"/>
  <c r="E52" i="6" s="1"/>
  <c r="G45" i="1"/>
  <c r="F75" i="1" l="1"/>
  <c r="G75" i="1" s="1"/>
  <c r="D77" i="6" s="1"/>
  <c r="I77" i="6" s="1"/>
  <c r="J77" i="6" s="1"/>
  <c r="K77" i="6" s="1"/>
  <c r="F79" i="1"/>
  <c r="G79" i="1" s="1"/>
  <c r="D81" i="6" s="1"/>
  <c r="F66" i="1"/>
  <c r="G66" i="1" s="1"/>
  <c r="D68" i="6" s="1"/>
  <c r="F78" i="1"/>
  <c r="G78" i="1" s="1"/>
  <c r="F65" i="1"/>
  <c r="G65" i="1" s="1"/>
  <c r="F77" i="1"/>
  <c r="G77" i="1" s="1"/>
  <c r="D79" i="6" s="1"/>
  <c r="F68" i="1"/>
  <c r="G68" i="1" s="1"/>
  <c r="D70" i="6" s="1"/>
  <c r="F76" i="1"/>
  <c r="G76" i="1" s="1"/>
  <c r="F80" i="1"/>
  <c r="G80" i="1" s="1"/>
  <c r="D82" i="6" s="1"/>
  <c r="I82" i="6" s="1"/>
  <c r="J82" i="6" s="1"/>
  <c r="K82" i="6" s="1"/>
  <c r="F67" i="1"/>
  <c r="G67" i="1" s="1"/>
  <c r="D69" i="6" s="1"/>
  <c r="I69" i="6" s="1"/>
  <c r="J69" i="6" s="1"/>
  <c r="K69" i="6" s="1"/>
  <c r="F50" i="1"/>
  <c r="G50" i="1" s="1"/>
  <c r="D52" i="6" s="1"/>
  <c r="F54" i="1"/>
  <c r="G54" i="1" s="1"/>
  <c r="D56" i="6" s="1"/>
  <c r="F58" i="1"/>
  <c r="G58" i="1" s="1"/>
  <c r="D60" i="6" s="1"/>
  <c r="F62" i="1"/>
  <c r="G62" i="1" s="1"/>
  <c r="D64" i="6" s="1"/>
  <c r="F70" i="1"/>
  <c r="G70" i="1" s="1"/>
  <c r="D72" i="6" s="1"/>
  <c r="F74" i="1"/>
  <c r="G74" i="1" s="1"/>
  <c r="D76" i="6" s="1"/>
  <c r="F49" i="1"/>
  <c r="G49" i="1" s="1"/>
  <c r="D51" i="6" s="1"/>
  <c r="I51" i="6" s="1"/>
  <c r="F53" i="1"/>
  <c r="G53" i="1" s="1"/>
  <c r="D55" i="6" s="1"/>
  <c r="F57" i="1"/>
  <c r="G57" i="1" s="1"/>
  <c r="D59" i="6" s="1"/>
  <c r="F61" i="1"/>
  <c r="G61" i="1" s="1"/>
  <c r="D63" i="6" s="1"/>
  <c r="F69" i="1"/>
  <c r="G69" i="1" s="1"/>
  <c r="D71" i="6" s="1"/>
  <c r="I71" i="6" s="1"/>
  <c r="J71" i="6" s="1"/>
  <c r="K71" i="6" s="1"/>
  <c r="F73" i="1"/>
  <c r="G73" i="1" s="1"/>
  <c r="D75" i="6" s="1"/>
  <c r="F48" i="1"/>
  <c r="G48" i="1" s="1"/>
  <c r="D50" i="6" s="1"/>
  <c r="F52" i="1"/>
  <c r="G52" i="1" s="1"/>
  <c r="D54" i="6" s="1"/>
  <c r="F60" i="1"/>
  <c r="G60" i="1" s="1"/>
  <c r="D62" i="6" s="1"/>
  <c r="F64" i="1"/>
  <c r="G64" i="1" s="1"/>
  <c r="D66" i="6" s="1"/>
  <c r="I66" i="6" s="1"/>
  <c r="J66" i="6" s="1"/>
  <c r="K66" i="6" s="1"/>
  <c r="F72" i="1"/>
  <c r="G72" i="1" s="1"/>
  <c r="D74" i="6" s="1"/>
  <c r="F51" i="1"/>
  <c r="G51" i="1" s="1"/>
  <c r="D53" i="6" s="1"/>
  <c r="F55" i="1"/>
  <c r="G55" i="1" s="1"/>
  <c r="D57" i="6" s="1"/>
  <c r="F59" i="1"/>
  <c r="G59" i="1" s="1"/>
  <c r="D61" i="6" s="1"/>
  <c r="F63" i="1"/>
  <c r="G63" i="1" s="1"/>
  <c r="D65" i="6" s="1"/>
  <c r="F71" i="1"/>
  <c r="G71" i="1" s="1"/>
  <c r="D73" i="6" s="1"/>
  <c r="F17" i="1"/>
  <c r="G17" i="1" s="1"/>
  <c r="D19" i="6" s="1"/>
  <c r="F21" i="1"/>
  <c r="G21" i="1" s="1"/>
  <c r="D23" i="6" s="1"/>
  <c r="I23" i="6" s="1"/>
  <c r="J23" i="6" s="1"/>
  <c r="K23" i="6" s="1"/>
  <c r="F25" i="1"/>
  <c r="G25" i="1" s="1"/>
  <c r="D27" i="6" s="1"/>
  <c r="I27" i="6" s="1"/>
  <c r="J27" i="6" s="1"/>
  <c r="K27" i="6" s="1"/>
  <c r="F29" i="1"/>
  <c r="G29" i="1" s="1"/>
  <c r="D31" i="6" s="1"/>
  <c r="I31" i="6" s="1"/>
  <c r="J31" i="6" s="1"/>
  <c r="K31" i="6" s="1"/>
  <c r="F33" i="1"/>
  <c r="F37" i="1"/>
  <c r="G37" i="1" s="1"/>
  <c r="D39" i="6" s="1"/>
  <c r="I39" i="6" s="1"/>
  <c r="J39" i="6" s="1"/>
  <c r="K39" i="6" s="1"/>
  <c r="F8" i="1"/>
  <c r="G8" i="1" s="1"/>
  <c r="D10" i="6" s="1"/>
  <c r="F20" i="1"/>
  <c r="G20" i="1" s="1"/>
  <c r="D22" i="6" s="1"/>
  <c r="I22" i="6" s="1"/>
  <c r="J22" i="6" s="1"/>
  <c r="K22" i="6" s="1"/>
  <c r="F24" i="1"/>
  <c r="G24" i="1" s="1"/>
  <c r="D26" i="6" s="1"/>
  <c r="I26" i="6" s="1"/>
  <c r="J26" i="6" s="1"/>
  <c r="K26" i="6" s="1"/>
  <c r="F28" i="1"/>
  <c r="G28" i="1" s="1"/>
  <c r="D30" i="6" s="1"/>
  <c r="I30" i="6" s="1"/>
  <c r="J30" i="6" s="1"/>
  <c r="K30" i="6" s="1"/>
  <c r="F32" i="1"/>
  <c r="G32" i="1" s="1"/>
  <c r="D34" i="6" s="1"/>
  <c r="I34" i="6" s="1"/>
  <c r="J34" i="6" s="1"/>
  <c r="K34" i="6" s="1"/>
  <c r="F36" i="1"/>
  <c r="G36" i="1" s="1"/>
  <c r="D38" i="6" s="1"/>
  <c r="I38" i="6" s="1"/>
  <c r="J38" i="6" s="1"/>
  <c r="K38" i="6" s="1"/>
  <c r="F40" i="1"/>
  <c r="G40" i="1" s="1"/>
  <c r="D42" i="6" s="1"/>
  <c r="I42" i="6" s="1"/>
  <c r="J42" i="6" s="1"/>
  <c r="K42" i="6" s="1"/>
  <c r="F19" i="1"/>
  <c r="G19" i="1" s="1"/>
  <c r="D21" i="6" s="1"/>
  <c r="I21" i="6" s="1"/>
  <c r="J21" i="6" s="1"/>
  <c r="K21" i="6" s="1"/>
  <c r="F23" i="1"/>
  <c r="G23" i="1" s="1"/>
  <c r="D25" i="6" s="1"/>
  <c r="I25" i="6" s="1"/>
  <c r="J25" i="6" s="1"/>
  <c r="K25" i="6" s="1"/>
  <c r="F27" i="1"/>
  <c r="G27" i="1" s="1"/>
  <c r="D29" i="6" s="1"/>
  <c r="I29" i="6" s="1"/>
  <c r="J29" i="6" s="1"/>
  <c r="K29" i="6" s="1"/>
  <c r="F31" i="1"/>
  <c r="G31" i="1" s="1"/>
  <c r="D33" i="6" s="1"/>
  <c r="I33" i="6" s="1"/>
  <c r="J33" i="6" s="1"/>
  <c r="K33" i="6" s="1"/>
  <c r="F35" i="1"/>
  <c r="G35" i="1" s="1"/>
  <c r="D37" i="6" s="1"/>
  <c r="I37" i="6" s="1"/>
  <c r="J37" i="6" s="1"/>
  <c r="K37" i="6" s="1"/>
  <c r="F39" i="1"/>
  <c r="G39" i="1" s="1"/>
  <c r="D41" i="6" s="1"/>
  <c r="I41" i="6" s="1"/>
  <c r="J41" i="6" s="1"/>
  <c r="K41" i="6" s="1"/>
  <c r="F14" i="1"/>
  <c r="G14" i="1" s="1"/>
  <c r="D16" i="6" s="1"/>
  <c r="F18" i="1"/>
  <c r="G18" i="1" s="1"/>
  <c r="D20" i="6" s="1"/>
  <c r="I20" i="6" s="1"/>
  <c r="J20" i="6" s="1"/>
  <c r="K20" i="6" s="1"/>
  <c r="F22" i="1"/>
  <c r="G22" i="1" s="1"/>
  <c r="D24" i="6" s="1"/>
  <c r="I24" i="6" s="1"/>
  <c r="J24" i="6" s="1"/>
  <c r="K24" i="6" s="1"/>
  <c r="F26" i="1"/>
  <c r="G26" i="1" s="1"/>
  <c r="D28" i="6" s="1"/>
  <c r="I28" i="6" s="1"/>
  <c r="J28" i="6" s="1"/>
  <c r="K28" i="6" s="1"/>
  <c r="F30" i="1"/>
  <c r="G30" i="1" s="1"/>
  <c r="D32" i="6" s="1"/>
  <c r="I32" i="6" s="1"/>
  <c r="J32" i="6" s="1"/>
  <c r="K32" i="6" s="1"/>
  <c r="F34" i="1"/>
  <c r="G34" i="1" s="1"/>
  <c r="D36" i="6" s="1"/>
  <c r="I36" i="6" s="1"/>
  <c r="J36" i="6" s="1"/>
  <c r="K36" i="6" s="1"/>
  <c r="F38" i="1"/>
  <c r="G38" i="1" s="1"/>
  <c r="D40" i="6" s="1"/>
  <c r="I40" i="6" s="1"/>
  <c r="J40" i="6" s="1"/>
  <c r="K40" i="6" s="1"/>
  <c r="I70" i="6"/>
  <c r="J70" i="6" s="1"/>
  <c r="K70" i="6" s="1"/>
  <c r="F41" i="1"/>
  <c r="G41" i="1" s="1"/>
  <c r="D43" i="6" s="1"/>
  <c r="I43" i="6" s="1"/>
  <c r="J43" i="6" s="1"/>
  <c r="K43" i="6" s="1"/>
  <c r="F16" i="1"/>
  <c r="G16" i="1" s="1"/>
  <c r="D18" i="6" s="1"/>
  <c r="F15" i="1"/>
  <c r="G15" i="1" s="1"/>
  <c r="D17" i="6" s="1"/>
  <c r="F43" i="1"/>
  <c r="G43" i="1" s="1"/>
  <c r="D45" i="6" s="1"/>
  <c r="I45" i="6" s="1"/>
  <c r="J45" i="6" s="1"/>
  <c r="K45" i="6" s="1"/>
  <c r="F42" i="1"/>
  <c r="G42" i="1" s="1"/>
  <c r="D44" i="6" s="1"/>
  <c r="I44" i="6" s="1"/>
  <c r="J44" i="6" s="1"/>
  <c r="K44" i="6" s="1"/>
  <c r="F9" i="1"/>
  <c r="G9" i="1" s="1"/>
  <c r="D12" i="6" s="1"/>
  <c r="I12" i="6" s="1"/>
  <c r="J12" i="6" s="1"/>
  <c r="K12" i="6" s="1"/>
  <c r="F13" i="1"/>
  <c r="G13" i="1" s="1"/>
  <c r="D15" i="6" s="1"/>
  <c r="F12" i="1"/>
  <c r="G12" i="1" s="1"/>
  <c r="D14" i="6" s="1"/>
  <c r="F6" i="1"/>
  <c r="I6" i="1" s="1"/>
  <c r="F7" i="1"/>
  <c r="G7" i="1" s="1"/>
  <c r="D9" i="6" s="1"/>
  <c r="F11" i="1"/>
  <c r="G11" i="1" s="1"/>
  <c r="D13" i="6" s="1"/>
  <c r="F10" i="1"/>
  <c r="G10" i="1" s="1"/>
  <c r="D11" i="6" s="1"/>
  <c r="I68" i="6"/>
  <c r="J68" i="6" s="1"/>
  <c r="K68" i="6" s="1"/>
  <c r="I76" i="6"/>
  <c r="J76" i="6" s="1"/>
  <c r="K76" i="6" s="1"/>
  <c r="I75" i="6"/>
  <c r="J75" i="6" s="1"/>
  <c r="K75" i="6" s="1"/>
  <c r="I72" i="6"/>
  <c r="J72" i="6" s="1"/>
  <c r="K72" i="6" s="1"/>
  <c r="I74" i="6"/>
  <c r="J74" i="6" s="1"/>
  <c r="K74" i="6" s="1"/>
  <c r="I73" i="6"/>
  <c r="J73" i="6" s="1"/>
  <c r="K73" i="6" s="1"/>
  <c r="G6" i="1"/>
  <c r="D8" i="6" s="1"/>
  <c r="I8" i="6" s="1"/>
  <c r="I52" i="6"/>
  <c r="J52" i="6" s="1"/>
  <c r="K52" i="6" s="1"/>
  <c r="D47" i="6"/>
  <c r="I47" i="6" s="1"/>
  <c r="J47" i="6" s="1"/>
  <c r="K47" i="6" s="1"/>
  <c r="D67" i="6"/>
  <c r="I67" i="6" s="1"/>
  <c r="J67" i="6" s="1"/>
  <c r="K67" i="6" s="1"/>
  <c r="I79" i="6"/>
  <c r="J79" i="6" s="1"/>
  <c r="K79" i="6" s="1"/>
  <c r="D80" i="6"/>
  <c r="I80" i="6" s="1"/>
  <c r="J80" i="6" s="1"/>
  <c r="K80" i="6" s="1"/>
  <c r="D78" i="6"/>
  <c r="I78" i="6" s="1"/>
  <c r="J78" i="6" s="1"/>
  <c r="K78" i="6" s="1"/>
  <c r="I53" i="6"/>
  <c r="I81" i="6"/>
  <c r="J81" i="6" s="1"/>
  <c r="K81" i="6" s="1"/>
  <c r="I55" i="6"/>
  <c r="J55" i="6" s="1"/>
  <c r="K55" i="6" s="1"/>
  <c r="I65" i="6"/>
  <c r="J65" i="6" s="1"/>
  <c r="K65" i="6" s="1"/>
  <c r="I64" i="6"/>
  <c r="J64" i="6" s="1"/>
  <c r="K64" i="6" s="1"/>
  <c r="J51" i="6" l="1"/>
  <c r="K51" i="6" s="1"/>
  <c r="J53" i="6"/>
  <c r="K53" i="6" s="1"/>
  <c r="G33" i="1"/>
  <c r="D35" i="6" s="1"/>
  <c r="I35" i="6" s="1"/>
  <c r="J35" i="6" s="1"/>
  <c r="K35" i="6" s="1"/>
  <c r="I63" i="6"/>
  <c r="J63" i="6" s="1"/>
  <c r="K63" i="6" s="1"/>
  <c r="I54" i="6"/>
  <c r="J54" i="6" s="1"/>
  <c r="K54" i="6" s="1"/>
  <c r="I62" i="6" l="1"/>
  <c r="J62" i="6" s="1"/>
  <c r="K62" i="6" s="1"/>
  <c r="I50" i="6"/>
  <c r="J50" i="6" s="1"/>
  <c r="K50" i="6" s="1"/>
  <c r="I49" i="6"/>
  <c r="J49" i="6" s="1"/>
  <c r="K49" i="6" s="1"/>
  <c r="I61" i="6" l="1"/>
  <c r="J61" i="6" s="1"/>
  <c r="K61" i="6" s="1"/>
  <c r="I60" i="6"/>
  <c r="J60" i="6" s="1"/>
  <c r="K60" i="6" s="1"/>
  <c r="I59" i="6" l="1"/>
  <c r="J59" i="6" s="1"/>
  <c r="K59" i="6" s="1"/>
  <c r="I58" i="6" l="1"/>
  <c r="J58" i="6" s="1"/>
  <c r="K58" i="6" s="1"/>
  <c r="I57" i="6" l="1"/>
  <c r="I56" i="6"/>
  <c r="J56" i="6" l="1"/>
  <c r="K56" i="6" s="1"/>
  <c r="J57" i="6"/>
  <c r="K57" i="6" s="1"/>
  <c r="J8" i="6" l="1"/>
  <c r="K8" i="6" s="1"/>
  <c r="I9" i="6"/>
  <c r="J9" i="6" s="1"/>
  <c r="K9" i="6" s="1"/>
  <c r="I10" i="6"/>
  <c r="J10" i="6" s="1"/>
  <c r="K10" i="6" s="1"/>
  <c r="I14" i="6" l="1"/>
  <c r="I13" i="6"/>
  <c r="J13" i="6" s="1"/>
  <c r="K13" i="6" s="1"/>
  <c r="I17" i="6"/>
  <c r="J17" i="6" s="1"/>
  <c r="K17" i="6" s="1"/>
  <c r="I18" i="6"/>
  <c r="J18" i="6" s="1"/>
  <c r="K18" i="6" s="1"/>
  <c r="I15" i="6"/>
  <c r="J15" i="6" s="1"/>
  <c r="K15" i="6" s="1"/>
  <c r="I11" i="6" l="1"/>
  <c r="J11" i="6" s="1"/>
  <c r="K11" i="6" s="1"/>
  <c r="I19" i="6"/>
  <c r="J19" i="6" s="1"/>
  <c r="K19" i="6" s="1"/>
  <c r="I16" i="6"/>
  <c r="J16" i="6" s="1"/>
  <c r="K16" i="6" s="1"/>
  <c r="J14" i="6"/>
  <c r="K14" i="6" s="1"/>
</calcChain>
</file>

<file path=xl/comments1.xml><?xml version="1.0" encoding="utf-8"?>
<comments xmlns="http://schemas.openxmlformats.org/spreadsheetml/2006/main">
  <authors>
    <author>ntthuy</author>
  </authors>
  <commentList>
    <comment ref="E5" authorId="0" shapeId="0">
      <text>
        <r>
          <rPr>
            <b/>
            <sz val="8"/>
            <color indexed="81"/>
            <rFont val="Tahoma"/>
            <family val="2"/>
          </rPr>
          <t>ntthuy:</t>
        </r>
        <r>
          <rPr>
            <sz val="8"/>
            <color indexed="81"/>
            <rFont val="Tahoma"/>
            <family val="2"/>
          </rPr>
          <t xml:space="preserve">
HỆ SỐ THỜI TIẾT NGOẠI NGHIỆP LÀ 0,2</t>
        </r>
      </text>
    </comment>
  </commentList>
</comments>
</file>

<file path=xl/comments2.xml><?xml version="1.0" encoding="utf-8"?>
<comments xmlns="http://schemas.openxmlformats.org/spreadsheetml/2006/main">
  <authors>
    <author>Vanluong</author>
  </authors>
  <commentList>
    <comment ref="B684" authorId="0" shapeId="0">
      <text>
        <r>
          <rPr>
            <b/>
            <sz val="9"/>
            <color indexed="81"/>
            <rFont val="Tahoma"/>
            <family val="2"/>
          </rPr>
          <t>Vanluong:</t>
        </r>
        <r>
          <rPr>
            <sz val="9"/>
            <color indexed="81"/>
            <rFont val="Tahoma"/>
            <family val="2"/>
          </rPr>
          <t xml:space="preserve">
Sửa phương pháp phân tích</t>
        </r>
      </text>
    </comment>
    <comment ref="B715" authorId="0" shapeId="0">
      <text>
        <r>
          <rPr>
            <b/>
            <sz val="9"/>
            <color indexed="81"/>
            <rFont val="Tahoma"/>
            <family val="2"/>
          </rPr>
          <t>Vanluong:</t>
        </r>
        <r>
          <rPr>
            <sz val="9"/>
            <color indexed="81"/>
            <rFont val="Tahoma"/>
            <family val="2"/>
          </rPr>
          <t xml:space="preserve">
Sửa phương pháp phân tích</t>
        </r>
      </text>
    </comment>
  </commentList>
</comments>
</file>

<file path=xl/sharedStrings.xml><?xml version="1.0" encoding="utf-8"?>
<sst xmlns="http://schemas.openxmlformats.org/spreadsheetml/2006/main" count="4282" uniqueCount="762">
  <si>
    <t>STT</t>
  </si>
  <si>
    <t>Mã hiệu</t>
  </si>
  <si>
    <t>Thông số quan trắc</t>
  </si>
  <si>
    <t>Định biên</t>
  </si>
  <si>
    <t>Nhu cầu oxy hoá học (COD)</t>
  </si>
  <si>
    <t>2NT9</t>
  </si>
  <si>
    <t>Chất rắn lơ lửng (SS)</t>
  </si>
  <si>
    <t>Coliform</t>
  </si>
  <si>
    <t>2NT11</t>
  </si>
  <si>
    <t>Dầu mỡ</t>
  </si>
  <si>
    <t>2NT12</t>
  </si>
  <si>
    <t>2NT13a</t>
  </si>
  <si>
    <t>Tổng P</t>
  </si>
  <si>
    <t>2NT13b</t>
  </si>
  <si>
    <t>Tổng N</t>
  </si>
  <si>
    <t>2NT13c</t>
  </si>
  <si>
    <t>Crom (VI)</t>
  </si>
  <si>
    <t xml:space="preserve">Phenol </t>
  </si>
  <si>
    <t>Kim loại (Ni, Cu, Zn, Mn, Fe, Cr)</t>
  </si>
  <si>
    <t>HCBVTV clo hữu cơ</t>
  </si>
  <si>
    <t>HCBVTV phot pho hữu cơ</t>
  </si>
  <si>
    <t>PCBs</t>
  </si>
  <si>
    <t>Danh mục dụng cụ</t>
  </si>
  <si>
    <t>Đơn vị tính</t>
  </si>
  <si>
    <t>Thời hạn</t>
  </si>
  <si>
    <t>(tháng)</t>
  </si>
  <si>
    <t>Định mức</t>
  </si>
  <si>
    <t>Chai đựng hóa chất</t>
  </si>
  <si>
    <t>cái</t>
  </si>
  <si>
    <t>Chai BOD</t>
  </si>
  <si>
    <t>Micropipet 5ml</t>
  </si>
  <si>
    <t>Đầu cone 1ml</t>
  </si>
  <si>
    <t>Bình định mức 50ml</t>
  </si>
  <si>
    <t>Bình định mức 100ml</t>
  </si>
  <si>
    <t>Bình định mức 250ml</t>
  </si>
  <si>
    <t>Bộ sục khí</t>
  </si>
  <si>
    <t>bộ</t>
  </si>
  <si>
    <t>Chai bảo quản dung dịch</t>
  </si>
  <si>
    <t>Đầu điện cực</t>
  </si>
  <si>
    <t>Bình nhựa 2 lít</t>
  </si>
  <si>
    <t>Bình nhựa 5 lít</t>
  </si>
  <si>
    <t>Chai nhựa 0,5 lít</t>
  </si>
  <si>
    <t>đôi</t>
  </si>
  <si>
    <t>Khẩu trang y tế</t>
  </si>
  <si>
    <t>Quạt trần 100w</t>
  </si>
  <si>
    <t>Quạt thông gió 40w</t>
  </si>
  <si>
    <t>Máy hút bụi 2kw</t>
  </si>
  <si>
    <t>Máy hút ẩm 1,5kw</t>
  </si>
  <si>
    <t>Đèn neon 40w</t>
  </si>
  <si>
    <t>Tủ đựng tài liệu</t>
  </si>
  <si>
    <t>Bàn làm việc</t>
  </si>
  <si>
    <t>Ghế tựa</t>
  </si>
  <si>
    <t>Điện năng</t>
  </si>
  <si>
    <t>kw</t>
  </si>
  <si>
    <t>Ống phá mẫu có nắp kín</t>
  </si>
  <si>
    <t>Bình định mức 1000ml</t>
  </si>
  <si>
    <t>Pipet 5ml</t>
  </si>
  <si>
    <t>Đầu cone 5ml</t>
  </si>
  <si>
    <t>Bình nhỏ giọt</t>
  </si>
  <si>
    <t>Bình tia</t>
  </si>
  <si>
    <t>Cốc thủy tinh</t>
  </si>
  <si>
    <t>Đũa thủy tinh</t>
  </si>
  <si>
    <t>Bình tam giác 250ml</t>
  </si>
  <si>
    <t>Màng lọc</t>
  </si>
  <si>
    <t>Ống nghiệm 25*150</t>
  </si>
  <si>
    <t>ống</t>
  </si>
  <si>
    <t>Ống nghiệm không nắp</t>
  </si>
  <si>
    <t>Ống nghiệm có nắp</t>
  </si>
  <si>
    <t>Micropipet 1ml</t>
  </si>
  <si>
    <t>Đầu cone 0,1ml</t>
  </si>
  <si>
    <t>bình</t>
  </si>
  <si>
    <t>Cốc thủy tinh 1000ml</t>
  </si>
  <si>
    <t>Ống duham</t>
  </si>
  <si>
    <t>Pipet 10ml</t>
  </si>
  <si>
    <t>Ống đong 100ml</t>
  </si>
  <si>
    <t>Ống đong 250ml</t>
  </si>
  <si>
    <t>hộp</t>
  </si>
  <si>
    <t>Bình tam giác</t>
  </si>
  <si>
    <t>Chai chứa mẫu 100ml</t>
  </si>
  <si>
    <t>Cái</t>
  </si>
  <si>
    <t>Micropipet 10ml</t>
  </si>
  <si>
    <t>Bình định mức 25ml</t>
  </si>
  <si>
    <t>cây</t>
  </si>
  <si>
    <t>Cuvet 1cm</t>
  </si>
  <si>
    <t>Cốc thủy tinh 250ml</t>
  </si>
  <si>
    <t>Bình nhựa 0,5 lít</t>
  </si>
  <si>
    <t>Bình chưng cất</t>
  </si>
  <si>
    <t>Ống chứa mẫu 15ml (có nắp)</t>
  </si>
  <si>
    <t>Cái lọc</t>
  </si>
  <si>
    <t>Ống hút</t>
  </si>
  <si>
    <t>Bình định mức 500ml</t>
  </si>
  <si>
    <t>Pipet 1ml</t>
  </si>
  <si>
    <t>Phễu lọc thủy tinh</t>
  </si>
  <si>
    <t>Chai</t>
  </si>
  <si>
    <t>Burret chuẩn độ tự động</t>
  </si>
  <si>
    <t xml:space="preserve">Cái </t>
  </si>
  <si>
    <t>Đèn D2</t>
  </si>
  <si>
    <t>Đèn Tungsten</t>
  </si>
  <si>
    <t>Kw</t>
  </si>
  <si>
    <t>Bình tam giác 500ml</t>
  </si>
  <si>
    <t>Đĩa thủy tinh</t>
  </si>
  <si>
    <t>Buret chuẩn độ</t>
  </si>
  <si>
    <t>Cuvet Graphit</t>
  </si>
  <si>
    <t>Đèn HCL</t>
  </si>
  <si>
    <t>Cuvet thạch anh cho FIAS</t>
  </si>
  <si>
    <t>Màng lọc cho FIAS</t>
  </si>
  <si>
    <t>Đèn EDL</t>
  </si>
  <si>
    <t>Cột sắc ký thủy tinh</t>
  </si>
  <si>
    <t>Cột tách mao quản</t>
  </si>
  <si>
    <t>Phễu chiết 500ml</t>
  </si>
  <si>
    <t>Phễu chiết 1000ml</t>
  </si>
  <si>
    <t>Kim tiêm mẫu (syringe 10uL)</t>
  </si>
  <si>
    <t>Danh mục vật tư</t>
  </si>
  <si>
    <t>Định mức </t>
  </si>
  <si>
    <t>gam</t>
  </si>
  <si>
    <t>Gluco</t>
  </si>
  <si>
    <t>Glutamic</t>
  </si>
  <si>
    <t>Cồn lau dụng cụ</t>
  </si>
  <si>
    <t>ml</t>
  </si>
  <si>
    <t>Giấy pH</t>
  </si>
  <si>
    <t>Sổ công tác</t>
  </si>
  <si>
    <t>cuốn</t>
  </si>
  <si>
    <t>Canh thang lactose LT</t>
  </si>
  <si>
    <t>Canh thang BGBL</t>
  </si>
  <si>
    <t>Bông</t>
  </si>
  <si>
    <t>kg</t>
  </si>
  <si>
    <t>NaOH</t>
  </si>
  <si>
    <t>Dung môi</t>
  </si>
  <si>
    <t>Dung dịch chuẩn gốc 1000ppm</t>
  </si>
  <si>
    <t>Giấy lau</t>
  </si>
  <si>
    <t>Giấy thử pH</t>
  </si>
  <si>
    <t>Cloramin T</t>
  </si>
  <si>
    <t>Axit Bacbituric</t>
  </si>
  <si>
    <t>Phenolphtalein</t>
  </si>
  <si>
    <t>Kali antimontatrat</t>
  </si>
  <si>
    <t>Axit ascorbic</t>
  </si>
  <si>
    <t>KI</t>
  </si>
  <si>
    <t>NaCl</t>
  </si>
  <si>
    <t>Phenol</t>
  </si>
  <si>
    <t>4-Amino-Antypyrin</t>
  </si>
  <si>
    <t>NaBr</t>
  </si>
  <si>
    <t>Phenol chuẩn</t>
  </si>
  <si>
    <t>Polyseed</t>
  </si>
  <si>
    <t>Viên</t>
  </si>
  <si>
    <t>Kaliphatalat</t>
  </si>
  <si>
    <t>Gram</t>
  </si>
  <si>
    <t xml:space="preserve">ml </t>
  </si>
  <si>
    <t>NaCN</t>
  </si>
  <si>
    <t>NaClO</t>
  </si>
  <si>
    <t>Cuốn</t>
  </si>
  <si>
    <t>N,N-dimethyl-pphenylenediamineoxalate</t>
  </si>
  <si>
    <t>CaCO3</t>
  </si>
  <si>
    <t>NH4NO3</t>
  </si>
  <si>
    <t>Bột Pd</t>
  </si>
  <si>
    <t>Khí argon</t>
  </si>
  <si>
    <t>Khí axetylen</t>
  </si>
  <si>
    <t>HNO3</t>
  </si>
  <si>
    <t>H2O2</t>
  </si>
  <si>
    <t>NaBH4</t>
  </si>
  <si>
    <t>Dung dịch chuẩn mix 13</t>
  </si>
  <si>
    <t>Dung dịch nội chuẩn</t>
  </si>
  <si>
    <t>Aceton</t>
  </si>
  <si>
    <t>n-Hexan</t>
  </si>
  <si>
    <t xml:space="preserve">Septa cho vial </t>
  </si>
  <si>
    <t>Vial</t>
  </si>
  <si>
    <t>Bông thủy tinh</t>
  </si>
  <si>
    <t>Pipet Pasteur</t>
  </si>
  <si>
    <t>Khí Nitơ</t>
  </si>
  <si>
    <t>Khí Heli</t>
  </si>
  <si>
    <t>Hóa chất BVTV nhóm phot pho hữu cơ</t>
  </si>
  <si>
    <t>Dung dịch chuẩn đa nguyên tố (ICP Standard)</t>
  </si>
  <si>
    <t>Dung dịch chuẩn thẩm tra hiệu năng của thiết bị</t>
  </si>
  <si>
    <t>CH3COOH</t>
  </si>
  <si>
    <t>Tủ sấy</t>
  </si>
  <si>
    <t>Máy lọc chân không</t>
  </si>
  <si>
    <t>Máy điều hòa nhiệt độ</t>
  </si>
  <si>
    <t>Tủ ủ BOD</t>
  </si>
  <si>
    <t>Thiết bị lọc nước siêu sạch</t>
  </si>
  <si>
    <t>Nhu cầu oxy hóa học (COD)</t>
  </si>
  <si>
    <t>Tủ hút</t>
  </si>
  <si>
    <t>Thiết bị phản ứng COD</t>
  </si>
  <si>
    <t>Máy quang phổ UV-VIS</t>
  </si>
  <si>
    <t>Tổng Phốtpho (Tổng P) </t>
  </si>
  <si>
    <t>Tổng Nitơ (Tổng N)</t>
  </si>
  <si>
    <t>Lò vi sóng</t>
  </si>
  <si>
    <t>Thiết bị phá mẫu</t>
  </si>
  <si>
    <t>Máy phân tích quang phổ AAS</t>
  </si>
  <si>
    <t>Máy phân tích quang phổ AAS hoặc cực phổ</t>
  </si>
  <si>
    <t>Bộ phân tích thủy ngân và asen MHS hoặc FIAS</t>
  </si>
  <si>
    <t>Bộ lọc hút chân không</t>
  </si>
  <si>
    <t>Tủ lưu hóa chất</t>
  </si>
  <si>
    <t>Tủ ấm</t>
  </si>
  <si>
    <t>Tủ cấy vi sinh</t>
  </si>
  <si>
    <t>Thiết bị hấp tiệt trùng</t>
  </si>
  <si>
    <t>Máy đếm Coliform</t>
  </si>
  <si>
    <t>Bộ Soxlel</t>
  </si>
  <si>
    <t>Máy cất quay chân không</t>
  </si>
  <si>
    <t>Bể ổn định nhiệt</t>
  </si>
  <si>
    <t>Bể siêu âm</t>
  </si>
  <si>
    <t>Bơm chân không</t>
  </si>
  <si>
    <t>Máy phân tích sắc ký GC</t>
  </si>
  <si>
    <t>Máy cô nitơ</t>
  </si>
  <si>
    <t>Hệ thống ICP</t>
  </si>
  <si>
    <t>TT</t>
  </si>
  <si>
    <t>Danh mục thiết bị</t>
  </si>
  <si>
    <t>Định mức (Ca)</t>
  </si>
  <si>
    <t>Quartz torches</t>
  </si>
  <si>
    <r>
      <t xml:space="preserve"> Cyanua (CN</t>
    </r>
    <r>
      <rPr>
        <vertAlign val="superscript"/>
        <sz val="12"/>
        <color theme="1"/>
        <rFont val="Times New Roman"/>
        <family val="1"/>
      </rPr>
      <t>-</t>
    </r>
    <r>
      <rPr>
        <sz val="12"/>
        <color theme="1"/>
        <rFont val="Times New Roman"/>
        <family val="1"/>
      </rPr>
      <t>)</t>
    </r>
  </si>
  <si>
    <r>
      <t>Nitơ amôn (NH</t>
    </r>
    <r>
      <rPr>
        <vertAlign val="subscript"/>
        <sz val="12"/>
        <color theme="1"/>
        <rFont val="Times New Roman"/>
        <family val="1"/>
      </rPr>
      <t>4</t>
    </r>
    <r>
      <rPr>
        <vertAlign val="superscript"/>
        <sz val="12"/>
        <color theme="1"/>
        <rFont val="Times New Roman"/>
        <family val="1"/>
      </rPr>
      <t>+</t>
    </r>
    <r>
      <rPr>
        <sz val="12"/>
        <color theme="1"/>
        <rFont val="Times New Roman"/>
        <family val="1"/>
      </rPr>
      <t xml:space="preserve">) </t>
    </r>
  </si>
  <si>
    <r>
      <t>Sunlfua (S</t>
    </r>
    <r>
      <rPr>
        <vertAlign val="superscript"/>
        <sz val="12"/>
        <color theme="1"/>
        <rFont val="Times New Roman"/>
        <family val="1"/>
      </rPr>
      <t>2-</t>
    </r>
    <r>
      <rPr>
        <sz val="12"/>
        <color theme="1"/>
        <rFont val="Times New Roman"/>
        <family val="1"/>
      </rPr>
      <t xml:space="preserve">) </t>
    </r>
  </si>
  <si>
    <r>
      <t>Nitrate (NO</t>
    </r>
    <r>
      <rPr>
        <vertAlign val="subscript"/>
        <sz val="12"/>
        <color theme="1"/>
        <rFont val="Times New Roman"/>
        <family val="1"/>
      </rPr>
      <t>3</t>
    </r>
    <r>
      <rPr>
        <sz val="12"/>
        <color theme="1"/>
        <rFont val="Times New Roman"/>
        <family val="1"/>
      </rPr>
      <t>)</t>
    </r>
  </si>
  <si>
    <r>
      <t>Sulphat (SO</t>
    </r>
    <r>
      <rPr>
        <vertAlign val="subscript"/>
        <sz val="12"/>
        <color theme="1"/>
        <rFont val="Times New Roman"/>
        <family val="1"/>
      </rPr>
      <t>4</t>
    </r>
    <r>
      <rPr>
        <vertAlign val="superscript"/>
        <sz val="12"/>
        <color theme="1"/>
        <rFont val="Times New Roman"/>
        <family val="1"/>
      </rPr>
      <t>2</t>
    </r>
    <r>
      <rPr>
        <sz val="12"/>
        <color theme="1"/>
        <rFont val="Times New Roman"/>
        <family val="1"/>
      </rPr>
      <t>)</t>
    </r>
  </si>
  <si>
    <r>
      <t>Photphat (PO</t>
    </r>
    <r>
      <rPr>
        <vertAlign val="subscript"/>
        <sz val="12"/>
        <color theme="1"/>
        <rFont val="Times New Roman"/>
        <family val="1"/>
      </rPr>
      <t>4</t>
    </r>
    <r>
      <rPr>
        <vertAlign val="superscript"/>
        <sz val="12"/>
        <color theme="1"/>
        <rFont val="Times New Roman"/>
        <family val="1"/>
      </rPr>
      <t>3-</t>
    </r>
    <r>
      <rPr>
        <sz val="12"/>
        <color theme="1"/>
        <rFont val="Times New Roman"/>
        <family val="1"/>
      </rPr>
      <t>)</t>
    </r>
  </si>
  <si>
    <r>
      <t>Florua (F</t>
    </r>
    <r>
      <rPr>
        <vertAlign val="superscript"/>
        <sz val="12"/>
        <color theme="1"/>
        <rFont val="Times New Roman"/>
        <family val="1"/>
      </rPr>
      <t>-</t>
    </r>
    <r>
      <rPr>
        <sz val="12"/>
        <color theme="1"/>
        <rFont val="Times New Roman"/>
        <family val="1"/>
      </rPr>
      <t xml:space="preserve">) </t>
    </r>
  </si>
  <si>
    <r>
      <t>Clorua (Cl</t>
    </r>
    <r>
      <rPr>
        <vertAlign val="superscript"/>
        <sz val="12"/>
        <color theme="1"/>
        <rFont val="Times New Roman"/>
        <family val="1"/>
      </rPr>
      <t>-</t>
    </r>
    <r>
      <rPr>
        <sz val="12"/>
        <color theme="1"/>
        <rFont val="Times New Roman"/>
        <family val="1"/>
      </rPr>
      <t>)</t>
    </r>
  </si>
  <si>
    <r>
      <t>Clo dư (Cl</t>
    </r>
    <r>
      <rPr>
        <vertAlign val="subscript"/>
        <sz val="12"/>
        <color theme="1"/>
        <rFont val="Times New Roman"/>
        <family val="1"/>
      </rPr>
      <t>2</t>
    </r>
    <r>
      <rPr>
        <sz val="12"/>
        <color theme="1"/>
        <rFont val="Times New Roman"/>
        <family val="1"/>
      </rPr>
      <t>)</t>
    </r>
  </si>
  <si>
    <r>
      <t>Kim loại nặng (Pb</t>
    </r>
    <r>
      <rPr>
        <vertAlign val="superscript"/>
        <sz val="12"/>
        <color theme="1"/>
        <rFont val="Times New Roman"/>
        <family val="1"/>
      </rPr>
      <t xml:space="preserve"> </t>
    </r>
    <r>
      <rPr>
        <sz val="12"/>
        <color theme="1"/>
        <rFont val="Times New Roman"/>
        <family val="1"/>
      </rPr>
      <t xml:space="preserve">, Cd) </t>
    </r>
  </si>
  <si>
    <t>KIO3</t>
  </si>
  <si>
    <r>
      <t>Sunlfua (S</t>
    </r>
    <r>
      <rPr>
        <b/>
        <vertAlign val="superscript"/>
        <sz val="11"/>
        <color theme="1"/>
        <rFont val="Times New Roman"/>
        <family val="1"/>
      </rPr>
      <t>2-</t>
    </r>
    <r>
      <rPr>
        <b/>
        <sz val="11"/>
        <color theme="1"/>
        <rFont val="Times New Roman"/>
        <family val="1"/>
      </rPr>
      <t>)</t>
    </r>
  </si>
  <si>
    <r>
      <t>Photphat (PO</t>
    </r>
    <r>
      <rPr>
        <b/>
        <vertAlign val="subscript"/>
        <sz val="11"/>
        <color theme="1"/>
        <rFont val="Times New Roman"/>
        <family val="1"/>
      </rPr>
      <t>4</t>
    </r>
    <r>
      <rPr>
        <b/>
        <vertAlign val="superscript"/>
        <sz val="11"/>
        <color theme="1"/>
        <rFont val="Times New Roman"/>
        <family val="1"/>
      </rPr>
      <t>3-</t>
    </r>
    <r>
      <rPr>
        <b/>
        <sz val="11"/>
        <color theme="1"/>
        <rFont val="Times New Roman"/>
        <family val="1"/>
      </rPr>
      <t xml:space="preserve">) </t>
    </r>
  </si>
  <si>
    <r>
      <t>Clorua (Cl</t>
    </r>
    <r>
      <rPr>
        <b/>
        <vertAlign val="superscript"/>
        <sz val="11"/>
        <color theme="1"/>
        <rFont val="Times New Roman"/>
        <family val="1"/>
      </rPr>
      <t>-</t>
    </r>
    <r>
      <rPr>
        <b/>
        <sz val="11"/>
        <color theme="1"/>
        <rFont val="Times New Roman"/>
        <family val="1"/>
      </rPr>
      <t xml:space="preserve">) </t>
    </r>
  </si>
  <si>
    <t>Florua (F-)</t>
  </si>
  <si>
    <t>ĐƠN GIÁ TIỀN LƯƠNG LAO ĐỘNG KỸ THUẬT</t>
  </si>
  <si>
    <t>Số TT</t>
  </si>
  <si>
    <t>Chức danh</t>
  </si>
  <si>
    <t>Hệ số lương</t>
  </si>
  <si>
    <t>Lương cấp bậc</t>
  </si>
  <si>
    <t>Lương phụ 11%</t>
  </si>
  <si>
    <t>Phụ cấp Lưu động (0,4)</t>
  </si>
  <si>
    <t>Phụ cấp Độc hại (0,1)</t>
  </si>
  <si>
    <t>Phụ cấp tổ trưởng  0,2/5</t>
  </si>
  <si>
    <t xml:space="preserve">BHXH, YT, TN, KPCĐ </t>
  </si>
  <si>
    <t>Tổng cộng lương tháng</t>
  </si>
  <si>
    <t>Đơn giá tiền lương</t>
  </si>
  <si>
    <t>(1)</t>
  </si>
  <si>
    <t>(2)</t>
  </si>
  <si>
    <t>(3)</t>
  </si>
  <si>
    <t>(4)</t>
  </si>
  <si>
    <t>(5) = 11%*(4)</t>
  </si>
  <si>
    <t>(6)</t>
  </si>
  <si>
    <t>(7)</t>
  </si>
  <si>
    <t>(8)</t>
  </si>
  <si>
    <t>I</t>
  </si>
  <si>
    <t>NGOẠI NGHIỆP</t>
  </si>
  <si>
    <t>II</t>
  </si>
  <si>
    <t>NỘI NGHIỆP</t>
  </si>
  <si>
    <t>Đơn vị tính: đồng</t>
  </si>
  <si>
    <t>Đơn giá lương ngày</t>
  </si>
  <si>
    <t xml:space="preserve">Thành tiền
</t>
  </si>
  <si>
    <t xml:space="preserve">CHI PHÍ NHÂN CÔNG 
(Hoạt động quan trắc môi trường nước thải) </t>
  </si>
  <si>
    <t>C2</t>
  </si>
  <si>
    <t>CHI PHÍ CÔNG CỤ, DỤNG CỤ 
(Hoạt động quan trắc môi trường nước thải)</t>
  </si>
  <si>
    <t>Ðơn giá (đồng)</t>
  </si>
  <si>
    <t>Thành tiền (đồng)</t>
  </si>
  <si>
    <t>Xô chứa dung dịch sục khí</t>
  </si>
  <si>
    <r>
      <t>Sulphat (SO</t>
    </r>
    <r>
      <rPr>
        <b/>
        <vertAlign val="subscript"/>
        <sz val="11"/>
        <color theme="1"/>
        <rFont val="Times New Roman"/>
        <family val="1"/>
      </rPr>
      <t>4</t>
    </r>
    <r>
      <rPr>
        <b/>
        <vertAlign val="superscript"/>
        <sz val="11"/>
        <color theme="1"/>
        <rFont val="Times New Roman"/>
        <family val="1"/>
      </rPr>
      <t>2-</t>
    </r>
    <r>
      <rPr>
        <b/>
        <sz val="11"/>
        <color theme="1"/>
        <rFont val="Times New Roman"/>
        <family val="1"/>
      </rPr>
      <t xml:space="preserve">) </t>
    </r>
  </si>
  <si>
    <t>ĐVT: Đồng</t>
  </si>
  <si>
    <t>PHỤ LỤC 1.3</t>
  </si>
  <si>
    <t>Đơn giá</t>
  </si>
  <si>
    <t>Thành tiền</t>
  </si>
  <si>
    <t>CDTA- C14H22N2O8</t>
  </si>
  <si>
    <r>
      <t>SPADNS (C</t>
    </r>
    <r>
      <rPr>
        <vertAlign val="subscript"/>
        <sz val="11"/>
        <color indexed="8"/>
        <rFont val="Times New Roman"/>
        <family val="1"/>
      </rPr>
      <t>16</t>
    </r>
    <r>
      <rPr>
        <sz val="11"/>
        <color indexed="8"/>
        <rFont val="Times New Roman"/>
        <family val="1"/>
      </rPr>
      <t>H</t>
    </r>
    <r>
      <rPr>
        <vertAlign val="subscript"/>
        <sz val="11"/>
        <color indexed="8"/>
        <rFont val="Times New Roman"/>
        <family val="1"/>
      </rPr>
      <t>9</t>
    </r>
    <r>
      <rPr>
        <sz val="11"/>
        <color indexed="8"/>
        <rFont val="Times New Roman"/>
        <family val="1"/>
      </rPr>
      <t>O</t>
    </r>
    <r>
      <rPr>
        <vertAlign val="subscript"/>
        <sz val="11"/>
        <color indexed="8"/>
        <rFont val="Times New Roman"/>
        <family val="1"/>
      </rPr>
      <t>11</t>
    </r>
    <r>
      <rPr>
        <sz val="11"/>
        <color indexed="8"/>
        <rFont val="Times New Roman"/>
        <family val="1"/>
      </rPr>
      <t>N</t>
    </r>
    <r>
      <rPr>
        <vertAlign val="subscript"/>
        <sz val="11"/>
        <color indexed="8"/>
        <rFont val="Times New Roman"/>
        <family val="1"/>
      </rPr>
      <t>2</t>
    </r>
    <r>
      <rPr>
        <sz val="11"/>
        <color indexed="8"/>
        <rFont val="Times New Roman"/>
        <family val="1"/>
      </rPr>
      <t>S</t>
    </r>
    <r>
      <rPr>
        <vertAlign val="subscript"/>
        <sz val="11"/>
        <color indexed="8"/>
        <rFont val="Times New Roman"/>
        <family val="1"/>
      </rPr>
      <t>3</t>
    </r>
    <r>
      <rPr>
        <sz val="11"/>
        <color indexed="8"/>
        <rFont val="Times New Roman"/>
        <family val="1"/>
      </rPr>
      <t>Na</t>
    </r>
    <r>
      <rPr>
        <vertAlign val="subscript"/>
        <sz val="11"/>
        <color indexed="8"/>
        <rFont val="Times New Roman"/>
        <family val="1"/>
      </rPr>
      <t>3</t>
    </r>
    <r>
      <rPr>
        <sz val="11"/>
        <color indexed="8"/>
        <rFont val="Times New Roman"/>
        <family val="1"/>
      </rPr>
      <t>)</t>
    </r>
  </si>
  <si>
    <t>Nguyên giá (đồng)</t>
  </si>
  <si>
    <t>Mức KH/ca</t>
  </si>
  <si>
    <t>Công tác phân tích các thông số môi trường nước thải trong phòng thí nghiệm (2NT)</t>
  </si>
  <si>
    <t>Chi phí LĐKT</t>
  </si>
  <si>
    <t>Chi phí CCDC</t>
  </si>
  <si>
    <t>Chi phí vật liệu</t>
  </si>
  <si>
    <t>CP năng lượng</t>
  </si>
  <si>
    <t>Chi phí khấu hao</t>
  </si>
  <si>
    <t>Chi phí trực tiếp</t>
  </si>
  <si>
    <t>Chi phí chung (20%)</t>
  </si>
  <si>
    <t>A</t>
  </si>
  <si>
    <t>B</t>
  </si>
  <si>
    <t>C</t>
  </si>
  <si>
    <t>A1</t>
  </si>
  <si>
    <t>A2</t>
  </si>
  <si>
    <t>Xenlulo</t>
  </si>
  <si>
    <t>Hợp kim Devarda</t>
  </si>
  <si>
    <r>
      <t>1,5-Diphenylcacbazid (C</t>
    </r>
    <r>
      <rPr>
        <vertAlign val="subscript"/>
        <sz val="11"/>
        <color indexed="8"/>
        <rFont val="Times New Roman"/>
        <family val="1"/>
      </rPr>
      <t>13</t>
    </r>
    <r>
      <rPr>
        <sz val="11"/>
        <color indexed="8"/>
        <rFont val="Times New Roman"/>
        <family val="1"/>
      </rPr>
      <t>H</t>
    </r>
    <r>
      <rPr>
        <vertAlign val="subscript"/>
        <sz val="11"/>
        <color indexed="8"/>
        <rFont val="Times New Roman"/>
        <family val="1"/>
      </rPr>
      <t>14</t>
    </r>
    <r>
      <rPr>
        <sz val="11"/>
        <color indexed="8"/>
        <rFont val="Times New Roman"/>
        <family val="1"/>
      </rPr>
      <t>N</t>
    </r>
    <r>
      <rPr>
        <vertAlign val="subscript"/>
        <sz val="11"/>
        <color indexed="8"/>
        <rFont val="Times New Roman"/>
        <family val="1"/>
      </rPr>
      <t>4</t>
    </r>
    <r>
      <rPr>
        <sz val="11"/>
        <color indexed="8"/>
        <rFont val="Times New Roman"/>
        <family val="1"/>
      </rPr>
      <t xml:space="preserve">O) </t>
    </r>
  </si>
  <si>
    <t>gam </t>
  </si>
  <si>
    <r>
      <t>H</t>
    </r>
    <r>
      <rPr>
        <vertAlign val="subscript"/>
        <sz val="11"/>
        <color indexed="8"/>
        <rFont val="Times New Roman"/>
        <family val="1"/>
      </rPr>
      <t>3</t>
    </r>
    <r>
      <rPr>
        <sz val="11"/>
        <color indexed="8"/>
        <rFont val="Times New Roman"/>
        <family val="1"/>
      </rPr>
      <t>PO</t>
    </r>
    <r>
      <rPr>
        <vertAlign val="subscript"/>
        <sz val="11"/>
        <color indexed="8"/>
        <rFont val="Times New Roman"/>
        <family val="1"/>
      </rPr>
      <t>4</t>
    </r>
  </si>
  <si>
    <t> ml</t>
  </si>
  <si>
    <r>
      <t>K</t>
    </r>
    <r>
      <rPr>
        <vertAlign val="subscript"/>
        <sz val="11"/>
        <color indexed="8"/>
        <rFont val="Times New Roman"/>
        <family val="1"/>
      </rPr>
      <t>2</t>
    </r>
    <r>
      <rPr>
        <sz val="11"/>
        <color indexed="8"/>
        <rFont val="Times New Roman"/>
        <family val="1"/>
      </rPr>
      <t>Cr</t>
    </r>
    <r>
      <rPr>
        <vertAlign val="subscript"/>
        <sz val="11"/>
        <color indexed="8"/>
        <rFont val="Times New Roman"/>
        <family val="1"/>
      </rPr>
      <t>2</t>
    </r>
    <r>
      <rPr>
        <sz val="11"/>
        <color indexed="8"/>
        <rFont val="Times New Roman"/>
        <family val="1"/>
      </rPr>
      <t>O</t>
    </r>
    <r>
      <rPr>
        <vertAlign val="subscript"/>
        <sz val="11"/>
        <color indexed="8"/>
        <rFont val="Times New Roman"/>
        <family val="1"/>
      </rPr>
      <t>7</t>
    </r>
  </si>
  <si>
    <t>CHI PHÍ VẬT LIỆU 
(Hoạt động quan trắc môi trường nước thải)</t>
  </si>
  <si>
    <t>Công tác phân tích môi trường nước thải trong phòng thí nghiệm (2NT)</t>
  </si>
  <si>
    <t>Glycerol</t>
  </si>
  <si>
    <t>Etanol</t>
  </si>
  <si>
    <t>H3PO4</t>
  </si>
  <si>
    <t>Na2S2O3</t>
  </si>
  <si>
    <t>Hồ tinh bột</t>
  </si>
  <si>
    <t>2NT10a</t>
  </si>
  <si>
    <t>2NT10b</t>
  </si>
  <si>
    <t>E.Coli</t>
  </si>
  <si>
    <t>Chất hoạt động bề mặt</t>
  </si>
  <si>
    <t>Phễu chiết 250ml</t>
  </si>
  <si>
    <t>Chất hoạt động bề măt</t>
  </si>
  <si>
    <t>CH3COOC2H5</t>
  </si>
  <si>
    <t>Methanol</t>
  </si>
  <si>
    <t>Methylen xanh</t>
  </si>
  <si>
    <t xml:space="preserve">Tetrametyl-p-phenylendiamin dihyroclorua </t>
  </si>
  <si>
    <t>C4H9OH</t>
  </si>
  <si>
    <t>Pepton</t>
  </si>
  <si>
    <t>Lactoza</t>
  </si>
  <si>
    <t>Chất chiết nấm men</t>
  </si>
  <si>
    <t>Bromothymol xanh</t>
  </si>
  <si>
    <t xml:space="preserve">2,3,5-Triphenyltetrazoliun chlorua </t>
  </si>
  <si>
    <t>natri heptadecylsunphat</t>
  </si>
  <si>
    <t>Agar</t>
  </si>
  <si>
    <r>
      <t>Nhu cầu oxy sinh hoá (BOD</t>
    </r>
    <r>
      <rPr>
        <b/>
        <vertAlign val="subscript"/>
        <sz val="11"/>
        <color theme="1"/>
        <rFont val="Times New Roman"/>
        <family val="1"/>
      </rPr>
      <t>5</t>
    </r>
    <r>
      <rPr>
        <b/>
        <sz val="11"/>
        <color theme="1"/>
        <rFont val="Times New Roman"/>
        <family val="1"/>
      </rPr>
      <t>)</t>
    </r>
  </si>
  <si>
    <r>
      <t>FeCl</t>
    </r>
    <r>
      <rPr>
        <vertAlign val="subscript"/>
        <sz val="11"/>
        <rFont val="Times New Roman"/>
        <family val="1"/>
      </rPr>
      <t>3</t>
    </r>
    <r>
      <rPr>
        <sz val="11"/>
        <rFont val="Times New Roman"/>
        <family val="1"/>
      </rPr>
      <t>, 6H</t>
    </r>
    <r>
      <rPr>
        <vertAlign val="subscript"/>
        <sz val="11"/>
        <rFont val="Times New Roman"/>
        <family val="1"/>
      </rPr>
      <t>2</t>
    </r>
    <r>
      <rPr>
        <sz val="11"/>
        <rFont val="Times New Roman"/>
        <family val="1"/>
      </rPr>
      <t>O</t>
    </r>
  </si>
  <si>
    <r>
      <t>CaCl</t>
    </r>
    <r>
      <rPr>
        <vertAlign val="subscript"/>
        <sz val="11"/>
        <rFont val="Times New Roman"/>
        <family val="1"/>
      </rPr>
      <t>2</t>
    </r>
  </si>
  <si>
    <r>
      <t>MgSO</t>
    </r>
    <r>
      <rPr>
        <vertAlign val="subscript"/>
        <sz val="11"/>
        <rFont val="Times New Roman"/>
        <family val="1"/>
      </rPr>
      <t>4</t>
    </r>
    <r>
      <rPr>
        <sz val="11"/>
        <rFont val="Times New Roman"/>
        <family val="1"/>
      </rPr>
      <t>.7H</t>
    </r>
    <r>
      <rPr>
        <vertAlign val="subscript"/>
        <sz val="11"/>
        <rFont val="Times New Roman"/>
        <family val="1"/>
      </rPr>
      <t>2</t>
    </r>
    <r>
      <rPr>
        <sz val="11"/>
        <rFont val="Times New Roman"/>
        <family val="1"/>
      </rPr>
      <t>O</t>
    </r>
  </si>
  <si>
    <r>
      <t>KH</t>
    </r>
    <r>
      <rPr>
        <vertAlign val="subscript"/>
        <sz val="11"/>
        <rFont val="Times New Roman"/>
        <family val="1"/>
      </rPr>
      <t>2</t>
    </r>
    <r>
      <rPr>
        <sz val="11"/>
        <rFont val="Times New Roman"/>
        <family val="1"/>
      </rPr>
      <t>PO</t>
    </r>
    <r>
      <rPr>
        <vertAlign val="subscript"/>
        <sz val="11"/>
        <rFont val="Times New Roman"/>
        <family val="1"/>
      </rPr>
      <t>4</t>
    </r>
  </si>
  <si>
    <r>
      <t>K</t>
    </r>
    <r>
      <rPr>
        <vertAlign val="subscript"/>
        <sz val="11"/>
        <rFont val="Times New Roman"/>
        <family val="1"/>
      </rPr>
      <t>2</t>
    </r>
    <r>
      <rPr>
        <sz val="11"/>
        <rFont val="Times New Roman"/>
        <family val="1"/>
      </rPr>
      <t>HPO</t>
    </r>
    <r>
      <rPr>
        <vertAlign val="subscript"/>
        <sz val="11"/>
        <rFont val="Times New Roman"/>
        <family val="1"/>
      </rPr>
      <t>4</t>
    </r>
  </si>
  <si>
    <r>
      <t>Na</t>
    </r>
    <r>
      <rPr>
        <vertAlign val="subscript"/>
        <sz val="11"/>
        <rFont val="Times New Roman"/>
        <family val="1"/>
      </rPr>
      <t>2</t>
    </r>
    <r>
      <rPr>
        <sz val="11"/>
        <rFont val="Times New Roman"/>
        <family val="1"/>
      </rPr>
      <t>HPO</t>
    </r>
    <r>
      <rPr>
        <vertAlign val="subscript"/>
        <sz val="11"/>
        <rFont val="Times New Roman"/>
        <family val="1"/>
      </rPr>
      <t>4</t>
    </r>
  </si>
  <si>
    <r>
      <t>NH</t>
    </r>
    <r>
      <rPr>
        <vertAlign val="subscript"/>
        <sz val="11"/>
        <rFont val="Times New Roman"/>
        <family val="1"/>
      </rPr>
      <t>4</t>
    </r>
    <r>
      <rPr>
        <sz val="11"/>
        <rFont val="Times New Roman"/>
        <family val="1"/>
      </rPr>
      <t>Cl</t>
    </r>
  </si>
  <si>
    <r>
      <t>K</t>
    </r>
    <r>
      <rPr>
        <vertAlign val="subscript"/>
        <sz val="11"/>
        <rFont val="Times New Roman"/>
        <family val="1"/>
      </rPr>
      <t>2</t>
    </r>
    <r>
      <rPr>
        <sz val="11"/>
        <rFont val="Times New Roman"/>
        <family val="1"/>
      </rPr>
      <t>Cr</t>
    </r>
    <r>
      <rPr>
        <vertAlign val="subscript"/>
        <sz val="11"/>
        <rFont val="Times New Roman"/>
        <family val="1"/>
      </rPr>
      <t>2</t>
    </r>
    <r>
      <rPr>
        <sz val="11"/>
        <rFont val="Times New Roman"/>
        <family val="1"/>
      </rPr>
      <t>O</t>
    </r>
    <r>
      <rPr>
        <vertAlign val="subscript"/>
        <sz val="11"/>
        <rFont val="Times New Roman"/>
        <family val="1"/>
      </rPr>
      <t>7</t>
    </r>
  </si>
  <si>
    <r>
      <t>Ag</t>
    </r>
    <r>
      <rPr>
        <vertAlign val="subscript"/>
        <sz val="11"/>
        <rFont val="Times New Roman"/>
        <family val="1"/>
      </rPr>
      <t>2</t>
    </r>
    <r>
      <rPr>
        <sz val="11"/>
        <rFont val="Times New Roman"/>
        <family val="1"/>
      </rPr>
      <t>SO</t>
    </r>
    <r>
      <rPr>
        <vertAlign val="subscript"/>
        <sz val="11"/>
        <rFont val="Times New Roman"/>
        <family val="1"/>
      </rPr>
      <t>4</t>
    </r>
  </si>
  <si>
    <r>
      <t>HgSO</t>
    </r>
    <r>
      <rPr>
        <vertAlign val="subscript"/>
        <sz val="11"/>
        <rFont val="Times New Roman"/>
        <family val="1"/>
      </rPr>
      <t>4</t>
    </r>
  </si>
  <si>
    <r>
      <t>(NH4)</t>
    </r>
    <r>
      <rPr>
        <vertAlign val="subscript"/>
        <sz val="11"/>
        <rFont val="Times New Roman"/>
        <family val="1"/>
      </rPr>
      <t>2</t>
    </r>
    <r>
      <rPr>
        <sz val="11"/>
        <rFont val="Times New Roman"/>
        <family val="1"/>
      </rPr>
      <t>Fe(SO4)</t>
    </r>
    <r>
      <rPr>
        <vertAlign val="subscript"/>
        <sz val="11"/>
        <rFont val="Times New Roman"/>
        <family val="1"/>
      </rPr>
      <t>2</t>
    </r>
    <r>
      <rPr>
        <sz val="11"/>
        <rFont val="Times New Roman"/>
        <family val="1"/>
      </rPr>
      <t>.6H</t>
    </r>
    <r>
      <rPr>
        <vertAlign val="subscript"/>
        <sz val="11"/>
        <rFont val="Times New Roman"/>
        <family val="1"/>
      </rPr>
      <t>2</t>
    </r>
    <r>
      <rPr>
        <sz val="11"/>
        <rFont val="Times New Roman"/>
        <family val="1"/>
      </rPr>
      <t>O</t>
    </r>
  </si>
  <si>
    <r>
      <t>C</t>
    </r>
    <r>
      <rPr>
        <vertAlign val="subscript"/>
        <sz val="11"/>
        <rFont val="Times New Roman"/>
        <family val="1"/>
      </rPr>
      <t>12</t>
    </r>
    <r>
      <rPr>
        <sz val="11"/>
        <rFont val="Times New Roman"/>
        <family val="1"/>
      </rPr>
      <t>H</t>
    </r>
    <r>
      <rPr>
        <vertAlign val="subscript"/>
        <sz val="11"/>
        <rFont val="Times New Roman"/>
        <family val="1"/>
      </rPr>
      <t>8</t>
    </r>
    <r>
      <rPr>
        <sz val="11"/>
        <rFont val="Times New Roman"/>
        <family val="1"/>
      </rPr>
      <t>N</t>
    </r>
    <r>
      <rPr>
        <vertAlign val="subscript"/>
        <sz val="11"/>
        <rFont val="Times New Roman"/>
        <family val="1"/>
      </rPr>
      <t>2</t>
    </r>
    <r>
      <rPr>
        <sz val="11"/>
        <rFont val="Times New Roman"/>
        <family val="1"/>
      </rPr>
      <t>.H</t>
    </r>
    <r>
      <rPr>
        <vertAlign val="subscript"/>
        <sz val="11"/>
        <rFont val="Times New Roman"/>
        <family val="1"/>
      </rPr>
      <t>2</t>
    </r>
    <r>
      <rPr>
        <sz val="11"/>
        <rFont val="Times New Roman"/>
        <family val="1"/>
      </rPr>
      <t>O</t>
    </r>
  </si>
  <si>
    <r>
      <t>FeSO</t>
    </r>
    <r>
      <rPr>
        <vertAlign val="subscript"/>
        <sz val="11"/>
        <rFont val="Times New Roman"/>
        <family val="1"/>
      </rPr>
      <t>4</t>
    </r>
    <r>
      <rPr>
        <sz val="11"/>
        <rFont val="Times New Roman"/>
        <family val="1"/>
      </rPr>
      <t>.7H</t>
    </r>
    <r>
      <rPr>
        <vertAlign val="subscript"/>
        <sz val="11"/>
        <rFont val="Times New Roman"/>
        <family val="1"/>
      </rPr>
      <t>2</t>
    </r>
    <r>
      <rPr>
        <sz val="11"/>
        <rFont val="Times New Roman"/>
        <family val="1"/>
      </rPr>
      <t>O</t>
    </r>
  </si>
  <si>
    <r>
      <t>Ống chuẩn K</t>
    </r>
    <r>
      <rPr>
        <vertAlign val="subscript"/>
        <sz val="11"/>
        <rFont val="Times New Roman"/>
        <family val="1"/>
      </rPr>
      <t>2</t>
    </r>
    <r>
      <rPr>
        <sz val="11"/>
        <rFont val="Times New Roman"/>
        <family val="1"/>
      </rPr>
      <t>C</t>
    </r>
    <r>
      <rPr>
        <vertAlign val="subscript"/>
        <sz val="11"/>
        <rFont val="Times New Roman"/>
        <family val="1"/>
      </rPr>
      <t>2</t>
    </r>
    <r>
      <rPr>
        <sz val="11"/>
        <rFont val="Times New Roman"/>
        <family val="1"/>
      </rPr>
      <t>O</t>
    </r>
    <r>
      <rPr>
        <vertAlign val="subscript"/>
        <sz val="11"/>
        <rFont val="Times New Roman"/>
        <family val="1"/>
      </rPr>
      <t>7</t>
    </r>
    <r>
      <rPr>
        <sz val="11"/>
        <rFont val="Times New Roman"/>
        <family val="1"/>
      </rPr>
      <t xml:space="preserve"> 0.1N</t>
    </r>
  </si>
  <si>
    <r>
      <t>p</t>
    </r>
    <r>
      <rPr>
        <sz val="11"/>
        <rFont val="Times New Roman"/>
        <family val="1"/>
      </rPr>
      <t>-Dimetylamin benzadehyt</t>
    </r>
  </si>
  <si>
    <r>
      <t>Na</t>
    </r>
    <r>
      <rPr>
        <vertAlign val="subscript"/>
        <sz val="11"/>
        <rFont val="Times New Roman"/>
        <family val="1"/>
      </rPr>
      <t>2</t>
    </r>
    <r>
      <rPr>
        <sz val="11"/>
        <rFont val="Times New Roman"/>
        <family val="1"/>
      </rPr>
      <t>SO</t>
    </r>
    <r>
      <rPr>
        <vertAlign val="subscript"/>
        <sz val="11"/>
        <rFont val="Times New Roman"/>
        <family val="1"/>
      </rPr>
      <t>4</t>
    </r>
  </si>
  <si>
    <r>
      <t xml:space="preserve"> </t>
    </r>
    <r>
      <rPr>
        <b/>
        <sz val="11"/>
        <color theme="1"/>
        <rFont val="Times New Roman"/>
        <family val="1"/>
      </rPr>
      <t>Cyanua (CN</t>
    </r>
    <r>
      <rPr>
        <b/>
        <vertAlign val="superscript"/>
        <sz val="11"/>
        <color theme="1"/>
        <rFont val="Times New Roman"/>
        <family val="1"/>
      </rPr>
      <t>-</t>
    </r>
    <r>
      <rPr>
        <b/>
        <sz val="11"/>
        <color theme="1"/>
        <rFont val="Times New Roman"/>
        <family val="1"/>
      </rPr>
      <t>)</t>
    </r>
  </si>
  <si>
    <r>
      <t>MgCl</t>
    </r>
    <r>
      <rPr>
        <vertAlign val="subscript"/>
        <sz val="11"/>
        <rFont val="Times New Roman"/>
        <family val="1"/>
      </rPr>
      <t>2</t>
    </r>
  </si>
  <si>
    <r>
      <t>CH</t>
    </r>
    <r>
      <rPr>
        <vertAlign val="subscript"/>
        <sz val="11"/>
        <rFont val="Times New Roman"/>
        <family val="1"/>
      </rPr>
      <t>3</t>
    </r>
    <r>
      <rPr>
        <sz val="11"/>
        <rFont val="Times New Roman"/>
        <family val="1"/>
      </rPr>
      <t>COONa.3H</t>
    </r>
    <r>
      <rPr>
        <vertAlign val="subscript"/>
        <sz val="11"/>
        <rFont val="Times New Roman"/>
        <family val="1"/>
      </rPr>
      <t>2</t>
    </r>
    <r>
      <rPr>
        <sz val="11"/>
        <rFont val="Times New Roman"/>
        <family val="1"/>
      </rPr>
      <t>O</t>
    </r>
  </si>
  <si>
    <r>
      <t>CH</t>
    </r>
    <r>
      <rPr>
        <vertAlign val="subscript"/>
        <sz val="11"/>
        <rFont val="Times New Roman"/>
        <family val="1"/>
      </rPr>
      <t>3</t>
    </r>
    <r>
      <rPr>
        <sz val="11"/>
        <rFont val="Times New Roman"/>
        <family val="1"/>
      </rPr>
      <t>COOH</t>
    </r>
  </si>
  <si>
    <r>
      <t>AgNO</t>
    </r>
    <r>
      <rPr>
        <vertAlign val="subscript"/>
        <sz val="11"/>
        <rFont val="Times New Roman"/>
        <family val="1"/>
      </rPr>
      <t>3</t>
    </r>
  </si>
  <si>
    <r>
      <t>K</t>
    </r>
    <r>
      <rPr>
        <vertAlign val="subscript"/>
        <sz val="11"/>
        <rFont val="Times New Roman"/>
        <family val="1"/>
      </rPr>
      <t>2</t>
    </r>
    <r>
      <rPr>
        <sz val="11"/>
        <rFont val="Times New Roman"/>
        <family val="1"/>
      </rPr>
      <t>S</t>
    </r>
    <r>
      <rPr>
        <vertAlign val="subscript"/>
        <sz val="11"/>
        <rFont val="Times New Roman"/>
        <family val="1"/>
      </rPr>
      <t>2</t>
    </r>
    <r>
      <rPr>
        <sz val="11"/>
        <rFont val="Times New Roman"/>
        <family val="1"/>
      </rPr>
      <t>O</t>
    </r>
    <r>
      <rPr>
        <vertAlign val="subscript"/>
        <sz val="11"/>
        <rFont val="Times New Roman"/>
        <family val="1"/>
      </rPr>
      <t>8</t>
    </r>
  </si>
  <si>
    <r>
      <t>(NH</t>
    </r>
    <r>
      <rPr>
        <vertAlign val="subscript"/>
        <sz val="11"/>
        <rFont val="Times New Roman"/>
        <family val="1"/>
      </rPr>
      <t>4</t>
    </r>
    <r>
      <rPr>
        <sz val="11"/>
        <rFont val="Times New Roman"/>
        <family val="1"/>
      </rPr>
      <t>)</t>
    </r>
    <r>
      <rPr>
        <vertAlign val="subscript"/>
        <sz val="11"/>
        <rFont val="Times New Roman"/>
        <family val="1"/>
      </rPr>
      <t>6</t>
    </r>
    <r>
      <rPr>
        <sz val="11"/>
        <rFont val="Times New Roman"/>
        <family val="1"/>
      </rPr>
      <t>Mo</t>
    </r>
    <r>
      <rPr>
        <vertAlign val="subscript"/>
        <sz val="11"/>
        <rFont val="Times New Roman"/>
        <family val="1"/>
      </rPr>
      <t>7</t>
    </r>
    <r>
      <rPr>
        <sz val="11"/>
        <rFont val="Times New Roman"/>
        <family val="1"/>
      </rPr>
      <t>O</t>
    </r>
    <r>
      <rPr>
        <vertAlign val="subscript"/>
        <sz val="11"/>
        <rFont val="Times New Roman"/>
        <family val="1"/>
      </rPr>
      <t>24</t>
    </r>
    <r>
      <rPr>
        <sz val="11"/>
        <rFont val="Times New Roman"/>
        <family val="1"/>
      </rPr>
      <t>.4H</t>
    </r>
    <r>
      <rPr>
        <vertAlign val="subscript"/>
        <sz val="11"/>
        <rFont val="Times New Roman"/>
        <family val="1"/>
      </rPr>
      <t>2</t>
    </r>
    <r>
      <rPr>
        <sz val="11"/>
        <rFont val="Times New Roman"/>
        <family val="1"/>
      </rPr>
      <t>O</t>
    </r>
  </si>
  <si>
    <r>
      <t>K</t>
    </r>
    <r>
      <rPr>
        <vertAlign val="subscript"/>
        <sz val="11"/>
        <rFont val="Times New Roman"/>
        <family val="1"/>
      </rPr>
      <t>4</t>
    </r>
    <r>
      <rPr>
        <sz val="11"/>
        <rFont val="Times New Roman"/>
        <family val="1"/>
      </rPr>
      <t>P</t>
    </r>
    <r>
      <rPr>
        <vertAlign val="subscript"/>
        <sz val="11"/>
        <rFont val="Times New Roman"/>
        <family val="1"/>
      </rPr>
      <t>2</t>
    </r>
    <r>
      <rPr>
        <sz val="11"/>
        <rFont val="Times New Roman"/>
        <family val="1"/>
      </rPr>
      <t>O</t>
    </r>
    <r>
      <rPr>
        <vertAlign val="subscript"/>
        <sz val="11"/>
        <rFont val="Times New Roman"/>
        <family val="1"/>
      </rPr>
      <t>7</t>
    </r>
  </si>
  <si>
    <r>
      <t>Dung dịch chuẩn P-PO</t>
    </r>
    <r>
      <rPr>
        <vertAlign val="subscript"/>
        <sz val="11"/>
        <rFont val="Times New Roman"/>
        <family val="1"/>
      </rPr>
      <t>4</t>
    </r>
  </si>
  <si>
    <r>
      <t>H</t>
    </r>
    <r>
      <rPr>
        <vertAlign val="subscript"/>
        <sz val="11"/>
        <rFont val="Times New Roman"/>
        <family val="1"/>
      </rPr>
      <t>3</t>
    </r>
    <r>
      <rPr>
        <sz val="11"/>
        <rFont val="Times New Roman"/>
        <family val="1"/>
      </rPr>
      <t>BO</t>
    </r>
    <r>
      <rPr>
        <vertAlign val="subscript"/>
        <sz val="11"/>
        <rFont val="Times New Roman"/>
        <family val="1"/>
      </rPr>
      <t>3</t>
    </r>
  </si>
  <si>
    <r>
      <t>Dung dịch chuẩn NaNO</t>
    </r>
    <r>
      <rPr>
        <vertAlign val="subscript"/>
        <sz val="11"/>
        <rFont val="Times New Roman"/>
        <family val="1"/>
      </rPr>
      <t>2</t>
    </r>
  </si>
  <si>
    <r>
      <t>NaC</t>
    </r>
    <r>
      <rPr>
        <vertAlign val="subscript"/>
        <sz val="11"/>
        <rFont val="Times New Roman"/>
        <family val="1"/>
      </rPr>
      <t>7</t>
    </r>
    <r>
      <rPr>
        <sz val="11"/>
        <rFont val="Times New Roman"/>
        <family val="1"/>
      </rPr>
      <t>H</t>
    </r>
    <r>
      <rPr>
        <vertAlign val="subscript"/>
        <sz val="11"/>
        <rFont val="Times New Roman"/>
        <family val="1"/>
      </rPr>
      <t>5</t>
    </r>
    <r>
      <rPr>
        <sz val="11"/>
        <rFont val="Times New Roman"/>
        <family val="1"/>
      </rPr>
      <t>NaO</t>
    </r>
    <r>
      <rPr>
        <vertAlign val="subscript"/>
        <sz val="11"/>
        <rFont val="Times New Roman"/>
        <family val="1"/>
      </rPr>
      <t>3</t>
    </r>
  </si>
  <si>
    <r>
      <t>K</t>
    </r>
    <r>
      <rPr>
        <vertAlign val="subscript"/>
        <sz val="11"/>
        <rFont val="Times New Roman"/>
        <family val="1"/>
      </rPr>
      <t>2</t>
    </r>
    <r>
      <rPr>
        <sz val="11"/>
        <rFont val="Times New Roman"/>
        <family val="1"/>
      </rPr>
      <t>SO</t>
    </r>
    <r>
      <rPr>
        <vertAlign val="subscript"/>
        <sz val="11"/>
        <rFont val="Times New Roman"/>
        <family val="1"/>
      </rPr>
      <t>4</t>
    </r>
  </si>
  <si>
    <r>
      <t>Nitơ amôn (NH</t>
    </r>
    <r>
      <rPr>
        <b/>
        <vertAlign val="subscript"/>
        <sz val="11"/>
        <color theme="1"/>
        <rFont val="Times New Roman"/>
        <family val="1"/>
      </rPr>
      <t>4</t>
    </r>
    <r>
      <rPr>
        <b/>
        <vertAlign val="superscript"/>
        <sz val="11"/>
        <color theme="1"/>
        <rFont val="Times New Roman"/>
        <family val="1"/>
      </rPr>
      <t>+</t>
    </r>
    <r>
      <rPr>
        <b/>
        <sz val="11"/>
        <color theme="1"/>
        <rFont val="Times New Roman"/>
        <family val="1"/>
      </rPr>
      <t>)</t>
    </r>
  </si>
  <si>
    <r>
      <t>Dung dịch NH</t>
    </r>
    <r>
      <rPr>
        <vertAlign val="subscript"/>
        <sz val="11"/>
        <rFont val="Times New Roman"/>
        <family val="1"/>
      </rPr>
      <t>4</t>
    </r>
    <r>
      <rPr>
        <vertAlign val="superscript"/>
        <sz val="11"/>
        <rFont val="Times New Roman"/>
        <family val="1"/>
      </rPr>
      <t>+</t>
    </r>
    <r>
      <rPr>
        <sz val="11"/>
        <rFont val="Times New Roman"/>
        <family val="1"/>
      </rPr>
      <t xml:space="preserve"> chuẩn</t>
    </r>
  </si>
  <si>
    <r>
      <t>Na</t>
    </r>
    <r>
      <rPr>
        <vertAlign val="subscript"/>
        <sz val="11"/>
        <rFont val="Times New Roman"/>
        <family val="1"/>
      </rPr>
      <t>3</t>
    </r>
    <r>
      <rPr>
        <sz val="11"/>
        <rFont val="Times New Roman"/>
        <family val="1"/>
      </rPr>
      <t>C</t>
    </r>
    <r>
      <rPr>
        <vertAlign val="subscript"/>
        <sz val="11"/>
        <rFont val="Times New Roman"/>
        <family val="1"/>
      </rPr>
      <t>6</t>
    </r>
    <r>
      <rPr>
        <sz val="11"/>
        <rFont val="Times New Roman"/>
        <family val="1"/>
      </rPr>
      <t>H</t>
    </r>
    <r>
      <rPr>
        <vertAlign val="subscript"/>
        <sz val="11"/>
        <rFont val="Times New Roman"/>
        <family val="1"/>
      </rPr>
      <t>5</t>
    </r>
    <r>
      <rPr>
        <sz val="11"/>
        <rFont val="Times New Roman"/>
        <family val="1"/>
      </rPr>
      <t>O</t>
    </r>
    <r>
      <rPr>
        <vertAlign val="subscript"/>
        <sz val="11"/>
        <rFont val="Times New Roman"/>
        <family val="1"/>
      </rPr>
      <t>7</t>
    </r>
    <r>
      <rPr>
        <sz val="11"/>
        <rFont val="Times New Roman"/>
        <family val="1"/>
      </rPr>
      <t>.2H</t>
    </r>
    <r>
      <rPr>
        <vertAlign val="subscript"/>
        <sz val="11"/>
        <rFont val="Times New Roman"/>
        <family val="1"/>
      </rPr>
      <t>2</t>
    </r>
    <r>
      <rPr>
        <sz val="11"/>
        <rFont val="Times New Roman"/>
        <family val="1"/>
      </rPr>
      <t>O</t>
    </r>
  </si>
  <si>
    <r>
      <t>Na</t>
    </r>
    <r>
      <rPr>
        <vertAlign val="subscript"/>
        <sz val="11"/>
        <rFont val="Times New Roman"/>
        <family val="1"/>
      </rPr>
      <t>2</t>
    </r>
    <r>
      <rPr>
        <sz val="11"/>
        <rFont val="Times New Roman"/>
        <family val="1"/>
      </rPr>
      <t>[Fe(CN)</t>
    </r>
    <r>
      <rPr>
        <vertAlign val="subscript"/>
        <sz val="11"/>
        <rFont val="Times New Roman"/>
        <family val="1"/>
      </rPr>
      <t>5</t>
    </r>
    <r>
      <rPr>
        <sz val="11"/>
        <rFont val="Times New Roman"/>
        <family val="1"/>
      </rPr>
      <t>.NO].2H</t>
    </r>
    <r>
      <rPr>
        <vertAlign val="subscript"/>
        <sz val="11"/>
        <rFont val="Times New Roman"/>
        <family val="1"/>
      </rPr>
      <t>2</t>
    </r>
    <r>
      <rPr>
        <sz val="11"/>
        <rFont val="Times New Roman"/>
        <family val="1"/>
      </rPr>
      <t>O</t>
    </r>
  </si>
  <si>
    <r>
      <t>C</t>
    </r>
    <r>
      <rPr>
        <vertAlign val="subscript"/>
        <sz val="11"/>
        <rFont val="Times New Roman"/>
        <family val="1"/>
      </rPr>
      <t>3</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3</t>
    </r>
    <r>
      <rPr>
        <sz val="11"/>
        <rFont val="Times New Roman"/>
        <family val="1"/>
      </rPr>
      <t>Cl</t>
    </r>
    <r>
      <rPr>
        <vertAlign val="subscript"/>
        <sz val="11"/>
        <rFont val="Times New Roman"/>
        <family val="1"/>
      </rPr>
      <t>2</t>
    </r>
    <r>
      <rPr>
        <sz val="11"/>
        <rFont val="Times New Roman"/>
        <family val="1"/>
      </rPr>
      <t>Na.2H</t>
    </r>
    <r>
      <rPr>
        <vertAlign val="subscript"/>
        <sz val="11"/>
        <rFont val="Times New Roman"/>
        <family val="1"/>
      </rPr>
      <t>2</t>
    </r>
    <r>
      <rPr>
        <sz val="11"/>
        <rFont val="Times New Roman"/>
        <family val="1"/>
      </rPr>
      <t>O</t>
    </r>
  </si>
  <si>
    <r>
      <t>Na</t>
    </r>
    <r>
      <rPr>
        <vertAlign val="subscript"/>
        <sz val="11"/>
        <color indexed="8"/>
        <rFont val="Times New Roman"/>
        <family val="1"/>
      </rPr>
      <t>2</t>
    </r>
    <r>
      <rPr>
        <sz val="11"/>
        <color indexed="8"/>
        <rFont val="Times New Roman"/>
        <family val="1"/>
      </rPr>
      <t>S.9H</t>
    </r>
    <r>
      <rPr>
        <vertAlign val="subscript"/>
        <sz val="11"/>
        <color indexed="8"/>
        <rFont val="Times New Roman"/>
        <family val="1"/>
      </rPr>
      <t>2</t>
    </r>
    <r>
      <rPr>
        <sz val="11"/>
        <color indexed="8"/>
        <rFont val="Times New Roman"/>
        <family val="1"/>
      </rPr>
      <t>O</t>
    </r>
  </si>
  <si>
    <r>
      <t>Zn(CH</t>
    </r>
    <r>
      <rPr>
        <vertAlign val="subscript"/>
        <sz val="11"/>
        <color indexed="8"/>
        <rFont val="Times New Roman"/>
        <family val="1"/>
      </rPr>
      <t>3</t>
    </r>
    <r>
      <rPr>
        <sz val="11"/>
        <color indexed="8"/>
        <rFont val="Times New Roman"/>
        <family val="1"/>
      </rPr>
      <t>COO)</t>
    </r>
    <r>
      <rPr>
        <vertAlign val="subscript"/>
        <sz val="11"/>
        <color indexed="8"/>
        <rFont val="Times New Roman"/>
        <family val="1"/>
      </rPr>
      <t>2</t>
    </r>
  </si>
  <si>
    <r>
      <t>FeCl</t>
    </r>
    <r>
      <rPr>
        <vertAlign val="subscript"/>
        <sz val="11"/>
        <color theme="1"/>
        <rFont val="Times New Roman"/>
        <family val="1"/>
      </rPr>
      <t>3</t>
    </r>
  </si>
  <si>
    <r>
      <t>(NH</t>
    </r>
    <r>
      <rPr>
        <vertAlign val="subscript"/>
        <sz val="11"/>
        <color theme="1"/>
        <rFont val="Times New Roman"/>
        <family val="1"/>
      </rPr>
      <t>4</t>
    </r>
    <r>
      <rPr>
        <sz val="11"/>
        <color theme="1"/>
        <rFont val="Times New Roman"/>
        <family val="1"/>
      </rPr>
      <t>)</t>
    </r>
    <r>
      <rPr>
        <vertAlign val="subscript"/>
        <sz val="11"/>
        <color theme="1"/>
        <rFont val="Times New Roman"/>
        <family val="1"/>
      </rPr>
      <t>2</t>
    </r>
    <r>
      <rPr>
        <sz val="11"/>
        <color theme="1"/>
        <rFont val="Times New Roman"/>
        <family val="1"/>
      </rPr>
      <t>HPO</t>
    </r>
    <r>
      <rPr>
        <vertAlign val="subscript"/>
        <sz val="11"/>
        <color theme="1"/>
        <rFont val="Times New Roman"/>
        <family val="1"/>
      </rPr>
      <t>4</t>
    </r>
  </si>
  <si>
    <r>
      <t xml:space="preserve"> Nitrate (NO</t>
    </r>
    <r>
      <rPr>
        <b/>
        <vertAlign val="subscript"/>
        <sz val="11"/>
        <color theme="1"/>
        <rFont val="Times New Roman"/>
        <family val="1"/>
      </rPr>
      <t>3</t>
    </r>
    <r>
      <rPr>
        <b/>
        <vertAlign val="superscript"/>
        <sz val="11"/>
        <color theme="1"/>
        <rFont val="Times New Roman"/>
        <family val="1"/>
      </rPr>
      <t>-</t>
    </r>
    <r>
      <rPr>
        <b/>
        <sz val="11"/>
        <color theme="1"/>
        <rFont val="Times New Roman"/>
        <family val="1"/>
      </rPr>
      <t xml:space="preserve">) </t>
    </r>
  </si>
  <si>
    <r>
      <t>Sulphat (SO</t>
    </r>
    <r>
      <rPr>
        <b/>
        <vertAlign val="subscript"/>
        <sz val="11"/>
        <color theme="1"/>
        <rFont val="Times New Roman"/>
        <family val="1"/>
      </rPr>
      <t>4</t>
    </r>
    <r>
      <rPr>
        <b/>
        <vertAlign val="superscript"/>
        <sz val="11"/>
        <color theme="1"/>
        <rFont val="Times New Roman"/>
        <family val="1"/>
      </rPr>
      <t>2-</t>
    </r>
    <r>
      <rPr>
        <b/>
        <sz val="11"/>
        <color theme="1"/>
        <rFont val="Times New Roman"/>
        <family val="1"/>
      </rPr>
      <t>)</t>
    </r>
  </si>
  <si>
    <r>
      <t>BaCl</t>
    </r>
    <r>
      <rPr>
        <vertAlign val="subscript"/>
        <sz val="11"/>
        <color indexed="8"/>
        <rFont val="Times New Roman"/>
        <family val="1"/>
      </rPr>
      <t>2</t>
    </r>
    <r>
      <rPr>
        <sz val="11"/>
        <color indexed="8"/>
        <rFont val="Times New Roman"/>
        <family val="1"/>
      </rPr>
      <t>.2H</t>
    </r>
    <r>
      <rPr>
        <vertAlign val="subscript"/>
        <sz val="11"/>
        <color indexed="8"/>
        <rFont val="Times New Roman"/>
        <family val="1"/>
      </rPr>
      <t>2</t>
    </r>
    <r>
      <rPr>
        <sz val="11"/>
        <color indexed="8"/>
        <rFont val="Times New Roman"/>
        <family val="1"/>
      </rPr>
      <t>O</t>
    </r>
  </si>
  <si>
    <r>
      <t>NaAsO</t>
    </r>
    <r>
      <rPr>
        <vertAlign val="subscript"/>
        <sz val="11"/>
        <color rgb="FF000000"/>
        <rFont val="Times New Roman"/>
        <family val="1"/>
      </rPr>
      <t>2</t>
    </r>
  </si>
  <si>
    <r>
      <t>H</t>
    </r>
    <r>
      <rPr>
        <vertAlign val="subscript"/>
        <sz val="11"/>
        <color theme="1"/>
        <rFont val="Times New Roman"/>
        <family val="1"/>
      </rPr>
      <t>2</t>
    </r>
    <r>
      <rPr>
        <sz val="11"/>
        <color theme="1"/>
        <rFont val="Times New Roman"/>
        <family val="1"/>
      </rPr>
      <t>SO</t>
    </r>
    <r>
      <rPr>
        <vertAlign val="subscript"/>
        <sz val="11"/>
        <color theme="1"/>
        <rFont val="Times New Roman"/>
        <family val="1"/>
      </rPr>
      <t>4</t>
    </r>
    <r>
      <rPr>
        <sz val="11"/>
        <color theme="1"/>
        <rFont val="Times New Roman"/>
        <family val="1"/>
      </rPr>
      <t xml:space="preserve"> đậm đặc</t>
    </r>
  </si>
  <si>
    <r>
      <t>ZrOCl</t>
    </r>
    <r>
      <rPr>
        <vertAlign val="subscript"/>
        <sz val="11"/>
        <color theme="1"/>
        <rFont val="Times New Roman"/>
        <family val="1"/>
      </rPr>
      <t>2</t>
    </r>
    <r>
      <rPr>
        <sz val="11"/>
        <color theme="1"/>
        <rFont val="Times New Roman"/>
        <family val="1"/>
      </rPr>
      <t>.8.H</t>
    </r>
    <r>
      <rPr>
        <vertAlign val="subscript"/>
        <sz val="11"/>
        <color theme="1"/>
        <rFont val="Times New Roman"/>
        <family val="1"/>
      </rPr>
      <t>2</t>
    </r>
    <r>
      <rPr>
        <sz val="11"/>
        <color theme="1"/>
        <rFont val="Times New Roman"/>
        <family val="1"/>
      </rPr>
      <t>O</t>
    </r>
  </si>
  <si>
    <r>
      <t>K</t>
    </r>
    <r>
      <rPr>
        <vertAlign val="subscript"/>
        <sz val="11"/>
        <rFont val="Times New Roman"/>
        <family val="1"/>
      </rPr>
      <t>2</t>
    </r>
    <r>
      <rPr>
        <sz val="11"/>
        <rFont val="Times New Roman"/>
        <family val="1"/>
      </rPr>
      <t>CrO</t>
    </r>
    <r>
      <rPr>
        <vertAlign val="subscript"/>
        <sz val="11"/>
        <rFont val="Times New Roman"/>
        <family val="1"/>
      </rPr>
      <t>4</t>
    </r>
  </si>
  <si>
    <r>
      <t>Ống chuẩn AgNO</t>
    </r>
    <r>
      <rPr>
        <vertAlign val="subscript"/>
        <sz val="11"/>
        <rFont val="Times New Roman"/>
        <family val="1"/>
      </rPr>
      <t xml:space="preserve">3 </t>
    </r>
    <r>
      <rPr>
        <sz val="11"/>
        <rFont val="Times New Roman"/>
        <family val="1"/>
      </rPr>
      <t>0,1N</t>
    </r>
  </si>
  <si>
    <r>
      <t>K</t>
    </r>
    <r>
      <rPr>
        <vertAlign val="subscript"/>
        <sz val="11"/>
        <rFont val="Times New Roman"/>
        <family val="1"/>
      </rPr>
      <t>3</t>
    </r>
    <r>
      <rPr>
        <sz val="11"/>
        <rFont val="Times New Roman"/>
        <family val="1"/>
      </rPr>
      <t>Fe(CN)</t>
    </r>
    <r>
      <rPr>
        <vertAlign val="subscript"/>
        <sz val="11"/>
        <rFont val="Times New Roman"/>
        <family val="1"/>
      </rPr>
      <t>6</t>
    </r>
  </si>
  <si>
    <r>
      <t>NaKC</t>
    </r>
    <r>
      <rPr>
        <vertAlign val="subscript"/>
        <sz val="11"/>
        <rFont val="Times New Roman"/>
        <family val="1"/>
      </rPr>
      <t>4</t>
    </r>
    <r>
      <rPr>
        <sz val="11"/>
        <rFont val="Times New Roman"/>
        <family val="1"/>
      </rPr>
      <t>H</t>
    </r>
    <r>
      <rPr>
        <vertAlign val="subscript"/>
        <sz val="11"/>
        <rFont val="Times New Roman"/>
        <family val="1"/>
      </rPr>
      <t>4</t>
    </r>
    <r>
      <rPr>
        <sz val="11"/>
        <rFont val="Times New Roman"/>
        <family val="1"/>
      </rPr>
      <t>O</t>
    </r>
    <r>
      <rPr>
        <vertAlign val="subscript"/>
        <sz val="11"/>
        <rFont val="Times New Roman"/>
        <family val="1"/>
      </rPr>
      <t>6</t>
    </r>
  </si>
  <si>
    <r>
      <t>NH</t>
    </r>
    <r>
      <rPr>
        <vertAlign val="subscript"/>
        <sz val="11"/>
        <rFont val="Times New Roman"/>
        <family val="1"/>
      </rPr>
      <t>4</t>
    </r>
    <r>
      <rPr>
        <sz val="11"/>
        <rFont val="Times New Roman"/>
        <family val="1"/>
      </rPr>
      <t>OH</t>
    </r>
  </si>
  <si>
    <r>
      <t>Na</t>
    </r>
    <r>
      <rPr>
        <vertAlign val="subscript"/>
        <sz val="11"/>
        <rFont val="Times New Roman"/>
        <family val="1"/>
      </rPr>
      <t>2</t>
    </r>
    <r>
      <rPr>
        <sz val="11"/>
        <rFont val="Times New Roman"/>
        <family val="1"/>
      </rPr>
      <t>S</t>
    </r>
    <r>
      <rPr>
        <vertAlign val="subscript"/>
        <sz val="11"/>
        <rFont val="Times New Roman"/>
        <family val="1"/>
      </rPr>
      <t>2</t>
    </r>
    <r>
      <rPr>
        <sz val="11"/>
        <rFont val="Times New Roman"/>
        <family val="1"/>
      </rPr>
      <t>O</t>
    </r>
    <r>
      <rPr>
        <vertAlign val="subscript"/>
        <sz val="11"/>
        <rFont val="Times New Roman"/>
        <family val="1"/>
      </rPr>
      <t>3</t>
    </r>
  </si>
  <si>
    <r>
      <t>CuSO</t>
    </r>
    <r>
      <rPr>
        <vertAlign val="subscript"/>
        <sz val="11"/>
        <rFont val="Times New Roman"/>
        <family val="1"/>
      </rPr>
      <t>4</t>
    </r>
    <r>
      <rPr>
        <sz val="11"/>
        <rFont val="Times New Roman"/>
        <family val="1"/>
      </rPr>
      <t>.5H</t>
    </r>
    <r>
      <rPr>
        <vertAlign val="subscript"/>
        <sz val="11"/>
        <rFont val="Times New Roman"/>
        <family val="1"/>
      </rPr>
      <t>2</t>
    </r>
    <r>
      <rPr>
        <sz val="11"/>
        <rFont val="Times New Roman"/>
        <family val="1"/>
      </rPr>
      <t>O</t>
    </r>
  </si>
  <si>
    <r>
      <t>H</t>
    </r>
    <r>
      <rPr>
        <vertAlign val="subscript"/>
        <sz val="11"/>
        <rFont val="Times New Roman"/>
        <family val="1"/>
      </rPr>
      <t>3</t>
    </r>
    <r>
      <rPr>
        <sz val="11"/>
        <rFont val="Times New Roman"/>
        <family val="1"/>
      </rPr>
      <t>PO</t>
    </r>
    <r>
      <rPr>
        <vertAlign val="subscript"/>
        <sz val="11"/>
        <rFont val="Times New Roman"/>
        <family val="1"/>
      </rPr>
      <t>4</t>
    </r>
  </si>
  <si>
    <r>
      <t>CHCl</t>
    </r>
    <r>
      <rPr>
        <vertAlign val="subscript"/>
        <sz val="11"/>
        <color indexed="10"/>
        <rFont val="Times New Roman"/>
        <family val="1"/>
      </rPr>
      <t>3</t>
    </r>
  </si>
  <si>
    <r>
      <t>NaHCO</t>
    </r>
    <r>
      <rPr>
        <vertAlign val="subscript"/>
        <sz val="11"/>
        <color indexed="10"/>
        <rFont val="Times New Roman"/>
        <family val="1"/>
      </rPr>
      <t>3</t>
    </r>
  </si>
  <si>
    <r>
      <t>Na</t>
    </r>
    <r>
      <rPr>
        <vertAlign val="subscript"/>
        <sz val="11"/>
        <color indexed="10"/>
        <rFont val="Times New Roman"/>
        <family val="1"/>
      </rPr>
      <t>2</t>
    </r>
    <r>
      <rPr>
        <sz val="11"/>
        <color indexed="10"/>
        <rFont val="Times New Roman"/>
        <family val="1"/>
      </rPr>
      <t>CO</t>
    </r>
    <r>
      <rPr>
        <vertAlign val="subscript"/>
        <sz val="11"/>
        <color indexed="10"/>
        <rFont val="Times New Roman"/>
        <family val="1"/>
      </rPr>
      <t>3</t>
    </r>
  </si>
  <si>
    <r>
      <t>Na</t>
    </r>
    <r>
      <rPr>
        <vertAlign val="subscript"/>
        <sz val="11"/>
        <color indexed="10"/>
        <rFont val="Times New Roman"/>
        <family val="1"/>
      </rPr>
      <t>2</t>
    </r>
    <r>
      <rPr>
        <sz val="11"/>
        <color indexed="10"/>
        <rFont val="Times New Roman"/>
        <family val="1"/>
      </rPr>
      <t>B</t>
    </r>
    <r>
      <rPr>
        <vertAlign val="subscript"/>
        <sz val="11"/>
        <color indexed="10"/>
        <rFont val="Times New Roman"/>
        <family val="1"/>
      </rPr>
      <t>4</t>
    </r>
    <r>
      <rPr>
        <sz val="11"/>
        <color indexed="10"/>
        <rFont val="Times New Roman"/>
        <family val="1"/>
      </rPr>
      <t>O</t>
    </r>
    <r>
      <rPr>
        <vertAlign val="subscript"/>
        <sz val="11"/>
        <color indexed="10"/>
        <rFont val="Times New Roman"/>
        <family val="1"/>
      </rPr>
      <t>7</t>
    </r>
    <r>
      <rPr>
        <sz val="11"/>
        <color indexed="10"/>
        <rFont val="Times New Roman"/>
        <family val="1"/>
      </rPr>
      <t>.10H</t>
    </r>
    <r>
      <rPr>
        <vertAlign val="subscript"/>
        <sz val="11"/>
        <color indexed="10"/>
        <rFont val="Times New Roman"/>
        <family val="1"/>
      </rPr>
      <t>2</t>
    </r>
    <r>
      <rPr>
        <sz val="11"/>
        <color indexed="10"/>
        <rFont val="Times New Roman"/>
        <family val="1"/>
      </rPr>
      <t>O</t>
    </r>
  </si>
  <si>
    <r>
      <t>C</t>
    </r>
    <r>
      <rPr>
        <vertAlign val="subscript"/>
        <sz val="11"/>
        <color indexed="10"/>
        <rFont val="Times New Roman"/>
        <family val="1"/>
      </rPr>
      <t>19</t>
    </r>
    <r>
      <rPr>
        <sz val="11"/>
        <color indexed="10"/>
        <rFont val="Times New Roman"/>
        <family val="1"/>
      </rPr>
      <t>H</t>
    </r>
    <r>
      <rPr>
        <vertAlign val="subscript"/>
        <sz val="11"/>
        <color indexed="10"/>
        <rFont val="Times New Roman"/>
        <family val="1"/>
      </rPr>
      <t>32</t>
    </r>
    <r>
      <rPr>
        <sz val="11"/>
        <color indexed="10"/>
        <rFont val="Times New Roman"/>
        <family val="1"/>
      </rPr>
      <t>O</t>
    </r>
    <r>
      <rPr>
        <vertAlign val="subscript"/>
        <sz val="11"/>
        <color indexed="10"/>
        <rFont val="Times New Roman"/>
        <family val="1"/>
      </rPr>
      <t>3</t>
    </r>
    <r>
      <rPr>
        <sz val="11"/>
        <color indexed="10"/>
        <rFont val="Times New Roman"/>
        <family val="1"/>
      </rPr>
      <t>S</t>
    </r>
  </si>
  <si>
    <r>
      <t>Clo dư (Cl</t>
    </r>
    <r>
      <rPr>
        <b/>
        <vertAlign val="subscript"/>
        <sz val="11"/>
        <rFont val="Times New Roman"/>
        <family val="1"/>
      </rPr>
      <t>2</t>
    </r>
    <r>
      <rPr>
        <b/>
        <sz val="11"/>
        <rFont val="Times New Roman"/>
        <family val="1"/>
      </rPr>
      <t>)</t>
    </r>
  </si>
  <si>
    <r>
      <t>HNO</t>
    </r>
    <r>
      <rPr>
        <vertAlign val="subscript"/>
        <sz val="11"/>
        <rFont val="Times New Roman"/>
        <family val="1"/>
      </rPr>
      <t>3</t>
    </r>
  </si>
  <si>
    <r>
      <t>H</t>
    </r>
    <r>
      <rPr>
        <vertAlign val="subscript"/>
        <sz val="11"/>
        <rFont val="Times New Roman"/>
        <family val="1"/>
      </rPr>
      <t>2</t>
    </r>
    <r>
      <rPr>
        <sz val="11"/>
        <rFont val="Times New Roman"/>
        <family val="1"/>
      </rPr>
      <t>O</t>
    </r>
    <r>
      <rPr>
        <vertAlign val="subscript"/>
        <sz val="11"/>
        <rFont val="Times New Roman"/>
        <family val="1"/>
      </rPr>
      <t>2</t>
    </r>
  </si>
  <si>
    <r>
      <t>KMnO</t>
    </r>
    <r>
      <rPr>
        <vertAlign val="subscript"/>
        <sz val="11"/>
        <rFont val="Times New Roman"/>
        <family val="1"/>
      </rPr>
      <t>4</t>
    </r>
  </si>
  <si>
    <r>
      <t>NH</t>
    </r>
    <r>
      <rPr>
        <vertAlign val="subscript"/>
        <sz val="11"/>
        <rFont val="Times New Roman"/>
        <family val="1"/>
      </rPr>
      <t>4</t>
    </r>
    <r>
      <rPr>
        <sz val="11"/>
        <rFont val="Times New Roman"/>
        <family val="1"/>
      </rPr>
      <t>OCl</t>
    </r>
  </si>
  <si>
    <r>
      <t>SnC</t>
    </r>
    <r>
      <rPr>
        <vertAlign val="subscript"/>
        <sz val="11"/>
        <rFont val="Times New Roman"/>
        <family val="1"/>
      </rPr>
      <t>l2</t>
    </r>
    <r>
      <rPr>
        <sz val="11"/>
        <rFont val="Times New Roman"/>
        <family val="1"/>
      </rPr>
      <t>.2H</t>
    </r>
    <r>
      <rPr>
        <vertAlign val="subscript"/>
        <sz val="11"/>
        <rFont val="Times New Roman"/>
        <family val="1"/>
      </rPr>
      <t>2</t>
    </r>
    <r>
      <rPr>
        <sz val="11"/>
        <rFont val="Times New Roman"/>
        <family val="1"/>
      </rPr>
      <t>O</t>
    </r>
  </si>
  <si>
    <r>
      <t>CH</t>
    </r>
    <r>
      <rPr>
        <vertAlign val="subscript"/>
        <sz val="11"/>
        <rFont val="Times New Roman"/>
        <family val="1"/>
      </rPr>
      <t>2</t>
    </r>
    <r>
      <rPr>
        <sz val="11"/>
        <rFont val="Times New Roman"/>
        <family val="1"/>
      </rPr>
      <t>Cl</t>
    </r>
    <r>
      <rPr>
        <vertAlign val="subscript"/>
        <sz val="11"/>
        <rFont val="Times New Roman"/>
        <family val="1"/>
      </rPr>
      <t>2</t>
    </r>
  </si>
  <si>
    <r>
      <t>(NH4)</t>
    </r>
    <r>
      <rPr>
        <vertAlign val="subscript"/>
        <sz val="11"/>
        <rFont val="Times New Roman"/>
        <family val="1"/>
      </rPr>
      <t>2</t>
    </r>
    <r>
      <rPr>
        <sz val="11"/>
        <rFont val="Times New Roman"/>
        <family val="1"/>
      </rPr>
      <t>SO</t>
    </r>
    <r>
      <rPr>
        <vertAlign val="subscript"/>
        <sz val="11"/>
        <rFont val="Times New Roman"/>
        <family val="1"/>
      </rPr>
      <t>4</t>
    </r>
  </si>
  <si>
    <t>CHCl3</t>
  </si>
  <si>
    <t>ĐV: Thông số</t>
  </si>
  <si>
    <t>1NT1</t>
  </si>
  <si>
    <t>1NT2</t>
  </si>
  <si>
    <t>1NT3</t>
  </si>
  <si>
    <t>1NT6</t>
  </si>
  <si>
    <t xml:space="preserve">  </t>
  </si>
  <si>
    <t>1NT8</t>
  </si>
  <si>
    <t>1NT9</t>
  </si>
  <si>
    <t>1NT11</t>
  </si>
  <si>
    <t>1NT12</t>
  </si>
  <si>
    <t>2NT6</t>
  </si>
  <si>
    <t>1NT7a</t>
  </si>
  <si>
    <t>1NT7b</t>
  </si>
  <si>
    <t>1NT10a</t>
  </si>
  <si>
    <t>1NT10b</t>
  </si>
  <si>
    <t>1NT10c</t>
  </si>
  <si>
    <t>1NT10d</t>
  </si>
  <si>
    <t>1NT10đ</t>
  </si>
  <si>
    <t>1NT10e</t>
  </si>
  <si>
    <t>1NT10f</t>
  </si>
  <si>
    <t>1NT10g</t>
  </si>
  <si>
    <t>1NT10h</t>
  </si>
  <si>
    <t>1NT10i</t>
  </si>
  <si>
    <t>1NT10j</t>
  </si>
  <si>
    <t>1NT13a</t>
  </si>
  <si>
    <t>1NT13b</t>
  </si>
  <si>
    <t>1NT13c</t>
  </si>
  <si>
    <t>2NT8</t>
  </si>
  <si>
    <t>2NT10c</t>
  </si>
  <si>
    <t>2NT10d</t>
  </si>
  <si>
    <t>2NT10đ</t>
  </si>
  <si>
    <t>2NT10e</t>
  </si>
  <si>
    <t>2NT10f</t>
  </si>
  <si>
    <t>2NT10g</t>
  </si>
  <si>
    <t>2NT10h</t>
  </si>
  <si>
    <t>2NT10i</t>
  </si>
  <si>
    <t>2NT10j</t>
  </si>
  <si>
    <t>Tất sợi</t>
  </si>
  <si>
    <t>Mũ cứng</t>
  </si>
  <si>
    <t>Ô che mưa, che nắng</t>
  </si>
  <si>
    <t>cái</t>
  </si>
  <si>
    <t>Bàn lưu động</t>
  </si>
  <si>
    <t>Đai bảo hiểm</t>
  </si>
  <si>
    <t>Đầu đo</t>
  </si>
  <si>
    <t>Máng đo tiêu chuẩn</t>
  </si>
  <si>
    <t>Cốc nhựa</t>
  </si>
  <si>
    <t>Công tác lấy mẫu nước thải tại hiện trường</t>
  </si>
  <si>
    <t>Thùng đựng và bảo quản mẫu</t>
  </si>
  <si>
    <t>Chai đựng mẫu vi sinh</t>
  </si>
  <si>
    <t>Quần áo BHLĐ</t>
  </si>
  <si>
    <t>Bản đồ địa hình</t>
  </si>
  <si>
    <t>1NT5a</t>
  </si>
  <si>
    <t>1NT5b</t>
  </si>
  <si>
    <t>Như mục 1NT9</t>
  </si>
  <si>
    <t>Nước cất</t>
  </si>
  <si>
    <t>lít</t>
  </si>
  <si>
    <t>Pin chuyên dụng</t>
  </si>
  <si>
    <t>cục</t>
  </si>
  <si>
    <t>Dung dịch chuẩn 1000 Pt-Co</t>
  </si>
  <si>
    <t>Chai đựng mẫu</t>
  </si>
  <si>
    <t xml:space="preserve">Hóa chất bảo quản mẫu </t>
  </si>
  <si>
    <t>Nước rửa dụng cụ</t>
  </si>
  <si>
    <r>
      <t>Nhu cầu oxy sinh hóa (BOD</t>
    </r>
    <r>
      <rPr>
        <b/>
        <vertAlign val="subscript"/>
        <sz val="11"/>
        <rFont val="Times New Roman"/>
        <family val="1"/>
        <charset val="163"/>
      </rPr>
      <t>5</t>
    </r>
    <r>
      <rPr>
        <b/>
        <sz val="11"/>
        <rFont val="Times New Roman"/>
        <family val="1"/>
        <charset val="163"/>
      </rPr>
      <t>)</t>
    </r>
  </si>
  <si>
    <t>Nước rửa đầu đo</t>
  </si>
  <si>
    <t xml:space="preserve">lít </t>
  </si>
  <si>
    <t>Dung dịch chuẩn pH ở giá trị pH = 4 và pH = 10</t>
  </si>
  <si>
    <t>Bút ghi kính</t>
  </si>
  <si>
    <t>Coliform, E.Coli</t>
  </si>
  <si>
    <t xml:space="preserve">Dầu mỡ </t>
  </si>
  <si>
    <r>
      <t xml:space="preserve"> Cyanua (CN</t>
    </r>
    <r>
      <rPr>
        <b/>
        <vertAlign val="superscript"/>
        <sz val="12"/>
        <color theme="1"/>
        <rFont val="Times New Roman"/>
        <family val="1"/>
      </rPr>
      <t>-</t>
    </r>
    <r>
      <rPr>
        <b/>
        <sz val="12"/>
        <color theme="1"/>
        <rFont val="Times New Roman"/>
        <family val="1"/>
      </rPr>
      <t>)</t>
    </r>
  </si>
  <si>
    <t>Thiết bị lấy mẫu nước</t>
  </si>
  <si>
    <t>Máy ảnh kỹ thuật số</t>
  </si>
  <si>
    <t>Máy định vị GPS cầm tay</t>
  </si>
  <si>
    <t>Thiết bị định vị GPS</t>
  </si>
  <si>
    <r>
      <t>Nhu cầu oxy sinh hóa (BOD</t>
    </r>
    <r>
      <rPr>
        <b/>
        <vertAlign val="subscript"/>
        <sz val="13"/>
        <rFont val="Times New Roman"/>
        <family val="1"/>
      </rPr>
      <t>5</t>
    </r>
    <r>
      <rPr>
        <b/>
        <sz val="13"/>
        <rFont val="Times New Roman"/>
        <family val="1"/>
      </rPr>
      <t>)</t>
    </r>
  </si>
  <si>
    <r>
      <t>Nhu cầu oxy sinh hóa (BOD</t>
    </r>
    <r>
      <rPr>
        <i/>
        <vertAlign val="subscript"/>
        <sz val="13"/>
        <rFont val="Times New Roman"/>
        <family val="1"/>
      </rPr>
      <t>5</t>
    </r>
    <r>
      <rPr>
        <i/>
        <sz val="13"/>
        <rFont val="Times New Roman"/>
        <family val="1"/>
      </rPr>
      <t>)</t>
    </r>
  </si>
  <si>
    <r>
      <t>Cyanua (CN</t>
    </r>
    <r>
      <rPr>
        <b/>
        <i/>
        <vertAlign val="superscript"/>
        <sz val="13"/>
        <rFont val="Times New Roman"/>
        <family val="1"/>
      </rPr>
      <t>-</t>
    </r>
    <r>
      <rPr>
        <b/>
        <i/>
        <sz val="13"/>
        <rFont val="Times New Roman"/>
        <family val="1"/>
      </rPr>
      <t xml:space="preserve">) </t>
    </r>
  </si>
  <si>
    <r>
      <t>Nitơ amôn (NH</t>
    </r>
    <r>
      <rPr>
        <i/>
        <vertAlign val="subscript"/>
        <sz val="13"/>
        <rFont val="Times New Roman"/>
        <family val="1"/>
      </rPr>
      <t>4</t>
    </r>
    <r>
      <rPr>
        <i/>
        <vertAlign val="superscript"/>
        <sz val="13"/>
        <rFont val="Times New Roman"/>
        <family val="1"/>
      </rPr>
      <t>+</t>
    </r>
    <r>
      <rPr>
        <i/>
        <sz val="13"/>
        <rFont val="Times New Roman"/>
        <family val="1"/>
      </rPr>
      <t>)</t>
    </r>
  </si>
  <si>
    <r>
      <t>Sulfua (S</t>
    </r>
    <r>
      <rPr>
        <b/>
        <i/>
        <vertAlign val="superscript"/>
        <sz val="13"/>
        <rFont val="Times New Roman"/>
        <family val="1"/>
      </rPr>
      <t>2-</t>
    </r>
    <r>
      <rPr>
        <b/>
        <i/>
        <sz val="13"/>
        <rFont val="Times New Roman"/>
        <family val="1"/>
      </rPr>
      <t>)</t>
    </r>
  </si>
  <si>
    <r>
      <t>Crom (VI) (Cr</t>
    </r>
    <r>
      <rPr>
        <b/>
        <vertAlign val="superscript"/>
        <sz val="13"/>
        <rFont val="Times New Roman"/>
        <family val="1"/>
      </rPr>
      <t>6+</t>
    </r>
    <r>
      <rPr>
        <b/>
        <sz val="13"/>
        <rFont val="Times New Roman"/>
        <family val="1"/>
      </rPr>
      <t>)</t>
    </r>
  </si>
  <si>
    <r>
      <t>Nitrate (NO</t>
    </r>
    <r>
      <rPr>
        <i/>
        <vertAlign val="subscript"/>
        <sz val="13"/>
        <rFont val="Times New Roman"/>
        <family val="1"/>
      </rPr>
      <t>3</t>
    </r>
    <r>
      <rPr>
        <i/>
        <vertAlign val="superscript"/>
        <sz val="13"/>
        <rFont val="Times New Roman"/>
        <family val="1"/>
      </rPr>
      <t>-</t>
    </r>
    <r>
      <rPr>
        <i/>
        <sz val="13"/>
        <rFont val="Times New Roman"/>
        <family val="1"/>
      </rPr>
      <t>)</t>
    </r>
  </si>
  <si>
    <r>
      <t>Sulphat (SO</t>
    </r>
    <r>
      <rPr>
        <i/>
        <vertAlign val="subscript"/>
        <sz val="13"/>
        <rFont val="Times New Roman"/>
        <family val="1"/>
      </rPr>
      <t>4</t>
    </r>
    <r>
      <rPr>
        <i/>
        <vertAlign val="superscript"/>
        <sz val="13"/>
        <rFont val="Times New Roman"/>
        <family val="1"/>
      </rPr>
      <t>2-</t>
    </r>
    <r>
      <rPr>
        <i/>
        <sz val="13"/>
        <rFont val="Times New Roman"/>
        <family val="1"/>
      </rPr>
      <t>)</t>
    </r>
  </si>
  <si>
    <r>
      <t>Photphat (PO</t>
    </r>
    <r>
      <rPr>
        <i/>
        <vertAlign val="subscript"/>
        <sz val="13"/>
        <rFont val="Times New Roman"/>
        <family val="1"/>
      </rPr>
      <t>4</t>
    </r>
    <r>
      <rPr>
        <i/>
        <vertAlign val="superscript"/>
        <sz val="13"/>
        <rFont val="Times New Roman"/>
        <family val="1"/>
      </rPr>
      <t>3-</t>
    </r>
    <r>
      <rPr>
        <i/>
        <sz val="13"/>
        <rFont val="Times New Roman"/>
        <family val="1"/>
      </rPr>
      <t>)</t>
    </r>
  </si>
  <si>
    <r>
      <t>Clorua (Cl</t>
    </r>
    <r>
      <rPr>
        <i/>
        <vertAlign val="superscript"/>
        <sz val="13"/>
        <rFont val="Times New Roman"/>
        <family val="1"/>
      </rPr>
      <t>-</t>
    </r>
    <r>
      <rPr>
        <i/>
        <sz val="13"/>
        <rFont val="Times New Roman"/>
        <family val="1"/>
      </rPr>
      <t>)</t>
    </r>
  </si>
  <si>
    <r>
      <t>Clo dư (Cl</t>
    </r>
    <r>
      <rPr>
        <b/>
        <i/>
        <vertAlign val="subscript"/>
        <sz val="13"/>
        <rFont val="Times New Roman"/>
        <family val="1"/>
      </rPr>
      <t>2</t>
    </r>
    <r>
      <rPr>
        <i/>
        <sz val="13"/>
        <rFont val="Times New Roman"/>
        <family val="1"/>
      </rPr>
      <t>)</t>
    </r>
  </si>
  <si>
    <r>
      <t xml:space="preserve">Hóa chất BVTV nhóm Clo hữu cơ: </t>
    </r>
    <r>
      <rPr>
        <i/>
        <sz val="13"/>
        <rFont val="Times New Roman"/>
        <family val="1"/>
      </rPr>
      <t>Aldrin+Dieldrin, Endrin, BHC, DDT, Endosunfan, Lindan, Chlordane, Heptachlor (EPA 8270D)</t>
    </r>
  </si>
  <si>
    <t>Thiết bị đo hiện số</t>
  </si>
  <si>
    <t>Máy khuấy từ</t>
  </si>
  <si>
    <t>Như mục  1NT9</t>
  </si>
  <si>
    <t>2NT5a</t>
  </si>
  <si>
    <t>2NT5b</t>
  </si>
  <si>
    <t>Như mục 2NT10c</t>
  </si>
  <si>
    <t>2NT14</t>
  </si>
  <si>
    <t>Như mục 2NT13a</t>
  </si>
  <si>
    <t xml:space="preserve">Nhiệt độ
</t>
  </si>
  <si>
    <t xml:space="preserve">pH </t>
  </si>
  <si>
    <t>Nhiệt độ</t>
  </si>
  <si>
    <t xml:space="preserve"> Tổng chất rắn lơ lửng (TSS)</t>
  </si>
  <si>
    <t>cai</t>
  </si>
  <si>
    <t xml:space="preserve">Đá khô </t>
  </si>
  <si>
    <t>túi</t>
  </si>
  <si>
    <t>Tổng Dầu, mỡ khoáng</t>
  </si>
  <si>
    <t>Phân tích đồng thời các kim loại ( giá tính cho 01 mẫu)</t>
  </si>
  <si>
    <t xml:space="preserve">Tổng Dầu, mỡ khoáng </t>
  </si>
  <si>
    <r>
      <t>H</t>
    </r>
    <r>
      <rPr>
        <vertAlign val="subscript"/>
        <sz val="13"/>
        <color indexed="8"/>
        <rFont val="Times New Roman"/>
        <family val="1"/>
      </rPr>
      <t>2</t>
    </r>
    <r>
      <rPr>
        <sz val="13"/>
        <color indexed="8"/>
        <rFont val="Times New Roman"/>
        <family val="1"/>
      </rPr>
      <t>SO</t>
    </r>
    <r>
      <rPr>
        <vertAlign val="subscript"/>
        <sz val="13"/>
        <color indexed="8"/>
        <rFont val="Times New Roman"/>
        <family val="1"/>
      </rPr>
      <t>4</t>
    </r>
    <r>
      <rPr>
        <sz val="13"/>
        <color indexed="8"/>
        <rFont val="Times New Roman"/>
        <family val="1"/>
      </rPr>
      <t xml:space="preserve"> đậm đặc</t>
    </r>
  </si>
  <si>
    <t>tờ</t>
  </si>
  <si>
    <r>
      <t>CH</t>
    </r>
    <r>
      <rPr>
        <vertAlign val="subscript"/>
        <sz val="12"/>
        <rFont val="Times New Roman"/>
        <family val="1"/>
      </rPr>
      <t>2</t>
    </r>
    <r>
      <rPr>
        <sz val="12"/>
        <rFont val="Times New Roman"/>
        <family val="1"/>
      </rPr>
      <t>Cl</t>
    </r>
    <r>
      <rPr>
        <vertAlign val="subscript"/>
        <sz val="12"/>
        <rFont val="Times New Roman"/>
        <family val="1"/>
      </rPr>
      <t>2</t>
    </r>
  </si>
  <si>
    <r>
      <t>Na</t>
    </r>
    <r>
      <rPr>
        <vertAlign val="subscript"/>
        <sz val="12"/>
        <rFont val="Times New Roman"/>
        <family val="1"/>
      </rPr>
      <t>2</t>
    </r>
    <r>
      <rPr>
        <sz val="12"/>
        <rFont val="Times New Roman"/>
        <family val="1"/>
      </rPr>
      <t>SO</t>
    </r>
    <r>
      <rPr>
        <vertAlign val="subscript"/>
        <sz val="12"/>
        <rFont val="Times New Roman"/>
        <family val="1"/>
      </rPr>
      <t>4</t>
    </r>
  </si>
  <si>
    <t xml:space="preserve"> HOẠT ĐỘNG QUAN TRẮC VÀ PHÂN TÍCH MÔI TRƯỜNG NƯỚC THẢI </t>
  </si>
  <si>
    <t>Công tác quan trắc môi trường nước thải  tại hiện trường (1NT)</t>
  </si>
  <si>
    <t xml:space="preserve"> HOẠT ĐỘNG QUAN TRẮC VÀ PHÂN TÍCH MÔI TRƯỜNG NƯỚC THẢI</t>
  </si>
  <si>
    <t xml:space="preserve">Chất hoạt động bề mặt </t>
  </si>
  <si>
    <r>
      <t>Clorua (Cl</t>
    </r>
    <r>
      <rPr>
        <b/>
        <vertAlign val="superscript"/>
        <sz val="11"/>
        <color theme="1"/>
        <rFont val="Times New Roman"/>
        <family val="1"/>
      </rPr>
      <t>-</t>
    </r>
    <r>
      <rPr>
        <b/>
        <sz val="11"/>
        <color theme="1"/>
        <rFont val="Times New Roman"/>
        <family val="1"/>
      </rPr>
      <t>)</t>
    </r>
  </si>
  <si>
    <r>
      <t>Florua (F</t>
    </r>
    <r>
      <rPr>
        <b/>
        <vertAlign val="superscript"/>
        <sz val="11"/>
        <color theme="1"/>
        <rFont val="Times New Roman"/>
        <family val="1"/>
      </rPr>
      <t>-</t>
    </r>
    <r>
      <rPr>
        <b/>
        <sz val="11"/>
        <color theme="1"/>
        <rFont val="Times New Roman"/>
        <family val="1"/>
      </rPr>
      <t xml:space="preserve">) </t>
    </r>
  </si>
  <si>
    <t>Phương pháp sử dụng</t>
  </si>
  <si>
    <t>TCVN 6638:2000</t>
  </si>
  <si>
    <t>Kim loại nặng (As)</t>
  </si>
  <si>
    <t>Kim loại nặng (Hg)</t>
  </si>
  <si>
    <t>TCVN 7877:2008</t>
  </si>
  <si>
    <t>TCVN 6658:2000</t>
  </si>
  <si>
    <t>TCVN6622-1:2000</t>
  </si>
  <si>
    <t>Phân tích đồng thời các kim loại</t>
  </si>
  <si>
    <t>TCVN 6665: 2011</t>
  </si>
  <si>
    <t>TỔNG HỢP CÁC PHƯƠNG PHÁP SỬ DỤNG CHO HOẠT ĐỘNG QUAN TRẮC MÔI TRƯỜNG NƯỚC THẢI</t>
  </si>
  <si>
    <t>HOẠT ĐỘNG QUAN TRẮC VÀ PHÂN TÍCH MÔI TRƯỜNG NƯỚC THẢI</t>
  </si>
  <si>
    <t>TCVN 6492:2011</t>
  </si>
  <si>
    <r>
      <t xml:space="preserve">Nhu cầu oxy sinh hóa </t>
    </r>
    <r>
      <rPr>
        <i/>
        <sz val="12"/>
        <rFont val="Times New Roman"/>
        <family val="1"/>
      </rPr>
      <t>(BOD</t>
    </r>
    <r>
      <rPr>
        <i/>
        <vertAlign val="subscript"/>
        <sz val="12"/>
        <rFont val="Times New Roman"/>
        <family val="1"/>
      </rPr>
      <t>5</t>
    </r>
    <r>
      <rPr>
        <i/>
        <sz val="12"/>
        <rFont val="Times New Roman"/>
        <family val="1"/>
      </rPr>
      <t>)</t>
    </r>
  </si>
  <si>
    <t xml:space="preserve"> Nhu cầu oxy hóa học (COD)</t>
  </si>
  <si>
    <t>TCVN 6625-2000</t>
  </si>
  <si>
    <t>SMEWW 5520B,C: 2012</t>
  </si>
  <si>
    <t xml:space="preserve">Xyanua (CN-)  </t>
  </si>
  <si>
    <t>TCVN 6181: 1996</t>
  </si>
  <si>
    <r>
      <t>Nhu cầu oxy sinh hoá (BOD</t>
    </r>
    <r>
      <rPr>
        <b/>
        <vertAlign val="subscript"/>
        <sz val="11"/>
        <color theme="1"/>
        <rFont val="Times New Roman"/>
        <family val="1"/>
      </rPr>
      <t>5</t>
    </r>
    <r>
      <rPr>
        <b/>
        <sz val="11"/>
        <color theme="1"/>
        <rFont val="Times New Roman"/>
        <family val="1"/>
      </rPr>
      <t xml:space="preserve">) </t>
    </r>
  </si>
  <si>
    <t xml:space="preserve"> Nhu cầu oxy hoá học  COD </t>
  </si>
  <si>
    <t xml:space="preserve"> Chất rắn lơ lửng (SS) </t>
  </si>
  <si>
    <r>
      <t>Tổng Dầu, mỡ</t>
    </r>
    <r>
      <rPr>
        <i/>
        <sz val="12"/>
        <rFont val="Times New Roman"/>
        <family val="1"/>
      </rPr>
      <t xml:space="preserve"> </t>
    </r>
    <r>
      <rPr>
        <sz val="12"/>
        <rFont val="Times New Roman"/>
        <family val="1"/>
      </rPr>
      <t>khoáng</t>
    </r>
    <r>
      <rPr>
        <i/>
        <sz val="12"/>
        <rFont val="Times New Roman"/>
        <family val="1"/>
      </rPr>
      <t xml:space="preserve"> </t>
    </r>
  </si>
  <si>
    <t xml:space="preserve">Cyanua (CN-) </t>
  </si>
  <si>
    <t xml:space="preserve"> TCVN 6202: 2008</t>
  </si>
  <si>
    <t xml:space="preserve"> Tổng N </t>
  </si>
  <si>
    <r>
      <t xml:space="preserve"> Nitơ amôn (NH</t>
    </r>
    <r>
      <rPr>
        <b/>
        <vertAlign val="subscript"/>
        <sz val="11"/>
        <color theme="1"/>
        <rFont val="Times New Roman"/>
        <family val="1"/>
      </rPr>
      <t>4</t>
    </r>
    <r>
      <rPr>
        <b/>
        <vertAlign val="superscript"/>
        <sz val="11"/>
        <color theme="1"/>
        <rFont val="Times New Roman"/>
        <family val="1"/>
      </rPr>
      <t>+</t>
    </r>
    <r>
      <rPr>
        <b/>
        <sz val="11"/>
        <color theme="1"/>
        <rFont val="Times New Roman"/>
        <family val="1"/>
      </rPr>
      <t xml:space="preserve">) </t>
    </r>
  </si>
  <si>
    <t>TCVN 6179-1:1996</t>
  </si>
  <si>
    <r>
      <t>Sunlfua (S</t>
    </r>
    <r>
      <rPr>
        <b/>
        <vertAlign val="superscript"/>
        <sz val="11"/>
        <color theme="1"/>
        <rFont val="Times New Roman"/>
        <family val="1"/>
      </rPr>
      <t>2-</t>
    </r>
    <r>
      <rPr>
        <b/>
        <sz val="11"/>
        <color theme="1"/>
        <rFont val="Times New Roman"/>
        <family val="1"/>
      </rPr>
      <t xml:space="preserve">) </t>
    </r>
  </si>
  <si>
    <t xml:space="preserve"> SMEWW 4500.S2-.D: 2012</t>
  </si>
  <si>
    <r>
      <t>Nitrate (NO</t>
    </r>
    <r>
      <rPr>
        <b/>
        <vertAlign val="subscript"/>
        <sz val="11"/>
        <color theme="1"/>
        <rFont val="Times New Roman"/>
        <family val="1"/>
      </rPr>
      <t>3</t>
    </r>
    <r>
      <rPr>
        <b/>
        <vertAlign val="superscript"/>
        <sz val="11"/>
        <color theme="1"/>
        <rFont val="Times New Roman"/>
        <family val="1"/>
      </rPr>
      <t>-</t>
    </r>
    <r>
      <rPr>
        <b/>
        <sz val="11"/>
        <color theme="1"/>
        <rFont val="Times New Roman"/>
        <family val="1"/>
      </rPr>
      <t xml:space="preserve">) </t>
    </r>
  </si>
  <si>
    <t xml:space="preserve"> SMEWW 4500.NO3.B:2012</t>
  </si>
  <si>
    <t>TCVN 6202:1996</t>
  </si>
  <si>
    <r>
      <t>Clo dư (Cl</t>
    </r>
    <r>
      <rPr>
        <b/>
        <vertAlign val="subscript"/>
        <sz val="11"/>
        <rFont val="Times New Roman"/>
        <family val="1"/>
      </rPr>
      <t>2</t>
    </r>
    <r>
      <rPr>
        <b/>
        <sz val="11"/>
        <rFont val="Times New Roman"/>
        <family val="1"/>
      </rPr>
      <t xml:space="preserve">) </t>
    </r>
  </si>
  <si>
    <t>TCVN 6225-3: 2011</t>
  </si>
  <si>
    <t xml:space="preserve"> SMEWW 3113.B: 2012</t>
  </si>
  <si>
    <t xml:space="preserve"> SMEWW 3114.B: 2012</t>
  </si>
  <si>
    <t>SMEWW 3111.B: 2012</t>
  </si>
  <si>
    <t xml:space="preserve">PCBs </t>
  </si>
  <si>
    <t xml:space="preserve">Phân tích đồng thời các kim loại </t>
  </si>
  <si>
    <t xml:space="preserve">Nhiệt độ </t>
  </si>
  <si>
    <r>
      <t>Florua (F</t>
    </r>
    <r>
      <rPr>
        <b/>
        <vertAlign val="superscript"/>
        <sz val="11"/>
        <color theme="1"/>
        <rFont val="Times New Roman"/>
        <family val="1"/>
      </rPr>
      <t>-</t>
    </r>
    <r>
      <rPr>
        <b/>
        <sz val="11"/>
        <color theme="1"/>
        <rFont val="Times New Roman"/>
        <family val="1"/>
      </rPr>
      <t>)</t>
    </r>
  </si>
  <si>
    <t xml:space="preserve">Kim loại nặng Hg </t>
  </si>
  <si>
    <t xml:space="preserve">Nhiệt độ nước  </t>
  </si>
  <si>
    <t xml:space="preserve">pH  </t>
  </si>
  <si>
    <t>SMEWW 4500.F.D:2012</t>
  </si>
  <si>
    <t>SMEWW 4500.Cl.B: 2012</t>
  </si>
  <si>
    <t>SMEWW 5530.C:2012</t>
  </si>
  <si>
    <t>Công tác quan trắc môi trường nước thải tại hiện trường (1NT)</t>
  </si>
  <si>
    <t>Đĩa petri</t>
  </si>
  <si>
    <r>
      <t>C</t>
    </r>
    <r>
      <rPr>
        <vertAlign val="subscript"/>
        <sz val="10"/>
        <color rgb="FF222222"/>
        <rFont val="Arial"/>
        <family val="2"/>
      </rPr>
      <t>5</t>
    </r>
    <r>
      <rPr>
        <sz val="10"/>
        <color rgb="FF222222"/>
        <rFont val="Arial"/>
        <family val="2"/>
      </rPr>
      <t>H</t>
    </r>
    <r>
      <rPr>
        <vertAlign val="subscript"/>
        <sz val="10"/>
        <color rgb="FF222222"/>
        <rFont val="Arial"/>
        <family val="2"/>
      </rPr>
      <t>8</t>
    </r>
    <r>
      <rPr>
        <sz val="10"/>
        <color rgb="FF222222"/>
        <rFont val="Arial"/>
        <family val="2"/>
      </rPr>
      <t>NO</t>
    </r>
    <r>
      <rPr>
        <vertAlign val="subscript"/>
        <sz val="10"/>
        <color rgb="FF222222"/>
        <rFont val="Arial"/>
        <family val="2"/>
      </rPr>
      <t>4</t>
    </r>
    <r>
      <rPr>
        <sz val="10"/>
        <color rgb="FF222222"/>
        <rFont val="Arial"/>
        <family val="2"/>
      </rPr>
      <t>Na</t>
    </r>
  </si>
  <si>
    <t>K2HPO4</t>
  </si>
  <si>
    <t>Chất chiết cao thịt bò</t>
  </si>
  <si>
    <t>NH4Cl</t>
  </si>
  <si>
    <t>CaCl2</t>
  </si>
  <si>
    <t>Hộp</t>
  </si>
  <si>
    <t xml:space="preserve"> Aspartic </t>
  </si>
  <si>
    <t>MgSO4.7H2O</t>
  </si>
  <si>
    <t>Pantotenic</t>
  </si>
  <si>
    <t>Thiamin</t>
  </si>
  <si>
    <t>Ferric citrate</t>
  </si>
  <si>
    <t>TCVN 6187-1-2009</t>
  </si>
  <si>
    <t>Coliform. E.Coli</t>
  </si>
  <si>
    <t xml:space="preserve"> TCVN 6187-2- 2009</t>
  </si>
  <si>
    <t>2NT7a1</t>
  </si>
  <si>
    <t>2NT7a2</t>
  </si>
  <si>
    <t>2NT7b1</t>
  </si>
  <si>
    <t>2NT7b2</t>
  </si>
  <si>
    <t>2NT10l1</t>
  </si>
  <si>
    <t>2NT10l2</t>
  </si>
  <si>
    <t>SMEWW 2550B:2012</t>
  </si>
  <si>
    <t>SMEWW 2540C:2012</t>
  </si>
  <si>
    <t xml:space="preserve"> Độ màu</t>
  </si>
  <si>
    <t>TDS</t>
  </si>
  <si>
    <t>TCVN 6185: 2008</t>
  </si>
  <si>
    <t>SMEWW 5220C: 2012</t>
  </si>
  <si>
    <t>Công suất (Kw)</t>
  </si>
  <si>
    <t>Pin khô</t>
  </si>
  <si>
    <t>PHỤ LỤC 9</t>
  </si>
  <si>
    <t>TỔNG HỢP ĐƠN GIÁ SẢN PHẨM HOẠT ĐỘNG QUAN TRẮC 
 NƯỚC THẢI</t>
  </si>
  <si>
    <t>Đơn vị tính: đồng/thông số</t>
  </si>
  <si>
    <t xml:space="preserve"> HOẠT ĐỘNG QUAN TRẮC NƯỚC THẢI</t>
  </si>
  <si>
    <t>Công tác quan trắc nước  thải tại hiện trường (1NT)</t>
  </si>
  <si>
    <t>Công tác phân tích nước thải trong phòng thí nghiệm (2NT)</t>
  </si>
  <si>
    <t xml:space="preserve">Lưu lượng thải </t>
  </si>
  <si>
    <t>Như mục 2NT7a1</t>
  </si>
  <si>
    <t>Như mục 2NT7a2</t>
  </si>
  <si>
    <t>Hóa chất BVTV nhóm Clo hữu cơ: (Aldrin+Dieldrin, BHC, DDT, Heptachlor &amp;Heptachlorepoxide)</t>
  </si>
  <si>
    <t>Coliform (TCVN 6187-1:2009)</t>
  </si>
  <si>
    <t>Coliform (TCVN 6187-2:2009)</t>
  </si>
  <si>
    <t>E.Coli (TCVN 6187-1:2009)</t>
  </si>
  <si>
    <t>E.Coli (TCVN 6187-2:2009)</t>
  </si>
  <si>
    <t>Như mục 1NT1</t>
  </si>
  <si>
    <t>pH</t>
  </si>
  <si>
    <t>E.coli</t>
  </si>
  <si>
    <r>
      <t>Coliform</t>
    </r>
    <r>
      <rPr>
        <b/>
        <i/>
        <sz val="12"/>
        <rFont val="Times New Roman"/>
        <family val="1"/>
      </rPr>
      <t/>
    </r>
  </si>
  <si>
    <t>Như mục 1NT7a</t>
  </si>
  <si>
    <t xml:space="preserve"> Tổng N</t>
  </si>
  <si>
    <t>Nitơ amôn (NH4+)</t>
  </si>
  <si>
    <t xml:space="preserve">Sunlfua (S2-) </t>
  </si>
  <si>
    <t xml:space="preserve"> Crom (VI)</t>
  </si>
  <si>
    <t>Nitrate (NO3-)</t>
  </si>
  <si>
    <t xml:space="preserve"> Sulphat (SO42-)</t>
  </si>
  <si>
    <t>Photphat (PO43-)</t>
  </si>
  <si>
    <t xml:space="preserve"> Florua (F-)</t>
  </si>
  <si>
    <t>Clorua (Cl-)</t>
  </si>
  <si>
    <t xml:space="preserve"> Clo dư</t>
  </si>
  <si>
    <t>Như mục 1NT10a</t>
  </si>
  <si>
    <t>Như mục 1NT13a</t>
  </si>
  <si>
    <t xml:space="preserve"> E.Coli</t>
  </si>
  <si>
    <t xml:space="preserve">E.Coli </t>
  </si>
  <si>
    <r>
      <t>Nitơ amôn (NH</t>
    </r>
    <r>
      <rPr>
        <b/>
        <i/>
        <vertAlign val="subscript"/>
        <sz val="11"/>
        <color theme="1"/>
        <rFont val="Times New Roman"/>
        <family val="1"/>
      </rPr>
      <t>4</t>
    </r>
    <r>
      <rPr>
        <b/>
        <i/>
        <vertAlign val="superscript"/>
        <sz val="11"/>
        <color theme="1"/>
        <rFont val="Times New Roman"/>
        <family val="1"/>
      </rPr>
      <t>+</t>
    </r>
    <r>
      <rPr>
        <b/>
        <i/>
        <sz val="11"/>
        <color theme="1"/>
        <rFont val="Times New Roman"/>
        <family val="1"/>
      </rPr>
      <t xml:space="preserve">) </t>
    </r>
  </si>
  <si>
    <r>
      <t>Sunlfua (S</t>
    </r>
    <r>
      <rPr>
        <b/>
        <i/>
        <vertAlign val="superscript"/>
        <sz val="11"/>
        <color theme="1"/>
        <rFont val="Times New Roman"/>
        <family val="1"/>
      </rPr>
      <t>2-</t>
    </r>
    <r>
      <rPr>
        <b/>
        <i/>
        <sz val="11"/>
        <color theme="1"/>
        <rFont val="Times New Roman"/>
        <family val="1"/>
      </rPr>
      <t xml:space="preserve">) </t>
    </r>
  </si>
  <si>
    <r>
      <t>Nitrate (NO</t>
    </r>
    <r>
      <rPr>
        <b/>
        <i/>
        <vertAlign val="subscript"/>
        <sz val="11"/>
        <color theme="1"/>
        <rFont val="Times New Roman"/>
        <family val="1"/>
      </rPr>
      <t>3</t>
    </r>
    <r>
      <rPr>
        <b/>
        <i/>
        <sz val="11"/>
        <color theme="1"/>
        <rFont val="Times New Roman"/>
        <family val="1"/>
      </rPr>
      <t>)</t>
    </r>
  </si>
  <si>
    <r>
      <t>Sulphat (SO</t>
    </r>
    <r>
      <rPr>
        <b/>
        <i/>
        <vertAlign val="subscript"/>
        <sz val="11"/>
        <color theme="1"/>
        <rFont val="Times New Roman"/>
        <family val="1"/>
      </rPr>
      <t>4</t>
    </r>
    <r>
      <rPr>
        <b/>
        <i/>
        <vertAlign val="superscript"/>
        <sz val="11"/>
        <color theme="1"/>
        <rFont val="Times New Roman"/>
        <family val="1"/>
      </rPr>
      <t>2</t>
    </r>
    <r>
      <rPr>
        <b/>
        <i/>
        <sz val="11"/>
        <color theme="1"/>
        <rFont val="Times New Roman"/>
        <family val="1"/>
      </rPr>
      <t>)</t>
    </r>
  </si>
  <si>
    <r>
      <t>Photphat (PO</t>
    </r>
    <r>
      <rPr>
        <b/>
        <i/>
        <vertAlign val="subscript"/>
        <sz val="11"/>
        <color theme="1"/>
        <rFont val="Times New Roman"/>
        <family val="1"/>
      </rPr>
      <t>4</t>
    </r>
    <r>
      <rPr>
        <b/>
        <i/>
        <vertAlign val="superscript"/>
        <sz val="11"/>
        <color theme="1"/>
        <rFont val="Times New Roman"/>
        <family val="1"/>
      </rPr>
      <t>3-</t>
    </r>
    <r>
      <rPr>
        <b/>
        <i/>
        <sz val="11"/>
        <color theme="1"/>
        <rFont val="Times New Roman"/>
        <family val="1"/>
      </rPr>
      <t>)</t>
    </r>
  </si>
  <si>
    <r>
      <t>Florua (F</t>
    </r>
    <r>
      <rPr>
        <b/>
        <i/>
        <vertAlign val="superscript"/>
        <sz val="11"/>
        <color theme="1"/>
        <rFont val="Times New Roman"/>
        <family val="1"/>
      </rPr>
      <t>-</t>
    </r>
    <r>
      <rPr>
        <b/>
        <i/>
        <sz val="11"/>
        <color theme="1"/>
        <rFont val="Times New Roman"/>
        <family val="1"/>
      </rPr>
      <t xml:space="preserve">) </t>
    </r>
  </si>
  <si>
    <r>
      <t>Clorua (Cl</t>
    </r>
    <r>
      <rPr>
        <b/>
        <i/>
        <vertAlign val="superscript"/>
        <sz val="11"/>
        <color theme="1"/>
        <rFont val="Times New Roman"/>
        <family val="1"/>
      </rPr>
      <t>-</t>
    </r>
    <r>
      <rPr>
        <b/>
        <i/>
        <sz val="11"/>
        <color theme="1"/>
        <rFont val="Times New Roman"/>
        <family val="1"/>
      </rPr>
      <t>)</t>
    </r>
  </si>
  <si>
    <r>
      <t>Clo dư (Cl</t>
    </r>
    <r>
      <rPr>
        <b/>
        <i/>
        <vertAlign val="subscript"/>
        <sz val="11"/>
        <color theme="1"/>
        <rFont val="Times New Roman"/>
        <family val="1"/>
      </rPr>
      <t>2</t>
    </r>
    <r>
      <rPr>
        <b/>
        <i/>
        <sz val="11"/>
        <color theme="1"/>
        <rFont val="Times New Roman"/>
        <family val="1"/>
      </rPr>
      <t>)</t>
    </r>
  </si>
  <si>
    <t>Như mục 2NT10l1</t>
  </si>
  <si>
    <r>
      <t>Nitơ amôn (NH</t>
    </r>
    <r>
      <rPr>
        <b/>
        <i/>
        <vertAlign val="subscript"/>
        <sz val="12"/>
        <color theme="1"/>
        <rFont val="Times New Roman"/>
        <family val="1"/>
      </rPr>
      <t>4</t>
    </r>
    <r>
      <rPr>
        <b/>
        <i/>
        <vertAlign val="superscript"/>
        <sz val="12"/>
        <color theme="1"/>
        <rFont val="Times New Roman"/>
        <family val="1"/>
      </rPr>
      <t>+</t>
    </r>
    <r>
      <rPr>
        <b/>
        <i/>
        <sz val="12"/>
        <color theme="1"/>
        <rFont val="Times New Roman"/>
        <family val="1"/>
      </rPr>
      <t xml:space="preserve">) </t>
    </r>
  </si>
  <si>
    <r>
      <t>Sunlfua (S</t>
    </r>
    <r>
      <rPr>
        <b/>
        <i/>
        <vertAlign val="superscript"/>
        <sz val="12"/>
        <color theme="1"/>
        <rFont val="Times New Roman"/>
        <family val="1"/>
      </rPr>
      <t>2-</t>
    </r>
    <r>
      <rPr>
        <b/>
        <i/>
        <sz val="12"/>
        <color theme="1"/>
        <rFont val="Times New Roman"/>
        <family val="1"/>
      </rPr>
      <t xml:space="preserve">) </t>
    </r>
  </si>
  <si>
    <r>
      <t>Nitrate (NO</t>
    </r>
    <r>
      <rPr>
        <b/>
        <i/>
        <vertAlign val="subscript"/>
        <sz val="12"/>
        <color theme="1"/>
        <rFont val="Times New Roman"/>
        <family val="1"/>
      </rPr>
      <t>3</t>
    </r>
    <r>
      <rPr>
        <b/>
        <i/>
        <sz val="12"/>
        <color theme="1"/>
        <rFont val="Times New Roman"/>
        <family val="1"/>
      </rPr>
      <t>)</t>
    </r>
  </si>
  <si>
    <r>
      <t>Sulphat (SO</t>
    </r>
    <r>
      <rPr>
        <b/>
        <i/>
        <vertAlign val="subscript"/>
        <sz val="12"/>
        <color theme="1"/>
        <rFont val="Times New Roman"/>
        <family val="1"/>
      </rPr>
      <t>4</t>
    </r>
    <r>
      <rPr>
        <b/>
        <i/>
        <vertAlign val="superscript"/>
        <sz val="12"/>
        <color theme="1"/>
        <rFont val="Times New Roman"/>
        <family val="1"/>
      </rPr>
      <t>2</t>
    </r>
    <r>
      <rPr>
        <b/>
        <i/>
        <sz val="12"/>
        <color theme="1"/>
        <rFont val="Times New Roman"/>
        <family val="1"/>
      </rPr>
      <t>)</t>
    </r>
  </si>
  <si>
    <r>
      <t>Photphat (PO</t>
    </r>
    <r>
      <rPr>
        <b/>
        <i/>
        <vertAlign val="subscript"/>
        <sz val="12"/>
        <color theme="1"/>
        <rFont val="Times New Roman"/>
        <family val="1"/>
      </rPr>
      <t>4</t>
    </r>
    <r>
      <rPr>
        <b/>
        <i/>
        <vertAlign val="superscript"/>
        <sz val="12"/>
        <color theme="1"/>
        <rFont val="Times New Roman"/>
        <family val="1"/>
      </rPr>
      <t>3-</t>
    </r>
    <r>
      <rPr>
        <b/>
        <i/>
        <sz val="12"/>
        <color theme="1"/>
        <rFont val="Times New Roman"/>
        <family val="1"/>
      </rPr>
      <t>)</t>
    </r>
  </si>
  <si>
    <r>
      <t>Florua (F</t>
    </r>
    <r>
      <rPr>
        <b/>
        <i/>
        <vertAlign val="superscript"/>
        <sz val="12"/>
        <color theme="1"/>
        <rFont val="Times New Roman"/>
        <family val="1"/>
      </rPr>
      <t>-</t>
    </r>
    <r>
      <rPr>
        <b/>
        <i/>
        <sz val="12"/>
        <color theme="1"/>
        <rFont val="Times New Roman"/>
        <family val="1"/>
      </rPr>
      <t xml:space="preserve">) </t>
    </r>
  </si>
  <si>
    <r>
      <t>Clorua (Cl</t>
    </r>
    <r>
      <rPr>
        <b/>
        <i/>
        <vertAlign val="superscript"/>
        <sz val="12"/>
        <color theme="1"/>
        <rFont val="Times New Roman"/>
        <family val="1"/>
      </rPr>
      <t>-</t>
    </r>
    <r>
      <rPr>
        <b/>
        <i/>
        <sz val="12"/>
        <color theme="1"/>
        <rFont val="Times New Roman"/>
        <family val="1"/>
      </rPr>
      <t>)</t>
    </r>
  </si>
  <si>
    <r>
      <t>Clo dư (Cl</t>
    </r>
    <r>
      <rPr>
        <b/>
        <i/>
        <vertAlign val="subscript"/>
        <sz val="12"/>
        <color theme="1"/>
        <rFont val="Times New Roman"/>
        <family val="1"/>
      </rPr>
      <t>2</t>
    </r>
    <r>
      <rPr>
        <b/>
        <i/>
        <sz val="12"/>
        <color theme="1"/>
        <rFont val="Times New Roman"/>
        <family val="1"/>
      </rPr>
      <t>)</t>
    </r>
  </si>
  <si>
    <t xml:space="preserve"> Tổng P</t>
  </si>
  <si>
    <t>Hóa chất BVTV clo hữa cơ</t>
  </si>
  <si>
    <t>Như mục 2NT7a3</t>
  </si>
  <si>
    <t>Giầy BHLĐ</t>
  </si>
  <si>
    <t>Găng tay y tế</t>
  </si>
  <si>
    <t>Vận tốc</t>
  </si>
  <si>
    <t>Hóa chất BVTV phốt pho hữu cơ</t>
  </si>
  <si>
    <t>Tổng PCBs</t>
  </si>
  <si>
    <t>Tổng chất rắn lơ lửng (TSS)</t>
  </si>
  <si>
    <t>SMEWW 5210B: 2012</t>
  </si>
  <si>
    <t>US EPA 375.4</t>
  </si>
  <si>
    <r>
      <t>Nhu cầu oxy sinh hoá (BOD</t>
    </r>
    <r>
      <rPr>
        <vertAlign val="subscript"/>
        <sz val="12"/>
        <color theme="1"/>
        <rFont val="Times New Roman"/>
        <family val="1"/>
      </rPr>
      <t>5)</t>
    </r>
  </si>
  <si>
    <t>US EPA 8270D</t>
  </si>
  <si>
    <r>
      <t>Crom (VI) (Cr</t>
    </r>
    <r>
      <rPr>
        <b/>
        <i/>
        <vertAlign val="superscript"/>
        <sz val="12"/>
        <color indexed="60"/>
        <rFont val="Times New Roman"/>
        <family val="1"/>
      </rPr>
      <t>6+</t>
    </r>
    <r>
      <rPr>
        <b/>
        <i/>
        <sz val="12"/>
        <color indexed="60"/>
        <rFont val="Times New Roman"/>
        <family val="1"/>
      </rPr>
      <t>)</t>
    </r>
  </si>
  <si>
    <t xml:space="preserve">Cân phân tích </t>
  </si>
  <si>
    <t>Tủ bảo quản mẫu</t>
  </si>
  <si>
    <t>Coliform (TCVN 6187-1: 2009)</t>
  </si>
  <si>
    <t>E.Coli  (TCVN 6187-2: 2009)</t>
  </si>
  <si>
    <t>Coliform (TCVN 6187-2: 2009)</t>
  </si>
  <si>
    <t>E.Coli (TCVN 6187-1: 2009)</t>
  </si>
  <si>
    <t>E.Coli (TCVN 6187-2: 2009)</t>
  </si>
  <si>
    <t>Chiết pha rắn SPE</t>
  </si>
  <si>
    <t>Áo blue</t>
  </si>
  <si>
    <t xml:space="preserve">Giấy lọc </t>
  </si>
  <si>
    <t>*Thuốc BVTV nhóm Clo hữu cơ: 666, Lindan, Aldrin, Dieldrin, DDE, DDD, DDT, Endosulfan, Endrin, BCH, Heptaclor,Heptaclor Epoxide, Methoxyclor….</t>
  </si>
  <si>
    <t>**Thuốc BVTV cơ photpho: Paration, Methyl paration, Etyl paration, Malation, Diazinon, TrichlorfonTrichlorfon, Dimethoate…</t>
  </si>
  <si>
    <t>***Tổng hàm lượng các PCBs gồm: 28; 52; 101; 118; 138; 153; 180 và 209….</t>
  </si>
  <si>
    <t>Thiết bị cất nước 2 lần</t>
  </si>
  <si>
    <t>Cột khử Cadimi</t>
  </si>
  <si>
    <t xml:space="preserve">Bột Cd </t>
  </si>
  <si>
    <t>CuSO4.5H2O</t>
  </si>
  <si>
    <t>Dung dịch chuẩn NaNO3</t>
  </si>
  <si>
    <t>Dung dịch chuẩn NaNO2</t>
  </si>
  <si>
    <r>
      <t>H</t>
    </r>
    <r>
      <rPr>
        <vertAlign val="subscript"/>
        <sz val="13"/>
        <rFont val="Times New Roman"/>
        <family val="1"/>
      </rPr>
      <t>2</t>
    </r>
    <r>
      <rPr>
        <sz val="13"/>
        <rFont val="Times New Roman"/>
        <family val="1"/>
      </rPr>
      <t>SO</t>
    </r>
    <r>
      <rPr>
        <vertAlign val="subscript"/>
        <sz val="13"/>
        <rFont val="Times New Roman"/>
        <family val="1"/>
      </rPr>
      <t>4</t>
    </r>
    <r>
      <rPr>
        <sz val="13"/>
        <rFont val="Times New Roman"/>
        <family val="1"/>
      </rPr>
      <t xml:space="preserve"> đậm đặc</t>
    </r>
  </si>
  <si>
    <t>EDTA</t>
  </si>
  <si>
    <t>NH4OH</t>
  </si>
  <si>
    <t>Sulfaniamide</t>
  </si>
  <si>
    <t>N-(1-naphyl)-ethyllediamine</t>
  </si>
  <si>
    <r>
      <t>Nhu cầu oxy sinh hoá (BOD</t>
    </r>
    <r>
      <rPr>
        <vertAlign val="subscript"/>
        <sz val="12"/>
        <rFont val="Times New Roman"/>
        <family val="1"/>
      </rPr>
      <t>5</t>
    </r>
  </si>
  <si>
    <r>
      <t xml:space="preserve"> Cyanua (CN</t>
    </r>
    <r>
      <rPr>
        <vertAlign val="superscript"/>
        <sz val="12"/>
        <rFont val="Times New Roman"/>
        <family val="1"/>
      </rPr>
      <t>-</t>
    </r>
    <r>
      <rPr>
        <sz val="12"/>
        <rFont val="Times New Roman"/>
        <family val="1"/>
      </rPr>
      <t>)</t>
    </r>
  </si>
  <si>
    <r>
      <t>Nitơ amôn (NH</t>
    </r>
    <r>
      <rPr>
        <vertAlign val="subscript"/>
        <sz val="12"/>
        <rFont val="Times New Roman"/>
        <family val="1"/>
      </rPr>
      <t>4</t>
    </r>
    <r>
      <rPr>
        <vertAlign val="superscript"/>
        <sz val="12"/>
        <rFont val="Times New Roman"/>
        <family val="1"/>
      </rPr>
      <t>+</t>
    </r>
    <r>
      <rPr>
        <sz val="12"/>
        <rFont val="Times New Roman"/>
        <family val="1"/>
      </rPr>
      <t xml:space="preserve">) </t>
    </r>
  </si>
  <si>
    <r>
      <t>Sunlfua (S</t>
    </r>
    <r>
      <rPr>
        <vertAlign val="superscript"/>
        <sz val="12"/>
        <rFont val="Times New Roman"/>
        <family val="1"/>
      </rPr>
      <t>2-</t>
    </r>
    <r>
      <rPr>
        <sz val="12"/>
        <rFont val="Times New Roman"/>
        <family val="1"/>
      </rPr>
      <t xml:space="preserve">) </t>
    </r>
  </si>
  <si>
    <r>
      <t>Nitrate (NO</t>
    </r>
    <r>
      <rPr>
        <vertAlign val="subscript"/>
        <sz val="12"/>
        <rFont val="Times New Roman"/>
        <family val="1"/>
      </rPr>
      <t>3</t>
    </r>
    <r>
      <rPr>
        <sz val="12"/>
        <rFont val="Times New Roman"/>
        <family val="1"/>
      </rPr>
      <t>)</t>
    </r>
  </si>
  <si>
    <r>
      <t>Sulphat (SO</t>
    </r>
    <r>
      <rPr>
        <vertAlign val="subscript"/>
        <sz val="12"/>
        <rFont val="Times New Roman"/>
        <family val="1"/>
      </rPr>
      <t>4</t>
    </r>
    <r>
      <rPr>
        <vertAlign val="superscript"/>
        <sz val="12"/>
        <rFont val="Times New Roman"/>
        <family val="1"/>
      </rPr>
      <t>2</t>
    </r>
    <r>
      <rPr>
        <sz val="12"/>
        <rFont val="Times New Roman"/>
        <family val="1"/>
      </rPr>
      <t>)</t>
    </r>
  </si>
  <si>
    <r>
      <t>Photphat (PO</t>
    </r>
    <r>
      <rPr>
        <vertAlign val="subscript"/>
        <sz val="12"/>
        <rFont val="Times New Roman"/>
        <family val="1"/>
      </rPr>
      <t>4</t>
    </r>
    <r>
      <rPr>
        <vertAlign val="superscript"/>
        <sz val="12"/>
        <rFont val="Times New Roman"/>
        <family val="1"/>
      </rPr>
      <t>3-</t>
    </r>
    <r>
      <rPr>
        <sz val="12"/>
        <rFont val="Times New Roman"/>
        <family val="1"/>
      </rPr>
      <t>)</t>
    </r>
  </si>
  <si>
    <r>
      <t>Florua (F</t>
    </r>
    <r>
      <rPr>
        <vertAlign val="superscript"/>
        <sz val="12"/>
        <rFont val="Times New Roman"/>
        <family val="1"/>
      </rPr>
      <t>-</t>
    </r>
    <r>
      <rPr>
        <sz val="12"/>
        <rFont val="Times New Roman"/>
        <family val="1"/>
      </rPr>
      <t xml:space="preserve">) </t>
    </r>
  </si>
  <si>
    <r>
      <t>Clorua (Cl</t>
    </r>
    <r>
      <rPr>
        <vertAlign val="superscript"/>
        <sz val="12"/>
        <rFont val="Times New Roman"/>
        <family val="1"/>
      </rPr>
      <t>-</t>
    </r>
    <r>
      <rPr>
        <sz val="12"/>
        <rFont val="Times New Roman"/>
        <family val="1"/>
      </rPr>
      <t>)</t>
    </r>
  </si>
  <si>
    <r>
      <t>Clo dư (Cl</t>
    </r>
    <r>
      <rPr>
        <vertAlign val="subscript"/>
        <sz val="12"/>
        <rFont val="Times New Roman"/>
        <family val="1"/>
      </rPr>
      <t>2</t>
    </r>
    <r>
      <rPr>
        <sz val="12"/>
        <rFont val="Times New Roman"/>
        <family val="1"/>
      </rPr>
      <t>)</t>
    </r>
  </si>
  <si>
    <r>
      <t>Nhu cầu oxy sinh hoá (BOD</t>
    </r>
    <r>
      <rPr>
        <vertAlign val="subscript"/>
        <sz val="12"/>
        <rFont val="Times New Roman"/>
        <family val="1"/>
      </rPr>
      <t>5</t>
    </r>
    <r>
      <rPr>
        <sz val="12"/>
        <rFont val="Times New Roman"/>
        <family val="1"/>
      </rPr>
      <t>)</t>
    </r>
  </si>
  <si>
    <r>
      <t>Nhu cầu oxy sinh hoá (BOD</t>
    </r>
    <r>
      <rPr>
        <vertAlign val="subscript"/>
        <sz val="11"/>
        <rFont val="Times New Roman"/>
        <family val="1"/>
      </rPr>
      <t>5</t>
    </r>
  </si>
  <si>
    <r>
      <t xml:space="preserve"> Cyanua (CN</t>
    </r>
    <r>
      <rPr>
        <vertAlign val="superscript"/>
        <sz val="11"/>
        <rFont val="Times New Roman"/>
        <family val="1"/>
      </rPr>
      <t>-</t>
    </r>
    <r>
      <rPr>
        <sz val="11"/>
        <rFont val="Times New Roman"/>
        <family val="1"/>
      </rPr>
      <t>)</t>
    </r>
  </si>
  <si>
    <r>
      <t>Nitơ amôn (NH</t>
    </r>
    <r>
      <rPr>
        <vertAlign val="subscript"/>
        <sz val="11"/>
        <rFont val="Times New Roman"/>
        <family val="1"/>
      </rPr>
      <t>4</t>
    </r>
    <r>
      <rPr>
        <vertAlign val="superscript"/>
        <sz val="11"/>
        <rFont val="Times New Roman"/>
        <family val="1"/>
      </rPr>
      <t>+</t>
    </r>
    <r>
      <rPr>
        <sz val="11"/>
        <rFont val="Times New Roman"/>
        <family val="1"/>
      </rPr>
      <t xml:space="preserve">) </t>
    </r>
  </si>
  <si>
    <r>
      <t>Sunlfua (S</t>
    </r>
    <r>
      <rPr>
        <vertAlign val="superscript"/>
        <sz val="11"/>
        <rFont val="Times New Roman"/>
        <family val="1"/>
      </rPr>
      <t>2-</t>
    </r>
    <r>
      <rPr>
        <sz val="11"/>
        <rFont val="Times New Roman"/>
        <family val="1"/>
      </rPr>
      <t xml:space="preserve">) </t>
    </r>
  </si>
  <si>
    <r>
      <t>Nitrate (NO</t>
    </r>
    <r>
      <rPr>
        <vertAlign val="subscript"/>
        <sz val="11"/>
        <rFont val="Times New Roman"/>
        <family val="1"/>
      </rPr>
      <t>3</t>
    </r>
    <r>
      <rPr>
        <sz val="11"/>
        <rFont val="Times New Roman"/>
        <family val="1"/>
      </rPr>
      <t>)</t>
    </r>
  </si>
  <si>
    <r>
      <t>Sulphat (SO</t>
    </r>
    <r>
      <rPr>
        <vertAlign val="subscript"/>
        <sz val="11"/>
        <rFont val="Times New Roman"/>
        <family val="1"/>
      </rPr>
      <t>4</t>
    </r>
    <r>
      <rPr>
        <vertAlign val="superscript"/>
        <sz val="11"/>
        <rFont val="Times New Roman"/>
        <family val="1"/>
      </rPr>
      <t>2</t>
    </r>
    <r>
      <rPr>
        <sz val="11"/>
        <rFont val="Times New Roman"/>
        <family val="1"/>
      </rPr>
      <t>)</t>
    </r>
  </si>
  <si>
    <r>
      <t>Photphat (PO</t>
    </r>
    <r>
      <rPr>
        <vertAlign val="subscript"/>
        <sz val="11"/>
        <rFont val="Times New Roman"/>
        <family val="1"/>
      </rPr>
      <t>4</t>
    </r>
    <r>
      <rPr>
        <vertAlign val="superscript"/>
        <sz val="11"/>
        <rFont val="Times New Roman"/>
        <family val="1"/>
      </rPr>
      <t>3-</t>
    </r>
    <r>
      <rPr>
        <sz val="11"/>
        <rFont val="Times New Roman"/>
        <family val="1"/>
      </rPr>
      <t>)</t>
    </r>
  </si>
  <si>
    <r>
      <t>Florua (F</t>
    </r>
    <r>
      <rPr>
        <vertAlign val="superscript"/>
        <sz val="11"/>
        <rFont val="Times New Roman"/>
        <family val="1"/>
      </rPr>
      <t>-</t>
    </r>
    <r>
      <rPr>
        <sz val="11"/>
        <rFont val="Times New Roman"/>
        <family val="1"/>
      </rPr>
      <t xml:space="preserve">) </t>
    </r>
  </si>
  <si>
    <r>
      <t>Clorua (Cl</t>
    </r>
    <r>
      <rPr>
        <vertAlign val="superscript"/>
        <sz val="11"/>
        <rFont val="Times New Roman"/>
        <family val="1"/>
      </rPr>
      <t>-</t>
    </r>
    <r>
      <rPr>
        <sz val="11"/>
        <rFont val="Times New Roman"/>
        <family val="1"/>
      </rPr>
      <t>)</t>
    </r>
  </si>
  <si>
    <r>
      <t>Clo dư (Cl</t>
    </r>
    <r>
      <rPr>
        <vertAlign val="subscript"/>
        <sz val="11"/>
        <rFont val="Times New Roman"/>
        <family val="1"/>
      </rPr>
      <t>2</t>
    </r>
    <r>
      <rPr>
        <sz val="11"/>
        <rFont val="Times New Roman"/>
        <family val="1"/>
      </rPr>
      <t>)</t>
    </r>
  </si>
  <si>
    <r>
      <t>Phân tích đồng thời các kim loại</t>
    </r>
    <r>
      <rPr>
        <i/>
        <sz val="11"/>
        <rFont val="Times New Roman"/>
        <family val="1"/>
      </rPr>
      <t xml:space="preserve"> ( Giá tính cho 01 mẫu)</t>
    </r>
  </si>
  <si>
    <t>- Hệ số lương theo Nghị định số 204/2004/NĐ-CP ngày 14 tháng 12 năm 2004 của Chính phủ về chế độ tiền lương đối với cán bộ công chức, viên chức và lực lượng vũ trang và chế độ phụ cấp lương trong các công ty nhà nước;
- Mức đóng các khoản bảo hiểm (BHXH, BHYT, BHTN) theo quy định tại Luật Bảo hiểm xã hội năm 2006;
- Mức lương tối thiểu theo Nghị định số 99/2015/QH13 ngày 11 tháng 11 năm 2015  của Quốc hội khóa 13 quy định mức lương tối thiểu chung là 1.300.000 đồng /tháng;
- Số ngày công trong 1 tháng là: 26 ngày</t>
  </si>
  <si>
    <t>1QTVTNMT hạng IV.2</t>
  </si>
  <si>
    <t>Quan trắc viên tài nguyên môi trường hạng IV bậc 2</t>
  </si>
  <si>
    <t>1QTVTNMT hạng IV.3</t>
  </si>
  <si>
    <t>Quan trắc viên tài nguyên môi trường hạng IV bậc 3</t>
  </si>
  <si>
    <t>1QTVTNMT hạng III.1</t>
  </si>
  <si>
    <t>Quan trắc viên tài nguyên môi trường hạng III bậc 1</t>
  </si>
  <si>
    <t>1QTVTNMT hạng III.2</t>
  </si>
  <si>
    <t>Quan trắc viên tài nguyên môi trường hạng III bậc 2</t>
  </si>
  <si>
    <t>1QTVTNMT hạng III.3</t>
  </si>
  <si>
    <t>Quan trắc viên tài nguyên môi trường hạng III bậc 3</t>
  </si>
  <si>
    <t>1QTVTNMT hạng III.4</t>
  </si>
  <si>
    <t>Quan trắc viên tài nguyên môi trường hạng III bậc 4</t>
  </si>
  <si>
    <t>Quan trắc viên tài nguyên môi trường hạng III bậc 5</t>
  </si>
  <si>
    <t>Máy chưng cất đạm tự động</t>
  </si>
  <si>
    <r>
      <t>Nhu cầu oxy sinh hoá (BOD</t>
    </r>
    <r>
      <rPr>
        <vertAlign val="subscript"/>
        <sz val="11"/>
        <rFont val="Times New Roman"/>
        <family val="1"/>
      </rPr>
      <t>5)</t>
    </r>
  </si>
  <si>
    <t>Đơn giá 
 (không VAT)</t>
  </si>
  <si>
    <t>1NT4a</t>
  </si>
  <si>
    <t>1NT4b</t>
  </si>
  <si>
    <t>1NT10k1</t>
  </si>
  <si>
    <t>1NT10k2</t>
  </si>
  <si>
    <r>
      <t>Kim loại nặng (Pb</t>
    </r>
    <r>
      <rPr>
        <sz val="12"/>
        <rFont val="Times New Roman"/>
        <family val="1"/>
      </rPr>
      <t xml:space="preserve">) </t>
    </r>
  </si>
  <si>
    <t xml:space="preserve">Kim loại nặng (Cd) </t>
  </si>
  <si>
    <t>1NT10l1</t>
  </si>
  <si>
    <t>1NT10l2</t>
  </si>
  <si>
    <t>1NT10m1</t>
  </si>
  <si>
    <t>1NT10m2</t>
  </si>
  <si>
    <t>1NT10m3</t>
  </si>
  <si>
    <t>1NT10m4</t>
  </si>
  <si>
    <t>1NT10m5</t>
  </si>
  <si>
    <t>1NT10m6</t>
  </si>
  <si>
    <t>Kim loại  (Cu)</t>
  </si>
  <si>
    <t>Kim loại (Zn)</t>
  </si>
  <si>
    <t>Kim loại (Mn)</t>
  </si>
  <si>
    <t>Kim loại (Fe)</t>
  </si>
  <si>
    <t>Kim loại (Cr)</t>
  </si>
  <si>
    <t>Kim loại (Ni)</t>
  </si>
  <si>
    <t>2NT10k1</t>
  </si>
  <si>
    <t>2NT10k2</t>
  </si>
  <si>
    <r>
      <t>Kim loại nặng (</t>
    </r>
    <r>
      <rPr>
        <sz val="12"/>
        <rFont val="Times New Roman"/>
        <family val="1"/>
      </rPr>
      <t xml:space="preserve">Cd) </t>
    </r>
  </si>
  <si>
    <t>2NT10m1</t>
  </si>
  <si>
    <t>2NT10m2</t>
  </si>
  <si>
    <t>2NT10m3</t>
  </si>
  <si>
    <t>2NT10m4</t>
  </si>
  <si>
    <t>2NT10m5</t>
  </si>
  <si>
    <t>2NT10m6</t>
  </si>
  <si>
    <t>Độ màu</t>
  </si>
  <si>
    <t>Như mục 1NT 4a</t>
  </si>
  <si>
    <t>Kim loại nặng Pd</t>
  </si>
  <si>
    <t>Kim loại nặng Cd</t>
  </si>
  <si>
    <t>Như mục 2NT10k1</t>
  </si>
  <si>
    <t>Kim loạiCu</t>
  </si>
  <si>
    <t>Như mục 2NT10m1</t>
  </si>
  <si>
    <t>Như mục 2NT10m2</t>
  </si>
  <si>
    <t>Như mục 2NT10m3</t>
  </si>
  <si>
    <t>Như mục 2NT10m4</t>
  </si>
  <si>
    <t>Như mục 2NT10m5</t>
  </si>
  <si>
    <t>Như mục 1NT4a</t>
  </si>
  <si>
    <t>Tổng hóa chất BVTV clo hữa cơ</t>
  </si>
  <si>
    <r>
      <t xml:space="preserve"> Kim loại nặng (Pb</t>
    </r>
    <r>
      <rPr>
        <b/>
        <sz val="11"/>
        <color theme="1"/>
        <rFont val="Times New Roman"/>
        <family val="1"/>
      </rPr>
      <t xml:space="preserve">) </t>
    </r>
  </si>
  <si>
    <t>Như mục 1NT10k1</t>
  </si>
  <si>
    <t xml:space="preserve"> TDS</t>
  </si>
  <si>
    <t xml:space="preserve">Kim loại nặng (Pb) </t>
  </si>
  <si>
    <t>Kim loại nặng (Pb)</t>
  </si>
  <si>
    <t>Kim loại ( Cu)</t>
  </si>
  <si>
    <t>Như mục 2NT10k2</t>
  </si>
  <si>
    <t xml:space="preserve">Hóa Chất BVTV clo hữu cơ </t>
  </si>
  <si>
    <t>Hóa Chất BVTV phot pho hữu cơ</t>
  </si>
  <si>
    <t>Hóa chất BVTV nhóm Clo hữu cơ</t>
  </si>
  <si>
    <t>Hệ số lương tối thiểu: 1.300.000 đồng/ tháng</t>
  </si>
  <si>
    <t>Cốc cân</t>
  </si>
  <si>
    <t>1QTVTNMT hạng IV.2a</t>
  </si>
  <si>
    <t>1QTVTNMT hạng III.1a</t>
  </si>
  <si>
    <t>1QTVTNMT hạng III.2a</t>
  </si>
  <si>
    <t>1QTVTNMT hạng III.3a</t>
  </si>
  <si>
    <t>1QTVTNMT hạng III.4a</t>
  </si>
  <si>
    <t>1QTVTNMT hạng III.5a</t>
  </si>
  <si>
    <t>(9) = 23.5%*(4)</t>
  </si>
  <si>
    <t>(10)=9+4+5+6+7+8</t>
  </si>
  <si>
    <t>(11)=(10)/26</t>
  </si>
  <si>
    <t>6=1+2+3+4</t>
  </si>
  <si>
    <t>7=6*20%</t>
  </si>
  <si>
    <t>8=6+7</t>
  </si>
  <si>
    <t>Bếp điện có điều chỉnh nhiệt độ</t>
  </si>
  <si>
    <t>HCl đậm đặc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</si>
</sst>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0.000"/>
    <numFmt numFmtId="165" formatCode="_(* #,##0.00_);_(* \(#,##0.00\);_(* &quot;-&quot;&quot;?&quot;&quot;?&quot;_);_(@_)"/>
    <numFmt numFmtId="166" formatCode="_(* #,##0_);_(* \(#,##0\);_(* &quot;-&quot;&quot;?&quot;&quot;?&quot;_);_(@_)"/>
    <numFmt numFmtId="167" formatCode="_(* #,##0_);_(* \(#,##0\);_(* &quot;-&quot;??_);_(@_)"/>
    <numFmt numFmtId="168" formatCode="0.0000"/>
    <numFmt numFmtId="169" formatCode="_(* #,##0.000_);_(* \(#,##0.000\);_(* &quot;-&quot;&quot;?&quot;&quot;?&quot;_);_(@_)"/>
  </numFmts>
  <fonts count="99" x14ac:knownFonts="1">
    <font>
      <sz val="11"/>
      <color theme="1"/>
      <name val="Calibri"/>
      <family val="2"/>
      <scheme val="minor"/>
    </font>
    <font>
      <sz val="11"/>
      <color theme="1"/>
      <name val="Times New Roman"/>
      <family val="1"/>
    </font>
    <font>
      <sz val="12"/>
      <color theme="1"/>
      <name val="Times New Roman"/>
      <family val="1"/>
    </font>
    <font>
      <b/>
      <sz val="12"/>
      <color theme="1"/>
      <name val="Times New Roman"/>
      <family val="1"/>
    </font>
    <font>
      <sz val="12"/>
      <name val="Times New Roman"/>
      <family val="1"/>
    </font>
    <font>
      <sz val="13"/>
      <name val="Times New Roman"/>
      <family val="1"/>
    </font>
    <font>
      <b/>
      <i/>
      <sz val="12"/>
      <name val="Times New Roman"/>
      <family val="1"/>
    </font>
    <font>
      <i/>
      <sz val="12"/>
      <name val="Times New Roman"/>
      <family val="1"/>
    </font>
    <font>
      <b/>
      <sz val="12"/>
      <name val="Times New Roman"/>
      <family val="1"/>
    </font>
    <font>
      <sz val="11"/>
      <name val="Times New Roman"/>
      <family val="1"/>
    </font>
    <font>
      <sz val="10"/>
      <name val="Arial"/>
      <family val="2"/>
    </font>
    <font>
      <sz val="11"/>
      <color theme="1"/>
      <name val="Calibri"/>
      <family val="2"/>
      <scheme val="minor"/>
    </font>
    <font>
      <i/>
      <vertAlign val="subscript"/>
      <sz val="12"/>
      <name val="Times New Roman"/>
      <family val="1"/>
    </font>
    <font>
      <b/>
      <sz val="13"/>
      <name val="Times New Roman"/>
      <family val="1"/>
    </font>
    <font>
      <b/>
      <sz val="11"/>
      <color theme="1"/>
      <name val="Times New Roman"/>
      <family val="1"/>
    </font>
    <font>
      <sz val="12"/>
      <color theme="1"/>
      <name val="Calibri"/>
      <family val="2"/>
      <scheme val="minor"/>
    </font>
    <font>
      <vertAlign val="subscript"/>
      <sz val="12"/>
      <color theme="1"/>
      <name val="Times New Roman"/>
      <family val="1"/>
    </font>
    <font>
      <vertAlign val="superscript"/>
      <sz val="12"/>
      <color theme="1"/>
      <name val="Times New Roman"/>
      <family val="1"/>
    </font>
    <font>
      <b/>
      <vertAlign val="subscript"/>
      <sz val="11"/>
      <color theme="1"/>
      <name val="Times New Roman"/>
      <family val="1"/>
    </font>
    <font>
      <b/>
      <vertAlign val="superscript"/>
      <sz val="11"/>
      <color theme="1"/>
      <name val="Times New Roman"/>
      <family val="1"/>
    </font>
    <font>
      <sz val="11"/>
      <color rgb="FF000000"/>
      <name val="Times New Roman"/>
      <family val="1"/>
    </font>
    <font>
      <b/>
      <sz val="11"/>
      <name val="Times New Roman"/>
      <family val="1"/>
    </font>
    <font>
      <b/>
      <vertAlign val="subscript"/>
      <sz val="11"/>
      <name val="Times New Roman"/>
      <family val="1"/>
    </font>
    <font>
      <b/>
      <i/>
      <sz val="11"/>
      <name val="Times New Roman"/>
      <family val="1"/>
    </font>
    <font>
      <i/>
      <sz val="11"/>
      <name val="Times New Roman"/>
      <family val="1"/>
    </font>
    <font>
      <b/>
      <sz val="12"/>
      <name val="Times New Roman"/>
      <family val="1"/>
      <charset val="163"/>
    </font>
    <font>
      <b/>
      <sz val="12"/>
      <color theme="1"/>
      <name val="Calibri"/>
      <family val="2"/>
      <scheme val="minor"/>
    </font>
    <font>
      <i/>
      <sz val="11"/>
      <color theme="1"/>
      <name val="Times New Roman"/>
      <family val="1"/>
    </font>
    <font>
      <vertAlign val="subscript"/>
      <sz val="11"/>
      <color indexed="8"/>
      <name val="Times New Roman"/>
      <family val="1"/>
    </font>
    <font>
      <sz val="11"/>
      <color indexed="8"/>
      <name val="Times New Roman"/>
      <family val="1"/>
    </font>
    <font>
      <sz val="13"/>
      <color rgb="FF000000"/>
      <name val="Times New Roman"/>
      <family val="1"/>
    </font>
    <font>
      <sz val="12"/>
      <color indexed="10"/>
      <name val="Times New Roman"/>
      <family val="1"/>
    </font>
    <font>
      <b/>
      <i/>
      <sz val="13"/>
      <color rgb="FFC00000"/>
      <name val="Times New Roman"/>
      <family val="1"/>
    </font>
    <font>
      <b/>
      <sz val="9"/>
      <color indexed="81"/>
      <name val="Tahoma"/>
      <family val="2"/>
    </font>
    <font>
      <sz val="9"/>
      <color indexed="81"/>
      <name val="Tahoma"/>
      <family val="2"/>
    </font>
    <font>
      <b/>
      <i/>
      <sz val="13"/>
      <color rgb="FFFF0000"/>
      <name val="Times New Roman"/>
      <family val="1"/>
    </font>
    <font>
      <b/>
      <u/>
      <sz val="11"/>
      <name val="Arial"/>
      <family val="2"/>
    </font>
    <font>
      <b/>
      <sz val="11"/>
      <name val="Times New Roman"/>
      <family val="1"/>
      <charset val="163"/>
    </font>
    <font>
      <vertAlign val="subscript"/>
      <sz val="11"/>
      <name val="Times New Roman"/>
      <family val="1"/>
    </font>
    <font>
      <sz val="11"/>
      <name val="Times New Roman"/>
      <family val="1"/>
      <charset val="163"/>
    </font>
    <font>
      <vertAlign val="superscript"/>
      <sz val="11"/>
      <name val="Times New Roman"/>
      <family val="1"/>
    </font>
    <font>
      <vertAlign val="subscript"/>
      <sz val="11"/>
      <color theme="1"/>
      <name val="Times New Roman"/>
      <family val="1"/>
    </font>
    <font>
      <vertAlign val="subscript"/>
      <sz val="11"/>
      <color rgb="FF000000"/>
      <name val="Times New Roman"/>
      <family val="1"/>
    </font>
    <font>
      <b/>
      <i/>
      <sz val="11"/>
      <color rgb="FFFF0000"/>
      <name val="Times New Roman"/>
      <family val="1"/>
    </font>
    <font>
      <b/>
      <i/>
      <sz val="11"/>
      <color indexed="10"/>
      <name val="Arial"/>
      <family val="2"/>
    </font>
    <font>
      <sz val="11"/>
      <color rgb="FFFF0000"/>
      <name val="Times New Roman"/>
      <family val="1"/>
    </font>
    <font>
      <sz val="11"/>
      <color indexed="10"/>
      <name val="Arial"/>
      <family val="2"/>
    </font>
    <font>
      <vertAlign val="subscript"/>
      <sz val="11"/>
      <color indexed="10"/>
      <name val="Times New Roman"/>
      <family val="1"/>
    </font>
    <font>
      <sz val="11"/>
      <color indexed="10"/>
      <name val="Times New Roman"/>
      <family val="1"/>
    </font>
    <font>
      <sz val="12"/>
      <name val="Times New Roman"/>
      <family val="1"/>
      <charset val="163"/>
    </font>
    <font>
      <sz val="12"/>
      <color indexed="10"/>
      <name val="Times New Roman"/>
      <family val="1"/>
      <charset val="163"/>
    </font>
    <font>
      <sz val="14"/>
      <name val="Times New Roman"/>
      <family val="1"/>
      <charset val="163"/>
    </font>
    <font>
      <b/>
      <sz val="8"/>
      <color indexed="81"/>
      <name val="Tahoma"/>
      <family val="2"/>
    </font>
    <font>
      <sz val="8"/>
      <color indexed="81"/>
      <name val="Tahoma"/>
      <family val="2"/>
    </font>
    <font>
      <b/>
      <sz val="11"/>
      <color theme="1"/>
      <name val="Times New Roman"/>
      <family val="1"/>
      <charset val="163"/>
    </font>
    <font>
      <b/>
      <i/>
      <sz val="11"/>
      <color theme="1"/>
      <name val="Times New Roman"/>
      <family val="1"/>
    </font>
    <font>
      <b/>
      <i/>
      <sz val="11"/>
      <name val="Times New Roman"/>
      <family val="1"/>
      <charset val="163"/>
    </font>
    <font>
      <b/>
      <sz val="11"/>
      <color rgb="FFFF0000"/>
      <name val="Times New Roman"/>
      <family val="1"/>
    </font>
    <font>
      <b/>
      <i/>
      <sz val="13"/>
      <name val="Times New Roman"/>
      <family val="1"/>
    </font>
    <font>
      <b/>
      <vertAlign val="subscript"/>
      <sz val="11"/>
      <name val="Times New Roman"/>
      <family val="1"/>
      <charset val="163"/>
    </font>
    <font>
      <b/>
      <vertAlign val="superscript"/>
      <sz val="12"/>
      <color theme="1"/>
      <name val="Times New Roman"/>
      <family val="1"/>
    </font>
    <font>
      <sz val="13"/>
      <color theme="1"/>
      <name val="Times New Roman"/>
      <family val="1"/>
    </font>
    <font>
      <b/>
      <sz val="13"/>
      <color theme="1"/>
      <name val="Times New Roman"/>
      <family val="1"/>
    </font>
    <font>
      <b/>
      <vertAlign val="superscript"/>
      <sz val="13"/>
      <name val="Times New Roman"/>
      <family val="1"/>
    </font>
    <font>
      <b/>
      <vertAlign val="subscript"/>
      <sz val="13"/>
      <name val="Times New Roman"/>
      <family val="1"/>
    </font>
    <font>
      <i/>
      <vertAlign val="subscript"/>
      <sz val="13"/>
      <name val="Times New Roman"/>
      <family val="1"/>
    </font>
    <font>
      <i/>
      <sz val="13"/>
      <name val="Times New Roman"/>
      <family val="1"/>
    </font>
    <font>
      <b/>
      <i/>
      <vertAlign val="superscript"/>
      <sz val="13"/>
      <name val="Times New Roman"/>
      <family val="1"/>
    </font>
    <font>
      <i/>
      <vertAlign val="superscript"/>
      <sz val="13"/>
      <name val="Times New Roman"/>
      <family val="1"/>
    </font>
    <font>
      <b/>
      <i/>
      <vertAlign val="subscript"/>
      <sz val="13"/>
      <name val="Times New Roman"/>
      <family val="1"/>
    </font>
    <font>
      <b/>
      <i/>
      <sz val="13"/>
      <color theme="1"/>
      <name val="Times New Roman"/>
      <family val="1"/>
    </font>
    <font>
      <sz val="13"/>
      <color rgb="FFFF0000"/>
      <name val="Times New Roman"/>
      <family val="1"/>
    </font>
    <font>
      <sz val="12"/>
      <color rgb="FFFF0000"/>
      <name val="Times New Roman"/>
      <family val="1"/>
    </font>
    <font>
      <vertAlign val="subscript"/>
      <sz val="13"/>
      <color indexed="8"/>
      <name val="Times New Roman"/>
      <family val="1"/>
    </font>
    <font>
      <sz val="13"/>
      <color indexed="8"/>
      <name val="Times New Roman"/>
      <family val="1"/>
    </font>
    <font>
      <vertAlign val="subscript"/>
      <sz val="12"/>
      <name val="Times New Roman"/>
      <family val="1"/>
    </font>
    <font>
      <sz val="10"/>
      <color rgb="FF222222"/>
      <name val="Arial"/>
      <family val="2"/>
    </font>
    <font>
      <vertAlign val="subscript"/>
      <sz val="10"/>
      <color rgb="FF222222"/>
      <name val="Arial"/>
      <family val="2"/>
    </font>
    <font>
      <sz val="14"/>
      <color rgb="FF333333"/>
      <name val="Times New Roman"/>
      <family val="1"/>
    </font>
    <font>
      <b/>
      <i/>
      <vertAlign val="subscript"/>
      <sz val="11"/>
      <color theme="1"/>
      <name val="Times New Roman"/>
      <family val="1"/>
    </font>
    <font>
      <b/>
      <i/>
      <vertAlign val="superscript"/>
      <sz val="11"/>
      <color theme="1"/>
      <name val="Times New Roman"/>
      <family val="1"/>
    </font>
    <font>
      <b/>
      <i/>
      <sz val="11"/>
      <color rgb="FF000000"/>
      <name val="Times New Roman"/>
      <family val="1"/>
    </font>
    <font>
      <b/>
      <i/>
      <sz val="12"/>
      <color theme="1"/>
      <name val="Times New Roman"/>
      <family val="1"/>
    </font>
    <font>
      <b/>
      <i/>
      <vertAlign val="subscript"/>
      <sz val="12"/>
      <color theme="1"/>
      <name val="Times New Roman"/>
      <family val="1"/>
    </font>
    <font>
      <b/>
      <i/>
      <vertAlign val="superscript"/>
      <sz val="12"/>
      <color theme="1"/>
      <name val="Times New Roman"/>
      <family val="1"/>
    </font>
    <font>
      <b/>
      <i/>
      <sz val="12"/>
      <color rgb="FF000000"/>
      <name val="Times New Roman"/>
      <family val="1"/>
    </font>
    <font>
      <sz val="12"/>
      <color rgb="FF000000"/>
      <name val="Times New Roman"/>
      <family val="1"/>
    </font>
    <font>
      <b/>
      <i/>
      <sz val="12"/>
      <color rgb="FFC00000"/>
      <name val="Times New Roman"/>
      <family val="1"/>
    </font>
    <font>
      <b/>
      <i/>
      <vertAlign val="superscript"/>
      <sz val="12"/>
      <color indexed="60"/>
      <name val="Times New Roman"/>
      <family val="1"/>
    </font>
    <font>
      <b/>
      <i/>
      <sz val="12"/>
      <color indexed="60"/>
      <name val="Times New Roman"/>
      <family val="1"/>
    </font>
    <font>
      <sz val="10"/>
      <color theme="1"/>
      <name val="Times New Roman"/>
      <family val="1"/>
    </font>
    <font>
      <vertAlign val="subscript"/>
      <sz val="13"/>
      <name val="Times New Roman"/>
      <family val="1"/>
    </font>
    <font>
      <sz val="14"/>
      <name val="Times New Roman"/>
      <family val="1"/>
    </font>
    <font>
      <sz val="12"/>
      <name val="Calibri"/>
      <family val="2"/>
      <scheme val="minor"/>
    </font>
    <font>
      <vertAlign val="superscript"/>
      <sz val="12"/>
      <name val="Times New Roman"/>
      <family val="1"/>
    </font>
    <font>
      <b/>
      <i/>
      <sz val="14"/>
      <name val="Times New Roman"/>
      <family val="1"/>
    </font>
    <font>
      <b/>
      <sz val="14"/>
      <name val="Times New Roman"/>
      <family val="1"/>
    </font>
    <font>
      <b/>
      <i/>
      <sz val="14"/>
      <color theme="1"/>
      <name val="Times New Roman"/>
      <family val="1"/>
    </font>
    <font>
      <b/>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8"/>
      </left>
      <right style="thin">
        <color indexed="8"/>
      </right>
      <top style="hair">
        <color indexed="8"/>
      </top>
      <bottom style="hair">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hair">
        <color indexed="8"/>
      </top>
      <bottom style="hair">
        <color indexed="64"/>
      </bottom>
      <diagonal/>
    </border>
    <border>
      <left/>
      <right/>
      <top style="hair">
        <color indexed="8"/>
      </top>
      <bottom style="hair">
        <color indexed="64"/>
      </bottom>
      <diagonal/>
    </border>
    <border>
      <left/>
      <right style="thin">
        <color indexed="64"/>
      </right>
      <top style="hair">
        <color indexed="8"/>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s>
  <cellStyleXfs count="4">
    <xf numFmtId="0" fontId="0" fillId="0" borderId="0"/>
    <xf numFmtId="0" fontId="10" fillId="0" borderId="0"/>
    <xf numFmtId="43" fontId="11" fillId="0" borderId="0" applyFont="0" applyFill="0" applyBorder="0" applyAlignment="0" applyProtection="0"/>
    <xf numFmtId="165" fontId="10" fillId="0" borderId="0" applyFont="0" applyFill="0" applyBorder="0" applyAlignment="0" applyProtection="0"/>
  </cellStyleXfs>
  <cellXfs count="591">
    <xf numFmtId="0" fontId="0" fillId="0" borderId="0" xfId="0"/>
    <xf numFmtId="0" fontId="2" fillId="0" borderId="1" xfId="0" applyFont="1" applyBorder="1" applyAlignment="1">
      <alignment vertical="center" wrapText="1"/>
    </xf>
    <xf numFmtId="0" fontId="8" fillId="0" borderId="1" xfId="0" applyFont="1" applyFill="1" applyBorder="1" applyAlignment="1">
      <alignment horizontal="center" vertical="top" wrapText="1"/>
    </xf>
    <xf numFmtId="164" fontId="8" fillId="0" borderId="1" xfId="0" applyNumberFormat="1" applyFont="1" applyFill="1" applyBorder="1" applyAlignment="1">
      <alignment horizontal="center" vertical="top"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4" fillId="0" borderId="1" xfId="0" applyFont="1" applyBorder="1" applyAlignment="1">
      <alignment horizontal="center" vertical="center" wrapText="1"/>
    </xf>
    <xf numFmtId="0" fontId="15" fillId="0" borderId="0" xfId="0" applyFont="1"/>
    <xf numFmtId="0" fontId="2" fillId="0" borderId="1" xfId="0" applyFont="1" applyBorder="1" applyAlignment="1">
      <alignment horizontal="justify" vertical="center" wrapText="1"/>
    </xf>
    <xf numFmtId="0" fontId="1" fillId="0" borderId="0" xfId="0" applyFont="1"/>
    <xf numFmtId="0" fontId="1" fillId="0" borderId="1" xfId="0" applyFont="1" applyBorder="1" applyAlignment="1">
      <alignment horizontal="center" vertical="center"/>
    </xf>
    <xf numFmtId="0" fontId="14" fillId="0" borderId="1" xfId="0" applyFont="1" applyBorder="1" applyAlignment="1">
      <alignment horizontal="center" vertical="center"/>
    </xf>
    <xf numFmtId="0" fontId="1" fillId="0" borderId="1" xfId="0" applyFont="1" applyBorder="1" applyAlignment="1">
      <alignment vertical="center"/>
    </xf>
    <xf numFmtId="0" fontId="9" fillId="0" borderId="3" xfId="0" applyFont="1" applyFill="1" applyBorder="1" applyAlignment="1">
      <alignment horizontal="center" vertical="top" wrapText="1"/>
    </xf>
    <xf numFmtId="164" fontId="9" fillId="0" borderId="3" xfId="0" applyNumberFormat="1" applyFont="1" applyFill="1" applyBorder="1" applyAlignment="1">
      <alignment horizontal="center" vertical="top" wrapText="1"/>
    </xf>
    <xf numFmtId="0" fontId="14" fillId="0" borderId="0" xfId="0" applyFont="1" applyAlignment="1">
      <alignment horizontal="center" vertical="center"/>
    </xf>
    <xf numFmtId="0" fontId="1" fillId="0" borderId="0" xfId="0" applyFont="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4" fillId="0" borderId="1" xfId="0" applyFont="1" applyBorder="1" applyAlignment="1">
      <alignment vertical="center"/>
    </xf>
    <xf numFmtId="0" fontId="7" fillId="0" borderId="0" xfId="1" applyFont="1" applyBorder="1" applyAlignment="1">
      <alignment vertical="center"/>
    </xf>
    <xf numFmtId="0" fontId="4" fillId="0" borderId="0" xfId="1" applyFont="1" applyBorder="1" applyAlignment="1">
      <alignment vertical="center"/>
    </xf>
    <xf numFmtId="0" fontId="4" fillId="0" borderId="0" xfId="1" applyFont="1" applyBorder="1" applyAlignment="1">
      <alignment horizontal="center" vertical="center"/>
    </xf>
    <xf numFmtId="3" fontId="4" fillId="0" borderId="0" xfId="1" applyNumberFormat="1" applyFont="1" applyBorder="1" applyAlignment="1">
      <alignment vertical="center"/>
    </xf>
    <xf numFmtId="3" fontId="8" fillId="3" borderId="1" xfId="1" applyNumberFormat="1" applyFont="1" applyFill="1" applyBorder="1" applyAlignment="1">
      <alignment horizontal="center" vertical="center"/>
    </xf>
    <xf numFmtId="0" fontId="8" fillId="0" borderId="0" xfId="1" applyFont="1" applyBorder="1" applyAlignment="1">
      <alignment horizontal="center" vertical="center"/>
    </xf>
    <xf numFmtId="0" fontId="8" fillId="4" borderId="1" xfId="1" quotePrefix="1" applyFont="1" applyFill="1" applyBorder="1" applyAlignment="1">
      <alignment horizontal="center" vertical="top" wrapText="1"/>
    </xf>
    <xf numFmtId="0" fontId="8" fillId="4" borderId="1" xfId="1" applyFont="1" applyFill="1" applyBorder="1" applyAlignment="1">
      <alignment horizontal="center" vertical="center"/>
    </xf>
    <xf numFmtId="0" fontId="8" fillId="4" borderId="1" xfId="1" applyFont="1" applyFill="1" applyBorder="1" applyAlignment="1">
      <alignment vertical="center"/>
    </xf>
    <xf numFmtId="0" fontId="4" fillId="4" borderId="1" xfId="1" applyFont="1" applyFill="1" applyBorder="1" applyAlignment="1">
      <alignment horizontal="center" vertical="center"/>
    </xf>
    <xf numFmtId="3" fontId="4" fillId="4" borderId="1" xfId="1" applyNumberFormat="1" applyFont="1" applyFill="1" applyBorder="1" applyAlignment="1">
      <alignment vertical="center"/>
    </xf>
    <xf numFmtId="165" fontId="4" fillId="4" borderId="1" xfId="3" applyFont="1" applyFill="1" applyBorder="1" applyAlignment="1">
      <alignment vertical="center"/>
    </xf>
    <xf numFmtId="0" fontId="4" fillId="4" borderId="0" xfId="1" applyFont="1" applyFill="1" applyBorder="1" applyAlignment="1">
      <alignment vertical="center"/>
    </xf>
    <xf numFmtId="2" fontId="4" fillId="0" borderId="1" xfId="1" applyNumberFormat="1" applyFont="1" applyFill="1" applyBorder="1" applyAlignment="1">
      <alignment horizontal="center" vertical="center"/>
    </xf>
    <xf numFmtId="166" fontId="4" fillId="0" borderId="1" xfId="3" applyNumberFormat="1" applyFont="1" applyBorder="1" applyAlignment="1">
      <alignment vertical="center"/>
    </xf>
    <xf numFmtId="166" fontId="8" fillId="0" borderId="1" xfId="3" applyNumberFormat="1" applyFont="1" applyBorder="1" applyAlignment="1">
      <alignment vertical="center"/>
    </xf>
    <xf numFmtId="0" fontId="4" fillId="0" borderId="1" xfId="1" applyFont="1" applyBorder="1" applyAlignment="1">
      <alignment horizontal="center" vertical="center"/>
    </xf>
    <xf numFmtId="3" fontId="4" fillId="0" borderId="1" xfId="1" applyNumberFormat="1" applyFont="1" applyBorder="1" applyAlignment="1">
      <alignment vertical="center"/>
    </xf>
    <xf numFmtId="4" fontId="4" fillId="0" borderId="0" xfId="1" applyNumberFormat="1" applyFont="1" applyBorder="1" applyAlignment="1">
      <alignment vertical="center"/>
    </xf>
    <xf numFmtId="0" fontId="8" fillId="0" borderId="1" xfId="0" applyFont="1" applyBorder="1" applyAlignment="1">
      <alignment horizontal="center" vertical="top" wrapText="1"/>
    </xf>
    <xf numFmtId="167" fontId="8" fillId="0" borderId="1" xfId="2" applyNumberFormat="1" applyFont="1" applyBorder="1" applyAlignment="1">
      <alignment horizontal="center" vertical="top" wrapText="1"/>
    </xf>
    <xf numFmtId="0" fontId="25" fillId="0" borderId="0" xfId="0" applyFont="1" applyBorder="1" applyAlignment="1">
      <alignment vertical="center" wrapText="1"/>
    </xf>
    <xf numFmtId="0" fontId="26" fillId="0" borderId="0" xfId="0" applyFont="1"/>
    <xf numFmtId="0" fontId="25" fillId="0" borderId="1" xfId="0" applyFont="1" applyBorder="1" applyAlignment="1">
      <alignment horizontal="center" vertical="top" wrapText="1"/>
    </xf>
    <xf numFmtId="164" fontId="8" fillId="0" borderId="1" xfId="0" applyNumberFormat="1" applyFont="1" applyBorder="1" applyAlignment="1">
      <alignment horizontal="center" vertical="top" wrapText="1"/>
    </xf>
    <xf numFmtId="3" fontId="23" fillId="0" borderId="1" xfId="0" applyNumberFormat="1" applyFont="1" applyFill="1" applyBorder="1" applyAlignment="1">
      <alignment horizontal="right" vertical="top"/>
    </xf>
    <xf numFmtId="3" fontId="9" fillId="0" borderId="1" xfId="0" applyNumberFormat="1" applyFont="1" applyFill="1" applyBorder="1" applyAlignment="1">
      <alignment vertical="top" wrapText="1"/>
    </xf>
    <xf numFmtId="3" fontId="9" fillId="0" borderId="1" xfId="0" applyNumberFormat="1" applyFont="1" applyFill="1" applyBorder="1" applyAlignment="1">
      <alignment horizontal="right" vertical="top" wrapText="1"/>
    </xf>
    <xf numFmtId="0" fontId="9" fillId="0" borderId="1" xfId="0" applyFont="1" applyBorder="1" applyAlignment="1">
      <alignment horizontal="left" vertical="center" wrapText="1"/>
    </xf>
    <xf numFmtId="0" fontId="9" fillId="0" borderId="2" xfId="0" applyFont="1" applyFill="1" applyBorder="1" applyAlignment="1">
      <alignment vertical="top" wrapText="1"/>
    </xf>
    <xf numFmtId="0" fontId="9" fillId="0" borderId="2" xfId="0" applyFont="1" applyFill="1" applyBorder="1" applyAlignment="1">
      <alignment horizontal="center" vertical="top" wrapText="1"/>
    </xf>
    <xf numFmtId="164" fontId="9" fillId="0" borderId="2" xfId="0" applyNumberFormat="1" applyFont="1" applyFill="1" applyBorder="1" applyAlignment="1">
      <alignment horizontal="center" vertical="top" wrapText="1"/>
    </xf>
    <xf numFmtId="0" fontId="9" fillId="0" borderId="2" xfId="0" applyFont="1" applyBorder="1" applyAlignment="1">
      <alignment horizontal="center" vertical="top" wrapText="1"/>
    </xf>
    <xf numFmtId="0" fontId="9" fillId="0" borderId="3" xfId="0" applyFont="1" applyFill="1" applyBorder="1" applyAlignment="1">
      <alignment vertical="top"/>
    </xf>
    <xf numFmtId="0" fontId="9" fillId="0" borderId="3" xfId="0" applyFont="1" applyFill="1" applyBorder="1" applyAlignment="1">
      <alignment horizontal="center" vertical="top"/>
    </xf>
    <xf numFmtId="164" fontId="9" fillId="0" borderId="3" xfId="0" applyNumberFormat="1" applyFont="1" applyFill="1" applyBorder="1" applyAlignment="1">
      <alignment horizontal="center" vertical="top"/>
    </xf>
    <xf numFmtId="0" fontId="9" fillId="0" borderId="3" xfId="0" applyFont="1" applyFill="1" applyBorder="1" applyAlignment="1">
      <alignment vertical="top" wrapText="1"/>
    </xf>
    <xf numFmtId="0" fontId="9" fillId="0" borderId="9" xfId="0" applyFont="1" applyFill="1" applyBorder="1" applyAlignment="1">
      <alignment vertical="top" wrapText="1"/>
    </xf>
    <xf numFmtId="0" fontId="9" fillId="0" borderId="9" xfId="0" applyFont="1" applyFill="1" applyBorder="1" applyAlignment="1">
      <alignment horizontal="center" vertical="top" wrapText="1"/>
    </xf>
    <xf numFmtId="0" fontId="9" fillId="0" borderId="9" xfId="0" applyFont="1" applyBorder="1" applyAlignment="1">
      <alignment horizontal="center" vertical="top"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9" fillId="0" borderId="10" xfId="0" applyFont="1" applyFill="1" applyBorder="1" applyAlignment="1">
      <alignment vertical="top" wrapText="1"/>
    </xf>
    <xf numFmtId="0" fontId="9" fillId="0" borderId="10" xfId="0" applyFont="1" applyFill="1" applyBorder="1" applyAlignment="1">
      <alignment horizontal="center" vertical="top" wrapText="1"/>
    </xf>
    <xf numFmtId="0" fontId="9" fillId="0" borderId="10" xfId="0" applyFont="1" applyBorder="1" applyAlignment="1">
      <alignment horizontal="center" vertical="top" wrapText="1"/>
    </xf>
    <xf numFmtId="0" fontId="14" fillId="0" borderId="0" xfId="0" applyFont="1"/>
    <xf numFmtId="0" fontId="9" fillId="0" borderId="2" xfId="0" applyFont="1" applyFill="1" applyBorder="1" applyAlignment="1">
      <alignment horizontal="justify" vertical="top" wrapText="1"/>
    </xf>
    <xf numFmtId="0" fontId="23" fillId="0" borderId="2" xfId="0" applyFont="1" applyBorder="1" applyAlignment="1">
      <alignment horizontal="center" vertical="center" wrapText="1"/>
    </xf>
    <xf numFmtId="0" fontId="9" fillId="0" borderId="2" xfId="0" applyFont="1" applyBorder="1" applyAlignment="1">
      <alignment horizontal="center" vertical="center" wrapText="1"/>
    </xf>
    <xf numFmtId="0" fontId="9" fillId="0" borderId="2" xfId="0" applyFont="1" applyBorder="1" applyAlignment="1">
      <alignment horizontal="justify" vertical="top" wrapText="1"/>
    </xf>
    <xf numFmtId="3" fontId="23" fillId="0" borderId="12" xfId="0" applyNumberFormat="1" applyFont="1" applyFill="1" applyBorder="1" applyAlignment="1">
      <alignment horizontal="right" vertical="top"/>
    </xf>
    <xf numFmtId="0" fontId="21" fillId="0" borderId="0" xfId="0" applyFont="1" applyFill="1" applyBorder="1" applyAlignment="1">
      <alignment vertical="top" wrapText="1"/>
    </xf>
    <xf numFmtId="0" fontId="4" fillId="0" borderId="1" xfId="0" applyFont="1" applyFill="1" applyBorder="1" applyAlignment="1">
      <alignment horizontal="justify" vertical="top" wrapText="1"/>
    </xf>
    <xf numFmtId="0" fontId="4" fillId="0" borderId="1" xfId="0" applyFont="1" applyFill="1" applyBorder="1" applyAlignment="1">
      <alignment horizontal="center" vertical="top" wrapText="1"/>
    </xf>
    <xf numFmtId="0" fontId="20" fillId="0" borderId="0" xfId="0" applyFont="1"/>
    <xf numFmtId="165" fontId="4" fillId="0" borderId="0" xfId="3" applyFont="1" applyFill="1"/>
    <xf numFmtId="165" fontId="4" fillId="0" borderId="0" xfId="3" applyFont="1" applyFill="1" applyBorder="1" applyAlignment="1">
      <alignment horizontal="center"/>
    </xf>
    <xf numFmtId="165" fontId="8" fillId="0" borderId="1" xfId="3" applyFont="1" applyFill="1" applyBorder="1" applyAlignment="1">
      <alignment horizontal="center" vertical="center" wrapText="1"/>
    </xf>
    <xf numFmtId="165" fontId="8" fillId="0" borderId="1" xfId="3" applyFont="1" applyFill="1" applyBorder="1" applyAlignment="1">
      <alignment horizontal="left" vertical="center" wrapText="1"/>
    </xf>
    <xf numFmtId="165" fontId="4" fillId="0" borderId="1" xfId="3" applyFont="1" applyFill="1" applyBorder="1" applyAlignment="1">
      <alignment horizontal="left" vertical="center" wrapText="1"/>
    </xf>
    <xf numFmtId="0" fontId="8" fillId="0" borderId="1" xfId="1" applyFont="1" applyFill="1" applyBorder="1" applyAlignment="1">
      <alignment horizontal="center" vertical="top" wrapText="1"/>
    </xf>
    <xf numFmtId="0" fontId="4" fillId="0" borderId="1" xfId="1" applyFont="1" applyFill="1" applyBorder="1" applyAlignment="1">
      <alignment horizontal="center" vertical="top" wrapText="1"/>
    </xf>
    <xf numFmtId="0" fontId="4" fillId="0" borderId="1" xfId="0" applyFont="1" applyBorder="1" applyAlignment="1">
      <alignment horizontal="center" vertical="center" wrapText="1"/>
    </xf>
    <xf numFmtId="0" fontId="20" fillId="0" borderId="1" xfId="0" applyFont="1" applyBorder="1" applyAlignment="1">
      <alignment vertical="center" wrapText="1"/>
    </xf>
    <xf numFmtId="0" fontId="20" fillId="0" borderId="1" xfId="0" applyFont="1" applyBorder="1" applyAlignment="1">
      <alignment horizontal="center" vertical="center" wrapText="1"/>
    </xf>
    <xf numFmtId="0" fontId="20" fillId="0" borderId="1" xfId="0" applyFont="1" applyBorder="1" applyAlignment="1">
      <alignment horizontal="justify" vertical="center" wrapText="1"/>
    </xf>
    <xf numFmtId="0" fontId="30" fillId="0" borderId="1" xfId="0" applyFont="1" applyBorder="1" applyAlignment="1">
      <alignment horizontal="center"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21" fillId="0" borderId="11" xfId="0" applyFont="1" applyFill="1" applyBorder="1" applyAlignment="1">
      <alignment vertical="center" wrapText="1"/>
    </xf>
    <xf numFmtId="3" fontId="21" fillId="0" borderId="1" xfId="0" applyNumberFormat="1" applyFont="1" applyFill="1" applyBorder="1" applyAlignment="1">
      <alignment vertical="center" wrapText="1"/>
    </xf>
    <xf numFmtId="0" fontId="4" fillId="0" borderId="1" xfId="0" applyFont="1" applyFill="1" applyBorder="1" applyAlignment="1">
      <alignment horizontal="left" vertical="top" wrapText="1"/>
    </xf>
    <xf numFmtId="2" fontId="5" fillId="0" borderId="1" xfId="0" applyNumberFormat="1" applyFont="1" applyBorder="1" applyAlignment="1">
      <alignment horizontal="center" vertical="top" wrapText="1"/>
    </xf>
    <xf numFmtId="0" fontId="8" fillId="0" borderId="1" xfId="0" applyFont="1" applyFill="1" applyBorder="1" applyAlignment="1">
      <alignment horizontal="left" vertical="top" wrapText="1"/>
    </xf>
    <xf numFmtId="2" fontId="5" fillId="0" borderId="1" xfId="2" applyNumberFormat="1" applyFont="1" applyBorder="1" applyAlignment="1">
      <alignment horizontal="center" vertical="top" wrapText="1"/>
    </xf>
    <xf numFmtId="0" fontId="1" fillId="0" borderId="1" xfId="0" applyFont="1" applyBorder="1"/>
    <xf numFmtId="0" fontId="21" fillId="0" borderId="0" xfId="0" applyFont="1" applyBorder="1" applyAlignment="1">
      <alignment horizontal="center" vertical="center" wrapText="1"/>
    </xf>
    <xf numFmtId="3" fontId="21" fillId="0"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wrapText="1"/>
    </xf>
    <xf numFmtId="0" fontId="14" fillId="0" borderId="1" xfId="0" applyFont="1" applyBorder="1" applyAlignment="1">
      <alignment horizontal="justify" vertical="center"/>
    </xf>
    <xf numFmtId="164" fontId="1" fillId="0" borderId="1" xfId="0" applyNumberFormat="1" applyFont="1" applyBorder="1" applyAlignment="1">
      <alignment horizontal="center" vertical="center"/>
    </xf>
    <xf numFmtId="3" fontId="23" fillId="0" borderId="1" xfId="0" applyNumberFormat="1" applyFont="1" applyFill="1" applyBorder="1" applyAlignment="1">
      <alignment vertical="center" wrapText="1"/>
    </xf>
    <xf numFmtId="0" fontId="9"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164" fontId="9" fillId="0" borderId="1" xfId="0" applyNumberFormat="1" applyFont="1" applyBorder="1" applyAlignment="1">
      <alignment horizontal="center" vertical="top" wrapText="1"/>
    </xf>
    <xf numFmtId="3" fontId="9" fillId="0" borderId="1" xfId="0" applyNumberFormat="1" applyFont="1" applyFill="1" applyBorder="1" applyAlignment="1">
      <alignment vertical="center" wrapText="1"/>
    </xf>
    <xf numFmtId="3" fontId="39" fillId="0" borderId="1" xfId="0" applyNumberFormat="1" applyFont="1" applyFill="1" applyBorder="1" applyAlignment="1">
      <alignment horizontal="right" vertical="center" wrapText="1"/>
    </xf>
    <xf numFmtId="164" fontId="1" fillId="0" borderId="1" xfId="0" applyNumberFormat="1" applyFont="1" applyBorder="1" applyAlignment="1">
      <alignment horizontal="center" vertical="center" wrapText="1"/>
    </xf>
    <xf numFmtId="168" fontId="9" fillId="0" borderId="1" xfId="0" applyNumberFormat="1" applyFont="1" applyBorder="1" applyAlignment="1">
      <alignment horizontal="center" vertical="center" wrapText="1"/>
    </xf>
    <xf numFmtId="0" fontId="9" fillId="0" borderId="0" xfId="0" applyFont="1"/>
    <xf numFmtId="164" fontId="9" fillId="0" borderId="1" xfId="0" applyNumberFormat="1" applyFont="1" applyFill="1" applyBorder="1" applyAlignment="1">
      <alignment horizontal="center" vertical="center" wrapText="1"/>
    </xf>
    <xf numFmtId="0" fontId="9" fillId="0" borderId="1" xfId="0" applyFont="1" applyFill="1" applyBorder="1" applyAlignment="1">
      <alignment horizontal="justify" vertical="top" wrapText="1"/>
    </xf>
    <xf numFmtId="0" fontId="21" fillId="0" borderId="1" xfId="0" applyFont="1" applyFill="1" applyBorder="1" applyAlignment="1">
      <alignment horizontal="justify" vertical="top" wrapText="1"/>
    </xf>
    <xf numFmtId="3" fontId="21" fillId="0" borderId="1" xfId="0" applyNumberFormat="1" applyFont="1" applyFill="1" applyBorder="1" applyAlignment="1">
      <alignment horizontal="right" vertical="center" wrapText="1"/>
    </xf>
    <xf numFmtId="0" fontId="9" fillId="0" borderId="1" xfId="0" applyFont="1" applyFill="1" applyBorder="1" applyAlignment="1">
      <alignment horizontal="center" vertical="top" wrapText="1"/>
    </xf>
    <xf numFmtId="0" fontId="9" fillId="0" borderId="1" xfId="0" applyFont="1" applyFill="1" applyBorder="1"/>
    <xf numFmtId="0" fontId="14" fillId="2" borderId="1" xfId="0" applyFont="1" applyFill="1" applyBorder="1" applyAlignment="1">
      <alignment vertical="center" wrapText="1"/>
    </xf>
    <xf numFmtId="164" fontId="20" fillId="0" borderId="1" xfId="0" applyNumberFormat="1" applyFont="1" applyBorder="1" applyAlignment="1">
      <alignment horizontal="center" vertical="center" wrapText="1"/>
    </xf>
    <xf numFmtId="0" fontId="20" fillId="0" borderId="1" xfId="0" applyFont="1" applyBorder="1" applyAlignment="1">
      <alignment wrapText="1"/>
    </xf>
    <xf numFmtId="164" fontId="9" fillId="0" borderId="1" xfId="0" applyNumberFormat="1" applyFont="1" applyFill="1" applyBorder="1" applyAlignment="1">
      <alignment horizontal="center" vertical="top" wrapText="1"/>
    </xf>
    <xf numFmtId="0" fontId="9" fillId="0" borderId="1" xfId="1" applyFont="1" applyFill="1" applyBorder="1" applyAlignment="1">
      <alignment horizontal="justify" vertical="top" wrapText="1"/>
    </xf>
    <xf numFmtId="0" fontId="43" fillId="0" borderId="1" xfId="0" applyFont="1" applyBorder="1" applyAlignment="1">
      <alignment horizontal="center" vertical="center" wrapText="1"/>
    </xf>
    <xf numFmtId="164" fontId="23" fillId="0" borderId="1" xfId="0" applyNumberFormat="1" applyFont="1" applyFill="1" applyBorder="1" applyAlignment="1">
      <alignment horizontal="center" vertical="top" wrapText="1"/>
    </xf>
    <xf numFmtId="166" fontId="23" fillId="0" borderId="1" xfId="3" applyNumberFormat="1" applyFont="1" applyFill="1" applyBorder="1" applyAlignment="1">
      <alignment vertical="top"/>
    </xf>
    <xf numFmtId="0" fontId="44" fillId="0" borderId="0" xfId="0" applyFont="1" applyFill="1"/>
    <xf numFmtId="0" fontId="45" fillId="0" borderId="1" xfId="0" applyFont="1" applyBorder="1" applyAlignment="1">
      <alignment horizontal="center" vertical="center" wrapText="1"/>
    </xf>
    <xf numFmtId="0" fontId="45" fillId="0" borderId="1" xfId="0" applyFont="1" applyBorder="1" applyAlignment="1">
      <alignment horizontal="justify" vertical="center" wrapText="1"/>
    </xf>
    <xf numFmtId="164" fontId="45" fillId="0" borderId="1" xfId="0" applyNumberFormat="1" applyFont="1" applyBorder="1" applyAlignment="1">
      <alignment horizontal="center" vertical="center" wrapText="1"/>
    </xf>
    <xf numFmtId="0" fontId="46" fillId="0" borderId="0" xfId="0" applyFont="1" applyFill="1"/>
    <xf numFmtId="2" fontId="9" fillId="0" borderId="1" xfId="0" applyNumberFormat="1" applyFont="1" applyFill="1" applyBorder="1" applyAlignment="1">
      <alignment horizontal="center" vertical="top" wrapText="1"/>
    </xf>
    <xf numFmtId="0" fontId="9" fillId="0" borderId="2" xfId="1" applyFont="1" applyFill="1" applyBorder="1" applyAlignment="1">
      <alignment vertical="top" wrapText="1"/>
    </xf>
    <xf numFmtId="0" fontId="1" fillId="0" borderId="1" xfId="0" applyFont="1" applyBorder="1" applyAlignment="1">
      <alignment horizontal="left" wrapText="1"/>
    </xf>
    <xf numFmtId="0" fontId="23" fillId="0" borderId="1" xfId="0" applyFont="1" applyFill="1" applyBorder="1" applyAlignment="1">
      <alignment vertical="top" wrapText="1"/>
    </xf>
    <xf numFmtId="164" fontId="23" fillId="0" borderId="1" xfId="0" applyNumberFormat="1" applyFont="1" applyFill="1" applyBorder="1" applyAlignment="1">
      <alignment vertical="top" wrapText="1"/>
    </xf>
    <xf numFmtId="164" fontId="14" fillId="0" borderId="1" xfId="0" applyNumberFormat="1" applyFont="1" applyBorder="1" applyAlignment="1">
      <alignment vertical="center"/>
    </xf>
    <xf numFmtId="0" fontId="23" fillId="0" borderId="1" xfId="0" applyFont="1" applyFill="1" applyBorder="1" applyAlignment="1">
      <alignment vertical="top"/>
    </xf>
    <xf numFmtId="164" fontId="23" fillId="0" borderId="1" xfId="0" applyNumberFormat="1" applyFont="1" applyFill="1" applyBorder="1" applyAlignment="1">
      <alignment horizontal="center" vertical="top"/>
    </xf>
    <xf numFmtId="0" fontId="4" fillId="0" borderId="2" xfId="0" applyFont="1" applyFill="1" applyBorder="1" applyAlignment="1">
      <alignment horizontal="justify" vertical="center" wrapText="1"/>
    </xf>
    <xf numFmtId="0" fontId="8" fillId="0" borderId="4" xfId="0" applyFont="1" applyBorder="1" applyAlignment="1">
      <alignment vertical="top"/>
    </xf>
    <xf numFmtId="0" fontId="8" fillId="0" borderId="5" xfId="0" applyFont="1" applyBorder="1" applyAlignment="1">
      <alignment vertical="top"/>
    </xf>
    <xf numFmtId="0" fontId="5" fillId="0" borderId="1" xfId="0" applyFont="1" applyBorder="1" applyAlignment="1">
      <alignment horizontal="left" vertical="center" wrapText="1"/>
    </xf>
    <xf numFmtId="0" fontId="6" fillId="0" borderId="6" xfId="0" applyFont="1" applyFill="1" applyBorder="1" applyAlignment="1">
      <alignment vertical="top" wrapText="1"/>
    </xf>
    <xf numFmtId="0" fontId="32" fillId="0" borderId="6" xfId="0" applyFont="1" applyBorder="1" applyAlignment="1">
      <alignment vertical="center" wrapText="1"/>
    </xf>
    <xf numFmtId="0" fontId="14" fillId="0" borderId="1" xfId="0" applyFont="1" applyBorder="1" applyAlignment="1">
      <alignment horizontal="center" vertical="center" wrapText="1"/>
    </xf>
    <xf numFmtId="0" fontId="21" fillId="0" borderId="0" xfId="0" applyFont="1" applyFill="1" applyBorder="1" applyAlignment="1">
      <alignment horizontal="center" vertical="top" wrapText="1"/>
    </xf>
    <xf numFmtId="0" fontId="6" fillId="0" borderId="1" xfId="0" applyFont="1" applyFill="1" applyBorder="1" applyAlignment="1">
      <alignment horizontal="center" vertical="top" wrapText="1"/>
    </xf>
    <xf numFmtId="0" fontId="8" fillId="0" borderId="1" xfId="0" applyFont="1" applyBorder="1" applyAlignment="1">
      <alignment horizontal="right" vertical="top" wrapText="1"/>
    </xf>
    <xf numFmtId="0" fontId="4" fillId="0" borderId="1" xfId="0" applyFont="1" applyBorder="1" applyAlignment="1">
      <alignment horizontal="center" vertical="top" wrapText="1"/>
    </xf>
    <xf numFmtId="0" fontId="49" fillId="0" borderId="1" xfId="0" applyFont="1" applyBorder="1" applyAlignment="1">
      <alignment horizontal="justify" vertical="center" wrapText="1"/>
    </xf>
    <xf numFmtId="0" fontId="50" fillId="0" borderId="1" xfId="0" applyFont="1" applyBorder="1" applyAlignment="1">
      <alignment horizontal="left" vertical="center" wrapText="1"/>
    </xf>
    <xf numFmtId="0" fontId="49" fillId="0" borderId="1" xfId="0" applyFont="1" applyBorder="1" applyAlignment="1">
      <alignment horizontal="center" vertical="center" wrapText="1"/>
    </xf>
    <xf numFmtId="3" fontId="49" fillId="0" borderId="1" xfId="0" applyNumberFormat="1" applyFont="1" applyFill="1" applyBorder="1" applyAlignment="1">
      <alignment horizontal="right" vertical="center"/>
    </xf>
    <xf numFmtId="0" fontId="49" fillId="0" borderId="1" xfId="0" applyFont="1" applyBorder="1" applyAlignment="1">
      <alignment vertical="center" wrapText="1"/>
    </xf>
    <xf numFmtId="0" fontId="51" fillId="0" borderId="1" xfId="0" applyFont="1" applyBorder="1" applyAlignment="1">
      <alignment horizontal="center" vertical="center" wrapText="1"/>
    </xf>
    <xf numFmtId="0" fontId="54" fillId="0" borderId="1" xfId="0" applyFont="1" applyBorder="1" applyAlignment="1">
      <alignment horizontal="center" vertical="center"/>
    </xf>
    <xf numFmtId="0" fontId="54" fillId="0" borderId="1" xfId="0" applyFont="1" applyBorder="1" applyAlignment="1">
      <alignment vertical="center"/>
    </xf>
    <xf numFmtId="0" fontId="4" fillId="0" borderId="2" xfId="1" applyFont="1" applyFill="1" applyBorder="1" applyAlignment="1">
      <alignment horizontal="justify" vertical="top" wrapText="1"/>
    </xf>
    <xf numFmtId="0" fontId="55" fillId="0" borderId="1" xfId="0" applyFont="1" applyBorder="1" applyAlignment="1">
      <alignment horizontal="center" vertical="center"/>
    </xf>
    <xf numFmtId="3" fontId="21" fillId="0" borderId="1" xfId="0" applyNumberFormat="1" applyFont="1" applyFill="1" applyBorder="1" applyAlignment="1">
      <alignment horizontal="right" vertical="top" wrapText="1"/>
    </xf>
    <xf numFmtId="0" fontId="2" fillId="0" borderId="1" xfId="0" applyFont="1" applyBorder="1" applyAlignment="1">
      <alignment horizontal="left" vertical="center" wrapText="1"/>
    </xf>
    <xf numFmtId="0" fontId="6" fillId="0" borderId="1" xfId="0" applyFont="1" applyFill="1" applyBorder="1" applyAlignment="1">
      <alignment vertical="top" wrapText="1"/>
    </xf>
    <xf numFmtId="0" fontId="55" fillId="0" borderId="4" xfId="0" applyFont="1" applyBorder="1" applyAlignment="1">
      <alignment vertical="center"/>
    </xf>
    <xf numFmtId="3" fontId="23" fillId="0" borderId="1" xfId="0" applyNumberFormat="1" applyFont="1" applyFill="1" applyBorder="1" applyAlignment="1">
      <alignment horizontal="right" vertical="top" wrapText="1"/>
    </xf>
    <xf numFmtId="0" fontId="8" fillId="0" borderId="1" xfId="0" applyFont="1" applyFill="1" applyBorder="1" applyAlignment="1">
      <alignment horizontal="left" vertical="top"/>
    </xf>
    <xf numFmtId="3" fontId="8" fillId="0" borderId="1" xfId="0" applyNumberFormat="1" applyFont="1" applyFill="1" applyBorder="1" applyAlignment="1">
      <alignment vertical="top"/>
    </xf>
    <xf numFmtId="0" fontId="8" fillId="0" borderId="1" xfId="0" applyFont="1" applyFill="1" applyBorder="1" applyAlignment="1">
      <alignment vertical="top"/>
    </xf>
    <xf numFmtId="0" fontId="14" fillId="0" borderId="12" xfId="0" applyFont="1" applyBorder="1" applyAlignment="1">
      <alignment horizontal="center" vertical="center"/>
    </xf>
    <xf numFmtId="0" fontId="37" fillId="0" borderId="1" xfId="0" applyFont="1" applyBorder="1"/>
    <xf numFmtId="0" fontId="1" fillId="0" borderId="1" xfId="0" applyFont="1" applyBorder="1" applyAlignment="1">
      <alignment horizontal="left" vertical="center"/>
    </xf>
    <xf numFmtId="0" fontId="37" fillId="0" borderId="1" xfId="0" applyFont="1" applyBorder="1" applyAlignment="1">
      <alignment horizontal="center" vertical="center"/>
    </xf>
    <xf numFmtId="0" fontId="58" fillId="0" borderId="1" xfId="0" applyFont="1" applyBorder="1" applyAlignment="1">
      <alignment horizontal="left" vertical="top" wrapText="1"/>
    </xf>
    <xf numFmtId="0" fontId="5" fillId="0" borderId="1" xfId="0" applyFont="1" applyBorder="1" applyAlignment="1">
      <alignment wrapText="1"/>
    </xf>
    <xf numFmtId="0" fontId="5" fillId="0" borderId="1" xfId="0" applyFont="1" applyBorder="1" applyAlignment="1">
      <alignment horizontal="center" wrapText="1"/>
    </xf>
    <xf numFmtId="0" fontId="4" fillId="0" borderId="1" xfId="0" applyFont="1" applyFill="1" applyBorder="1" applyAlignment="1">
      <alignment vertical="center" wrapText="1"/>
    </xf>
    <xf numFmtId="0" fontId="4" fillId="0" borderId="1" xfId="0" applyFont="1" applyBorder="1" applyAlignment="1">
      <alignment vertical="center" wrapText="1"/>
    </xf>
    <xf numFmtId="0" fontId="23" fillId="0" borderId="1" xfId="0" applyFont="1" applyBorder="1" applyAlignment="1">
      <alignment vertical="top" wrapText="1"/>
    </xf>
    <xf numFmtId="167" fontId="23" fillId="0" borderId="1" xfId="2" applyNumberFormat="1" applyFont="1" applyBorder="1" applyAlignment="1">
      <alignment vertical="top" wrapText="1"/>
    </xf>
    <xf numFmtId="0" fontId="56" fillId="0" borderId="5" xfId="0" applyFont="1" applyBorder="1" applyAlignment="1"/>
    <xf numFmtId="167" fontId="56" fillId="0" borderId="6" xfId="2" applyNumberFormat="1" applyFont="1" applyBorder="1" applyAlignment="1"/>
    <xf numFmtId="0" fontId="3" fillId="0" borderId="1" xfId="0" applyFont="1" applyBorder="1" applyAlignment="1">
      <alignment horizontal="left" vertical="center" wrapText="1"/>
    </xf>
    <xf numFmtId="0" fontId="23" fillId="0"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57" fillId="0" borderId="1" xfId="0" applyFont="1" applyFill="1" applyBorder="1" applyAlignment="1">
      <alignment horizontal="center" vertical="center" wrapText="1"/>
    </xf>
    <xf numFmtId="0" fontId="23" fillId="0" borderId="1" xfId="0" applyFont="1" applyBorder="1" applyAlignment="1">
      <alignment horizontal="center" vertical="center" wrapText="1"/>
    </xf>
    <xf numFmtId="3" fontId="23" fillId="0" borderId="1" xfId="0" applyNumberFormat="1" applyFont="1" applyFill="1" applyBorder="1" applyAlignment="1">
      <alignment horizontal="right" vertical="center" wrapText="1"/>
    </xf>
    <xf numFmtId="167" fontId="6" fillId="0" borderId="1" xfId="2" applyNumberFormat="1" applyFont="1" applyFill="1" applyBorder="1" applyAlignment="1">
      <alignment vertical="top" wrapText="1"/>
    </xf>
    <xf numFmtId="167" fontId="6" fillId="0" borderId="1" xfId="2" applyNumberFormat="1" applyFont="1" applyFill="1" applyBorder="1" applyAlignment="1">
      <alignment horizontal="center" vertical="top" wrapText="1"/>
    </xf>
    <xf numFmtId="0" fontId="13" fillId="0" borderId="1" xfId="0" applyFont="1" applyFill="1" applyBorder="1" applyAlignment="1">
      <alignment horizontal="center" vertical="center" wrapText="1"/>
    </xf>
    <xf numFmtId="0" fontId="13" fillId="0" borderId="1" xfId="0" applyFont="1" applyFill="1" applyBorder="1" applyAlignment="1">
      <alignment horizontal="center" vertical="top" wrapText="1"/>
    </xf>
    <xf numFmtId="164" fontId="13" fillId="0" borderId="1" xfId="0" applyNumberFormat="1" applyFont="1" applyFill="1" applyBorder="1" applyAlignment="1">
      <alignment horizontal="center" vertical="top" wrapText="1"/>
    </xf>
    <xf numFmtId="166" fontId="13" fillId="0" borderId="1" xfId="3" applyNumberFormat="1" applyFont="1" applyFill="1" applyBorder="1" applyAlignment="1">
      <alignment horizontal="center" vertical="top" wrapText="1"/>
    </xf>
    <xf numFmtId="0" fontId="61" fillId="0" borderId="0" xfId="0" applyFont="1"/>
    <xf numFmtId="0" fontId="62" fillId="0" borderId="0" xfId="0" applyFont="1"/>
    <xf numFmtId="0" fontId="13" fillId="0" borderId="1" xfId="0" applyFont="1" applyFill="1" applyBorder="1" applyAlignment="1">
      <alignment horizontal="left" vertical="top" wrapText="1"/>
    </xf>
    <xf numFmtId="0" fontId="61" fillId="0" borderId="1" xfId="0" applyFont="1" applyBorder="1" applyAlignment="1">
      <alignment horizontal="center" vertical="center"/>
    </xf>
    <xf numFmtId="0" fontId="61" fillId="0" borderId="1" xfId="0" applyFont="1" applyBorder="1" applyAlignment="1">
      <alignment horizontal="left" vertical="center"/>
    </xf>
    <xf numFmtId="3" fontId="5" fillId="0" borderId="1" xfId="0" applyNumberFormat="1" applyFont="1" applyFill="1" applyBorder="1" applyAlignment="1">
      <alignment horizontal="right" vertical="top" wrapText="1"/>
    </xf>
    <xf numFmtId="0" fontId="58" fillId="0" borderId="1" xfId="0" applyFont="1" applyFill="1" applyBorder="1" applyAlignment="1">
      <alignment vertical="top" wrapText="1"/>
    </xf>
    <xf numFmtId="164" fontId="5" fillId="0" borderId="1" xfId="0" applyNumberFormat="1" applyFont="1" applyFill="1" applyBorder="1" applyAlignment="1">
      <alignment horizontal="center" vertical="top" wrapText="1"/>
    </xf>
    <xf numFmtId="0" fontId="61" fillId="5" borderId="0" xfId="0" applyFont="1" applyFill="1"/>
    <xf numFmtId="0" fontId="62" fillId="0" borderId="1" xfId="0" applyFont="1" applyBorder="1" applyAlignment="1">
      <alignment horizontal="center" vertical="center"/>
    </xf>
    <xf numFmtId="2" fontId="66" fillId="0" borderId="1" xfId="0" applyNumberFormat="1" applyFont="1" applyFill="1" applyBorder="1" applyAlignment="1">
      <alignment horizontal="center" vertical="top" wrapText="1"/>
    </xf>
    <xf numFmtId="0" fontId="61" fillId="0" borderId="1" xfId="0" applyFont="1" applyBorder="1"/>
    <xf numFmtId="3" fontId="61" fillId="0" borderId="1" xfId="0" applyNumberFormat="1" applyFont="1" applyBorder="1"/>
    <xf numFmtId="0" fontId="5" fillId="0" borderId="1" xfId="0" applyFont="1" applyFill="1" applyBorder="1" applyAlignment="1">
      <alignment horizontal="left" vertical="top" wrapText="1"/>
    </xf>
    <xf numFmtId="0" fontId="5" fillId="0" borderId="1" xfId="0" applyFont="1" applyFill="1" applyBorder="1" applyAlignment="1">
      <alignment horizontal="center" vertical="top" wrapText="1"/>
    </xf>
    <xf numFmtId="166" fontId="5" fillId="0" borderId="1" xfId="3" applyNumberFormat="1" applyFont="1" applyFill="1" applyBorder="1" applyAlignment="1">
      <alignment vertical="top" wrapText="1"/>
    </xf>
    <xf numFmtId="0" fontId="61" fillId="0" borderId="0" xfId="0" applyFont="1" applyFill="1" applyAlignment="1">
      <alignment vertical="center"/>
    </xf>
    <xf numFmtId="0" fontId="58" fillId="0" borderId="1" xfId="0" applyFont="1" applyFill="1" applyBorder="1" applyAlignment="1">
      <alignment horizontal="left" vertical="top" wrapText="1"/>
    </xf>
    <xf numFmtId="2" fontId="5" fillId="0" borderId="1" xfId="0" applyNumberFormat="1" applyFont="1" applyFill="1" applyBorder="1" applyAlignment="1">
      <alignment horizontal="center" vertical="top" wrapText="1"/>
    </xf>
    <xf numFmtId="3" fontId="13" fillId="0" borderId="1" xfId="0" applyNumberFormat="1" applyFont="1" applyFill="1" applyBorder="1" applyAlignment="1">
      <alignment horizontal="right" vertical="top" wrapText="1"/>
    </xf>
    <xf numFmtId="0" fontId="5" fillId="0" borderId="1" xfId="0" applyFont="1" applyFill="1" applyBorder="1" applyAlignment="1">
      <alignment horizontal="justify" vertical="top" wrapText="1"/>
    </xf>
    <xf numFmtId="2" fontId="13" fillId="0" borderId="1" xfId="0" applyNumberFormat="1" applyFont="1" applyFill="1" applyBorder="1" applyAlignment="1">
      <alignment horizontal="center" vertical="top" wrapText="1"/>
    </xf>
    <xf numFmtId="0" fontId="58" fillId="0" borderId="1" xfId="0" applyFont="1" applyBorder="1" applyAlignment="1">
      <alignment horizontal="center" vertical="top" wrapText="1"/>
    </xf>
    <xf numFmtId="0" fontId="58" fillId="0" borderId="1" xfId="0" applyFont="1" applyFill="1" applyBorder="1" applyAlignment="1">
      <alignment horizontal="center" vertical="top"/>
    </xf>
    <xf numFmtId="3" fontId="62" fillId="0" borderId="1" xfId="0" applyNumberFormat="1" applyFont="1" applyBorder="1"/>
    <xf numFmtId="0" fontId="58" fillId="0" borderId="0" xfId="0" applyFont="1" applyFill="1" applyAlignment="1">
      <alignment vertical="center"/>
    </xf>
    <xf numFmtId="0" fontId="58" fillId="0" borderId="0" xfId="0" applyFont="1"/>
    <xf numFmtId="2" fontId="58" fillId="0" borderId="1" xfId="0" applyNumberFormat="1" applyFont="1" applyFill="1" applyBorder="1" applyAlignment="1">
      <alignment horizontal="center" vertical="top" wrapText="1"/>
    </xf>
    <xf numFmtId="0" fontId="61" fillId="0" borderId="0" xfId="0" applyFont="1" applyAlignment="1">
      <alignment horizontal="center" vertical="center"/>
    </xf>
    <xf numFmtId="0" fontId="61" fillId="0" borderId="0" xfId="0" applyFont="1" applyAlignment="1">
      <alignment horizontal="left"/>
    </xf>
    <xf numFmtId="0" fontId="13" fillId="0" borderId="1" xfId="0" applyFont="1" applyBorder="1" applyAlignment="1"/>
    <xf numFmtId="0" fontId="5" fillId="0" borderId="2" xfId="1" applyFont="1" applyFill="1" applyBorder="1" applyAlignment="1">
      <alignment vertical="top" wrapText="1"/>
    </xf>
    <xf numFmtId="0" fontId="5" fillId="0" borderId="2" xfId="1" applyFont="1" applyFill="1" applyBorder="1" applyAlignment="1"/>
    <xf numFmtId="0" fontId="70" fillId="0" borderId="1" xfId="0" applyFont="1" applyBorder="1" applyAlignment="1">
      <alignment horizontal="center" vertical="center"/>
    </xf>
    <xf numFmtId="3" fontId="58" fillId="0" borderId="1" xfId="0" applyNumberFormat="1" applyFont="1" applyFill="1" applyBorder="1" applyAlignment="1">
      <alignment horizontal="right" vertical="top" wrapText="1"/>
    </xf>
    <xf numFmtId="0" fontId="62" fillId="0" borderId="1" xfId="0" applyFont="1" applyBorder="1"/>
    <xf numFmtId="0" fontId="13" fillId="0" borderId="0" xfId="0" applyFont="1" applyBorder="1" applyAlignment="1"/>
    <xf numFmtId="3" fontId="70" fillId="0" borderId="1" xfId="0" applyNumberFormat="1" applyFont="1" applyBorder="1"/>
    <xf numFmtId="0" fontId="58" fillId="0" borderId="1" xfId="0" applyFont="1" applyBorder="1" applyAlignment="1">
      <alignment horizontal="center" vertical="center" wrapText="1"/>
    </xf>
    <xf numFmtId="0" fontId="58" fillId="0" borderId="1" xfId="0" applyFont="1" applyFill="1" applyBorder="1" applyAlignment="1">
      <alignment horizontal="center" vertical="center" wrapText="1"/>
    </xf>
    <xf numFmtId="0" fontId="70" fillId="0" borderId="0" xfId="0" applyFont="1" applyAlignment="1">
      <alignment horizontal="center" vertical="center"/>
    </xf>
    <xf numFmtId="0" fontId="71" fillId="0" borderId="2" xfId="0" applyFont="1" applyBorder="1" applyAlignment="1">
      <alignment vertical="center" wrapText="1"/>
    </xf>
    <xf numFmtId="0" fontId="71" fillId="0" borderId="2" xfId="0" applyFont="1" applyBorder="1" applyAlignment="1">
      <alignment horizontal="center" vertical="center" wrapText="1"/>
    </xf>
    <xf numFmtId="0" fontId="4" fillId="0" borderId="19" xfId="0" applyFont="1" applyFill="1" applyBorder="1" applyAlignment="1">
      <alignment horizontal="center" vertical="top" wrapText="1"/>
    </xf>
    <xf numFmtId="0" fontId="72" fillId="0" borderId="1" xfId="0" applyFont="1" applyFill="1" applyBorder="1" applyAlignment="1">
      <alignment horizontal="justify" vertical="top" wrapText="1"/>
    </xf>
    <xf numFmtId="0" fontId="9" fillId="0" borderId="1" xfId="0" applyFont="1" applyBorder="1" applyAlignment="1">
      <alignment horizontal="center" vertical="center"/>
    </xf>
    <xf numFmtId="0" fontId="9" fillId="0" borderId="6" xfId="0" applyFont="1" applyBorder="1" applyAlignment="1">
      <alignment horizontal="center" vertical="center" wrapText="1"/>
    </xf>
    <xf numFmtId="0" fontId="30" fillId="0" borderId="1" xfId="0" applyFont="1" applyBorder="1" applyAlignment="1">
      <alignment vertical="center" wrapText="1"/>
    </xf>
    <xf numFmtId="0" fontId="4" fillId="0" borderId="1" xfId="0" applyFont="1" applyFill="1" applyBorder="1" applyAlignment="1">
      <alignment horizontal="center" vertical="center" wrapText="1"/>
    </xf>
    <xf numFmtId="0" fontId="5" fillId="0" borderId="1" xfId="0" applyFont="1" applyBorder="1" applyAlignment="1">
      <alignment horizontal="center" vertical="top" wrapText="1"/>
    </xf>
    <xf numFmtId="164" fontId="4" fillId="0" borderId="2" xfId="0" applyNumberFormat="1" applyFont="1" applyFill="1" applyBorder="1" applyAlignment="1">
      <alignment horizontal="center" vertical="top" wrapText="1"/>
    </xf>
    <xf numFmtId="164" fontId="4" fillId="0" borderId="1" xfId="0" applyNumberFormat="1" applyFont="1" applyFill="1" applyBorder="1" applyAlignment="1">
      <alignment horizontal="center" vertical="top" wrapText="1"/>
    </xf>
    <xf numFmtId="164" fontId="4" fillId="0" borderId="1" xfId="0" applyNumberFormat="1" applyFont="1" applyFill="1" applyBorder="1" applyAlignment="1">
      <alignment horizontal="center" vertical="center" wrapText="1"/>
    </xf>
    <xf numFmtId="165" fontId="8" fillId="0" borderId="0" xfId="3" applyFont="1" applyFill="1" applyBorder="1" applyAlignment="1">
      <alignment horizontal="center" vertical="center" wrapText="1"/>
    </xf>
    <xf numFmtId="0" fontId="8" fillId="0" borderId="1" xfId="1" applyFont="1" applyFill="1" applyBorder="1" applyAlignment="1">
      <alignment vertical="center" wrapText="1"/>
    </xf>
    <xf numFmtId="165" fontId="4" fillId="0" borderId="1" xfId="3" applyFont="1" applyFill="1" applyBorder="1" applyAlignment="1">
      <alignment horizontal="left" vertical="center"/>
    </xf>
    <xf numFmtId="165" fontId="31" fillId="0" borderId="1" xfId="3" applyFont="1" applyFill="1" applyBorder="1" applyAlignment="1">
      <alignment horizontal="left" vertical="center"/>
    </xf>
    <xf numFmtId="165" fontId="8" fillId="0" borderId="0" xfId="3" applyFont="1" applyFill="1" applyAlignment="1">
      <alignment vertical="center" wrapText="1"/>
    </xf>
    <xf numFmtId="165" fontId="4" fillId="0" borderId="0" xfId="3" applyFont="1" applyFill="1" applyAlignment="1">
      <alignment horizontal="left" vertical="center"/>
    </xf>
    <xf numFmtId="0" fontId="1" fillId="0" borderId="4" xfId="0" applyFont="1" applyBorder="1" applyAlignment="1">
      <alignment horizontal="center" vertical="center"/>
    </xf>
    <xf numFmtId="168" fontId="9" fillId="0" borderId="5" xfId="0" applyNumberFormat="1" applyFont="1" applyBorder="1" applyAlignment="1">
      <alignment horizontal="center" vertical="center" wrapText="1"/>
    </xf>
    <xf numFmtId="3" fontId="9" fillId="0" borderId="6" xfId="0" applyNumberFormat="1" applyFont="1" applyFill="1" applyBorder="1" applyAlignment="1">
      <alignment vertical="center" wrapText="1"/>
    </xf>
    <xf numFmtId="0" fontId="4" fillId="0" borderId="1" xfId="0" applyFont="1" applyFill="1" applyBorder="1" applyAlignment="1">
      <alignment horizontal="left" vertical="center" wrapText="1"/>
    </xf>
    <xf numFmtId="3" fontId="4" fillId="0" borderId="1" xfId="0" applyNumberFormat="1" applyFont="1" applyFill="1" applyBorder="1" applyAlignment="1">
      <alignment vertical="center" wrapText="1"/>
    </xf>
    <xf numFmtId="168" fontId="5" fillId="0" borderId="1" xfId="0" applyNumberFormat="1" applyFont="1" applyBorder="1" applyAlignment="1">
      <alignment horizontal="right" vertical="center" wrapText="1"/>
    </xf>
    <xf numFmtId="164" fontId="5" fillId="0" borderId="1" xfId="0" applyNumberFormat="1" applyFont="1" applyBorder="1" applyAlignment="1">
      <alignment horizontal="right" vertical="center" wrapText="1"/>
    </xf>
    <xf numFmtId="0" fontId="4" fillId="0" borderId="1" xfId="0" applyFont="1" applyBorder="1"/>
    <xf numFmtId="164" fontId="4" fillId="0" borderId="1" xfId="0" applyNumberFormat="1" applyFont="1" applyFill="1" applyBorder="1" applyAlignment="1">
      <alignment horizontal="right" vertical="center" wrapText="1"/>
    </xf>
    <xf numFmtId="0" fontId="4" fillId="0" borderId="0" xfId="1" applyFont="1" applyFill="1"/>
    <xf numFmtId="0" fontId="78" fillId="0" borderId="0" xfId="0" applyFont="1" applyAlignment="1">
      <alignment vertical="center" wrapText="1"/>
    </xf>
    <xf numFmtId="0" fontId="58" fillId="0" borderId="1" xfId="0" applyFont="1" applyFill="1" applyBorder="1" applyAlignment="1">
      <alignment horizontal="left" vertical="top" wrapText="1"/>
    </xf>
    <xf numFmtId="0" fontId="24" fillId="0" borderId="1" xfId="0" applyFont="1" applyBorder="1"/>
    <xf numFmtId="0" fontId="9" fillId="0" borderId="1" xfId="0" applyFont="1" applyBorder="1" applyAlignment="1">
      <alignment horizontal="left" wrapText="1"/>
    </xf>
    <xf numFmtId="0" fontId="9" fillId="0" borderId="1" xfId="0" applyFont="1" applyBorder="1"/>
    <xf numFmtId="43" fontId="4" fillId="0" borderId="1" xfId="2" applyFont="1" applyFill="1" applyBorder="1" applyAlignment="1">
      <alignment horizontal="left" vertical="center" wrapText="1"/>
    </xf>
    <xf numFmtId="0" fontId="70" fillId="0" borderId="5" xfId="0" applyFont="1" applyBorder="1" applyAlignment="1">
      <alignment horizontal="left" vertical="center"/>
    </xf>
    <xf numFmtId="0" fontId="13" fillId="0" borderId="4" xfId="0" applyFont="1" applyFill="1" applyBorder="1" applyAlignment="1">
      <alignment horizontal="center" vertical="top" wrapText="1"/>
    </xf>
    <xf numFmtId="0" fontId="8" fillId="0" borderId="1" xfId="0" applyFont="1" applyFill="1" applyBorder="1" applyAlignment="1">
      <alignment horizontal="center" vertical="center" wrapText="1"/>
    </xf>
    <xf numFmtId="165" fontId="9" fillId="0" borderId="1" xfId="3" applyFont="1" applyFill="1" applyBorder="1" applyAlignment="1">
      <alignment horizontal="center" vertical="center"/>
    </xf>
    <xf numFmtId="0" fontId="9" fillId="0" borderId="1" xfId="1" applyFont="1" applyFill="1" applyBorder="1" applyAlignment="1">
      <alignment horizontal="left" vertical="center"/>
    </xf>
    <xf numFmtId="3" fontId="9" fillId="0" borderId="1" xfId="3" applyNumberFormat="1" applyFont="1" applyFill="1" applyBorder="1" applyAlignment="1">
      <alignment horizontal="right" vertical="center"/>
    </xf>
    <xf numFmtId="166" fontId="9" fillId="0" borderId="1" xfId="3" applyNumberFormat="1" applyFont="1" applyFill="1" applyBorder="1" applyAlignment="1">
      <alignment horizontal="right" vertical="center"/>
    </xf>
    <xf numFmtId="165" fontId="9" fillId="0" borderId="0" xfId="3" applyFont="1" applyFill="1" applyAlignment="1">
      <alignment horizontal="left"/>
    </xf>
    <xf numFmtId="165" fontId="21" fillId="0" borderId="0" xfId="3" applyFont="1" applyFill="1" applyAlignment="1">
      <alignment horizontal="left"/>
    </xf>
    <xf numFmtId="3" fontId="9" fillId="0" borderId="0" xfId="3" applyNumberFormat="1" applyFont="1" applyFill="1" applyAlignment="1">
      <alignment horizontal="right" vertical="center"/>
    </xf>
    <xf numFmtId="165" fontId="9" fillId="0" borderId="0" xfId="3" applyFont="1" applyFill="1" applyBorder="1" applyAlignment="1">
      <alignment horizontal="right" vertical="center"/>
    </xf>
    <xf numFmtId="165" fontId="9" fillId="0" borderId="0" xfId="3" applyFont="1" applyFill="1" applyAlignment="1">
      <alignment horizontal="right" vertical="center"/>
    </xf>
    <xf numFmtId="165" fontId="9" fillId="0" borderId="0" xfId="3" applyFont="1" applyFill="1" applyAlignment="1"/>
    <xf numFmtId="165" fontId="9" fillId="0" borderId="0" xfId="3" applyFont="1" applyFill="1" applyBorder="1" applyAlignment="1">
      <alignment horizontal="center"/>
    </xf>
    <xf numFmtId="3" fontId="9" fillId="0" borderId="0" xfId="3" applyNumberFormat="1" applyFont="1" applyFill="1" applyBorder="1" applyAlignment="1">
      <alignment horizontal="right" vertical="center"/>
    </xf>
    <xf numFmtId="165" fontId="21" fillId="0" borderId="1" xfId="3" applyFont="1" applyFill="1" applyBorder="1" applyAlignment="1">
      <alignment horizontal="center" vertical="center"/>
    </xf>
    <xf numFmtId="165" fontId="21" fillId="0" borderId="1" xfId="3" applyFont="1" applyFill="1" applyBorder="1" applyAlignment="1">
      <alignment horizontal="left" vertical="center"/>
    </xf>
    <xf numFmtId="0" fontId="21" fillId="0" borderId="1" xfId="1" applyFont="1" applyFill="1" applyBorder="1" applyAlignment="1">
      <alignment horizontal="left" vertical="center"/>
    </xf>
    <xf numFmtId="3" fontId="21" fillId="0" borderId="1" xfId="3" applyNumberFormat="1" applyFont="1" applyFill="1" applyBorder="1" applyAlignment="1">
      <alignment horizontal="center" vertical="center" wrapText="1"/>
    </xf>
    <xf numFmtId="165" fontId="21" fillId="0" borderId="1" xfId="3" applyFont="1" applyFill="1" applyBorder="1" applyAlignment="1">
      <alignment horizontal="center" vertical="center" wrapText="1"/>
    </xf>
    <xf numFmtId="166" fontId="21" fillId="0" borderId="1" xfId="3" applyNumberFormat="1" applyFont="1" applyFill="1" applyBorder="1" applyAlignment="1">
      <alignment horizontal="center" vertical="center" wrapText="1"/>
    </xf>
    <xf numFmtId="165" fontId="21" fillId="0" borderId="0" xfId="3" applyFont="1" applyFill="1" applyBorder="1" applyAlignment="1">
      <alignment horizontal="center" vertical="center"/>
    </xf>
    <xf numFmtId="165" fontId="9" fillId="0" borderId="1" xfId="3" applyFont="1" applyFill="1" applyBorder="1" applyAlignment="1">
      <alignment horizontal="left" vertical="center"/>
    </xf>
    <xf numFmtId="165" fontId="9" fillId="0" borderId="0" xfId="3" applyFont="1" applyFill="1" applyBorder="1" applyAlignment="1">
      <alignment horizontal="center" vertical="center"/>
    </xf>
    <xf numFmtId="0" fontId="21" fillId="0" borderId="1" xfId="1" applyFont="1" applyFill="1" applyBorder="1" applyAlignment="1">
      <alignment horizontal="center" vertical="center"/>
    </xf>
    <xf numFmtId="0" fontId="21" fillId="0" borderId="1" xfId="1" applyFont="1" applyFill="1" applyBorder="1" applyAlignment="1">
      <alignment horizontal="right" vertical="center"/>
    </xf>
    <xf numFmtId="0" fontId="21" fillId="2" borderId="1" xfId="1" applyFont="1" applyFill="1" applyBorder="1" applyAlignment="1">
      <alignment horizontal="center" vertical="center"/>
    </xf>
    <xf numFmtId="0" fontId="21" fillId="2" borderId="1" xfId="1" applyFont="1" applyFill="1" applyBorder="1" applyAlignment="1">
      <alignment horizontal="left" vertical="center"/>
    </xf>
    <xf numFmtId="166" fontId="9" fillId="2" borderId="1" xfId="3" applyNumberFormat="1" applyFont="1" applyFill="1" applyBorder="1" applyAlignment="1">
      <alignment horizontal="right" vertical="center"/>
    </xf>
    <xf numFmtId="165" fontId="9" fillId="2" borderId="0" xfId="3" applyFont="1" applyFill="1" applyAlignment="1"/>
    <xf numFmtId="0" fontId="9" fillId="2" borderId="1" xfId="1" applyFont="1" applyFill="1" applyBorder="1" applyAlignment="1">
      <alignment horizontal="center" vertical="center"/>
    </xf>
    <xf numFmtId="0" fontId="39" fillId="0" borderId="1" xfId="0" applyFont="1" applyBorder="1" applyAlignment="1">
      <alignment horizontal="justify" vertical="center"/>
    </xf>
    <xf numFmtId="3" fontId="9" fillId="2" borderId="1" xfId="1" applyNumberFormat="1" applyFont="1" applyFill="1" applyBorder="1" applyAlignment="1">
      <alignment horizontal="right" vertical="center"/>
    </xf>
    <xf numFmtId="0" fontId="9" fillId="2" borderId="1" xfId="1" applyFont="1" applyFill="1" applyBorder="1" applyAlignment="1">
      <alignment horizontal="right" vertical="center"/>
    </xf>
    <xf numFmtId="0" fontId="39" fillId="0" borderId="1" xfId="0" applyFont="1" applyBorder="1" applyAlignment="1">
      <alignment vertical="center"/>
    </xf>
    <xf numFmtId="165" fontId="48" fillId="2" borderId="0" xfId="3" applyFont="1" applyFill="1" applyAlignment="1"/>
    <xf numFmtId="0" fontId="9" fillId="0" borderId="1" xfId="1" applyFont="1" applyFill="1" applyBorder="1" applyAlignment="1">
      <alignment horizontal="center" vertical="center"/>
    </xf>
    <xf numFmtId="3" fontId="9" fillId="0" borderId="1" xfId="1" applyNumberFormat="1" applyFont="1" applyFill="1" applyBorder="1" applyAlignment="1">
      <alignment horizontal="right" vertical="center"/>
    </xf>
    <xf numFmtId="0" fontId="11" fillId="0" borderId="1" xfId="0" applyFont="1" applyBorder="1" applyAlignment="1">
      <alignment vertical="center"/>
    </xf>
    <xf numFmtId="165" fontId="48" fillId="0" borderId="0" xfId="3" applyFont="1" applyFill="1" applyAlignment="1"/>
    <xf numFmtId="166" fontId="9" fillId="0" borderId="0" xfId="3" applyNumberFormat="1" applyFont="1" applyFill="1" applyAlignment="1">
      <alignment horizontal="right"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14" fillId="0" borderId="6" xfId="0" applyFont="1" applyBorder="1" applyAlignment="1">
      <alignment vertical="center" wrapText="1"/>
    </xf>
    <xf numFmtId="0" fontId="21" fillId="0" borderId="0" xfId="0" applyFont="1" applyBorder="1" applyAlignment="1">
      <alignment horizontal="center" vertical="center" wrapText="1"/>
    </xf>
    <xf numFmtId="0" fontId="58" fillId="0" borderId="1" xfId="0" applyFont="1" applyBorder="1" applyAlignment="1">
      <alignment horizontal="left" vertical="top" wrapText="1"/>
    </xf>
    <xf numFmtId="0" fontId="13" fillId="0" borderId="1" xfId="0" applyFont="1" applyFill="1" applyBorder="1" applyAlignment="1">
      <alignment horizontal="left" vertical="top" wrapText="1"/>
    </xf>
    <xf numFmtId="0" fontId="58" fillId="0" borderId="1" xfId="0" applyFont="1" applyFill="1" applyBorder="1" applyAlignment="1">
      <alignment horizontal="left" vertical="top" wrapText="1"/>
    </xf>
    <xf numFmtId="3" fontId="4" fillId="0" borderId="1" xfId="3" applyNumberFormat="1" applyFont="1" applyFill="1" applyBorder="1" applyAlignment="1">
      <alignment vertical="center"/>
    </xf>
    <xf numFmtId="3" fontId="4" fillId="0" borderId="1" xfId="1" applyNumberFormat="1" applyFont="1" applyFill="1" applyBorder="1" applyAlignment="1">
      <alignment vertical="center" wrapText="1"/>
    </xf>
    <xf numFmtId="0" fontId="23" fillId="0" borderId="1" xfId="0" applyFont="1" applyBorder="1" applyAlignment="1">
      <alignment horizontal="center" vertical="center"/>
    </xf>
    <xf numFmtId="0" fontId="6" fillId="0" borderId="1" xfId="0" applyFont="1" applyBorder="1" applyAlignment="1">
      <alignment horizontal="justify" vertical="center" wrapText="1"/>
    </xf>
    <xf numFmtId="0" fontId="1" fillId="0" borderId="19" xfId="0" applyFont="1" applyBorder="1" applyAlignment="1">
      <alignment horizontal="center" vertical="center"/>
    </xf>
    <xf numFmtId="0" fontId="55" fillId="0" borderId="19" xfId="0" applyFont="1" applyBorder="1" applyAlignment="1">
      <alignment vertical="center"/>
    </xf>
    <xf numFmtId="0" fontId="55" fillId="0" borderId="0" xfId="0" applyFont="1" applyAlignment="1">
      <alignment horizontal="center" vertical="center"/>
    </xf>
    <xf numFmtId="0" fontId="6" fillId="0" borderId="1" xfId="0" applyFont="1" applyBorder="1" applyAlignment="1">
      <alignment horizontal="center" vertical="top" wrapText="1"/>
    </xf>
    <xf numFmtId="0" fontId="55" fillId="0" borderId="1" xfId="0" applyFont="1" applyBorder="1" applyAlignment="1">
      <alignment vertical="center"/>
    </xf>
    <xf numFmtId="3" fontId="21" fillId="0" borderId="6" xfId="0" applyNumberFormat="1" applyFont="1" applyFill="1" applyBorder="1" applyAlignment="1">
      <alignment vertical="center" wrapText="1"/>
    </xf>
    <xf numFmtId="0" fontId="0" fillId="0" borderId="1" xfId="0" applyFont="1" applyBorder="1" applyAlignment="1">
      <alignment vertical="center"/>
    </xf>
    <xf numFmtId="0" fontId="37" fillId="0" borderId="1" xfId="0" applyFont="1" applyBorder="1" applyAlignment="1">
      <alignment horizontal="center"/>
    </xf>
    <xf numFmtId="0" fontId="81" fillId="0" borderId="1" xfId="0" applyFont="1" applyBorder="1" applyAlignment="1">
      <alignment vertical="center"/>
    </xf>
    <xf numFmtId="0" fontId="5" fillId="0" borderId="5" xfId="0" applyFont="1" applyBorder="1" applyAlignment="1">
      <alignment horizontal="center" vertical="center" wrapText="1"/>
    </xf>
    <xf numFmtId="0" fontId="61" fillId="0" borderId="6" xfId="0" applyFont="1" applyBorder="1" applyAlignment="1">
      <alignment horizontal="center" vertical="center"/>
    </xf>
    <xf numFmtId="0" fontId="61" fillId="0" borderId="5" xfId="0" applyFont="1" applyBorder="1" applyAlignment="1">
      <alignment horizontal="center" vertical="center"/>
    </xf>
    <xf numFmtId="0" fontId="6" fillId="0" borderId="1" xfId="0" applyFont="1" applyBorder="1" applyAlignment="1">
      <alignment vertical="center"/>
    </xf>
    <xf numFmtId="0" fontId="82" fillId="0" borderId="1" xfId="0" applyFont="1" applyBorder="1" applyAlignment="1">
      <alignment vertical="center"/>
    </xf>
    <xf numFmtId="0" fontId="6" fillId="0" borderId="1" xfId="0" applyFont="1" applyBorder="1" applyAlignment="1">
      <alignment horizontal="justify" vertical="center"/>
    </xf>
    <xf numFmtId="0" fontId="85" fillId="0" borderId="1" xfId="0" applyFont="1" applyBorder="1" applyAlignment="1">
      <alignment vertical="center"/>
    </xf>
    <xf numFmtId="0" fontId="3" fillId="0" borderId="1" xfId="0" applyFont="1" applyBorder="1" applyAlignment="1">
      <alignment vertical="center"/>
    </xf>
    <xf numFmtId="2" fontId="13" fillId="0" borderId="4" xfId="0" applyNumberFormat="1" applyFont="1" applyFill="1" applyBorder="1" applyAlignment="1">
      <alignment vertical="top" wrapText="1"/>
    </xf>
    <xf numFmtId="2" fontId="13" fillId="0" borderId="5" xfId="0" applyNumberFormat="1" applyFont="1" applyFill="1" applyBorder="1" applyAlignment="1">
      <alignment vertical="top" wrapText="1"/>
    </xf>
    <xf numFmtId="2" fontId="13" fillId="0" borderId="6" xfId="0" applyNumberFormat="1" applyFont="1" applyFill="1" applyBorder="1" applyAlignment="1">
      <alignment vertical="top" wrapText="1"/>
    </xf>
    <xf numFmtId="1" fontId="9" fillId="2" borderId="0" xfId="3" applyNumberFormat="1" applyFont="1" applyFill="1" applyAlignment="1"/>
    <xf numFmtId="0" fontId="86" fillId="0" borderId="1" xfId="0" applyFont="1" applyBorder="1" applyAlignment="1">
      <alignment vertical="center" wrapText="1"/>
    </xf>
    <xf numFmtId="0" fontId="76" fillId="0" borderId="1" xfId="0" applyFont="1" applyBorder="1"/>
    <xf numFmtId="0" fontId="14" fillId="0" borderId="1" xfId="0" applyFont="1" applyBorder="1" applyAlignment="1">
      <alignment horizontal="center" vertical="center"/>
    </xf>
    <xf numFmtId="3" fontId="4" fillId="0" borderId="1" xfId="3" applyNumberFormat="1" applyFont="1" applyFill="1" applyBorder="1" applyAlignment="1">
      <alignment horizontal="right" vertical="top"/>
    </xf>
    <xf numFmtId="3" fontId="4" fillId="0" borderId="1" xfId="0" applyNumberFormat="1" applyFont="1" applyFill="1" applyBorder="1" applyAlignment="1">
      <alignment vertical="top" wrapText="1"/>
    </xf>
    <xf numFmtId="3" fontId="4" fillId="0" borderId="1" xfId="0" applyNumberFormat="1" applyFont="1" applyFill="1" applyBorder="1" applyAlignment="1">
      <alignment horizontal="center" vertical="top" wrapText="1"/>
    </xf>
    <xf numFmtId="1" fontId="21" fillId="0" borderId="0" xfId="0" applyNumberFormat="1" applyFont="1" applyBorder="1" applyAlignment="1">
      <alignment horizontal="center" vertical="center" wrapText="1"/>
    </xf>
    <xf numFmtId="1" fontId="14" fillId="0" borderId="1" xfId="0" applyNumberFormat="1" applyFont="1" applyBorder="1" applyAlignment="1">
      <alignment horizontal="center" vertical="center" wrapText="1"/>
    </xf>
    <xf numFmtId="1" fontId="1" fillId="0" borderId="1" xfId="0" applyNumberFormat="1" applyFont="1" applyBorder="1" applyAlignment="1">
      <alignment horizontal="center" vertical="center"/>
    </xf>
    <xf numFmtId="1" fontId="1" fillId="0" borderId="0" xfId="0" applyNumberFormat="1" applyFont="1" applyAlignment="1">
      <alignment horizontal="center"/>
    </xf>
    <xf numFmtId="166" fontId="4" fillId="0" borderId="1" xfId="3" applyNumberFormat="1" applyFont="1" applyFill="1" applyBorder="1" applyAlignment="1">
      <alignment vertical="top" wrapText="1"/>
    </xf>
    <xf numFmtId="0" fontId="0" fillId="0" borderId="0" xfId="0" applyFill="1" applyAlignment="1">
      <alignment vertical="center"/>
    </xf>
    <xf numFmtId="0" fontId="90" fillId="0" borderId="0" xfId="0" applyFont="1" applyAlignment="1">
      <alignment vertical="center"/>
    </xf>
    <xf numFmtId="165" fontId="4" fillId="0" borderId="0" xfId="3" applyFont="1" applyFill="1" applyAlignment="1">
      <alignment vertical="center"/>
    </xf>
    <xf numFmtId="0" fontId="14" fillId="0" borderId="1" xfId="0" applyFont="1" applyBorder="1" applyAlignment="1">
      <alignment horizontal="center" vertical="center"/>
    </xf>
    <xf numFmtId="0" fontId="4" fillId="0" borderId="1" xfId="0" applyFont="1" applyFill="1" applyBorder="1" applyAlignment="1">
      <alignment vertical="top" wrapText="1"/>
    </xf>
    <xf numFmtId="0" fontId="4" fillId="0" borderId="0" xfId="0" applyFont="1" applyFill="1" applyBorder="1" applyAlignment="1">
      <alignment horizontal="left" vertical="center" wrapText="1"/>
    </xf>
    <xf numFmtId="164" fontId="4" fillId="0" borderId="1" xfId="1" applyNumberFormat="1" applyFont="1" applyFill="1" applyBorder="1" applyAlignment="1">
      <alignment horizontal="center" vertical="top" wrapText="1"/>
    </xf>
    <xf numFmtId="0" fontId="9" fillId="0" borderId="1" xfId="1" applyFont="1" applyFill="1" applyBorder="1" applyAlignment="1">
      <alignment vertical="top"/>
    </xf>
    <xf numFmtId="0" fontId="4" fillId="0" borderId="1" xfId="1" applyFont="1" applyFill="1" applyBorder="1" applyAlignment="1">
      <alignment horizontal="left" vertical="top" wrapText="1"/>
    </xf>
    <xf numFmtId="0" fontId="92" fillId="0" borderId="1" xfId="1" applyFont="1" applyFill="1" applyBorder="1" applyAlignment="1">
      <alignment vertical="top"/>
    </xf>
    <xf numFmtId="3" fontId="24" fillId="0" borderId="1" xfId="0" applyNumberFormat="1" applyFont="1" applyFill="1" applyBorder="1" applyAlignment="1">
      <alignment vertical="center" wrapText="1"/>
    </xf>
    <xf numFmtId="0" fontId="93" fillId="0" borderId="0" xfId="0" applyFont="1" applyAlignment="1"/>
    <xf numFmtId="0" fontId="93" fillId="0" borderId="0" xfId="0" applyFont="1"/>
    <xf numFmtId="0" fontId="8" fillId="0" borderId="1" xfId="0" applyFont="1" applyBorder="1" applyAlignment="1">
      <alignment vertical="center" wrapText="1"/>
    </xf>
    <xf numFmtId="0" fontId="49" fillId="0" borderId="1" xfId="0" applyFont="1" applyBorder="1" applyAlignment="1">
      <alignment vertical="top" wrapText="1"/>
    </xf>
    <xf numFmtId="0" fontId="49" fillId="0" borderId="1" xfId="0" applyFont="1" applyBorder="1" applyAlignment="1">
      <alignment horizontal="left"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2" fontId="4" fillId="0" borderId="1" xfId="0" applyNumberFormat="1" applyFont="1" applyBorder="1" applyAlignment="1">
      <alignment horizontal="center" vertical="center" wrapText="1"/>
    </xf>
    <xf numFmtId="0" fontId="93" fillId="0" borderId="1" xfId="0" applyFont="1" applyBorder="1" applyAlignment="1">
      <alignment vertical="center"/>
    </xf>
    <xf numFmtId="0" fontId="93" fillId="0" borderId="1" xfId="0" applyFont="1" applyBorder="1" applyAlignment="1"/>
    <xf numFmtId="0" fontId="93" fillId="0" borderId="1" xfId="0" applyFont="1" applyBorder="1" applyAlignment="1">
      <alignment horizontal="center" vertical="center"/>
    </xf>
    <xf numFmtId="167" fontId="93" fillId="0" borderId="0" xfId="2" applyNumberFormat="1" applyFont="1"/>
    <xf numFmtId="0" fontId="49" fillId="5" borderId="1" xfId="0" applyFont="1" applyFill="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justify" vertical="center"/>
    </xf>
    <xf numFmtId="0" fontId="9" fillId="0" borderId="1" xfId="0" applyFont="1" applyBorder="1" applyAlignment="1">
      <alignment vertical="center"/>
    </xf>
    <xf numFmtId="0" fontId="4"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3" fillId="0" borderId="1" xfId="0" applyFont="1" applyFill="1" applyBorder="1" applyAlignment="1">
      <alignment horizontal="left" vertical="top" wrapText="1"/>
    </xf>
    <xf numFmtId="0" fontId="58" fillId="0" borderId="1" xfId="0" applyFont="1" applyFill="1" applyBorder="1" applyAlignment="1">
      <alignment horizontal="left" vertical="top" wrapText="1"/>
    </xf>
    <xf numFmtId="0" fontId="6" fillId="0" borderId="4" xfId="0" applyFont="1" applyFill="1" applyBorder="1" applyAlignment="1">
      <alignment vertical="top" wrapText="1"/>
    </xf>
    <xf numFmtId="0" fontId="6" fillId="0" borderId="1" xfId="0" applyFont="1" applyBorder="1" applyAlignment="1">
      <alignment vertical="center" wrapText="1"/>
    </xf>
    <xf numFmtId="3" fontId="6" fillId="0" borderId="1" xfId="0" applyNumberFormat="1" applyFont="1" applyFill="1" applyBorder="1" applyAlignment="1">
      <alignment vertical="top" wrapText="1"/>
    </xf>
    <xf numFmtId="0" fontId="6" fillId="0" borderId="1" xfId="0" applyFont="1" applyBorder="1" applyAlignment="1">
      <alignment horizontal="left" vertical="center" wrapText="1"/>
    </xf>
    <xf numFmtId="0" fontId="8" fillId="0" borderId="1" xfId="0" applyFont="1" applyBorder="1" applyAlignment="1">
      <alignment horizontal="center" vertical="center" wrapText="1"/>
    </xf>
    <xf numFmtId="0" fontId="96" fillId="0" borderId="1" xfId="0" applyFont="1" applyBorder="1" applyAlignment="1">
      <alignment horizontal="center" vertical="center" wrapText="1"/>
    </xf>
    <xf numFmtId="0" fontId="8" fillId="0" borderId="1" xfId="0" applyFont="1" applyBorder="1" applyAlignment="1">
      <alignment horizontal="justify" vertical="center" wrapText="1"/>
    </xf>
    <xf numFmtId="0" fontId="55" fillId="0" borderId="1" xfId="0" applyFont="1" applyBorder="1" applyAlignment="1">
      <alignment vertical="center" wrapText="1"/>
    </xf>
    <xf numFmtId="0" fontId="27" fillId="0" borderId="1" xfId="0" applyFont="1" applyBorder="1" applyAlignment="1">
      <alignment horizontal="center" vertical="center" wrapText="1"/>
    </xf>
    <xf numFmtId="164" fontId="27" fillId="0" borderId="1" xfId="0" applyNumberFormat="1" applyFont="1" applyBorder="1" applyAlignment="1">
      <alignment horizontal="center" vertical="center" wrapText="1"/>
    </xf>
    <xf numFmtId="0" fontId="95" fillId="0" borderId="1" xfId="0" applyFont="1" applyBorder="1" applyAlignment="1">
      <alignment vertical="center" wrapText="1"/>
    </xf>
    <xf numFmtId="0" fontId="95" fillId="0" borderId="1" xfId="0" applyFont="1" applyBorder="1" applyAlignment="1">
      <alignment horizontal="left" vertical="center" wrapText="1"/>
    </xf>
    <xf numFmtId="0" fontId="61" fillId="0" borderId="0" xfId="0" applyFont="1" applyAlignment="1">
      <alignment horizontal="center"/>
    </xf>
    <xf numFmtId="0" fontId="8" fillId="0" borderId="4" xfId="0" applyFont="1" applyFill="1" applyBorder="1" applyAlignment="1">
      <alignment vertical="center" wrapText="1"/>
    </xf>
    <xf numFmtId="0" fontId="8" fillId="0" borderId="5" xfId="0" applyFont="1" applyFill="1" applyBorder="1" applyAlignment="1">
      <alignment vertical="center" wrapText="1"/>
    </xf>
    <xf numFmtId="0" fontId="95" fillId="0" borderId="1" xfId="0" applyFont="1" applyBorder="1" applyAlignment="1">
      <alignment horizontal="justify" vertical="center"/>
    </xf>
    <xf numFmtId="0" fontId="95" fillId="0" borderId="1" xfId="0" applyFont="1" applyBorder="1" applyAlignment="1">
      <alignment vertical="center"/>
    </xf>
    <xf numFmtId="0" fontId="23" fillId="0" borderId="6" xfId="0" applyFont="1" applyFill="1" applyBorder="1" applyAlignment="1">
      <alignment vertical="center" wrapText="1"/>
    </xf>
    <xf numFmtId="0" fontId="23" fillId="0" borderId="1" xfId="0" applyFont="1" applyFill="1" applyBorder="1" applyAlignment="1">
      <alignment vertical="center" wrapText="1"/>
    </xf>
    <xf numFmtId="0" fontId="95" fillId="0" borderId="21" xfId="0" applyFont="1" applyFill="1" applyBorder="1" applyAlignment="1">
      <alignment vertical="top" wrapText="1"/>
    </xf>
    <xf numFmtId="0" fontId="95" fillId="0" borderId="7" xfId="0" applyFont="1" applyFill="1" applyBorder="1" applyAlignment="1">
      <alignment vertical="top" wrapText="1"/>
    </xf>
    <xf numFmtId="0" fontId="95" fillId="0" borderId="8" xfId="0" applyFont="1" applyFill="1" applyBorder="1" applyAlignment="1">
      <alignment vertical="top" wrapText="1"/>
    </xf>
    <xf numFmtId="0" fontId="95" fillId="0" borderId="27" xfId="0" applyFont="1" applyFill="1" applyBorder="1" applyAlignment="1">
      <alignment vertical="top" wrapText="1"/>
    </xf>
    <xf numFmtId="0" fontId="95" fillId="0" borderId="28" xfId="0" applyFont="1" applyFill="1" applyBorder="1" applyAlignment="1">
      <alignment vertical="top" wrapText="1"/>
    </xf>
    <xf numFmtId="166" fontId="21" fillId="0" borderId="1" xfId="3" applyNumberFormat="1" applyFont="1" applyFill="1" applyBorder="1" applyAlignment="1">
      <alignment horizontal="center"/>
    </xf>
    <xf numFmtId="166" fontId="21" fillId="0" borderId="1" xfId="3" applyNumberFormat="1" applyFont="1" applyFill="1" applyBorder="1" applyAlignment="1">
      <alignment horizontal="center" wrapText="1"/>
    </xf>
    <xf numFmtId="166" fontId="21" fillId="2" borderId="1" xfId="3" applyNumberFormat="1" applyFont="1" applyFill="1" applyBorder="1" applyAlignment="1">
      <alignment horizontal="center"/>
    </xf>
    <xf numFmtId="166" fontId="21" fillId="0" borderId="0" xfId="3" applyNumberFormat="1" applyFont="1" applyFill="1" applyAlignment="1">
      <alignment horizontal="center"/>
    </xf>
    <xf numFmtId="0" fontId="4" fillId="2" borderId="1" xfId="0" applyFont="1" applyFill="1" applyBorder="1"/>
    <xf numFmtId="3" fontId="4" fillId="4" borderId="1" xfId="0" applyNumberFormat="1" applyFont="1" applyFill="1" applyBorder="1" applyAlignment="1">
      <alignment vertical="center"/>
    </xf>
    <xf numFmtId="169" fontId="4" fillId="4" borderId="1" xfId="2" applyNumberFormat="1" applyFont="1" applyFill="1" applyBorder="1" applyAlignment="1">
      <alignment vertical="center"/>
    </xf>
    <xf numFmtId="0" fontId="8" fillId="0" borderId="1" xfId="0" applyFont="1" applyBorder="1" applyAlignment="1">
      <alignment horizontal="right" vertical="center" wrapText="1"/>
    </xf>
    <xf numFmtId="0" fontId="4" fillId="0" borderId="1" xfId="0" applyFont="1" applyBorder="1" applyAlignment="1">
      <alignment horizontal="right" vertical="center" wrapText="1"/>
    </xf>
    <xf numFmtId="0" fontId="8" fillId="0" borderId="6" xfId="0" applyFont="1" applyBorder="1" applyAlignment="1">
      <alignment horizontal="right" vertical="center"/>
    </xf>
    <xf numFmtId="167" fontId="93" fillId="0" borderId="1" xfId="0" applyNumberFormat="1" applyFont="1" applyBorder="1" applyAlignment="1">
      <alignment horizontal="right" vertical="center"/>
    </xf>
    <xf numFmtId="167" fontId="93" fillId="0" borderId="1" xfId="2" applyNumberFormat="1" applyFont="1" applyBorder="1" applyAlignment="1">
      <alignment horizontal="right" vertical="center"/>
    </xf>
    <xf numFmtId="0" fontId="93" fillId="0" borderId="0" xfId="0" applyFont="1" applyAlignment="1">
      <alignment horizontal="right" vertical="center"/>
    </xf>
    <xf numFmtId="0" fontId="93" fillId="0" borderId="0" xfId="0" applyFont="1" applyAlignment="1">
      <alignment horizontal="center" vertical="center"/>
    </xf>
    <xf numFmtId="3" fontId="4" fillId="0" borderId="23" xfId="0" applyNumberFormat="1" applyFont="1" applyFill="1" applyBorder="1" applyAlignment="1">
      <alignment vertical="top" wrapText="1"/>
    </xf>
    <xf numFmtId="3" fontId="4" fillId="0" borderId="0" xfId="0" applyNumberFormat="1" applyFont="1" applyFill="1" applyBorder="1" applyAlignment="1">
      <alignment vertical="top" wrapText="1"/>
    </xf>
    <xf numFmtId="0" fontId="9" fillId="0" borderId="32" xfId="0" applyFont="1" applyBorder="1" applyAlignment="1">
      <alignment horizontal="center" vertical="top" wrapText="1"/>
    </xf>
    <xf numFmtId="0" fontId="9" fillId="0" borderId="10" xfId="0" applyFont="1" applyBorder="1" applyAlignment="1">
      <alignment horizontal="center" vertical="center" wrapText="1"/>
    </xf>
    <xf numFmtId="0" fontId="9" fillId="0" borderId="10" xfId="0" applyFont="1" applyFill="1" applyBorder="1" applyAlignment="1">
      <alignment horizontal="justify" vertical="top" wrapText="1"/>
    </xf>
    <xf numFmtId="0" fontId="9" fillId="0" borderId="32" xfId="0" applyFont="1" applyBorder="1" applyAlignment="1">
      <alignment horizontal="center" vertical="center" wrapText="1"/>
    </xf>
    <xf numFmtId="0" fontId="9" fillId="0" borderId="32" xfId="0" applyFont="1" applyBorder="1" applyAlignment="1">
      <alignment horizontal="justify" vertical="top" wrapText="1"/>
    </xf>
    <xf numFmtId="0" fontId="8" fillId="4" borderId="1" xfId="0" quotePrefix="1" applyFont="1" applyFill="1" applyBorder="1" applyAlignment="1">
      <alignment horizontal="center" vertical="top" wrapText="1"/>
    </xf>
    <xf numFmtId="0" fontId="8" fillId="5" borderId="1" xfId="0" quotePrefix="1" applyFont="1" applyFill="1" applyBorder="1" applyAlignment="1">
      <alignment horizontal="center" vertical="top" wrapText="1"/>
    </xf>
    <xf numFmtId="167" fontId="0" fillId="0" borderId="1" xfId="2" applyNumberFormat="1" applyFont="1" applyBorder="1" applyAlignment="1">
      <alignment horizontal="center" vertical="center"/>
    </xf>
    <xf numFmtId="167" fontId="98" fillId="0" borderId="1" xfId="2" applyNumberFormat="1" applyFont="1" applyBorder="1" applyAlignment="1">
      <alignment horizontal="center" vertical="center"/>
    </xf>
    <xf numFmtId="165" fontId="8" fillId="0" borderId="13" xfId="3" applyFont="1" applyFill="1" applyBorder="1" applyAlignment="1">
      <alignment horizontal="center" vertical="center" wrapText="1"/>
    </xf>
    <xf numFmtId="0" fontId="8" fillId="0" borderId="1" xfId="1" applyFont="1" applyFill="1" applyBorder="1" applyAlignment="1">
      <alignment horizontal="left" vertical="center" wrapText="1"/>
    </xf>
    <xf numFmtId="3" fontId="8" fillId="0" borderId="1" xfId="0" applyNumberFormat="1" applyFont="1" applyBorder="1" applyAlignment="1">
      <alignment horizontal="center" vertical="top" wrapText="1"/>
    </xf>
    <xf numFmtId="0" fontId="8" fillId="0" borderId="0" xfId="1" applyFont="1" applyBorder="1" applyAlignment="1">
      <alignment horizontal="center" vertical="center"/>
    </xf>
    <xf numFmtId="0" fontId="7" fillId="0" borderId="0" xfId="1" quotePrefix="1" applyFont="1" applyFill="1" applyBorder="1" applyAlignment="1">
      <alignment vertical="center" wrapText="1"/>
    </xf>
    <xf numFmtId="0" fontId="7" fillId="0" borderId="0" xfId="1" applyFont="1" applyFill="1" applyBorder="1" applyAlignment="1">
      <alignment vertical="center" wrapText="1"/>
    </xf>
    <xf numFmtId="0" fontId="8" fillId="0" borderId="1" xfId="1" applyFont="1" applyBorder="1" applyAlignment="1">
      <alignment horizontal="center" vertical="top"/>
    </xf>
    <xf numFmtId="0" fontId="8" fillId="0" borderId="1" xfId="1" applyFont="1" applyBorder="1" applyAlignment="1">
      <alignment horizontal="center" vertical="top" wrapText="1"/>
    </xf>
    <xf numFmtId="3" fontId="8" fillId="0" borderId="1" xfId="1" applyNumberFormat="1" applyFont="1" applyBorder="1" applyAlignment="1">
      <alignment horizontal="center" vertical="top" wrapText="1"/>
    </xf>
    <xf numFmtId="0" fontId="8" fillId="0" borderId="23" xfId="1" applyFont="1" applyBorder="1" applyAlignment="1">
      <alignment horizontal="center" vertical="top"/>
    </xf>
    <xf numFmtId="0" fontId="8" fillId="0" borderId="12" xfId="1" applyFont="1" applyBorder="1" applyAlignment="1">
      <alignment horizontal="center" vertical="top"/>
    </xf>
    <xf numFmtId="0" fontId="7" fillId="0" borderId="0" xfId="0" applyFont="1" applyBorder="1" applyAlignment="1">
      <alignment horizontal="center" vertical="center" wrapText="1"/>
    </xf>
    <xf numFmtId="0" fontId="25" fillId="0" borderId="0" xfId="0" applyFont="1" applyBorder="1" applyAlignment="1">
      <alignment horizontal="center" vertical="center" wrapText="1"/>
    </xf>
    <xf numFmtId="0" fontId="8" fillId="0" borderId="1" xfId="0" applyFont="1" applyFill="1" applyBorder="1" applyAlignment="1">
      <alignment vertical="top" wrapText="1"/>
    </xf>
    <xf numFmtId="0" fontId="8" fillId="0" borderId="1" xfId="0" applyFont="1" applyBorder="1" applyAlignment="1">
      <alignment vertical="top" wrapText="1"/>
    </xf>
    <xf numFmtId="0" fontId="55" fillId="0" borderId="5" xfId="0" applyFont="1" applyBorder="1" applyAlignment="1">
      <alignment horizontal="center" vertical="center"/>
    </xf>
    <xf numFmtId="0" fontId="55" fillId="0" borderId="6" xfId="0" applyFont="1" applyBorder="1" applyAlignment="1">
      <alignment horizontal="center" vertical="center"/>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55" fillId="0" borderId="4" xfId="0" applyFont="1" applyBorder="1" applyAlignment="1">
      <alignment horizontal="center" vertical="center"/>
    </xf>
    <xf numFmtId="0" fontId="6" fillId="0" borderId="5" xfId="0" applyFont="1" applyFill="1" applyBorder="1" applyAlignment="1">
      <alignment horizontal="center" vertical="top" wrapText="1"/>
    </xf>
    <xf numFmtId="0" fontId="6" fillId="0" borderId="6" xfId="0" applyFont="1" applyFill="1" applyBorder="1" applyAlignment="1">
      <alignment horizontal="center" vertical="top"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27" fillId="0" borderId="13" xfId="0" applyFont="1" applyBorder="1" applyAlignment="1">
      <alignment horizontal="right"/>
    </xf>
    <xf numFmtId="0" fontId="21" fillId="0" borderId="0" xfId="0" applyFont="1" applyFill="1" applyBorder="1" applyAlignment="1">
      <alignment horizontal="center" vertical="top" wrapText="1"/>
    </xf>
    <xf numFmtId="0" fontId="14" fillId="0" borderId="1" xfId="0" applyFont="1" applyBorder="1" applyAlignment="1">
      <alignment vertical="center"/>
    </xf>
    <xf numFmtId="0" fontId="87" fillId="0" borderId="1" xfId="0" applyFont="1" applyBorder="1" applyAlignment="1">
      <alignment horizontal="left" vertical="center" wrapText="1"/>
    </xf>
    <xf numFmtId="0" fontId="32" fillId="0" borderId="4" xfId="0" applyFont="1" applyBorder="1" applyAlignment="1">
      <alignment horizontal="left" vertical="center" wrapText="1"/>
    </xf>
    <xf numFmtId="0" fontId="32" fillId="0" borderId="5" xfId="0" applyFont="1" applyBorder="1" applyAlignment="1">
      <alignment horizontal="left" vertical="center" wrapText="1"/>
    </xf>
    <xf numFmtId="0" fontId="6" fillId="0" borderId="4" xfId="0" applyFont="1" applyFill="1" applyBorder="1" applyAlignment="1">
      <alignment horizontal="left" vertical="top" wrapText="1"/>
    </xf>
    <xf numFmtId="0" fontId="6" fillId="0" borderId="5" xfId="0" applyFont="1" applyFill="1" applyBorder="1" applyAlignment="1">
      <alignment horizontal="left" vertical="top" wrapText="1"/>
    </xf>
    <xf numFmtId="0" fontId="6" fillId="0" borderId="1" xfId="0" applyFont="1" applyFill="1" applyBorder="1" applyAlignment="1">
      <alignment vertical="top" wrapText="1"/>
    </xf>
    <xf numFmtId="0" fontId="6" fillId="0" borderId="2" xfId="0" applyFont="1" applyFill="1" applyBorder="1" applyAlignment="1">
      <alignment vertical="top" wrapText="1"/>
    </xf>
    <xf numFmtId="3" fontId="21" fillId="0" borderId="1" xfId="0" applyNumberFormat="1" applyFont="1" applyFill="1" applyBorder="1" applyAlignment="1">
      <alignment horizontal="center" vertical="top" wrapText="1"/>
    </xf>
    <xf numFmtId="0" fontId="6" fillId="0" borderId="1" xfId="0" applyFont="1" applyFill="1" applyBorder="1" applyAlignment="1">
      <alignment horizontal="left" vertical="top" wrapText="1"/>
    </xf>
    <xf numFmtId="0" fontId="8" fillId="0" borderId="4" xfId="0" applyFont="1" applyFill="1" applyBorder="1" applyAlignment="1">
      <alignment vertical="top" wrapText="1"/>
    </xf>
    <xf numFmtId="0" fontId="8" fillId="0" borderId="5" xfId="0" applyFont="1" applyFill="1" applyBorder="1" applyAlignment="1">
      <alignment vertical="top" wrapText="1"/>
    </xf>
    <xf numFmtId="0" fontId="8" fillId="0" borderId="6" xfId="0" applyFont="1" applyFill="1" applyBorder="1" applyAlignment="1">
      <alignmen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55" fillId="0" borderId="4" xfId="0" applyFont="1" applyBorder="1" applyAlignment="1">
      <alignment horizontal="left" vertical="center" wrapText="1"/>
    </xf>
    <xf numFmtId="0" fontId="55" fillId="0" borderId="5" xfId="0" applyFont="1" applyBorder="1" applyAlignment="1">
      <alignment horizontal="left" vertical="center" wrapText="1"/>
    </xf>
    <xf numFmtId="0" fontId="55" fillId="0" borderId="6" xfId="0" applyFont="1" applyBorder="1" applyAlignment="1">
      <alignment horizontal="left" vertical="center" wrapText="1"/>
    </xf>
    <xf numFmtId="0" fontId="55" fillId="0" borderId="4" xfId="0" applyFont="1" applyBorder="1" applyAlignment="1">
      <alignment horizontal="left" vertical="center"/>
    </xf>
    <xf numFmtId="0" fontId="55" fillId="0" borderId="5" xfId="0" applyFont="1" applyBorder="1" applyAlignment="1">
      <alignment horizontal="left" vertical="center"/>
    </xf>
    <xf numFmtId="0" fontId="55" fillId="0" borderId="6" xfId="0" applyFont="1" applyBorder="1" applyAlignment="1">
      <alignment horizontal="left" vertical="center"/>
    </xf>
    <xf numFmtId="0" fontId="23" fillId="0" borderId="4" xfId="0" applyFont="1" applyBorder="1" applyAlignment="1">
      <alignment horizontal="left" vertical="center" wrapText="1"/>
    </xf>
    <xf numFmtId="0" fontId="23" fillId="0" borderId="5" xfId="0" applyFont="1" applyBorder="1" applyAlignment="1">
      <alignment horizontal="left" vertical="center" wrapText="1"/>
    </xf>
    <xf numFmtId="0" fontId="23" fillId="0" borderId="6" xfId="0" applyFont="1" applyBorder="1" applyAlignment="1">
      <alignment horizontal="left" vertical="center" wrapText="1"/>
    </xf>
    <xf numFmtId="0" fontId="55" fillId="0" borderId="20" xfId="0" applyFont="1" applyBorder="1" applyAlignment="1">
      <alignment horizontal="center" vertical="center"/>
    </xf>
    <xf numFmtId="0" fontId="55" fillId="0" borderId="21" xfId="0" applyFont="1" applyBorder="1" applyAlignment="1">
      <alignment horizontal="center" vertical="center"/>
    </xf>
    <xf numFmtId="0" fontId="55" fillId="0" borderId="22" xfId="0" applyFont="1" applyBorder="1" applyAlignment="1">
      <alignment horizontal="center" vertical="center"/>
    </xf>
    <xf numFmtId="0" fontId="23" fillId="0" borderId="24" xfId="0" applyFont="1" applyFill="1" applyBorder="1" applyAlignment="1">
      <alignment horizontal="center" vertical="top" wrapText="1"/>
    </xf>
    <xf numFmtId="0" fontId="23" fillId="0" borderId="25" xfId="0" applyFont="1" applyFill="1" applyBorder="1" applyAlignment="1">
      <alignment horizontal="center" vertical="top" wrapText="1"/>
    </xf>
    <xf numFmtId="0" fontId="23" fillId="0" borderId="26" xfId="0" applyFont="1" applyFill="1" applyBorder="1" applyAlignment="1">
      <alignment horizontal="center" vertical="top"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2" xfId="0" applyFont="1" applyBorder="1" applyAlignment="1">
      <alignment vertical="center"/>
    </xf>
    <xf numFmtId="0" fontId="21" fillId="0" borderId="1" xfId="0" applyFont="1" applyFill="1" applyBorder="1" applyAlignment="1">
      <alignment horizontal="center" vertical="top" wrapText="1"/>
    </xf>
    <xf numFmtId="0" fontId="23" fillId="0" borderId="2" xfId="0" applyFont="1" applyBorder="1" applyAlignment="1">
      <alignment vertical="top" wrapText="1"/>
    </xf>
    <xf numFmtId="0" fontId="14" fillId="0" borderId="4" xfId="0" applyFont="1" applyBorder="1" applyAlignment="1">
      <alignment vertical="center"/>
    </xf>
    <xf numFmtId="0" fontId="14" fillId="0" borderId="6" xfId="0" applyFont="1" applyBorder="1" applyAlignment="1">
      <alignment vertical="center"/>
    </xf>
    <xf numFmtId="0" fontId="14" fillId="0" borderId="4" xfId="0" applyFont="1" applyBorder="1" applyAlignment="1">
      <alignment vertical="center" wrapText="1"/>
    </xf>
    <xf numFmtId="0" fontId="14" fillId="0" borderId="5" xfId="0" applyFont="1" applyBorder="1" applyAlignment="1">
      <alignment vertical="center" wrapText="1"/>
    </xf>
    <xf numFmtId="0" fontId="14" fillId="0" borderId="6" xfId="0" applyFont="1" applyBorder="1" applyAlignment="1">
      <alignment vertical="center" wrapText="1"/>
    </xf>
    <xf numFmtId="0" fontId="14" fillId="0" borderId="1" xfId="0" applyFont="1" applyBorder="1" applyAlignment="1">
      <alignment vertical="center" wrapText="1"/>
    </xf>
    <xf numFmtId="0" fontId="23" fillId="0" borderId="7" xfId="0" applyFont="1" applyFill="1" applyBorder="1" applyAlignment="1">
      <alignment horizontal="left" vertical="top" wrapText="1"/>
    </xf>
    <xf numFmtId="0" fontId="23" fillId="0" borderId="8" xfId="0" applyFont="1" applyFill="1" applyBorder="1" applyAlignment="1">
      <alignment horizontal="left" vertical="top" wrapText="1"/>
    </xf>
    <xf numFmtId="0" fontId="32" fillId="0" borderId="6" xfId="0" applyFont="1" applyBorder="1" applyAlignment="1">
      <alignment horizontal="left" vertical="center" wrapText="1"/>
    </xf>
    <xf numFmtId="0" fontId="21" fillId="0" borderId="14" xfId="0" applyFont="1" applyFill="1" applyBorder="1" applyAlignment="1">
      <alignment horizontal="left" vertical="top" wrapText="1"/>
    </xf>
    <xf numFmtId="0" fontId="21" fillId="0" borderId="15" xfId="0" applyFont="1" applyFill="1" applyBorder="1" applyAlignment="1">
      <alignment horizontal="left" vertical="top" wrapText="1"/>
    </xf>
    <xf numFmtId="0" fontId="21" fillId="0" borderId="16" xfId="0" applyFont="1" applyFill="1" applyBorder="1" applyAlignment="1">
      <alignment horizontal="left" vertical="top" wrapText="1"/>
    </xf>
    <xf numFmtId="0" fontId="32" fillId="0" borderId="17" xfId="0" applyFont="1" applyBorder="1" applyAlignment="1">
      <alignment horizontal="left" vertical="center" wrapText="1"/>
    </xf>
    <xf numFmtId="0" fontId="32" fillId="0" borderId="13" xfId="0" applyFont="1" applyBorder="1" applyAlignment="1">
      <alignment horizontal="left" vertical="center" wrapText="1"/>
    </xf>
    <xf numFmtId="0" fontId="32" fillId="0" borderId="18" xfId="0" applyFont="1" applyBorder="1" applyAlignment="1">
      <alignment horizontal="left" vertical="center" wrapText="1"/>
    </xf>
    <xf numFmtId="0" fontId="23" fillId="0" borderId="4" xfId="0" applyFont="1" applyFill="1" applyBorder="1" applyAlignment="1">
      <alignment horizontal="center" vertical="center" wrapText="1"/>
    </xf>
    <xf numFmtId="0" fontId="23" fillId="0" borderId="5" xfId="0" applyFont="1" applyFill="1" applyBorder="1" applyAlignment="1">
      <alignment horizontal="center" vertical="center" wrapText="1"/>
    </xf>
    <xf numFmtId="0" fontId="23" fillId="0" borderId="6" xfId="0" applyFont="1" applyFill="1" applyBorder="1" applyAlignment="1">
      <alignment horizontal="center" vertical="center" wrapText="1"/>
    </xf>
    <xf numFmtId="0" fontId="14" fillId="0" borderId="1" xfId="0" applyFont="1" applyBorder="1" applyAlignment="1">
      <alignment horizontal="center" vertical="center"/>
    </xf>
    <xf numFmtId="0" fontId="36" fillId="0" borderId="0" xfId="0" applyFont="1" applyFill="1" applyAlignment="1">
      <alignment horizontal="left" vertical="center"/>
    </xf>
    <xf numFmtId="1" fontId="36" fillId="0" borderId="0" xfId="0" applyNumberFormat="1" applyFont="1" applyFill="1" applyAlignment="1">
      <alignment horizontal="center" vertical="center"/>
    </xf>
    <xf numFmtId="0" fontId="21" fillId="0" borderId="0" xfId="0" applyFont="1" applyBorder="1" applyAlignment="1">
      <alignment horizontal="center" vertical="center" wrapText="1"/>
    </xf>
    <xf numFmtId="1" fontId="21" fillId="0" borderId="0" xfId="0" applyNumberFormat="1" applyFont="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21" fillId="0" borderId="4" xfId="0" applyFont="1" applyFill="1" applyBorder="1" applyAlignment="1">
      <alignment horizontal="center" vertical="center" wrapText="1"/>
    </xf>
    <xf numFmtId="0" fontId="21" fillId="0" borderId="5" xfId="0" applyFont="1" applyFill="1" applyBorder="1" applyAlignment="1">
      <alignment horizontal="center" vertical="center" wrapText="1"/>
    </xf>
    <xf numFmtId="0" fontId="21" fillId="0" borderId="6" xfId="0" applyFont="1" applyFill="1" applyBorder="1" applyAlignment="1">
      <alignment horizontal="center" vertical="center" wrapText="1"/>
    </xf>
    <xf numFmtId="0" fontId="23" fillId="0" borderId="4" xfId="0" applyFont="1" applyBorder="1" applyAlignment="1">
      <alignment horizontal="left" vertical="top" wrapText="1"/>
    </xf>
    <xf numFmtId="0" fontId="23" fillId="0" borderId="5" xfId="0" applyFont="1" applyBorder="1" applyAlignment="1">
      <alignment horizontal="left" vertical="top" wrapText="1"/>
    </xf>
    <xf numFmtId="0" fontId="23" fillId="0" borderId="6" xfId="0" applyFont="1" applyBorder="1" applyAlignment="1">
      <alignment horizontal="left" vertical="top" wrapText="1"/>
    </xf>
    <xf numFmtId="0" fontId="58" fillId="0" borderId="1" xfId="0" applyFont="1" applyBorder="1" applyAlignment="1">
      <alignment horizontal="left" vertical="top" wrapText="1"/>
    </xf>
    <xf numFmtId="0" fontId="6" fillId="0" borderId="6" xfId="0" applyFont="1" applyFill="1" applyBorder="1" applyAlignment="1">
      <alignment horizontal="left" vertical="top" wrapText="1"/>
    </xf>
    <xf numFmtId="0" fontId="37" fillId="0" borderId="4" xfId="0" applyFont="1" applyBorder="1" applyAlignment="1">
      <alignment horizontal="left" vertical="center" wrapText="1"/>
    </xf>
    <xf numFmtId="0" fontId="37" fillId="0" borderId="5" xfId="0" applyFont="1" applyBorder="1" applyAlignment="1">
      <alignment horizontal="left" vertical="center" wrapText="1"/>
    </xf>
    <xf numFmtId="0" fontId="37" fillId="0" borderId="6" xfId="0" applyFont="1" applyBorder="1" applyAlignment="1">
      <alignment horizontal="left" vertical="center" wrapText="1"/>
    </xf>
    <xf numFmtId="0" fontId="56" fillId="0" borderId="4" xfId="0" applyFont="1" applyBorder="1" applyAlignment="1">
      <alignment horizontal="left" wrapText="1"/>
    </xf>
    <xf numFmtId="0" fontId="56" fillId="0" borderId="5" xfId="0" applyFont="1" applyBorder="1" applyAlignment="1">
      <alignment horizontal="left" wrapText="1"/>
    </xf>
    <xf numFmtId="0" fontId="56" fillId="0" borderId="4" xfId="0" applyFont="1" applyBorder="1" applyAlignment="1">
      <alignment horizontal="left"/>
    </xf>
    <xf numFmtId="0" fontId="56" fillId="0" borderId="5" xfId="0" applyFont="1" applyBorder="1" applyAlignment="1">
      <alignment horizontal="left"/>
    </xf>
    <xf numFmtId="0" fontId="23" fillId="0" borderId="4" xfId="0" applyFont="1" applyFill="1" applyBorder="1" applyAlignment="1">
      <alignment horizontal="left" vertical="top" wrapText="1"/>
    </xf>
    <xf numFmtId="0" fontId="23" fillId="0" borderId="5" xfId="0" applyFont="1" applyFill="1" applyBorder="1" applyAlignment="1">
      <alignment horizontal="left" vertical="top" wrapText="1"/>
    </xf>
    <xf numFmtId="0" fontId="23" fillId="0" borderId="6" xfId="0" applyFont="1" applyFill="1" applyBorder="1" applyAlignment="1">
      <alignment horizontal="left" vertical="top" wrapText="1"/>
    </xf>
    <xf numFmtId="0" fontId="43" fillId="0" borderId="1" xfId="0" applyFont="1" applyBorder="1" applyAlignment="1">
      <alignment horizontal="justify" vertical="center" wrapText="1"/>
    </xf>
    <xf numFmtId="0" fontId="37" fillId="0" borderId="4" xfId="0" applyFont="1" applyBorder="1" applyAlignment="1">
      <alignment horizontal="left" vertical="center"/>
    </xf>
    <xf numFmtId="0" fontId="37" fillId="0" borderId="5" xfId="0" applyFont="1" applyBorder="1" applyAlignment="1">
      <alignment horizontal="left" vertical="center"/>
    </xf>
    <xf numFmtId="0" fontId="37" fillId="0" borderId="6" xfId="0" applyFont="1" applyBorder="1" applyAlignment="1">
      <alignment horizontal="left" vertical="center"/>
    </xf>
    <xf numFmtId="0" fontId="95" fillId="0" borderId="29" xfId="0" applyFont="1" applyFill="1" applyBorder="1" applyAlignment="1">
      <alignment horizontal="center" vertical="top" wrapText="1"/>
    </xf>
    <xf numFmtId="0" fontId="95" fillId="0" borderId="30" xfId="0" applyFont="1" applyFill="1" applyBorder="1" applyAlignment="1">
      <alignment horizontal="center" vertical="top" wrapText="1"/>
    </xf>
    <xf numFmtId="0" fontId="95" fillId="0" borderId="31" xfId="0" applyFont="1" applyFill="1" applyBorder="1" applyAlignment="1">
      <alignment horizontal="center" vertical="top" wrapText="1"/>
    </xf>
    <xf numFmtId="0" fontId="70" fillId="0" borderId="4" xfId="0" applyFont="1" applyBorder="1" applyAlignment="1">
      <alignment horizontal="center" vertical="center"/>
    </xf>
    <xf numFmtId="0" fontId="70" fillId="0" borderId="5" xfId="0" applyFont="1" applyBorder="1" applyAlignment="1">
      <alignment horizontal="center" vertical="center"/>
    </xf>
    <xf numFmtId="0" fontId="70" fillId="0" borderId="6" xfId="0" applyFont="1" applyBorder="1" applyAlignment="1">
      <alignment horizontal="center" vertical="center"/>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13" fillId="0" borderId="6" xfId="0" applyFont="1" applyBorder="1" applyAlignment="1">
      <alignment horizontal="left" vertical="center" wrapText="1"/>
    </xf>
    <xf numFmtId="0" fontId="62" fillId="0" borderId="4" xfId="0" applyFont="1" applyBorder="1" applyAlignment="1">
      <alignment horizontal="center" vertical="center"/>
    </xf>
    <xf numFmtId="0" fontId="62" fillId="0" borderId="5" xfId="0" applyFont="1" applyBorder="1" applyAlignment="1">
      <alignment horizontal="center" vertical="center"/>
    </xf>
    <xf numFmtId="0" fontId="62" fillId="0" borderId="6" xfId="0" applyFont="1" applyBorder="1" applyAlignment="1">
      <alignment horizontal="center" vertical="center"/>
    </xf>
    <xf numFmtId="0" fontId="13" fillId="0" borderId="1" xfId="0" applyFont="1" applyFill="1" applyBorder="1" applyAlignment="1">
      <alignment horizontal="left" vertical="top" wrapText="1"/>
    </xf>
    <xf numFmtId="0" fontId="13" fillId="0" borderId="4" xfId="0" applyFont="1" applyBorder="1" applyAlignment="1">
      <alignment horizontal="left" vertical="top" wrapText="1"/>
    </xf>
    <xf numFmtId="0" fontId="13" fillId="0" borderId="5" xfId="0" applyFont="1" applyBorder="1" applyAlignment="1">
      <alignment horizontal="left" vertical="top" wrapText="1"/>
    </xf>
    <xf numFmtId="0" fontId="13" fillId="0" borderId="6" xfId="0" applyFont="1" applyBorder="1" applyAlignment="1">
      <alignment horizontal="left" vertical="top" wrapText="1"/>
    </xf>
    <xf numFmtId="0" fontId="97" fillId="0" borderId="4" xfId="0" applyFont="1" applyBorder="1" applyAlignment="1">
      <alignment horizontal="center" vertical="center"/>
    </xf>
    <xf numFmtId="0" fontId="97" fillId="0" borderId="5" xfId="0" applyFont="1" applyBorder="1" applyAlignment="1">
      <alignment horizontal="center" vertical="center"/>
    </xf>
    <xf numFmtId="0" fontId="97" fillId="0" borderId="6" xfId="0" applyFont="1" applyBorder="1" applyAlignment="1">
      <alignment horizontal="center" vertical="center"/>
    </xf>
    <xf numFmtId="0" fontId="13" fillId="0" borderId="1" xfId="0" applyFont="1" applyFill="1" applyBorder="1" applyAlignment="1">
      <alignment vertical="top" wrapText="1"/>
    </xf>
    <xf numFmtId="0" fontId="58" fillId="0" borderId="1" xfId="0" applyFont="1" applyFill="1" applyBorder="1" applyAlignment="1">
      <alignment horizontal="left" vertical="top" wrapText="1"/>
    </xf>
    <xf numFmtId="0" fontId="70" fillId="0" borderId="4" xfId="0" applyFont="1" applyBorder="1" applyAlignment="1">
      <alignment horizontal="left" vertical="center"/>
    </xf>
    <xf numFmtId="0" fontId="70" fillId="0" borderId="6" xfId="0" applyFont="1" applyBorder="1" applyAlignment="1">
      <alignment horizontal="left" vertical="center"/>
    </xf>
    <xf numFmtId="0" fontId="58" fillId="0" borderId="4" xfId="0" applyFont="1" applyBorder="1" applyAlignment="1">
      <alignment horizontal="center" vertical="center" wrapText="1"/>
    </xf>
    <xf numFmtId="0" fontId="58" fillId="0" borderId="5" xfId="0" applyFont="1" applyBorder="1" applyAlignment="1">
      <alignment horizontal="center" vertical="center" wrapText="1"/>
    </xf>
    <xf numFmtId="0" fontId="58" fillId="0" borderId="6" xfId="0" applyFont="1" applyBorder="1" applyAlignment="1">
      <alignment horizontal="center" vertical="center" wrapText="1"/>
    </xf>
    <xf numFmtId="0" fontId="58" fillId="0" borderId="1" xfId="0" applyFont="1" applyFill="1" applyBorder="1" applyAlignment="1">
      <alignment horizontal="center" vertical="top" wrapText="1"/>
    </xf>
    <xf numFmtId="0" fontId="58" fillId="0" borderId="1" xfId="0" applyFont="1" applyFill="1" applyBorder="1" applyAlignment="1">
      <alignment horizontal="justify" vertical="top" wrapText="1"/>
    </xf>
    <xf numFmtId="0" fontId="35" fillId="0" borderId="1" xfId="0" applyFont="1" applyBorder="1" applyAlignment="1">
      <alignment vertical="center" wrapText="1"/>
    </xf>
    <xf numFmtId="2" fontId="13" fillId="0" borderId="1" xfId="0" applyNumberFormat="1" applyFont="1" applyFill="1" applyBorder="1" applyAlignment="1">
      <alignment horizontal="center" vertical="top" wrapText="1"/>
    </xf>
    <xf numFmtId="2" fontId="13" fillId="0" borderId="4" xfId="0" applyNumberFormat="1" applyFont="1" applyBorder="1" applyAlignment="1">
      <alignment horizontal="center" vertical="top" wrapText="1"/>
    </xf>
    <xf numFmtId="2" fontId="13" fillId="0" borderId="6" xfId="0" applyNumberFormat="1" applyFont="1" applyBorder="1" applyAlignment="1">
      <alignment horizontal="center" vertical="top" wrapText="1"/>
    </xf>
    <xf numFmtId="0" fontId="95" fillId="0" borderId="4" xfId="0" applyFont="1" applyFill="1" applyBorder="1" applyAlignment="1">
      <alignment horizontal="center" vertical="center" wrapText="1"/>
    </xf>
    <xf numFmtId="0" fontId="95" fillId="0" borderId="5" xfId="0" applyFont="1" applyFill="1" applyBorder="1" applyAlignment="1">
      <alignment horizontal="center" vertical="center" wrapText="1"/>
    </xf>
    <xf numFmtId="0" fontId="95" fillId="0" borderId="6" xfId="0" applyFont="1" applyFill="1" applyBorder="1" applyAlignment="1">
      <alignment horizontal="center" vertical="center" wrapText="1"/>
    </xf>
    <xf numFmtId="165" fontId="4" fillId="0" borderId="0" xfId="3" applyFont="1" applyFill="1" applyBorder="1" applyAlignment="1">
      <alignment horizontal="left" vertical="center"/>
    </xf>
    <xf numFmtId="165" fontId="21" fillId="0" borderId="0" xfId="3" applyFont="1" applyFill="1" applyBorder="1" applyAlignment="1">
      <alignment horizontal="center" vertical="center" wrapText="1"/>
    </xf>
    <xf numFmtId="165" fontId="21" fillId="0" borderId="0" xfId="3" applyFont="1" applyFill="1" applyBorder="1" applyAlignment="1">
      <alignment horizontal="center" vertical="center"/>
    </xf>
    <xf numFmtId="165" fontId="23" fillId="0" borderId="0" xfId="3" applyFont="1" applyFill="1" applyBorder="1" applyAlignment="1">
      <alignment horizontal="left"/>
    </xf>
    <xf numFmtId="0" fontId="24" fillId="0" borderId="13" xfId="1" applyFont="1" applyFill="1" applyBorder="1" applyAlignment="1">
      <alignment horizontal="center" vertical="center"/>
    </xf>
    <xf numFmtId="0" fontId="90" fillId="0" borderId="0" xfId="0" applyFont="1" applyAlignment="1">
      <alignment horizontal="left" vertical="center" wrapText="1"/>
    </xf>
    <xf numFmtId="0" fontId="90" fillId="0" borderId="0" xfId="0" applyFont="1" applyAlignment="1">
      <alignment horizontal="left" vertical="center"/>
    </xf>
    <xf numFmtId="165" fontId="9" fillId="0" borderId="13" xfId="3" applyFont="1" applyFill="1" applyBorder="1" applyAlignment="1">
      <alignment horizontal="center"/>
    </xf>
  </cellXfs>
  <cellStyles count="4">
    <cellStyle name="Comma" xfId="2" builtinId="3"/>
    <cellStyle name="Comma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6/DMKT/Nguyen%20gia%20DMKTKT%20(20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cu"/>
      <sheetName val="VL"/>
      <sheetName val="TB"/>
    </sheetNames>
    <sheetDataSet>
      <sheetData sheetId="0">
        <row r="3">
          <cell r="B3" t="str">
            <v xml:space="preserve">Acqui </v>
          </cell>
          <cell r="C3" t="str">
            <v>Cái</v>
          </cell>
          <cell r="D3">
            <v>18</v>
          </cell>
          <cell r="E3">
            <v>4000000</v>
          </cell>
        </row>
        <row r="4">
          <cell r="B4" t="str">
            <v>Áo blue</v>
          </cell>
          <cell r="C4" t="str">
            <v xml:space="preserve">cái </v>
          </cell>
          <cell r="D4">
            <v>12</v>
          </cell>
          <cell r="E4">
            <v>30000</v>
          </cell>
        </row>
        <row r="5">
          <cell r="B5" t="str">
            <v>Áo phao</v>
          </cell>
          <cell r="C5" t="str">
            <v>cái</v>
          </cell>
          <cell r="D5">
            <v>24</v>
          </cell>
          <cell r="E5">
            <v>45000</v>
          </cell>
        </row>
        <row r="6">
          <cell r="B6" t="str">
            <v>Áo phản quang</v>
          </cell>
          <cell r="C6" t="str">
            <v>cái</v>
          </cell>
          <cell r="D6">
            <v>6</v>
          </cell>
          <cell r="E6">
            <v>200000</v>
          </cell>
        </row>
        <row r="7">
          <cell r="B7" t="str">
            <v>Bản đồ địa hình</v>
          </cell>
          <cell r="C7" t="str">
            <v>tờ</v>
          </cell>
          <cell r="D7">
            <v>3</v>
          </cell>
          <cell r="E7">
            <v>70000</v>
          </cell>
        </row>
        <row r="8">
          <cell r="B8" t="str">
            <v>Bàn làm việc</v>
          </cell>
          <cell r="C8" t="str">
            <v xml:space="preserve">cái </v>
          </cell>
          <cell r="D8">
            <v>96</v>
          </cell>
          <cell r="E8">
            <v>300000</v>
          </cell>
        </row>
        <row r="9">
          <cell r="B9" t="str">
            <v>Bàn lưu động</v>
          </cell>
          <cell r="C9" t="str">
            <v>cái</v>
          </cell>
          <cell r="D9">
            <v>60</v>
          </cell>
          <cell r="E9">
            <v>210000</v>
          </cell>
        </row>
        <row r="10">
          <cell r="B10" t="str">
            <v>Bao đựng mẫu</v>
          </cell>
          <cell r="C10" t="str">
            <v>Cái</v>
          </cell>
          <cell r="D10">
            <v>1</v>
          </cell>
          <cell r="E10">
            <v>2000</v>
          </cell>
        </row>
        <row r="11">
          <cell r="B11" t="str">
            <v>Bếp điện có điều chỉnh nhiệt độ</v>
          </cell>
          <cell r="C11" t="str">
            <v xml:space="preserve">cái </v>
          </cell>
          <cell r="D11">
            <v>36</v>
          </cell>
          <cell r="E11">
            <v>3000000</v>
          </cell>
        </row>
        <row r="12">
          <cell r="B12" t="str">
            <v>Bình chưng cất</v>
          </cell>
          <cell r="C12" t="str">
            <v xml:space="preserve">cái </v>
          </cell>
          <cell r="D12">
            <v>12</v>
          </cell>
          <cell r="E12">
            <v>2000000</v>
          </cell>
        </row>
        <row r="13">
          <cell r="B13" t="str">
            <v>Bình định mức 1000ml</v>
          </cell>
          <cell r="C13" t="str">
            <v>Cái</v>
          </cell>
          <cell r="D13">
            <v>12</v>
          </cell>
          <cell r="E13">
            <v>150000</v>
          </cell>
        </row>
        <row r="14">
          <cell r="B14" t="str">
            <v>Bình định mức 100ml</v>
          </cell>
          <cell r="C14" t="str">
            <v xml:space="preserve">cái </v>
          </cell>
          <cell r="D14">
            <v>12</v>
          </cell>
          <cell r="E14">
            <v>88000</v>
          </cell>
        </row>
        <row r="15">
          <cell r="B15" t="str">
            <v>Bình định mức 150ml</v>
          </cell>
          <cell r="C15" t="str">
            <v>Cái</v>
          </cell>
          <cell r="D15">
            <v>12</v>
          </cell>
          <cell r="E15">
            <v>320000</v>
          </cell>
        </row>
        <row r="16">
          <cell r="B16" t="str">
            <v>Bình định mức 250ml</v>
          </cell>
          <cell r="C16" t="str">
            <v>Cái</v>
          </cell>
          <cell r="D16">
            <v>12</v>
          </cell>
          <cell r="E16">
            <v>143000</v>
          </cell>
        </row>
        <row r="17">
          <cell r="B17" t="str">
            <v>Bình định mức 25ml</v>
          </cell>
          <cell r="C17" t="str">
            <v xml:space="preserve">cái </v>
          </cell>
          <cell r="D17">
            <v>12</v>
          </cell>
          <cell r="E17">
            <v>170000</v>
          </cell>
        </row>
        <row r="18">
          <cell r="B18" t="str">
            <v>Bình định mức 500ml</v>
          </cell>
          <cell r="C18" t="str">
            <v>Cái</v>
          </cell>
          <cell r="D18">
            <v>12</v>
          </cell>
          <cell r="E18">
            <v>121000</v>
          </cell>
        </row>
        <row r="19">
          <cell r="B19" t="str">
            <v>Bình định mức 50ml</v>
          </cell>
          <cell r="C19" t="str">
            <v xml:space="preserve">cái </v>
          </cell>
          <cell r="D19">
            <v>12</v>
          </cell>
          <cell r="E19">
            <v>85000</v>
          </cell>
        </row>
        <row r="20">
          <cell r="B20" t="str">
            <v>Bình định mức 560ml</v>
          </cell>
          <cell r="C20" t="str">
            <v>cái</v>
          </cell>
          <cell r="D20">
            <v>12</v>
          </cell>
          <cell r="E20">
            <v>470000</v>
          </cell>
        </row>
        <row r="21">
          <cell r="B21" t="str">
            <v>Bình mẫu</v>
          </cell>
          <cell r="C21" t="str">
            <v>Cái</v>
          </cell>
          <cell r="D21">
            <v>36</v>
          </cell>
          <cell r="E21">
            <v>60000</v>
          </cell>
        </row>
        <row r="22">
          <cell r="B22" t="str">
            <v>Bình nhỏ giọt</v>
          </cell>
          <cell r="C22" t="str">
            <v xml:space="preserve">cái </v>
          </cell>
          <cell r="D22">
            <v>36</v>
          </cell>
          <cell r="E22">
            <v>150000</v>
          </cell>
        </row>
        <row r="23">
          <cell r="B23" t="str">
            <v>Bình nhựa 0,5 lít</v>
          </cell>
          <cell r="C23" t="str">
            <v xml:space="preserve">cái </v>
          </cell>
          <cell r="D23">
            <v>36</v>
          </cell>
          <cell r="E23">
            <v>110000</v>
          </cell>
        </row>
        <row r="24">
          <cell r="B24" t="str">
            <v>Bình nhựa 2 lít</v>
          </cell>
          <cell r="C24" t="str">
            <v>Cái</v>
          </cell>
          <cell r="D24">
            <v>36</v>
          </cell>
          <cell r="E24">
            <v>340000</v>
          </cell>
        </row>
        <row r="25">
          <cell r="B25" t="str">
            <v>Bình nhựa 5 lít</v>
          </cell>
          <cell r="C25" t="str">
            <v>Cái</v>
          </cell>
          <cell r="D25">
            <v>36</v>
          </cell>
          <cell r="E25">
            <v>700000</v>
          </cell>
        </row>
        <row r="26">
          <cell r="B26" t="str">
            <v xml:space="preserve">Bình ngưng tụ </v>
          </cell>
          <cell r="C26" t="str">
            <v>Cái</v>
          </cell>
          <cell r="D26">
            <v>36</v>
          </cell>
          <cell r="E26">
            <v>5000000</v>
          </cell>
        </row>
        <row r="27">
          <cell r="B27" t="str">
            <v xml:space="preserve">Bộ ống nối </v>
          </cell>
          <cell r="C27" t="str">
            <v>cái</v>
          </cell>
          <cell r="D27">
            <v>36</v>
          </cell>
          <cell r="E27">
            <v>15000000</v>
          </cell>
        </row>
        <row r="28">
          <cell r="B28" t="str">
            <v>Bình tam giác</v>
          </cell>
          <cell r="C28" t="str">
            <v>Cái</v>
          </cell>
          <cell r="D28">
            <v>12</v>
          </cell>
          <cell r="E28">
            <v>60000</v>
          </cell>
        </row>
        <row r="29">
          <cell r="B29" t="str">
            <v>Bình tam giác 100ml</v>
          </cell>
          <cell r="C29" t="str">
            <v>cái</v>
          </cell>
          <cell r="D29">
            <v>12</v>
          </cell>
          <cell r="E29">
            <v>100000</v>
          </cell>
        </row>
        <row r="30">
          <cell r="B30" t="str">
            <v>Bình tam giác 250ml</v>
          </cell>
          <cell r="C30" t="str">
            <v xml:space="preserve">cái </v>
          </cell>
          <cell r="D30">
            <v>12</v>
          </cell>
          <cell r="E30">
            <v>44000</v>
          </cell>
        </row>
        <row r="31">
          <cell r="B31" t="str">
            <v>Bình tam giác 25ml</v>
          </cell>
          <cell r="C31" t="str">
            <v>cái</v>
          </cell>
          <cell r="D31">
            <v>12</v>
          </cell>
          <cell r="E31">
            <v>50000</v>
          </cell>
        </row>
        <row r="32">
          <cell r="B32" t="str">
            <v>Bình tam giác 500ml</v>
          </cell>
          <cell r="C32" t="str">
            <v>cái</v>
          </cell>
          <cell r="D32">
            <v>12</v>
          </cell>
          <cell r="E32">
            <v>140000</v>
          </cell>
        </row>
        <row r="33">
          <cell r="B33" t="str">
            <v>Bình tam giác 50ml</v>
          </cell>
          <cell r="C33" t="str">
            <v>cái</v>
          </cell>
          <cell r="D33">
            <v>12</v>
          </cell>
          <cell r="E33">
            <v>60000</v>
          </cell>
        </row>
        <row r="34">
          <cell r="B34" t="str">
            <v>Bình tam giác 1000ml</v>
          </cell>
          <cell r="C34" t="str">
            <v>cái</v>
          </cell>
          <cell r="D34">
            <v>12</v>
          </cell>
          <cell r="E34">
            <v>250000</v>
          </cell>
        </row>
        <row r="35">
          <cell r="B35" t="str">
            <v>Bình tia</v>
          </cell>
          <cell r="C35" t="str">
            <v>cái</v>
          </cell>
          <cell r="D35">
            <v>36</v>
          </cell>
          <cell r="E35">
            <v>110000</v>
          </cell>
        </row>
        <row r="36">
          <cell r="B36" t="str">
            <v>Bình thủy tinh 1000ml</v>
          </cell>
          <cell r="C36" t="str">
            <v>Cái</v>
          </cell>
          <cell r="D36">
            <v>12</v>
          </cell>
          <cell r="E36">
            <v>180000</v>
          </cell>
        </row>
        <row r="37">
          <cell r="B37" t="str">
            <v>Bình thủy tinh 250ml</v>
          </cell>
          <cell r="C37" t="str">
            <v>Cái</v>
          </cell>
          <cell r="D37">
            <v>12</v>
          </cell>
          <cell r="E37">
            <v>120000</v>
          </cell>
        </row>
        <row r="38">
          <cell r="B38" t="str">
            <v>Bình thủy tinh trung tính</v>
          </cell>
          <cell r="C38" t="str">
            <v>Cái</v>
          </cell>
          <cell r="D38">
            <v>12</v>
          </cell>
          <cell r="E38">
            <v>155000</v>
          </cell>
        </row>
        <row r="39">
          <cell r="B39" t="str">
            <v xml:space="preserve">Bình thủy tinh đựng mẫu </v>
          </cell>
          <cell r="C39" t="str">
            <v>cái</v>
          </cell>
          <cell r="D39">
            <v>12</v>
          </cell>
          <cell r="E39">
            <v>200000</v>
          </cell>
        </row>
        <row r="40">
          <cell r="B40" t="str">
            <v>Bình chứa dung dịch thu hồi</v>
          </cell>
          <cell r="C40" t="str">
            <v>Cái</v>
          </cell>
          <cell r="D40">
            <v>12</v>
          </cell>
          <cell r="E40">
            <v>5000000</v>
          </cell>
        </row>
        <row r="41">
          <cell r="B41" t="str">
            <v xml:space="preserve"> Bộ làm sạch sensor</v>
          </cell>
          <cell r="C41" t="str">
            <v>Bộ</v>
          </cell>
          <cell r="D41">
            <v>6</v>
          </cell>
          <cell r="E41">
            <v>20000000</v>
          </cell>
        </row>
        <row r="42">
          <cell r="B42" t="str">
            <v>Bộ lưu giữ dung dịch hấp thụ</v>
          </cell>
          <cell r="C42" t="str">
            <v>Cái</v>
          </cell>
          <cell r="D42">
            <v>12</v>
          </cell>
          <cell r="E42">
            <v>10000000</v>
          </cell>
        </row>
        <row r="43">
          <cell r="B43" t="str">
            <v xml:space="preserve">Bộ lọc bụi </v>
          </cell>
          <cell r="C43" t="str">
            <v>Bộ</v>
          </cell>
          <cell r="D43">
            <v>6</v>
          </cell>
          <cell r="E43">
            <v>9500000</v>
          </cell>
        </row>
        <row r="44">
          <cell r="B44" t="str">
            <v>Bộ lưu giữ filter</v>
          </cell>
          <cell r="C44" t="str">
            <v>Bộ</v>
          </cell>
          <cell r="D44">
            <v>60</v>
          </cell>
          <cell r="E44">
            <v>25000000</v>
          </cell>
        </row>
        <row r="45">
          <cell r="B45" t="str">
            <v>Bộ dụng cụ thu hồi mẫu</v>
          </cell>
          <cell r="C45" t="str">
            <v>bộ</v>
          </cell>
          <cell r="D45">
            <v>18</v>
          </cell>
          <cell r="E45">
            <v>10000000</v>
          </cell>
        </row>
        <row r="46">
          <cell r="B46" t="str">
            <v>Bộ lọc khí lưu huỳnh</v>
          </cell>
          <cell r="C46" t="str">
            <v>Bộ</v>
          </cell>
          <cell r="D46">
            <v>6</v>
          </cell>
          <cell r="E46">
            <v>3000000</v>
          </cell>
        </row>
        <row r="47">
          <cell r="B47" t="str">
            <v xml:space="preserve">Bộ lọc khí lưu huỳnh </v>
          </cell>
          <cell r="C47" t="str">
            <v>Bộ</v>
          </cell>
          <cell r="D47">
            <v>6</v>
          </cell>
          <cell r="E47">
            <v>3000000</v>
          </cell>
        </row>
        <row r="48">
          <cell r="B48" t="str">
            <v>Bộ lọc bụi</v>
          </cell>
          <cell r="C48" t="str">
            <v>bộ</v>
          </cell>
          <cell r="D48">
            <v>6</v>
          </cell>
          <cell r="E48">
            <v>9500000</v>
          </cell>
        </row>
        <row r="49">
          <cell r="B49" t="str">
            <v>Bộ sục khí</v>
          </cell>
          <cell r="C49" t="str">
            <v>bộ</v>
          </cell>
          <cell r="D49">
            <v>24</v>
          </cell>
          <cell r="E49">
            <v>3000000</v>
          </cell>
        </row>
        <row r="50">
          <cell r="B50" t="str">
            <v>Bộ dây nối</v>
          </cell>
          <cell r="C50" t="str">
            <v>Bộ</v>
          </cell>
          <cell r="D50">
            <v>12</v>
          </cell>
          <cell r="E50">
            <v>40000000</v>
          </cell>
        </row>
        <row r="51">
          <cell r="B51" t="str">
            <v>Bộ ống hấp thụ</v>
          </cell>
          <cell r="C51" t="str">
            <v>Bộ</v>
          </cell>
          <cell r="D51">
            <v>12</v>
          </cell>
          <cell r="E51">
            <v>20000000</v>
          </cell>
        </row>
        <row r="52">
          <cell r="B52" t="str">
            <v>Bộ lọc tạp chất cản trở</v>
          </cell>
          <cell r="C52" t="str">
            <v>bộ</v>
          </cell>
          <cell r="D52">
            <v>6</v>
          </cell>
          <cell r="E52">
            <v>3000000</v>
          </cell>
        </row>
        <row r="53">
          <cell r="B53" t="str">
            <v>Bông</v>
          </cell>
          <cell r="C53" t="str">
            <v>Kg</v>
          </cell>
          <cell r="D53">
            <v>6</v>
          </cell>
          <cell r="E53">
            <v>210000</v>
          </cell>
        </row>
        <row r="54">
          <cell r="B54" t="str">
            <v>Bông thủy tinh</v>
          </cell>
          <cell r="C54" t="str">
            <v xml:space="preserve">chiếc </v>
          </cell>
          <cell r="D54">
            <v>32</v>
          </cell>
          <cell r="E54">
            <v>2400000</v>
          </cell>
        </row>
        <row r="55">
          <cell r="B55" t="str">
            <v>Bơm khí H2 cho máy GC</v>
          </cell>
          <cell r="C55" t="str">
            <v xml:space="preserve">cái </v>
          </cell>
          <cell r="D55">
            <v>32</v>
          </cell>
          <cell r="E55">
            <v>9500000</v>
          </cell>
        </row>
        <row r="56">
          <cell r="B56" t="str">
            <v>Bơm khí N2 cho máy GC</v>
          </cell>
          <cell r="C56" t="str">
            <v xml:space="preserve">cái </v>
          </cell>
          <cell r="D56">
            <v>32</v>
          </cell>
          <cell r="E56">
            <v>24970000</v>
          </cell>
        </row>
        <row r="57">
          <cell r="B57" t="str">
            <v>Buret 1ml</v>
          </cell>
          <cell r="C57" t="str">
            <v>Cái</v>
          </cell>
          <cell r="D57">
            <v>12</v>
          </cell>
          <cell r="E57">
            <v>11700000</v>
          </cell>
        </row>
        <row r="58">
          <cell r="B58" t="str">
            <v>Buret chuẩn độ</v>
          </cell>
          <cell r="C58" t="str">
            <v>cái</v>
          </cell>
          <cell r="D58">
            <v>12</v>
          </cell>
          <cell r="E58">
            <v>4900000</v>
          </cell>
        </row>
        <row r="59">
          <cell r="B59" t="str">
            <v>Burret chuẩn độ tự động</v>
          </cell>
          <cell r="C59" t="str">
            <v>cái</v>
          </cell>
          <cell r="D59">
            <v>12</v>
          </cell>
          <cell r="E59">
            <v>4900000</v>
          </cell>
        </row>
        <row r="60">
          <cell r="B60" t="str">
            <v>Cái lọc</v>
          </cell>
          <cell r="C60" t="str">
            <v xml:space="preserve">cái </v>
          </cell>
          <cell r="D60">
            <v>1</v>
          </cell>
          <cell r="E60">
            <v>150000</v>
          </cell>
        </row>
        <row r="61">
          <cell r="B61" t="str">
            <v>Can nhựa</v>
          </cell>
          <cell r="C61" t="str">
            <v>cái</v>
          </cell>
          <cell r="D61">
            <v>36</v>
          </cell>
          <cell r="E61">
            <v>50000</v>
          </cell>
        </row>
        <row r="62">
          <cell r="B62" t="str">
            <v>Cell đo phổ</v>
          </cell>
          <cell r="C62" t="str">
            <v>cái</v>
          </cell>
          <cell r="D62">
            <v>12</v>
          </cell>
          <cell r="E62">
            <v>1600000</v>
          </cell>
        </row>
        <row r="63">
          <cell r="B63" t="str">
            <v>COD, BOD5</v>
          </cell>
          <cell r="C63" t="str">
            <v>cái</v>
          </cell>
          <cell r="D63">
            <v>12</v>
          </cell>
          <cell r="E63">
            <v>6000000</v>
          </cell>
        </row>
        <row r="64">
          <cell r="B64" t="str">
            <v>Cốc đo</v>
          </cell>
          <cell r="C64" t="str">
            <v>cái</v>
          </cell>
          <cell r="D64">
            <v>36</v>
          </cell>
          <cell r="E64">
            <v>350000</v>
          </cell>
        </row>
        <row r="65">
          <cell r="B65" t="str">
            <v>Cốc nung (sứ, 30ml)</v>
          </cell>
          <cell r="C65" t="str">
            <v xml:space="preserve">cái </v>
          </cell>
          <cell r="D65">
            <v>6</v>
          </cell>
          <cell r="E65">
            <v>30000</v>
          </cell>
        </row>
        <row r="66">
          <cell r="B66" t="str">
            <v>Cốc nhựa</v>
          </cell>
          <cell r="C66" t="str">
            <v>cái</v>
          </cell>
          <cell r="D66">
            <v>36</v>
          </cell>
          <cell r="E66">
            <v>80000</v>
          </cell>
        </row>
        <row r="67">
          <cell r="B67" t="str">
            <v>Cốc thủy tinh</v>
          </cell>
          <cell r="C67" t="str">
            <v>cái</v>
          </cell>
          <cell r="D67">
            <v>12</v>
          </cell>
          <cell r="E67">
            <v>75000</v>
          </cell>
        </row>
        <row r="68">
          <cell r="B68" t="str">
            <v>Cốc thủy tinh 1000ml</v>
          </cell>
          <cell r="C68" t="str">
            <v>cái</v>
          </cell>
          <cell r="D68">
            <v>12</v>
          </cell>
          <cell r="E68">
            <v>140000</v>
          </cell>
        </row>
        <row r="69">
          <cell r="B69" t="str">
            <v>Cốc thủy tinh 250ml</v>
          </cell>
          <cell r="C69" t="str">
            <v xml:space="preserve">cái </v>
          </cell>
          <cell r="D69">
            <v>12</v>
          </cell>
          <cell r="E69">
            <v>90000</v>
          </cell>
        </row>
        <row r="70">
          <cell r="B70" t="str">
            <v>Cốc thủy tinh 50ml</v>
          </cell>
          <cell r="C70" t="str">
            <v>cái</v>
          </cell>
          <cell r="D70">
            <v>12</v>
          </cell>
          <cell r="E70">
            <v>80000</v>
          </cell>
        </row>
        <row r="71">
          <cell r="B71" t="str">
            <v>Cột sắc ký</v>
          </cell>
          <cell r="C71" t="str">
            <v>Cái</v>
          </cell>
          <cell r="D71">
            <v>12</v>
          </cell>
          <cell r="E71">
            <v>40000000</v>
          </cell>
        </row>
        <row r="72">
          <cell r="B72" t="str">
            <v>Cột sắc ký thủy tinh</v>
          </cell>
          <cell r="C72" t="str">
            <v>Cái</v>
          </cell>
          <cell r="D72">
            <v>12</v>
          </cell>
          <cell r="E72">
            <v>1900000</v>
          </cell>
        </row>
        <row r="73">
          <cell r="B73" t="str">
            <v>Cột sắc ký trao đổi ion</v>
          </cell>
          <cell r="C73" t="str">
            <v>cái</v>
          </cell>
          <cell r="D73">
            <v>12</v>
          </cell>
          <cell r="E73">
            <v>27000000</v>
          </cell>
        </row>
        <row r="74">
          <cell r="B74" t="str">
            <v>Cột tách</v>
          </cell>
          <cell r="C74" t="str">
            <v xml:space="preserve">cái </v>
          </cell>
          <cell r="D74">
            <v>12</v>
          </cell>
          <cell r="E74">
            <v>1800000</v>
          </cell>
        </row>
        <row r="75">
          <cell r="B75" t="str">
            <v>Cột tách cho anion</v>
          </cell>
          <cell r="C75" t="str">
            <v>cái</v>
          </cell>
          <cell r="D75">
            <v>12</v>
          </cell>
          <cell r="E75">
            <v>37500000</v>
          </cell>
        </row>
        <row r="76">
          <cell r="B76" t="str">
            <v>Cột tách mao quản</v>
          </cell>
          <cell r="C76" t="str">
            <v>Cái</v>
          </cell>
          <cell r="D76">
            <v>12</v>
          </cell>
          <cell r="E76">
            <v>27000000</v>
          </cell>
        </row>
        <row r="77">
          <cell r="B77" t="str">
            <v>Cuốc lấy mẫu Peterxen 5,000 cm3</v>
          </cell>
          <cell r="C77" t="str">
            <v>cái</v>
          </cell>
          <cell r="D77">
            <v>36</v>
          </cell>
          <cell r="E77">
            <v>1300000</v>
          </cell>
        </row>
        <row r="78">
          <cell r="B78" t="str">
            <v>Cuvet 1cm</v>
          </cell>
          <cell r="C78" t="str">
            <v>cái</v>
          </cell>
          <cell r="D78">
            <v>12</v>
          </cell>
          <cell r="E78">
            <v>1600000</v>
          </cell>
        </row>
        <row r="79">
          <cell r="B79" t="str">
            <v>Cuvet Graphit</v>
          </cell>
          <cell r="C79" t="str">
            <v>cái</v>
          </cell>
          <cell r="D79">
            <v>6</v>
          </cell>
          <cell r="E79">
            <v>5000000</v>
          </cell>
        </row>
        <row r="80">
          <cell r="B80" t="str">
            <v>Cuvet thạch anh cho FIAS</v>
          </cell>
          <cell r="C80" t="str">
            <v>cái</v>
          </cell>
          <cell r="D80">
            <v>12</v>
          </cell>
          <cell r="E80">
            <v>35000000</v>
          </cell>
        </row>
        <row r="81">
          <cell r="B81" t="str">
            <v>Chai bảo quản dung dịch</v>
          </cell>
          <cell r="C81" t="str">
            <v>cái</v>
          </cell>
          <cell r="D81">
            <v>12</v>
          </cell>
          <cell r="E81">
            <v>30000</v>
          </cell>
        </row>
        <row r="82">
          <cell r="B82" t="str">
            <v>Chai BOD</v>
          </cell>
          <cell r="C82" t="str">
            <v>cái</v>
          </cell>
          <cell r="D82">
            <v>12</v>
          </cell>
          <cell r="E82">
            <v>600000</v>
          </cell>
        </row>
        <row r="83">
          <cell r="B83" t="str">
            <v>Chai CO</v>
          </cell>
          <cell r="C83" t="str">
            <v xml:space="preserve">cái </v>
          </cell>
          <cell r="D83">
            <v>12</v>
          </cell>
          <cell r="E83">
            <v>30000</v>
          </cell>
        </row>
        <row r="84">
          <cell r="B84" t="str">
            <v>Chai CO2</v>
          </cell>
          <cell r="C84" t="str">
            <v xml:space="preserve">cái </v>
          </cell>
          <cell r="D84">
            <v>12</v>
          </cell>
          <cell r="E84">
            <v>30000</v>
          </cell>
        </row>
        <row r="85">
          <cell r="B85" t="str">
            <v>Chai chứa mẫu 100ml</v>
          </cell>
          <cell r="C85" t="str">
            <v xml:space="preserve">cái </v>
          </cell>
          <cell r="D85">
            <v>12</v>
          </cell>
          <cell r="E85">
            <v>120000</v>
          </cell>
        </row>
        <row r="86">
          <cell r="B86" t="str">
            <v>Chai đựng mẫu</v>
          </cell>
          <cell r="C86" t="str">
            <v xml:space="preserve">cái </v>
          </cell>
          <cell r="D86">
            <v>12</v>
          </cell>
          <cell r="E86">
            <v>80000</v>
          </cell>
        </row>
        <row r="87">
          <cell r="B87" t="str">
            <v>Chai đựng hóa chất</v>
          </cell>
          <cell r="C87" t="str">
            <v xml:space="preserve">cái </v>
          </cell>
          <cell r="D87">
            <v>12</v>
          </cell>
          <cell r="E87">
            <v>100000</v>
          </cell>
        </row>
        <row r="88">
          <cell r="B88" t="str">
            <v>Chai đựng mẫu vi sinh</v>
          </cell>
          <cell r="C88" t="str">
            <v>caid</v>
          </cell>
          <cell r="D88">
            <v>12</v>
          </cell>
          <cell r="E88">
            <v>200000</v>
          </cell>
        </row>
        <row r="89">
          <cell r="B89" t="str">
            <v>Chai đựng nước cất</v>
          </cell>
          <cell r="C89" t="str">
            <v>Cái</v>
          </cell>
          <cell r="D89">
            <v>12</v>
          </cell>
          <cell r="E89">
            <v>80000</v>
          </cell>
        </row>
        <row r="90">
          <cell r="B90" t="str">
            <v>Chai NO</v>
          </cell>
          <cell r="C90" t="str">
            <v xml:space="preserve">cái </v>
          </cell>
          <cell r="D90">
            <v>12</v>
          </cell>
          <cell r="E90">
            <v>500000</v>
          </cell>
        </row>
        <row r="91">
          <cell r="B91" t="str">
            <v>Chai ninh</v>
          </cell>
          <cell r="C91" t="str">
            <v>Cái</v>
          </cell>
          <cell r="D91">
            <v>12</v>
          </cell>
          <cell r="E91">
            <v>500000</v>
          </cell>
        </row>
        <row r="92">
          <cell r="B92" t="str">
            <v>Chai NO2</v>
          </cell>
          <cell r="C92" t="str">
            <v>cái</v>
          </cell>
          <cell r="D92">
            <v>12</v>
          </cell>
          <cell r="E92">
            <v>25000</v>
          </cell>
        </row>
        <row r="93">
          <cell r="B93" t="str">
            <v>Chai nhựa 0,5 lít</v>
          </cell>
          <cell r="C93" t="str">
            <v xml:space="preserve">cái </v>
          </cell>
          <cell r="D93">
            <v>36</v>
          </cell>
          <cell r="E93">
            <v>60000</v>
          </cell>
        </row>
        <row r="94">
          <cell r="B94" t="str">
            <v>Chai O3</v>
          </cell>
          <cell r="C94" t="str">
            <v>cái</v>
          </cell>
          <cell r="D94">
            <v>12</v>
          </cell>
          <cell r="E94">
            <v>500000</v>
          </cell>
        </row>
        <row r="95">
          <cell r="B95" t="str">
            <v>Chai SO2</v>
          </cell>
          <cell r="C95" t="str">
            <v>cái</v>
          </cell>
          <cell r="D95">
            <v>12</v>
          </cell>
          <cell r="E95">
            <v>25000</v>
          </cell>
        </row>
        <row r="96">
          <cell r="B96" t="str">
            <v>Chuẩn độ Microburet</v>
          </cell>
          <cell r="C96" t="str">
            <v>cái</v>
          </cell>
          <cell r="D96">
            <v>12</v>
          </cell>
          <cell r="E96">
            <v>800000</v>
          </cell>
        </row>
        <row r="97">
          <cell r="B97" t="str">
            <v>Chụp đầu đo</v>
          </cell>
          <cell r="C97" t="str">
            <v>cái</v>
          </cell>
          <cell r="D97">
            <v>3</v>
          </cell>
          <cell r="E97">
            <v>100000</v>
          </cell>
        </row>
        <row r="98">
          <cell r="B98" t="str">
            <v>Dây điện đôi dài 50m</v>
          </cell>
          <cell r="C98" t="str">
            <v>dây</v>
          </cell>
          <cell r="D98">
            <v>36</v>
          </cell>
          <cell r="E98">
            <v>300000</v>
          </cell>
        </row>
        <row r="99">
          <cell r="B99" t="str">
            <v>Đai bảo hiểm</v>
          </cell>
          <cell r="C99" t="str">
            <v>dây</v>
          </cell>
          <cell r="D99">
            <v>6</v>
          </cell>
          <cell r="E99">
            <v>1000000</v>
          </cell>
        </row>
        <row r="100">
          <cell r="B100" t="str">
            <v>Đĩa petri</v>
          </cell>
          <cell r="C100" t="str">
            <v>cái</v>
          </cell>
          <cell r="D100">
            <v>1</v>
          </cell>
          <cell r="E100">
            <v>3000</v>
          </cell>
        </row>
        <row r="101">
          <cell r="B101" t="str">
            <v>Dép xốp</v>
          </cell>
          <cell r="C101" t="str">
            <v xml:space="preserve">đôi </v>
          </cell>
          <cell r="D101">
            <v>6</v>
          </cell>
          <cell r="E101">
            <v>25000</v>
          </cell>
        </row>
        <row r="102">
          <cell r="B102" t="str">
            <v>Detector vết</v>
          </cell>
          <cell r="C102" t="str">
            <v>cái</v>
          </cell>
          <cell r="D102" t="str">
            <v>1 lần</v>
          </cell>
          <cell r="E102">
            <v>200000</v>
          </cell>
        </row>
        <row r="103">
          <cell r="B103" t="str">
            <v>Đầu cone 0,1ml</v>
          </cell>
          <cell r="C103" t="str">
            <v>Cái</v>
          </cell>
          <cell r="D103">
            <v>1</v>
          </cell>
          <cell r="E103">
            <v>3000</v>
          </cell>
        </row>
        <row r="104">
          <cell r="B104" t="str">
            <v>Đầu cone 1ml</v>
          </cell>
          <cell r="C104" t="str">
            <v xml:space="preserve">cái </v>
          </cell>
          <cell r="D104">
            <v>1</v>
          </cell>
          <cell r="E104">
            <v>3000</v>
          </cell>
        </row>
        <row r="105">
          <cell r="B105" t="str">
            <v>Đầu cone 4ml</v>
          </cell>
          <cell r="C105" t="str">
            <v>Cái</v>
          </cell>
          <cell r="D105">
            <v>1</v>
          </cell>
          <cell r="E105">
            <v>3000</v>
          </cell>
        </row>
        <row r="106">
          <cell r="B106" t="str">
            <v>Đầu cone 5ml</v>
          </cell>
          <cell r="C106" t="str">
            <v xml:space="preserve">cái </v>
          </cell>
          <cell r="D106">
            <v>1</v>
          </cell>
          <cell r="E106">
            <v>3000</v>
          </cell>
        </row>
        <row r="107">
          <cell r="B107" t="str">
            <v>Đầu điện cực</v>
          </cell>
          <cell r="C107" t="str">
            <v>cái</v>
          </cell>
          <cell r="D107">
            <v>6</v>
          </cell>
          <cell r="E107">
            <v>12000000</v>
          </cell>
        </row>
        <row r="108">
          <cell r="B108" t="str">
            <v>Đầu đo sensor</v>
          </cell>
          <cell r="C108" t="str">
            <v>Cái</v>
          </cell>
          <cell r="D108">
            <v>6</v>
          </cell>
          <cell r="E108">
            <v>35000000</v>
          </cell>
        </row>
        <row r="109">
          <cell r="B109" t="str">
            <v>Đầu đo Nozzles</v>
          </cell>
          <cell r="C109" t="str">
            <v>Cái</v>
          </cell>
          <cell r="D109">
            <v>12</v>
          </cell>
          <cell r="E109">
            <v>1000000</v>
          </cell>
        </row>
        <row r="110">
          <cell r="B110" t="str">
            <v>Đèn sạc điện</v>
          </cell>
          <cell r="C110" t="str">
            <v>caái</v>
          </cell>
          <cell r="D110">
            <v>36</v>
          </cell>
          <cell r="E110">
            <v>230000</v>
          </cell>
        </row>
        <row r="111">
          <cell r="B111" t="str">
            <v>Cặp đựng tài liệu</v>
          </cell>
          <cell r="D111">
            <v>24</v>
          </cell>
          <cell r="E111">
            <v>15000</v>
          </cell>
        </row>
        <row r="112">
          <cell r="B112" t="str">
            <v>Quần áo mưa</v>
          </cell>
          <cell r="C112" t="str">
            <v>bộ</v>
          </cell>
          <cell r="D112">
            <v>12</v>
          </cell>
          <cell r="E112">
            <v>120000</v>
          </cell>
        </row>
        <row r="113">
          <cell r="B113" t="str">
            <v>Đèn hiệu</v>
          </cell>
          <cell r="C113" t="str">
            <v>bộ</v>
          </cell>
          <cell r="D113">
            <v>24</v>
          </cell>
          <cell r="E113">
            <v>2500000</v>
          </cell>
        </row>
        <row r="114">
          <cell r="B114" t="str">
            <v>Bình cứu hỏa</v>
          </cell>
          <cell r="C114" t="str">
            <v>Bộ</v>
          </cell>
          <cell r="D114">
            <v>24</v>
          </cell>
          <cell r="E114">
            <v>370000</v>
          </cell>
        </row>
        <row r="115">
          <cell r="B115" t="str">
            <v>Ổn áp</v>
          </cell>
          <cell r="D115">
            <v>96</v>
          </cell>
          <cell r="E115">
            <v>970000</v>
          </cell>
        </row>
        <row r="116">
          <cell r="B116" t="str">
            <v>Bộ lưu điện 6KVA</v>
          </cell>
          <cell r="D116">
            <v>60</v>
          </cell>
          <cell r="E116">
            <v>50000000</v>
          </cell>
        </row>
        <row r="117">
          <cell r="B117" t="str">
            <v>Kính bảo vệ</v>
          </cell>
          <cell r="D117">
            <v>12</v>
          </cell>
          <cell r="E117">
            <v>30000</v>
          </cell>
        </row>
        <row r="118">
          <cell r="B118" t="str">
            <v>Thang (3m)</v>
          </cell>
          <cell r="D118">
            <v>36</v>
          </cell>
          <cell r="E118">
            <v>1500000</v>
          </cell>
        </row>
        <row r="119">
          <cell r="B119" t="str">
            <v xml:space="preserve"> Bộ làm sạch sensor</v>
          </cell>
          <cell r="C119" t="str">
            <v>Bộ</v>
          </cell>
          <cell r="D119">
            <v>6</v>
          </cell>
          <cell r="E119">
            <v>20000000</v>
          </cell>
        </row>
        <row r="120">
          <cell r="B120" t="str">
            <v>Bộ dụng cụ để bảo dưỡng, thao tác trong quá trình vận hành</v>
          </cell>
          <cell r="C120" t="str">
            <v>Bộ</v>
          </cell>
          <cell r="D120">
            <v>60</v>
          </cell>
          <cell r="E120">
            <v>5000000</v>
          </cell>
        </row>
        <row r="121">
          <cell r="B121" t="str">
            <v>Cáp truyền số liệu cho các sensor</v>
          </cell>
          <cell r="C121" t="str">
            <v>Bộ</v>
          </cell>
          <cell r="D121">
            <v>36</v>
          </cell>
          <cell r="E121">
            <v>5000000</v>
          </cell>
        </row>
        <row r="122">
          <cell r="B122" t="str">
            <v>Đường điện thoại/Internet truyền số liệu</v>
          </cell>
          <cell r="D122">
            <v>36</v>
          </cell>
          <cell r="E122">
            <v>2000000</v>
          </cell>
        </row>
        <row r="123">
          <cell r="B123" t="str">
            <v>Bộ làm sạch ống lấy mẫu</v>
          </cell>
          <cell r="D123">
            <v>2</v>
          </cell>
          <cell r="E123">
            <v>20000000</v>
          </cell>
        </row>
        <row r="124">
          <cell r="B124" t="str">
            <v>Tủ đựng dụng cụ</v>
          </cell>
          <cell r="D124">
            <v>96</v>
          </cell>
          <cell r="E124">
            <v>3000000</v>
          </cell>
        </row>
        <row r="125">
          <cell r="B125" t="str">
            <v>Bộ làm sạch đường ống mẫu, bộ phân phối khí manifol và modul</v>
          </cell>
          <cell r="D125">
            <v>2</v>
          </cell>
          <cell r="E125">
            <v>20000000</v>
          </cell>
        </row>
        <row r="126">
          <cell r="B126" t="str">
            <v>Bộ làm sạch đường ống mẫu và modul</v>
          </cell>
          <cell r="D126">
            <v>2</v>
          </cell>
          <cell r="E126">
            <v>20000000</v>
          </cell>
        </row>
        <row r="127">
          <cell r="B127" t="str">
            <v>Đầu thu mẫu thép không gỉ</v>
          </cell>
          <cell r="D127">
            <v>12</v>
          </cell>
          <cell r="E127">
            <v>10000000</v>
          </cell>
        </row>
        <row r="128">
          <cell r="B128" t="str">
            <v>Tủ lắp đặt thiết bị có hệ thống dây điện và các bộ lọc ẩm</v>
          </cell>
          <cell r="D128">
            <v>36</v>
          </cell>
          <cell r="E128">
            <v>5000000</v>
          </cell>
        </row>
        <row r="129">
          <cell r="B129" t="str">
            <v>Bộ phần mềm truy nạp số liệu</v>
          </cell>
          <cell r="D129">
            <v>96</v>
          </cell>
          <cell r="E129">
            <v>15000000</v>
          </cell>
        </row>
        <row r="130">
          <cell r="B130" t="str">
            <v>Bộ phần mềm quản lý số liệu và báo cáo</v>
          </cell>
          <cell r="D130">
            <v>96</v>
          </cell>
          <cell r="E130">
            <v>15000000</v>
          </cell>
        </row>
        <row r="131">
          <cell r="B131" t="str">
            <v>Bộ chuyển đổi tín hiệu để nối mạng Modem</v>
          </cell>
          <cell r="D131">
            <v>36</v>
          </cell>
          <cell r="E131">
            <v>10000000</v>
          </cell>
        </row>
        <row r="132">
          <cell r="B132" t="str">
            <v>Máy ổn áp cho hệ thống 15 kVA (3 pha)</v>
          </cell>
          <cell r="D132">
            <v>96</v>
          </cell>
          <cell r="E132">
            <v>12800000</v>
          </cell>
        </row>
        <row r="133">
          <cell r="B133" t="str">
            <v xml:space="preserve">Giá đỡ thiết bị </v>
          </cell>
          <cell r="D133">
            <v>96</v>
          </cell>
          <cell r="E133">
            <v>2000000</v>
          </cell>
        </row>
        <row r="134">
          <cell r="B134" t="str">
            <v>Bình khí chuẩn</v>
          </cell>
          <cell r="D134">
            <v>96</v>
          </cell>
          <cell r="E134">
            <v>35000000</v>
          </cell>
        </row>
        <row r="135">
          <cell r="B135" t="str">
            <v>Dung dịch cầu muối</v>
          </cell>
          <cell r="C135" t="str">
            <v>cái</v>
          </cell>
          <cell r="D135">
            <v>6</v>
          </cell>
          <cell r="E135">
            <v>10000000</v>
          </cell>
        </row>
        <row r="136">
          <cell r="B136" t="str">
            <v>Bình chứa nước đo mẫu</v>
          </cell>
          <cell r="C136" t="str">
            <v>Cái</v>
          </cell>
          <cell r="D136">
            <v>36</v>
          </cell>
          <cell r="E136">
            <v>10000000</v>
          </cell>
        </row>
        <row r="137">
          <cell r="B137" t="str">
            <v>Đầu đo DO</v>
          </cell>
          <cell r="C137" t="str">
            <v>cái</v>
          </cell>
          <cell r="D137">
            <v>6</v>
          </cell>
          <cell r="E137">
            <v>59380000</v>
          </cell>
        </row>
        <row r="138">
          <cell r="B138" t="str">
            <v>Đầu đo (loại công nghệ đo quang)</v>
          </cell>
          <cell r="C138" t="str">
            <v>cái</v>
          </cell>
          <cell r="D138">
            <v>6</v>
          </cell>
          <cell r="E138">
            <v>69380</v>
          </cell>
        </row>
        <row r="139">
          <cell r="B139" t="str">
            <v>Bộ lồng bảo vệ các sensor và thanh dẫn hướng</v>
          </cell>
          <cell r="C139" t="str">
            <v>cái</v>
          </cell>
          <cell r="D139">
            <v>96</v>
          </cell>
          <cell r="E139">
            <v>10000000</v>
          </cell>
        </row>
        <row r="140">
          <cell r="B140" t="str">
            <v>Phao nâng các sensor</v>
          </cell>
          <cell r="C140" t="str">
            <v>bộ</v>
          </cell>
          <cell r="D140">
            <v>6</v>
          </cell>
          <cell r="E140">
            <v>5000000</v>
          </cell>
        </row>
        <row r="141">
          <cell r="B141" t="str">
            <v>Chụp bảo vệ các thiết bị</v>
          </cell>
          <cell r="C141" t="str">
            <v>cái</v>
          </cell>
          <cell r="D141">
            <v>96</v>
          </cell>
          <cell r="E141">
            <v>7000000</v>
          </cell>
        </row>
        <row r="142">
          <cell r="B142" t="str">
            <v>Phao cứu sinh</v>
          </cell>
          <cell r="C142" t="str">
            <v>Cái</v>
          </cell>
          <cell r="D142">
            <v>24</v>
          </cell>
          <cell r="E142">
            <v>45000</v>
          </cell>
        </row>
        <row r="143">
          <cell r="B143" t="str">
            <v>Màng điện cực (thiết bị đo màng)</v>
          </cell>
          <cell r="C143" t="str">
            <v>Cái</v>
          </cell>
          <cell r="D143">
            <v>6</v>
          </cell>
          <cell r="E143">
            <v>10000000</v>
          </cell>
        </row>
        <row r="144">
          <cell r="B144" t="str">
            <v>Nắp đầu đo (thiết bị quang)</v>
          </cell>
          <cell r="C144" t="str">
            <v>cái</v>
          </cell>
          <cell r="D144">
            <v>3</v>
          </cell>
          <cell r="E144">
            <v>5000000</v>
          </cell>
        </row>
        <row r="145">
          <cell r="B145" t="str">
            <v>Thùng đựng và bảo quản silicagel, Scrubber MIX</v>
          </cell>
          <cell r="C145" t="str">
            <v>Cái</v>
          </cell>
          <cell r="D145">
            <v>12</v>
          </cell>
          <cell r="E145">
            <v>10000000</v>
          </cell>
        </row>
        <row r="146">
          <cell r="B146" t="str">
            <v>Đầu đo</v>
          </cell>
          <cell r="C146" t="str">
            <v>cái</v>
          </cell>
          <cell r="D146">
            <v>6</v>
          </cell>
          <cell r="E146">
            <v>2500000</v>
          </cell>
        </row>
        <row r="147">
          <cell r="B147" t="str">
            <v>Đầu đo 1000 lần đo</v>
          </cell>
          <cell r="C147" t="str">
            <v>cái</v>
          </cell>
          <cell r="D147">
            <v>2.5</v>
          </cell>
          <cell r="E147">
            <v>2500000</v>
          </cell>
        </row>
        <row r="148">
          <cell r="B148" t="str">
            <v>Đầu lấy mẫu</v>
          </cell>
          <cell r="C148" t="str">
            <v>Cái</v>
          </cell>
          <cell r="D148">
            <v>5</v>
          </cell>
          <cell r="E148">
            <v>2500000</v>
          </cell>
        </row>
        <row r="149">
          <cell r="B149" t="str">
            <v>Đèn D2</v>
          </cell>
          <cell r="C149" t="str">
            <v>cái</v>
          </cell>
          <cell r="D149">
            <v>24</v>
          </cell>
          <cell r="E149">
            <v>15000000</v>
          </cell>
        </row>
        <row r="150">
          <cell r="B150" t="str">
            <v>Đèn EDL</v>
          </cell>
          <cell r="C150" t="str">
            <v>cái</v>
          </cell>
          <cell r="D150">
            <v>24</v>
          </cell>
          <cell r="E150">
            <v>14000000</v>
          </cell>
        </row>
        <row r="151">
          <cell r="B151" t="str">
            <v>Đèn HCL</v>
          </cell>
          <cell r="C151" t="str">
            <v>cái</v>
          </cell>
          <cell r="D151">
            <v>24</v>
          </cell>
          <cell r="E151">
            <v>19000000</v>
          </cell>
        </row>
        <row r="152">
          <cell r="B152" t="str">
            <v>Đèn neon 40w</v>
          </cell>
          <cell r="C152" t="str">
            <v>bộ</v>
          </cell>
          <cell r="D152">
            <v>36</v>
          </cell>
          <cell r="E152">
            <v>40000</v>
          </cell>
        </row>
        <row r="153">
          <cell r="B153" t="str">
            <v>Đèn Tungsten</v>
          </cell>
          <cell r="C153" t="str">
            <v>cái</v>
          </cell>
          <cell r="D153">
            <v>24</v>
          </cell>
          <cell r="E153">
            <v>4500000</v>
          </cell>
        </row>
        <row r="154">
          <cell r="B154" t="str">
            <v>Đèn Wimac = 200h</v>
          </cell>
          <cell r="C154" t="str">
            <v>cái</v>
          </cell>
          <cell r="D154">
            <v>24</v>
          </cell>
          <cell r="E154">
            <v>21000000</v>
          </cell>
        </row>
        <row r="155">
          <cell r="B155" t="str">
            <v>Đèn Wimax = 200h</v>
          </cell>
          <cell r="C155" t="str">
            <v>Cái</v>
          </cell>
          <cell r="D155">
            <v>24</v>
          </cell>
          <cell r="E155">
            <v>21000000</v>
          </cell>
        </row>
        <row r="156">
          <cell r="B156" t="str">
            <v>Đèn Dimax = 500h</v>
          </cell>
          <cell r="C156" t="str">
            <v xml:space="preserve">cái </v>
          </cell>
          <cell r="D156">
            <v>24</v>
          </cell>
          <cell r="E156">
            <v>10000000</v>
          </cell>
        </row>
        <row r="157">
          <cell r="B157" t="str">
            <v>Đèn Wimax =500h</v>
          </cell>
          <cell r="C157" t="str">
            <v xml:space="preserve">cái </v>
          </cell>
          <cell r="D157">
            <v>24</v>
          </cell>
          <cell r="E157">
            <v>23000000</v>
          </cell>
        </row>
        <row r="158">
          <cell r="B158" t="str">
            <v>Đèn Wimax =200h</v>
          </cell>
          <cell r="C158" t="str">
            <v xml:space="preserve">cái </v>
          </cell>
          <cell r="D158">
            <v>24</v>
          </cell>
          <cell r="E158">
            <v>21000000</v>
          </cell>
        </row>
        <row r="159">
          <cell r="B159" t="str">
            <v>Đĩa cân</v>
          </cell>
          <cell r="C159" t="str">
            <v>Cái</v>
          </cell>
          <cell r="D159">
            <v>60</v>
          </cell>
          <cell r="E159">
            <v>80000</v>
          </cell>
        </row>
        <row r="160">
          <cell r="B160" t="str">
            <v>Đĩa phơi mẫu</v>
          </cell>
          <cell r="C160" t="str">
            <v>Cái</v>
          </cell>
          <cell r="D160">
            <v>1.5</v>
          </cell>
          <cell r="E160">
            <v>14000</v>
          </cell>
        </row>
        <row r="161">
          <cell r="B161" t="str">
            <v>Đĩa thủy tinh</v>
          </cell>
          <cell r="C161" t="str">
            <v>cái</v>
          </cell>
          <cell r="D161">
            <v>12</v>
          </cell>
          <cell r="E161">
            <v>15000</v>
          </cell>
        </row>
        <row r="162">
          <cell r="B162" t="str">
            <v>Điện cực</v>
          </cell>
          <cell r="C162" t="str">
            <v>cái</v>
          </cell>
          <cell r="D162">
            <v>6</v>
          </cell>
          <cell r="E162">
            <v>1600000</v>
          </cell>
        </row>
        <row r="163">
          <cell r="B163" t="str">
            <v>Điện cực độ dẫn Pt</v>
          </cell>
          <cell r="C163" t="str">
            <v>Cái</v>
          </cell>
          <cell r="D163">
            <v>12</v>
          </cell>
          <cell r="E163">
            <v>1600000</v>
          </cell>
        </row>
        <row r="164">
          <cell r="B164" t="str">
            <v>Điện cực pH</v>
          </cell>
          <cell r="C164" t="str">
            <v>cái</v>
          </cell>
          <cell r="D164">
            <v>12</v>
          </cell>
          <cell r="E164">
            <v>13000000</v>
          </cell>
        </row>
        <row r="165">
          <cell r="B165" t="str">
            <v>Điện năng</v>
          </cell>
          <cell r="C165" t="str">
            <v>kw</v>
          </cell>
          <cell r="D165">
            <v>12</v>
          </cell>
          <cell r="E165">
            <v>1838</v>
          </cell>
        </row>
        <row r="166">
          <cell r="B166" t="str">
            <v>Đồng hồ treo tường</v>
          </cell>
          <cell r="C166" t="str">
            <v xml:space="preserve">cái </v>
          </cell>
          <cell r="D166">
            <v>60</v>
          </cell>
          <cell r="E166">
            <v>50000</v>
          </cell>
        </row>
        <row r="167">
          <cell r="B167" t="str">
            <v>Đũa thủy tinh</v>
          </cell>
          <cell r="C167" t="str">
            <v>Cái</v>
          </cell>
          <cell r="D167">
            <v>12</v>
          </cell>
          <cell r="E167">
            <v>15000</v>
          </cell>
        </row>
        <row r="168">
          <cell r="B168" t="str">
            <v>Găng tay y tế</v>
          </cell>
          <cell r="C168" t="str">
            <v>hộp</v>
          </cell>
          <cell r="D168">
            <v>0.3</v>
          </cell>
          <cell r="E168">
            <v>200000</v>
          </cell>
        </row>
        <row r="169">
          <cell r="B169" t="str">
            <v>Găng tay cao su</v>
          </cell>
          <cell r="C169" t="str">
            <v>đôi</v>
          </cell>
          <cell r="D169">
            <v>3</v>
          </cell>
          <cell r="E169">
            <v>5000</v>
          </cell>
        </row>
        <row r="170">
          <cell r="B170" t="str">
            <v>Găng tay không bột</v>
          </cell>
          <cell r="C170" t="str">
            <v>hộp</v>
          </cell>
          <cell r="D170">
            <v>0.3</v>
          </cell>
          <cell r="E170">
            <v>400000</v>
          </cell>
        </row>
        <row r="171">
          <cell r="B171" t="str">
            <v>Găng tay chống nóng</v>
          </cell>
          <cell r="C171" t="str">
            <v>đôi</v>
          </cell>
          <cell r="D171">
            <v>3</v>
          </cell>
          <cell r="E171">
            <v>500000</v>
          </cell>
        </row>
        <row r="172">
          <cell r="B172" t="str">
            <v>Ghế ngồi</v>
          </cell>
          <cell r="C172" t="str">
            <v>cái</v>
          </cell>
          <cell r="D172">
            <v>96</v>
          </cell>
          <cell r="E172">
            <v>80000</v>
          </cell>
        </row>
        <row r="173">
          <cell r="B173" t="str">
            <v>Ghế tựa</v>
          </cell>
          <cell r="C173" t="str">
            <v xml:space="preserve">cái </v>
          </cell>
          <cell r="D173">
            <v>96</v>
          </cell>
          <cell r="E173">
            <v>80000</v>
          </cell>
        </row>
        <row r="174">
          <cell r="B174" t="str">
            <v>Giầy BHLĐ</v>
          </cell>
          <cell r="C174" t="str">
            <v xml:space="preserve">đôi </v>
          </cell>
          <cell r="D174">
            <v>6</v>
          </cell>
          <cell r="E174">
            <v>25000</v>
          </cell>
        </row>
        <row r="175">
          <cell r="B175" t="str">
            <v>Giấy lọc băng xanh</v>
          </cell>
          <cell r="C175" t="str">
            <v>hộp</v>
          </cell>
          <cell r="D175">
            <v>1</v>
          </cell>
          <cell r="E175">
            <v>155000</v>
          </cell>
        </row>
        <row r="176">
          <cell r="B176" t="str">
            <v>Giấy thử pH</v>
          </cell>
          <cell r="C176" t="str">
            <v>Hộp</v>
          </cell>
          <cell r="D176">
            <v>1</v>
          </cell>
          <cell r="E176">
            <v>20000</v>
          </cell>
        </row>
        <row r="177">
          <cell r="B177" t="str">
            <v>Gim bấm</v>
          </cell>
          <cell r="C177" t="str">
            <v>Hộp</v>
          </cell>
          <cell r="D177">
            <v>1</v>
          </cell>
          <cell r="E177">
            <v>4000</v>
          </cell>
        </row>
        <row r="178">
          <cell r="B178" t="str">
            <v>Gim kẹp giấy</v>
          </cell>
          <cell r="C178" t="str">
            <v>Hộp</v>
          </cell>
          <cell r="D178">
            <v>1</v>
          </cell>
          <cell r="E178">
            <v>4000</v>
          </cell>
        </row>
        <row r="179">
          <cell r="B179" t="str">
            <v>Hộp đo</v>
          </cell>
          <cell r="C179" t="str">
            <v xml:space="preserve">cái </v>
          </cell>
          <cell r="D179">
            <v>10</v>
          </cell>
          <cell r="E179">
            <v>30000</v>
          </cell>
        </row>
        <row r="180">
          <cell r="B180" t="str">
            <v xml:space="preserve">Hộp đựng thiết bị </v>
          </cell>
          <cell r="C180" t="str">
            <v>cái</v>
          </cell>
          <cell r="D180">
            <v>1.5</v>
          </cell>
          <cell r="E180">
            <v>220000</v>
          </cell>
        </row>
        <row r="181">
          <cell r="B181" t="str">
            <v xml:space="preserve">Hộp đựng mẫu </v>
          </cell>
          <cell r="C181" t="str">
            <v xml:space="preserve">cái </v>
          </cell>
          <cell r="D181">
            <v>6</v>
          </cell>
          <cell r="E181">
            <v>300000</v>
          </cell>
        </row>
        <row r="182">
          <cell r="B182" t="str">
            <v>Kết nối đầu đo</v>
          </cell>
          <cell r="C182" t="str">
            <v>cái</v>
          </cell>
          <cell r="D182">
            <v>3</v>
          </cell>
          <cell r="E182">
            <v>100000</v>
          </cell>
        </row>
        <row r="183">
          <cell r="B183" t="str">
            <v>Hộp dụng cụ sửa chữa</v>
          </cell>
          <cell r="C183" t="str">
            <v>cái</v>
          </cell>
          <cell r="D183">
            <v>6</v>
          </cell>
          <cell r="E183">
            <v>200000</v>
          </cell>
        </row>
        <row r="184">
          <cell r="B184" t="str">
            <v>Kim tiêm mẫu (syringe 10uL)</v>
          </cell>
          <cell r="C184" t="str">
            <v>Cái</v>
          </cell>
          <cell r="D184">
            <v>6</v>
          </cell>
          <cell r="E184">
            <v>1600000</v>
          </cell>
        </row>
        <row r="185">
          <cell r="B185" t="str">
            <v>Khay đựng mẫu sàng rây</v>
          </cell>
          <cell r="C185" t="str">
            <v>Cái</v>
          </cell>
          <cell r="D185">
            <v>12</v>
          </cell>
          <cell r="E185">
            <v>350000</v>
          </cell>
        </row>
        <row r="186">
          <cell r="B186" t="str">
            <v>Khay rửa dụng cụ</v>
          </cell>
          <cell r="C186" t="str">
            <v>Cái</v>
          </cell>
          <cell r="D186">
            <v>12</v>
          </cell>
          <cell r="E186">
            <v>70000</v>
          </cell>
        </row>
        <row r="187">
          <cell r="B187" t="str">
            <v>Khay inox</v>
          </cell>
          <cell r="C187" t="str">
            <v>cái</v>
          </cell>
          <cell r="D187">
            <v>36</v>
          </cell>
          <cell r="E187">
            <v>80000</v>
          </cell>
        </row>
        <row r="188">
          <cell r="B188" t="str">
            <v>Khay nung</v>
          </cell>
          <cell r="C188" t="str">
            <v xml:space="preserve">cái </v>
          </cell>
          <cell r="D188">
            <v>6</v>
          </cell>
          <cell r="E188">
            <v>8800000</v>
          </cell>
        </row>
        <row r="189">
          <cell r="B189" t="str">
            <v>Khẩu trang</v>
          </cell>
          <cell r="C189" t="str">
            <v>Hộp</v>
          </cell>
          <cell r="D189">
            <v>0.3</v>
          </cell>
          <cell r="E189">
            <v>400000</v>
          </cell>
        </row>
        <row r="190">
          <cell r="B190" t="str">
            <v>Khẩu trang phòng độc</v>
          </cell>
          <cell r="C190" t="str">
            <v>cái</v>
          </cell>
          <cell r="D190">
            <v>3</v>
          </cell>
          <cell r="E190">
            <v>350000</v>
          </cell>
        </row>
        <row r="191">
          <cell r="B191" t="str">
            <v>Khẩu trang y tế</v>
          </cell>
          <cell r="C191" t="str">
            <v>Hộp</v>
          </cell>
          <cell r="D191">
            <v>0.3</v>
          </cell>
          <cell r="E191">
            <v>400000</v>
          </cell>
        </row>
        <row r="192">
          <cell r="B192" t="str">
            <v>Khẩu trang than hoạt tính</v>
          </cell>
          <cell r="C192" t="str">
            <v>Cái</v>
          </cell>
          <cell r="D192">
            <v>1</v>
          </cell>
          <cell r="E192">
            <v>15000</v>
          </cell>
        </row>
        <row r="193">
          <cell r="B193" t="str">
            <v>Khí CO</v>
          </cell>
          <cell r="C193" t="str">
            <v xml:space="preserve">cái </v>
          </cell>
          <cell r="D193">
            <v>1</v>
          </cell>
          <cell r="E193">
            <v>800000</v>
          </cell>
        </row>
        <row r="194">
          <cell r="B194" t="str">
            <v>Lưới chuyên dùng</v>
          </cell>
          <cell r="C194" t="str">
            <v>cái</v>
          </cell>
          <cell r="D194">
            <v>24</v>
          </cell>
          <cell r="E194">
            <v>32000000</v>
          </cell>
        </row>
        <row r="195">
          <cell r="B195" t="str">
            <v>Màng lọc</v>
          </cell>
          <cell r="C195" t="str">
            <v>cái</v>
          </cell>
          <cell r="D195">
            <v>1</v>
          </cell>
          <cell r="E195">
            <v>35000</v>
          </cell>
        </row>
        <row r="196">
          <cell r="B196" t="str">
            <v>Máng đo tiêu chuẩn</v>
          </cell>
          <cell r="C196" t="str">
            <v>Cái</v>
          </cell>
          <cell r="D196">
            <v>9</v>
          </cell>
          <cell r="E196">
            <v>2000000</v>
          </cell>
        </row>
        <row r="197">
          <cell r="B197" t="str">
            <v>Màng lọc cho FIAS</v>
          </cell>
          <cell r="C197" t="str">
            <v>cái</v>
          </cell>
          <cell r="D197">
            <v>2</v>
          </cell>
          <cell r="E197">
            <v>1450000</v>
          </cell>
        </row>
        <row r="198">
          <cell r="B198" t="str">
            <v>Màng DO</v>
          </cell>
          <cell r="C198" t="str">
            <v>cái</v>
          </cell>
          <cell r="D198">
            <v>12</v>
          </cell>
          <cell r="E198">
            <v>8000000</v>
          </cell>
        </row>
        <row r="199">
          <cell r="B199" t="str">
            <v>Máy hút ẩm 1,5kw</v>
          </cell>
          <cell r="C199" t="str">
            <v xml:space="preserve">cái </v>
          </cell>
          <cell r="D199">
            <v>60</v>
          </cell>
          <cell r="E199">
            <v>1500000</v>
          </cell>
        </row>
        <row r="200">
          <cell r="B200" t="str">
            <v>Máy hút bụi 2kw</v>
          </cell>
          <cell r="C200" t="str">
            <v xml:space="preserve">cái </v>
          </cell>
          <cell r="D200">
            <v>60</v>
          </cell>
          <cell r="E200">
            <v>1600000</v>
          </cell>
        </row>
        <row r="201">
          <cell r="B201" t="str">
            <v>Micropipet 10ml</v>
          </cell>
          <cell r="C201" t="str">
            <v xml:space="preserve">cái </v>
          </cell>
          <cell r="D201">
            <v>12</v>
          </cell>
          <cell r="E201">
            <v>3500000</v>
          </cell>
        </row>
        <row r="202">
          <cell r="B202" t="str">
            <v>Micropipet 1ml</v>
          </cell>
          <cell r="C202" t="str">
            <v xml:space="preserve">cái </v>
          </cell>
          <cell r="D202">
            <v>12</v>
          </cell>
          <cell r="E202">
            <v>3500000</v>
          </cell>
        </row>
        <row r="203">
          <cell r="B203" t="str">
            <v>Micropipet 5ml</v>
          </cell>
          <cell r="C203" t="str">
            <v>Cái</v>
          </cell>
          <cell r="D203">
            <v>12</v>
          </cell>
          <cell r="E203">
            <v>3500000</v>
          </cell>
        </row>
        <row r="204">
          <cell r="B204" t="str">
            <v>Mocropipet 1ml</v>
          </cell>
          <cell r="C204" t="str">
            <v xml:space="preserve">cái </v>
          </cell>
          <cell r="D204">
            <v>12</v>
          </cell>
          <cell r="E204">
            <v>3500000</v>
          </cell>
        </row>
        <row r="205">
          <cell r="B205" t="str">
            <v>Mocropipet 5ml</v>
          </cell>
          <cell r="C205" t="str">
            <v xml:space="preserve">cái </v>
          </cell>
          <cell r="D205">
            <v>12</v>
          </cell>
          <cell r="E205">
            <v>3500000</v>
          </cell>
        </row>
        <row r="206">
          <cell r="B206" t="str">
            <v>Mũ cứng</v>
          </cell>
          <cell r="C206" t="str">
            <v>Cái</v>
          </cell>
          <cell r="D206">
            <v>12</v>
          </cell>
          <cell r="E206">
            <v>20000</v>
          </cell>
        </row>
        <row r="207">
          <cell r="B207" t="str">
            <v>Nhíp</v>
          </cell>
          <cell r="C207" t="str">
            <v>cái</v>
          </cell>
          <cell r="D207">
            <v>36</v>
          </cell>
          <cell r="E207">
            <v>20000</v>
          </cell>
        </row>
        <row r="208">
          <cell r="B208" t="str">
            <v>Ổ cắm điện có cầu chì</v>
          </cell>
          <cell r="C208" t="str">
            <v>Cái</v>
          </cell>
          <cell r="D208">
            <v>36</v>
          </cell>
          <cell r="E208">
            <v>65000</v>
          </cell>
        </row>
        <row r="209">
          <cell r="B209" t="str">
            <v>Ô che mưa, che nắng</v>
          </cell>
          <cell r="C209" t="str">
            <v>Cái</v>
          </cell>
          <cell r="D209">
            <v>24</v>
          </cell>
          <cell r="E209">
            <v>110000</v>
          </cell>
        </row>
        <row r="210">
          <cell r="B210" t="str">
            <v>Ống (corer) bằng thép không gỉ, Ф 100mm</v>
          </cell>
          <cell r="C210" t="str">
            <v>cái</v>
          </cell>
          <cell r="D210">
            <v>24</v>
          </cell>
          <cell r="E210">
            <v>5000000</v>
          </cell>
        </row>
        <row r="211">
          <cell r="B211" t="str">
            <v>Ống chứa mẫu 15ml (có nắp)</v>
          </cell>
          <cell r="C211" t="str">
            <v xml:space="preserve">cái </v>
          </cell>
          <cell r="D211">
            <v>6</v>
          </cell>
          <cell r="E211">
            <v>15000</v>
          </cell>
        </row>
        <row r="212">
          <cell r="B212" t="str">
            <v>Ống duham</v>
          </cell>
          <cell r="C212" t="str">
            <v xml:space="preserve">ống </v>
          </cell>
          <cell r="D212">
            <v>6</v>
          </cell>
          <cell r="E212">
            <v>3000</v>
          </cell>
        </row>
        <row r="213">
          <cell r="B213" t="str">
            <v>Ống đong 100ml</v>
          </cell>
          <cell r="C213" t="str">
            <v xml:space="preserve">cái </v>
          </cell>
          <cell r="D213">
            <v>6</v>
          </cell>
          <cell r="E213">
            <v>120000</v>
          </cell>
        </row>
        <row r="214">
          <cell r="B214" t="str">
            <v>Ống đong 250ml</v>
          </cell>
          <cell r="C214" t="str">
            <v xml:space="preserve">cái </v>
          </cell>
          <cell r="D214">
            <v>6</v>
          </cell>
          <cell r="E214">
            <v>250000</v>
          </cell>
        </row>
        <row r="215">
          <cell r="B215" t="str">
            <v>Ống hấp thụ</v>
          </cell>
          <cell r="C215" t="str">
            <v>cái</v>
          </cell>
          <cell r="D215">
            <v>6</v>
          </cell>
          <cell r="E215">
            <v>1600000</v>
          </cell>
        </row>
        <row r="216">
          <cell r="B216" t="str">
            <v>Ống hút</v>
          </cell>
          <cell r="C216" t="str">
            <v xml:space="preserve">cái </v>
          </cell>
          <cell r="D216">
            <v>3</v>
          </cell>
          <cell r="E216">
            <v>7500</v>
          </cell>
        </row>
        <row r="217">
          <cell r="B217" t="str">
            <v>Ống manifold</v>
          </cell>
          <cell r="C217" t="str">
            <v>cái</v>
          </cell>
          <cell r="D217">
            <v>12</v>
          </cell>
          <cell r="E217">
            <v>30000000</v>
          </cell>
        </row>
        <row r="218">
          <cell r="B218" t="str">
            <v>Ống nghiệm 25*150</v>
          </cell>
          <cell r="C218" t="str">
            <v>Ống</v>
          </cell>
          <cell r="D218">
            <v>6</v>
          </cell>
          <cell r="E218">
            <v>60000</v>
          </cell>
        </row>
        <row r="219">
          <cell r="B219" t="str">
            <v>Ống nghiệm có nắp</v>
          </cell>
          <cell r="C219" t="str">
            <v>ống</v>
          </cell>
          <cell r="D219">
            <v>6</v>
          </cell>
          <cell r="E219">
            <v>25000</v>
          </cell>
        </row>
        <row r="220">
          <cell r="B220" t="str">
            <v>Ống nghiệm không nắp</v>
          </cell>
          <cell r="C220" t="str">
            <v>Ống</v>
          </cell>
          <cell r="D220">
            <v>6</v>
          </cell>
          <cell r="E220">
            <v>22000</v>
          </cell>
        </row>
        <row r="221">
          <cell r="B221" t="str">
            <v>Ống phá mẫu có nắp kín</v>
          </cell>
          <cell r="C221" t="str">
            <v xml:space="preserve">cái </v>
          </cell>
          <cell r="D221">
            <v>6</v>
          </cell>
          <cell r="E221">
            <v>30000</v>
          </cell>
        </row>
        <row r="222">
          <cell r="B222" t="str">
            <v>Ống teflon</v>
          </cell>
          <cell r="C222" t="str">
            <v>cái</v>
          </cell>
          <cell r="D222">
            <v>6</v>
          </cell>
          <cell r="E222">
            <v>500000</v>
          </cell>
        </row>
        <row r="223">
          <cell r="B223" t="str">
            <v>Ống thép không rỉ</v>
          </cell>
          <cell r="C223" t="str">
            <v>Cái</v>
          </cell>
          <cell r="D223">
            <v>12</v>
          </cell>
          <cell r="E223">
            <v>80000</v>
          </cell>
        </row>
        <row r="224">
          <cell r="B224" t="str">
            <v>MicroPipet</v>
          </cell>
          <cell r="C224" t="str">
            <v>cái</v>
          </cell>
          <cell r="D224">
            <v>12</v>
          </cell>
          <cell r="E224">
            <v>3700000</v>
          </cell>
        </row>
        <row r="225">
          <cell r="B225" t="str">
            <v>Pipet 1000ml, 200ml, 100ml</v>
          </cell>
          <cell r="C225" t="str">
            <v>cái</v>
          </cell>
          <cell r="D225">
            <v>12</v>
          </cell>
          <cell r="E225">
            <v>80000</v>
          </cell>
        </row>
        <row r="226">
          <cell r="B226" t="str">
            <v>Pipet 10ml</v>
          </cell>
          <cell r="C226" t="str">
            <v xml:space="preserve">cái </v>
          </cell>
          <cell r="D226">
            <v>12</v>
          </cell>
          <cell r="E226">
            <v>70000</v>
          </cell>
        </row>
        <row r="227">
          <cell r="B227" t="str">
            <v>Pipet 1ml</v>
          </cell>
          <cell r="C227" t="str">
            <v>Cái</v>
          </cell>
          <cell r="D227">
            <v>12</v>
          </cell>
          <cell r="E227">
            <v>70000</v>
          </cell>
        </row>
        <row r="228">
          <cell r="B228" t="str">
            <v>Pipet 5ml</v>
          </cell>
          <cell r="C228" t="str">
            <v xml:space="preserve">cái </v>
          </cell>
          <cell r="D228">
            <v>12</v>
          </cell>
          <cell r="E228">
            <v>80000</v>
          </cell>
        </row>
        <row r="229">
          <cell r="B229" t="str">
            <v>Pipet loại 1ml, 2ml, 5ml</v>
          </cell>
          <cell r="C229" t="str">
            <v>cái</v>
          </cell>
          <cell r="D229">
            <v>12</v>
          </cell>
          <cell r="E229">
            <v>80000</v>
          </cell>
        </row>
        <row r="230">
          <cell r="B230" t="str">
            <v>Phễu chiết 1000ml</v>
          </cell>
          <cell r="C230" t="str">
            <v xml:space="preserve">cái </v>
          </cell>
          <cell r="D230">
            <v>12</v>
          </cell>
          <cell r="E230">
            <v>1750000</v>
          </cell>
        </row>
        <row r="231">
          <cell r="B231" t="str">
            <v>Phễu chiết 500ml</v>
          </cell>
          <cell r="C231" t="str">
            <v>Cái</v>
          </cell>
          <cell r="D231">
            <v>12</v>
          </cell>
          <cell r="E231">
            <v>1350000</v>
          </cell>
        </row>
        <row r="232">
          <cell r="B232" t="str">
            <v>Phễu lọc</v>
          </cell>
          <cell r="C232" t="str">
            <v>cái</v>
          </cell>
          <cell r="D232">
            <v>12</v>
          </cell>
          <cell r="E232">
            <v>20000</v>
          </cell>
        </row>
        <row r="233">
          <cell r="B233" t="str">
            <v>Phễu lọc thủy tinh</v>
          </cell>
          <cell r="C233" t="str">
            <v>cái</v>
          </cell>
          <cell r="D233">
            <v>12</v>
          </cell>
          <cell r="E233">
            <v>35000</v>
          </cell>
        </row>
        <row r="234">
          <cell r="B234" t="str">
            <v>Phin lọc chuyên dụng FPP-15</v>
          </cell>
          <cell r="C234" t="str">
            <v xml:space="preserve">m2 </v>
          </cell>
          <cell r="D234" t="str">
            <v>1 lần</v>
          </cell>
          <cell r="E234">
            <v>80000</v>
          </cell>
        </row>
        <row r="235">
          <cell r="B235" t="str">
            <v>Phin lọc Ф47</v>
          </cell>
          <cell r="C235" t="str">
            <v>cái</v>
          </cell>
          <cell r="D235" t="str">
            <v>1 lần</v>
          </cell>
          <cell r="E235">
            <v>300000</v>
          </cell>
        </row>
        <row r="236">
          <cell r="B236" t="str">
            <v xml:space="preserve">Quả bóp </v>
          </cell>
          <cell r="C236" t="str">
            <v>cái</v>
          </cell>
          <cell r="D236">
            <v>12</v>
          </cell>
          <cell r="E236">
            <v>150000</v>
          </cell>
        </row>
        <row r="237">
          <cell r="B237" t="str">
            <v>Quạt thông gió 40w</v>
          </cell>
          <cell r="C237" t="str">
            <v>Cái</v>
          </cell>
          <cell r="D237">
            <v>60</v>
          </cell>
          <cell r="E237">
            <v>250000</v>
          </cell>
        </row>
        <row r="238">
          <cell r="B238" t="str">
            <v>Quạt trần 100w</v>
          </cell>
          <cell r="C238" t="str">
            <v xml:space="preserve">cái </v>
          </cell>
          <cell r="D238">
            <v>60</v>
          </cell>
          <cell r="E238">
            <v>500000</v>
          </cell>
        </row>
        <row r="239">
          <cell r="B239" t="str">
            <v>Quần áo BHLĐ</v>
          </cell>
          <cell r="C239" t="str">
            <v>Bộ</v>
          </cell>
          <cell r="D239">
            <v>12</v>
          </cell>
          <cell r="E239">
            <v>50000</v>
          </cell>
        </row>
        <row r="240">
          <cell r="B240" t="str">
            <v>Sàng rây</v>
          </cell>
          <cell r="C240" t="str">
            <v>cái</v>
          </cell>
          <cell r="D240">
            <v>24</v>
          </cell>
          <cell r="E240">
            <v>3000000</v>
          </cell>
        </row>
        <row r="241">
          <cell r="B241" t="str">
            <v>Sensor 300 lần đo</v>
          </cell>
          <cell r="C241" t="str">
            <v>cái</v>
          </cell>
          <cell r="D241">
            <v>12</v>
          </cell>
          <cell r="E241">
            <v>4500000</v>
          </cell>
        </row>
        <row r="242">
          <cell r="B242" t="str">
            <v>Sensor Co 200 lần đo</v>
          </cell>
          <cell r="C242" t="str">
            <v>cái</v>
          </cell>
          <cell r="D242">
            <v>12</v>
          </cell>
          <cell r="E242">
            <v>4500000</v>
          </cell>
        </row>
        <row r="243">
          <cell r="B243" t="str">
            <v>Tất sợi</v>
          </cell>
          <cell r="C243" t="str">
            <v xml:space="preserve">đôi </v>
          </cell>
          <cell r="D243">
            <v>6</v>
          </cell>
          <cell r="E243">
            <v>7000</v>
          </cell>
        </row>
        <row r="244">
          <cell r="B244" t="str">
            <v>Tủ đựng tài liệu</v>
          </cell>
          <cell r="C244" t="str">
            <v xml:space="preserve">cái </v>
          </cell>
          <cell r="D244">
            <v>96</v>
          </cell>
          <cell r="E244">
            <v>1000000</v>
          </cell>
        </row>
        <row r="245">
          <cell r="B245" t="str">
            <v>Túi CO</v>
          </cell>
          <cell r="C245" t="str">
            <v>cái</v>
          </cell>
          <cell r="D245">
            <v>12</v>
          </cell>
          <cell r="E245">
            <v>30000</v>
          </cell>
        </row>
        <row r="246">
          <cell r="B246" t="str">
            <v>Tuyp Graphit</v>
          </cell>
          <cell r="C246" t="str">
            <v xml:space="preserve">cái </v>
          </cell>
          <cell r="D246">
            <v>2</v>
          </cell>
          <cell r="E246">
            <v>1000000</v>
          </cell>
        </row>
        <row r="247">
          <cell r="B247" t="str">
            <v>Thumber</v>
          </cell>
          <cell r="C247" t="str">
            <v>hộp</v>
          </cell>
          <cell r="D247">
            <v>10</v>
          </cell>
          <cell r="E247">
            <v>1500000</v>
          </cell>
        </row>
        <row r="248">
          <cell r="B248" t="str">
            <v>Thùng đựng chai lấy mẫu</v>
          </cell>
          <cell r="C248" t="str">
            <v>cái</v>
          </cell>
          <cell r="D248">
            <v>6</v>
          </cell>
          <cell r="E248">
            <v>500000</v>
          </cell>
        </row>
        <row r="249">
          <cell r="B249" t="str">
            <v>Thùng đựng và bảo quản mẫu</v>
          </cell>
          <cell r="C249" t="str">
            <v>cái</v>
          </cell>
          <cell r="D249">
            <v>6</v>
          </cell>
          <cell r="E249">
            <v>800000</v>
          </cell>
        </row>
        <row r="250">
          <cell r="B250" t="str">
            <v>Thùng chứa mẫu</v>
          </cell>
          <cell r="C250" t="str">
            <v>cái</v>
          </cell>
          <cell r="D250">
            <v>6</v>
          </cell>
          <cell r="E250">
            <v>500000</v>
          </cell>
        </row>
        <row r="251">
          <cell r="B251" t="str">
            <v>Ủng</v>
          </cell>
          <cell r="C251" t="str">
            <v xml:space="preserve">đôi </v>
          </cell>
          <cell r="D251">
            <v>12</v>
          </cell>
          <cell r="E251">
            <v>44000</v>
          </cell>
        </row>
        <row r="252">
          <cell r="B252" t="str">
            <v>Van Dorn Sampler thể tích 2 lít</v>
          </cell>
          <cell r="C252" t="str">
            <v>cái</v>
          </cell>
          <cell r="D252">
            <v>24</v>
          </cell>
          <cell r="E252">
            <v>2500000</v>
          </cell>
        </row>
        <row r="253">
          <cell r="B253" t="str">
            <v>Van Dorn Sampler thể tích 5 lít</v>
          </cell>
          <cell r="C253" t="str">
            <v>cái</v>
          </cell>
          <cell r="D253">
            <v>24</v>
          </cell>
          <cell r="E253">
            <v>2800000</v>
          </cell>
        </row>
        <row r="254">
          <cell r="B254" t="str">
            <v>Xô chứa dung dịch sục khí</v>
          </cell>
          <cell r="C254" t="str">
            <v>cái</v>
          </cell>
          <cell r="D254">
            <v>24</v>
          </cell>
          <cell r="E254">
            <v>30000</v>
          </cell>
        </row>
        <row r="255">
          <cell r="B255" t="str">
            <v>Quartz torches</v>
          </cell>
          <cell r="C255" t="str">
            <v>cái</v>
          </cell>
          <cell r="D255">
            <v>12</v>
          </cell>
          <cell r="E255">
            <v>12000000</v>
          </cell>
        </row>
        <row r="256">
          <cell r="B256" t="str">
            <v>Ống lấy mẫu</v>
          </cell>
          <cell r="C256" t="str">
            <v>Cái</v>
          </cell>
          <cell r="D256">
            <v>18</v>
          </cell>
          <cell r="E256">
            <v>45000000</v>
          </cell>
        </row>
        <row r="257">
          <cell r="B257" t="str">
            <v>Hộp gia nhiệt</v>
          </cell>
          <cell r="C257" t="str">
            <v>Hộp</v>
          </cell>
          <cell r="D257">
            <v>18</v>
          </cell>
          <cell r="E257">
            <v>25000000</v>
          </cell>
        </row>
        <row r="258">
          <cell r="B258" t="str">
            <v>Hệ thống làm mát</v>
          </cell>
          <cell r="C258" t="str">
            <v>Bộ</v>
          </cell>
          <cell r="D258">
            <v>18</v>
          </cell>
          <cell r="E258">
            <v>25000000</v>
          </cell>
        </row>
        <row r="259">
          <cell r="B259" t="str">
            <v>Ống pitot</v>
          </cell>
          <cell r="C259" t="str">
            <v>cái</v>
          </cell>
          <cell r="D259">
            <v>12</v>
          </cell>
          <cell r="E259">
            <v>20000000</v>
          </cell>
        </row>
        <row r="260">
          <cell r="B260" t="str">
            <v>Dây nối</v>
          </cell>
          <cell r="C260" t="str">
            <v>cái</v>
          </cell>
          <cell r="D260">
            <v>12</v>
          </cell>
          <cell r="E260">
            <v>250000</v>
          </cell>
        </row>
        <row r="261">
          <cell r="B261" t="str">
            <v>Sensor O2</v>
          </cell>
          <cell r="C261" t="str">
            <v>cái</v>
          </cell>
          <cell r="D261">
            <v>12</v>
          </cell>
          <cell r="E261">
            <v>35000000</v>
          </cell>
        </row>
        <row r="262">
          <cell r="B262" t="str">
            <v xml:space="preserve">Acqui </v>
          </cell>
          <cell r="C262" t="str">
            <v>bộ</v>
          </cell>
          <cell r="D262">
            <v>18</v>
          </cell>
          <cell r="E262">
            <v>4000000</v>
          </cell>
        </row>
        <row r="263">
          <cell r="B263" t="str">
            <v>Sensor CO</v>
          </cell>
          <cell r="C263" t="str">
            <v>cái</v>
          </cell>
          <cell r="D263">
            <v>12</v>
          </cell>
          <cell r="E263">
            <v>25000000</v>
          </cell>
        </row>
        <row r="264">
          <cell r="B264" t="str">
            <v>Sensor CO2</v>
          </cell>
          <cell r="C264" t="str">
            <v>cái</v>
          </cell>
          <cell r="D264">
            <v>12</v>
          </cell>
          <cell r="E264">
            <v>30000000</v>
          </cell>
        </row>
        <row r="265">
          <cell r="B265" t="str">
            <v>Sensor NO</v>
          </cell>
          <cell r="C265" t="str">
            <v>cái</v>
          </cell>
          <cell r="D265">
            <v>12</v>
          </cell>
          <cell r="E265">
            <v>40000000</v>
          </cell>
        </row>
        <row r="266">
          <cell r="B266" t="str">
            <v>Sensor NO2</v>
          </cell>
          <cell r="C266" t="str">
            <v>cái</v>
          </cell>
          <cell r="D266">
            <v>12</v>
          </cell>
          <cell r="E266">
            <v>35000000</v>
          </cell>
        </row>
        <row r="267">
          <cell r="B267" t="str">
            <v>Sensor NOx</v>
          </cell>
          <cell r="C267" t="str">
            <v>cái</v>
          </cell>
          <cell r="D267">
            <v>12</v>
          </cell>
          <cell r="E267">
            <v>45000000</v>
          </cell>
        </row>
        <row r="268">
          <cell r="B268" t="str">
            <v>Sensor SO2</v>
          </cell>
          <cell r="C268" t="str">
            <v>cái</v>
          </cell>
          <cell r="D268">
            <v>12</v>
          </cell>
          <cell r="E268">
            <v>38500000</v>
          </cell>
        </row>
        <row r="269">
          <cell r="B269" t="str">
            <v>Khay hứng chuyên dụng</v>
          </cell>
          <cell r="C269" t="str">
            <v>cái</v>
          </cell>
          <cell r="D269">
            <v>3</v>
          </cell>
          <cell r="E269">
            <v>30000000</v>
          </cell>
        </row>
        <row r="270">
          <cell r="B270" t="str">
            <v>Can nhựa 20l</v>
          </cell>
          <cell r="C270" t="str">
            <v>cái</v>
          </cell>
          <cell r="D270">
            <v>36</v>
          </cell>
          <cell r="E270">
            <v>30000</v>
          </cell>
        </row>
        <row r="271">
          <cell r="B271" t="str">
            <v>Can nhựa 10l</v>
          </cell>
          <cell r="C271" t="str">
            <v>cái</v>
          </cell>
          <cell r="D271">
            <v>36</v>
          </cell>
          <cell r="E271">
            <v>25000</v>
          </cell>
        </row>
        <row r="272">
          <cell r="B272" t="str">
            <v>Can nhựa 5l</v>
          </cell>
          <cell r="C272" t="str">
            <v>cái</v>
          </cell>
          <cell r="D272">
            <v>36</v>
          </cell>
          <cell r="E272">
            <v>12000</v>
          </cell>
        </row>
        <row r="273">
          <cell r="B273" t="str">
            <v>Can nhựa 200l</v>
          </cell>
          <cell r="C273" t="str">
            <v>cái</v>
          </cell>
          <cell r="D273">
            <v>36</v>
          </cell>
          <cell r="E273">
            <v>120000</v>
          </cell>
        </row>
        <row r="274">
          <cell r="B274" t="str">
            <v>Đèn chiếu sáng 40W</v>
          </cell>
          <cell r="C274" t="str">
            <v>Bộ</v>
          </cell>
          <cell r="D274">
            <v>36</v>
          </cell>
          <cell r="E274">
            <v>80000</v>
          </cell>
        </row>
        <row r="275">
          <cell r="B275" t="str">
            <v>Thùng nhựa 120l</v>
          </cell>
          <cell r="C275" t="str">
            <v>cái</v>
          </cell>
          <cell r="D275">
            <v>36</v>
          </cell>
          <cell r="E275">
            <v>450000</v>
          </cell>
        </row>
        <row r="276">
          <cell r="B276" t="str">
            <v>Cốc nung</v>
          </cell>
          <cell r="C276" t="str">
            <v xml:space="preserve">cái </v>
          </cell>
          <cell r="D276">
            <v>6</v>
          </cell>
          <cell r="E276">
            <v>30000</v>
          </cell>
        </row>
        <row r="277">
          <cell r="B277" t="str">
            <v>Đầu cone lml</v>
          </cell>
          <cell r="C277" t="str">
            <v>cái</v>
          </cell>
          <cell r="D277">
            <v>1</v>
          </cell>
          <cell r="E277">
            <v>3000</v>
          </cell>
        </row>
        <row r="278">
          <cell r="B278" t="str">
            <v>Bơm khí H2 cho máy GC</v>
          </cell>
          <cell r="C278" t="str">
            <v>Cái</v>
          </cell>
          <cell r="D278">
            <v>32</v>
          </cell>
          <cell r="E278">
            <v>9500000</v>
          </cell>
        </row>
        <row r="279">
          <cell r="B279" t="str">
            <v>Bơm khí N2 cho máy GC</v>
          </cell>
          <cell r="C279" t="str">
            <v>Cái</v>
          </cell>
          <cell r="D279">
            <v>32</v>
          </cell>
          <cell r="E279">
            <v>24970000</v>
          </cell>
        </row>
        <row r="280">
          <cell r="B280" t="str">
            <v>Phễu chiết 100ml</v>
          </cell>
          <cell r="C280" t="str">
            <v>cái</v>
          </cell>
          <cell r="D280">
            <v>6</v>
          </cell>
          <cell r="E280">
            <v>700000</v>
          </cell>
        </row>
        <row r="281">
          <cell r="B281" t="str">
            <v>Phễu chiết 250ml</v>
          </cell>
          <cell r="C281" t="str">
            <v>Cái</v>
          </cell>
          <cell r="D281">
            <v>6</v>
          </cell>
          <cell r="E281">
            <v>1250000</v>
          </cell>
        </row>
        <row r="282">
          <cell r="B282" t="str">
            <v xml:space="preserve">Ống than hoạt tính ORBO 32 </v>
          </cell>
          <cell r="C282" t="str">
            <v>Ống</v>
          </cell>
          <cell r="D282">
            <v>1</v>
          </cell>
          <cell r="E282">
            <v>5000000</v>
          </cell>
        </row>
        <row r="283">
          <cell r="B283" t="str">
            <v>Tú lấy mẫu khí</v>
          </cell>
          <cell r="C283" t="str">
            <v>cái</v>
          </cell>
          <cell r="D283">
            <v>3</v>
          </cell>
          <cell r="E283">
            <v>500000</v>
          </cell>
        </row>
        <row r="284">
          <cell r="B284" t="str">
            <v>Bản đồ địa hình</v>
          </cell>
          <cell r="C284" t="str">
            <v>cái</v>
          </cell>
          <cell r="D284">
            <v>3</v>
          </cell>
          <cell r="E284">
            <v>70000</v>
          </cell>
        </row>
        <row r="285">
          <cell r="B285" t="str">
            <v xml:space="preserve">Cần lấy mẫu </v>
          </cell>
          <cell r="C285" t="str">
            <v>cái</v>
          </cell>
          <cell r="D285">
            <v>12</v>
          </cell>
          <cell r="E285">
            <v>25000000</v>
          </cell>
        </row>
        <row r="286">
          <cell r="B286" t="str">
            <v>Ống impinger</v>
          </cell>
          <cell r="C286" t="str">
            <v>cái</v>
          </cell>
          <cell r="D286">
            <v>12</v>
          </cell>
          <cell r="E286">
            <v>1600000</v>
          </cell>
        </row>
        <row r="287">
          <cell r="B287" t="str">
            <v xml:space="preserve">Hệ thống van </v>
          </cell>
          <cell r="C287" t="str">
            <v>cái</v>
          </cell>
          <cell r="D287">
            <v>12</v>
          </cell>
          <cell r="E287">
            <v>35000000</v>
          </cell>
        </row>
        <row r="288">
          <cell r="B288" t="str">
            <v xml:space="preserve">Hệ lấy mẫu nước </v>
          </cell>
          <cell r="C288" t="str">
            <v>bộ</v>
          </cell>
          <cell r="D288">
            <v>24</v>
          </cell>
          <cell r="E288">
            <v>1500000</v>
          </cell>
        </row>
        <row r="289">
          <cell r="B289" t="str">
            <v xml:space="preserve">Đồng hồ đo: thể tích, lưu lượng và chân không </v>
          </cell>
          <cell r="C289" t="str">
            <v>cái</v>
          </cell>
          <cell r="D289">
            <v>12</v>
          </cell>
          <cell r="E289">
            <v>80000000</v>
          </cell>
        </row>
        <row r="290">
          <cell r="B290" t="str">
            <v xml:space="preserve">Đầu dò lấy mẫu </v>
          </cell>
          <cell r="C290" t="str">
            <v>cái</v>
          </cell>
          <cell r="D290">
            <v>2</v>
          </cell>
          <cell r="E290">
            <v>35000000</v>
          </cell>
        </row>
        <row r="291">
          <cell r="B291" t="str">
            <v>Thước dây</v>
          </cell>
          <cell r="C291" t="str">
            <v>Cái</v>
          </cell>
          <cell r="D291">
            <v>12</v>
          </cell>
          <cell r="E291">
            <v>180000</v>
          </cell>
        </row>
        <row r="292">
          <cell r="B292" t="str">
            <v>Kính bảo hộ</v>
          </cell>
          <cell r="C292" t="str">
            <v>Cái</v>
          </cell>
          <cell r="D292">
            <v>12</v>
          </cell>
          <cell r="E292">
            <v>30000</v>
          </cell>
        </row>
        <row r="293">
          <cell r="B293" t="str">
            <v>Kẹp khớp nối</v>
          </cell>
          <cell r="C293" t="str">
            <v>Cái</v>
          </cell>
          <cell r="D293">
            <v>12</v>
          </cell>
          <cell r="E293">
            <v>1000000</v>
          </cell>
        </row>
        <row r="294">
          <cell r="B294" t="str">
            <v>Ferrule 0.45</v>
          </cell>
          <cell r="C294" t="str">
            <v>Cái</v>
          </cell>
          <cell r="D294">
            <v>3</v>
          </cell>
          <cell r="E294">
            <v>650000</v>
          </cell>
        </row>
        <row r="295">
          <cell r="B295" t="str">
            <v>Đầu lấy mẫu</v>
          </cell>
          <cell r="C295" t="str">
            <v>Cái</v>
          </cell>
          <cell r="D295">
            <v>18</v>
          </cell>
          <cell r="E295">
            <v>2500000</v>
          </cell>
        </row>
        <row r="296">
          <cell r="B296" t="str">
            <v>Ống lấy mẫu</v>
          </cell>
          <cell r="C296" t="str">
            <v>Cái</v>
          </cell>
          <cell r="D296">
            <v>18</v>
          </cell>
          <cell r="E296">
            <v>45000000</v>
          </cell>
        </row>
        <row r="297">
          <cell r="B297" t="str">
            <v>Bộ lưu giữ dung dung dịch hấp thụ</v>
          </cell>
          <cell r="C297" t="str">
            <v>Bộ</v>
          </cell>
          <cell r="D297">
            <v>12</v>
          </cell>
          <cell r="E297">
            <v>10000000</v>
          </cell>
        </row>
        <row r="298">
          <cell r="B298" t="str">
            <v>Hộp gia nhiệt</v>
          </cell>
          <cell r="C298" t="str">
            <v>Hộp</v>
          </cell>
          <cell r="D298">
            <v>18</v>
          </cell>
          <cell r="E298">
            <v>25000000</v>
          </cell>
        </row>
        <row r="299">
          <cell r="B299" t="str">
            <v xml:space="preserve">Acqui </v>
          </cell>
          <cell r="C299" t="str">
            <v>Bộ</v>
          </cell>
          <cell r="D299">
            <v>18</v>
          </cell>
          <cell r="E299">
            <v>4000000</v>
          </cell>
        </row>
        <row r="300">
          <cell r="B300" t="str">
            <v>Bộ dụng cụ thu hồi mẫu</v>
          </cell>
          <cell r="C300" t="str">
            <v>Bộ</v>
          </cell>
          <cell r="D300">
            <v>18</v>
          </cell>
          <cell r="E300">
            <v>10000000</v>
          </cell>
        </row>
        <row r="301">
          <cell r="B301" t="str">
            <v>Thước dây</v>
          </cell>
          <cell r="C301" t="str">
            <v>Cái</v>
          </cell>
          <cell r="D301">
            <v>12</v>
          </cell>
          <cell r="E301">
            <v>180000</v>
          </cell>
        </row>
        <row r="302">
          <cell r="B302" t="str">
            <v>Kẹp khớp nối</v>
          </cell>
          <cell r="C302" t="str">
            <v>Bộ</v>
          </cell>
          <cell r="D302">
            <v>12</v>
          </cell>
          <cell r="E302">
            <v>1000000</v>
          </cell>
        </row>
        <row r="303">
          <cell r="B303" t="str">
            <v>Bình tia</v>
          </cell>
          <cell r="C303" t="str">
            <v>Bình</v>
          </cell>
          <cell r="D303">
            <v>36</v>
          </cell>
          <cell r="E303">
            <v>110000</v>
          </cell>
        </row>
        <row r="304">
          <cell r="B304" t="str">
            <v>Bộ dây nối</v>
          </cell>
          <cell r="C304" t="str">
            <v>Bộ</v>
          </cell>
          <cell r="D304">
            <v>12</v>
          </cell>
          <cell r="E304">
            <v>40000000</v>
          </cell>
        </row>
        <row r="305">
          <cell r="B305" t="str">
            <v>Bộ ống hấp thụ</v>
          </cell>
          <cell r="C305" t="str">
            <v>Bộ</v>
          </cell>
          <cell r="D305">
            <v>12</v>
          </cell>
          <cell r="E305">
            <v>20000000</v>
          </cell>
        </row>
        <row r="306">
          <cell r="B306" t="str">
            <v>Quần áo BHLĐ</v>
          </cell>
          <cell r="C306" t="str">
            <v>bộ</v>
          </cell>
          <cell r="D306">
            <v>12</v>
          </cell>
          <cell r="E306">
            <v>50000</v>
          </cell>
        </row>
        <row r="307">
          <cell r="B307" t="str">
            <v>Lọ thủy tinh  Ф 150h300</v>
          </cell>
          <cell r="C307" t="str">
            <v>cái</v>
          </cell>
          <cell r="D307">
            <v>6</v>
          </cell>
          <cell r="E307">
            <v>100000</v>
          </cell>
        </row>
        <row r="308">
          <cell r="B308" t="str">
            <v>Bộ tách ẩm</v>
          </cell>
          <cell r="C308" t="str">
            <v>cái</v>
          </cell>
          <cell r="D308">
            <v>18</v>
          </cell>
          <cell r="E308">
            <v>30000000</v>
          </cell>
        </row>
        <row r="309">
          <cell r="B309" t="str">
            <v>Trap hấp phụ Hg 1</v>
          </cell>
          <cell r="D309">
            <v>6</v>
          </cell>
          <cell r="E309">
            <v>1500000</v>
          </cell>
        </row>
        <row r="310">
          <cell r="B310" t="str">
            <v>Trap hấp phụ Hg 2</v>
          </cell>
          <cell r="C310" t="str">
            <v>hộp</v>
          </cell>
          <cell r="D310">
            <v>6</v>
          </cell>
          <cell r="E310">
            <v>1500000</v>
          </cell>
        </row>
        <row r="311">
          <cell r="B311" t="str">
            <v>Millex-LH 13mm Philic PTFE .45µm Non-sterile IC-Certified 100/pk</v>
          </cell>
          <cell r="C311" t="str">
            <v>cái</v>
          </cell>
          <cell r="D311">
            <v>1</v>
          </cell>
          <cell r="E311">
            <v>62000</v>
          </cell>
        </row>
        <row r="312">
          <cell r="B312" t="str">
            <v>Cột khử Cadimi</v>
          </cell>
          <cell r="C312" t="str">
            <v>Cái</v>
          </cell>
          <cell r="D312">
            <v>6</v>
          </cell>
          <cell r="E312">
            <v>2000000</v>
          </cell>
        </row>
        <row r="313">
          <cell r="B313" t="str">
            <v>Pipet pasteur, thủy tinh trung tính, 23 cm</v>
          </cell>
          <cell r="C313" t="str">
            <v>Cái</v>
          </cell>
          <cell r="D313">
            <v>1</v>
          </cell>
          <cell r="E313">
            <v>4000</v>
          </cell>
        </row>
        <row r="314">
          <cell r="B314" t="str">
            <v>Lọ thủy tinh màu nâu, loại 2 mL, nắp dập và nắp dập có đệm PTFE</v>
          </cell>
          <cell r="C314" t="str">
            <v>Cái</v>
          </cell>
          <cell r="D314">
            <v>12</v>
          </cell>
          <cell r="E314">
            <v>15000</v>
          </cell>
        </row>
        <row r="315">
          <cell r="B315" t="str">
            <v>Ống mao quản thủy tinh, loại 0,1 mL, có đệm nhựa dùng với lọ thủy tinh 2 mL</v>
          </cell>
          <cell r="C315" t="str">
            <v>Cái</v>
          </cell>
          <cell r="D315">
            <v>1</v>
          </cell>
          <cell r="E315">
            <v>30000</v>
          </cell>
        </row>
        <row r="316">
          <cell r="B316" t="str">
            <v>cốc cân</v>
          </cell>
          <cell r="C316" t="str">
            <v>cái</v>
          </cell>
          <cell r="D316">
            <v>6</v>
          </cell>
          <cell r="E316">
            <v>25000</v>
          </cell>
        </row>
        <row r="317">
          <cell r="B317" t="str">
            <v>cốc cân</v>
          </cell>
          <cell r="C317" t="str">
            <v>cái</v>
          </cell>
          <cell r="D317">
            <v>6</v>
          </cell>
          <cell r="E317">
            <v>25000</v>
          </cell>
        </row>
      </sheetData>
      <sheetData sheetId="1">
        <row r="3">
          <cell r="B3" t="str">
            <v>(NaPO3)6</v>
          </cell>
          <cell r="C3" t="str">
            <v>Gam</v>
          </cell>
          <cell r="E3">
            <v>1000</v>
          </cell>
        </row>
        <row r="4">
          <cell r="B4" t="str">
            <v>4-hydroxy benzoate (C7H4O3)</v>
          </cell>
          <cell r="C4" t="str">
            <v>gam</v>
          </cell>
          <cell r="E4">
            <v>12000</v>
          </cell>
        </row>
        <row r="5">
          <cell r="B5" t="str">
            <v>(NH4)2Fe(SO4)2.6H2O</v>
          </cell>
          <cell r="C5" t="str">
            <v>gam</v>
          </cell>
          <cell r="E5">
            <v>3000</v>
          </cell>
        </row>
        <row r="6">
          <cell r="B6" t="str">
            <v>(NH4)2SO4</v>
          </cell>
          <cell r="C6" t="str">
            <v>gam</v>
          </cell>
          <cell r="E6">
            <v>520</v>
          </cell>
        </row>
        <row r="7">
          <cell r="B7" t="str">
            <v>(NH4)6Mo7O24.4H2O</v>
          </cell>
          <cell r="C7" t="str">
            <v>gam</v>
          </cell>
          <cell r="E7">
            <v>2920</v>
          </cell>
        </row>
        <row r="8">
          <cell r="B8" t="str">
            <v>4-Amino-Antypyrin</v>
          </cell>
          <cell r="C8" t="str">
            <v>Gram</v>
          </cell>
          <cell r="E8">
            <v>24000</v>
          </cell>
        </row>
        <row r="9">
          <cell r="B9" t="str">
            <v>Aceton</v>
          </cell>
          <cell r="C9" t="str">
            <v>ml</v>
          </cell>
          <cell r="E9">
            <v>400</v>
          </cell>
        </row>
        <row r="10">
          <cell r="B10" t="str">
            <v>Acetonitrite</v>
          </cell>
          <cell r="C10" t="str">
            <v>ml</v>
          </cell>
          <cell r="E10">
            <v>1200</v>
          </cell>
        </row>
        <row r="11">
          <cell r="B11" t="str">
            <v>A-dinitrophenol</v>
          </cell>
          <cell r="C11" t="str">
            <v>Gam</v>
          </cell>
          <cell r="E11">
            <v>41500</v>
          </cell>
        </row>
        <row r="12">
          <cell r="B12" t="str">
            <v>a-dipyridin</v>
          </cell>
          <cell r="C12" t="str">
            <v>Gam</v>
          </cell>
          <cell r="E12">
            <v>225000</v>
          </cell>
        </row>
        <row r="13">
          <cell r="B13" t="str">
            <v>Ag2SO4</v>
          </cell>
          <cell r="C13" t="str">
            <v>Gam</v>
          </cell>
          <cell r="E13">
            <v>160000</v>
          </cell>
        </row>
        <row r="14">
          <cell r="B14" t="str">
            <v>AgNO3</v>
          </cell>
          <cell r="C14" t="str">
            <v>gam</v>
          </cell>
          <cell r="E14">
            <v>128000</v>
          </cell>
        </row>
        <row r="15">
          <cell r="B15" t="str">
            <v>Al(NO3)3</v>
          </cell>
          <cell r="C15" t="str">
            <v>ml</v>
          </cell>
          <cell r="E15">
            <v>3200</v>
          </cell>
        </row>
        <row r="16">
          <cell r="B16" t="str">
            <v>Ammonium pyrrolidinedithiocarbamate (APDC)</v>
          </cell>
          <cell r="C16" t="str">
            <v>Gam</v>
          </cell>
          <cell r="E16">
            <v>110400</v>
          </cell>
        </row>
        <row r="17">
          <cell r="B17" t="str">
            <v>AMP</v>
          </cell>
          <cell r="C17" t="str">
            <v>gram</v>
          </cell>
          <cell r="E17">
            <v>2400</v>
          </cell>
        </row>
        <row r="18">
          <cell r="B18" t="str">
            <v>a-Naphtylamin</v>
          </cell>
          <cell r="C18" t="str">
            <v>Gam</v>
          </cell>
          <cell r="E18">
            <v>125000</v>
          </cell>
        </row>
        <row r="19">
          <cell r="B19" t="str">
            <v>Axít acetic</v>
          </cell>
          <cell r="C19" t="str">
            <v>ml</v>
          </cell>
          <cell r="E19">
            <v>575</v>
          </cell>
        </row>
        <row r="20">
          <cell r="B20" t="str">
            <v>Axit ascorbic</v>
          </cell>
          <cell r="C20" t="str">
            <v>ml</v>
          </cell>
          <cell r="E20">
            <v>405</v>
          </cell>
        </row>
        <row r="21">
          <cell r="B21" t="str">
            <v>Axit Bacbituric</v>
          </cell>
          <cell r="C21" t="str">
            <v>gam</v>
          </cell>
          <cell r="E21">
            <v>32000</v>
          </cell>
        </row>
        <row r="22">
          <cell r="B22" t="str">
            <v>Axit glutamic</v>
          </cell>
          <cell r="C22" t="str">
            <v>gam</v>
          </cell>
          <cell r="E22">
            <v>1400</v>
          </cell>
        </row>
        <row r="23">
          <cell r="B23" t="str">
            <v>Axit oxalic</v>
          </cell>
          <cell r="C23" t="str">
            <v>gam</v>
          </cell>
          <cell r="E23">
            <v>1600</v>
          </cell>
        </row>
        <row r="24">
          <cell r="B24" t="str">
            <v>Axit phenoldisulfonic</v>
          </cell>
          <cell r="C24" t="str">
            <v>ml</v>
          </cell>
          <cell r="E24">
            <v>11200</v>
          </cell>
        </row>
        <row r="25">
          <cell r="B25" t="str">
            <v>Axit sulphamic</v>
          </cell>
          <cell r="C25" t="str">
            <v>gam</v>
          </cell>
          <cell r="E25">
            <v>1500</v>
          </cell>
        </row>
        <row r="26">
          <cell r="B26" t="str">
            <v>Axít sulphanilic</v>
          </cell>
          <cell r="C26" t="str">
            <v>gam</v>
          </cell>
          <cell r="E26">
            <v>8400</v>
          </cell>
        </row>
        <row r="27">
          <cell r="B27" t="str">
            <v>Đĩa điện phân</v>
          </cell>
          <cell r="C27" t="str">
            <v>Cái</v>
          </cell>
          <cell r="E27">
            <v>2500</v>
          </cell>
        </row>
        <row r="28">
          <cell r="B28" t="str">
            <v>BaC6Cl2O4</v>
          </cell>
          <cell r="C28" t="str">
            <v>ml</v>
          </cell>
          <cell r="E28">
            <v>460</v>
          </cell>
        </row>
        <row r="29">
          <cell r="B29" t="str">
            <v>BaCl2</v>
          </cell>
          <cell r="C29" t="str">
            <v>Gam</v>
          </cell>
          <cell r="E29">
            <v>120</v>
          </cell>
        </row>
        <row r="30">
          <cell r="B30" t="str">
            <v>BaCl2.2H2O</v>
          </cell>
          <cell r="C30" t="str">
            <v>Gam</v>
          </cell>
          <cell r="E30">
            <v>120</v>
          </cell>
        </row>
        <row r="31">
          <cell r="B31" t="str">
            <v>Bản đồ địa hình</v>
          </cell>
          <cell r="C31" t="str">
            <v>tờ</v>
          </cell>
          <cell r="E31">
            <v>70000</v>
          </cell>
        </row>
        <row r="32">
          <cell r="B32" t="str">
            <v>Bao đựng mẫu</v>
          </cell>
          <cell r="C32" t="str">
            <v>Cái</v>
          </cell>
          <cell r="E32">
            <v>1500</v>
          </cell>
        </row>
        <row r="33">
          <cell r="B33" t="str">
            <v>Băng giấy in</v>
          </cell>
          <cell r="C33" t="str">
            <v>gam</v>
          </cell>
          <cell r="E33">
            <v>60000</v>
          </cell>
        </row>
        <row r="34">
          <cell r="B34" t="str">
            <v>Sr(NO3)2</v>
          </cell>
          <cell r="C34" t="str">
            <v>gam</v>
          </cell>
          <cell r="E34">
            <v>1000</v>
          </cell>
        </row>
        <row r="35">
          <cell r="B35" t="str">
            <v>Ba(NO3)2</v>
          </cell>
          <cell r="C35" t="str">
            <v>gam</v>
          </cell>
          <cell r="E35">
            <v>800</v>
          </cell>
        </row>
        <row r="36">
          <cell r="B36" t="str">
            <v>NH4C2O4</v>
          </cell>
          <cell r="C36" t="str">
            <v>gam</v>
          </cell>
          <cell r="E36">
            <v>600</v>
          </cell>
        </row>
        <row r="37">
          <cell r="B37" t="str">
            <v>Nhựa trao đổi Anion</v>
          </cell>
          <cell r="C37" t="str">
            <v>gam</v>
          </cell>
          <cell r="E37">
            <v>1100</v>
          </cell>
        </row>
        <row r="38">
          <cell r="B38" t="str">
            <v>Nhựa trao đổi Cation</v>
          </cell>
          <cell r="C38" t="str">
            <v>gam</v>
          </cell>
          <cell r="E38">
            <v>1100</v>
          </cell>
        </row>
        <row r="39">
          <cell r="B39" t="str">
            <v>NH4CO3</v>
          </cell>
          <cell r="C39" t="str">
            <v>gam</v>
          </cell>
          <cell r="E39">
            <v>1000</v>
          </cell>
        </row>
        <row r="40">
          <cell r="B40" t="str">
            <v>Bông</v>
          </cell>
          <cell r="C40" t="str">
            <v>Kg</v>
          </cell>
          <cell r="E40">
            <v>55000</v>
          </cell>
        </row>
        <row r="41">
          <cell r="B41" t="str">
            <v>Bông thủy tinh</v>
          </cell>
          <cell r="C41" t="str">
            <v>gam</v>
          </cell>
          <cell r="E41">
            <v>1200</v>
          </cell>
        </row>
        <row r="42">
          <cell r="B42" t="str">
            <v>Bột Niken</v>
          </cell>
          <cell r="C42" t="str">
            <v>gam</v>
          </cell>
          <cell r="E42">
            <v>575000</v>
          </cell>
        </row>
        <row r="43">
          <cell r="B43" t="str">
            <v>Bột Pd</v>
          </cell>
          <cell r="C43" t="str">
            <v>gam</v>
          </cell>
          <cell r="E43">
            <v>5500000</v>
          </cell>
        </row>
        <row r="44">
          <cell r="B44" t="str">
            <v xml:space="preserve">Bột Cd </v>
          </cell>
          <cell r="C44" t="str">
            <v>gam</v>
          </cell>
          <cell r="E44">
            <v>30000</v>
          </cell>
        </row>
        <row r="45">
          <cell r="B45" t="str">
            <v>bột cu</v>
          </cell>
          <cell r="C45" t="str">
            <v>gam</v>
          </cell>
          <cell r="E45">
            <v>700000</v>
          </cell>
        </row>
        <row r="46">
          <cell r="B46" t="str">
            <v>Bromocresol</v>
          </cell>
          <cell r="C46" t="str">
            <v>ml</v>
          </cell>
          <cell r="E46">
            <v>64000</v>
          </cell>
        </row>
        <row r="47">
          <cell r="B47" t="str">
            <v>Bromothymol xanh</v>
          </cell>
          <cell r="C47" t="str">
            <v>gam</v>
          </cell>
          <cell r="E47">
            <v>64000</v>
          </cell>
        </row>
        <row r="48">
          <cell r="B48" t="str">
            <v>Brôm</v>
          </cell>
          <cell r="C48" t="str">
            <v>ml</v>
          </cell>
          <cell r="E48">
            <v>3600</v>
          </cell>
        </row>
        <row r="49">
          <cell r="B49" t="str">
            <v>CDTA- C14H22N2O8</v>
          </cell>
          <cell r="C49" t="str">
            <v>gam</v>
          </cell>
          <cell r="E49">
            <v>25000</v>
          </cell>
        </row>
        <row r="50">
          <cell r="B50" t="str">
            <v>Xenlulo</v>
          </cell>
          <cell r="C50" t="str">
            <v>gam</v>
          </cell>
          <cell r="E50">
            <v>21500</v>
          </cell>
        </row>
        <row r="51">
          <cell r="B51" t="str">
            <v>C12H8N2.H2O</v>
          </cell>
          <cell r="C51" t="str">
            <v>gam</v>
          </cell>
          <cell r="E51">
            <v>40000</v>
          </cell>
        </row>
        <row r="52">
          <cell r="B52" t="str">
            <v>C3N3O3Cl2Na.2H2O</v>
          </cell>
          <cell r="C52" t="str">
            <v>gam</v>
          </cell>
          <cell r="E52">
            <v>130000</v>
          </cell>
        </row>
        <row r="53">
          <cell r="B53" t="str">
            <v>C7H5NaO3</v>
          </cell>
          <cell r="C53" t="str">
            <v>gam</v>
          </cell>
          <cell r="E53">
            <v>4440</v>
          </cell>
        </row>
        <row r="54">
          <cell r="B54" t="str">
            <v>Ca(NO3)2.4H2O</v>
          </cell>
          <cell r="C54" t="str">
            <v>Gam</v>
          </cell>
          <cell r="E54">
            <v>1000</v>
          </cell>
        </row>
        <row r="55">
          <cell r="B55" t="str">
            <v>Ca(NO3)2</v>
          </cell>
          <cell r="C55" t="str">
            <v>gam</v>
          </cell>
          <cell r="E55">
            <v>1500</v>
          </cell>
        </row>
        <row r="56">
          <cell r="B56" t="str">
            <v>Các chất: Cs, Ca, Ba, Fe, Ni</v>
          </cell>
          <cell r="C56" t="str">
            <v>ml</v>
          </cell>
          <cell r="E56">
            <v>2400</v>
          </cell>
        </row>
        <row r="57">
          <cell r="B57" t="str">
            <v>CaCl2</v>
          </cell>
          <cell r="C57" t="str">
            <v>gam</v>
          </cell>
          <cell r="E57">
            <v>1200</v>
          </cell>
        </row>
        <row r="58">
          <cell r="B58" t="str">
            <v>CaCO3</v>
          </cell>
          <cell r="C58" t="str">
            <v>Gam</v>
          </cell>
          <cell r="E58">
            <v>1900</v>
          </cell>
        </row>
        <row r="59">
          <cell r="B59" t="str">
            <v>Cacbon disulfide (CS2)</v>
          </cell>
          <cell r="C59" t="str">
            <v>ml</v>
          </cell>
          <cell r="E59">
            <v>3000</v>
          </cell>
        </row>
        <row r="60">
          <cell r="B60" t="str">
            <v>Canh thang BGBL</v>
          </cell>
          <cell r="C60" t="str">
            <v>Gam</v>
          </cell>
          <cell r="E60">
            <v>1400</v>
          </cell>
        </row>
        <row r="61">
          <cell r="B61" t="str">
            <v>Canh thang lactose LT</v>
          </cell>
          <cell r="C61" t="str">
            <v>gam</v>
          </cell>
          <cell r="E61">
            <v>3700</v>
          </cell>
        </row>
        <row r="62">
          <cell r="B62" t="str">
            <v>Cloramin T</v>
          </cell>
          <cell r="C62" t="str">
            <v>gam</v>
          </cell>
          <cell r="E62">
            <v>25000</v>
          </cell>
        </row>
        <row r="63">
          <cell r="B63" t="str">
            <v>Cloroform</v>
          </cell>
          <cell r="C63" t="str">
            <v>ml</v>
          </cell>
          <cell r="E63">
            <v>750</v>
          </cell>
        </row>
        <row r="64">
          <cell r="B64" t="str">
            <v>Clorobenzen</v>
          </cell>
          <cell r="C64" t="str">
            <v>ml</v>
          </cell>
          <cell r="E64">
            <v>190000</v>
          </cell>
        </row>
        <row r="65">
          <cell r="B65" t="str">
            <v>Cồn lau dụng cụ</v>
          </cell>
          <cell r="C65" t="str">
            <v>ml</v>
          </cell>
          <cell r="E65">
            <v>35</v>
          </cell>
        </row>
        <row r="66">
          <cell r="B66" t="str">
            <v>Cồn lau dụng cụ (lít)</v>
          </cell>
          <cell r="C66" t="str">
            <v>lít</v>
          </cell>
          <cell r="E66">
            <v>35000</v>
          </cell>
        </row>
        <row r="67">
          <cell r="B67" t="str">
            <v>Cồn lau đầu đo</v>
          </cell>
          <cell r="C67" t="str">
            <v xml:space="preserve">ml </v>
          </cell>
          <cell r="E67">
            <v>35</v>
          </cell>
        </row>
        <row r="68">
          <cell r="B68" t="str">
            <v>CrO3</v>
          </cell>
          <cell r="C68" t="str">
            <v>gam</v>
          </cell>
          <cell r="E68">
            <v>192000</v>
          </cell>
        </row>
        <row r="69">
          <cell r="B69" t="str">
            <v>Cs</v>
          </cell>
          <cell r="C69" t="str">
            <v>ml</v>
          </cell>
          <cell r="E69">
            <v>2400</v>
          </cell>
        </row>
        <row r="70">
          <cell r="B70" t="str">
            <v>CsCl</v>
          </cell>
          <cell r="C70" t="str">
            <v>Gam</v>
          </cell>
          <cell r="E70">
            <v>12800</v>
          </cell>
        </row>
        <row r="71">
          <cell r="B71" t="str">
            <v>CuSO4</v>
          </cell>
          <cell r="C71" t="str">
            <v>Gam</v>
          </cell>
          <cell r="E71">
            <v>850</v>
          </cell>
        </row>
        <row r="72">
          <cell r="B72" t="str">
            <v>CuSO4.5H2O</v>
          </cell>
          <cell r="C72" t="str">
            <v>gram</v>
          </cell>
          <cell r="E72">
            <v>2200</v>
          </cell>
        </row>
        <row r="73">
          <cell r="B73" t="str">
            <v>CH2Cl2</v>
          </cell>
          <cell r="C73" t="str">
            <v>ml</v>
          </cell>
          <cell r="E73">
            <v>450</v>
          </cell>
        </row>
        <row r="74">
          <cell r="B74" t="str">
            <v>CH3COOH</v>
          </cell>
          <cell r="C74" t="str">
            <v>ml</v>
          </cell>
          <cell r="E74">
            <v>160</v>
          </cell>
        </row>
        <row r="75">
          <cell r="B75" t="str">
            <v>CH3COONa</v>
          </cell>
          <cell r="C75" t="str">
            <v>Gam</v>
          </cell>
          <cell r="E75">
            <v>600</v>
          </cell>
        </row>
        <row r="76">
          <cell r="B76" t="str">
            <v>CH3COONa.3H2O</v>
          </cell>
          <cell r="C76" t="str">
            <v>Gram</v>
          </cell>
          <cell r="E76">
            <v>940</v>
          </cell>
        </row>
        <row r="77">
          <cell r="B77" t="str">
            <v>C19H32O3S</v>
          </cell>
          <cell r="C77" t="str">
            <v>ml</v>
          </cell>
          <cell r="E77">
            <v>55000</v>
          </cell>
        </row>
        <row r="78">
          <cell r="B78" t="str">
            <v>Chai đựng mẫu</v>
          </cell>
          <cell r="C78" t="str">
            <v>cái</v>
          </cell>
          <cell r="E78">
            <v>80000</v>
          </cell>
        </row>
        <row r="79">
          <cell r="B79" t="str">
            <v>Chất điện giải</v>
          </cell>
          <cell r="C79" t="str">
            <v>ml</v>
          </cell>
          <cell r="E79">
            <v>110000</v>
          </cell>
        </row>
        <row r="80">
          <cell r="B80" t="str">
            <v>CHCl3</v>
          </cell>
          <cell r="C80" t="str">
            <v>ml</v>
          </cell>
          <cell r="E80">
            <v>750</v>
          </cell>
        </row>
        <row r="81">
          <cell r="B81" t="str">
            <v>Chiết pha rắn SPE</v>
          </cell>
          <cell r="C81" t="str">
            <v>Cái</v>
          </cell>
          <cell r="E81">
            <v>120000</v>
          </cell>
        </row>
        <row r="82">
          <cell r="B82" t="str">
            <v>Chiết pha rắn SPE (ml)</v>
          </cell>
          <cell r="C82" t="str">
            <v xml:space="preserve">ml </v>
          </cell>
          <cell r="E82">
            <v>1200</v>
          </cell>
        </row>
        <row r="83">
          <cell r="B83" t="str">
            <v>Dầu thủy lực</v>
          </cell>
          <cell r="C83" t="str">
            <v>Lít</v>
          </cell>
          <cell r="E83">
            <v>65000</v>
          </cell>
        </row>
        <row r="84">
          <cell r="B84" t="str">
            <v>Diatomit cỡ hạt 0,125mm-0,150mm</v>
          </cell>
          <cell r="C84" t="str">
            <v>gam</v>
          </cell>
          <cell r="E84">
            <v>4000</v>
          </cell>
        </row>
        <row r="85">
          <cell r="B85" t="str">
            <v>Diclormrthan</v>
          </cell>
          <cell r="C85" t="str">
            <v>ml</v>
          </cell>
          <cell r="E85">
            <v>450</v>
          </cell>
        </row>
        <row r="86">
          <cell r="B86" t="str">
            <v>Diphenylamin</v>
          </cell>
          <cell r="C86" t="str">
            <v>gam</v>
          </cell>
          <cell r="E86">
            <v>850</v>
          </cell>
        </row>
        <row r="87">
          <cell r="B87" t="str">
            <v>Dithizon</v>
          </cell>
          <cell r="C87" t="str">
            <v>Gam</v>
          </cell>
          <cell r="E87">
            <v>66000</v>
          </cell>
        </row>
        <row r="88">
          <cell r="B88" t="str">
            <v>Dietyl ete</v>
          </cell>
          <cell r="C88" t="str">
            <v>ml</v>
          </cell>
          <cell r="E88">
            <v>1000</v>
          </cell>
        </row>
        <row r="89">
          <cell r="B89" t="str">
            <v>Oxit nhôm</v>
          </cell>
          <cell r="C89" t="str">
            <v>gam</v>
          </cell>
          <cell r="E89">
            <v>450</v>
          </cell>
        </row>
        <row r="90">
          <cell r="B90" t="str">
            <v>Dung dịch canxi chuẩn</v>
          </cell>
          <cell r="C90" t="str">
            <v xml:space="preserve">ml </v>
          </cell>
          <cell r="E90">
            <v>2400</v>
          </cell>
        </row>
        <row r="91">
          <cell r="B91" t="str">
            <v>Dung dịch chuẩn</v>
          </cell>
          <cell r="C91" t="str">
            <v>ml</v>
          </cell>
          <cell r="E91">
            <v>2400</v>
          </cell>
        </row>
        <row r="92">
          <cell r="B92" t="str">
            <v>Dung dịch chuẩn 0 NTU</v>
          </cell>
          <cell r="C92" t="str">
            <v>ml</v>
          </cell>
          <cell r="E92">
            <v>2400</v>
          </cell>
        </row>
        <row r="93">
          <cell r="B93" t="str">
            <v>Dung dịch chuẩn 100 NTU</v>
          </cell>
          <cell r="C93" t="str">
            <v xml:space="preserve">ml </v>
          </cell>
          <cell r="E93">
            <v>4000</v>
          </cell>
        </row>
        <row r="94">
          <cell r="B94" t="str">
            <v>Dung dịch chuẩn 12280</v>
          </cell>
          <cell r="C94" t="str">
            <v>ml</v>
          </cell>
          <cell r="E94">
            <v>2400</v>
          </cell>
        </row>
        <row r="95">
          <cell r="B95" t="str">
            <v>Dung dịch chuẩn 1413</v>
          </cell>
          <cell r="C95" t="str">
            <v xml:space="preserve">ml </v>
          </cell>
          <cell r="E95">
            <v>2400</v>
          </cell>
        </row>
        <row r="96">
          <cell r="B96" t="str">
            <v>Dung dịch chuẩn 800 NTU</v>
          </cell>
          <cell r="C96" t="str">
            <v xml:space="preserve">ml </v>
          </cell>
          <cell r="E96">
            <v>5000</v>
          </cell>
        </row>
        <row r="97">
          <cell r="B97" t="str">
            <v>Dung dịch chuẩn 800 NTU</v>
          </cell>
          <cell r="C97" t="str">
            <v>ml</v>
          </cell>
          <cell r="E97">
            <v>5000</v>
          </cell>
        </row>
        <row r="98">
          <cell r="B98" t="str">
            <v>Dung dịch chuẩn 84</v>
          </cell>
          <cell r="C98" t="str">
            <v xml:space="preserve">ml </v>
          </cell>
          <cell r="E98">
            <v>2400</v>
          </cell>
        </row>
        <row r="99">
          <cell r="B99" t="str">
            <v>Dung dịch chuẩn Coban</v>
          </cell>
          <cell r="C99" t="str">
            <v xml:space="preserve">ml </v>
          </cell>
          <cell r="E99">
            <v>6000</v>
          </cell>
        </row>
        <row r="100">
          <cell r="B100" t="str">
            <v>Dung dịch chuẩn đa nguyên tố (ICP Standard)</v>
          </cell>
          <cell r="C100" t="str">
            <v>ml</v>
          </cell>
          <cell r="E100">
            <v>55000</v>
          </cell>
        </row>
        <row r="101">
          <cell r="B101" t="str">
            <v>Dung dịch chuẩn gốc 1000ppm</v>
          </cell>
          <cell r="C101" t="str">
            <v>ml</v>
          </cell>
          <cell r="E101">
            <v>2400</v>
          </cell>
        </row>
        <row r="102">
          <cell r="B102" t="str">
            <v>Dung dịch chuẩn PCBs</v>
          </cell>
          <cell r="C102" t="str">
            <v>ml</v>
          </cell>
          <cell r="E102">
            <v>14500000</v>
          </cell>
        </row>
        <row r="103">
          <cell r="B103" t="str">
            <v>Dung diịch chuẩn VOC</v>
          </cell>
          <cell r="C103" t="str">
            <v>ml</v>
          </cell>
          <cell r="E103">
            <v>4175000</v>
          </cell>
        </row>
        <row r="104">
          <cell r="B104" t="str">
            <v>Dung dịch chuẩn hỗn hợp nhóm Pyrethroid</v>
          </cell>
          <cell r="C104" t="str">
            <v xml:space="preserve">ml </v>
          </cell>
          <cell r="E104">
            <v>15000000</v>
          </cell>
        </row>
        <row r="105">
          <cell r="B105" t="str">
            <v>Dung dịch chuẩn PAHs</v>
          </cell>
          <cell r="C105" t="str">
            <v>ml</v>
          </cell>
          <cell r="E105">
            <v>13500000</v>
          </cell>
        </row>
        <row r="106">
          <cell r="B106" t="str">
            <v>Dung dịch chuẩn H2S</v>
          </cell>
          <cell r="C106" t="str">
            <v>ml</v>
          </cell>
          <cell r="E106">
            <v>4350</v>
          </cell>
        </row>
        <row r="107">
          <cell r="B107" t="str">
            <v>Dung dịch chuẩn K</v>
          </cell>
          <cell r="C107" t="str">
            <v>ml</v>
          </cell>
          <cell r="E107">
            <v>1000</v>
          </cell>
        </row>
        <row r="108">
          <cell r="B108" t="str">
            <v>Dung dịch chuẩn mix 13</v>
          </cell>
          <cell r="C108" t="str">
            <v xml:space="preserve">ml </v>
          </cell>
          <cell r="E108">
            <v>17000000</v>
          </cell>
        </row>
        <row r="109">
          <cell r="B109" t="str">
            <v>Dung dịch chuẩn Na</v>
          </cell>
          <cell r="C109" t="str">
            <v>ml</v>
          </cell>
          <cell r="E109">
            <v>2400</v>
          </cell>
        </row>
        <row r="110">
          <cell r="B110" t="str">
            <v>Dung dịch chuẩn Na2S2O3</v>
          </cell>
          <cell r="C110" t="str">
            <v>ml</v>
          </cell>
          <cell r="E110">
            <v>2000</v>
          </cell>
        </row>
        <row r="111">
          <cell r="B111" t="str">
            <v>Dung dịch chuẩn Na2SiO3</v>
          </cell>
          <cell r="C111" t="str">
            <v xml:space="preserve">ml </v>
          </cell>
          <cell r="E111">
            <v>4350</v>
          </cell>
        </row>
        <row r="112">
          <cell r="B112" t="str">
            <v>Dung dịch chuẩn NaNO2</v>
          </cell>
          <cell r="C112" t="str">
            <v xml:space="preserve">ml </v>
          </cell>
          <cell r="E112">
            <v>2400</v>
          </cell>
        </row>
        <row r="113">
          <cell r="B113" t="str">
            <v>Dung dịch chuẩn NaNO3</v>
          </cell>
          <cell r="C113" t="str">
            <v>ml</v>
          </cell>
          <cell r="E113">
            <v>4350</v>
          </cell>
        </row>
        <row r="114">
          <cell r="B114" t="str">
            <v>Dung dịch chuẩn Pb</v>
          </cell>
          <cell r="C114" t="str">
            <v>ml</v>
          </cell>
          <cell r="E114">
            <v>2400</v>
          </cell>
        </row>
        <row r="115">
          <cell r="B115" t="str">
            <v>Dung dịch chuẩn pH ở giá trị pH = 4 và pH = 10</v>
          </cell>
          <cell r="C115" t="str">
            <v>ml</v>
          </cell>
          <cell r="E115">
            <v>5500</v>
          </cell>
        </row>
        <row r="116">
          <cell r="B116" t="str">
            <v>Dung dịch chuẩn pH ở giá trị pH = 4 và pH = 7</v>
          </cell>
          <cell r="C116" t="str">
            <v>ml</v>
          </cell>
          <cell r="E116">
            <v>5500</v>
          </cell>
        </row>
        <row r="117">
          <cell r="B117" t="str">
            <v xml:space="preserve">Dung dịch chuẩn pH </v>
          </cell>
          <cell r="C117" t="str">
            <v>ml</v>
          </cell>
          <cell r="E117">
            <v>5500</v>
          </cell>
        </row>
        <row r="118">
          <cell r="B118" t="str">
            <v>Dung dịch chuẩn pH ở pH = 4, pH = 7, pH = 10</v>
          </cell>
          <cell r="C118" t="str">
            <v>ml</v>
          </cell>
          <cell r="E118">
            <v>5500</v>
          </cell>
        </row>
        <row r="119">
          <cell r="B119" t="str">
            <v>Dung dịch chuẩn P-PO4</v>
          </cell>
          <cell r="C119" t="str">
            <v>ml</v>
          </cell>
          <cell r="E119">
            <v>1560</v>
          </cell>
        </row>
        <row r="120">
          <cell r="B120" t="str">
            <v>Dung dịch chuẩn thẩm tra hiệu năng của thiết bị</v>
          </cell>
          <cell r="C120" t="str">
            <v>ml</v>
          </cell>
          <cell r="E120">
            <v>100000</v>
          </cell>
        </row>
        <row r="121">
          <cell r="B121" t="str">
            <v>Dung dịch chuẩn Trilon B</v>
          </cell>
          <cell r="C121" t="str">
            <v>Gam</v>
          </cell>
          <cell r="E121">
            <v>2400</v>
          </cell>
        </row>
        <row r="122">
          <cell r="B122" t="str">
            <v>Dung dịch chuẩn Trilon B 0,02N</v>
          </cell>
          <cell r="C122" t="str">
            <v xml:space="preserve">ml </v>
          </cell>
          <cell r="E122">
            <v>2400</v>
          </cell>
        </row>
        <row r="123">
          <cell r="B123" t="str">
            <v>Dung dịch chuẩn Trilon B 0,1N</v>
          </cell>
          <cell r="C123" t="str">
            <v>Gam</v>
          </cell>
          <cell r="E123">
            <v>2400</v>
          </cell>
        </row>
        <row r="124">
          <cell r="B124" t="str">
            <v>Dung dịch chuẩn ZnSO4</v>
          </cell>
          <cell r="C124" t="str">
            <v>ml</v>
          </cell>
          <cell r="E124">
            <v>2400</v>
          </cell>
        </row>
        <row r="125">
          <cell r="B125" t="str">
            <v>Dung dich đệm</v>
          </cell>
          <cell r="C125" t="str">
            <v>ml</v>
          </cell>
          <cell r="E125">
            <v>120000</v>
          </cell>
        </row>
        <row r="126">
          <cell r="B126" t="str">
            <v>Dung dịch điện cực DO</v>
          </cell>
          <cell r="C126" t="str">
            <v xml:space="preserve">ml </v>
          </cell>
          <cell r="E126">
            <v>2400</v>
          </cell>
        </row>
        <row r="127">
          <cell r="B127" t="str">
            <v>Dung dịch KCl</v>
          </cell>
          <cell r="C127" t="str">
            <v>ml</v>
          </cell>
          <cell r="E127">
            <v>180000</v>
          </cell>
        </row>
        <row r="128">
          <cell r="B128" t="str">
            <v xml:space="preserve">Đồng phtalocyanin tetrasunfonic  (C32H12CuN8O12S4Na4) </v>
          </cell>
          <cell r="C128" t="str">
            <v>g</v>
          </cell>
          <cell r="E128">
            <v>45000</v>
          </cell>
        </row>
        <row r="129">
          <cell r="B129" t="str">
            <v>Dung dịch chuẩn CRM</v>
          </cell>
          <cell r="C129" t="str">
            <v>ml</v>
          </cell>
          <cell r="E129">
            <v>8500</v>
          </cell>
        </row>
        <row r="130">
          <cell r="B130" t="str">
            <v>Dung dịch làm sạch điện cực</v>
          </cell>
          <cell r="C130" t="str">
            <v>ml</v>
          </cell>
          <cell r="E130">
            <v>2400</v>
          </cell>
        </row>
        <row r="131">
          <cell r="B131" t="str">
            <v>Dung dịch nội chuẩn</v>
          </cell>
          <cell r="C131" t="str">
            <v xml:space="preserve">ml </v>
          </cell>
          <cell r="E131">
            <v>14500000</v>
          </cell>
        </row>
        <row r="132">
          <cell r="B132" t="str">
            <v>Dung dịch NH3 đặc</v>
          </cell>
          <cell r="C132" t="str">
            <v>ml</v>
          </cell>
          <cell r="E132">
            <v>2400</v>
          </cell>
        </row>
        <row r="133">
          <cell r="B133" t="str">
            <v>Dung dịch chuẩn 1000 Pt-Co</v>
          </cell>
          <cell r="C133" t="str">
            <v>ml</v>
          </cell>
          <cell r="E133">
            <v>5000</v>
          </cell>
        </row>
        <row r="134">
          <cell r="B134" t="str">
            <v xml:space="preserve">Dung dịch hấp phụ </v>
          </cell>
          <cell r="C134" t="str">
            <v>ml</v>
          </cell>
          <cell r="E134">
            <v>2400</v>
          </cell>
        </row>
        <row r="135">
          <cell r="B135" t="str">
            <v xml:space="preserve">Axit pha dung dịch hấp </v>
          </cell>
          <cell r="C135" t="str">
            <v>ml</v>
          </cell>
          <cell r="E135">
            <v>450</v>
          </cell>
        </row>
        <row r="136">
          <cell r="B136" t="str">
            <v>Dung dịch NH3+ chuẩn</v>
          </cell>
          <cell r="C136" t="str">
            <v xml:space="preserve">ml </v>
          </cell>
          <cell r="E136">
            <v>2400</v>
          </cell>
        </row>
        <row r="137">
          <cell r="B137" t="str">
            <v>Dung dịch NH4+ chuẩn</v>
          </cell>
          <cell r="C137" t="str">
            <v>ml</v>
          </cell>
          <cell r="E137">
            <v>2400</v>
          </cell>
        </row>
        <row r="138">
          <cell r="B138" t="str">
            <v>Dung dịch ureaxetic</v>
          </cell>
          <cell r="C138" t="str">
            <v xml:space="preserve">ml </v>
          </cell>
          <cell r="E138">
            <v>2400</v>
          </cell>
        </row>
        <row r="139">
          <cell r="B139" t="str">
            <v>Dung môi</v>
          </cell>
          <cell r="C139" t="str">
            <v>ml</v>
          </cell>
          <cell r="E139">
            <v>700</v>
          </cell>
        </row>
        <row r="140">
          <cell r="B140" t="str">
            <v>Đĩa CD</v>
          </cell>
          <cell r="C140" t="str">
            <v>cái</v>
          </cell>
          <cell r="E140">
            <v>11000</v>
          </cell>
        </row>
        <row r="141">
          <cell r="B141" t="str">
            <v>Đĩa mềm (đĩa A)</v>
          </cell>
          <cell r="C141" t="str">
            <v>cái</v>
          </cell>
          <cell r="E141">
            <v>8000</v>
          </cell>
        </row>
        <row r="142">
          <cell r="B142" t="str">
            <v xml:space="preserve">Đá khô </v>
          </cell>
          <cell r="C142" t="str">
            <v>túi</v>
          </cell>
          <cell r="E142">
            <v>50000</v>
          </cell>
        </row>
        <row r="143">
          <cell r="B143" t="str">
            <v>EDTA</v>
          </cell>
          <cell r="C143" t="str">
            <v>Gam</v>
          </cell>
          <cell r="E143">
            <v>2500</v>
          </cell>
        </row>
        <row r="144">
          <cell r="B144" t="str">
            <v>Eriocrom đen T</v>
          </cell>
          <cell r="C144" t="str">
            <v>Gam</v>
          </cell>
          <cell r="E144">
            <v>7500</v>
          </cell>
        </row>
        <row r="145">
          <cell r="B145" t="str">
            <v>Eriochrom đen</v>
          </cell>
          <cell r="C145" t="str">
            <v>Gam</v>
          </cell>
          <cell r="E145">
            <v>7500</v>
          </cell>
        </row>
        <row r="146">
          <cell r="B146" t="str">
            <v>Etanol</v>
          </cell>
          <cell r="C146" t="str">
            <v>ml</v>
          </cell>
          <cell r="E146">
            <v>200</v>
          </cell>
        </row>
        <row r="147">
          <cell r="B147" t="str">
            <v>FeCl3</v>
          </cell>
          <cell r="C147" t="str">
            <v>Gram</v>
          </cell>
          <cell r="E147">
            <v>3200</v>
          </cell>
        </row>
        <row r="148">
          <cell r="B148" t="str">
            <v>FeCl3, 6H2O</v>
          </cell>
          <cell r="C148" t="str">
            <v>gam</v>
          </cell>
          <cell r="E148">
            <v>1360</v>
          </cell>
        </row>
        <row r="149">
          <cell r="B149" t="str">
            <v>FeSO4(NH4)2SO4.H2O</v>
          </cell>
          <cell r="C149" t="str">
            <v>gam</v>
          </cell>
          <cell r="E149">
            <v>2920</v>
          </cell>
        </row>
        <row r="150">
          <cell r="B150" t="str">
            <v>FeSO4.7H2O</v>
          </cell>
          <cell r="C150" t="str">
            <v>gam</v>
          </cell>
          <cell r="E150">
            <v>1450</v>
          </cell>
        </row>
        <row r="151">
          <cell r="B151" t="str">
            <v>Florisil</v>
          </cell>
          <cell r="C151" t="str">
            <v>gram</v>
          </cell>
          <cell r="E151">
            <v>2000</v>
          </cell>
        </row>
        <row r="152">
          <cell r="B152" t="str">
            <v>Formaldehyt</v>
          </cell>
          <cell r="C152" t="str">
            <v>ml</v>
          </cell>
          <cell r="E152">
            <v>1600</v>
          </cell>
        </row>
        <row r="153">
          <cell r="B153" t="str">
            <v>Găng tay chịu nhiệt</v>
          </cell>
          <cell r="C153" t="str">
            <v>đôi</v>
          </cell>
          <cell r="E153">
            <v>400000</v>
          </cell>
        </row>
        <row r="154">
          <cell r="B154" t="str">
            <v>Glyxin</v>
          </cell>
          <cell r="C154" t="str">
            <v>gam</v>
          </cell>
          <cell r="E154">
            <v>1360</v>
          </cell>
        </row>
        <row r="155">
          <cell r="B155" t="str">
            <v>Gluco</v>
          </cell>
          <cell r="C155" t="str">
            <v>gam</v>
          </cell>
          <cell r="E155">
            <v>600</v>
          </cell>
        </row>
        <row r="156">
          <cell r="B156" t="str">
            <v>Glutamic</v>
          </cell>
          <cell r="C156" t="str">
            <v>gam</v>
          </cell>
          <cell r="E156">
            <v>1360</v>
          </cell>
        </row>
        <row r="157">
          <cell r="B157" t="str">
            <v>Glycerin</v>
          </cell>
          <cell r="C157" t="str">
            <v>ml</v>
          </cell>
          <cell r="E157">
            <v>1000</v>
          </cell>
        </row>
        <row r="158">
          <cell r="B158" t="str">
            <v>Giấy A4</v>
          </cell>
          <cell r="C158" t="str">
            <v>gam</v>
          </cell>
          <cell r="E158">
            <v>30000</v>
          </cell>
        </row>
        <row r="159">
          <cell r="B159" t="str">
            <v>Giấy lau</v>
          </cell>
          <cell r="C159" t="str">
            <v>hộp</v>
          </cell>
          <cell r="E159">
            <v>40000</v>
          </cell>
        </row>
        <row r="160">
          <cell r="B160" t="str">
            <v>Giấy lọc bụi</v>
          </cell>
          <cell r="C160" t="str">
            <v>tờ</v>
          </cell>
          <cell r="E160">
            <v>60000</v>
          </cell>
        </row>
        <row r="161">
          <cell r="B161" t="str">
            <v>Giấy lọc 0,45 µm</v>
          </cell>
          <cell r="C161" t="str">
            <v>hộp</v>
          </cell>
          <cell r="E161">
            <v>750000</v>
          </cell>
        </row>
        <row r="162">
          <cell r="B162" t="str">
            <v xml:space="preserve">Giấy lọc </v>
          </cell>
          <cell r="C162" t="str">
            <v>hộp</v>
          </cell>
          <cell r="E162">
            <v>360000</v>
          </cell>
        </row>
        <row r="163">
          <cell r="B163" t="str">
            <v>Giấy lọc băng xanh</v>
          </cell>
          <cell r="C163" t="str">
            <v>hộp</v>
          </cell>
          <cell r="E163">
            <v>155000</v>
          </cell>
        </row>
        <row r="164">
          <cell r="B164" t="str">
            <v>Giấy lọc sợi thủy tinh</v>
          </cell>
          <cell r="C164" t="str">
            <v>hộp</v>
          </cell>
          <cell r="E164">
            <v>7000000</v>
          </cell>
        </row>
        <row r="165">
          <cell r="B165" t="str">
            <v>Giấy pH</v>
          </cell>
          <cell r="C165" t="str">
            <v>Hộp</v>
          </cell>
          <cell r="E165">
            <v>120000</v>
          </cell>
        </row>
        <row r="166">
          <cell r="B166" t="str">
            <v>Giấy thử pH</v>
          </cell>
          <cell r="C166" t="str">
            <v>Hộp</v>
          </cell>
          <cell r="E166">
            <v>120000</v>
          </cell>
        </row>
        <row r="167">
          <cell r="B167" t="str">
            <v>Gim bấm</v>
          </cell>
          <cell r="C167" t="str">
            <v>hộp</v>
          </cell>
          <cell r="E167">
            <v>2000</v>
          </cell>
        </row>
        <row r="168">
          <cell r="B168" t="str">
            <v>Gim kẹp giấy</v>
          </cell>
          <cell r="C168" t="str">
            <v>hộp</v>
          </cell>
          <cell r="E168">
            <v>2000</v>
          </cell>
        </row>
        <row r="169">
          <cell r="B169" t="str">
            <v>Hợp kim devarda</v>
          </cell>
          <cell r="C169" t="str">
            <v>gam</v>
          </cell>
          <cell r="E169">
            <v>55000</v>
          </cell>
        </row>
        <row r="170">
          <cell r="B170" t="str">
            <v>Hg(SCN)2</v>
          </cell>
          <cell r="C170" t="str">
            <v>gam</v>
          </cell>
          <cell r="E170">
            <v>125000</v>
          </cell>
        </row>
        <row r="171">
          <cell r="B171" t="str">
            <v>H2O2</v>
          </cell>
          <cell r="C171" t="str">
            <v>ml</v>
          </cell>
          <cell r="E171">
            <v>1100</v>
          </cell>
        </row>
        <row r="172">
          <cell r="B172" t="str">
            <v>H2O2 30%</v>
          </cell>
          <cell r="C172" t="str">
            <v>ml</v>
          </cell>
          <cell r="E172">
            <v>1100</v>
          </cell>
        </row>
        <row r="173">
          <cell r="B173" t="str">
            <v>H2O3 (chỉ có H2O2)</v>
          </cell>
          <cell r="C173" t="str">
            <v>ml</v>
          </cell>
          <cell r="E173">
            <v>1100</v>
          </cell>
        </row>
        <row r="174">
          <cell r="B174" t="str">
            <v>H2SO4</v>
          </cell>
          <cell r="C174" t="str">
            <v xml:space="preserve">ml </v>
          </cell>
          <cell r="E174">
            <v>500</v>
          </cell>
        </row>
        <row r="175">
          <cell r="B175" t="str">
            <v>H2SO4 5N</v>
          </cell>
          <cell r="C175" t="str">
            <v>ml</v>
          </cell>
          <cell r="E175">
            <v>900</v>
          </cell>
        </row>
        <row r="176">
          <cell r="B176" t="str">
            <v>H2SO4 đậm đặc</v>
          </cell>
          <cell r="C176" t="str">
            <v>ml</v>
          </cell>
          <cell r="E176">
            <v>1310</v>
          </cell>
        </row>
        <row r="177">
          <cell r="B177" t="str">
            <v>H2SO4 tiêu chuẩn</v>
          </cell>
          <cell r="C177" t="str">
            <v>ml</v>
          </cell>
          <cell r="E177">
            <v>550</v>
          </cell>
        </row>
        <row r="178">
          <cell r="B178" t="str">
            <v>H3BO3</v>
          </cell>
          <cell r="C178" t="str">
            <v>Gam</v>
          </cell>
          <cell r="E178">
            <v>800</v>
          </cell>
        </row>
        <row r="179">
          <cell r="B179" t="str">
            <v>H3O2</v>
          </cell>
          <cell r="C179" t="str">
            <v>ml</v>
          </cell>
          <cell r="E179">
            <v>1100</v>
          </cell>
        </row>
        <row r="180">
          <cell r="B180" t="str">
            <v>H3PO4</v>
          </cell>
          <cell r="C180" t="str">
            <v>ml</v>
          </cell>
          <cell r="E180">
            <v>440</v>
          </cell>
        </row>
        <row r="181">
          <cell r="B181" t="str">
            <v>HCl đậm đặc</v>
          </cell>
          <cell r="C181" t="str">
            <v>ml</v>
          </cell>
          <cell r="E181">
            <v>550</v>
          </cell>
        </row>
        <row r="182">
          <cell r="B182" t="str">
            <v>HCl 1:1</v>
          </cell>
          <cell r="C182" t="str">
            <v>ml</v>
          </cell>
          <cell r="E182">
            <v>400</v>
          </cell>
        </row>
        <row r="183">
          <cell r="B183" t="str">
            <v>HCl 1N</v>
          </cell>
          <cell r="C183" t="str">
            <v>ml</v>
          </cell>
          <cell r="E183">
            <v>300</v>
          </cell>
        </row>
        <row r="184">
          <cell r="B184" t="str">
            <v>HCl tiêu chuẩn</v>
          </cell>
          <cell r="C184" t="str">
            <v>ml</v>
          </cell>
          <cell r="E184">
            <v>400</v>
          </cell>
        </row>
        <row r="185">
          <cell r="B185" t="str">
            <v>HCl-6N</v>
          </cell>
          <cell r="C185" t="str">
            <v>ml</v>
          </cell>
          <cell r="E185">
            <v>450</v>
          </cell>
        </row>
        <row r="186">
          <cell r="B186" t="str">
            <v>HClO4</v>
          </cell>
          <cell r="C186" t="str">
            <v>Gam</v>
          </cell>
          <cell r="E186">
            <v>1700</v>
          </cell>
        </row>
        <row r="187">
          <cell r="B187" t="str">
            <v>HF</v>
          </cell>
          <cell r="C187" t="str">
            <v>Gam (ml)</v>
          </cell>
          <cell r="E187">
            <v>850</v>
          </cell>
        </row>
        <row r="188">
          <cell r="B188" t="str">
            <v>NH4I</v>
          </cell>
          <cell r="C188" t="str">
            <v>gam</v>
          </cell>
          <cell r="E188">
            <v>1500</v>
          </cell>
        </row>
        <row r="189">
          <cell r="B189" t="str">
            <v>Hg</v>
          </cell>
          <cell r="C189" t="str">
            <v>gam</v>
          </cell>
          <cell r="E189">
            <v>112000</v>
          </cell>
        </row>
        <row r="190">
          <cell r="B190" t="str">
            <v>HgCl2</v>
          </cell>
          <cell r="C190" t="str">
            <v>gam</v>
          </cell>
          <cell r="E190">
            <v>29000</v>
          </cell>
        </row>
        <row r="191">
          <cell r="B191" t="str">
            <v>HgCl</v>
          </cell>
          <cell r="C191" t="str">
            <v>gam</v>
          </cell>
          <cell r="E191">
            <v>29000</v>
          </cell>
        </row>
        <row r="192">
          <cell r="B192" t="str">
            <v>HgI2</v>
          </cell>
          <cell r="C192" t="str">
            <v>Gam</v>
          </cell>
          <cell r="E192">
            <v>89000</v>
          </cell>
        </row>
        <row r="193">
          <cell r="B193" t="str">
            <v>HgSO4</v>
          </cell>
          <cell r="C193" t="str">
            <v>gam</v>
          </cell>
          <cell r="E193">
            <v>45000</v>
          </cell>
        </row>
        <row r="194">
          <cell r="B194" t="str">
            <v>HNO3</v>
          </cell>
          <cell r="C194" t="str">
            <v>ml</v>
          </cell>
          <cell r="E194">
            <v>660</v>
          </cell>
        </row>
        <row r="195">
          <cell r="B195" t="str">
            <v xml:space="preserve">Hóa chất bảo quản mẫu </v>
          </cell>
          <cell r="C195" t="str">
            <v>ml</v>
          </cell>
          <cell r="E195">
            <v>8000</v>
          </cell>
        </row>
        <row r="196">
          <cell r="B196" t="str">
            <v>Hóa chất: Na2CO3, NH4Cl, K4FeCN6</v>
          </cell>
          <cell r="C196" t="str">
            <v>gram</v>
          </cell>
          <cell r="E196">
            <v>19500</v>
          </cell>
        </row>
        <row r="197">
          <cell r="B197" t="str">
            <v>Hydroxylamin</v>
          </cell>
          <cell r="C197" t="str">
            <v>Gam</v>
          </cell>
          <cell r="E197">
            <v>1960</v>
          </cell>
        </row>
        <row r="198">
          <cell r="B198" t="str">
            <v>I2</v>
          </cell>
          <cell r="C198" t="str">
            <v>gam</v>
          </cell>
          <cell r="E198">
            <v>46000</v>
          </cell>
        </row>
        <row r="199">
          <cell r="B199" t="str">
            <v>Iốt</v>
          </cell>
          <cell r="C199" t="str">
            <v>gam</v>
          </cell>
          <cell r="E199">
            <v>46000</v>
          </cell>
        </row>
        <row r="200">
          <cell r="B200" t="str">
            <v>Isooctan</v>
          </cell>
          <cell r="C200" t="str">
            <v>ml</v>
          </cell>
          <cell r="E200">
            <v>1500</v>
          </cell>
        </row>
        <row r="201">
          <cell r="B201" t="str">
            <v>K(SbO)C4H4O6.1/2H2O</v>
          </cell>
          <cell r="C201" t="str">
            <v>Gam</v>
          </cell>
          <cell r="E201">
            <v>7600</v>
          </cell>
        </row>
        <row r="202">
          <cell r="B202" t="str">
            <v>K2C4H4O6</v>
          </cell>
          <cell r="C202" t="str">
            <v>ml</v>
          </cell>
          <cell r="E202">
            <v>950</v>
          </cell>
        </row>
        <row r="203">
          <cell r="B203" t="str">
            <v>K2Cr2O7</v>
          </cell>
          <cell r="C203" t="str">
            <v>gam</v>
          </cell>
          <cell r="E203">
            <v>1800</v>
          </cell>
        </row>
        <row r="204">
          <cell r="B204" t="str">
            <v>K2CrO4</v>
          </cell>
          <cell r="C204" t="str">
            <v>gam</v>
          </cell>
          <cell r="E204">
            <v>1600</v>
          </cell>
        </row>
        <row r="205">
          <cell r="B205" t="str">
            <v>K2HPO4</v>
          </cell>
          <cell r="C205" t="str">
            <v>gam</v>
          </cell>
          <cell r="E205">
            <v>1600</v>
          </cell>
        </row>
        <row r="206">
          <cell r="B206" t="str">
            <v>K2S2O8</v>
          </cell>
          <cell r="C206" t="str">
            <v>gam</v>
          </cell>
          <cell r="E206">
            <v>2400</v>
          </cell>
        </row>
        <row r="207">
          <cell r="B207" t="str">
            <v>K2SO4</v>
          </cell>
          <cell r="C207" t="str">
            <v>gam</v>
          </cell>
          <cell r="E207">
            <v>600</v>
          </cell>
        </row>
        <row r="208">
          <cell r="B208" t="str">
            <v>K3Fe(CN)6</v>
          </cell>
          <cell r="C208" t="str">
            <v>Gram</v>
          </cell>
          <cell r="E208">
            <v>8400</v>
          </cell>
        </row>
        <row r="209">
          <cell r="B209" t="str">
            <v>K4Fe(CN)6</v>
          </cell>
          <cell r="C209" t="str">
            <v>gam</v>
          </cell>
          <cell r="E209">
            <v>1200</v>
          </cell>
        </row>
        <row r="210">
          <cell r="B210" t="str">
            <v>K4Fe(CN)6-3H2O</v>
          </cell>
          <cell r="C210" t="str">
            <v>Gram</v>
          </cell>
          <cell r="E210">
            <v>1200</v>
          </cell>
        </row>
        <row r="211">
          <cell r="B211" t="str">
            <v>K4P2O7</v>
          </cell>
          <cell r="C211" t="str">
            <v>gam</v>
          </cell>
          <cell r="E211">
            <v>1900</v>
          </cell>
        </row>
        <row r="212">
          <cell r="B212" t="str">
            <v>Kali antimontatrat</v>
          </cell>
          <cell r="C212" t="str">
            <v>gam</v>
          </cell>
          <cell r="E212">
            <v>2500</v>
          </cell>
        </row>
        <row r="213">
          <cell r="B213" t="str">
            <v>Kaliphatalat</v>
          </cell>
          <cell r="C213" t="str">
            <v>Gam</v>
          </cell>
          <cell r="E213">
            <v>2500</v>
          </cell>
        </row>
        <row r="214">
          <cell r="B214" t="str">
            <v>KCl</v>
          </cell>
          <cell r="C214" t="str">
            <v>Gam</v>
          </cell>
          <cell r="E214">
            <v>350</v>
          </cell>
        </row>
        <row r="215">
          <cell r="B215" t="str">
            <v>KCN</v>
          </cell>
          <cell r="C215" t="str">
            <v>Gam</v>
          </cell>
          <cell r="E215">
            <v>16000</v>
          </cell>
        </row>
        <row r="216">
          <cell r="B216" t="str">
            <v>KI</v>
          </cell>
          <cell r="C216" t="str">
            <v>gam</v>
          </cell>
          <cell r="E216">
            <v>6000</v>
          </cell>
        </row>
        <row r="217">
          <cell r="B217" t="str">
            <v>KIO3</v>
          </cell>
          <cell r="C217" t="str">
            <v>gam</v>
          </cell>
          <cell r="E217">
            <v>19000</v>
          </cell>
        </row>
        <row r="218">
          <cell r="B218" t="str">
            <v>KMnO4</v>
          </cell>
          <cell r="C218" t="str">
            <v>gam</v>
          </cell>
          <cell r="E218">
            <v>2250</v>
          </cell>
        </row>
        <row r="219">
          <cell r="B219" t="str">
            <v>KNO2</v>
          </cell>
          <cell r="C219" t="str">
            <v>gam</v>
          </cell>
          <cell r="E219">
            <v>8700</v>
          </cell>
        </row>
        <row r="220">
          <cell r="B220" t="str">
            <v>KNO2</v>
          </cell>
          <cell r="C220" t="str">
            <v xml:space="preserve">ml </v>
          </cell>
          <cell r="E220">
            <v>2400</v>
          </cell>
        </row>
        <row r="221">
          <cell r="B221" t="str">
            <v>KNO3</v>
          </cell>
          <cell r="C221" t="str">
            <v>gam</v>
          </cell>
          <cell r="E221">
            <v>1380</v>
          </cell>
        </row>
        <row r="222">
          <cell r="B222" t="str">
            <v>Toluen</v>
          </cell>
          <cell r="C222" t="str">
            <v>ml</v>
          </cell>
          <cell r="E222">
            <v>1000</v>
          </cell>
        </row>
        <row r="223">
          <cell r="B223" t="str">
            <v>Khăn lau 30 x 30</v>
          </cell>
          <cell r="C223" t="str">
            <v>cái</v>
          </cell>
          <cell r="E223">
            <v>2000</v>
          </cell>
        </row>
        <row r="224">
          <cell r="B224" t="str">
            <v>KOH</v>
          </cell>
          <cell r="C224" t="str">
            <v>gam</v>
          </cell>
          <cell r="E224">
            <v>1400</v>
          </cell>
        </row>
        <row r="225">
          <cell r="B225" t="str">
            <v>KOH - 1M</v>
          </cell>
          <cell r="C225" t="str">
            <v>ml</v>
          </cell>
          <cell r="E225">
            <v>225</v>
          </cell>
        </row>
        <row r="226">
          <cell r="B226" t="str">
            <v>KOH - 8M</v>
          </cell>
          <cell r="C226" t="str">
            <v>ml</v>
          </cell>
          <cell r="E226">
            <v>475</v>
          </cell>
        </row>
        <row r="227">
          <cell r="B227" t="str">
            <v>KH2PO4</v>
          </cell>
          <cell r="C227" t="str">
            <v>Gam</v>
          </cell>
          <cell r="E227">
            <v>1500</v>
          </cell>
        </row>
        <row r="228">
          <cell r="B228" t="str">
            <v>KH2­PO4</v>
          </cell>
          <cell r="C228" t="str">
            <v>Gam</v>
          </cell>
          <cell r="E228">
            <v>1500</v>
          </cell>
        </row>
        <row r="229">
          <cell r="B229" t="str">
            <v>Khăn lau</v>
          </cell>
          <cell r="C229" t="str">
            <v>Cái</v>
          </cell>
          <cell r="E229">
            <v>20000</v>
          </cell>
        </row>
        <row r="230">
          <cell r="B230" t="str">
            <v>Khẩu trang y tế</v>
          </cell>
          <cell r="C230" t="str">
            <v>Hộp</v>
          </cell>
          <cell r="E230">
            <v>400000</v>
          </cell>
        </row>
        <row r="231">
          <cell r="B231" t="str">
            <v>Khí Acetylen</v>
          </cell>
          <cell r="C231" t="str">
            <v>bình</v>
          </cell>
          <cell r="E231">
            <v>3000000</v>
          </cell>
        </row>
        <row r="232">
          <cell r="B232" t="str">
            <v>Khí argon</v>
          </cell>
          <cell r="C232" t="str">
            <v>bình</v>
          </cell>
          <cell r="E232">
            <v>650000</v>
          </cell>
        </row>
        <row r="233">
          <cell r="B233" t="str">
            <v>Khí axetylen</v>
          </cell>
          <cell r="C233" t="str">
            <v>bình</v>
          </cell>
          <cell r="E233">
            <v>1000000</v>
          </cell>
        </row>
        <row r="234">
          <cell r="B234" t="str">
            <v>Khí chuẩn Metan</v>
          </cell>
          <cell r="C234" t="str">
            <v>bình</v>
          </cell>
          <cell r="E234">
            <v>35000000</v>
          </cell>
        </row>
        <row r="235">
          <cell r="B235" t="str">
            <v>Khí chuẩn BTEX</v>
          </cell>
          <cell r="C235" t="str">
            <v>bình</v>
          </cell>
          <cell r="E235">
            <v>85000000</v>
          </cell>
        </row>
        <row r="236">
          <cell r="B236" t="str">
            <v>Khí Heli</v>
          </cell>
          <cell r="C236" t="str">
            <v>bình</v>
          </cell>
          <cell r="E236">
            <v>4700000</v>
          </cell>
        </row>
        <row r="237">
          <cell r="B237" t="str">
            <v>Khí Hydro</v>
          </cell>
          <cell r="C237" t="str">
            <v>bình</v>
          </cell>
          <cell r="E237">
            <v>1700000</v>
          </cell>
        </row>
        <row r="238">
          <cell r="B238" t="str">
            <v>Khí Nitơ</v>
          </cell>
          <cell r="C238" t="str">
            <v>bình</v>
          </cell>
          <cell r="E238">
            <v>1200000</v>
          </cell>
        </row>
        <row r="239">
          <cell r="B239" t="str">
            <v xml:space="preserve">Kali hydrrophtalat (C8H5KO4 ) </v>
          </cell>
          <cell r="C239" t="str">
            <v>gam</v>
          </cell>
          <cell r="E239">
            <v>2500</v>
          </cell>
        </row>
        <row r="240">
          <cell r="B240" t="str">
            <v>Li2SO4.H2O</v>
          </cell>
          <cell r="C240" t="str">
            <v>gam</v>
          </cell>
          <cell r="E240">
            <v>1600</v>
          </cell>
        </row>
        <row r="241">
          <cell r="B241" t="str">
            <v>LiNO3</v>
          </cell>
          <cell r="C241" t="str">
            <v>Gam</v>
          </cell>
          <cell r="E241">
            <v>25000</v>
          </cell>
        </row>
        <row r="242">
          <cell r="B242" t="str">
            <v>Metyl Iso butylketon (MIBK)</v>
          </cell>
          <cell r="C242" t="str">
            <v>Gam</v>
          </cell>
          <cell r="E242">
            <v>98000</v>
          </cell>
        </row>
        <row r="243">
          <cell r="B243" t="str">
            <v>Màng lọc</v>
          </cell>
          <cell r="C243" t="str">
            <v>Cái</v>
          </cell>
          <cell r="E243">
            <v>8000</v>
          </cell>
        </row>
        <row r="244">
          <cell r="B244" t="str">
            <v>Màng lọc cho FIAS</v>
          </cell>
          <cell r="C244" t="str">
            <v>cái</v>
          </cell>
          <cell r="E244">
            <v>250000</v>
          </cell>
        </row>
        <row r="245">
          <cell r="B245" t="str">
            <v>Matit chịu nhiệt</v>
          </cell>
          <cell r="C245" t="str">
            <v>gram</v>
          </cell>
          <cell r="E245">
            <v>220</v>
          </cell>
        </row>
        <row r="246">
          <cell r="B246" t="str">
            <v xml:space="preserve">Mặt nạ phòng độc </v>
          </cell>
          <cell r="C246" t="str">
            <v>bộ</v>
          </cell>
          <cell r="E246">
            <v>320000</v>
          </cell>
        </row>
        <row r="247">
          <cell r="B247" t="str">
            <v>Methyl đỏ</v>
          </cell>
          <cell r="C247" t="str">
            <v>gam</v>
          </cell>
          <cell r="E247">
            <v>2400</v>
          </cell>
        </row>
        <row r="248">
          <cell r="B248" t="str">
            <v>Methyl da cam</v>
          </cell>
          <cell r="C248" t="str">
            <v>gam</v>
          </cell>
          <cell r="E248">
            <v>120000</v>
          </cell>
        </row>
        <row r="249">
          <cell r="B249" t="str">
            <v>Methylen xanh</v>
          </cell>
          <cell r="C249" t="str">
            <v>gam</v>
          </cell>
          <cell r="E249">
            <v>105000</v>
          </cell>
        </row>
        <row r="250">
          <cell r="B250" t="str">
            <v>Methanol</v>
          </cell>
          <cell r="C250" t="str">
            <v>gam</v>
          </cell>
          <cell r="E250">
            <v>600</v>
          </cell>
        </row>
        <row r="251">
          <cell r="B251" t="str">
            <v>Mg(NO3)2.6H2O</v>
          </cell>
          <cell r="C251" t="str">
            <v>Gam</v>
          </cell>
          <cell r="E251">
            <v>2400</v>
          </cell>
        </row>
        <row r="252">
          <cell r="B252" t="str">
            <v>MgCl2</v>
          </cell>
          <cell r="C252" t="str">
            <v>Gam</v>
          </cell>
          <cell r="E252">
            <v>750</v>
          </cell>
        </row>
        <row r="253">
          <cell r="B253" t="str">
            <v>MgSO4.7H2O</v>
          </cell>
          <cell r="C253" t="str">
            <v>gam</v>
          </cell>
          <cell r="E253">
            <v>1400</v>
          </cell>
        </row>
        <row r="254">
          <cell r="B254" t="str">
            <v>Murexit</v>
          </cell>
          <cell r="C254" t="str">
            <v>Gam</v>
          </cell>
          <cell r="E254">
            <v>32000</v>
          </cell>
        </row>
        <row r="255">
          <cell r="B255" t="str">
            <v>Mực máy in</v>
          </cell>
          <cell r="C255" t="str">
            <v>hộp</v>
          </cell>
          <cell r="E255">
            <v>400000</v>
          </cell>
        </row>
        <row r="256">
          <cell r="B256" t="str">
            <v>Mực máy in laser</v>
          </cell>
          <cell r="C256" t="str">
            <v>hộp</v>
          </cell>
          <cell r="E256">
            <v>512000</v>
          </cell>
        </row>
        <row r="257">
          <cell r="B257" t="str">
            <v>N-(1-naphyl)-ethyllediamine</v>
          </cell>
          <cell r="C257" t="str">
            <v>gam</v>
          </cell>
          <cell r="E257">
            <v>125000</v>
          </cell>
        </row>
        <row r="258">
          <cell r="B258" t="str">
            <v>NaAsO2</v>
          </cell>
          <cell r="C258" t="str">
            <v>gam</v>
          </cell>
          <cell r="E258">
            <v>56000</v>
          </cell>
        </row>
        <row r="259">
          <cell r="B259" t="str">
            <v>Na(PO3)6</v>
          </cell>
          <cell r="C259" t="str">
            <v>gam</v>
          </cell>
          <cell r="E259">
            <v>4700</v>
          </cell>
        </row>
        <row r="260">
          <cell r="B260" t="str">
            <v>Na2[Fe(CN)5.NO].2H2O</v>
          </cell>
          <cell r="C260" t="str">
            <v>gam</v>
          </cell>
          <cell r="E260">
            <v>92000</v>
          </cell>
        </row>
        <row r="261">
          <cell r="B261" t="str">
            <v>Na2CO3</v>
          </cell>
          <cell r="C261" t="str">
            <v>Gam</v>
          </cell>
          <cell r="E261">
            <v>560</v>
          </cell>
        </row>
        <row r="262">
          <cell r="B262" t="str">
            <v>Na2HPO4</v>
          </cell>
          <cell r="C262" t="str">
            <v>gam</v>
          </cell>
          <cell r="E262">
            <v>1400</v>
          </cell>
        </row>
        <row r="263">
          <cell r="B263" t="str">
            <v>Na2MoO4</v>
          </cell>
          <cell r="C263" t="str">
            <v>gam</v>
          </cell>
          <cell r="E263">
            <v>12800</v>
          </cell>
        </row>
        <row r="264">
          <cell r="B264" t="str">
            <v>Na2S2O3</v>
          </cell>
          <cell r="C264" t="str">
            <v>gram</v>
          </cell>
          <cell r="E264">
            <v>600</v>
          </cell>
        </row>
        <row r="265">
          <cell r="B265" t="str">
            <v>Na2S2O3 0,1N</v>
          </cell>
          <cell r="C265" t="str">
            <v>gram</v>
          </cell>
          <cell r="E265">
            <v>800</v>
          </cell>
        </row>
        <row r="266">
          <cell r="B266" t="str">
            <v>Na2S2O5 0,1N</v>
          </cell>
          <cell r="C266" t="str">
            <v>gram</v>
          </cell>
          <cell r="E266">
            <v>1000</v>
          </cell>
        </row>
        <row r="267">
          <cell r="B267" t="str">
            <v>Na2SO3</v>
          </cell>
          <cell r="C267" t="str">
            <v>gam</v>
          </cell>
          <cell r="E267">
            <v>1200</v>
          </cell>
        </row>
        <row r="268">
          <cell r="B268" t="str">
            <v>Na2SO4</v>
          </cell>
          <cell r="C268" t="str">
            <v>Gam</v>
          </cell>
          <cell r="E268">
            <v>540</v>
          </cell>
        </row>
        <row r="269">
          <cell r="B269" t="str">
            <v>Na2SO4.2H2O</v>
          </cell>
          <cell r="C269" t="str">
            <v>gam</v>
          </cell>
          <cell r="E269">
            <v>1000</v>
          </cell>
        </row>
        <row r="270">
          <cell r="B270" t="str">
            <v>Na3C6H5O7.2H2O</v>
          </cell>
          <cell r="C270" t="str">
            <v>gam</v>
          </cell>
          <cell r="E270">
            <v>1830</v>
          </cell>
        </row>
        <row r="271">
          <cell r="B271" t="str">
            <v>Na2B4O7.10H2O</v>
          </cell>
          <cell r="C271" t="str">
            <v>gam</v>
          </cell>
          <cell r="E271">
            <v>8900</v>
          </cell>
        </row>
        <row r="272">
          <cell r="B272" t="str">
            <v>NaBH4</v>
          </cell>
          <cell r="C272" t="str">
            <v>gam</v>
          </cell>
          <cell r="E272">
            <v>52400</v>
          </cell>
        </row>
        <row r="273">
          <cell r="B273" t="str">
            <v>NaBr</v>
          </cell>
          <cell r="C273" t="str">
            <v>gram</v>
          </cell>
          <cell r="E273">
            <v>2200</v>
          </cell>
        </row>
        <row r="274">
          <cell r="B274" t="str">
            <v>NaC7H5NaO3</v>
          </cell>
          <cell r="C274" t="str">
            <v>gam</v>
          </cell>
          <cell r="E274">
            <v>4440</v>
          </cell>
        </row>
        <row r="275">
          <cell r="B275" t="str">
            <v>NaCl</v>
          </cell>
          <cell r="C275" t="str">
            <v>Gam</v>
          </cell>
          <cell r="E275">
            <v>700</v>
          </cell>
        </row>
        <row r="276">
          <cell r="B276" t="str">
            <v>NaClO</v>
          </cell>
          <cell r="C276" t="str">
            <v>ml</v>
          </cell>
          <cell r="E276">
            <v>2850</v>
          </cell>
        </row>
        <row r="277">
          <cell r="B277" t="str">
            <v>NaCN</v>
          </cell>
          <cell r="C277" t="str">
            <v>gam</v>
          </cell>
          <cell r="E277">
            <v>1770</v>
          </cell>
        </row>
        <row r="278">
          <cell r="B278" t="str">
            <v>NaCH3COO</v>
          </cell>
          <cell r="C278" t="str">
            <v>Gam</v>
          </cell>
          <cell r="E278">
            <v>940</v>
          </cell>
        </row>
        <row r="279">
          <cell r="B279" t="str">
            <v>NaF</v>
          </cell>
          <cell r="C279" t="str">
            <v>Gam</v>
          </cell>
          <cell r="E279">
            <v>2400</v>
          </cell>
        </row>
        <row r="280">
          <cell r="B280" t="str">
            <v>NaHCO3</v>
          </cell>
          <cell r="C280" t="str">
            <v>ml</v>
          </cell>
          <cell r="E280">
            <v>835</v>
          </cell>
        </row>
        <row r="281">
          <cell r="B281" t="str">
            <v>NaKC4H4O6</v>
          </cell>
          <cell r="C281" t="str">
            <v>Gam</v>
          </cell>
          <cell r="E281">
            <v>2800</v>
          </cell>
        </row>
        <row r="282">
          <cell r="B282" t="str">
            <v>NaNO2</v>
          </cell>
          <cell r="C282" t="str">
            <v>gam</v>
          </cell>
          <cell r="E282">
            <v>940</v>
          </cell>
        </row>
        <row r="283">
          <cell r="B283" t="str">
            <v>NaNO3</v>
          </cell>
          <cell r="C283" t="str">
            <v>Gam</v>
          </cell>
          <cell r="E283">
            <v>1400</v>
          </cell>
        </row>
        <row r="284">
          <cell r="B284" t="str">
            <v>NaOH</v>
          </cell>
          <cell r="C284" t="str">
            <v>Gam</v>
          </cell>
          <cell r="E284">
            <v>980</v>
          </cell>
        </row>
        <row r="285">
          <cell r="B285" t="str">
            <v>NaOH 1N</v>
          </cell>
          <cell r="C285" t="str">
            <v>ml</v>
          </cell>
          <cell r="E285">
            <v>300</v>
          </cell>
        </row>
        <row r="286">
          <cell r="B286" t="str">
            <v xml:space="preserve">Natri tetracloromercurat </v>
          </cell>
          <cell r="C286" t="str">
            <v>gam</v>
          </cell>
          <cell r="E286">
            <v>15000</v>
          </cell>
        </row>
        <row r="287">
          <cell r="B287" t="str">
            <v>Naphtylaminclohydrat</v>
          </cell>
          <cell r="C287" t="str">
            <v>gam</v>
          </cell>
          <cell r="E287">
            <v>37000</v>
          </cell>
        </row>
        <row r="288">
          <cell r="B288" t="str">
            <v>Natri Sunfit khan (Na2SO3)</v>
          </cell>
          <cell r="C288" t="str">
            <v>gam</v>
          </cell>
          <cell r="E288">
            <v>75000</v>
          </cell>
        </row>
        <row r="289">
          <cell r="B289" t="str">
            <v>Natrimethyl đỏ</v>
          </cell>
          <cell r="C289" t="str">
            <v>gam</v>
          </cell>
          <cell r="E289">
            <v>260000</v>
          </cell>
        </row>
        <row r="290">
          <cell r="B290" t="str">
            <v>n-Butanol</v>
          </cell>
          <cell r="C290" t="str">
            <v>ml</v>
          </cell>
          <cell r="E290">
            <v>780</v>
          </cell>
        </row>
        <row r="291">
          <cell r="B291" t="str">
            <v>n-Hexan</v>
          </cell>
          <cell r="C291" t="str">
            <v>ml</v>
          </cell>
          <cell r="E291">
            <v>1600</v>
          </cell>
        </row>
        <row r="292">
          <cell r="B292" t="str">
            <v>N,N-dimethyl-pphenylenediamineoxalate</v>
          </cell>
          <cell r="C292" t="str">
            <v>gam</v>
          </cell>
          <cell r="E292">
            <v>575000</v>
          </cell>
        </row>
        <row r="293">
          <cell r="B293" t="str">
            <v>Nitơ lỏng</v>
          </cell>
          <cell r="C293" t="str">
            <v>Lít</v>
          </cell>
          <cell r="E293">
            <v>100000</v>
          </cell>
        </row>
        <row r="294">
          <cell r="B294" t="str">
            <v>N-Naphtylamin</v>
          </cell>
          <cell r="C294" t="str">
            <v>gam</v>
          </cell>
          <cell r="E294">
            <v>705000</v>
          </cell>
        </row>
        <row r="295">
          <cell r="B295" t="str">
            <v>Nước cất</v>
          </cell>
          <cell r="C295" t="str">
            <v>Lít</v>
          </cell>
          <cell r="E295">
            <v>5000</v>
          </cell>
        </row>
        <row r="296">
          <cell r="B296" t="str">
            <v>Nước cất (ml)</v>
          </cell>
          <cell r="C296" t="str">
            <v>ml</v>
          </cell>
          <cell r="E296">
            <v>5</v>
          </cell>
        </row>
        <row r="297">
          <cell r="B297" t="str">
            <v>Nước cất không chứa NH4+</v>
          </cell>
          <cell r="C297" t="str">
            <v>ml</v>
          </cell>
          <cell r="E297">
            <v>100</v>
          </cell>
        </row>
        <row r="298">
          <cell r="B298" t="str">
            <v>Nước rửa dụng cụ</v>
          </cell>
          <cell r="C298" t="str">
            <v>lít</v>
          </cell>
          <cell r="E298">
            <v>280</v>
          </cell>
        </row>
        <row r="299">
          <cell r="B299" t="str">
            <v>Nước rửa đầu đo</v>
          </cell>
          <cell r="C299" t="str">
            <v>Lít</v>
          </cell>
          <cell r="E299">
            <v>390000</v>
          </cell>
        </row>
        <row r="300">
          <cell r="B300" t="str">
            <v>NH3</v>
          </cell>
          <cell r="C300" t="str">
            <v>ml</v>
          </cell>
          <cell r="E300">
            <v>44</v>
          </cell>
        </row>
        <row r="301">
          <cell r="B301" t="str">
            <v>NH4Cl</v>
          </cell>
          <cell r="C301" t="str">
            <v>gam</v>
          </cell>
          <cell r="E301">
            <v>800</v>
          </cell>
        </row>
        <row r="302">
          <cell r="B302" t="str">
            <v>NH4COOH</v>
          </cell>
          <cell r="C302" t="str">
            <v>Gam</v>
          </cell>
          <cell r="E302">
            <v>900</v>
          </cell>
        </row>
        <row r="303">
          <cell r="B303" t="str">
            <v>NH4NO3</v>
          </cell>
          <cell r="C303" t="str">
            <v>ml</v>
          </cell>
          <cell r="E303">
            <v>980</v>
          </cell>
        </row>
        <row r="304">
          <cell r="B304" t="str">
            <v>NH4OCl</v>
          </cell>
          <cell r="C304" t="str">
            <v>gam</v>
          </cell>
          <cell r="E304">
            <v>12000</v>
          </cell>
        </row>
        <row r="305">
          <cell r="B305" t="str">
            <v>NH4OH</v>
          </cell>
          <cell r="C305" t="str">
            <v>ml</v>
          </cell>
          <cell r="E305">
            <v>250</v>
          </cell>
        </row>
        <row r="306">
          <cell r="B306" t="str">
            <v>Oxalic</v>
          </cell>
          <cell r="C306" t="str">
            <v>gam</v>
          </cell>
          <cell r="E306">
            <v>1780</v>
          </cell>
        </row>
        <row r="307">
          <cell r="B307" t="str">
            <v>Ống chuẩn AgNO3 0,1N</v>
          </cell>
          <cell r="C307" t="str">
            <v>ống</v>
          </cell>
          <cell r="E307">
            <v>4000000</v>
          </cell>
        </row>
        <row r="308">
          <cell r="B308" t="str">
            <v>Ống chuẩn K2C2O7 0.1N</v>
          </cell>
          <cell r="C308" t="str">
            <v>ống</v>
          </cell>
          <cell r="E308">
            <v>2200000</v>
          </cell>
        </row>
        <row r="309">
          <cell r="B309" t="str">
            <v>Ống dẫn khí</v>
          </cell>
          <cell r="C309" t="str">
            <v>cái</v>
          </cell>
          <cell r="E309">
            <v>250000</v>
          </cell>
        </row>
        <row r="310">
          <cell r="B310" t="str">
            <v>Ống ổn nhiệt dòng khí</v>
          </cell>
          <cell r="C310" t="str">
            <v>cái</v>
          </cell>
          <cell r="E310">
            <v>425000</v>
          </cell>
        </row>
        <row r="311">
          <cell r="B311" t="str">
            <v>Pararosanilin</v>
          </cell>
          <cell r="C311" t="str">
            <v>gam</v>
          </cell>
          <cell r="E311">
            <v>22000</v>
          </cell>
        </row>
        <row r="312">
          <cell r="B312" t="str">
            <v>PdCl2</v>
          </cell>
          <cell r="C312" t="str">
            <v>gam</v>
          </cell>
          <cell r="E312">
            <v>5590000</v>
          </cell>
        </row>
        <row r="313">
          <cell r="B313" t="str">
            <v>Pin chuyên dụng</v>
          </cell>
          <cell r="C313" t="str">
            <v>cục</v>
          </cell>
          <cell r="E313">
            <v>25000</v>
          </cell>
        </row>
        <row r="314">
          <cell r="B314" t="str">
            <v>Pipet Pasteur</v>
          </cell>
          <cell r="C314" t="str">
            <v>cái</v>
          </cell>
          <cell r="E314">
            <v>500</v>
          </cell>
        </row>
        <row r="315">
          <cell r="B315" t="str">
            <v>Polyseed</v>
          </cell>
          <cell r="C315" t="str">
            <v>viên</v>
          </cell>
          <cell r="E315">
            <v>135000</v>
          </cell>
        </row>
        <row r="316">
          <cell r="B316" t="str">
            <v>Phenol chuẩn</v>
          </cell>
          <cell r="C316" t="str">
            <v>Gram</v>
          </cell>
          <cell r="E316">
            <v>2500</v>
          </cell>
        </row>
        <row r="317">
          <cell r="B317" t="str">
            <v>Phenolphtalein</v>
          </cell>
          <cell r="C317" t="str">
            <v>Gam</v>
          </cell>
          <cell r="E317">
            <v>5000</v>
          </cell>
        </row>
        <row r="318">
          <cell r="B318" t="str">
            <v>SPADNS (C16H9O11N2S3Na3)</v>
          </cell>
          <cell r="C318" t="str">
            <v>gam</v>
          </cell>
          <cell r="E318">
            <v>115000</v>
          </cell>
        </row>
        <row r="319">
          <cell r="B319" t="str">
            <v xml:space="preserve">Septa cho vial </v>
          </cell>
          <cell r="C319" t="str">
            <v>Cái</v>
          </cell>
          <cell r="E319">
            <v>7500</v>
          </cell>
        </row>
        <row r="320">
          <cell r="B320" t="str">
            <v xml:space="preserve">Silicagel </v>
          </cell>
          <cell r="C320" t="str">
            <v>gam</v>
          </cell>
          <cell r="E320">
            <v>1000</v>
          </cell>
        </row>
        <row r="321">
          <cell r="B321" t="str">
            <v>SnCl2.2H2O</v>
          </cell>
          <cell r="C321" t="str">
            <v>gam</v>
          </cell>
          <cell r="E321">
            <v>16000</v>
          </cell>
        </row>
        <row r="322">
          <cell r="B322" t="str">
            <v>Sodium tetraborate decahydrate</v>
          </cell>
          <cell r="C322" t="str">
            <v>Gam</v>
          </cell>
          <cell r="E322">
            <v>8900</v>
          </cell>
        </row>
        <row r="323">
          <cell r="B323" t="str">
            <v>Sổ công tác</v>
          </cell>
          <cell r="C323" t="str">
            <v>cuốn</v>
          </cell>
          <cell r="E323">
            <v>10000</v>
          </cell>
        </row>
        <row r="324">
          <cell r="B324" t="str">
            <v>Sổ nhật ký hiện trường</v>
          </cell>
          <cell r="C324" t="str">
            <v>cuốn</v>
          </cell>
          <cell r="E324">
            <v>10000</v>
          </cell>
        </row>
        <row r="325">
          <cell r="B325" t="str">
            <v>Sulfaniamide</v>
          </cell>
          <cell r="C325" t="str">
            <v>gam</v>
          </cell>
          <cell r="E325">
            <v>24500</v>
          </cell>
        </row>
        <row r="326">
          <cell r="B326" t="str">
            <v>Sulfo salisilic</v>
          </cell>
          <cell r="C326" t="str">
            <v>Gam</v>
          </cell>
          <cell r="E326">
            <v>22500</v>
          </cell>
        </row>
        <row r="327">
          <cell r="B327" t="str">
            <v>Túi CO</v>
          </cell>
          <cell r="C327" t="str">
            <v>cái</v>
          </cell>
          <cell r="E327">
            <v>100000</v>
          </cell>
        </row>
        <row r="328">
          <cell r="B328" t="str">
            <v>Túi nilon</v>
          </cell>
          <cell r="C328" t="str">
            <v>cái</v>
          </cell>
          <cell r="E328">
            <v>100</v>
          </cell>
        </row>
        <row r="329">
          <cell r="B329" t="str">
            <v>Túi PE</v>
          </cell>
          <cell r="C329" t="str">
            <v>Cái</v>
          </cell>
          <cell r="E329">
            <v>500</v>
          </cell>
        </row>
        <row r="330">
          <cell r="B330" t="str">
            <v>Bút ghi kính</v>
          </cell>
          <cell r="C330" t="str">
            <v>cái</v>
          </cell>
          <cell r="E330">
            <v>10000</v>
          </cell>
        </row>
        <row r="331">
          <cell r="B331" t="str">
            <v>Than hoạt tính</v>
          </cell>
          <cell r="C331" t="str">
            <v>gam</v>
          </cell>
          <cell r="E331">
            <v>5000</v>
          </cell>
        </row>
        <row r="332">
          <cell r="B332" t="str">
            <v>Thùng đựng chai lấy mẫu</v>
          </cell>
          <cell r="C332" t="str">
            <v>thùng</v>
          </cell>
          <cell r="E332">
            <v>1000000</v>
          </cell>
        </row>
        <row r="333">
          <cell r="B333" t="str">
            <v>Thùng đựng túi lấy mẫu</v>
          </cell>
          <cell r="C333" t="str">
            <v>thùng</v>
          </cell>
          <cell r="E333">
            <v>500000</v>
          </cell>
        </row>
        <row r="334">
          <cell r="B334" t="str">
            <v>Thùng đựng và bảo quản mẫu</v>
          </cell>
          <cell r="C334" t="str">
            <v>cái</v>
          </cell>
          <cell r="E334">
            <v>120000</v>
          </cell>
        </row>
        <row r="335">
          <cell r="B335" t="str">
            <v>Trietanolamin</v>
          </cell>
          <cell r="C335" t="str">
            <v>Gam</v>
          </cell>
          <cell r="E335">
            <v>3500</v>
          </cell>
        </row>
        <row r="336">
          <cell r="B336" t="str">
            <v>Trilon B</v>
          </cell>
          <cell r="C336" t="str">
            <v>gam</v>
          </cell>
          <cell r="E336">
            <v>1500</v>
          </cell>
        </row>
        <row r="337">
          <cell r="B337" t="str">
            <v>Vial</v>
          </cell>
          <cell r="C337" t="str">
            <v>Cái</v>
          </cell>
          <cell r="E337">
            <v>45000</v>
          </cell>
        </row>
        <row r="338">
          <cell r="B338" t="str">
            <v>ZnSO4</v>
          </cell>
          <cell r="C338" t="str">
            <v>gam</v>
          </cell>
          <cell r="E338">
            <v>8500</v>
          </cell>
        </row>
        <row r="339">
          <cell r="B339" t="str">
            <v>Zn(CH3COO)2</v>
          </cell>
          <cell r="C339" t="str">
            <v>gam</v>
          </cell>
          <cell r="E339">
            <v>3100</v>
          </cell>
        </row>
        <row r="340">
          <cell r="B340" t="str">
            <v>α-Naphtylamin</v>
          </cell>
          <cell r="C340" t="str">
            <v>ml</v>
          </cell>
          <cell r="E340">
            <v>12500</v>
          </cell>
        </row>
        <row r="341">
          <cell r="B341" t="str">
            <v>Khí chuẩn</v>
          </cell>
          <cell r="C341" t="str">
            <v>bình</v>
          </cell>
          <cell r="E341">
            <v>35000000</v>
          </cell>
        </row>
        <row r="342">
          <cell r="B342" t="str">
            <v>Quartz Fiber Filters</v>
          </cell>
          <cell r="C342" t="str">
            <v>cái</v>
          </cell>
          <cell r="E342">
            <v>120000</v>
          </cell>
        </row>
        <row r="343">
          <cell r="B343" t="str">
            <v xml:space="preserve">Hộp đựng mẫu </v>
          </cell>
          <cell r="C343" t="str">
            <v>Hộp</v>
          </cell>
          <cell r="E343">
            <v>500000</v>
          </cell>
        </row>
        <row r="344">
          <cell r="B344" t="str">
            <v>Detectơ vết hạt nhân</v>
          </cell>
          <cell r="C344" t="str">
            <v>cái</v>
          </cell>
          <cell r="E344">
            <v>200000</v>
          </cell>
        </row>
        <row r="345">
          <cell r="B345" t="str">
            <v>Phin lọc Ф47</v>
          </cell>
          <cell r="C345" t="str">
            <v>cái</v>
          </cell>
          <cell r="E345">
            <v>300000</v>
          </cell>
        </row>
        <row r="346">
          <cell r="B346" t="str">
            <v>Phin lọc chuyên dụng FPP-15</v>
          </cell>
          <cell r="C346" t="str">
            <v xml:space="preserve">m2 </v>
          </cell>
          <cell r="E346">
            <v>80000</v>
          </cell>
        </row>
        <row r="347">
          <cell r="B347" t="str">
            <v>Hộp đo</v>
          </cell>
          <cell r="C347" t="str">
            <v xml:space="preserve">cái </v>
          </cell>
          <cell r="E347">
            <v>30000</v>
          </cell>
        </row>
        <row r="348">
          <cell r="B348" t="str">
            <v xml:space="preserve">Dung dịch lau dụng cụ </v>
          </cell>
          <cell r="C348" t="str">
            <v>Lít</v>
          </cell>
          <cell r="E348">
            <v>45000</v>
          </cell>
        </row>
        <row r="349">
          <cell r="B349" t="str">
            <v>Khí chuẩn SO2</v>
          </cell>
          <cell r="C349" t="str">
            <v>bình</v>
          </cell>
          <cell r="E349">
            <v>25000000</v>
          </cell>
        </row>
        <row r="350">
          <cell r="B350" t="str">
            <v>Khí chuẩn NOx</v>
          </cell>
          <cell r="C350" t="str">
            <v>bình</v>
          </cell>
          <cell r="E350">
            <v>35000000</v>
          </cell>
        </row>
        <row r="351">
          <cell r="B351" t="str">
            <v>Khí chuẩn NO2</v>
          </cell>
          <cell r="C351" t="str">
            <v>bình</v>
          </cell>
          <cell r="E351">
            <v>35000000</v>
          </cell>
        </row>
        <row r="352">
          <cell r="B352" t="str">
            <v>Khí chuẩn NO</v>
          </cell>
          <cell r="C352" t="str">
            <v>bình</v>
          </cell>
          <cell r="E352">
            <v>35000000</v>
          </cell>
        </row>
        <row r="353">
          <cell r="B353" t="str">
            <v>Khí chuẩn CO2</v>
          </cell>
          <cell r="C353" t="str">
            <v>bình</v>
          </cell>
          <cell r="E353">
            <v>35000000</v>
          </cell>
        </row>
        <row r="354">
          <cell r="B354" t="str">
            <v>Khí chuẩn CO</v>
          </cell>
          <cell r="C354" t="str">
            <v>bình</v>
          </cell>
          <cell r="E354">
            <v>35000000</v>
          </cell>
        </row>
        <row r="355">
          <cell r="B355" t="str">
            <v>Khí chuẩn O2</v>
          </cell>
          <cell r="C355" t="str">
            <v>bình</v>
          </cell>
          <cell r="E355">
            <v>35000000</v>
          </cell>
        </row>
        <row r="356">
          <cell r="B356" t="str">
            <v>Khí P10</v>
          </cell>
          <cell r="C356" t="str">
            <v>Bình</v>
          </cell>
          <cell r="E356">
            <v>1200000</v>
          </cell>
        </row>
        <row r="357">
          <cell r="B357" t="str">
            <v>Găng tay</v>
          </cell>
          <cell r="C357" t="str">
            <v>đôi</v>
          </cell>
          <cell r="E357">
            <v>5000</v>
          </cell>
        </row>
        <row r="358">
          <cell r="B358" t="str">
            <v>Ammonium pyrrolidinedithiocarbamate (APDC)</v>
          </cell>
          <cell r="C358" t="str">
            <v>gam</v>
          </cell>
          <cell r="E358">
            <v>98000</v>
          </cell>
        </row>
        <row r="359">
          <cell r="B359" t="str">
            <v>Metyl Iso butylketon (MIBK)</v>
          </cell>
          <cell r="C359" t="str">
            <v>gam</v>
          </cell>
          <cell r="E359">
            <v>110400</v>
          </cell>
        </row>
        <row r="360">
          <cell r="B360" t="str">
            <v>Mẫu chuẩn hoạt độ 32Bq</v>
          </cell>
          <cell r="C360" t="str">
            <v>Bộ</v>
          </cell>
          <cell r="E360">
            <v>20000000</v>
          </cell>
        </row>
        <row r="361">
          <cell r="B361" t="str">
            <v>Mẫu chuẩn(100 - 500Bq)</v>
          </cell>
          <cell r="C361" t="str">
            <v>Bộ</v>
          </cell>
          <cell r="E361">
            <v>30000000</v>
          </cell>
        </row>
        <row r="362">
          <cell r="B362" t="str">
            <v>Mẫu chuẩn  hoạt độ (100 - 500Bq)</v>
          </cell>
          <cell r="C362" t="str">
            <v>Bộ</v>
          </cell>
          <cell r="E362">
            <v>50000000</v>
          </cell>
        </row>
        <row r="363">
          <cell r="B363" t="str">
            <v>Mẫu chuẩn hoạt độ (100 -1000)Bq</v>
          </cell>
          <cell r="C363" t="str">
            <v>Bộ</v>
          </cell>
          <cell r="E363">
            <v>50000000</v>
          </cell>
        </row>
        <row r="364">
          <cell r="B364" t="str">
            <v>Nguồn chuẩn Radon</v>
          </cell>
          <cell r="C364" t="str">
            <v>Bộ</v>
          </cell>
          <cell r="E364">
            <v>30000000</v>
          </cell>
        </row>
        <row r="365">
          <cell r="B365" t="str">
            <v>Mẫu chuẩn  Pb210; Pb212; Pb214, Bi212; Bi214, Tl208, Ac228, Ra226, Cs137, K40, Be7  hoạt độ (100-500)Bq</v>
          </cell>
          <cell r="C365" t="str">
            <v>Bộ</v>
          </cell>
          <cell r="E365">
            <v>80000000</v>
          </cell>
        </row>
        <row r="366">
          <cell r="B366" t="str">
            <v>Mẫu chuẩn  Pb210; Pb212; Pb214, Bi212; Bi214, Tl208, Ac228, Ra226, Cs137, K40, Be7  hoạt độ (100-500)Bq</v>
          </cell>
          <cell r="C366" t="str">
            <v>ml</v>
          </cell>
          <cell r="E366">
            <v>5000000</v>
          </cell>
        </row>
        <row r="367">
          <cell r="B367" t="str">
            <v>Nguồn chuẩn đồng vị phóng xạ  90Sr hoạt độ (100 -500)Bq</v>
          </cell>
          <cell r="C367" t="str">
            <v>bộ</v>
          </cell>
          <cell r="E367">
            <v>50000000</v>
          </cell>
        </row>
        <row r="368">
          <cell r="B368" t="str">
            <v>Dung dịch chuẩn đồng vị phóng xạ  90Sr hoạt độ (100 -500)Bq</v>
          </cell>
          <cell r="C368" t="str">
            <v>ml</v>
          </cell>
          <cell r="E368">
            <v>5000000</v>
          </cell>
        </row>
        <row r="369">
          <cell r="B369" t="str">
            <v>Nguồn chuẩn đồng vị phóng xạ 239,240 Pu hoạt độ (100 -500)Bq</v>
          </cell>
          <cell r="C369" t="str">
            <v>bộ</v>
          </cell>
          <cell r="E369">
            <v>50000000</v>
          </cell>
        </row>
        <row r="370">
          <cell r="B370" t="str">
            <v>Dung dịch chuẩn đồng vị phóng xạ 239,240 Pu hoạt độ (100 -500)Bq</v>
          </cell>
          <cell r="C370" t="str">
            <v>ml</v>
          </cell>
          <cell r="E370">
            <v>5000000</v>
          </cell>
        </row>
        <row r="371">
          <cell r="B371" t="str">
            <v>Axít Asetic</v>
          </cell>
          <cell r="C371" t="str">
            <v>ml</v>
          </cell>
          <cell r="E371">
            <v>420</v>
          </cell>
        </row>
        <row r="372">
          <cell r="B372" t="str">
            <v>NiCl2</v>
          </cell>
          <cell r="C372" t="str">
            <v>gam</v>
          </cell>
          <cell r="E372">
            <v>500</v>
          </cell>
        </row>
        <row r="373">
          <cell r="B373" t="str">
            <v>Cs4Ba2</v>
          </cell>
          <cell r="C373" t="str">
            <v>gam</v>
          </cell>
          <cell r="E373">
            <v>400</v>
          </cell>
        </row>
        <row r="374">
          <cell r="B374" t="str">
            <v>ZrOCl2.8.H2O</v>
          </cell>
          <cell r="C374" t="str">
            <v>gam</v>
          </cell>
          <cell r="E374">
            <v>45000</v>
          </cell>
        </row>
        <row r="375">
          <cell r="B375" t="str">
            <v xml:space="preserve">1,5-Diphenylcacbazid (C13H14N4O) </v>
          </cell>
          <cell r="C375" t="str">
            <v>gam</v>
          </cell>
          <cell r="E375">
            <v>25000</v>
          </cell>
        </row>
        <row r="376">
          <cell r="B376" t="str">
            <v>CH3COOC2H5</v>
          </cell>
          <cell r="C376" t="str">
            <v>ml</v>
          </cell>
          <cell r="E376">
            <v>3500</v>
          </cell>
        </row>
        <row r="377">
          <cell r="B377" t="str">
            <v>Na2S.9H2O</v>
          </cell>
          <cell r="C377" t="str">
            <v>gam</v>
          </cell>
          <cell r="E377">
            <v>4500</v>
          </cell>
        </row>
        <row r="378">
          <cell r="B378" t="str">
            <v>(NH4)2HPO4</v>
          </cell>
          <cell r="C378" t="str">
            <v>gam</v>
          </cell>
          <cell r="E378">
            <v>2500</v>
          </cell>
        </row>
        <row r="379">
          <cell r="B379" t="str">
            <v>N,N-dimethyl-p-phenylenediamine (C8H14Cl2N2.5 H2O)</v>
          </cell>
          <cell r="C379" t="str">
            <v>gam</v>
          </cell>
          <cell r="E379">
            <v>318000</v>
          </cell>
        </row>
        <row r="380">
          <cell r="B380" t="str">
            <v>Thymol xanh</v>
          </cell>
          <cell r="C380" t="str">
            <v>gam</v>
          </cell>
          <cell r="E380">
            <v>34400</v>
          </cell>
        </row>
        <row r="381">
          <cell r="B381" t="str">
            <v>Bromophenol xanh</v>
          </cell>
          <cell r="C381" t="str">
            <v>gam</v>
          </cell>
          <cell r="E381">
            <v>5000</v>
          </cell>
        </row>
        <row r="382">
          <cell r="B382" t="str">
            <v>CdSO4.8H2O</v>
          </cell>
          <cell r="C382" t="str">
            <v>gam</v>
          </cell>
          <cell r="E382">
            <v>6000</v>
          </cell>
        </row>
        <row r="383">
          <cell r="B383" t="str">
            <v>Dung dịch chuẩn đa nguyên tố (IC Standard)</v>
          </cell>
          <cell r="C383" t="str">
            <v>ml</v>
          </cell>
          <cell r="E383">
            <v>35000</v>
          </cell>
        </row>
        <row r="384">
          <cell r="B384" t="str">
            <v>Na2WO4.2H2O</v>
          </cell>
          <cell r="C384" t="str">
            <v>gam</v>
          </cell>
          <cell r="E384">
            <v>12000</v>
          </cell>
        </row>
        <row r="385">
          <cell r="B385" t="str">
            <v xml:space="preserve">Túi chứa khí </v>
          </cell>
          <cell r="C385" t="str">
            <v>cái</v>
          </cell>
          <cell r="E385">
            <v>500000</v>
          </cell>
        </row>
        <row r="386">
          <cell r="B386" t="str">
            <v xml:space="preserve">Dung dịch hấp thụ </v>
          </cell>
          <cell r="C386" t="str">
            <v>ml</v>
          </cell>
          <cell r="E386">
            <v>4200</v>
          </cell>
        </row>
        <row r="387">
          <cell r="B387" t="str">
            <v>p-Dimetylamin benzadehyt</v>
          </cell>
          <cell r="E387">
            <v>6960</v>
          </cell>
        </row>
        <row r="388">
          <cell r="B388" t="str">
            <v xml:space="preserve">Tetrametyl-p-phenylendiamin dihyroclorua </v>
          </cell>
          <cell r="E388">
            <v>197000</v>
          </cell>
        </row>
        <row r="389">
          <cell r="B389" t="str">
            <v>C4H9OH</v>
          </cell>
          <cell r="E389">
            <v>780</v>
          </cell>
        </row>
        <row r="390">
          <cell r="B390" t="str">
            <v>Pepton</v>
          </cell>
          <cell r="E390">
            <v>728</v>
          </cell>
        </row>
        <row r="391">
          <cell r="B391" t="str">
            <v>Lactoza</v>
          </cell>
          <cell r="E391">
            <v>776</v>
          </cell>
        </row>
        <row r="392">
          <cell r="B392" t="str">
            <v>Chất chiết nấm men</v>
          </cell>
          <cell r="E392">
            <v>330</v>
          </cell>
        </row>
        <row r="393">
          <cell r="B393" t="str">
            <v xml:space="preserve">2,3,5-Triphenyltetrazoliun chlorua </v>
          </cell>
          <cell r="E393">
            <v>12000</v>
          </cell>
        </row>
        <row r="394">
          <cell r="B394" t="str">
            <v>natri heptadecylsunphat</v>
          </cell>
          <cell r="E394">
            <v>10000</v>
          </cell>
        </row>
        <row r="395">
          <cell r="B395" t="str">
            <v>Agar</v>
          </cell>
          <cell r="E395">
            <v>3834</v>
          </cell>
        </row>
        <row r="396">
          <cell r="B396" t="str">
            <v>Quartz torches</v>
          </cell>
          <cell r="E396">
            <v>12000000</v>
          </cell>
        </row>
        <row r="397">
          <cell r="B397" t="str">
            <v>Glycerol</v>
          </cell>
          <cell r="E397">
            <v>5000</v>
          </cell>
        </row>
        <row r="398">
          <cell r="B398" t="str">
            <v>Hồ tinh bột</v>
          </cell>
          <cell r="E398">
            <v>2240</v>
          </cell>
        </row>
        <row r="399">
          <cell r="B399" t="str">
            <v>Dung dịch chuẩn Al3+</v>
          </cell>
          <cell r="C399" t="str">
            <v>bộ</v>
          </cell>
          <cell r="E399">
            <v>2400</v>
          </cell>
        </row>
        <row r="400">
          <cell r="B400" t="str">
            <v>Bộ màng bơm, van, gioăng đệm</v>
          </cell>
          <cell r="C400" t="str">
            <v>bộ</v>
          </cell>
          <cell r="E400">
            <v>6350000</v>
          </cell>
        </row>
        <row r="401">
          <cell r="B401" t="str">
            <v>Màng lọc bụi</v>
          </cell>
          <cell r="C401" t="str">
            <v>cái</v>
          </cell>
          <cell r="E401">
            <v>5623000</v>
          </cell>
        </row>
        <row r="402">
          <cell r="B402" t="str">
            <v>Xà phòng</v>
          </cell>
          <cell r="C402" t="str">
            <v>kg</v>
          </cell>
          <cell r="E402">
            <v>12000</v>
          </cell>
        </row>
        <row r="403">
          <cell r="B403" t="str">
            <v>Băng lọc bụi</v>
          </cell>
          <cell r="C403" t="str">
            <v>cuộn</v>
          </cell>
          <cell r="E403">
            <v>1500000</v>
          </cell>
        </row>
        <row r="404">
          <cell r="B404" t="str">
            <v>BQ-Filter</v>
          </cell>
          <cell r="E404">
            <v>13432000</v>
          </cell>
        </row>
        <row r="405">
          <cell r="B405" t="str">
            <v>CQ-Filter</v>
          </cell>
          <cell r="E405">
            <v>13432000</v>
          </cell>
        </row>
        <row r="406">
          <cell r="B406" t="str">
            <v>Bơm mẫu</v>
          </cell>
          <cell r="E406">
            <v>94943000</v>
          </cell>
        </row>
        <row r="407">
          <cell r="B407" t="str">
            <v>Bơm khô</v>
          </cell>
          <cell r="E407">
            <v>97125000</v>
          </cell>
        </row>
        <row r="408">
          <cell r="B408" t="str">
            <v>Ống nối silicon giữa các bộ phận trong modul</v>
          </cell>
          <cell r="E408">
            <v>2000000</v>
          </cell>
        </row>
        <row r="409">
          <cell r="B409" t="str">
            <v>1 m Silicon-Tube white 3,2x6,4 mm</v>
          </cell>
          <cell r="E409">
            <v>999000</v>
          </cell>
        </row>
        <row r="410">
          <cell r="B410" t="str">
            <v>1 m Silicon-Tube blue 3,2x6,4 mm</v>
          </cell>
          <cell r="E410">
            <v>999000</v>
          </cell>
        </row>
        <row r="411">
          <cell r="B411" t="str">
            <v>1 m Silicon-Tube green 3,2x6,4 mm</v>
          </cell>
          <cell r="E411">
            <v>999000</v>
          </cell>
        </row>
        <row r="412">
          <cell r="B412" t="str">
            <v>1 m Silicon-Tube red 3,2x6,4 mm</v>
          </cell>
          <cell r="E412">
            <v>999000</v>
          </cell>
        </row>
        <row r="413">
          <cell r="B413" t="str">
            <v>Dung dịch làm sạch đường ống</v>
          </cell>
          <cell r="E413">
            <v>3900</v>
          </cell>
        </row>
        <row r="414">
          <cell r="B414" t="str">
            <v>Bộ lọc mẫu (Filter element) (24 chiếc)</v>
          </cell>
          <cell r="E414">
            <v>5623000</v>
          </cell>
        </row>
        <row r="415">
          <cell r="B415" t="str">
            <v>Gioăng (O-Ring)</v>
          </cell>
          <cell r="E415">
            <v>583000</v>
          </cell>
        </row>
        <row r="416">
          <cell r="B416" t="str">
            <v>F-packing</v>
          </cell>
          <cell r="E416">
            <v>583000</v>
          </cell>
        </row>
        <row r="417">
          <cell r="B417" t="str">
            <v>Bộ màng ngăn (Diaphragm assembly)</v>
          </cell>
          <cell r="E417">
            <v>4690000</v>
          </cell>
        </row>
        <row r="418">
          <cell r="B418" t="str">
            <v>Bộ khử ozôn (DO Unit)</v>
          </cell>
          <cell r="E418">
            <v>12275000</v>
          </cell>
        </row>
        <row r="419">
          <cell r="B419" t="str">
            <v>Đèn tử ngoại (UV Lamp Unit)</v>
          </cell>
          <cell r="E419">
            <v>29472000</v>
          </cell>
        </row>
        <row r="420">
          <cell r="B420" t="str">
            <v>Lớp lót UV (UV Liner)</v>
          </cell>
          <cell r="E420">
            <v>7878000</v>
          </cell>
        </row>
        <row r="421">
          <cell r="B421" t="str">
            <v>Bộ làm khô thẩm thấu (Capllary PPD)</v>
          </cell>
          <cell r="E421">
            <v>39548000</v>
          </cell>
        </row>
        <row r="422">
          <cell r="B422" t="str">
            <v>Ống chuyển đổi (Catalyzer Pipe)</v>
          </cell>
          <cell r="E422">
            <v>13098000</v>
          </cell>
        </row>
        <row r="423">
          <cell r="B423" t="str">
            <v>Bộ lọc khí (Air filter)</v>
          </cell>
          <cell r="E423">
            <v>3531000</v>
          </cell>
        </row>
        <row r="424">
          <cell r="B424" t="str">
            <v>Scrubber</v>
          </cell>
          <cell r="E424">
            <v>13906000</v>
          </cell>
        </row>
        <row r="425">
          <cell r="B425" t="str">
            <v xml:space="preserve">Bơm (230V) (Pump Unit)    </v>
          </cell>
          <cell r="E425">
            <v>51121000</v>
          </cell>
        </row>
        <row r="426">
          <cell r="B426" t="str">
            <v xml:space="preserve">SV unit                               </v>
          </cell>
          <cell r="E426">
            <v>17997000</v>
          </cell>
        </row>
        <row r="427">
          <cell r="B427" t="str">
            <v xml:space="preserve">LCD unit                   </v>
          </cell>
          <cell r="E427">
            <v>42068000</v>
          </cell>
        </row>
        <row r="428">
          <cell r="B428" t="str">
            <v>Scrubber MIX cho APNA 370 (0,5kg)</v>
          </cell>
          <cell r="E428">
            <v>9210000</v>
          </cell>
        </row>
        <row r="429">
          <cell r="B429" t="str">
            <v>Thùng đựng và bảo quản silicagel, Scrubber MIX</v>
          </cell>
          <cell r="E429">
            <v>10000000</v>
          </cell>
        </row>
        <row r="430">
          <cell r="B430" t="str">
            <v>Gioăng (Special O-Ring)</v>
          </cell>
          <cell r="E430">
            <v>1898000</v>
          </cell>
        </row>
        <row r="431">
          <cell r="B431" t="str">
            <v>Đèn Xenon (Xenon Lamp)</v>
          </cell>
          <cell r="E431">
            <v>53057000</v>
          </cell>
        </row>
        <row r="432">
          <cell r="B432" t="str">
            <v>Bộ loại hydrocacbon (HC cutter)</v>
          </cell>
          <cell r="E432">
            <v>26591000</v>
          </cell>
        </row>
        <row r="433">
          <cell r="B433" t="str">
            <v xml:space="preserve">Bơm (Pump Unit) (230V)    </v>
          </cell>
          <cell r="C433" t="str">
            <v>hộp</v>
          </cell>
          <cell r="E433">
            <v>51121000</v>
          </cell>
        </row>
        <row r="434">
          <cell r="B434" t="str">
            <v>Than hoạt tính cho modul phân tích SO2 (1kg/box)</v>
          </cell>
          <cell r="C434" t="str">
            <v>hộp</v>
          </cell>
          <cell r="E434">
            <v>4500000</v>
          </cell>
        </row>
        <row r="435">
          <cell r="B435" t="str">
            <v>Thùng đựng và bảo quản than hoạt tính</v>
          </cell>
          <cell r="E435">
            <v>10000000</v>
          </cell>
        </row>
        <row r="436">
          <cell r="B436" t="str">
            <v>Ống xúc tác (catalyzer tube)</v>
          </cell>
          <cell r="E436">
            <v>25051000</v>
          </cell>
        </row>
        <row r="437">
          <cell r="B437" t="str">
            <v>Bộ lọc (Filter)</v>
          </cell>
          <cell r="C437" t="str">
            <v>bộ</v>
          </cell>
          <cell r="E437">
            <v>5865000</v>
          </cell>
        </row>
        <row r="438">
          <cell r="B438" t="str">
            <v>Catalyst kit</v>
          </cell>
          <cell r="C438" t="str">
            <v>bộ</v>
          </cell>
          <cell r="E438">
            <v>3990000</v>
          </cell>
        </row>
        <row r="439">
          <cell r="B439" t="str">
            <v>Catalyzer pack</v>
          </cell>
          <cell r="C439" t="str">
            <v>bộ</v>
          </cell>
          <cell r="E439">
            <v>3080000</v>
          </cell>
        </row>
        <row r="440">
          <cell r="B440" t="str">
            <v>O-ring 1.5 x 0.75 mm Nitril</v>
          </cell>
          <cell r="C440" t="str">
            <v>chiếc</v>
          </cell>
          <cell r="E440">
            <v>137000</v>
          </cell>
        </row>
        <row r="441">
          <cell r="B441" t="str">
            <v>Lọc Coalescent (xanh)</v>
          </cell>
          <cell r="C441" t="str">
            <v>bộ</v>
          </cell>
          <cell r="E441">
            <v>2469000</v>
          </cell>
        </row>
        <row r="442">
          <cell r="B442" t="str">
            <v>Rotor 6 cổng</v>
          </cell>
          <cell r="C442" t="str">
            <v>bộ</v>
          </cell>
          <cell r="E442">
            <v>20640000</v>
          </cell>
        </row>
        <row r="443">
          <cell r="B443" t="str">
            <v>O-Ring Gasket 4x1</v>
          </cell>
          <cell r="C443" t="str">
            <v>bộ</v>
          </cell>
          <cell r="E443">
            <v>343000</v>
          </cell>
        </row>
        <row r="444">
          <cell r="B444" t="str">
            <v>O-Ring Gasket 6x1</v>
          </cell>
          <cell r="C444" t="str">
            <v>bộ</v>
          </cell>
          <cell r="E444">
            <v>343000</v>
          </cell>
        </row>
        <row r="445">
          <cell r="B445" t="str">
            <v>Ống thẩm thấu Benzene</v>
          </cell>
          <cell r="C445" t="str">
            <v>chiếc</v>
          </cell>
          <cell r="E445">
            <v>40522000</v>
          </cell>
        </row>
        <row r="446">
          <cell r="B446" t="str">
            <v>O-Ring cho lò thẩm thấu</v>
          </cell>
          <cell r="C446" t="str">
            <v>chiếc</v>
          </cell>
          <cell r="E446">
            <v>206000</v>
          </cell>
        </row>
        <row r="447">
          <cell r="B447" t="str">
            <v>Đèn PID 10.6 eV</v>
          </cell>
          <cell r="C447" t="str">
            <v>chiêc</v>
          </cell>
          <cell r="E447">
            <v>55572000</v>
          </cell>
        </row>
        <row r="448">
          <cell r="B448" t="str">
            <v>Bộ van và màng airmo PUMP</v>
          </cell>
          <cell r="C448" t="str">
            <v>bộ</v>
          </cell>
          <cell r="E448">
            <v>5500000</v>
          </cell>
        </row>
        <row r="449">
          <cell r="B449" t="str">
            <v>Nylon 1/8 silencer</v>
          </cell>
          <cell r="C449" t="str">
            <v>bộ</v>
          </cell>
          <cell r="E449">
            <v>150000</v>
          </cell>
        </row>
        <row r="450">
          <cell r="B450" t="str">
            <v>Dầu chạy máy phát điện</v>
          </cell>
          <cell r="C450" t="str">
            <v>lit</v>
          </cell>
          <cell r="E450">
            <v>150000</v>
          </cell>
        </row>
        <row r="451">
          <cell r="B451" t="str">
            <v>Thiết bị lấy mẫu bui (ống probe)</v>
          </cell>
          <cell r="C451" t="str">
            <v>gam</v>
          </cell>
          <cell r="E451">
            <v>150000000</v>
          </cell>
        </row>
        <row r="452">
          <cell r="B452" t="str">
            <v>C5H8NO4Na</v>
          </cell>
          <cell r="C452" t="str">
            <v>gam</v>
          </cell>
          <cell r="E452">
            <v>2400</v>
          </cell>
        </row>
        <row r="453">
          <cell r="B453" t="str">
            <v>Chất chiết cao thịt bò</v>
          </cell>
          <cell r="C453" t="str">
            <v>ml</v>
          </cell>
          <cell r="E453">
            <v>10000</v>
          </cell>
        </row>
        <row r="454">
          <cell r="B454" t="str">
            <v xml:space="preserve"> Aspartic </v>
          </cell>
          <cell r="C454" t="str">
            <v>gam</v>
          </cell>
          <cell r="E454">
            <v>9000</v>
          </cell>
        </row>
        <row r="455">
          <cell r="B455" t="str">
            <v>Pantotenic</v>
          </cell>
          <cell r="C455" t="str">
            <v>gam</v>
          </cell>
          <cell r="E455">
            <v>3000</v>
          </cell>
        </row>
        <row r="456">
          <cell r="B456" t="str">
            <v>Thiamin</v>
          </cell>
          <cell r="C456" t="str">
            <v>gam</v>
          </cell>
          <cell r="E456">
            <v>1500</v>
          </cell>
        </row>
        <row r="457">
          <cell r="B457" t="str">
            <v>Ferric citrate</v>
          </cell>
          <cell r="C457" t="str">
            <v>gam</v>
          </cell>
          <cell r="E457">
            <v>2400</v>
          </cell>
        </row>
        <row r="458">
          <cell r="B458" t="str">
            <v>Ni (NO3)2.H2O</v>
          </cell>
          <cell r="C458" t="str">
            <v>gam</v>
          </cell>
          <cell r="E458">
            <v>3500</v>
          </cell>
        </row>
        <row r="459">
          <cell r="B459" t="str">
            <v>diatomit</v>
          </cell>
          <cell r="C459" t="str">
            <v>gam</v>
          </cell>
          <cell r="E459">
            <v>1600</v>
          </cell>
        </row>
        <row r="460">
          <cell r="B460" t="str">
            <v>Na2C2O4</v>
          </cell>
          <cell r="C460" t="str">
            <v>gam</v>
          </cell>
          <cell r="E460">
            <v>3400</v>
          </cell>
        </row>
        <row r="461">
          <cell r="B461" t="str">
            <v>Ống chuẩn KMnO4</v>
          </cell>
          <cell r="C461" t="str">
            <v>Ống</v>
          </cell>
          <cell r="E461">
            <v>4500000</v>
          </cell>
        </row>
        <row r="462">
          <cell r="B462" t="str">
            <v>Millex-LH 13mm Philic PTFE .45µm Non-sterile IC-Certified 100/pk</v>
          </cell>
          <cell r="C462" t="str">
            <v>hộp</v>
          </cell>
          <cell r="E462">
            <v>6200000</v>
          </cell>
        </row>
        <row r="463">
          <cell r="B463" t="str">
            <v>Chất hút ẩm chỉ thị chuyên dụng</v>
          </cell>
          <cell r="C463" t="str">
            <v>gam</v>
          </cell>
          <cell r="E463">
            <v>2200</v>
          </cell>
        </row>
        <row r="464">
          <cell r="B464" t="str">
            <v>Dung dịch chất đồng hành</v>
          </cell>
          <cell r="C464" t="str">
            <v>uL</v>
          </cell>
          <cell r="E464">
            <v>34000</v>
          </cell>
        </row>
        <row r="465">
          <cell r="B465" t="str">
            <v>n-Hexane (PA)</v>
          </cell>
          <cell r="C465" t="str">
            <v>ml</v>
          </cell>
          <cell r="E465">
            <v>300</v>
          </cell>
        </row>
        <row r="466">
          <cell r="B466" t="str">
            <v>Toluen (HPLC)</v>
          </cell>
          <cell r="C466" t="str">
            <v>ml</v>
          </cell>
          <cell r="E466">
            <v>2000</v>
          </cell>
        </row>
        <row r="467">
          <cell r="B467" t="str">
            <v>Aceton (HPLC)</v>
          </cell>
          <cell r="C467" t="str">
            <v>ml</v>
          </cell>
          <cell r="E467">
            <v>1400</v>
          </cell>
        </row>
        <row r="468">
          <cell r="B468" t="str">
            <v>Vật liệu hấp phụ cho lấy mẫu khí thải XAD-2</v>
          </cell>
          <cell r="C468" t="str">
            <v>Gam</v>
          </cell>
          <cell r="E468">
            <v>15000</v>
          </cell>
        </row>
        <row r="469">
          <cell r="B469" t="str">
            <v>Diclometan, HPLC</v>
          </cell>
          <cell r="C469" t="str">
            <v>ml</v>
          </cell>
          <cell r="E469">
            <v>2000</v>
          </cell>
        </row>
        <row r="470">
          <cell r="B470" t="str">
            <v>Găng tay không bột</v>
          </cell>
          <cell r="C470" t="str">
            <v>Đôi</v>
          </cell>
          <cell r="E470">
            <v>8000</v>
          </cell>
        </row>
        <row r="471">
          <cell r="B471" t="str">
            <v>Khẩu trang than hoạt tính</v>
          </cell>
          <cell r="C471" t="str">
            <v>Chiếc</v>
          </cell>
          <cell r="E471">
            <v>150000</v>
          </cell>
        </row>
        <row r="472">
          <cell r="B472" t="str">
            <v>Đá khô bảo quản mẫu</v>
          </cell>
          <cell r="C472" t="str">
            <v>Kg</v>
          </cell>
          <cell r="E472">
            <v>100000</v>
          </cell>
        </row>
        <row r="473">
          <cell r="B473" t="str">
            <v>Đá lạnh làm ngưng</v>
          </cell>
          <cell r="C473" t="str">
            <v>Kg</v>
          </cell>
          <cell r="E473">
            <v>20000</v>
          </cell>
        </row>
        <row r="474">
          <cell r="B474" t="str">
            <v>Lọ thủy tinh đựng mẫu</v>
          </cell>
          <cell r="C474" t="str">
            <v>Chiếc</v>
          </cell>
          <cell r="E474">
            <v>250000</v>
          </cell>
        </row>
        <row r="475">
          <cell r="B475" t="str">
            <v>Đĩa petri thủy tinh (đựng giấy lọc)</v>
          </cell>
          <cell r="C475" t="str">
            <v>Chiếc</v>
          </cell>
          <cell r="E475">
            <v>100000</v>
          </cell>
        </row>
        <row r="476">
          <cell r="B476" t="str">
            <v>Ống đựng mẫu chiết Soxhlet bằng xenlulo</v>
          </cell>
          <cell r="C476" t="str">
            <v>Chiếc</v>
          </cell>
          <cell r="E476">
            <v>240000</v>
          </cell>
        </row>
        <row r="477">
          <cell r="B477" t="str">
            <v>Cột silicagel đa lớp</v>
          </cell>
          <cell r="C477" t="str">
            <v>Chiếc</v>
          </cell>
          <cell r="E477">
            <v>1800000</v>
          </cell>
        </row>
        <row r="478">
          <cell r="B478" t="str">
            <v>Cột nhôm ôxit</v>
          </cell>
          <cell r="C478" t="str">
            <v>Chiếc</v>
          </cell>
          <cell r="E478">
            <v>1400000</v>
          </cell>
        </row>
        <row r="479">
          <cell r="B479" t="str">
            <v xml:space="preserve">Cột than hoạt tính đảo chiều </v>
          </cell>
          <cell r="C479" t="str">
            <v>Chiếc</v>
          </cell>
          <cell r="E479">
            <v>1000000</v>
          </cell>
        </row>
        <row r="480">
          <cell r="B480" t="str">
            <v>Dung dịch chuẩn hàng ngày xác định thời gian lưu và đồng phân đặc thù dioxin/furan (M1613 DAILY CALIBRATION + WINDOW DEFINER &amp; ISOMER SPECIFICITY)</v>
          </cell>
          <cell r="C480" t="str">
            <v>uL</v>
          </cell>
          <cell r="E480">
            <v>218000</v>
          </cell>
        </row>
        <row r="481">
          <cell r="B481" t="str">
            <v>Bộ dung dịch dựng đường chuẩn năm điểm phân tích dioxin/furan CS1 - CS5 (M 1613 CALIBRATION SOLUTION CS1-CS5)</v>
          </cell>
          <cell r="C481" t="str">
            <v>bộ/  5 lọ</v>
          </cell>
          <cell r="E481">
            <v>117416000</v>
          </cell>
        </row>
        <row r="482">
          <cell r="B482" t="str">
            <v>Dung dịch chuẩn để kiểm tra đường chuẩn hàng ngày phân tích dioxin/furan CS3 (M 1613 DAILY CALIBRATION CHECK STANDARD CS3)</v>
          </cell>
          <cell r="C482" t="str">
            <v>uL</v>
          </cell>
          <cell r="E482">
            <v>106200</v>
          </cell>
        </row>
        <row r="483">
          <cell r="B483" t="str">
            <v>Dung dịch chuẩn đánh dấu gồm 15 chất chuẩn đồng vị 13C dioxin/furan (M 1613 LABELED COMPOUND STOCK SOLUTION)</v>
          </cell>
          <cell r="C483" t="str">
            <v>uL</v>
          </cell>
          <cell r="E483">
            <v>67000</v>
          </cell>
        </row>
        <row r="484">
          <cell r="B484" t="str">
            <v>Dung dịch chuẩn làm sạch gồm 1 chất chuẩn đồng vị 37Cl4 dioxin (M 1613 CLEAN UP STANDARD 10X STOCK SOLUTION (37CL4, 96%))</v>
          </cell>
          <cell r="C484" t="str">
            <v>ml</v>
          </cell>
          <cell r="E484">
            <v>548000</v>
          </cell>
        </row>
        <row r="485">
          <cell r="B485" t="str">
            <v>Dung dịch nội chuẩn gồm 2 chất chuẩn đồng vị 13C dioxin/furan (M 1613 INTERNAL STANDARD SPIKING SOLUTION (13C12, 99%))</v>
          </cell>
          <cell r="C485" t="str">
            <v>uL</v>
          </cell>
          <cell r="E485">
            <v>22400</v>
          </cell>
        </row>
        <row r="486">
          <cell r="B486" t="str">
            <v>Dung dịch chuẩn kiểm tra độ thu hồi và độ chính xác phân tích dioxin/furan (M 1613 PRECISION AND RECOVERY STANDARD SOLUTION)</v>
          </cell>
          <cell r="C486" t="str">
            <v>uL</v>
          </cell>
          <cell r="E486">
            <v>100600</v>
          </cell>
        </row>
        <row r="487">
          <cell r="B487" t="str">
            <v>Dung dịch chuẩn đồng hành đậm đặc sử dụng cho lấy mẫu khí thải phân tích dioxin/furan (13C12, 99%; 37CL4, 96%)
(M23 SURROGATE STANDARD STOCK SOLUTION (13C12, 99%; 37CL4, 96%)</v>
          </cell>
          <cell r="C487" t="str">
            <v>uL</v>
          </cell>
          <cell r="E487">
            <v>31200</v>
          </cell>
        </row>
        <row r="488">
          <cell r="B488" t="str">
            <v>Bộ dung dịch dựng đường chuẩn năm điểm phân tích dioxin/furan trong mẫu khí thải (CS1 - CS5)
(M23 CALIBRATION SOLUTIONS (CS1 - CS5)</v>
          </cell>
          <cell r="C488" t="str">
            <v>Bộ/5 lọ</v>
          </cell>
          <cell r="E488">
            <v>82795200</v>
          </cell>
        </row>
        <row r="489">
          <cell r="B489" t="str">
            <v>Dung dịch dựng đường chuẩn hàng ngày phân tích dioxin/furan mẫu khí thải (CS4)
(M 23 CALIBRATION STANDARD (CS4))</v>
          </cell>
          <cell r="C489" t="str">
            <v>uL</v>
          </cell>
          <cell r="E489">
            <v>113200</v>
          </cell>
        </row>
        <row r="490">
          <cell r="B490" t="str">
            <v>Dung dịch nội chuẩn đậm đặc gồm 9 chất chuẩn đồng vị 13C dioxin/furan phân tích dioxin/furan mẫu khí thải  (13C12, 99%)
(M 23 INTERNAL STANDARD STOCK SOLUTION (13C12, 99%)</v>
          </cell>
          <cell r="C490" t="str">
            <v>uL</v>
          </cell>
          <cell r="E490">
            <v>44000</v>
          </cell>
        </row>
        <row r="491">
          <cell r="B491" t="str">
            <v>Dung dịch chuẩn thu hồi đậm đặc gồm 2 chất chuẩn 13C dioxin/furan, phân tích dioxin/furan mẫu khí thải (13C12, 99%)
(M 23 RECOVERY STANDARD STOCK SOLUTION (13C12, 99%)</v>
          </cell>
          <cell r="C491" t="str">
            <v>uL</v>
          </cell>
          <cell r="E491">
            <v>22200</v>
          </cell>
        </row>
        <row r="492">
          <cell r="B492" t="str">
            <v xml:space="preserve">Rinsing Air Controller: </v>
          </cell>
          <cell r="E492">
            <v>54565000</v>
          </cell>
        </row>
        <row r="493">
          <cell r="B493" t="str">
            <v>Fuse:T1145G570/1A Micro fuse 5x20 mm 1AT</v>
          </cell>
          <cell r="C493" t="str">
            <v>Chiếc</v>
          </cell>
          <cell r="E493">
            <v>176000</v>
          </cell>
        </row>
        <row r="494">
          <cell r="B494" t="str">
            <v>Ống DO (Glass tube)</v>
          </cell>
          <cell r="C494" t="str">
            <v>Chiếc</v>
          </cell>
          <cell r="E494">
            <v>47325000</v>
          </cell>
        </row>
        <row r="495">
          <cell r="B495" t="str">
            <v>Đèn thủy ngân (Mecury lamp)</v>
          </cell>
          <cell r="C495" t="str">
            <v>Chiếc</v>
          </cell>
          <cell r="E495">
            <v>61727000</v>
          </cell>
        </row>
        <row r="496">
          <cell r="B496" t="str">
            <v>Đèn tử ngoại (UV Lamp)
UV lamp for internal gas genarator</v>
          </cell>
          <cell r="C496" t="str">
            <v>Chiếc</v>
          </cell>
          <cell r="E496">
            <v>45747000</v>
          </cell>
        </row>
        <row r="497">
          <cell r="B497" t="str">
            <v>Nylon 1/8 silencer</v>
          </cell>
          <cell r="C497" t="str">
            <v>Chiếc</v>
          </cell>
          <cell r="E497">
            <v>10000000</v>
          </cell>
        </row>
        <row r="498">
          <cell r="B498" t="str">
            <v>Găng tay y tế</v>
          </cell>
          <cell r="C498" t="str">
            <v>Hộp</v>
          </cell>
          <cell r="E498">
            <v>400000</v>
          </cell>
        </row>
        <row r="499">
          <cell r="B499" t="str">
            <v>Dung dịch chuẩn  Pb214, Bi214, Tl208, Ac228, Ra226, Cs137, K40, Be7  hoạt độ 200Bq/l</v>
          </cell>
          <cell r="C499" t="str">
            <v>ml</v>
          </cell>
          <cell r="E499">
            <v>100000</v>
          </cell>
        </row>
      </sheetData>
      <sheetData sheetId="2">
        <row r="3">
          <cell r="B3" t="str">
            <v>Ác quy 6v</v>
          </cell>
          <cell r="C3" t="str">
            <v>cái</v>
          </cell>
          <cell r="D3">
            <v>300000</v>
          </cell>
          <cell r="E3">
            <v>5</v>
          </cell>
        </row>
        <row r="4">
          <cell r="B4" t="str">
            <v>Áp kế</v>
          </cell>
          <cell r="C4" t="str">
            <v>cái</v>
          </cell>
          <cell r="D4">
            <v>5215100</v>
          </cell>
          <cell r="E4">
            <v>10</v>
          </cell>
        </row>
        <row r="5">
          <cell r="B5" t="str">
            <v>Ẩm kế Asman</v>
          </cell>
          <cell r="C5" t="str">
            <v>bộ</v>
          </cell>
          <cell r="D5">
            <v>931000</v>
          </cell>
          <cell r="E5">
            <v>5</v>
          </cell>
        </row>
        <row r="6">
          <cell r="B6" t="str">
            <v>Bể ổn định nhiệt</v>
          </cell>
          <cell r="C6" t="str">
            <v>cái</v>
          </cell>
          <cell r="D6">
            <v>131250000</v>
          </cell>
          <cell r="E6">
            <v>5</v>
          </cell>
        </row>
        <row r="7">
          <cell r="B7" t="str">
            <v>Bể siêu âm</v>
          </cell>
          <cell r="C7" t="str">
            <v>cái</v>
          </cell>
          <cell r="D7">
            <v>49350000</v>
          </cell>
          <cell r="E7">
            <v>5</v>
          </cell>
        </row>
        <row r="8">
          <cell r="B8" t="str">
            <v>Bếp cách cát</v>
          </cell>
          <cell r="C8" t="str">
            <v>cái</v>
          </cell>
          <cell r="D8">
            <v>8800000</v>
          </cell>
          <cell r="E8">
            <v>5</v>
          </cell>
        </row>
        <row r="9">
          <cell r="B9" t="str">
            <v>Bếp cách thủy</v>
          </cell>
          <cell r="C9" t="str">
            <v>Cái</v>
          </cell>
          <cell r="D9">
            <v>63628000</v>
          </cell>
          <cell r="E9">
            <v>5</v>
          </cell>
        </row>
        <row r="10">
          <cell r="B10" t="str">
            <v>Bếp điều chỉnh nhiệt</v>
          </cell>
          <cell r="C10" t="str">
            <v>Cái</v>
          </cell>
          <cell r="D10">
            <v>8800000</v>
          </cell>
          <cell r="E10">
            <v>5</v>
          </cell>
        </row>
        <row r="11">
          <cell r="B11" t="str">
            <v>Bình hút ẩm</v>
          </cell>
          <cell r="C11" t="str">
            <v>Cái</v>
          </cell>
          <cell r="D11">
            <v>5500000</v>
          </cell>
          <cell r="E11">
            <v>5</v>
          </cell>
        </row>
        <row r="12">
          <cell r="B12" t="str">
            <v>Bộ lấy mẫu khí</v>
          </cell>
          <cell r="C12" t="str">
            <v>bộ</v>
          </cell>
          <cell r="D12">
            <v>49350000</v>
          </cell>
          <cell r="E12">
            <v>5</v>
          </cell>
        </row>
        <row r="13">
          <cell r="B13" t="str">
            <v>Bộ lọc hút chân không</v>
          </cell>
          <cell r="C13" t="str">
            <v>bộ</v>
          </cell>
          <cell r="D13">
            <v>52500000</v>
          </cell>
          <cell r="E13">
            <v>5</v>
          </cell>
        </row>
        <row r="14">
          <cell r="B14" t="str">
            <v>Bộ phân tích thủy ngân và asen</v>
          </cell>
          <cell r="C14" t="str">
            <v>bộ</v>
          </cell>
          <cell r="D14">
            <v>229000000</v>
          </cell>
          <cell r="E14">
            <v>10</v>
          </cell>
        </row>
        <row r="15">
          <cell r="B15" t="str">
            <v>Bộ phân tích thủy ngân và asen MHS hoặc FIAS</v>
          </cell>
          <cell r="C15" t="str">
            <v>bộ</v>
          </cell>
          <cell r="D15">
            <v>229000000</v>
          </cell>
          <cell r="E15">
            <v>10</v>
          </cell>
        </row>
        <row r="16">
          <cell r="B16" t="str">
            <v>Bộ Soxlel</v>
          </cell>
          <cell r="C16" t="str">
            <v>bộ</v>
          </cell>
          <cell r="D16">
            <v>118462000</v>
          </cell>
          <cell r="E16">
            <v>5</v>
          </cell>
        </row>
        <row r="17">
          <cell r="B17" t="str">
            <v>Bơm chân không</v>
          </cell>
          <cell r="C17" t="str">
            <v>cái</v>
          </cell>
          <cell r="D17">
            <v>32340000</v>
          </cell>
          <cell r="E17">
            <v>5</v>
          </cell>
        </row>
        <row r="18">
          <cell r="B18" t="str">
            <v>Bơm hút</v>
          </cell>
          <cell r="C18" t="str">
            <v>cái</v>
          </cell>
          <cell r="D18">
            <v>3000000</v>
          </cell>
          <cell r="E18">
            <v>5</v>
          </cell>
        </row>
        <row r="19">
          <cell r="B19" t="str">
            <v>Cân phân tích mẫu</v>
          </cell>
          <cell r="C19" t="str">
            <v>Cái</v>
          </cell>
          <cell r="D19">
            <v>30000000</v>
          </cell>
          <cell r="E19">
            <v>8</v>
          </cell>
        </row>
        <row r="20">
          <cell r="B20" t="str">
            <v>Đầu đo nhiệt độ</v>
          </cell>
          <cell r="C20" t="str">
            <v>cái</v>
          </cell>
          <cell r="D20">
            <v>3300000.0000000005</v>
          </cell>
          <cell r="E20">
            <v>5</v>
          </cell>
        </row>
        <row r="21">
          <cell r="B21" t="str">
            <v>Đĩa Sechi</v>
          </cell>
          <cell r="C21" t="str">
            <v>bộ</v>
          </cell>
          <cell r="D21">
            <v>30000</v>
          </cell>
          <cell r="E21">
            <v>5</v>
          </cell>
        </row>
        <row r="22">
          <cell r="B22" t="str">
            <v>Thiết bị đo độ rung</v>
          </cell>
          <cell r="C22" t="str">
            <v>Bộ</v>
          </cell>
          <cell r="D22">
            <v>35000000</v>
          </cell>
          <cell r="E22">
            <v>1</v>
          </cell>
        </row>
        <row r="23">
          <cell r="B23" t="str">
            <v>Điện năng</v>
          </cell>
          <cell r="D23">
            <v>1838</v>
          </cell>
        </row>
        <row r="24">
          <cell r="B24" t="str">
            <v>FPP-15</v>
          </cell>
          <cell r="C24" t="str">
            <v>m2</v>
          </cell>
          <cell r="D24">
            <v>600000</v>
          </cell>
          <cell r="E24">
            <v>5</v>
          </cell>
        </row>
        <row r="25">
          <cell r="B25" t="str">
            <v>GC-FID</v>
          </cell>
          <cell r="C25" t="str">
            <v>bộ</v>
          </cell>
          <cell r="D25">
            <v>1204690000</v>
          </cell>
          <cell r="E25">
            <v>10</v>
          </cell>
        </row>
        <row r="26">
          <cell r="B26" t="str">
            <v>Hệ đếm tổng alpha, Bêta phông thấp</v>
          </cell>
          <cell r="C26" t="str">
            <v>Bộ</v>
          </cell>
          <cell r="D26">
            <v>450000000</v>
          </cell>
          <cell r="E26">
            <v>5</v>
          </cell>
        </row>
        <row r="27">
          <cell r="B27" t="str">
            <v>Hệ phổ kế Gamma phông thấp</v>
          </cell>
          <cell r="C27" t="str">
            <v>Bộ</v>
          </cell>
          <cell r="D27">
            <v>2200000000</v>
          </cell>
          <cell r="E27">
            <v>5</v>
          </cell>
        </row>
        <row r="28">
          <cell r="B28" t="str">
            <v>Hệ thống nạp mẫu khí</v>
          </cell>
          <cell r="C28" t="str">
            <v>bộ</v>
          </cell>
          <cell r="D28">
            <v>7500000</v>
          </cell>
          <cell r="E28">
            <v>5</v>
          </cell>
        </row>
        <row r="29">
          <cell r="B29" t="str">
            <v>Hệ điện phân</v>
          </cell>
          <cell r="C29" t="str">
            <v>bộ</v>
          </cell>
          <cell r="D29">
            <v>55000000</v>
          </cell>
          <cell r="E29">
            <v>5</v>
          </cell>
        </row>
        <row r="30">
          <cell r="B30" t="str">
            <v>Hệ làm bay hơi lạnh</v>
          </cell>
          <cell r="C30" t="str">
            <v>Bộ</v>
          </cell>
          <cell r="D30">
            <v>75000000</v>
          </cell>
          <cell r="E30">
            <v>5</v>
          </cell>
        </row>
        <row r="31">
          <cell r="B31" t="str">
            <v>Kích 5 tấn</v>
          </cell>
          <cell r="C31" t="str">
            <v>cái</v>
          </cell>
          <cell r="D31">
            <v>7000000</v>
          </cell>
          <cell r="E31">
            <v>5</v>
          </cell>
        </row>
        <row r="32">
          <cell r="B32" t="str">
            <v>Kính hiển vi</v>
          </cell>
          <cell r="C32" t="str">
            <v>cái</v>
          </cell>
          <cell r="D32">
            <v>61000000</v>
          </cell>
          <cell r="E32">
            <v>5</v>
          </cell>
        </row>
        <row r="33">
          <cell r="B33" t="str">
            <v>Kính hiển vi độ phóng đại 1000 lần</v>
          </cell>
          <cell r="C33" t="str">
            <v>cái</v>
          </cell>
          <cell r="D33">
            <v>445000000</v>
          </cell>
          <cell r="E33">
            <v>5</v>
          </cell>
        </row>
        <row r="34">
          <cell r="B34" t="str">
            <v>Kính hiển vi soi nổi độ phóng đại 400 lần</v>
          </cell>
          <cell r="C34" t="str">
            <v>cái</v>
          </cell>
          <cell r="D34">
            <v>320000000</v>
          </cell>
          <cell r="E34">
            <v>5</v>
          </cell>
        </row>
        <row r="35">
          <cell r="B35" t="str">
            <v>Khay hứng chuyên dụng</v>
          </cell>
          <cell r="C35" t="str">
            <v>cái</v>
          </cell>
          <cell r="D35">
            <v>30000000</v>
          </cell>
          <cell r="E35">
            <v>5</v>
          </cell>
        </row>
        <row r="36">
          <cell r="B36" t="str">
            <v>Khoan nhỏ</v>
          </cell>
          <cell r="C36" t="str">
            <v>cái</v>
          </cell>
          <cell r="D36">
            <v>10000000</v>
          </cell>
          <cell r="E36">
            <v>5</v>
          </cell>
        </row>
        <row r="37">
          <cell r="B37" t="str">
            <v>LF 197</v>
          </cell>
          <cell r="C37" t="str">
            <v>cái</v>
          </cell>
          <cell r="D37">
            <v>40000000</v>
          </cell>
          <cell r="E37">
            <v>5</v>
          </cell>
        </row>
        <row r="38">
          <cell r="B38" t="str">
            <v>LF 197S</v>
          </cell>
          <cell r="C38" t="str">
            <v>cái</v>
          </cell>
          <cell r="D38">
            <v>42000000</v>
          </cell>
          <cell r="E38">
            <v>5</v>
          </cell>
        </row>
        <row r="39">
          <cell r="B39" t="str">
            <v>Lò chuyển hóa</v>
          </cell>
          <cell r="C39" t="str">
            <v>bộ</v>
          </cell>
          <cell r="D39">
            <v>150000000</v>
          </cell>
          <cell r="E39">
            <v>5</v>
          </cell>
        </row>
        <row r="40">
          <cell r="B40" t="str">
            <v>Lò nung</v>
          </cell>
          <cell r="C40" t="str">
            <v>Cái</v>
          </cell>
          <cell r="D40">
            <v>64000000</v>
          </cell>
          <cell r="E40">
            <v>10</v>
          </cell>
        </row>
        <row r="41">
          <cell r="B41" t="str">
            <v>Lò vi sóng</v>
          </cell>
          <cell r="C41" t="str">
            <v>Cái</v>
          </cell>
          <cell r="D41">
            <v>317240000</v>
          </cell>
          <cell r="E41">
            <v>5</v>
          </cell>
        </row>
        <row r="42">
          <cell r="B42" t="str">
            <v>Máy nghiền</v>
          </cell>
          <cell r="C42" t="str">
            <v>Cái</v>
          </cell>
          <cell r="D42">
            <v>2500000</v>
          </cell>
          <cell r="E42">
            <v>5</v>
          </cell>
        </row>
        <row r="43">
          <cell r="B43" t="str">
            <v>Máy chưng cất đạm tự động</v>
          </cell>
          <cell r="C43" t="str">
            <v>Cái</v>
          </cell>
          <cell r="D43">
            <v>97230000</v>
          </cell>
          <cell r="E43">
            <v>5</v>
          </cell>
        </row>
        <row r="44">
          <cell r="B44" t="str">
            <v>Máy cất quay chân không</v>
          </cell>
          <cell r="C44" t="str">
            <v>Cái</v>
          </cell>
          <cell r="D44">
            <v>97230000</v>
          </cell>
          <cell r="E44">
            <v>5</v>
          </cell>
        </row>
        <row r="45">
          <cell r="B45" t="str">
            <v>Máy cô nitơ</v>
          </cell>
          <cell r="C45" t="str">
            <v>bộ</v>
          </cell>
          <cell r="D45">
            <v>102000000</v>
          </cell>
          <cell r="E45">
            <v>5</v>
          </cell>
        </row>
        <row r="46">
          <cell r="B46" t="str">
            <v>Máy đếm Coliform</v>
          </cell>
          <cell r="C46" t="str">
            <v>cái</v>
          </cell>
          <cell r="D46">
            <v>41600000</v>
          </cell>
          <cell r="E46">
            <v>5</v>
          </cell>
        </row>
        <row r="47">
          <cell r="B47" t="str">
            <v>Máy điều hòa nhiệt độ</v>
          </cell>
          <cell r="C47" t="str">
            <v>cái</v>
          </cell>
          <cell r="D47">
            <v>9500000</v>
          </cell>
          <cell r="E47">
            <v>5</v>
          </cell>
        </row>
        <row r="48">
          <cell r="B48" t="str">
            <v>Máy định vị GPS</v>
          </cell>
          <cell r="C48" t="str">
            <v>bộ</v>
          </cell>
          <cell r="D48">
            <v>10450000</v>
          </cell>
          <cell r="E48">
            <v>5</v>
          </cell>
        </row>
        <row r="49">
          <cell r="B49" t="str">
            <v>Máy định vị GPS cầm tay</v>
          </cell>
          <cell r="C49" t="str">
            <v xml:space="preserve">cái </v>
          </cell>
          <cell r="D49">
            <v>10450000</v>
          </cell>
          <cell r="E49">
            <v>5</v>
          </cell>
        </row>
        <row r="50">
          <cell r="B50" t="str">
            <v xml:space="preserve">Máy đo độ đục </v>
          </cell>
          <cell r="C50" t="str">
            <v xml:space="preserve">cái </v>
          </cell>
          <cell r="D50">
            <v>26250000</v>
          </cell>
          <cell r="E50">
            <v>5</v>
          </cell>
        </row>
        <row r="51">
          <cell r="B51" t="str">
            <v>Máy đo EC</v>
          </cell>
          <cell r="C51" t="str">
            <v>bộ</v>
          </cell>
          <cell r="D51">
            <v>44100000</v>
          </cell>
          <cell r="E51">
            <v>5</v>
          </cell>
        </row>
        <row r="52">
          <cell r="B52" t="str">
            <v>Máy đo gió cầm tay</v>
          </cell>
          <cell r="C52" t="str">
            <v>bộ</v>
          </cell>
          <cell r="D52">
            <v>17850000</v>
          </cell>
          <cell r="E52">
            <v>5</v>
          </cell>
        </row>
        <row r="53">
          <cell r="B53" t="str">
            <v>Máy đo hàm lượng Radon</v>
          </cell>
          <cell r="C53" t="str">
            <v>bộ</v>
          </cell>
          <cell r="D53">
            <v>400000000</v>
          </cell>
          <cell r="E53">
            <v>5</v>
          </cell>
        </row>
        <row r="54">
          <cell r="B54" t="str">
            <v>Máy đo nhiệt độ</v>
          </cell>
          <cell r="C54" t="str">
            <v>bộ</v>
          </cell>
          <cell r="D54">
            <v>3385000</v>
          </cell>
          <cell r="E54">
            <v>5</v>
          </cell>
        </row>
        <row r="55">
          <cell r="B55" t="str">
            <v>Máy đo pH</v>
          </cell>
          <cell r="C55" t="str">
            <v>bộ</v>
          </cell>
          <cell r="D55">
            <v>33846000</v>
          </cell>
          <cell r="E55">
            <v>5</v>
          </cell>
        </row>
        <row r="56">
          <cell r="B56" t="str">
            <v>Máy đo quang DR 2010</v>
          </cell>
          <cell r="C56" t="str">
            <v>bộ</v>
          </cell>
          <cell r="D56">
            <v>100750000</v>
          </cell>
          <cell r="E56">
            <v>5</v>
          </cell>
        </row>
        <row r="57">
          <cell r="B57" t="str">
            <v>Máy đo quang DR 2400</v>
          </cell>
          <cell r="C57" t="str">
            <v>bộ</v>
          </cell>
          <cell r="D57">
            <v>100750000</v>
          </cell>
          <cell r="E57">
            <v>5</v>
          </cell>
        </row>
        <row r="58">
          <cell r="B58" t="str">
            <v>Máy đo xuất liều bức xạ cầm tay</v>
          </cell>
          <cell r="C58" t="str">
            <v>cái</v>
          </cell>
          <cell r="D58">
            <v>70000000</v>
          </cell>
          <cell r="E58">
            <v>5</v>
          </cell>
        </row>
        <row r="59">
          <cell r="B59" t="str">
            <v>Máy hút khí</v>
          </cell>
          <cell r="C59" t="str">
            <v>cái</v>
          </cell>
          <cell r="D59">
            <v>350000000</v>
          </cell>
          <cell r="E59">
            <v>5</v>
          </cell>
        </row>
        <row r="60">
          <cell r="B60" t="str">
            <v>Máy khuấy</v>
          </cell>
          <cell r="C60" t="str">
            <v>Cái</v>
          </cell>
          <cell r="D60">
            <v>49875000</v>
          </cell>
          <cell r="E60">
            <v>5</v>
          </cell>
        </row>
        <row r="61">
          <cell r="B61" t="str">
            <v>Máy khuấy từ</v>
          </cell>
          <cell r="C61" t="str">
            <v>cái</v>
          </cell>
          <cell r="D61">
            <v>22000000</v>
          </cell>
          <cell r="E61">
            <v>5</v>
          </cell>
        </row>
        <row r="62">
          <cell r="B62" t="str">
            <v>Máy lắc xoay tròn</v>
          </cell>
          <cell r="C62" t="str">
            <v>cái</v>
          </cell>
          <cell r="D62">
            <v>80000000</v>
          </cell>
          <cell r="E62">
            <v>5</v>
          </cell>
        </row>
        <row r="63">
          <cell r="B63" t="str">
            <v>Máy lắc</v>
          </cell>
          <cell r="C63" t="str">
            <v>bộ</v>
          </cell>
          <cell r="D63">
            <v>33846000</v>
          </cell>
          <cell r="E63">
            <v>5</v>
          </cell>
        </row>
        <row r="64">
          <cell r="B64" t="str">
            <v>Máy lấy mẫu TESTO 350XL hoặc TESTO 512</v>
          </cell>
          <cell r="C64" t="str">
            <v>bộ</v>
          </cell>
          <cell r="D64">
            <v>447887261.09600002</v>
          </cell>
          <cell r="E64">
            <v>5</v>
          </cell>
        </row>
        <row r="65">
          <cell r="B65" t="str">
            <v>Máy lọc chân không</v>
          </cell>
          <cell r="C65" t="str">
            <v>bộ</v>
          </cell>
          <cell r="D65">
            <v>6500000</v>
          </cell>
          <cell r="E65">
            <v>5</v>
          </cell>
        </row>
        <row r="66">
          <cell r="B66" t="str">
            <v>Máy nén khí</v>
          </cell>
          <cell r="C66" t="str">
            <v>bộ</v>
          </cell>
          <cell r="D66">
            <v>17850000</v>
          </cell>
          <cell r="E66">
            <v>5</v>
          </cell>
        </row>
        <row r="67">
          <cell r="B67" t="str">
            <v>Máy phân tích quang phổ</v>
          </cell>
          <cell r="C67" t="str">
            <v>bộ</v>
          </cell>
          <cell r="D67">
            <v>120750000</v>
          </cell>
          <cell r="E67">
            <v>10</v>
          </cell>
        </row>
        <row r="68">
          <cell r="B68" t="str">
            <v>Máy phân tích quang phổ AAS</v>
          </cell>
          <cell r="C68" t="str">
            <v>bộ</v>
          </cell>
          <cell r="D68">
            <v>1058000000</v>
          </cell>
          <cell r="E68">
            <v>10</v>
          </cell>
        </row>
        <row r="69">
          <cell r="B69" t="str">
            <v>Máy phân tích quang phổ AAS hoặc cực phổ</v>
          </cell>
          <cell r="C69" t="str">
            <v>bộ</v>
          </cell>
          <cell r="D69">
            <v>1058000000</v>
          </cell>
          <cell r="E69">
            <v>10</v>
          </cell>
        </row>
        <row r="70">
          <cell r="B70" t="str">
            <v>Máy phân tích sắc ký GC</v>
          </cell>
          <cell r="C70" t="str">
            <v>bộ</v>
          </cell>
          <cell r="D70">
            <v>1204690000</v>
          </cell>
          <cell r="E70">
            <v>10</v>
          </cell>
        </row>
        <row r="71">
          <cell r="B71" t="str">
            <v>Máy phân tích trắc quang</v>
          </cell>
          <cell r="C71" t="str">
            <v>bộ</v>
          </cell>
          <cell r="D71">
            <v>100750000</v>
          </cell>
          <cell r="E71">
            <v>10</v>
          </cell>
        </row>
        <row r="72">
          <cell r="B72" t="str">
            <v>Máy quang kế ngọn lửa</v>
          </cell>
          <cell r="C72" t="str">
            <v>bộ</v>
          </cell>
          <cell r="D72">
            <v>310869600</v>
          </cell>
          <cell r="E72">
            <v>10</v>
          </cell>
        </row>
        <row r="73">
          <cell r="B73" t="str">
            <v>Máy quang phổ AAS</v>
          </cell>
          <cell r="C73" t="str">
            <v>bộ</v>
          </cell>
          <cell r="D73">
            <v>1058000000</v>
          </cell>
          <cell r="E73">
            <v>10</v>
          </cell>
        </row>
        <row r="74">
          <cell r="B74" t="str">
            <v>Máy quang phổ ngọn lửa</v>
          </cell>
          <cell r="C74" t="str">
            <v>bộ</v>
          </cell>
          <cell r="D74">
            <v>310869600</v>
          </cell>
          <cell r="E74">
            <v>10</v>
          </cell>
        </row>
        <row r="75">
          <cell r="B75" t="str">
            <v>Máy quang phổ UV-1601</v>
          </cell>
          <cell r="C75" t="str">
            <v>bộ</v>
          </cell>
          <cell r="D75">
            <v>156171600</v>
          </cell>
          <cell r="E75">
            <v>10</v>
          </cell>
        </row>
        <row r="76">
          <cell r="B76" t="str">
            <v>Máy quang phổ UV-VIS</v>
          </cell>
          <cell r="C76" t="str">
            <v>bộ</v>
          </cell>
          <cell r="D76">
            <v>100750000</v>
          </cell>
          <cell r="E76">
            <v>10</v>
          </cell>
        </row>
        <row r="77">
          <cell r="B77" t="str">
            <v>Máy sắc ký khí GC</v>
          </cell>
          <cell r="C77" t="str">
            <v>cái</v>
          </cell>
          <cell r="D77">
            <v>1204690000</v>
          </cell>
          <cell r="E77">
            <v>10</v>
          </cell>
        </row>
        <row r="78">
          <cell r="B78" t="str">
            <v>Máy sắc ký lỏng cao áp</v>
          </cell>
          <cell r="C78" t="str">
            <v>bộ</v>
          </cell>
          <cell r="D78">
            <v>865000000</v>
          </cell>
          <cell r="E78">
            <v>10</v>
          </cell>
        </row>
        <row r="79">
          <cell r="B79" t="str">
            <v>Máy sắc khí</v>
          </cell>
          <cell r="C79" t="str">
            <v>cái</v>
          </cell>
          <cell r="D79">
            <v>1204690000</v>
          </cell>
          <cell r="E79">
            <v>10</v>
          </cell>
        </row>
        <row r="80">
          <cell r="B80" t="str">
            <v>Thiết bị phân tích IC</v>
          </cell>
          <cell r="C80" t="str">
            <v>bộ</v>
          </cell>
          <cell r="D80">
            <v>900000000</v>
          </cell>
          <cell r="E80">
            <v>10</v>
          </cell>
        </row>
        <row r="81">
          <cell r="B81" t="str">
            <v>Máy tính xử lý số liệu</v>
          </cell>
          <cell r="C81" t="str">
            <v>bộ</v>
          </cell>
          <cell r="D81">
            <v>8940000</v>
          </cell>
          <cell r="E81">
            <v>5</v>
          </cell>
        </row>
        <row r="82">
          <cell r="B82" t="str">
            <v>Máy trắc quang</v>
          </cell>
          <cell r="C82" t="str">
            <v>bộ</v>
          </cell>
          <cell r="D82">
            <v>75000000</v>
          </cell>
          <cell r="E82">
            <v>10</v>
          </cell>
        </row>
        <row r="83">
          <cell r="B83" t="str">
            <v>Nồi hấp</v>
          </cell>
          <cell r="C83" t="str">
            <v>Cái</v>
          </cell>
          <cell r="D83">
            <v>67200000</v>
          </cell>
          <cell r="E83">
            <v>5</v>
          </cell>
        </row>
        <row r="84">
          <cell r="B84" t="str">
            <v>Nồi nấu có bộ phận lắc</v>
          </cell>
          <cell r="C84" t="str">
            <v>bộ</v>
          </cell>
          <cell r="D84">
            <v>50342000</v>
          </cell>
          <cell r="E84">
            <v>5</v>
          </cell>
        </row>
        <row r="85">
          <cell r="B85" t="str">
            <v>Nhiệt ẩm kế Asman</v>
          </cell>
          <cell r="C85" t="str">
            <v>cái</v>
          </cell>
          <cell r="D85">
            <v>800000</v>
          </cell>
          <cell r="E85">
            <v>5</v>
          </cell>
        </row>
        <row r="86">
          <cell r="B86" t="str">
            <v>Nhiệt kế thủy ngân</v>
          </cell>
          <cell r="C86" t="str">
            <v>bộ</v>
          </cell>
          <cell r="D86">
            <v>3045000</v>
          </cell>
          <cell r="E86">
            <v>5</v>
          </cell>
        </row>
        <row r="87">
          <cell r="B87" t="str">
            <v>Oxi 197</v>
          </cell>
          <cell r="C87" t="str">
            <v>bộ</v>
          </cell>
          <cell r="D87">
            <v>50769000</v>
          </cell>
          <cell r="E87">
            <v>5</v>
          </cell>
        </row>
        <row r="88">
          <cell r="B88" t="str">
            <v>Oxi 197S</v>
          </cell>
          <cell r="C88" t="str">
            <v xml:space="preserve">cái </v>
          </cell>
          <cell r="D88">
            <v>60923000</v>
          </cell>
          <cell r="E88">
            <v>5</v>
          </cell>
        </row>
        <row r="89">
          <cell r="B89" t="str">
            <v>pH 197</v>
          </cell>
          <cell r="C89" t="str">
            <v xml:space="preserve">cái </v>
          </cell>
          <cell r="D89">
            <v>50769000</v>
          </cell>
          <cell r="E89">
            <v>5</v>
          </cell>
        </row>
        <row r="90">
          <cell r="B90" t="str">
            <v>pH 197S</v>
          </cell>
          <cell r="C90" t="str">
            <v xml:space="preserve">cái </v>
          </cell>
          <cell r="D90">
            <v>60923000</v>
          </cell>
          <cell r="E90">
            <v>5</v>
          </cell>
        </row>
        <row r="91">
          <cell r="B91" t="str">
            <v>Pin 1.5v</v>
          </cell>
          <cell r="C91" t="str">
            <v>cái</v>
          </cell>
          <cell r="D91">
            <v>2500</v>
          </cell>
          <cell r="E91">
            <v>5</v>
          </cell>
        </row>
        <row r="92">
          <cell r="B92" t="str">
            <v>Pito type</v>
          </cell>
          <cell r="C92" t="str">
            <v>cái</v>
          </cell>
          <cell r="D92">
            <v>16291366.52</v>
          </cell>
          <cell r="E92">
            <v>5</v>
          </cell>
        </row>
        <row r="93">
          <cell r="B93" t="str">
            <v xml:space="preserve">Popylon </v>
          </cell>
          <cell r="C93" t="str">
            <v>cái</v>
          </cell>
          <cell r="D93">
            <v>200000000</v>
          </cell>
          <cell r="E93">
            <v>5</v>
          </cell>
        </row>
        <row r="94">
          <cell r="B94" t="str">
            <v xml:space="preserve">Quyntox </v>
          </cell>
          <cell r="C94" t="str">
            <v>bộ</v>
          </cell>
          <cell r="D94">
            <v>131087890.8</v>
          </cell>
          <cell r="E94">
            <v>5</v>
          </cell>
        </row>
        <row r="95">
          <cell r="B95" t="str">
            <v>Testo 350</v>
          </cell>
          <cell r="C95" t="str">
            <v>bộ</v>
          </cell>
          <cell r="D95">
            <v>447387261</v>
          </cell>
          <cell r="E95">
            <v>5</v>
          </cell>
        </row>
        <row r="96">
          <cell r="B96" t="str">
            <v>TESTO 512 hoặc thiết bị Metlab</v>
          </cell>
          <cell r="C96" t="str">
            <v>bộ</v>
          </cell>
          <cell r="D96">
            <v>33323249.699999999</v>
          </cell>
          <cell r="E96">
            <v>5</v>
          </cell>
        </row>
        <row r="97">
          <cell r="B97" t="str">
            <v>Tủ ấm</v>
          </cell>
          <cell r="C97" t="str">
            <v>cái</v>
          </cell>
          <cell r="D97">
            <v>46200000</v>
          </cell>
          <cell r="E97">
            <v>10</v>
          </cell>
        </row>
        <row r="98">
          <cell r="B98" t="str">
            <v>Tủ cấy vi sinh</v>
          </cell>
          <cell r="C98" t="str">
            <v>cái</v>
          </cell>
          <cell r="D98">
            <v>419580000</v>
          </cell>
          <cell r="E98">
            <v>5</v>
          </cell>
        </row>
        <row r="99">
          <cell r="B99" t="str">
            <v>Tủ hút</v>
          </cell>
          <cell r="C99" t="str">
            <v>cái</v>
          </cell>
          <cell r="D99">
            <v>144900000</v>
          </cell>
          <cell r="E99">
            <v>5</v>
          </cell>
        </row>
        <row r="100">
          <cell r="B100" t="str">
            <v>Tủ lạnh lưu chất chuẩn</v>
          </cell>
          <cell r="C100" t="str">
            <v>Cái</v>
          </cell>
          <cell r="D100">
            <v>204750000</v>
          </cell>
          <cell r="E100">
            <v>5</v>
          </cell>
        </row>
        <row r="101">
          <cell r="B101" t="str">
            <v>Tủ bảo quản mẫu</v>
          </cell>
          <cell r="C101" t="str">
            <v xml:space="preserve">cái </v>
          </cell>
          <cell r="D101">
            <v>58800000</v>
          </cell>
          <cell r="E101">
            <v>8</v>
          </cell>
        </row>
        <row r="102">
          <cell r="B102" t="str">
            <v>Tủ lưu chất chuẩn</v>
          </cell>
          <cell r="C102" t="str">
            <v>bộ</v>
          </cell>
          <cell r="D102">
            <v>58800000</v>
          </cell>
          <cell r="E102">
            <v>5</v>
          </cell>
        </row>
        <row r="103">
          <cell r="B103" t="str">
            <v>Tủ lưu hóa chất</v>
          </cell>
          <cell r="C103" t="str">
            <v>cái</v>
          </cell>
          <cell r="D103">
            <v>58800000</v>
          </cell>
          <cell r="E103">
            <v>5</v>
          </cell>
        </row>
        <row r="104">
          <cell r="B104" t="str">
            <v>Tủ lưu hóa chất chuẩn</v>
          </cell>
          <cell r="C104" t="str">
            <v>Cái</v>
          </cell>
          <cell r="D104">
            <v>58800000</v>
          </cell>
          <cell r="E104">
            <v>5</v>
          </cell>
        </row>
        <row r="105">
          <cell r="B105" t="str">
            <v>Tủ sấy</v>
          </cell>
          <cell r="C105" t="str">
            <v>cái</v>
          </cell>
          <cell r="D105">
            <v>31040000</v>
          </cell>
          <cell r="E105">
            <v>10</v>
          </cell>
        </row>
        <row r="106">
          <cell r="B106" t="str">
            <v>Tủ sấy mẫu</v>
          </cell>
          <cell r="C106" t="str">
            <v>cái</v>
          </cell>
          <cell r="D106">
            <v>31040000</v>
          </cell>
          <cell r="E106">
            <v>10</v>
          </cell>
        </row>
        <row r="107">
          <cell r="B107" t="str">
            <v>Tủ ủ BOD</v>
          </cell>
          <cell r="C107" t="str">
            <v>cái</v>
          </cell>
          <cell r="D107">
            <v>57750000</v>
          </cell>
          <cell r="E107">
            <v>5</v>
          </cell>
        </row>
        <row r="108">
          <cell r="B108" t="str">
            <v>Thiết bị chuyên dụng</v>
          </cell>
          <cell r="C108" t="str">
            <v>bộ</v>
          </cell>
          <cell r="D108">
            <v>64000000</v>
          </cell>
          <cell r="E108">
            <v>10</v>
          </cell>
        </row>
        <row r="109">
          <cell r="B109" t="str">
            <v>Thiết bị chưng cất</v>
          </cell>
          <cell r="C109" t="str">
            <v>bộ</v>
          </cell>
          <cell r="D109">
            <v>97230000</v>
          </cell>
          <cell r="E109">
            <v>5</v>
          </cell>
        </row>
        <row r="110">
          <cell r="B110" t="str">
            <v>Thiết bị điện hóa</v>
          </cell>
          <cell r="C110" t="str">
            <v>bộ</v>
          </cell>
          <cell r="D110">
            <v>52500000</v>
          </cell>
          <cell r="E110">
            <v>10</v>
          </cell>
        </row>
        <row r="111">
          <cell r="B111" t="str">
            <v>Thiết bị định vị GPS</v>
          </cell>
          <cell r="C111" t="str">
            <v>bộ</v>
          </cell>
          <cell r="D111">
            <v>10450000</v>
          </cell>
          <cell r="E111">
            <v>5</v>
          </cell>
        </row>
        <row r="112">
          <cell r="B112" t="str">
            <v>Thiết bị đo (BOD)</v>
          </cell>
          <cell r="C112" t="str">
            <v>bộ</v>
          </cell>
          <cell r="D112">
            <v>72975000</v>
          </cell>
          <cell r="E112">
            <v>5</v>
          </cell>
        </row>
        <row r="113">
          <cell r="B113" t="str">
            <v>Thiết bị đo độ trong suốt</v>
          </cell>
          <cell r="C113" t="str">
            <v>bộ</v>
          </cell>
          <cell r="D113">
            <v>4000000</v>
          </cell>
          <cell r="E113">
            <v>5</v>
          </cell>
        </row>
        <row r="114">
          <cell r="B114" t="str">
            <v>Thiết bị đo EC</v>
          </cell>
          <cell r="C114" t="str">
            <v>bộ</v>
          </cell>
          <cell r="D114">
            <v>44100000</v>
          </cell>
          <cell r="E114">
            <v>5</v>
          </cell>
        </row>
        <row r="115">
          <cell r="B115" t="str">
            <v>Thiết bị đo gió cầm tay</v>
          </cell>
          <cell r="C115" t="str">
            <v>bộ</v>
          </cell>
          <cell r="D115">
            <v>16923000</v>
          </cell>
          <cell r="E115">
            <v>5</v>
          </cell>
        </row>
        <row r="116">
          <cell r="B116" t="str">
            <v>Thiết bị đo hiện số</v>
          </cell>
          <cell r="C116" t="str">
            <v>bộ</v>
          </cell>
          <cell r="D116">
            <v>16923000</v>
          </cell>
          <cell r="E116">
            <v>5</v>
          </cell>
        </row>
        <row r="117">
          <cell r="B117" t="str">
            <v>Thiết bị đo hiện số và lưu kết quả</v>
          </cell>
          <cell r="C117" t="str">
            <v>bộ</v>
          </cell>
          <cell r="D117">
            <v>26950000</v>
          </cell>
          <cell r="E117">
            <v>5</v>
          </cell>
        </row>
        <row r="118">
          <cell r="B118" t="str">
            <v>Thiết bị đo đa chỉ tiêu</v>
          </cell>
          <cell r="C118" t="str">
            <v>bộ</v>
          </cell>
          <cell r="D118">
            <v>250000000</v>
          </cell>
          <cell r="E118">
            <v>10</v>
          </cell>
        </row>
        <row r="119">
          <cell r="B119" t="str">
            <v>Thiết bị lấy mẫu trầm tích và tời chuyên dụng</v>
          </cell>
          <cell r="C119" t="str">
            <v>bộ</v>
          </cell>
          <cell r="D119">
            <v>280000000</v>
          </cell>
          <cell r="E119">
            <v>10</v>
          </cell>
        </row>
        <row r="120">
          <cell r="B120" t="str">
            <v>Thiết bị lấy mẫu động vật phù du</v>
          </cell>
          <cell r="C120" t="str">
            <v>bộ</v>
          </cell>
          <cell r="D120">
            <v>60000000</v>
          </cell>
          <cell r="E120">
            <v>10</v>
          </cell>
        </row>
        <row r="121">
          <cell r="B121" t="str">
            <v>Thiết bị lấy mẫu thực vật phù du</v>
          </cell>
          <cell r="C121" t="str">
            <v>bộ</v>
          </cell>
          <cell r="D121">
            <v>80000000</v>
          </cell>
          <cell r="E121">
            <v>10</v>
          </cell>
        </row>
        <row r="122">
          <cell r="B122" t="str">
            <v xml:space="preserve">Thiết bị lấy mẫu sinh vật và bộ sàng </v>
          </cell>
          <cell r="C122" t="str">
            <v>bộ</v>
          </cell>
          <cell r="D122">
            <v>75000000</v>
          </cell>
          <cell r="E122">
            <v>10</v>
          </cell>
        </row>
        <row r="123">
          <cell r="B123" t="str">
            <v>Thiết bị đo pH</v>
          </cell>
          <cell r="C123" t="str">
            <v>bộ</v>
          </cell>
          <cell r="D123">
            <v>33846000</v>
          </cell>
          <cell r="E123">
            <v>5</v>
          </cell>
        </row>
        <row r="124">
          <cell r="B124" t="str">
            <v>Thiết bị đo tiếng ồn tích phân</v>
          </cell>
          <cell r="C124" t="str">
            <v>bộ</v>
          </cell>
          <cell r="D124">
            <v>11970000</v>
          </cell>
          <cell r="E124">
            <v>5</v>
          </cell>
        </row>
        <row r="125">
          <cell r="B125" t="str">
            <v>Thiết bị hấp tiệt trùng</v>
          </cell>
          <cell r="C125" t="str">
            <v>bộ</v>
          </cell>
          <cell r="D125">
            <v>67200000</v>
          </cell>
          <cell r="E125">
            <v>5</v>
          </cell>
        </row>
        <row r="126">
          <cell r="B126" t="str">
            <v>Bộ chuẩn lưu lượng</v>
          </cell>
          <cell r="C126" t="str">
            <v>bộ</v>
          </cell>
          <cell r="D126">
            <v>31500000</v>
          </cell>
          <cell r="E126">
            <v>5</v>
          </cell>
        </row>
        <row r="127">
          <cell r="B127" t="str">
            <v>Thiết bị lấy mẫu</v>
          </cell>
          <cell r="C127" t="str">
            <v>Cái</v>
          </cell>
          <cell r="D127">
            <v>50600000</v>
          </cell>
          <cell r="E127">
            <v>5</v>
          </cell>
        </row>
        <row r="128">
          <cell r="B128" t="str">
            <v>Thiết bị lấy mẫu bụi</v>
          </cell>
          <cell r="C128" t="str">
            <v>bộ</v>
          </cell>
          <cell r="D128">
            <v>50000000</v>
          </cell>
          <cell r="E128">
            <v>10</v>
          </cell>
        </row>
        <row r="129">
          <cell r="B129" t="str">
            <v xml:space="preserve">Thiết bị lấy mẫu khí </v>
          </cell>
          <cell r="C129" t="str">
            <v>bộ</v>
          </cell>
          <cell r="D129">
            <v>57700000</v>
          </cell>
          <cell r="E129">
            <v>5</v>
          </cell>
        </row>
        <row r="130">
          <cell r="B130" t="str">
            <v>Thiết bị lấy mẫu khí thải</v>
          </cell>
          <cell r="C130" t="str">
            <v>bộ</v>
          </cell>
          <cell r="D130">
            <v>550000000</v>
          </cell>
          <cell r="E130">
            <v>5</v>
          </cell>
        </row>
        <row r="131">
          <cell r="B131" t="str">
            <v>Thiết bị lấy mẫu nước</v>
          </cell>
          <cell r="C131" t="str">
            <v>bộ</v>
          </cell>
          <cell r="D131">
            <v>51450000</v>
          </cell>
          <cell r="E131">
            <v>5</v>
          </cell>
        </row>
        <row r="132">
          <cell r="B132" t="str">
            <v>Thiết bị cất nước 2 lần</v>
          </cell>
          <cell r="C132" t="str">
            <v>bộ</v>
          </cell>
          <cell r="D132">
            <v>99000000</v>
          </cell>
          <cell r="E132">
            <v>5</v>
          </cell>
        </row>
        <row r="133">
          <cell r="B133" t="str">
            <v>Thiết bị lọc</v>
          </cell>
          <cell r="C133" t="str">
            <v>bộ</v>
          </cell>
          <cell r="D133">
            <v>54000000</v>
          </cell>
          <cell r="E133">
            <v>5</v>
          </cell>
        </row>
        <row r="134">
          <cell r="B134" t="str">
            <v>Thiết bị lọc nước siêu sạch</v>
          </cell>
          <cell r="C134" t="str">
            <v>bộ</v>
          </cell>
          <cell r="D134">
            <v>129150000</v>
          </cell>
          <cell r="E134">
            <v>8</v>
          </cell>
        </row>
        <row r="135">
          <cell r="B135" t="str">
            <v>Thiết bị picnomet</v>
          </cell>
          <cell r="C135" t="str">
            <v>bộ</v>
          </cell>
          <cell r="D135">
            <v>21000000</v>
          </cell>
          <cell r="E135">
            <v>5</v>
          </cell>
        </row>
        <row r="136">
          <cell r="B136" t="str">
            <v>Thiết bị phá mẫu</v>
          </cell>
          <cell r="C136" t="str">
            <v>bộ</v>
          </cell>
          <cell r="D136">
            <v>28350000</v>
          </cell>
          <cell r="E136">
            <v>5</v>
          </cell>
        </row>
        <row r="137">
          <cell r="B137" t="str">
            <v>Thiết bị phá mẫu bằng vi sóng</v>
          </cell>
          <cell r="C137" t="str">
            <v>bộ</v>
          </cell>
          <cell r="D137">
            <v>317240000</v>
          </cell>
          <cell r="E137">
            <v>5</v>
          </cell>
        </row>
        <row r="138">
          <cell r="B138" t="str">
            <v>Thiết bị phản ứng COD</v>
          </cell>
          <cell r="C138" t="str">
            <v>bộ</v>
          </cell>
          <cell r="D138">
            <v>55650000</v>
          </cell>
          <cell r="E138">
            <v>5</v>
          </cell>
        </row>
        <row r="139">
          <cell r="B139" t="str">
            <v>Thiết bị phân tích</v>
          </cell>
          <cell r="C139" t="str">
            <v>bộ</v>
          </cell>
          <cell r="D139">
            <v>500000000</v>
          </cell>
          <cell r="E139">
            <v>10</v>
          </cell>
        </row>
        <row r="140">
          <cell r="B140" t="str">
            <v>Thiết bị sàng rây</v>
          </cell>
          <cell r="C140" t="str">
            <v>bộ</v>
          </cell>
          <cell r="D140">
            <v>67200000</v>
          </cell>
          <cell r="E140">
            <v>5</v>
          </cell>
        </row>
        <row r="141">
          <cell r="B141" t="str">
            <v>Thiết bị sinh khí chuẩn</v>
          </cell>
          <cell r="C141" t="str">
            <v>bộ</v>
          </cell>
          <cell r="D141">
            <v>60000000</v>
          </cell>
          <cell r="E141">
            <v>5</v>
          </cell>
        </row>
        <row r="142">
          <cell r="B142" t="str">
            <v>Thiết bị sinh khí zero</v>
          </cell>
          <cell r="C142" t="str">
            <v>bộ</v>
          </cell>
          <cell r="D142">
            <v>45000000</v>
          </cell>
          <cell r="E142">
            <v>5</v>
          </cell>
        </row>
        <row r="143">
          <cell r="B143" t="str">
            <v>Thiết bị Sóng ký</v>
          </cell>
          <cell r="C143" t="str">
            <v>bộ</v>
          </cell>
          <cell r="D143">
            <v>120000</v>
          </cell>
          <cell r="E143">
            <v>5</v>
          </cell>
        </row>
        <row r="144">
          <cell r="B144" t="str">
            <v>Thước dây</v>
          </cell>
          <cell r="C144" t="str">
            <v>cái</v>
          </cell>
          <cell r="D144">
            <v>533500</v>
          </cell>
          <cell r="E144">
            <v>5</v>
          </cell>
        </row>
        <row r="145">
          <cell r="B145" t="str">
            <v>U20XD</v>
          </cell>
          <cell r="C145" t="str">
            <v>bộ</v>
          </cell>
          <cell r="D145">
            <v>190000000</v>
          </cell>
          <cell r="E145">
            <v>5</v>
          </cell>
        </row>
        <row r="146">
          <cell r="B146" t="str">
            <v>YSI 6820</v>
          </cell>
          <cell r="C146" t="str">
            <v>bộ</v>
          </cell>
          <cell r="D146">
            <v>19960000</v>
          </cell>
          <cell r="E146">
            <v>5</v>
          </cell>
        </row>
        <row r="147">
          <cell r="B147" t="str">
            <v>Máy sắc ký ion</v>
          </cell>
          <cell r="C147" t="str">
            <v>bộ</v>
          </cell>
          <cell r="D147">
            <v>865000000</v>
          </cell>
          <cell r="E147">
            <v>10</v>
          </cell>
        </row>
        <row r="148">
          <cell r="B148" t="str">
            <v>Hệ thống ICP</v>
          </cell>
          <cell r="C148" t="str">
            <v>bộ</v>
          </cell>
          <cell r="D148">
            <v>5580000000</v>
          </cell>
          <cell r="E148">
            <v>10</v>
          </cell>
        </row>
        <row r="149">
          <cell r="B149" t="str">
            <v>Thiết bị đo chênh áp</v>
          </cell>
          <cell r="C149" t="str">
            <v>Bộ</v>
          </cell>
          <cell r="D149">
            <v>16923000</v>
          </cell>
          <cell r="E149">
            <v>5</v>
          </cell>
        </row>
        <row r="150">
          <cell r="B150" t="str">
            <v>Thiết bị điều khiển lấy mẫu bụi</v>
          </cell>
          <cell r="C150" t="str">
            <v>bộ</v>
          </cell>
          <cell r="D150">
            <v>300000000</v>
          </cell>
          <cell r="E150">
            <v>10</v>
          </cell>
        </row>
        <row r="151">
          <cell r="B151" t="str">
            <v>Thiết bị lấy mẫu khí Oxy</v>
          </cell>
          <cell r="C151" t="str">
            <v>Bộ</v>
          </cell>
          <cell r="D151">
            <v>55000000</v>
          </cell>
          <cell r="E151">
            <v>5</v>
          </cell>
        </row>
        <row r="152">
          <cell r="B152" t="str">
            <v>Thiết bị lấy mẫu khí CO</v>
          </cell>
          <cell r="C152" t="str">
            <v>Bộ</v>
          </cell>
          <cell r="D152">
            <v>40500000</v>
          </cell>
          <cell r="E152">
            <v>5</v>
          </cell>
        </row>
        <row r="153">
          <cell r="B153" t="str">
            <v>Thiết bị lấy mẫu khí CO2</v>
          </cell>
          <cell r="C153" t="str">
            <v>Bộ</v>
          </cell>
          <cell r="D153">
            <v>50000000</v>
          </cell>
          <cell r="E153">
            <v>5</v>
          </cell>
        </row>
        <row r="154">
          <cell r="B154" t="str">
            <v>Thiết bị lấy mẫu khí NO</v>
          </cell>
          <cell r="C154" t="str">
            <v>Bộ</v>
          </cell>
          <cell r="D154">
            <v>52000000</v>
          </cell>
          <cell r="E154">
            <v>5</v>
          </cell>
        </row>
        <row r="155">
          <cell r="B155" t="str">
            <v>Thiết bị lấy mẫu khí NO2</v>
          </cell>
          <cell r="C155" t="str">
            <v>Bộ</v>
          </cell>
          <cell r="D155">
            <v>48000000</v>
          </cell>
          <cell r="E155">
            <v>5</v>
          </cell>
        </row>
        <row r="156">
          <cell r="B156" t="str">
            <v>Thiết bị lấy mẫu khí NOx</v>
          </cell>
          <cell r="C156" t="str">
            <v>Bộ</v>
          </cell>
          <cell r="D156">
            <v>56500000</v>
          </cell>
          <cell r="E156">
            <v>5</v>
          </cell>
        </row>
        <row r="157">
          <cell r="B157" t="str">
            <v xml:space="preserve">Thiết bị lấy mẫu khí SO2 </v>
          </cell>
          <cell r="C157" t="str">
            <v>Bộ</v>
          </cell>
          <cell r="D157">
            <v>40500000</v>
          </cell>
          <cell r="E157">
            <v>5</v>
          </cell>
        </row>
        <row r="158">
          <cell r="B158" t="str">
            <v xml:space="preserve">Cân phân tích </v>
          </cell>
          <cell r="C158" t="str">
            <v>Cái</v>
          </cell>
          <cell r="D158">
            <v>30000000</v>
          </cell>
          <cell r="E158">
            <v>8</v>
          </cell>
        </row>
        <row r="159">
          <cell r="B159" t="str">
            <v>Máy vi tính</v>
          </cell>
          <cell r="C159" t="str">
            <v>bộ</v>
          </cell>
          <cell r="D159">
            <v>12000000</v>
          </cell>
          <cell r="E159">
            <v>5</v>
          </cell>
        </row>
        <row r="160">
          <cell r="B160" t="str">
            <v>Máy lấy mẫu TESTO 350XL hoặc TESTO 512 (giá TESTO 350XL)</v>
          </cell>
          <cell r="C160" t="str">
            <v>Bộ</v>
          </cell>
          <cell r="D160">
            <v>447887261.09600002</v>
          </cell>
          <cell r="E160">
            <v>10</v>
          </cell>
        </row>
        <row r="161">
          <cell r="B161" t="str">
            <v xml:space="preserve">Nồi nấu có bộ phận lắc </v>
          </cell>
          <cell r="C161" t="str">
            <v>Bộ</v>
          </cell>
          <cell r="D161">
            <v>50342000</v>
          </cell>
          <cell r="E161">
            <v>10</v>
          </cell>
        </row>
        <row r="162">
          <cell r="B162" t="str">
            <v>Thiết bị đo độ rung gia tốc</v>
          </cell>
          <cell r="C162" t="str">
            <v>Bộ</v>
          </cell>
          <cell r="D162">
            <v>20000000</v>
          </cell>
          <cell r="E162">
            <v>5</v>
          </cell>
        </row>
        <row r="163">
          <cell r="B163" t="str">
            <v xml:space="preserve">Thiết bị hút mẫu </v>
          </cell>
          <cell r="C163" t="str">
            <v>Bộ</v>
          </cell>
          <cell r="D163">
            <v>20000000</v>
          </cell>
          <cell r="E163">
            <v>5</v>
          </cell>
        </row>
        <row r="164">
          <cell r="B164" t="str">
            <v>Thiết bị lấy mẫu</v>
          </cell>
          <cell r="C164" t="str">
            <v>Bộ</v>
          </cell>
          <cell r="D164">
            <v>250000000</v>
          </cell>
          <cell r="E164">
            <v>10</v>
          </cell>
        </row>
        <row r="165">
          <cell r="B165" t="str">
            <v>Thiết bị điều khiển lấy mẫu</v>
          </cell>
          <cell r="C165" t="str">
            <v>Bộ</v>
          </cell>
          <cell r="D165">
            <v>250000000</v>
          </cell>
          <cell r="E165">
            <v>10</v>
          </cell>
        </row>
        <row r="166">
          <cell r="B166" t="str">
            <v xml:space="preserve">Thiết bị đo lưu lượng khí </v>
          </cell>
          <cell r="C166" t="str">
            <v>Bộ</v>
          </cell>
          <cell r="D166">
            <v>25000000</v>
          </cell>
          <cell r="E166">
            <v>5</v>
          </cell>
        </row>
        <row r="167">
          <cell r="B167" t="str">
            <v>Máy ảnh kỹ thuật số</v>
          </cell>
          <cell r="C167" t="str">
            <v>cái</v>
          </cell>
          <cell r="D167">
            <v>3150000</v>
          </cell>
          <cell r="E167">
            <v>5</v>
          </cell>
        </row>
        <row r="168">
          <cell r="B168" t="str">
            <v>Modul phân tích khí CO</v>
          </cell>
          <cell r="C168" t="str">
            <v>cái</v>
          </cell>
          <cell r="D168">
            <v>350000000</v>
          </cell>
          <cell r="E168">
            <v>5</v>
          </cell>
        </row>
        <row r="169">
          <cell r="B169" t="str">
            <v>Máy tạo đa khí chuẩn</v>
          </cell>
          <cell r="C169" t="str">
            <v>cái</v>
          </cell>
          <cell r="D169">
            <v>90000000</v>
          </cell>
          <cell r="E169">
            <v>5</v>
          </cell>
        </row>
        <row r="170">
          <cell r="B170" t="str">
            <v>Bộ tạo khí 0 (zezo)</v>
          </cell>
          <cell r="C170" t="str">
            <v>bộ</v>
          </cell>
          <cell r="D170">
            <v>45000000</v>
          </cell>
          <cell r="E170">
            <v>5</v>
          </cell>
        </row>
        <row r="171">
          <cell r="B171" t="str">
            <v>Bộ lưu giữ số liệu (Data logger)</v>
          </cell>
          <cell r="C171" t="str">
            <v>bộ</v>
          </cell>
          <cell r="D171">
            <v>250000000</v>
          </cell>
          <cell r="E171">
            <v>5</v>
          </cell>
        </row>
        <row r="172">
          <cell r="B172" t="str">
            <v xml:space="preserve">Máy phát điện 15 KVA 220V </v>
          </cell>
          <cell r="C172" t="str">
            <v>cái</v>
          </cell>
          <cell r="D172">
            <v>125000000</v>
          </cell>
          <cell r="E172">
            <v>5</v>
          </cell>
        </row>
        <row r="173">
          <cell r="B173" t="str">
            <v>Bơm hút mẫu</v>
          </cell>
          <cell r="C173" t="str">
            <v>cái</v>
          </cell>
          <cell r="D173">
            <v>94943000</v>
          </cell>
          <cell r="E173">
            <v>5</v>
          </cell>
        </row>
        <row r="174">
          <cell r="B174" t="str">
            <v>Đường ống dẫn lấy mẫu khí</v>
          </cell>
          <cell r="C174" t="str">
            <v>bôộ</v>
          </cell>
          <cell r="D174">
            <v>94943000</v>
          </cell>
          <cell r="E174">
            <v>5</v>
          </cell>
        </row>
        <row r="175">
          <cell r="B175" t="str">
            <v>Đường ống dẫn lấy mẫu nước</v>
          </cell>
          <cell r="C175" t="str">
            <v>bôộ</v>
          </cell>
          <cell r="D175">
            <v>60000000</v>
          </cell>
          <cell r="E175">
            <v>5</v>
          </cell>
        </row>
        <row r="176">
          <cell r="B176" t="str">
            <v>Hệ thống báo động chống trộm</v>
          </cell>
          <cell r="C176" t="str">
            <v>bộ</v>
          </cell>
          <cell r="D176">
            <v>15000000</v>
          </cell>
          <cell r="E176">
            <v>2</v>
          </cell>
        </row>
        <row r="177">
          <cell r="B177" t="str">
            <v>Hệ thống cảnh báo cháy</v>
          </cell>
          <cell r="C177" t="str">
            <v>bộ</v>
          </cell>
          <cell r="D177">
            <v>18500000</v>
          </cell>
          <cell r="E177">
            <v>5</v>
          </cell>
        </row>
        <row r="178">
          <cell r="B178" t="str">
            <v>Hệ thống chống sét theo đường điện cấp cho trạm</v>
          </cell>
          <cell r="C178" t="str">
            <v>bộ</v>
          </cell>
          <cell r="D178">
            <v>20000000</v>
          </cell>
          <cell r="E178">
            <v>5</v>
          </cell>
        </row>
        <row r="179">
          <cell r="B179" t="str">
            <v>Hệ thống chống sét theo đường truyền số liệu</v>
          </cell>
          <cell r="C179" t="str">
            <v>bộ</v>
          </cell>
          <cell r="D179">
            <v>20000000</v>
          </cell>
          <cell r="E179">
            <v>5</v>
          </cell>
        </row>
        <row r="180">
          <cell r="B180" t="str">
            <v>Máy in</v>
          </cell>
          <cell r="C180" t="str">
            <v>bộ</v>
          </cell>
          <cell r="D180">
            <v>20000000</v>
          </cell>
          <cell r="E180">
            <v>5</v>
          </cell>
        </row>
        <row r="181">
          <cell r="B181" t="str">
            <v>Bộ chuyển đổi dữ liệu</v>
          </cell>
          <cell r="C181" t="str">
            <v>bộ</v>
          </cell>
          <cell r="D181">
            <v>250000000</v>
          </cell>
          <cell r="E181">
            <v>5</v>
          </cell>
        </row>
        <row r="182">
          <cell r="B182" t="str">
            <v>Sensor đo nhiệt độ/độ ẩm</v>
          </cell>
          <cell r="C182" t="str">
            <v>bộ</v>
          </cell>
          <cell r="D182">
            <v>150000000</v>
          </cell>
          <cell r="E182">
            <v>5</v>
          </cell>
        </row>
        <row r="183">
          <cell r="B183" t="str">
            <v>Bộ thu thập, xử lý và lưu giữ số liệu (Data Logger)</v>
          </cell>
          <cell r="D183">
            <v>65000000</v>
          </cell>
          <cell r="E183">
            <v>5</v>
          </cell>
        </row>
        <row r="184">
          <cell r="B184" t="str">
            <v>Bộ truyền dữ liệu qua modem điện thoại hoặc Internet/mạng GSM/ qua vệ tinh</v>
          </cell>
          <cell r="D184">
            <v>150000000</v>
          </cell>
          <cell r="E184">
            <v>5</v>
          </cell>
        </row>
        <row r="185">
          <cell r="B185" t="str">
            <v>Cột treo sensor</v>
          </cell>
          <cell r="D185">
            <v>5000000</v>
          </cell>
          <cell r="E185">
            <v>3</v>
          </cell>
        </row>
        <row r="186">
          <cell r="B186" t="str">
            <v>Thiết bị đo tốc độ gió, hướng gió</v>
          </cell>
          <cell r="D186">
            <v>150000000</v>
          </cell>
          <cell r="E186">
            <v>5</v>
          </cell>
        </row>
        <row r="187">
          <cell r="B187" t="str">
            <v>Sensor đo đọ ẩm, áp suất</v>
          </cell>
          <cell r="D187">
            <v>150000000</v>
          </cell>
          <cell r="E187">
            <v>5</v>
          </cell>
        </row>
        <row r="188">
          <cell r="B188" t="str">
            <v>Thiết bị đo bức xạ mặt trời</v>
          </cell>
          <cell r="D188">
            <v>150000000</v>
          </cell>
          <cell r="E188">
            <v>5</v>
          </cell>
        </row>
        <row r="189">
          <cell r="B189" t="str">
            <v>Bộ máy chủ lưu trữ số liệu</v>
          </cell>
          <cell r="D189">
            <v>165000000</v>
          </cell>
          <cell r="E189">
            <v>5</v>
          </cell>
        </row>
        <row r="190">
          <cell r="B190" t="str">
            <v>Bộ cáp nối tín hiệu các modul</v>
          </cell>
          <cell r="D190">
            <v>65000000</v>
          </cell>
          <cell r="E190">
            <v>5</v>
          </cell>
        </row>
        <row r="191">
          <cell r="B191" t="str">
            <v>Máy đo bụi lơ lửng PM10 và TSP</v>
          </cell>
          <cell r="D191">
            <v>150000000</v>
          </cell>
          <cell r="E191">
            <v>5</v>
          </cell>
        </row>
        <row r="192">
          <cell r="B192" t="str">
            <v>Modul phân tích NO-NO2 - NOx</v>
          </cell>
          <cell r="D192">
            <v>150000000</v>
          </cell>
          <cell r="E192">
            <v>5</v>
          </cell>
        </row>
        <row r="193">
          <cell r="B193" t="str">
            <v>Modul phân tích khí SO2</v>
          </cell>
          <cell r="D193">
            <v>150000000</v>
          </cell>
          <cell r="E193">
            <v>5</v>
          </cell>
        </row>
        <row r="194">
          <cell r="B194" t="str">
            <v>Modul phân tích khí O3</v>
          </cell>
          <cell r="D194">
            <v>150000000</v>
          </cell>
          <cell r="E194">
            <v>5</v>
          </cell>
        </row>
        <row r="195">
          <cell r="B195" t="str">
            <v>Modul phân tích khí THC</v>
          </cell>
          <cell r="D195">
            <v>150000000</v>
          </cell>
          <cell r="E195">
            <v>5</v>
          </cell>
        </row>
        <row r="196">
          <cell r="B196" t="str">
            <v>Modul phân tích khí BTX</v>
          </cell>
          <cell r="D196">
            <v>150000000</v>
          </cell>
          <cell r="E196">
            <v>5</v>
          </cell>
        </row>
        <row r="197">
          <cell r="B197" t="str">
            <v>Thiết bị đo nhiệt độ/ độ ẩm</v>
          </cell>
          <cell r="D197">
            <v>150000000</v>
          </cell>
          <cell r="E197">
            <v>5</v>
          </cell>
        </row>
        <row r="198">
          <cell r="B198" t="str">
            <v>Thiết bị đo  tốc độ gió</v>
          </cell>
          <cell r="D198">
            <v>150000000</v>
          </cell>
          <cell r="E198">
            <v>5</v>
          </cell>
        </row>
        <row r="199">
          <cell r="B199" t="str">
            <v>Thiết bị đo hướng gió</v>
          </cell>
          <cell r="D199">
            <v>150000000</v>
          </cell>
          <cell r="E199">
            <v>5</v>
          </cell>
        </row>
        <row r="200">
          <cell r="B200" t="str">
            <v>Thiết bị đo áp suất khí quyển</v>
          </cell>
          <cell r="D200">
            <v>150000000</v>
          </cell>
          <cell r="E200">
            <v>5</v>
          </cell>
        </row>
        <row r="201">
          <cell r="B201" t="str">
            <v xml:space="preserve">Modul phân tích khí O­3 </v>
          </cell>
          <cell r="D201">
            <v>150000000</v>
          </cell>
          <cell r="E201">
            <v>5</v>
          </cell>
        </row>
        <row r="202">
          <cell r="B202" t="str">
            <v>Modul phân tích khí CxHy</v>
          </cell>
          <cell r="D202">
            <v>150000000</v>
          </cell>
          <cell r="E202">
            <v>5</v>
          </cell>
        </row>
        <row r="203">
          <cell r="B203" t="str">
            <v>Hệ thống lấy mẫu nước</v>
          </cell>
          <cell r="D203">
            <v>65000000</v>
          </cell>
          <cell r="E203">
            <v>5</v>
          </cell>
        </row>
        <row r="204">
          <cell r="B204" t="str">
            <v>Bộ pin mặt trời</v>
          </cell>
          <cell r="D204">
            <v>6000000</v>
          </cell>
          <cell r="E204">
            <v>1</v>
          </cell>
        </row>
        <row r="205">
          <cell r="B205" t="str">
            <v>Bộ xạc pin dự phòng</v>
          </cell>
          <cell r="D205">
            <v>1800000</v>
          </cell>
          <cell r="E205">
            <v>1</v>
          </cell>
        </row>
        <row r="206">
          <cell r="B206" t="str">
            <v>Thuyền máy (ca nô)</v>
          </cell>
          <cell r="D206">
            <v>150000000</v>
          </cell>
        </row>
        <row r="207">
          <cell r="B207" t="str">
            <v>Thiết bị lấy mẫu bui (ống probe)</v>
          </cell>
          <cell r="D207">
            <v>150000000</v>
          </cell>
        </row>
        <row r="208">
          <cell r="B208" t="str">
            <v>Thiết bị hiệu chuẩn lưu lượng</v>
          </cell>
          <cell r="D208">
            <v>31500000</v>
          </cell>
        </row>
        <row r="209">
          <cell r="B209" t="str">
            <v>Máy tính xách tay</v>
          </cell>
          <cell r="D209">
            <v>20000000</v>
          </cell>
        </row>
        <row r="210">
          <cell r="B210" t="str">
            <v>Bộ đàm</v>
          </cell>
          <cell r="D210">
            <v>10000000</v>
          </cell>
        </row>
        <row r="211">
          <cell r="B211" t="str">
            <v>Thiết bị đo nhanh IMR</v>
          </cell>
          <cell r="D211">
            <v>300000000</v>
          </cell>
        </row>
        <row r="212">
          <cell r="B212" t="str">
            <v>Thiết bị sắc ký khí độ phân giải cao DFS</v>
          </cell>
          <cell r="D212">
            <v>16329087000</v>
          </cell>
        </row>
        <row r="213">
          <cell r="B213" t="str">
            <v>Chiết Soxhlet B811, Buchi</v>
          </cell>
          <cell r="D213">
            <v>1113438000</v>
          </cell>
        </row>
        <row r="214">
          <cell r="B214" t="str">
            <v>Bồn siêu âm WUC.DH10H, DaiHan</v>
          </cell>
          <cell r="C214" t="str">
            <v>cái</v>
          </cell>
          <cell r="D214">
            <v>1113438000</v>
          </cell>
        </row>
        <row r="215">
          <cell r="B215" t="str">
            <v>Máy rung Vortex MS3, IKA</v>
          </cell>
          <cell r="C215" t="str">
            <v>cái</v>
          </cell>
          <cell r="D215">
            <v>15000000</v>
          </cell>
        </row>
        <row r="216">
          <cell r="B216" t="str">
            <v>Tủ hút, Esco basic 47</v>
          </cell>
          <cell r="D216">
            <v>15000000</v>
          </cell>
        </row>
        <row r="217">
          <cell r="B217" t="str">
            <v>Tủ lạnh 0-8oC bảo quản chất chuẩn, mẫu, Panasonic, 302SS</v>
          </cell>
          <cell r="C217" t="str">
            <v>cái</v>
          </cell>
          <cell r="D217">
            <v>179000000</v>
          </cell>
        </row>
        <row r="218">
          <cell r="B218" t="str">
            <v>Máy hút ẩm NAB-20DEN3, Nagakawa (03 chiếc)</v>
          </cell>
          <cell r="D218">
            <v>12000000</v>
          </cell>
        </row>
        <row r="219">
          <cell r="B219" t="str">
            <v>Máy phát điện 1 pha</v>
          </cell>
          <cell r="D219">
            <v>138600000</v>
          </cell>
        </row>
        <row r="220">
          <cell r="B220" t="str">
            <v>Máy phát điện 3 pha</v>
          </cell>
          <cell r="D220">
            <v>460339000</v>
          </cell>
        </row>
        <row r="221">
          <cell r="B221" t="str">
            <v>Máy tính để bàn xử lý số liệu, xuất lưu trữ số liệu</v>
          </cell>
          <cell r="D221">
            <v>11623000</v>
          </cell>
        </row>
        <row r="222">
          <cell r="B222" t="str">
            <v>Máy in xuất kết quả</v>
          </cell>
          <cell r="D222">
            <v>9350000</v>
          </cell>
        </row>
        <row r="223">
          <cell r="B223" t="str">
            <v>Tủ đông lạnh đến -20oC bảo quản, lưu mẫu thời gian dài, SANAKY VH-565HY</v>
          </cell>
          <cell r="D223">
            <v>10000000</v>
          </cell>
        </row>
        <row r="224">
          <cell r="B224" t="str">
            <v>Tủ đông lạnh đến -20oC bảo quản, lưu mẫu thời gian dài, SANAKY VH-565HY</v>
          </cell>
          <cell r="D224">
            <v>10000000</v>
          </cell>
        </row>
        <row r="225">
          <cell r="B225" t="str">
            <v>Máy in xuất kết quả</v>
          </cell>
          <cell r="D225">
            <v>9350000</v>
          </cell>
        </row>
        <row r="226">
          <cell r="B226" t="str">
            <v>Tủ đông lạnh đến -20oC bảo quản, lưu mẫu thời gian dài, SANAKY VH-565HY</v>
          </cell>
          <cell r="D226">
            <v>10000000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36"/>
  <sheetViews>
    <sheetView zoomScale="75" zoomScaleNormal="70" workbookViewId="0">
      <pane ySplit="2" topLeftCell="A23" activePane="bottomLeft" state="frozen"/>
      <selection pane="bottomLeft" activeCell="I28" sqref="I28"/>
    </sheetView>
  </sheetViews>
  <sheetFormatPr defaultRowHeight="17.149999999999999" customHeight="1" x14ac:dyDescent="0.35"/>
  <cols>
    <col min="1" max="1" width="12" style="76" customWidth="1"/>
    <col min="2" max="2" width="58.81640625" style="250" customWidth="1"/>
    <col min="3" max="3" width="30.7265625" style="251" customWidth="1"/>
    <col min="4" max="256" width="9.1796875" style="75"/>
    <col min="257" max="257" width="12" style="75" customWidth="1"/>
    <col min="258" max="258" width="58.81640625" style="75" customWidth="1"/>
    <col min="259" max="259" width="30.7265625" style="75" customWidth="1"/>
    <col min="260" max="512" width="9.1796875" style="75"/>
    <col min="513" max="513" width="12" style="75" customWidth="1"/>
    <col min="514" max="514" width="58.81640625" style="75" customWidth="1"/>
    <col min="515" max="515" width="30.7265625" style="75" customWidth="1"/>
    <col min="516" max="768" width="9.1796875" style="75"/>
    <col min="769" max="769" width="12" style="75" customWidth="1"/>
    <col min="770" max="770" width="58.81640625" style="75" customWidth="1"/>
    <col min="771" max="771" width="30.7265625" style="75" customWidth="1"/>
    <col min="772" max="1024" width="9.1796875" style="75"/>
    <col min="1025" max="1025" width="12" style="75" customWidth="1"/>
    <col min="1026" max="1026" width="58.81640625" style="75" customWidth="1"/>
    <col min="1027" max="1027" width="30.7265625" style="75" customWidth="1"/>
    <col min="1028" max="1280" width="9.1796875" style="75"/>
    <col min="1281" max="1281" width="12" style="75" customWidth="1"/>
    <col min="1282" max="1282" width="58.81640625" style="75" customWidth="1"/>
    <col min="1283" max="1283" width="30.7265625" style="75" customWidth="1"/>
    <col min="1284" max="1536" width="9.1796875" style="75"/>
    <col min="1537" max="1537" width="12" style="75" customWidth="1"/>
    <col min="1538" max="1538" width="58.81640625" style="75" customWidth="1"/>
    <col min="1539" max="1539" width="30.7265625" style="75" customWidth="1"/>
    <col min="1540" max="1792" width="9.1796875" style="75"/>
    <col min="1793" max="1793" width="12" style="75" customWidth="1"/>
    <col min="1794" max="1794" width="58.81640625" style="75" customWidth="1"/>
    <col min="1795" max="1795" width="30.7265625" style="75" customWidth="1"/>
    <col min="1796" max="2048" width="9.1796875" style="75"/>
    <col min="2049" max="2049" width="12" style="75" customWidth="1"/>
    <col min="2050" max="2050" width="58.81640625" style="75" customWidth="1"/>
    <col min="2051" max="2051" width="30.7265625" style="75" customWidth="1"/>
    <col min="2052" max="2304" width="9.1796875" style="75"/>
    <col min="2305" max="2305" width="12" style="75" customWidth="1"/>
    <col min="2306" max="2306" width="58.81640625" style="75" customWidth="1"/>
    <col min="2307" max="2307" width="30.7265625" style="75" customWidth="1"/>
    <col min="2308" max="2560" width="9.1796875" style="75"/>
    <col min="2561" max="2561" width="12" style="75" customWidth="1"/>
    <col min="2562" max="2562" width="58.81640625" style="75" customWidth="1"/>
    <col min="2563" max="2563" width="30.7265625" style="75" customWidth="1"/>
    <col min="2564" max="2816" width="9.1796875" style="75"/>
    <col min="2817" max="2817" width="12" style="75" customWidth="1"/>
    <col min="2818" max="2818" width="58.81640625" style="75" customWidth="1"/>
    <col min="2819" max="2819" width="30.7265625" style="75" customWidth="1"/>
    <col min="2820" max="3072" width="9.1796875" style="75"/>
    <col min="3073" max="3073" width="12" style="75" customWidth="1"/>
    <col min="3074" max="3074" width="58.81640625" style="75" customWidth="1"/>
    <col min="3075" max="3075" width="30.7265625" style="75" customWidth="1"/>
    <col min="3076" max="3328" width="9.1796875" style="75"/>
    <col min="3329" max="3329" width="12" style="75" customWidth="1"/>
    <col min="3330" max="3330" width="58.81640625" style="75" customWidth="1"/>
    <col min="3331" max="3331" width="30.7265625" style="75" customWidth="1"/>
    <col min="3332" max="3584" width="9.1796875" style="75"/>
    <col min="3585" max="3585" width="12" style="75" customWidth="1"/>
    <col min="3586" max="3586" width="58.81640625" style="75" customWidth="1"/>
    <col min="3587" max="3587" width="30.7265625" style="75" customWidth="1"/>
    <col min="3588" max="3840" width="9.1796875" style="75"/>
    <col min="3841" max="3841" width="12" style="75" customWidth="1"/>
    <col min="3842" max="3842" width="58.81640625" style="75" customWidth="1"/>
    <col min="3843" max="3843" width="30.7265625" style="75" customWidth="1"/>
    <col min="3844" max="4096" width="9.1796875" style="75"/>
    <col min="4097" max="4097" width="12" style="75" customWidth="1"/>
    <col min="4098" max="4098" width="58.81640625" style="75" customWidth="1"/>
    <col min="4099" max="4099" width="30.7265625" style="75" customWidth="1"/>
    <col min="4100" max="4352" width="9.1796875" style="75"/>
    <col min="4353" max="4353" width="12" style="75" customWidth="1"/>
    <col min="4354" max="4354" width="58.81640625" style="75" customWidth="1"/>
    <col min="4355" max="4355" width="30.7265625" style="75" customWidth="1"/>
    <col min="4356" max="4608" width="9.1796875" style="75"/>
    <col min="4609" max="4609" width="12" style="75" customWidth="1"/>
    <col min="4610" max="4610" width="58.81640625" style="75" customWidth="1"/>
    <col min="4611" max="4611" width="30.7265625" style="75" customWidth="1"/>
    <col min="4612" max="4864" width="9.1796875" style="75"/>
    <col min="4865" max="4865" width="12" style="75" customWidth="1"/>
    <col min="4866" max="4866" width="58.81640625" style="75" customWidth="1"/>
    <col min="4867" max="4867" width="30.7265625" style="75" customWidth="1"/>
    <col min="4868" max="5120" width="9.1796875" style="75"/>
    <col min="5121" max="5121" width="12" style="75" customWidth="1"/>
    <col min="5122" max="5122" width="58.81640625" style="75" customWidth="1"/>
    <col min="5123" max="5123" width="30.7265625" style="75" customWidth="1"/>
    <col min="5124" max="5376" width="9.1796875" style="75"/>
    <col min="5377" max="5377" width="12" style="75" customWidth="1"/>
    <col min="5378" max="5378" width="58.81640625" style="75" customWidth="1"/>
    <col min="5379" max="5379" width="30.7265625" style="75" customWidth="1"/>
    <col min="5380" max="5632" width="9.1796875" style="75"/>
    <col min="5633" max="5633" width="12" style="75" customWidth="1"/>
    <col min="5634" max="5634" width="58.81640625" style="75" customWidth="1"/>
    <col min="5635" max="5635" width="30.7265625" style="75" customWidth="1"/>
    <col min="5636" max="5888" width="9.1796875" style="75"/>
    <col min="5889" max="5889" width="12" style="75" customWidth="1"/>
    <col min="5890" max="5890" width="58.81640625" style="75" customWidth="1"/>
    <col min="5891" max="5891" width="30.7265625" style="75" customWidth="1"/>
    <col min="5892" max="6144" width="9.1796875" style="75"/>
    <col min="6145" max="6145" width="12" style="75" customWidth="1"/>
    <col min="6146" max="6146" width="58.81640625" style="75" customWidth="1"/>
    <col min="6147" max="6147" width="30.7265625" style="75" customWidth="1"/>
    <col min="6148" max="6400" width="9.1796875" style="75"/>
    <col min="6401" max="6401" width="12" style="75" customWidth="1"/>
    <col min="6402" max="6402" width="58.81640625" style="75" customWidth="1"/>
    <col min="6403" max="6403" width="30.7265625" style="75" customWidth="1"/>
    <col min="6404" max="6656" width="9.1796875" style="75"/>
    <col min="6657" max="6657" width="12" style="75" customWidth="1"/>
    <col min="6658" max="6658" width="58.81640625" style="75" customWidth="1"/>
    <col min="6659" max="6659" width="30.7265625" style="75" customWidth="1"/>
    <col min="6660" max="6912" width="9.1796875" style="75"/>
    <col min="6913" max="6913" width="12" style="75" customWidth="1"/>
    <col min="6914" max="6914" width="58.81640625" style="75" customWidth="1"/>
    <col min="6915" max="6915" width="30.7265625" style="75" customWidth="1"/>
    <col min="6916" max="7168" width="9.1796875" style="75"/>
    <col min="7169" max="7169" width="12" style="75" customWidth="1"/>
    <col min="7170" max="7170" width="58.81640625" style="75" customWidth="1"/>
    <col min="7171" max="7171" width="30.7265625" style="75" customWidth="1"/>
    <col min="7172" max="7424" width="9.1796875" style="75"/>
    <col min="7425" max="7425" width="12" style="75" customWidth="1"/>
    <col min="7426" max="7426" width="58.81640625" style="75" customWidth="1"/>
    <col min="7427" max="7427" width="30.7265625" style="75" customWidth="1"/>
    <col min="7428" max="7680" width="9.1796875" style="75"/>
    <col min="7681" max="7681" width="12" style="75" customWidth="1"/>
    <col min="7682" max="7682" width="58.81640625" style="75" customWidth="1"/>
    <col min="7683" max="7683" width="30.7265625" style="75" customWidth="1"/>
    <col min="7684" max="7936" width="9.1796875" style="75"/>
    <col min="7937" max="7937" width="12" style="75" customWidth="1"/>
    <col min="7938" max="7938" width="58.81640625" style="75" customWidth="1"/>
    <col min="7939" max="7939" width="30.7265625" style="75" customWidth="1"/>
    <col min="7940" max="8192" width="9.1796875" style="75"/>
    <col min="8193" max="8193" width="12" style="75" customWidth="1"/>
    <col min="8194" max="8194" width="58.81640625" style="75" customWidth="1"/>
    <col min="8195" max="8195" width="30.7265625" style="75" customWidth="1"/>
    <col min="8196" max="8448" width="9.1796875" style="75"/>
    <col min="8449" max="8449" width="12" style="75" customWidth="1"/>
    <col min="8450" max="8450" width="58.81640625" style="75" customWidth="1"/>
    <col min="8451" max="8451" width="30.7265625" style="75" customWidth="1"/>
    <col min="8452" max="8704" width="9.1796875" style="75"/>
    <col min="8705" max="8705" width="12" style="75" customWidth="1"/>
    <col min="8706" max="8706" width="58.81640625" style="75" customWidth="1"/>
    <col min="8707" max="8707" width="30.7265625" style="75" customWidth="1"/>
    <col min="8708" max="8960" width="9.1796875" style="75"/>
    <col min="8961" max="8961" width="12" style="75" customWidth="1"/>
    <col min="8962" max="8962" width="58.81640625" style="75" customWidth="1"/>
    <col min="8963" max="8963" width="30.7265625" style="75" customWidth="1"/>
    <col min="8964" max="9216" width="9.1796875" style="75"/>
    <col min="9217" max="9217" width="12" style="75" customWidth="1"/>
    <col min="9218" max="9218" width="58.81640625" style="75" customWidth="1"/>
    <col min="9219" max="9219" width="30.7265625" style="75" customWidth="1"/>
    <col min="9220" max="9472" width="9.1796875" style="75"/>
    <col min="9473" max="9473" width="12" style="75" customWidth="1"/>
    <col min="9474" max="9474" width="58.81640625" style="75" customWidth="1"/>
    <col min="9475" max="9475" width="30.7265625" style="75" customWidth="1"/>
    <col min="9476" max="9728" width="9.1796875" style="75"/>
    <col min="9729" max="9729" width="12" style="75" customWidth="1"/>
    <col min="9730" max="9730" width="58.81640625" style="75" customWidth="1"/>
    <col min="9731" max="9731" width="30.7265625" style="75" customWidth="1"/>
    <col min="9732" max="9984" width="9.1796875" style="75"/>
    <col min="9985" max="9985" width="12" style="75" customWidth="1"/>
    <col min="9986" max="9986" width="58.81640625" style="75" customWidth="1"/>
    <col min="9987" max="9987" width="30.7265625" style="75" customWidth="1"/>
    <col min="9988" max="10240" width="9.1796875" style="75"/>
    <col min="10241" max="10241" width="12" style="75" customWidth="1"/>
    <col min="10242" max="10242" width="58.81640625" style="75" customWidth="1"/>
    <col min="10243" max="10243" width="30.7265625" style="75" customWidth="1"/>
    <col min="10244" max="10496" width="9.1796875" style="75"/>
    <col min="10497" max="10497" width="12" style="75" customWidth="1"/>
    <col min="10498" max="10498" width="58.81640625" style="75" customWidth="1"/>
    <col min="10499" max="10499" width="30.7265625" style="75" customWidth="1"/>
    <col min="10500" max="10752" width="9.1796875" style="75"/>
    <col min="10753" max="10753" width="12" style="75" customWidth="1"/>
    <col min="10754" max="10754" width="58.81640625" style="75" customWidth="1"/>
    <col min="10755" max="10755" width="30.7265625" style="75" customWidth="1"/>
    <col min="10756" max="11008" width="9.1796875" style="75"/>
    <col min="11009" max="11009" width="12" style="75" customWidth="1"/>
    <col min="11010" max="11010" width="58.81640625" style="75" customWidth="1"/>
    <col min="11011" max="11011" width="30.7265625" style="75" customWidth="1"/>
    <col min="11012" max="11264" width="9.1796875" style="75"/>
    <col min="11265" max="11265" width="12" style="75" customWidth="1"/>
    <col min="11266" max="11266" width="58.81640625" style="75" customWidth="1"/>
    <col min="11267" max="11267" width="30.7265625" style="75" customWidth="1"/>
    <col min="11268" max="11520" width="9.1796875" style="75"/>
    <col min="11521" max="11521" width="12" style="75" customWidth="1"/>
    <col min="11522" max="11522" width="58.81640625" style="75" customWidth="1"/>
    <col min="11523" max="11523" width="30.7265625" style="75" customWidth="1"/>
    <col min="11524" max="11776" width="9.1796875" style="75"/>
    <col min="11777" max="11777" width="12" style="75" customWidth="1"/>
    <col min="11778" max="11778" width="58.81640625" style="75" customWidth="1"/>
    <col min="11779" max="11779" width="30.7265625" style="75" customWidth="1"/>
    <col min="11780" max="12032" width="9.1796875" style="75"/>
    <col min="12033" max="12033" width="12" style="75" customWidth="1"/>
    <col min="12034" max="12034" width="58.81640625" style="75" customWidth="1"/>
    <col min="12035" max="12035" width="30.7265625" style="75" customWidth="1"/>
    <col min="12036" max="12288" width="9.1796875" style="75"/>
    <col min="12289" max="12289" width="12" style="75" customWidth="1"/>
    <col min="12290" max="12290" width="58.81640625" style="75" customWidth="1"/>
    <col min="12291" max="12291" width="30.7265625" style="75" customWidth="1"/>
    <col min="12292" max="12544" width="9.1796875" style="75"/>
    <col min="12545" max="12545" width="12" style="75" customWidth="1"/>
    <col min="12546" max="12546" width="58.81640625" style="75" customWidth="1"/>
    <col min="12547" max="12547" width="30.7265625" style="75" customWidth="1"/>
    <col min="12548" max="12800" width="9.1796875" style="75"/>
    <col min="12801" max="12801" width="12" style="75" customWidth="1"/>
    <col min="12802" max="12802" width="58.81640625" style="75" customWidth="1"/>
    <col min="12803" max="12803" width="30.7265625" style="75" customWidth="1"/>
    <col min="12804" max="13056" width="9.1796875" style="75"/>
    <col min="13057" max="13057" width="12" style="75" customWidth="1"/>
    <col min="13058" max="13058" width="58.81640625" style="75" customWidth="1"/>
    <col min="13059" max="13059" width="30.7265625" style="75" customWidth="1"/>
    <col min="13060" max="13312" width="9.1796875" style="75"/>
    <col min="13313" max="13313" width="12" style="75" customWidth="1"/>
    <col min="13314" max="13314" width="58.81640625" style="75" customWidth="1"/>
    <col min="13315" max="13315" width="30.7265625" style="75" customWidth="1"/>
    <col min="13316" max="13568" width="9.1796875" style="75"/>
    <col min="13569" max="13569" width="12" style="75" customWidth="1"/>
    <col min="13570" max="13570" width="58.81640625" style="75" customWidth="1"/>
    <col min="13571" max="13571" width="30.7265625" style="75" customWidth="1"/>
    <col min="13572" max="13824" width="9.1796875" style="75"/>
    <col min="13825" max="13825" width="12" style="75" customWidth="1"/>
    <col min="13826" max="13826" width="58.81640625" style="75" customWidth="1"/>
    <col min="13827" max="13827" width="30.7265625" style="75" customWidth="1"/>
    <col min="13828" max="14080" width="9.1796875" style="75"/>
    <col min="14081" max="14081" width="12" style="75" customWidth="1"/>
    <col min="14082" max="14082" width="58.81640625" style="75" customWidth="1"/>
    <col min="14083" max="14083" width="30.7265625" style="75" customWidth="1"/>
    <col min="14084" max="14336" width="9.1796875" style="75"/>
    <col min="14337" max="14337" width="12" style="75" customWidth="1"/>
    <col min="14338" max="14338" width="58.81640625" style="75" customWidth="1"/>
    <col min="14339" max="14339" width="30.7265625" style="75" customWidth="1"/>
    <col min="14340" max="14592" width="9.1796875" style="75"/>
    <col min="14593" max="14593" width="12" style="75" customWidth="1"/>
    <col min="14594" max="14594" width="58.81640625" style="75" customWidth="1"/>
    <col min="14595" max="14595" width="30.7265625" style="75" customWidth="1"/>
    <col min="14596" max="14848" width="9.1796875" style="75"/>
    <col min="14849" max="14849" width="12" style="75" customWidth="1"/>
    <col min="14850" max="14850" width="58.81640625" style="75" customWidth="1"/>
    <col min="14851" max="14851" width="30.7265625" style="75" customWidth="1"/>
    <col min="14852" max="15104" width="9.1796875" style="75"/>
    <col min="15105" max="15105" width="12" style="75" customWidth="1"/>
    <col min="15106" max="15106" width="58.81640625" style="75" customWidth="1"/>
    <col min="15107" max="15107" width="30.7265625" style="75" customWidth="1"/>
    <col min="15108" max="15360" width="9.1796875" style="75"/>
    <col min="15361" max="15361" width="12" style="75" customWidth="1"/>
    <col min="15362" max="15362" width="58.81640625" style="75" customWidth="1"/>
    <col min="15363" max="15363" width="30.7265625" style="75" customWidth="1"/>
    <col min="15364" max="15616" width="9.1796875" style="75"/>
    <col min="15617" max="15617" width="12" style="75" customWidth="1"/>
    <col min="15618" max="15618" width="58.81640625" style="75" customWidth="1"/>
    <col min="15619" max="15619" width="30.7265625" style="75" customWidth="1"/>
    <col min="15620" max="15872" width="9.1796875" style="75"/>
    <col min="15873" max="15873" width="12" style="75" customWidth="1"/>
    <col min="15874" max="15874" width="58.81640625" style="75" customWidth="1"/>
    <col min="15875" max="15875" width="30.7265625" style="75" customWidth="1"/>
    <col min="15876" max="16128" width="9.1796875" style="75"/>
    <col min="16129" max="16129" width="12" style="75" customWidth="1"/>
    <col min="16130" max="16130" width="58.81640625" style="75" customWidth="1"/>
    <col min="16131" max="16131" width="30.7265625" style="75" customWidth="1"/>
    <col min="16132" max="16384" width="9.1796875" style="75"/>
  </cols>
  <sheetData>
    <row r="1" spans="1:3" ht="59.25" customHeight="1" x14ac:dyDescent="0.35">
      <c r="A1" s="435" t="s">
        <v>499</v>
      </c>
      <c r="B1" s="435"/>
      <c r="C1" s="435"/>
    </row>
    <row r="2" spans="1:3" s="246" customFormat="1" ht="41.25" customHeight="1" x14ac:dyDescent="0.35">
      <c r="A2" s="77" t="s">
        <v>223</v>
      </c>
      <c r="B2" s="247" t="s">
        <v>2</v>
      </c>
      <c r="C2" s="78" t="s">
        <v>490</v>
      </c>
    </row>
    <row r="3" spans="1:3" s="246" customFormat="1" ht="28.5" customHeight="1" x14ac:dyDescent="0.35">
      <c r="A3" s="80" t="s">
        <v>272</v>
      </c>
      <c r="B3" s="436" t="s">
        <v>500</v>
      </c>
      <c r="C3" s="436"/>
    </row>
    <row r="4" spans="1:3" ht="18.75" customHeight="1" x14ac:dyDescent="0.35">
      <c r="A4" s="81">
        <v>1</v>
      </c>
      <c r="B4" s="151" t="s">
        <v>472</v>
      </c>
      <c r="C4" s="267" t="s">
        <v>559</v>
      </c>
    </row>
    <row r="5" spans="1:3" ht="18.75" customHeight="1" x14ac:dyDescent="0.35">
      <c r="A5" s="81">
        <v>2</v>
      </c>
      <c r="B5" s="151" t="s">
        <v>471</v>
      </c>
      <c r="C5" s="248" t="s">
        <v>501</v>
      </c>
    </row>
    <row r="6" spans="1:3" ht="18.75" customHeight="1" x14ac:dyDescent="0.35">
      <c r="A6" s="81">
        <v>3</v>
      </c>
      <c r="B6" s="151" t="s">
        <v>573</v>
      </c>
      <c r="C6" s="248"/>
    </row>
    <row r="7" spans="1:3" ht="25.5" customHeight="1" x14ac:dyDescent="0.35">
      <c r="A7" s="81">
        <v>4</v>
      </c>
      <c r="B7" s="151" t="s">
        <v>562</v>
      </c>
      <c r="C7" s="79" t="s">
        <v>560</v>
      </c>
    </row>
    <row r="8" spans="1:3" ht="25.5" customHeight="1" x14ac:dyDescent="0.35">
      <c r="A8" s="81">
        <v>5</v>
      </c>
      <c r="B8" s="151" t="s">
        <v>561</v>
      </c>
      <c r="C8" s="79" t="s">
        <v>563</v>
      </c>
    </row>
    <row r="9" spans="1:3" ht="24.75" customHeight="1" x14ac:dyDescent="0.35">
      <c r="A9" s="81">
        <v>6</v>
      </c>
      <c r="B9" s="8" t="s">
        <v>628</v>
      </c>
      <c r="C9" s="248" t="s">
        <v>626</v>
      </c>
    </row>
    <row r="10" spans="1:3" ht="24.75" customHeight="1" x14ac:dyDescent="0.35">
      <c r="A10" s="81">
        <v>7</v>
      </c>
      <c r="B10" s="1" t="s">
        <v>4</v>
      </c>
      <c r="C10" s="248" t="s">
        <v>564</v>
      </c>
    </row>
    <row r="11" spans="1:3" ht="18.75" customHeight="1" x14ac:dyDescent="0.35">
      <c r="A11" s="81">
        <v>8</v>
      </c>
      <c r="B11" s="1" t="s">
        <v>6</v>
      </c>
      <c r="C11" s="248" t="s">
        <v>504</v>
      </c>
    </row>
    <row r="12" spans="1:3" ht="22.5" customHeight="1" x14ac:dyDescent="0.35">
      <c r="A12" s="81">
        <v>9</v>
      </c>
      <c r="B12" s="1" t="s">
        <v>551</v>
      </c>
      <c r="C12" s="79" t="s">
        <v>550</v>
      </c>
    </row>
    <row r="13" spans="1:3" ht="24.75" customHeight="1" x14ac:dyDescent="0.35">
      <c r="A13" s="81">
        <v>10</v>
      </c>
      <c r="B13" s="1" t="s">
        <v>443</v>
      </c>
      <c r="C13" s="79" t="s">
        <v>552</v>
      </c>
    </row>
    <row r="14" spans="1:3" ht="18.75" customHeight="1" x14ac:dyDescent="0.35">
      <c r="A14" s="81">
        <v>11</v>
      </c>
      <c r="B14" s="1" t="s">
        <v>477</v>
      </c>
      <c r="C14" s="248" t="s">
        <v>505</v>
      </c>
    </row>
    <row r="15" spans="1:3" ht="18.75" customHeight="1" x14ac:dyDescent="0.35">
      <c r="A15" s="81">
        <v>12</v>
      </c>
      <c r="B15" s="1" t="s">
        <v>207</v>
      </c>
      <c r="C15" s="248" t="s">
        <v>507</v>
      </c>
    </row>
    <row r="16" spans="1:3" ht="18.75" customHeight="1" x14ac:dyDescent="0.35">
      <c r="A16" s="81">
        <v>13</v>
      </c>
      <c r="B16" s="1" t="s">
        <v>12</v>
      </c>
      <c r="C16" s="248" t="s">
        <v>513</v>
      </c>
    </row>
    <row r="17" spans="1:3" ht="18.75" customHeight="1" x14ac:dyDescent="0.35">
      <c r="A17" s="81">
        <v>14</v>
      </c>
      <c r="B17" s="1" t="s">
        <v>14</v>
      </c>
      <c r="C17" s="248" t="s">
        <v>491</v>
      </c>
    </row>
    <row r="18" spans="1:3" ht="28.5" customHeight="1" x14ac:dyDescent="0.35">
      <c r="A18" s="81">
        <v>15</v>
      </c>
      <c r="B18" s="1" t="s">
        <v>208</v>
      </c>
      <c r="C18" s="79" t="s">
        <v>516</v>
      </c>
    </row>
    <row r="19" spans="1:3" ht="27" customHeight="1" x14ac:dyDescent="0.35">
      <c r="A19" s="81">
        <v>16</v>
      </c>
      <c r="B19" s="1" t="s">
        <v>209</v>
      </c>
      <c r="C19" s="79" t="s">
        <v>518</v>
      </c>
    </row>
    <row r="20" spans="1:3" ht="27" customHeight="1" x14ac:dyDescent="0.35">
      <c r="A20" s="81">
        <v>17</v>
      </c>
      <c r="B20" s="1" t="s">
        <v>16</v>
      </c>
      <c r="C20" s="79" t="s">
        <v>495</v>
      </c>
    </row>
    <row r="21" spans="1:3" ht="27" customHeight="1" x14ac:dyDescent="0.35">
      <c r="A21" s="81">
        <v>18</v>
      </c>
      <c r="B21" s="1" t="s">
        <v>210</v>
      </c>
      <c r="C21" s="248" t="s">
        <v>520</v>
      </c>
    </row>
    <row r="22" spans="1:3" ht="24" customHeight="1" x14ac:dyDescent="0.35">
      <c r="A22" s="81">
        <v>19</v>
      </c>
      <c r="B22" s="1" t="s">
        <v>211</v>
      </c>
      <c r="C22" s="79" t="s">
        <v>627</v>
      </c>
    </row>
    <row r="23" spans="1:3" ht="18.75" customHeight="1" x14ac:dyDescent="0.35">
      <c r="A23" s="81">
        <v>20</v>
      </c>
      <c r="B23" s="1" t="s">
        <v>212</v>
      </c>
      <c r="C23" s="248" t="s">
        <v>521</v>
      </c>
    </row>
    <row r="24" spans="1:3" ht="18.75" customHeight="1" x14ac:dyDescent="0.35">
      <c r="A24" s="81">
        <v>21</v>
      </c>
      <c r="B24" s="1" t="s">
        <v>213</v>
      </c>
      <c r="C24" s="248" t="s">
        <v>534</v>
      </c>
    </row>
    <row r="25" spans="1:3" ht="27.75" customHeight="1" x14ac:dyDescent="0.35">
      <c r="A25" s="81">
        <v>22</v>
      </c>
      <c r="B25" s="1" t="s">
        <v>214</v>
      </c>
      <c r="C25" s="79" t="s">
        <v>535</v>
      </c>
    </row>
    <row r="26" spans="1:3" ht="28.5" customHeight="1" x14ac:dyDescent="0.35">
      <c r="A26" s="81">
        <v>23</v>
      </c>
      <c r="B26" s="1" t="s">
        <v>215</v>
      </c>
      <c r="C26" s="79" t="s">
        <v>523</v>
      </c>
    </row>
    <row r="27" spans="1:3" ht="18.75" customHeight="1" x14ac:dyDescent="0.35">
      <c r="A27" s="81">
        <v>24</v>
      </c>
      <c r="B27" s="1" t="s">
        <v>216</v>
      </c>
      <c r="C27" s="248" t="s">
        <v>524</v>
      </c>
    </row>
    <row r="28" spans="1:3" ht="25.5" customHeight="1" x14ac:dyDescent="0.35">
      <c r="A28" s="81">
        <v>25</v>
      </c>
      <c r="B28" s="1" t="s">
        <v>492</v>
      </c>
      <c r="C28" s="248" t="s">
        <v>525</v>
      </c>
    </row>
    <row r="29" spans="1:3" ht="25.5" customHeight="1" x14ac:dyDescent="0.35">
      <c r="A29" s="81">
        <v>26</v>
      </c>
      <c r="B29" s="1" t="s">
        <v>493</v>
      </c>
      <c r="C29" s="249" t="s">
        <v>494</v>
      </c>
    </row>
    <row r="30" spans="1:3" ht="25.5" customHeight="1" x14ac:dyDescent="0.35">
      <c r="A30" s="81">
        <v>27</v>
      </c>
      <c r="B30" s="1" t="s">
        <v>18</v>
      </c>
      <c r="C30" s="79" t="s">
        <v>526</v>
      </c>
    </row>
    <row r="31" spans="1:3" ht="24.75" customHeight="1" x14ac:dyDescent="0.35">
      <c r="A31" s="81">
        <v>28</v>
      </c>
      <c r="B31" s="1" t="s">
        <v>17</v>
      </c>
      <c r="C31" s="248" t="s">
        <v>536</v>
      </c>
    </row>
    <row r="32" spans="1:3" ht="24.75" customHeight="1" x14ac:dyDescent="0.35">
      <c r="A32" s="81">
        <v>29</v>
      </c>
      <c r="B32" s="1" t="s">
        <v>294</v>
      </c>
      <c r="C32" s="248" t="s">
        <v>496</v>
      </c>
    </row>
    <row r="33" spans="1:3" ht="24.75" customHeight="1" x14ac:dyDescent="0.35">
      <c r="A33" s="81">
        <v>30</v>
      </c>
      <c r="B33" s="343" t="s">
        <v>19</v>
      </c>
      <c r="C33" s="248" t="s">
        <v>629</v>
      </c>
    </row>
    <row r="34" spans="1:3" ht="29.25" customHeight="1" x14ac:dyDescent="0.35">
      <c r="A34" s="81">
        <v>31</v>
      </c>
      <c r="B34" s="343" t="s">
        <v>20</v>
      </c>
      <c r="C34" s="248" t="s">
        <v>629</v>
      </c>
    </row>
    <row r="35" spans="1:3" ht="24.75" customHeight="1" x14ac:dyDescent="0.35">
      <c r="A35" s="81">
        <v>32</v>
      </c>
      <c r="B35" s="1" t="s">
        <v>21</v>
      </c>
      <c r="C35" s="248" t="s">
        <v>629</v>
      </c>
    </row>
    <row r="36" spans="1:3" ht="27" customHeight="1" x14ac:dyDescent="0.35">
      <c r="A36" s="81">
        <v>33</v>
      </c>
      <c r="B36" s="161" t="s">
        <v>528</v>
      </c>
      <c r="C36" s="248" t="s">
        <v>498</v>
      </c>
    </row>
  </sheetData>
  <mergeCells count="2">
    <mergeCell ref="A1:C1"/>
    <mergeCell ref="B3:C3"/>
  </mergeCells>
  <pageMargins left="0.5" right="0.25" top="0.5" bottom="0.5" header="0.25" footer="0.25"/>
  <pageSetup paperSize="9" orientation="landscape" r:id="rId1"/>
  <headerFooter alignWithMargins="0">
    <oddFooter>&amp;C&amp;"t,Regular"&amp;9&amp;P - KK-NM</oddFooter>
  </headerFooter>
  <rowBreaks count="1" manualBreakCount="1">
    <brk id="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topLeftCell="A7" zoomScale="80" zoomScaleNormal="80" workbookViewId="0">
      <selection activeCell="I14" sqref="I14"/>
    </sheetView>
  </sheetViews>
  <sheetFormatPr defaultRowHeight="15.5" x14ac:dyDescent="0.35"/>
  <cols>
    <col min="1" max="1" width="5.81640625" style="22" customWidth="1"/>
    <col min="2" max="2" width="15.54296875" style="22" customWidth="1"/>
    <col min="3" max="3" width="30" style="21" customWidth="1"/>
    <col min="4" max="4" width="7.81640625" style="22" customWidth="1"/>
    <col min="5" max="5" width="11.54296875" style="23" customWidth="1"/>
    <col min="6" max="6" width="11.26953125" style="23" customWidth="1"/>
    <col min="7" max="7" width="11.453125" style="23" customWidth="1"/>
    <col min="8" max="8" width="10.81640625" style="23" customWidth="1"/>
    <col min="9" max="9" width="12.1796875" style="23" customWidth="1"/>
    <col min="10" max="10" width="11.7265625" style="23" customWidth="1"/>
    <col min="11" max="11" width="12.81640625" style="23" customWidth="1"/>
    <col min="12" max="12" width="13.81640625" style="23" customWidth="1"/>
    <col min="13" max="257" width="9.1796875" style="21"/>
    <col min="258" max="258" width="5.81640625" style="21" customWidth="1"/>
    <col min="259" max="259" width="30" style="21" customWidth="1"/>
    <col min="260" max="260" width="7.81640625" style="21" customWidth="1"/>
    <col min="261" max="261" width="11.54296875" style="21" customWidth="1"/>
    <col min="262" max="262" width="11.26953125" style="21" customWidth="1"/>
    <col min="263" max="263" width="11.453125" style="21" customWidth="1"/>
    <col min="264" max="264" width="10.81640625" style="21" customWidth="1"/>
    <col min="265" max="265" width="12.1796875" style="21" customWidth="1"/>
    <col min="266" max="266" width="11.7265625" style="21" customWidth="1"/>
    <col min="267" max="267" width="12.81640625" style="21" customWidth="1"/>
    <col min="268" max="268" width="13.81640625" style="21" customWidth="1"/>
    <col min="269" max="513" width="9.1796875" style="21"/>
    <col min="514" max="514" width="5.81640625" style="21" customWidth="1"/>
    <col min="515" max="515" width="30" style="21" customWidth="1"/>
    <col min="516" max="516" width="7.81640625" style="21" customWidth="1"/>
    <col min="517" max="517" width="11.54296875" style="21" customWidth="1"/>
    <col min="518" max="518" width="11.26953125" style="21" customWidth="1"/>
    <col min="519" max="519" width="11.453125" style="21" customWidth="1"/>
    <col min="520" max="520" width="10.81640625" style="21" customWidth="1"/>
    <col min="521" max="521" width="12.1796875" style="21" customWidth="1"/>
    <col min="522" max="522" width="11.7265625" style="21" customWidth="1"/>
    <col min="523" max="523" width="12.81640625" style="21" customWidth="1"/>
    <col min="524" max="524" width="13.81640625" style="21" customWidth="1"/>
    <col min="525" max="769" width="9.1796875" style="21"/>
    <col min="770" max="770" width="5.81640625" style="21" customWidth="1"/>
    <col min="771" max="771" width="30" style="21" customWidth="1"/>
    <col min="772" max="772" width="7.81640625" style="21" customWidth="1"/>
    <col min="773" max="773" width="11.54296875" style="21" customWidth="1"/>
    <col min="774" max="774" width="11.26953125" style="21" customWidth="1"/>
    <col min="775" max="775" width="11.453125" style="21" customWidth="1"/>
    <col min="776" max="776" width="10.81640625" style="21" customWidth="1"/>
    <col min="777" max="777" width="12.1796875" style="21" customWidth="1"/>
    <col min="778" max="778" width="11.7265625" style="21" customWidth="1"/>
    <col min="779" max="779" width="12.81640625" style="21" customWidth="1"/>
    <col min="780" max="780" width="13.81640625" style="21" customWidth="1"/>
    <col min="781" max="1025" width="9.1796875" style="21"/>
    <col min="1026" max="1026" width="5.81640625" style="21" customWidth="1"/>
    <col min="1027" max="1027" width="30" style="21" customWidth="1"/>
    <col min="1028" max="1028" width="7.81640625" style="21" customWidth="1"/>
    <col min="1029" max="1029" width="11.54296875" style="21" customWidth="1"/>
    <col min="1030" max="1030" width="11.26953125" style="21" customWidth="1"/>
    <col min="1031" max="1031" width="11.453125" style="21" customWidth="1"/>
    <col min="1032" max="1032" width="10.81640625" style="21" customWidth="1"/>
    <col min="1033" max="1033" width="12.1796875" style="21" customWidth="1"/>
    <col min="1034" max="1034" width="11.7265625" style="21" customWidth="1"/>
    <col min="1035" max="1035" width="12.81640625" style="21" customWidth="1"/>
    <col min="1036" max="1036" width="13.81640625" style="21" customWidth="1"/>
    <col min="1037" max="1281" width="9.1796875" style="21"/>
    <col min="1282" max="1282" width="5.81640625" style="21" customWidth="1"/>
    <col min="1283" max="1283" width="30" style="21" customWidth="1"/>
    <col min="1284" max="1284" width="7.81640625" style="21" customWidth="1"/>
    <col min="1285" max="1285" width="11.54296875" style="21" customWidth="1"/>
    <col min="1286" max="1286" width="11.26953125" style="21" customWidth="1"/>
    <col min="1287" max="1287" width="11.453125" style="21" customWidth="1"/>
    <col min="1288" max="1288" width="10.81640625" style="21" customWidth="1"/>
    <col min="1289" max="1289" width="12.1796875" style="21" customWidth="1"/>
    <col min="1290" max="1290" width="11.7265625" style="21" customWidth="1"/>
    <col min="1291" max="1291" width="12.81640625" style="21" customWidth="1"/>
    <col min="1292" max="1292" width="13.81640625" style="21" customWidth="1"/>
    <col min="1293" max="1537" width="9.1796875" style="21"/>
    <col min="1538" max="1538" width="5.81640625" style="21" customWidth="1"/>
    <col min="1539" max="1539" width="30" style="21" customWidth="1"/>
    <col min="1540" max="1540" width="7.81640625" style="21" customWidth="1"/>
    <col min="1541" max="1541" width="11.54296875" style="21" customWidth="1"/>
    <col min="1542" max="1542" width="11.26953125" style="21" customWidth="1"/>
    <col min="1543" max="1543" width="11.453125" style="21" customWidth="1"/>
    <col min="1544" max="1544" width="10.81640625" style="21" customWidth="1"/>
    <col min="1545" max="1545" width="12.1796875" style="21" customWidth="1"/>
    <col min="1546" max="1546" width="11.7265625" style="21" customWidth="1"/>
    <col min="1547" max="1547" width="12.81640625" style="21" customWidth="1"/>
    <col min="1548" max="1548" width="13.81640625" style="21" customWidth="1"/>
    <col min="1549" max="1793" width="9.1796875" style="21"/>
    <col min="1794" max="1794" width="5.81640625" style="21" customWidth="1"/>
    <col min="1795" max="1795" width="30" style="21" customWidth="1"/>
    <col min="1796" max="1796" width="7.81640625" style="21" customWidth="1"/>
    <col min="1797" max="1797" width="11.54296875" style="21" customWidth="1"/>
    <col min="1798" max="1798" width="11.26953125" style="21" customWidth="1"/>
    <col min="1799" max="1799" width="11.453125" style="21" customWidth="1"/>
    <col min="1800" max="1800" width="10.81640625" style="21" customWidth="1"/>
    <col min="1801" max="1801" width="12.1796875" style="21" customWidth="1"/>
    <col min="1802" max="1802" width="11.7265625" style="21" customWidth="1"/>
    <col min="1803" max="1803" width="12.81640625" style="21" customWidth="1"/>
    <col min="1804" max="1804" width="13.81640625" style="21" customWidth="1"/>
    <col min="1805" max="2049" width="9.1796875" style="21"/>
    <col min="2050" max="2050" width="5.81640625" style="21" customWidth="1"/>
    <col min="2051" max="2051" width="30" style="21" customWidth="1"/>
    <col min="2052" max="2052" width="7.81640625" style="21" customWidth="1"/>
    <col min="2053" max="2053" width="11.54296875" style="21" customWidth="1"/>
    <col min="2054" max="2054" width="11.26953125" style="21" customWidth="1"/>
    <col min="2055" max="2055" width="11.453125" style="21" customWidth="1"/>
    <col min="2056" max="2056" width="10.81640625" style="21" customWidth="1"/>
    <col min="2057" max="2057" width="12.1796875" style="21" customWidth="1"/>
    <col min="2058" max="2058" width="11.7265625" style="21" customWidth="1"/>
    <col min="2059" max="2059" width="12.81640625" style="21" customWidth="1"/>
    <col min="2060" max="2060" width="13.81640625" style="21" customWidth="1"/>
    <col min="2061" max="2305" width="9.1796875" style="21"/>
    <col min="2306" max="2306" width="5.81640625" style="21" customWidth="1"/>
    <col min="2307" max="2307" width="30" style="21" customWidth="1"/>
    <col min="2308" max="2308" width="7.81640625" style="21" customWidth="1"/>
    <col min="2309" max="2309" width="11.54296875" style="21" customWidth="1"/>
    <col min="2310" max="2310" width="11.26953125" style="21" customWidth="1"/>
    <col min="2311" max="2311" width="11.453125" style="21" customWidth="1"/>
    <col min="2312" max="2312" width="10.81640625" style="21" customWidth="1"/>
    <col min="2313" max="2313" width="12.1796875" style="21" customWidth="1"/>
    <col min="2314" max="2314" width="11.7265625" style="21" customWidth="1"/>
    <col min="2315" max="2315" width="12.81640625" style="21" customWidth="1"/>
    <col min="2316" max="2316" width="13.81640625" style="21" customWidth="1"/>
    <col min="2317" max="2561" width="9.1796875" style="21"/>
    <col min="2562" max="2562" width="5.81640625" style="21" customWidth="1"/>
    <col min="2563" max="2563" width="30" style="21" customWidth="1"/>
    <col min="2564" max="2564" width="7.81640625" style="21" customWidth="1"/>
    <col min="2565" max="2565" width="11.54296875" style="21" customWidth="1"/>
    <col min="2566" max="2566" width="11.26953125" style="21" customWidth="1"/>
    <col min="2567" max="2567" width="11.453125" style="21" customWidth="1"/>
    <col min="2568" max="2568" width="10.81640625" style="21" customWidth="1"/>
    <col min="2569" max="2569" width="12.1796875" style="21" customWidth="1"/>
    <col min="2570" max="2570" width="11.7265625" style="21" customWidth="1"/>
    <col min="2571" max="2571" width="12.81640625" style="21" customWidth="1"/>
    <col min="2572" max="2572" width="13.81640625" style="21" customWidth="1"/>
    <col min="2573" max="2817" width="9.1796875" style="21"/>
    <col min="2818" max="2818" width="5.81640625" style="21" customWidth="1"/>
    <col min="2819" max="2819" width="30" style="21" customWidth="1"/>
    <col min="2820" max="2820" width="7.81640625" style="21" customWidth="1"/>
    <col min="2821" max="2821" width="11.54296875" style="21" customWidth="1"/>
    <col min="2822" max="2822" width="11.26953125" style="21" customWidth="1"/>
    <col min="2823" max="2823" width="11.453125" style="21" customWidth="1"/>
    <col min="2824" max="2824" width="10.81640625" style="21" customWidth="1"/>
    <col min="2825" max="2825" width="12.1796875" style="21" customWidth="1"/>
    <col min="2826" max="2826" width="11.7265625" style="21" customWidth="1"/>
    <col min="2827" max="2827" width="12.81640625" style="21" customWidth="1"/>
    <col min="2828" max="2828" width="13.81640625" style="21" customWidth="1"/>
    <col min="2829" max="3073" width="9.1796875" style="21"/>
    <col min="3074" max="3074" width="5.81640625" style="21" customWidth="1"/>
    <col min="3075" max="3075" width="30" style="21" customWidth="1"/>
    <col min="3076" max="3076" width="7.81640625" style="21" customWidth="1"/>
    <col min="3077" max="3077" width="11.54296875" style="21" customWidth="1"/>
    <col min="3078" max="3078" width="11.26953125" style="21" customWidth="1"/>
    <col min="3079" max="3079" width="11.453125" style="21" customWidth="1"/>
    <col min="3080" max="3080" width="10.81640625" style="21" customWidth="1"/>
    <col min="3081" max="3081" width="12.1796875" style="21" customWidth="1"/>
    <col min="3082" max="3082" width="11.7265625" style="21" customWidth="1"/>
    <col min="3083" max="3083" width="12.81640625" style="21" customWidth="1"/>
    <col min="3084" max="3084" width="13.81640625" style="21" customWidth="1"/>
    <col min="3085" max="3329" width="9.1796875" style="21"/>
    <col min="3330" max="3330" width="5.81640625" style="21" customWidth="1"/>
    <col min="3331" max="3331" width="30" style="21" customWidth="1"/>
    <col min="3332" max="3332" width="7.81640625" style="21" customWidth="1"/>
    <col min="3333" max="3333" width="11.54296875" style="21" customWidth="1"/>
    <col min="3334" max="3334" width="11.26953125" style="21" customWidth="1"/>
    <col min="3335" max="3335" width="11.453125" style="21" customWidth="1"/>
    <col min="3336" max="3336" width="10.81640625" style="21" customWidth="1"/>
    <col min="3337" max="3337" width="12.1796875" style="21" customWidth="1"/>
    <col min="3338" max="3338" width="11.7265625" style="21" customWidth="1"/>
    <col min="3339" max="3339" width="12.81640625" style="21" customWidth="1"/>
    <col min="3340" max="3340" width="13.81640625" style="21" customWidth="1"/>
    <col min="3341" max="3585" width="9.1796875" style="21"/>
    <col min="3586" max="3586" width="5.81640625" style="21" customWidth="1"/>
    <col min="3587" max="3587" width="30" style="21" customWidth="1"/>
    <col min="3588" max="3588" width="7.81640625" style="21" customWidth="1"/>
    <col min="3589" max="3589" width="11.54296875" style="21" customWidth="1"/>
    <col min="3590" max="3590" width="11.26953125" style="21" customWidth="1"/>
    <col min="3591" max="3591" width="11.453125" style="21" customWidth="1"/>
    <col min="3592" max="3592" width="10.81640625" style="21" customWidth="1"/>
    <col min="3593" max="3593" width="12.1796875" style="21" customWidth="1"/>
    <col min="3594" max="3594" width="11.7265625" style="21" customWidth="1"/>
    <col min="3595" max="3595" width="12.81640625" style="21" customWidth="1"/>
    <col min="3596" max="3596" width="13.81640625" style="21" customWidth="1"/>
    <col min="3597" max="3841" width="9.1796875" style="21"/>
    <col min="3842" max="3842" width="5.81640625" style="21" customWidth="1"/>
    <col min="3843" max="3843" width="30" style="21" customWidth="1"/>
    <col min="3844" max="3844" width="7.81640625" style="21" customWidth="1"/>
    <col min="3845" max="3845" width="11.54296875" style="21" customWidth="1"/>
    <col min="3846" max="3846" width="11.26953125" style="21" customWidth="1"/>
    <col min="3847" max="3847" width="11.453125" style="21" customWidth="1"/>
    <col min="3848" max="3848" width="10.81640625" style="21" customWidth="1"/>
    <col min="3849" max="3849" width="12.1796875" style="21" customWidth="1"/>
    <col min="3850" max="3850" width="11.7265625" style="21" customWidth="1"/>
    <col min="3851" max="3851" width="12.81640625" style="21" customWidth="1"/>
    <col min="3852" max="3852" width="13.81640625" style="21" customWidth="1"/>
    <col min="3853" max="4097" width="9.1796875" style="21"/>
    <col min="4098" max="4098" width="5.81640625" style="21" customWidth="1"/>
    <col min="4099" max="4099" width="30" style="21" customWidth="1"/>
    <col min="4100" max="4100" width="7.81640625" style="21" customWidth="1"/>
    <col min="4101" max="4101" width="11.54296875" style="21" customWidth="1"/>
    <col min="4102" max="4102" width="11.26953125" style="21" customWidth="1"/>
    <col min="4103" max="4103" width="11.453125" style="21" customWidth="1"/>
    <col min="4104" max="4104" width="10.81640625" style="21" customWidth="1"/>
    <col min="4105" max="4105" width="12.1796875" style="21" customWidth="1"/>
    <col min="4106" max="4106" width="11.7265625" style="21" customWidth="1"/>
    <col min="4107" max="4107" width="12.81640625" style="21" customWidth="1"/>
    <col min="4108" max="4108" width="13.81640625" style="21" customWidth="1"/>
    <col min="4109" max="4353" width="9.1796875" style="21"/>
    <col min="4354" max="4354" width="5.81640625" style="21" customWidth="1"/>
    <col min="4355" max="4355" width="30" style="21" customWidth="1"/>
    <col min="4356" max="4356" width="7.81640625" style="21" customWidth="1"/>
    <col min="4357" max="4357" width="11.54296875" style="21" customWidth="1"/>
    <col min="4358" max="4358" width="11.26953125" style="21" customWidth="1"/>
    <col min="4359" max="4359" width="11.453125" style="21" customWidth="1"/>
    <col min="4360" max="4360" width="10.81640625" style="21" customWidth="1"/>
    <col min="4361" max="4361" width="12.1796875" style="21" customWidth="1"/>
    <col min="4362" max="4362" width="11.7265625" style="21" customWidth="1"/>
    <col min="4363" max="4363" width="12.81640625" style="21" customWidth="1"/>
    <col min="4364" max="4364" width="13.81640625" style="21" customWidth="1"/>
    <col min="4365" max="4609" width="9.1796875" style="21"/>
    <col min="4610" max="4610" width="5.81640625" style="21" customWidth="1"/>
    <col min="4611" max="4611" width="30" style="21" customWidth="1"/>
    <col min="4612" max="4612" width="7.81640625" style="21" customWidth="1"/>
    <col min="4613" max="4613" width="11.54296875" style="21" customWidth="1"/>
    <col min="4614" max="4614" width="11.26953125" style="21" customWidth="1"/>
    <col min="4615" max="4615" width="11.453125" style="21" customWidth="1"/>
    <col min="4616" max="4616" width="10.81640625" style="21" customWidth="1"/>
    <col min="4617" max="4617" width="12.1796875" style="21" customWidth="1"/>
    <col min="4618" max="4618" width="11.7265625" style="21" customWidth="1"/>
    <col min="4619" max="4619" width="12.81640625" style="21" customWidth="1"/>
    <col min="4620" max="4620" width="13.81640625" style="21" customWidth="1"/>
    <col min="4621" max="4865" width="9.1796875" style="21"/>
    <col min="4866" max="4866" width="5.81640625" style="21" customWidth="1"/>
    <col min="4867" max="4867" width="30" style="21" customWidth="1"/>
    <col min="4868" max="4868" width="7.81640625" style="21" customWidth="1"/>
    <col min="4869" max="4869" width="11.54296875" style="21" customWidth="1"/>
    <col min="4870" max="4870" width="11.26953125" style="21" customWidth="1"/>
    <col min="4871" max="4871" width="11.453125" style="21" customWidth="1"/>
    <col min="4872" max="4872" width="10.81640625" style="21" customWidth="1"/>
    <col min="4873" max="4873" width="12.1796875" style="21" customWidth="1"/>
    <col min="4874" max="4874" width="11.7265625" style="21" customWidth="1"/>
    <col min="4875" max="4875" width="12.81640625" style="21" customWidth="1"/>
    <col min="4876" max="4876" width="13.81640625" style="21" customWidth="1"/>
    <col min="4877" max="5121" width="9.1796875" style="21"/>
    <col min="5122" max="5122" width="5.81640625" style="21" customWidth="1"/>
    <col min="5123" max="5123" width="30" style="21" customWidth="1"/>
    <col min="5124" max="5124" width="7.81640625" style="21" customWidth="1"/>
    <col min="5125" max="5125" width="11.54296875" style="21" customWidth="1"/>
    <col min="5126" max="5126" width="11.26953125" style="21" customWidth="1"/>
    <col min="5127" max="5127" width="11.453125" style="21" customWidth="1"/>
    <col min="5128" max="5128" width="10.81640625" style="21" customWidth="1"/>
    <col min="5129" max="5129" width="12.1796875" style="21" customWidth="1"/>
    <col min="5130" max="5130" width="11.7265625" style="21" customWidth="1"/>
    <col min="5131" max="5131" width="12.81640625" style="21" customWidth="1"/>
    <col min="5132" max="5132" width="13.81640625" style="21" customWidth="1"/>
    <col min="5133" max="5377" width="9.1796875" style="21"/>
    <col min="5378" max="5378" width="5.81640625" style="21" customWidth="1"/>
    <col min="5379" max="5379" width="30" style="21" customWidth="1"/>
    <col min="5380" max="5380" width="7.81640625" style="21" customWidth="1"/>
    <col min="5381" max="5381" width="11.54296875" style="21" customWidth="1"/>
    <col min="5382" max="5382" width="11.26953125" style="21" customWidth="1"/>
    <col min="5383" max="5383" width="11.453125" style="21" customWidth="1"/>
    <col min="5384" max="5384" width="10.81640625" style="21" customWidth="1"/>
    <col min="5385" max="5385" width="12.1796875" style="21" customWidth="1"/>
    <col min="5386" max="5386" width="11.7265625" style="21" customWidth="1"/>
    <col min="5387" max="5387" width="12.81640625" style="21" customWidth="1"/>
    <col min="5388" max="5388" width="13.81640625" style="21" customWidth="1"/>
    <col min="5389" max="5633" width="9.1796875" style="21"/>
    <col min="5634" max="5634" width="5.81640625" style="21" customWidth="1"/>
    <col min="5635" max="5635" width="30" style="21" customWidth="1"/>
    <col min="5636" max="5636" width="7.81640625" style="21" customWidth="1"/>
    <col min="5637" max="5637" width="11.54296875" style="21" customWidth="1"/>
    <col min="5638" max="5638" width="11.26953125" style="21" customWidth="1"/>
    <col min="5639" max="5639" width="11.453125" style="21" customWidth="1"/>
    <col min="5640" max="5640" width="10.81640625" style="21" customWidth="1"/>
    <col min="5641" max="5641" width="12.1796875" style="21" customWidth="1"/>
    <col min="5642" max="5642" width="11.7265625" style="21" customWidth="1"/>
    <col min="5643" max="5643" width="12.81640625" style="21" customWidth="1"/>
    <col min="5644" max="5644" width="13.81640625" style="21" customWidth="1"/>
    <col min="5645" max="5889" width="9.1796875" style="21"/>
    <col min="5890" max="5890" width="5.81640625" style="21" customWidth="1"/>
    <col min="5891" max="5891" width="30" style="21" customWidth="1"/>
    <col min="5892" max="5892" width="7.81640625" style="21" customWidth="1"/>
    <col min="5893" max="5893" width="11.54296875" style="21" customWidth="1"/>
    <col min="5894" max="5894" width="11.26953125" style="21" customWidth="1"/>
    <col min="5895" max="5895" width="11.453125" style="21" customWidth="1"/>
    <col min="5896" max="5896" width="10.81640625" style="21" customWidth="1"/>
    <col min="5897" max="5897" width="12.1796875" style="21" customWidth="1"/>
    <col min="5898" max="5898" width="11.7265625" style="21" customWidth="1"/>
    <col min="5899" max="5899" width="12.81640625" style="21" customWidth="1"/>
    <col min="5900" max="5900" width="13.81640625" style="21" customWidth="1"/>
    <col min="5901" max="6145" width="9.1796875" style="21"/>
    <col min="6146" max="6146" width="5.81640625" style="21" customWidth="1"/>
    <col min="6147" max="6147" width="30" style="21" customWidth="1"/>
    <col min="6148" max="6148" width="7.81640625" style="21" customWidth="1"/>
    <col min="6149" max="6149" width="11.54296875" style="21" customWidth="1"/>
    <col min="6150" max="6150" width="11.26953125" style="21" customWidth="1"/>
    <col min="6151" max="6151" width="11.453125" style="21" customWidth="1"/>
    <col min="6152" max="6152" width="10.81640625" style="21" customWidth="1"/>
    <col min="6153" max="6153" width="12.1796875" style="21" customWidth="1"/>
    <col min="6154" max="6154" width="11.7265625" style="21" customWidth="1"/>
    <col min="6155" max="6155" width="12.81640625" style="21" customWidth="1"/>
    <col min="6156" max="6156" width="13.81640625" style="21" customWidth="1"/>
    <col min="6157" max="6401" width="9.1796875" style="21"/>
    <col min="6402" max="6402" width="5.81640625" style="21" customWidth="1"/>
    <col min="6403" max="6403" width="30" style="21" customWidth="1"/>
    <col min="6404" max="6404" width="7.81640625" style="21" customWidth="1"/>
    <col min="6405" max="6405" width="11.54296875" style="21" customWidth="1"/>
    <col min="6406" max="6406" width="11.26953125" style="21" customWidth="1"/>
    <col min="6407" max="6407" width="11.453125" style="21" customWidth="1"/>
    <col min="6408" max="6408" width="10.81640625" style="21" customWidth="1"/>
    <col min="6409" max="6409" width="12.1796875" style="21" customWidth="1"/>
    <col min="6410" max="6410" width="11.7265625" style="21" customWidth="1"/>
    <col min="6411" max="6411" width="12.81640625" style="21" customWidth="1"/>
    <col min="6412" max="6412" width="13.81640625" style="21" customWidth="1"/>
    <col min="6413" max="6657" width="9.1796875" style="21"/>
    <col min="6658" max="6658" width="5.81640625" style="21" customWidth="1"/>
    <col min="6659" max="6659" width="30" style="21" customWidth="1"/>
    <col min="6660" max="6660" width="7.81640625" style="21" customWidth="1"/>
    <col min="6661" max="6661" width="11.54296875" style="21" customWidth="1"/>
    <col min="6662" max="6662" width="11.26953125" style="21" customWidth="1"/>
    <col min="6663" max="6663" width="11.453125" style="21" customWidth="1"/>
    <col min="6664" max="6664" width="10.81640625" style="21" customWidth="1"/>
    <col min="6665" max="6665" width="12.1796875" style="21" customWidth="1"/>
    <col min="6666" max="6666" width="11.7265625" style="21" customWidth="1"/>
    <col min="6667" max="6667" width="12.81640625" style="21" customWidth="1"/>
    <col min="6668" max="6668" width="13.81640625" style="21" customWidth="1"/>
    <col min="6669" max="6913" width="9.1796875" style="21"/>
    <col min="6914" max="6914" width="5.81640625" style="21" customWidth="1"/>
    <col min="6915" max="6915" width="30" style="21" customWidth="1"/>
    <col min="6916" max="6916" width="7.81640625" style="21" customWidth="1"/>
    <col min="6917" max="6917" width="11.54296875" style="21" customWidth="1"/>
    <col min="6918" max="6918" width="11.26953125" style="21" customWidth="1"/>
    <col min="6919" max="6919" width="11.453125" style="21" customWidth="1"/>
    <col min="6920" max="6920" width="10.81640625" style="21" customWidth="1"/>
    <col min="6921" max="6921" width="12.1796875" style="21" customWidth="1"/>
    <col min="6922" max="6922" width="11.7265625" style="21" customWidth="1"/>
    <col min="6923" max="6923" width="12.81640625" style="21" customWidth="1"/>
    <col min="6924" max="6924" width="13.81640625" style="21" customWidth="1"/>
    <col min="6925" max="7169" width="9.1796875" style="21"/>
    <col min="7170" max="7170" width="5.81640625" style="21" customWidth="1"/>
    <col min="7171" max="7171" width="30" style="21" customWidth="1"/>
    <col min="7172" max="7172" width="7.81640625" style="21" customWidth="1"/>
    <col min="7173" max="7173" width="11.54296875" style="21" customWidth="1"/>
    <col min="7174" max="7174" width="11.26953125" style="21" customWidth="1"/>
    <col min="7175" max="7175" width="11.453125" style="21" customWidth="1"/>
    <col min="7176" max="7176" width="10.81640625" style="21" customWidth="1"/>
    <col min="7177" max="7177" width="12.1796875" style="21" customWidth="1"/>
    <col min="7178" max="7178" width="11.7265625" style="21" customWidth="1"/>
    <col min="7179" max="7179" width="12.81640625" style="21" customWidth="1"/>
    <col min="7180" max="7180" width="13.81640625" style="21" customWidth="1"/>
    <col min="7181" max="7425" width="9.1796875" style="21"/>
    <col min="7426" max="7426" width="5.81640625" style="21" customWidth="1"/>
    <col min="7427" max="7427" width="30" style="21" customWidth="1"/>
    <col min="7428" max="7428" width="7.81640625" style="21" customWidth="1"/>
    <col min="7429" max="7429" width="11.54296875" style="21" customWidth="1"/>
    <col min="7430" max="7430" width="11.26953125" style="21" customWidth="1"/>
    <col min="7431" max="7431" width="11.453125" style="21" customWidth="1"/>
    <col min="7432" max="7432" width="10.81640625" style="21" customWidth="1"/>
    <col min="7433" max="7433" width="12.1796875" style="21" customWidth="1"/>
    <col min="7434" max="7434" width="11.7265625" style="21" customWidth="1"/>
    <col min="7435" max="7435" width="12.81640625" style="21" customWidth="1"/>
    <col min="7436" max="7436" width="13.81640625" style="21" customWidth="1"/>
    <col min="7437" max="7681" width="9.1796875" style="21"/>
    <col min="7682" max="7682" width="5.81640625" style="21" customWidth="1"/>
    <col min="7683" max="7683" width="30" style="21" customWidth="1"/>
    <col min="7684" max="7684" width="7.81640625" style="21" customWidth="1"/>
    <col min="7685" max="7685" width="11.54296875" style="21" customWidth="1"/>
    <col min="7686" max="7686" width="11.26953125" style="21" customWidth="1"/>
    <col min="7687" max="7687" width="11.453125" style="21" customWidth="1"/>
    <col min="7688" max="7688" width="10.81640625" style="21" customWidth="1"/>
    <col min="7689" max="7689" width="12.1796875" style="21" customWidth="1"/>
    <col min="7690" max="7690" width="11.7265625" style="21" customWidth="1"/>
    <col min="7691" max="7691" width="12.81640625" style="21" customWidth="1"/>
    <col min="7692" max="7692" width="13.81640625" style="21" customWidth="1"/>
    <col min="7693" max="7937" width="9.1796875" style="21"/>
    <col min="7938" max="7938" width="5.81640625" style="21" customWidth="1"/>
    <col min="7939" max="7939" width="30" style="21" customWidth="1"/>
    <col min="7940" max="7940" width="7.81640625" style="21" customWidth="1"/>
    <col min="7941" max="7941" width="11.54296875" style="21" customWidth="1"/>
    <col min="7942" max="7942" width="11.26953125" style="21" customWidth="1"/>
    <col min="7943" max="7943" width="11.453125" style="21" customWidth="1"/>
    <col min="7944" max="7944" width="10.81640625" style="21" customWidth="1"/>
    <col min="7945" max="7945" width="12.1796875" style="21" customWidth="1"/>
    <col min="7946" max="7946" width="11.7265625" style="21" customWidth="1"/>
    <col min="7947" max="7947" width="12.81640625" style="21" customWidth="1"/>
    <col min="7948" max="7948" width="13.81640625" style="21" customWidth="1"/>
    <col min="7949" max="8193" width="9.1796875" style="21"/>
    <col min="8194" max="8194" width="5.81640625" style="21" customWidth="1"/>
    <col min="8195" max="8195" width="30" style="21" customWidth="1"/>
    <col min="8196" max="8196" width="7.81640625" style="21" customWidth="1"/>
    <col min="8197" max="8197" width="11.54296875" style="21" customWidth="1"/>
    <col min="8198" max="8198" width="11.26953125" style="21" customWidth="1"/>
    <col min="8199" max="8199" width="11.453125" style="21" customWidth="1"/>
    <col min="8200" max="8200" width="10.81640625" style="21" customWidth="1"/>
    <col min="8201" max="8201" width="12.1796875" style="21" customWidth="1"/>
    <col min="8202" max="8202" width="11.7265625" style="21" customWidth="1"/>
    <col min="8203" max="8203" width="12.81640625" style="21" customWidth="1"/>
    <col min="8204" max="8204" width="13.81640625" style="21" customWidth="1"/>
    <col min="8205" max="8449" width="9.1796875" style="21"/>
    <col min="8450" max="8450" width="5.81640625" style="21" customWidth="1"/>
    <col min="8451" max="8451" width="30" style="21" customWidth="1"/>
    <col min="8452" max="8452" width="7.81640625" style="21" customWidth="1"/>
    <col min="8453" max="8453" width="11.54296875" style="21" customWidth="1"/>
    <col min="8454" max="8454" width="11.26953125" style="21" customWidth="1"/>
    <col min="8455" max="8455" width="11.453125" style="21" customWidth="1"/>
    <col min="8456" max="8456" width="10.81640625" style="21" customWidth="1"/>
    <col min="8457" max="8457" width="12.1796875" style="21" customWidth="1"/>
    <col min="8458" max="8458" width="11.7265625" style="21" customWidth="1"/>
    <col min="8459" max="8459" width="12.81640625" style="21" customWidth="1"/>
    <col min="8460" max="8460" width="13.81640625" style="21" customWidth="1"/>
    <col min="8461" max="8705" width="9.1796875" style="21"/>
    <col min="8706" max="8706" width="5.81640625" style="21" customWidth="1"/>
    <col min="8707" max="8707" width="30" style="21" customWidth="1"/>
    <col min="8708" max="8708" width="7.81640625" style="21" customWidth="1"/>
    <col min="8709" max="8709" width="11.54296875" style="21" customWidth="1"/>
    <col min="8710" max="8710" width="11.26953125" style="21" customWidth="1"/>
    <col min="8711" max="8711" width="11.453125" style="21" customWidth="1"/>
    <col min="8712" max="8712" width="10.81640625" style="21" customWidth="1"/>
    <col min="8713" max="8713" width="12.1796875" style="21" customWidth="1"/>
    <col min="8714" max="8714" width="11.7265625" style="21" customWidth="1"/>
    <col min="8715" max="8715" width="12.81640625" style="21" customWidth="1"/>
    <col min="8716" max="8716" width="13.81640625" style="21" customWidth="1"/>
    <col min="8717" max="8961" width="9.1796875" style="21"/>
    <col min="8962" max="8962" width="5.81640625" style="21" customWidth="1"/>
    <col min="8963" max="8963" width="30" style="21" customWidth="1"/>
    <col min="8964" max="8964" width="7.81640625" style="21" customWidth="1"/>
    <col min="8965" max="8965" width="11.54296875" style="21" customWidth="1"/>
    <col min="8966" max="8966" width="11.26953125" style="21" customWidth="1"/>
    <col min="8967" max="8967" width="11.453125" style="21" customWidth="1"/>
    <col min="8968" max="8968" width="10.81640625" style="21" customWidth="1"/>
    <col min="8969" max="8969" width="12.1796875" style="21" customWidth="1"/>
    <col min="8970" max="8970" width="11.7265625" style="21" customWidth="1"/>
    <col min="8971" max="8971" width="12.81640625" style="21" customWidth="1"/>
    <col min="8972" max="8972" width="13.81640625" style="21" customWidth="1"/>
    <col min="8973" max="9217" width="9.1796875" style="21"/>
    <col min="9218" max="9218" width="5.81640625" style="21" customWidth="1"/>
    <col min="9219" max="9219" width="30" style="21" customWidth="1"/>
    <col min="9220" max="9220" width="7.81640625" style="21" customWidth="1"/>
    <col min="9221" max="9221" width="11.54296875" style="21" customWidth="1"/>
    <col min="9222" max="9222" width="11.26953125" style="21" customWidth="1"/>
    <col min="9223" max="9223" width="11.453125" style="21" customWidth="1"/>
    <col min="9224" max="9224" width="10.81640625" style="21" customWidth="1"/>
    <col min="9225" max="9225" width="12.1796875" style="21" customWidth="1"/>
    <col min="9226" max="9226" width="11.7265625" style="21" customWidth="1"/>
    <col min="9227" max="9227" width="12.81640625" style="21" customWidth="1"/>
    <col min="9228" max="9228" width="13.81640625" style="21" customWidth="1"/>
    <col min="9229" max="9473" width="9.1796875" style="21"/>
    <col min="9474" max="9474" width="5.81640625" style="21" customWidth="1"/>
    <col min="9475" max="9475" width="30" style="21" customWidth="1"/>
    <col min="9476" max="9476" width="7.81640625" style="21" customWidth="1"/>
    <col min="9477" max="9477" width="11.54296875" style="21" customWidth="1"/>
    <col min="9478" max="9478" width="11.26953125" style="21" customWidth="1"/>
    <col min="9479" max="9479" width="11.453125" style="21" customWidth="1"/>
    <col min="9480" max="9480" width="10.81640625" style="21" customWidth="1"/>
    <col min="9481" max="9481" width="12.1796875" style="21" customWidth="1"/>
    <col min="9482" max="9482" width="11.7265625" style="21" customWidth="1"/>
    <col min="9483" max="9483" width="12.81640625" style="21" customWidth="1"/>
    <col min="9484" max="9484" width="13.81640625" style="21" customWidth="1"/>
    <col min="9485" max="9729" width="9.1796875" style="21"/>
    <col min="9730" max="9730" width="5.81640625" style="21" customWidth="1"/>
    <col min="9731" max="9731" width="30" style="21" customWidth="1"/>
    <col min="9732" max="9732" width="7.81640625" style="21" customWidth="1"/>
    <col min="9733" max="9733" width="11.54296875" style="21" customWidth="1"/>
    <col min="9734" max="9734" width="11.26953125" style="21" customWidth="1"/>
    <col min="9735" max="9735" width="11.453125" style="21" customWidth="1"/>
    <col min="9736" max="9736" width="10.81640625" style="21" customWidth="1"/>
    <col min="9737" max="9737" width="12.1796875" style="21" customWidth="1"/>
    <col min="9738" max="9738" width="11.7265625" style="21" customWidth="1"/>
    <col min="9739" max="9739" width="12.81640625" style="21" customWidth="1"/>
    <col min="9740" max="9740" width="13.81640625" style="21" customWidth="1"/>
    <col min="9741" max="9985" width="9.1796875" style="21"/>
    <col min="9986" max="9986" width="5.81640625" style="21" customWidth="1"/>
    <col min="9987" max="9987" width="30" style="21" customWidth="1"/>
    <col min="9988" max="9988" width="7.81640625" style="21" customWidth="1"/>
    <col min="9989" max="9989" width="11.54296875" style="21" customWidth="1"/>
    <col min="9990" max="9990" width="11.26953125" style="21" customWidth="1"/>
    <col min="9991" max="9991" width="11.453125" style="21" customWidth="1"/>
    <col min="9992" max="9992" width="10.81640625" style="21" customWidth="1"/>
    <col min="9993" max="9993" width="12.1796875" style="21" customWidth="1"/>
    <col min="9994" max="9994" width="11.7265625" style="21" customWidth="1"/>
    <col min="9995" max="9995" width="12.81640625" style="21" customWidth="1"/>
    <col min="9996" max="9996" width="13.81640625" style="21" customWidth="1"/>
    <col min="9997" max="10241" width="9.1796875" style="21"/>
    <col min="10242" max="10242" width="5.81640625" style="21" customWidth="1"/>
    <col min="10243" max="10243" width="30" style="21" customWidth="1"/>
    <col min="10244" max="10244" width="7.81640625" style="21" customWidth="1"/>
    <col min="10245" max="10245" width="11.54296875" style="21" customWidth="1"/>
    <col min="10246" max="10246" width="11.26953125" style="21" customWidth="1"/>
    <col min="10247" max="10247" width="11.453125" style="21" customWidth="1"/>
    <col min="10248" max="10248" width="10.81640625" style="21" customWidth="1"/>
    <col min="10249" max="10249" width="12.1796875" style="21" customWidth="1"/>
    <col min="10250" max="10250" width="11.7265625" style="21" customWidth="1"/>
    <col min="10251" max="10251" width="12.81640625" style="21" customWidth="1"/>
    <col min="10252" max="10252" width="13.81640625" style="21" customWidth="1"/>
    <col min="10253" max="10497" width="9.1796875" style="21"/>
    <col min="10498" max="10498" width="5.81640625" style="21" customWidth="1"/>
    <col min="10499" max="10499" width="30" style="21" customWidth="1"/>
    <col min="10500" max="10500" width="7.81640625" style="21" customWidth="1"/>
    <col min="10501" max="10501" width="11.54296875" style="21" customWidth="1"/>
    <col min="10502" max="10502" width="11.26953125" style="21" customWidth="1"/>
    <col min="10503" max="10503" width="11.453125" style="21" customWidth="1"/>
    <col min="10504" max="10504" width="10.81640625" style="21" customWidth="1"/>
    <col min="10505" max="10505" width="12.1796875" style="21" customWidth="1"/>
    <col min="10506" max="10506" width="11.7265625" style="21" customWidth="1"/>
    <col min="10507" max="10507" width="12.81640625" style="21" customWidth="1"/>
    <col min="10508" max="10508" width="13.81640625" style="21" customWidth="1"/>
    <col min="10509" max="10753" width="9.1796875" style="21"/>
    <col min="10754" max="10754" width="5.81640625" style="21" customWidth="1"/>
    <col min="10755" max="10755" width="30" style="21" customWidth="1"/>
    <col min="10756" max="10756" width="7.81640625" style="21" customWidth="1"/>
    <col min="10757" max="10757" width="11.54296875" style="21" customWidth="1"/>
    <col min="10758" max="10758" width="11.26953125" style="21" customWidth="1"/>
    <col min="10759" max="10759" width="11.453125" style="21" customWidth="1"/>
    <col min="10760" max="10760" width="10.81640625" style="21" customWidth="1"/>
    <col min="10761" max="10761" width="12.1796875" style="21" customWidth="1"/>
    <col min="10762" max="10762" width="11.7265625" style="21" customWidth="1"/>
    <col min="10763" max="10763" width="12.81640625" style="21" customWidth="1"/>
    <col min="10764" max="10764" width="13.81640625" style="21" customWidth="1"/>
    <col min="10765" max="11009" width="9.1796875" style="21"/>
    <col min="11010" max="11010" width="5.81640625" style="21" customWidth="1"/>
    <col min="11011" max="11011" width="30" style="21" customWidth="1"/>
    <col min="11012" max="11012" width="7.81640625" style="21" customWidth="1"/>
    <col min="11013" max="11013" width="11.54296875" style="21" customWidth="1"/>
    <col min="11014" max="11014" width="11.26953125" style="21" customWidth="1"/>
    <col min="11015" max="11015" width="11.453125" style="21" customWidth="1"/>
    <col min="11016" max="11016" width="10.81640625" style="21" customWidth="1"/>
    <col min="11017" max="11017" width="12.1796875" style="21" customWidth="1"/>
    <col min="11018" max="11018" width="11.7265625" style="21" customWidth="1"/>
    <col min="11019" max="11019" width="12.81640625" style="21" customWidth="1"/>
    <col min="11020" max="11020" width="13.81640625" style="21" customWidth="1"/>
    <col min="11021" max="11265" width="9.1796875" style="21"/>
    <col min="11266" max="11266" width="5.81640625" style="21" customWidth="1"/>
    <col min="11267" max="11267" width="30" style="21" customWidth="1"/>
    <col min="11268" max="11268" width="7.81640625" style="21" customWidth="1"/>
    <col min="11269" max="11269" width="11.54296875" style="21" customWidth="1"/>
    <col min="11270" max="11270" width="11.26953125" style="21" customWidth="1"/>
    <col min="11271" max="11271" width="11.453125" style="21" customWidth="1"/>
    <col min="11272" max="11272" width="10.81640625" style="21" customWidth="1"/>
    <col min="11273" max="11273" width="12.1796875" style="21" customWidth="1"/>
    <col min="11274" max="11274" width="11.7265625" style="21" customWidth="1"/>
    <col min="11275" max="11275" width="12.81640625" style="21" customWidth="1"/>
    <col min="11276" max="11276" width="13.81640625" style="21" customWidth="1"/>
    <col min="11277" max="11521" width="9.1796875" style="21"/>
    <col min="11522" max="11522" width="5.81640625" style="21" customWidth="1"/>
    <col min="11523" max="11523" width="30" style="21" customWidth="1"/>
    <col min="11524" max="11524" width="7.81640625" style="21" customWidth="1"/>
    <col min="11525" max="11525" width="11.54296875" style="21" customWidth="1"/>
    <col min="11526" max="11526" width="11.26953125" style="21" customWidth="1"/>
    <col min="11527" max="11527" width="11.453125" style="21" customWidth="1"/>
    <col min="11528" max="11528" width="10.81640625" style="21" customWidth="1"/>
    <col min="11529" max="11529" width="12.1796875" style="21" customWidth="1"/>
    <col min="11530" max="11530" width="11.7265625" style="21" customWidth="1"/>
    <col min="11531" max="11531" width="12.81640625" style="21" customWidth="1"/>
    <col min="11532" max="11532" width="13.81640625" style="21" customWidth="1"/>
    <col min="11533" max="11777" width="9.1796875" style="21"/>
    <col min="11778" max="11778" width="5.81640625" style="21" customWidth="1"/>
    <col min="11779" max="11779" width="30" style="21" customWidth="1"/>
    <col min="11780" max="11780" width="7.81640625" style="21" customWidth="1"/>
    <col min="11781" max="11781" width="11.54296875" style="21" customWidth="1"/>
    <col min="11782" max="11782" width="11.26953125" style="21" customWidth="1"/>
    <col min="11783" max="11783" width="11.453125" style="21" customWidth="1"/>
    <col min="11784" max="11784" width="10.81640625" style="21" customWidth="1"/>
    <col min="11785" max="11785" width="12.1796875" style="21" customWidth="1"/>
    <col min="11786" max="11786" width="11.7265625" style="21" customWidth="1"/>
    <col min="11787" max="11787" width="12.81640625" style="21" customWidth="1"/>
    <col min="11788" max="11788" width="13.81640625" style="21" customWidth="1"/>
    <col min="11789" max="12033" width="9.1796875" style="21"/>
    <col min="12034" max="12034" width="5.81640625" style="21" customWidth="1"/>
    <col min="12035" max="12035" width="30" style="21" customWidth="1"/>
    <col min="12036" max="12036" width="7.81640625" style="21" customWidth="1"/>
    <col min="12037" max="12037" width="11.54296875" style="21" customWidth="1"/>
    <col min="12038" max="12038" width="11.26953125" style="21" customWidth="1"/>
    <col min="12039" max="12039" width="11.453125" style="21" customWidth="1"/>
    <col min="12040" max="12040" width="10.81640625" style="21" customWidth="1"/>
    <col min="12041" max="12041" width="12.1796875" style="21" customWidth="1"/>
    <col min="12042" max="12042" width="11.7265625" style="21" customWidth="1"/>
    <col min="12043" max="12043" width="12.81640625" style="21" customWidth="1"/>
    <col min="12044" max="12044" width="13.81640625" style="21" customWidth="1"/>
    <col min="12045" max="12289" width="9.1796875" style="21"/>
    <col min="12290" max="12290" width="5.81640625" style="21" customWidth="1"/>
    <col min="12291" max="12291" width="30" style="21" customWidth="1"/>
    <col min="12292" max="12292" width="7.81640625" style="21" customWidth="1"/>
    <col min="12293" max="12293" width="11.54296875" style="21" customWidth="1"/>
    <col min="12294" max="12294" width="11.26953125" style="21" customWidth="1"/>
    <col min="12295" max="12295" width="11.453125" style="21" customWidth="1"/>
    <col min="12296" max="12296" width="10.81640625" style="21" customWidth="1"/>
    <col min="12297" max="12297" width="12.1796875" style="21" customWidth="1"/>
    <col min="12298" max="12298" width="11.7265625" style="21" customWidth="1"/>
    <col min="12299" max="12299" width="12.81640625" style="21" customWidth="1"/>
    <col min="12300" max="12300" width="13.81640625" style="21" customWidth="1"/>
    <col min="12301" max="12545" width="9.1796875" style="21"/>
    <col min="12546" max="12546" width="5.81640625" style="21" customWidth="1"/>
    <col min="12547" max="12547" width="30" style="21" customWidth="1"/>
    <col min="12548" max="12548" width="7.81640625" style="21" customWidth="1"/>
    <col min="12549" max="12549" width="11.54296875" style="21" customWidth="1"/>
    <col min="12550" max="12550" width="11.26953125" style="21" customWidth="1"/>
    <col min="12551" max="12551" width="11.453125" style="21" customWidth="1"/>
    <col min="12552" max="12552" width="10.81640625" style="21" customWidth="1"/>
    <col min="12553" max="12553" width="12.1796875" style="21" customWidth="1"/>
    <col min="12554" max="12554" width="11.7265625" style="21" customWidth="1"/>
    <col min="12555" max="12555" width="12.81640625" style="21" customWidth="1"/>
    <col min="12556" max="12556" width="13.81640625" style="21" customWidth="1"/>
    <col min="12557" max="12801" width="9.1796875" style="21"/>
    <col min="12802" max="12802" width="5.81640625" style="21" customWidth="1"/>
    <col min="12803" max="12803" width="30" style="21" customWidth="1"/>
    <col min="12804" max="12804" width="7.81640625" style="21" customWidth="1"/>
    <col min="12805" max="12805" width="11.54296875" style="21" customWidth="1"/>
    <col min="12806" max="12806" width="11.26953125" style="21" customWidth="1"/>
    <col min="12807" max="12807" width="11.453125" style="21" customWidth="1"/>
    <col min="12808" max="12808" width="10.81640625" style="21" customWidth="1"/>
    <col min="12809" max="12809" width="12.1796875" style="21" customWidth="1"/>
    <col min="12810" max="12810" width="11.7265625" style="21" customWidth="1"/>
    <col min="12811" max="12811" width="12.81640625" style="21" customWidth="1"/>
    <col min="12812" max="12812" width="13.81640625" style="21" customWidth="1"/>
    <col min="12813" max="13057" width="9.1796875" style="21"/>
    <col min="13058" max="13058" width="5.81640625" style="21" customWidth="1"/>
    <col min="13059" max="13059" width="30" style="21" customWidth="1"/>
    <col min="13060" max="13060" width="7.81640625" style="21" customWidth="1"/>
    <col min="13061" max="13061" width="11.54296875" style="21" customWidth="1"/>
    <col min="13062" max="13062" width="11.26953125" style="21" customWidth="1"/>
    <col min="13063" max="13063" width="11.453125" style="21" customWidth="1"/>
    <col min="13064" max="13064" width="10.81640625" style="21" customWidth="1"/>
    <col min="13065" max="13065" width="12.1796875" style="21" customWidth="1"/>
    <col min="13066" max="13066" width="11.7265625" style="21" customWidth="1"/>
    <col min="13067" max="13067" width="12.81640625" style="21" customWidth="1"/>
    <col min="13068" max="13068" width="13.81640625" style="21" customWidth="1"/>
    <col min="13069" max="13313" width="9.1796875" style="21"/>
    <col min="13314" max="13314" width="5.81640625" style="21" customWidth="1"/>
    <col min="13315" max="13315" width="30" style="21" customWidth="1"/>
    <col min="13316" max="13316" width="7.81640625" style="21" customWidth="1"/>
    <col min="13317" max="13317" width="11.54296875" style="21" customWidth="1"/>
    <col min="13318" max="13318" width="11.26953125" style="21" customWidth="1"/>
    <col min="13319" max="13319" width="11.453125" style="21" customWidth="1"/>
    <col min="13320" max="13320" width="10.81640625" style="21" customWidth="1"/>
    <col min="13321" max="13321" width="12.1796875" style="21" customWidth="1"/>
    <col min="13322" max="13322" width="11.7265625" style="21" customWidth="1"/>
    <col min="13323" max="13323" width="12.81640625" style="21" customWidth="1"/>
    <col min="13324" max="13324" width="13.81640625" style="21" customWidth="1"/>
    <col min="13325" max="13569" width="9.1796875" style="21"/>
    <col min="13570" max="13570" width="5.81640625" style="21" customWidth="1"/>
    <col min="13571" max="13571" width="30" style="21" customWidth="1"/>
    <col min="13572" max="13572" width="7.81640625" style="21" customWidth="1"/>
    <col min="13573" max="13573" width="11.54296875" style="21" customWidth="1"/>
    <col min="13574" max="13574" width="11.26953125" style="21" customWidth="1"/>
    <col min="13575" max="13575" width="11.453125" style="21" customWidth="1"/>
    <col min="13576" max="13576" width="10.81640625" style="21" customWidth="1"/>
    <col min="13577" max="13577" width="12.1796875" style="21" customWidth="1"/>
    <col min="13578" max="13578" width="11.7265625" style="21" customWidth="1"/>
    <col min="13579" max="13579" width="12.81640625" style="21" customWidth="1"/>
    <col min="13580" max="13580" width="13.81640625" style="21" customWidth="1"/>
    <col min="13581" max="13825" width="9.1796875" style="21"/>
    <col min="13826" max="13826" width="5.81640625" style="21" customWidth="1"/>
    <col min="13827" max="13827" width="30" style="21" customWidth="1"/>
    <col min="13828" max="13828" width="7.81640625" style="21" customWidth="1"/>
    <col min="13829" max="13829" width="11.54296875" style="21" customWidth="1"/>
    <col min="13830" max="13830" width="11.26953125" style="21" customWidth="1"/>
    <col min="13831" max="13831" width="11.453125" style="21" customWidth="1"/>
    <col min="13832" max="13832" width="10.81640625" style="21" customWidth="1"/>
    <col min="13833" max="13833" width="12.1796875" style="21" customWidth="1"/>
    <col min="13834" max="13834" width="11.7265625" style="21" customWidth="1"/>
    <col min="13835" max="13835" width="12.81640625" style="21" customWidth="1"/>
    <col min="13836" max="13836" width="13.81640625" style="21" customWidth="1"/>
    <col min="13837" max="14081" width="9.1796875" style="21"/>
    <col min="14082" max="14082" width="5.81640625" style="21" customWidth="1"/>
    <col min="14083" max="14083" width="30" style="21" customWidth="1"/>
    <col min="14084" max="14084" width="7.81640625" style="21" customWidth="1"/>
    <col min="14085" max="14085" width="11.54296875" style="21" customWidth="1"/>
    <col min="14086" max="14086" width="11.26953125" style="21" customWidth="1"/>
    <col min="14087" max="14087" width="11.453125" style="21" customWidth="1"/>
    <col min="14088" max="14088" width="10.81640625" style="21" customWidth="1"/>
    <col min="14089" max="14089" width="12.1796875" style="21" customWidth="1"/>
    <col min="14090" max="14090" width="11.7265625" style="21" customWidth="1"/>
    <col min="14091" max="14091" width="12.81640625" style="21" customWidth="1"/>
    <col min="14092" max="14092" width="13.81640625" style="21" customWidth="1"/>
    <col min="14093" max="14337" width="9.1796875" style="21"/>
    <col min="14338" max="14338" width="5.81640625" style="21" customWidth="1"/>
    <col min="14339" max="14339" width="30" style="21" customWidth="1"/>
    <col min="14340" max="14340" width="7.81640625" style="21" customWidth="1"/>
    <col min="14341" max="14341" width="11.54296875" style="21" customWidth="1"/>
    <col min="14342" max="14342" width="11.26953125" style="21" customWidth="1"/>
    <col min="14343" max="14343" width="11.453125" style="21" customWidth="1"/>
    <col min="14344" max="14344" width="10.81640625" style="21" customWidth="1"/>
    <col min="14345" max="14345" width="12.1796875" style="21" customWidth="1"/>
    <col min="14346" max="14346" width="11.7265625" style="21" customWidth="1"/>
    <col min="14347" max="14347" width="12.81640625" style="21" customWidth="1"/>
    <col min="14348" max="14348" width="13.81640625" style="21" customWidth="1"/>
    <col min="14349" max="14593" width="9.1796875" style="21"/>
    <col min="14594" max="14594" width="5.81640625" style="21" customWidth="1"/>
    <col min="14595" max="14595" width="30" style="21" customWidth="1"/>
    <col min="14596" max="14596" width="7.81640625" style="21" customWidth="1"/>
    <col min="14597" max="14597" width="11.54296875" style="21" customWidth="1"/>
    <col min="14598" max="14598" width="11.26953125" style="21" customWidth="1"/>
    <col min="14599" max="14599" width="11.453125" style="21" customWidth="1"/>
    <col min="14600" max="14600" width="10.81640625" style="21" customWidth="1"/>
    <col min="14601" max="14601" width="12.1796875" style="21" customWidth="1"/>
    <col min="14602" max="14602" width="11.7265625" style="21" customWidth="1"/>
    <col min="14603" max="14603" width="12.81640625" style="21" customWidth="1"/>
    <col min="14604" max="14604" width="13.81640625" style="21" customWidth="1"/>
    <col min="14605" max="14849" width="9.1796875" style="21"/>
    <col min="14850" max="14850" width="5.81640625" style="21" customWidth="1"/>
    <col min="14851" max="14851" width="30" style="21" customWidth="1"/>
    <col min="14852" max="14852" width="7.81640625" style="21" customWidth="1"/>
    <col min="14853" max="14853" width="11.54296875" style="21" customWidth="1"/>
    <col min="14854" max="14854" width="11.26953125" style="21" customWidth="1"/>
    <col min="14855" max="14855" width="11.453125" style="21" customWidth="1"/>
    <col min="14856" max="14856" width="10.81640625" style="21" customWidth="1"/>
    <col min="14857" max="14857" width="12.1796875" style="21" customWidth="1"/>
    <col min="14858" max="14858" width="11.7265625" style="21" customWidth="1"/>
    <col min="14859" max="14859" width="12.81640625" style="21" customWidth="1"/>
    <col min="14860" max="14860" width="13.81640625" style="21" customWidth="1"/>
    <col min="14861" max="15105" width="9.1796875" style="21"/>
    <col min="15106" max="15106" width="5.81640625" style="21" customWidth="1"/>
    <col min="15107" max="15107" width="30" style="21" customWidth="1"/>
    <col min="15108" max="15108" width="7.81640625" style="21" customWidth="1"/>
    <col min="15109" max="15109" width="11.54296875" style="21" customWidth="1"/>
    <col min="15110" max="15110" width="11.26953125" style="21" customWidth="1"/>
    <col min="15111" max="15111" width="11.453125" style="21" customWidth="1"/>
    <col min="15112" max="15112" width="10.81640625" style="21" customWidth="1"/>
    <col min="15113" max="15113" width="12.1796875" style="21" customWidth="1"/>
    <col min="15114" max="15114" width="11.7265625" style="21" customWidth="1"/>
    <col min="15115" max="15115" width="12.81640625" style="21" customWidth="1"/>
    <col min="15116" max="15116" width="13.81640625" style="21" customWidth="1"/>
    <col min="15117" max="15361" width="9.1796875" style="21"/>
    <col min="15362" max="15362" width="5.81640625" style="21" customWidth="1"/>
    <col min="15363" max="15363" width="30" style="21" customWidth="1"/>
    <col min="15364" max="15364" width="7.81640625" style="21" customWidth="1"/>
    <col min="15365" max="15365" width="11.54296875" style="21" customWidth="1"/>
    <col min="15366" max="15366" width="11.26953125" style="21" customWidth="1"/>
    <col min="15367" max="15367" width="11.453125" style="21" customWidth="1"/>
    <col min="15368" max="15368" width="10.81640625" style="21" customWidth="1"/>
    <col min="15369" max="15369" width="12.1796875" style="21" customWidth="1"/>
    <col min="15370" max="15370" width="11.7265625" style="21" customWidth="1"/>
    <col min="15371" max="15371" width="12.81640625" style="21" customWidth="1"/>
    <col min="15372" max="15372" width="13.81640625" style="21" customWidth="1"/>
    <col min="15373" max="15617" width="9.1796875" style="21"/>
    <col min="15618" max="15618" width="5.81640625" style="21" customWidth="1"/>
    <col min="15619" max="15619" width="30" style="21" customWidth="1"/>
    <col min="15620" max="15620" width="7.81640625" style="21" customWidth="1"/>
    <col min="15621" max="15621" width="11.54296875" style="21" customWidth="1"/>
    <col min="15622" max="15622" width="11.26953125" style="21" customWidth="1"/>
    <col min="15623" max="15623" width="11.453125" style="21" customWidth="1"/>
    <col min="15624" max="15624" width="10.81640625" style="21" customWidth="1"/>
    <col min="15625" max="15625" width="12.1796875" style="21" customWidth="1"/>
    <col min="15626" max="15626" width="11.7265625" style="21" customWidth="1"/>
    <col min="15627" max="15627" width="12.81640625" style="21" customWidth="1"/>
    <col min="15628" max="15628" width="13.81640625" style="21" customWidth="1"/>
    <col min="15629" max="15873" width="9.1796875" style="21"/>
    <col min="15874" max="15874" width="5.81640625" style="21" customWidth="1"/>
    <col min="15875" max="15875" width="30" style="21" customWidth="1"/>
    <col min="15876" max="15876" width="7.81640625" style="21" customWidth="1"/>
    <col min="15877" max="15877" width="11.54296875" style="21" customWidth="1"/>
    <col min="15878" max="15878" width="11.26953125" style="21" customWidth="1"/>
    <col min="15879" max="15879" width="11.453125" style="21" customWidth="1"/>
    <col min="15880" max="15880" width="10.81640625" style="21" customWidth="1"/>
    <col min="15881" max="15881" width="12.1796875" style="21" customWidth="1"/>
    <col min="15882" max="15882" width="11.7265625" style="21" customWidth="1"/>
    <col min="15883" max="15883" width="12.81640625" style="21" customWidth="1"/>
    <col min="15884" max="15884" width="13.81640625" style="21" customWidth="1"/>
    <col min="15885" max="16129" width="9.1796875" style="21"/>
    <col min="16130" max="16130" width="5.81640625" style="21" customWidth="1"/>
    <col min="16131" max="16131" width="30" style="21" customWidth="1"/>
    <col min="16132" max="16132" width="7.81640625" style="21" customWidth="1"/>
    <col min="16133" max="16133" width="11.54296875" style="21" customWidth="1"/>
    <col min="16134" max="16134" width="11.26953125" style="21" customWidth="1"/>
    <col min="16135" max="16135" width="11.453125" style="21" customWidth="1"/>
    <col min="16136" max="16136" width="10.81640625" style="21" customWidth="1"/>
    <col min="16137" max="16137" width="12.1796875" style="21" customWidth="1"/>
    <col min="16138" max="16138" width="11.7265625" style="21" customWidth="1"/>
    <col min="16139" max="16139" width="12.81640625" style="21" customWidth="1"/>
    <col min="16140" max="16140" width="13.81640625" style="21" customWidth="1"/>
    <col min="16141" max="16384" width="9.1796875" style="21"/>
  </cols>
  <sheetData>
    <row r="1" spans="1:12" s="20" customFormat="1" ht="23.25" customHeight="1" x14ac:dyDescent="0.35">
      <c r="A1" s="438" t="s">
        <v>222</v>
      </c>
      <c r="B1" s="438"/>
      <c r="C1" s="438"/>
      <c r="D1" s="438"/>
      <c r="E1" s="438"/>
      <c r="F1" s="438"/>
      <c r="G1" s="438"/>
      <c r="H1" s="438"/>
      <c r="I1" s="438"/>
      <c r="J1" s="438"/>
      <c r="K1" s="438"/>
      <c r="L1" s="438"/>
    </row>
    <row r="2" spans="1:12" s="20" customFormat="1" ht="120.75" customHeight="1" x14ac:dyDescent="0.35">
      <c r="A2" s="439" t="s">
        <v>677</v>
      </c>
      <c r="B2" s="439"/>
      <c r="C2" s="440"/>
      <c r="D2" s="440"/>
      <c r="E2" s="440"/>
      <c r="F2" s="440"/>
      <c r="G2" s="440"/>
      <c r="H2" s="440"/>
      <c r="I2" s="440"/>
      <c r="J2" s="440"/>
      <c r="K2" s="440"/>
      <c r="L2" s="440"/>
    </row>
    <row r="3" spans="1:12" ht="23.25" customHeight="1" x14ac:dyDescent="0.35">
      <c r="A3" s="21"/>
      <c r="B3" s="21"/>
      <c r="J3" s="24">
        <v>26</v>
      </c>
      <c r="K3" s="24">
        <v>1300000</v>
      </c>
    </row>
    <row r="4" spans="1:12" s="25" customFormat="1" ht="30.75" customHeight="1" x14ac:dyDescent="0.35">
      <c r="A4" s="441" t="s">
        <v>223</v>
      </c>
      <c r="B4" s="444" t="s">
        <v>1</v>
      </c>
      <c r="C4" s="441" t="s">
        <v>224</v>
      </c>
      <c r="D4" s="442" t="s">
        <v>225</v>
      </c>
      <c r="E4" s="443" t="s">
        <v>226</v>
      </c>
      <c r="F4" s="443" t="s">
        <v>227</v>
      </c>
      <c r="G4" s="443" t="s">
        <v>228</v>
      </c>
      <c r="H4" s="443" t="s">
        <v>229</v>
      </c>
      <c r="I4" s="443" t="s">
        <v>230</v>
      </c>
      <c r="J4" s="437" t="s">
        <v>231</v>
      </c>
      <c r="K4" s="437" t="s">
        <v>232</v>
      </c>
      <c r="L4" s="437" t="s">
        <v>233</v>
      </c>
    </row>
    <row r="5" spans="1:12" s="25" customFormat="1" ht="17.25" customHeight="1" x14ac:dyDescent="0.35">
      <c r="A5" s="441"/>
      <c r="B5" s="445"/>
      <c r="C5" s="441"/>
      <c r="D5" s="442"/>
      <c r="E5" s="443"/>
      <c r="F5" s="443"/>
      <c r="G5" s="443"/>
      <c r="H5" s="443"/>
      <c r="I5" s="443"/>
      <c r="J5" s="437"/>
      <c r="K5" s="437"/>
      <c r="L5" s="437"/>
    </row>
    <row r="6" spans="1:12" s="22" customFormat="1" ht="29.25" customHeight="1" x14ac:dyDescent="0.35">
      <c r="A6" s="26" t="s">
        <v>234</v>
      </c>
      <c r="B6" s="26"/>
      <c r="C6" s="431" t="s">
        <v>235</v>
      </c>
      <c r="D6" s="431" t="s">
        <v>236</v>
      </c>
      <c r="E6" s="431" t="s">
        <v>237</v>
      </c>
      <c r="F6" s="432" t="s">
        <v>238</v>
      </c>
      <c r="G6" s="431" t="s">
        <v>239</v>
      </c>
      <c r="H6" s="431" t="s">
        <v>240</v>
      </c>
      <c r="I6" s="431" t="s">
        <v>241</v>
      </c>
      <c r="J6" s="431" t="s">
        <v>754</v>
      </c>
      <c r="K6" s="431" t="s">
        <v>755</v>
      </c>
      <c r="L6" s="431" t="s">
        <v>756</v>
      </c>
    </row>
    <row r="7" spans="1:12" s="32" customFormat="1" ht="21.75" customHeight="1" x14ac:dyDescent="0.35">
      <c r="A7" s="27" t="s">
        <v>242</v>
      </c>
      <c r="B7" s="27"/>
      <c r="C7" s="28" t="s">
        <v>243</v>
      </c>
      <c r="D7" s="29"/>
      <c r="E7" s="30"/>
      <c r="F7" s="31">
        <v>0.11</v>
      </c>
      <c r="G7" s="31">
        <v>0.4</v>
      </c>
      <c r="H7" s="31">
        <v>0.1</v>
      </c>
      <c r="I7" s="30"/>
      <c r="J7" s="416">
        <v>0.23499999999999999</v>
      </c>
      <c r="K7" s="415"/>
      <c r="L7" s="415"/>
    </row>
    <row r="8" spans="1:12" s="32" customFormat="1" ht="32.25" customHeight="1" x14ac:dyDescent="0.35">
      <c r="A8" s="29">
        <v>1</v>
      </c>
      <c r="B8" s="381" t="s">
        <v>678</v>
      </c>
      <c r="C8" s="381" t="s">
        <v>679</v>
      </c>
      <c r="D8" s="33">
        <v>2.41</v>
      </c>
      <c r="E8" s="34">
        <f t="shared" ref="E8:E13" si="0">$K$3*D8</f>
        <v>3133000</v>
      </c>
      <c r="F8" s="30">
        <f>E8*$F$7</f>
        <v>344630</v>
      </c>
      <c r="G8" s="30">
        <f t="shared" ref="G8:G13" si="1">$K$3*$G$7</f>
        <v>520000</v>
      </c>
      <c r="H8" s="30">
        <f t="shared" ref="H8:H13" si="2">$K$3*$H$7</f>
        <v>130000</v>
      </c>
      <c r="I8" s="30">
        <f>$K$3*0/5</f>
        <v>0</v>
      </c>
      <c r="J8" s="34">
        <f>E8*$J$7</f>
        <v>736255</v>
      </c>
      <c r="K8" s="34">
        <f>SUM(E8:J8)</f>
        <v>4863885</v>
      </c>
      <c r="L8" s="35">
        <f t="shared" ref="L8:L13" si="3">K8/$J$3</f>
        <v>187072.5</v>
      </c>
    </row>
    <row r="9" spans="1:12" s="32" customFormat="1" ht="32.25" customHeight="1" x14ac:dyDescent="0.35">
      <c r="A9" s="29">
        <v>2</v>
      </c>
      <c r="B9" s="381" t="s">
        <v>680</v>
      </c>
      <c r="C9" s="381" t="s">
        <v>681</v>
      </c>
      <c r="D9" s="33">
        <v>2.72</v>
      </c>
      <c r="E9" s="34">
        <f t="shared" si="0"/>
        <v>3536000.0000000005</v>
      </c>
      <c r="F9" s="30">
        <f t="shared" ref="F9:F20" si="4">E9*$F$7</f>
        <v>388960.00000000006</v>
      </c>
      <c r="G9" s="30">
        <f t="shared" si="1"/>
        <v>520000</v>
      </c>
      <c r="H9" s="30">
        <f t="shared" si="2"/>
        <v>130000</v>
      </c>
      <c r="I9" s="30">
        <f t="shared" ref="I9:I20" si="5">$K$3*0/5</f>
        <v>0</v>
      </c>
      <c r="J9" s="34">
        <f t="shared" ref="J9:J20" si="6">E9*$J$7</f>
        <v>830960.00000000012</v>
      </c>
      <c r="K9" s="34">
        <f t="shared" ref="K9:K20" si="7">SUM(E9:J9)</f>
        <v>5405920</v>
      </c>
      <c r="L9" s="35">
        <f t="shared" si="3"/>
        <v>207920</v>
      </c>
    </row>
    <row r="10" spans="1:12" s="32" customFormat="1" ht="32.25" customHeight="1" x14ac:dyDescent="0.35">
      <c r="A10" s="29">
        <v>3</v>
      </c>
      <c r="B10" s="381" t="s">
        <v>682</v>
      </c>
      <c r="C10" s="381" t="s">
        <v>683</v>
      </c>
      <c r="D10" s="33">
        <v>2.34</v>
      </c>
      <c r="E10" s="34">
        <f t="shared" si="0"/>
        <v>3042000</v>
      </c>
      <c r="F10" s="30">
        <f t="shared" si="4"/>
        <v>334620</v>
      </c>
      <c r="G10" s="30">
        <f t="shared" si="1"/>
        <v>520000</v>
      </c>
      <c r="H10" s="30">
        <f t="shared" si="2"/>
        <v>130000</v>
      </c>
      <c r="I10" s="30">
        <f t="shared" si="5"/>
        <v>0</v>
      </c>
      <c r="J10" s="34">
        <f t="shared" si="6"/>
        <v>714870</v>
      </c>
      <c r="K10" s="34">
        <f t="shared" si="7"/>
        <v>4741490</v>
      </c>
      <c r="L10" s="35">
        <f t="shared" si="3"/>
        <v>182365</v>
      </c>
    </row>
    <row r="11" spans="1:12" s="32" customFormat="1" ht="32.25" customHeight="1" x14ac:dyDescent="0.35">
      <c r="A11" s="29">
        <v>4</v>
      </c>
      <c r="B11" s="381" t="s">
        <v>684</v>
      </c>
      <c r="C11" s="381" t="s">
        <v>685</v>
      </c>
      <c r="D11" s="33">
        <v>2.67</v>
      </c>
      <c r="E11" s="34">
        <f t="shared" si="0"/>
        <v>3471000</v>
      </c>
      <c r="F11" s="30">
        <f t="shared" si="4"/>
        <v>381810</v>
      </c>
      <c r="G11" s="30">
        <f t="shared" si="1"/>
        <v>520000</v>
      </c>
      <c r="H11" s="30">
        <f t="shared" si="2"/>
        <v>130000</v>
      </c>
      <c r="I11" s="30">
        <f t="shared" si="5"/>
        <v>0</v>
      </c>
      <c r="J11" s="34">
        <f t="shared" si="6"/>
        <v>815685</v>
      </c>
      <c r="K11" s="34">
        <f t="shared" si="7"/>
        <v>5318495</v>
      </c>
      <c r="L11" s="35">
        <f t="shared" si="3"/>
        <v>204557.5</v>
      </c>
    </row>
    <row r="12" spans="1:12" s="32" customFormat="1" ht="32.25" customHeight="1" x14ac:dyDescent="0.35">
      <c r="A12" s="29">
        <v>5</v>
      </c>
      <c r="B12" s="381" t="s">
        <v>686</v>
      </c>
      <c r="C12" s="381" t="s">
        <v>687</v>
      </c>
      <c r="D12" s="33">
        <v>3</v>
      </c>
      <c r="E12" s="34">
        <f t="shared" si="0"/>
        <v>3900000</v>
      </c>
      <c r="F12" s="30">
        <f t="shared" si="4"/>
        <v>429000</v>
      </c>
      <c r="G12" s="30">
        <f t="shared" si="1"/>
        <v>520000</v>
      </c>
      <c r="H12" s="30">
        <f t="shared" si="2"/>
        <v>130000</v>
      </c>
      <c r="I12" s="30">
        <f t="shared" si="5"/>
        <v>0</v>
      </c>
      <c r="J12" s="34">
        <f t="shared" si="6"/>
        <v>916500</v>
      </c>
      <c r="K12" s="34">
        <f t="shared" si="7"/>
        <v>5895500</v>
      </c>
      <c r="L12" s="35">
        <f t="shared" si="3"/>
        <v>226750</v>
      </c>
    </row>
    <row r="13" spans="1:12" s="32" customFormat="1" ht="32.25" customHeight="1" x14ac:dyDescent="0.35">
      <c r="A13" s="29">
        <v>6</v>
      </c>
      <c r="B13" s="381" t="s">
        <v>688</v>
      </c>
      <c r="C13" s="381" t="s">
        <v>689</v>
      </c>
      <c r="D13" s="33">
        <v>3.33</v>
      </c>
      <c r="E13" s="34">
        <f t="shared" si="0"/>
        <v>4329000</v>
      </c>
      <c r="F13" s="30">
        <f t="shared" si="4"/>
        <v>476190</v>
      </c>
      <c r="G13" s="30">
        <f t="shared" si="1"/>
        <v>520000</v>
      </c>
      <c r="H13" s="30">
        <f t="shared" si="2"/>
        <v>130000</v>
      </c>
      <c r="I13" s="30">
        <f t="shared" si="5"/>
        <v>0</v>
      </c>
      <c r="J13" s="34">
        <f t="shared" si="6"/>
        <v>1017315</v>
      </c>
      <c r="K13" s="34">
        <f t="shared" si="7"/>
        <v>6472505</v>
      </c>
      <c r="L13" s="35">
        <f t="shared" si="3"/>
        <v>248942.5</v>
      </c>
    </row>
    <row r="14" spans="1:12" s="32" customFormat="1" ht="32.25" customHeight="1" x14ac:dyDescent="0.35">
      <c r="A14" s="27" t="s">
        <v>244</v>
      </c>
      <c r="B14" s="27"/>
      <c r="C14" s="28" t="s">
        <v>245</v>
      </c>
      <c r="D14" s="29"/>
      <c r="E14" s="30"/>
      <c r="F14" s="30"/>
      <c r="G14" s="31"/>
      <c r="H14" s="31"/>
      <c r="I14" s="30"/>
      <c r="J14" s="34"/>
      <c r="K14" s="34"/>
      <c r="L14" s="30"/>
    </row>
    <row r="15" spans="1:12" s="32" customFormat="1" ht="32.25" customHeight="1" x14ac:dyDescent="0.35">
      <c r="A15" s="29">
        <v>1</v>
      </c>
      <c r="B15" s="381" t="s">
        <v>748</v>
      </c>
      <c r="C15" s="381" t="s">
        <v>679</v>
      </c>
      <c r="D15" s="29">
        <v>2.41</v>
      </c>
      <c r="E15" s="34">
        <f t="shared" ref="E15:E20" si="8">$K$3*D15</f>
        <v>3133000</v>
      </c>
      <c r="F15" s="30">
        <f t="shared" si="4"/>
        <v>344630</v>
      </c>
      <c r="G15" s="30">
        <f>0*$K$3</f>
        <v>0</v>
      </c>
      <c r="H15" s="30">
        <f t="shared" ref="H15:H20" si="9">$K$3*$H$7</f>
        <v>130000</v>
      </c>
      <c r="I15" s="30">
        <f t="shared" si="5"/>
        <v>0</v>
      </c>
      <c r="J15" s="34">
        <f t="shared" si="6"/>
        <v>736255</v>
      </c>
      <c r="K15" s="34">
        <f t="shared" si="7"/>
        <v>4343885</v>
      </c>
      <c r="L15" s="35">
        <f t="shared" ref="L15:L20" si="10">K15/$J$3</f>
        <v>167072.5</v>
      </c>
    </row>
    <row r="16" spans="1:12" s="32" customFormat="1" ht="32.25" customHeight="1" x14ac:dyDescent="0.35">
      <c r="A16" s="29">
        <v>2</v>
      </c>
      <c r="B16" s="381" t="s">
        <v>749</v>
      </c>
      <c r="C16" s="381" t="s">
        <v>683</v>
      </c>
      <c r="D16" s="29">
        <v>2.34</v>
      </c>
      <c r="E16" s="34">
        <f t="shared" si="8"/>
        <v>3042000</v>
      </c>
      <c r="F16" s="30">
        <f t="shared" si="4"/>
        <v>334620</v>
      </c>
      <c r="G16" s="30">
        <v>0</v>
      </c>
      <c r="H16" s="30">
        <f t="shared" si="9"/>
        <v>130000</v>
      </c>
      <c r="I16" s="30">
        <f t="shared" si="5"/>
        <v>0</v>
      </c>
      <c r="J16" s="34">
        <f t="shared" si="6"/>
        <v>714870</v>
      </c>
      <c r="K16" s="34">
        <f t="shared" si="7"/>
        <v>4221490</v>
      </c>
      <c r="L16" s="35">
        <f t="shared" si="10"/>
        <v>162365</v>
      </c>
    </row>
    <row r="17" spans="1:12" s="32" customFormat="1" ht="32.25" customHeight="1" x14ac:dyDescent="0.35">
      <c r="A17" s="29">
        <v>3</v>
      </c>
      <c r="B17" s="381" t="s">
        <v>750</v>
      </c>
      <c r="C17" s="381" t="s">
        <v>685</v>
      </c>
      <c r="D17" s="33">
        <v>2.67</v>
      </c>
      <c r="E17" s="34">
        <f t="shared" si="8"/>
        <v>3471000</v>
      </c>
      <c r="F17" s="30">
        <f t="shared" si="4"/>
        <v>381810</v>
      </c>
      <c r="G17" s="30">
        <f>0*$K$3</f>
        <v>0</v>
      </c>
      <c r="H17" s="30">
        <f t="shared" si="9"/>
        <v>130000</v>
      </c>
      <c r="I17" s="30">
        <f t="shared" si="5"/>
        <v>0</v>
      </c>
      <c r="J17" s="34">
        <f t="shared" si="6"/>
        <v>815685</v>
      </c>
      <c r="K17" s="34">
        <f t="shared" si="7"/>
        <v>4798495</v>
      </c>
      <c r="L17" s="35">
        <f t="shared" si="10"/>
        <v>184557.5</v>
      </c>
    </row>
    <row r="18" spans="1:12" s="32" customFormat="1" ht="32.25" customHeight="1" x14ac:dyDescent="0.35">
      <c r="A18" s="29">
        <v>4</v>
      </c>
      <c r="B18" s="381" t="s">
        <v>751</v>
      </c>
      <c r="C18" s="381" t="s">
        <v>687</v>
      </c>
      <c r="D18" s="33">
        <v>3</v>
      </c>
      <c r="E18" s="34">
        <f t="shared" si="8"/>
        <v>3900000</v>
      </c>
      <c r="F18" s="30">
        <f t="shared" si="4"/>
        <v>429000</v>
      </c>
      <c r="G18" s="30">
        <f>0*$K$3</f>
        <v>0</v>
      </c>
      <c r="H18" s="30">
        <f t="shared" si="9"/>
        <v>130000</v>
      </c>
      <c r="I18" s="30">
        <f t="shared" si="5"/>
        <v>0</v>
      </c>
      <c r="J18" s="34">
        <f t="shared" si="6"/>
        <v>916500</v>
      </c>
      <c r="K18" s="34">
        <f t="shared" si="7"/>
        <v>5375500</v>
      </c>
      <c r="L18" s="35">
        <f t="shared" si="10"/>
        <v>206750</v>
      </c>
    </row>
    <row r="19" spans="1:12" ht="32.25" customHeight="1" x14ac:dyDescent="0.35">
      <c r="A19" s="36">
        <v>5</v>
      </c>
      <c r="B19" s="381" t="s">
        <v>752</v>
      </c>
      <c r="C19" s="381" t="s">
        <v>689</v>
      </c>
      <c r="D19" s="33">
        <v>3.33</v>
      </c>
      <c r="E19" s="34">
        <f t="shared" si="8"/>
        <v>4329000</v>
      </c>
      <c r="F19" s="30">
        <f t="shared" si="4"/>
        <v>476190</v>
      </c>
      <c r="G19" s="30">
        <f>0*$K$3</f>
        <v>0</v>
      </c>
      <c r="H19" s="30">
        <f t="shared" si="9"/>
        <v>130000</v>
      </c>
      <c r="I19" s="30">
        <f t="shared" si="5"/>
        <v>0</v>
      </c>
      <c r="J19" s="34">
        <f t="shared" si="6"/>
        <v>1017315</v>
      </c>
      <c r="K19" s="34">
        <f t="shared" si="7"/>
        <v>5952505</v>
      </c>
      <c r="L19" s="35">
        <f t="shared" si="10"/>
        <v>228942.5</v>
      </c>
    </row>
    <row r="20" spans="1:12" ht="32.25" customHeight="1" x14ac:dyDescent="0.35">
      <c r="A20" s="29">
        <v>6</v>
      </c>
      <c r="B20" s="381" t="s">
        <v>753</v>
      </c>
      <c r="C20" s="381" t="s">
        <v>690</v>
      </c>
      <c r="D20" s="36">
        <v>3.66</v>
      </c>
      <c r="E20" s="37">
        <f t="shared" si="8"/>
        <v>4758000</v>
      </c>
      <c r="F20" s="30">
        <f t="shared" si="4"/>
        <v>523380</v>
      </c>
      <c r="G20" s="30">
        <f>0*$K$3</f>
        <v>0</v>
      </c>
      <c r="H20" s="30">
        <f t="shared" si="9"/>
        <v>130000</v>
      </c>
      <c r="I20" s="30">
        <f t="shared" si="5"/>
        <v>0</v>
      </c>
      <c r="J20" s="34">
        <f t="shared" si="6"/>
        <v>1118130</v>
      </c>
      <c r="K20" s="34">
        <f t="shared" si="7"/>
        <v>6529510</v>
      </c>
      <c r="L20" s="35">
        <f t="shared" si="10"/>
        <v>251135</v>
      </c>
    </row>
    <row r="23" spans="1:12" x14ac:dyDescent="0.35">
      <c r="E23" s="38"/>
    </row>
  </sheetData>
  <mergeCells count="14">
    <mergeCell ref="J4:J5"/>
    <mergeCell ref="K4:K5"/>
    <mergeCell ref="L4:L5"/>
    <mergeCell ref="A1:L1"/>
    <mergeCell ref="A2:L2"/>
    <mergeCell ref="A4:A5"/>
    <mergeCell ref="C4:C5"/>
    <mergeCell ref="D4:D5"/>
    <mergeCell ref="E4:E5"/>
    <mergeCell ref="F4:F5"/>
    <mergeCell ref="G4:G5"/>
    <mergeCell ref="H4:H5"/>
    <mergeCell ref="I4:I5"/>
    <mergeCell ref="B4:B5"/>
  </mergeCells>
  <printOptions horizontalCentered="1"/>
  <pageMargins left="1.1599999999999999" right="0.25" top="0.59" bottom="0.47" header="0.5" footer="0.25"/>
  <pageSetup paperSize="9" scale="95" orientation="landscape" r:id="rId1"/>
  <headerFooter alignWithMargins="0">
    <oddFooter>&amp;C&amp;P - Đơn giá tiền lương</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80"/>
  <sheetViews>
    <sheetView workbookViewId="0">
      <selection activeCell="I45" sqref="I45"/>
    </sheetView>
  </sheetViews>
  <sheetFormatPr defaultColWidth="9.1796875" defaultRowHeight="17.25" customHeight="1" x14ac:dyDescent="0.35"/>
  <cols>
    <col min="1" max="1" width="6.453125" style="423" customWidth="1"/>
    <col min="2" max="2" width="11.81640625" style="365" customWidth="1"/>
    <col min="3" max="3" width="28.7265625" style="366" customWidth="1"/>
    <col min="4" max="4" width="14.453125" style="366" customWidth="1"/>
    <col min="5" max="5" width="11.54296875" style="366" customWidth="1"/>
    <col min="6" max="6" width="13.1796875" style="376" bestFit="1" customWidth="1"/>
    <col min="7" max="7" width="12" style="422" customWidth="1"/>
    <col min="8" max="8" width="9.1796875" style="7"/>
    <col min="9" max="9" width="13.1796875" style="7" bestFit="1" customWidth="1"/>
    <col min="10" max="16384" width="9.1796875" style="7"/>
  </cols>
  <sheetData>
    <row r="1" spans="1:10" ht="30.75" customHeight="1" x14ac:dyDescent="0.35">
      <c r="A1" s="447" t="s">
        <v>249</v>
      </c>
      <c r="B1" s="447"/>
      <c r="C1" s="447"/>
      <c r="D1" s="447"/>
      <c r="E1" s="447"/>
      <c r="F1" s="447"/>
      <c r="G1" s="447"/>
      <c r="H1" s="41"/>
      <c r="I1" s="41"/>
    </row>
    <row r="2" spans="1:10" ht="17.25" customHeight="1" x14ac:dyDescent="0.35">
      <c r="F2" s="446" t="s">
        <v>246</v>
      </c>
      <c r="G2" s="446"/>
    </row>
    <row r="3" spans="1:10" s="42" customFormat="1" ht="32.25" customHeight="1" x14ac:dyDescent="0.35">
      <c r="A3" s="390" t="s">
        <v>0</v>
      </c>
      <c r="B3" s="367" t="s">
        <v>1</v>
      </c>
      <c r="C3" s="39" t="s">
        <v>2</v>
      </c>
      <c r="D3" s="43" t="s">
        <v>3</v>
      </c>
      <c r="E3" s="44" t="s">
        <v>26</v>
      </c>
      <c r="F3" s="40" t="s">
        <v>247</v>
      </c>
      <c r="G3" s="417" t="s">
        <v>248</v>
      </c>
    </row>
    <row r="4" spans="1:10" s="42" customFormat="1" ht="21" customHeight="1" x14ac:dyDescent="0.35">
      <c r="A4" s="270" t="s">
        <v>272</v>
      </c>
      <c r="B4" s="448" t="s">
        <v>486</v>
      </c>
      <c r="C4" s="448"/>
      <c r="D4" s="448"/>
      <c r="E4" s="448"/>
      <c r="F4" s="448"/>
      <c r="G4" s="448"/>
    </row>
    <row r="5" spans="1:10" s="42" customFormat="1" ht="32.25" customHeight="1" x14ac:dyDescent="0.35">
      <c r="A5" s="390" t="s">
        <v>275</v>
      </c>
      <c r="B5" s="449" t="s">
        <v>537</v>
      </c>
      <c r="C5" s="449"/>
      <c r="D5" s="449"/>
      <c r="E5" s="3">
        <v>1.2</v>
      </c>
      <c r="F5" s="148"/>
      <c r="G5" s="418" t="s">
        <v>376</v>
      </c>
    </row>
    <row r="6" spans="1:10" s="41" customFormat="1" ht="31.5" customHeight="1" x14ac:dyDescent="0.35">
      <c r="A6" s="152">
        <v>1</v>
      </c>
      <c r="B6" s="150" t="s">
        <v>377</v>
      </c>
      <c r="C6" s="368" t="s">
        <v>470</v>
      </c>
      <c r="D6" s="381" t="s">
        <v>682</v>
      </c>
      <c r="E6" s="377">
        <v>0.2</v>
      </c>
      <c r="F6" s="346">
        <f>VLOOKUP(D6,DGL!$B$8:$L$203,11,0)</f>
        <v>182365</v>
      </c>
      <c r="G6" s="153">
        <f>F6*E6*1.2</f>
        <v>43767.6</v>
      </c>
      <c r="I6" s="41">
        <f>F6*E6*1.2</f>
        <v>43767.6</v>
      </c>
    </row>
    <row r="7" spans="1:10" s="41" customFormat="1" ht="31.5" customHeight="1" x14ac:dyDescent="0.35">
      <c r="A7" s="152">
        <v>2</v>
      </c>
      <c r="B7" s="150" t="s">
        <v>378</v>
      </c>
      <c r="C7" s="369" t="s">
        <v>471</v>
      </c>
      <c r="D7" s="381" t="s">
        <v>682</v>
      </c>
      <c r="E7" s="377">
        <v>0.2</v>
      </c>
      <c r="F7" s="346">
        <f>VLOOKUP(D7,DGL!$B$8:$L$203,11,0)</f>
        <v>182365</v>
      </c>
      <c r="G7" s="153">
        <f t="shared" ref="G7:G9" si="0">F7*E7*1.2</f>
        <v>43767.6</v>
      </c>
    </row>
    <row r="8" spans="1:10" s="41" customFormat="1" ht="31.5" customHeight="1" x14ac:dyDescent="0.35">
      <c r="A8" s="152">
        <v>3</v>
      </c>
      <c r="B8" s="154" t="s">
        <v>379</v>
      </c>
      <c r="C8" s="369" t="s">
        <v>622</v>
      </c>
      <c r="D8" s="381" t="s">
        <v>684</v>
      </c>
      <c r="E8" s="152">
        <v>0.4</v>
      </c>
      <c r="F8" s="346">
        <f>VLOOKUP(D8,DGL!$B$8:$L$203,11,0)</f>
        <v>204557.5</v>
      </c>
      <c r="G8" s="153">
        <f t="shared" si="0"/>
        <v>98187.599999999991</v>
      </c>
    </row>
    <row r="9" spans="1:10" s="41" customFormat="1" ht="31.5" customHeight="1" x14ac:dyDescent="0.35">
      <c r="A9" s="155">
        <v>4</v>
      </c>
      <c r="B9" s="154" t="s">
        <v>694</v>
      </c>
      <c r="C9" s="369" t="s">
        <v>562</v>
      </c>
      <c r="D9" s="381" t="s">
        <v>682</v>
      </c>
      <c r="E9" s="152">
        <v>0.2</v>
      </c>
      <c r="F9" s="346">
        <f>VLOOKUP(D9,DGL!$B$8:$L$203,11,0)</f>
        <v>182365</v>
      </c>
      <c r="G9" s="153">
        <f t="shared" si="0"/>
        <v>43767.6</v>
      </c>
    </row>
    <row r="10" spans="1:10" s="41" customFormat="1" ht="31.5" customHeight="1" x14ac:dyDescent="0.35">
      <c r="A10" s="155">
        <v>5</v>
      </c>
      <c r="B10" s="154" t="s">
        <v>695</v>
      </c>
      <c r="C10" s="369" t="s">
        <v>561</v>
      </c>
      <c r="D10" s="381" t="s">
        <v>682</v>
      </c>
      <c r="E10" s="152">
        <v>0.2</v>
      </c>
      <c r="F10" s="346">
        <f>VLOOKUP(D10,DGL!$B$8:$L$203,11,0)</f>
        <v>182365</v>
      </c>
      <c r="G10" s="153">
        <f t="shared" ref="G10" si="1">F10*E10*1.2</f>
        <v>43767.6</v>
      </c>
    </row>
    <row r="11" spans="1:10" s="41" customFormat="1" ht="31.5" customHeight="1" x14ac:dyDescent="0.35">
      <c r="A11" s="152">
        <v>6</v>
      </c>
      <c r="B11" s="150" t="s">
        <v>427</v>
      </c>
      <c r="C11" s="370" t="s">
        <v>655</v>
      </c>
      <c r="D11" s="381" t="s">
        <v>682</v>
      </c>
      <c r="E11" s="152">
        <v>0.2</v>
      </c>
      <c r="F11" s="346">
        <f>VLOOKUP(D11,DGL!$B$8:$L$203,11,0)</f>
        <v>182365</v>
      </c>
      <c r="G11" s="153">
        <f>F11*E11*1.2</f>
        <v>43767.6</v>
      </c>
    </row>
    <row r="12" spans="1:10" s="41" customFormat="1" ht="31.5" customHeight="1" x14ac:dyDescent="0.35">
      <c r="A12" s="155">
        <v>7</v>
      </c>
      <c r="B12" s="150" t="s">
        <v>428</v>
      </c>
      <c r="C12" s="176" t="s">
        <v>4</v>
      </c>
      <c r="D12" s="381" t="s">
        <v>682</v>
      </c>
      <c r="E12" s="152">
        <v>0.2</v>
      </c>
      <c r="F12" s="346">
        <f>VLOOKUP(D12,DGL!$B$8:$L$203,11,0)</f>
        <v>182365</v>
      </c>
      <c r="G12" s="153">
        <f t="shared" ref="G12:G43" si="2">F12*E12*1.2</f>
        <v>43767.6</v>
      </c>
    </row>
    <row r="13" spans="1:10" s="41" customFormat="1" ht="31.5" customHeight="1" x14ac:dyDescent="0.35">
      <c r="A13" s="155">
        <v>8</v>
      </c>
      <c r="B13" s="154" t="s">
        <v>380</v>
      </c>
      <c r="C13" s="176" t="s">
        <v>6</v>
      </c>
      <c r="D13" s="381" t="s">
        <v>682</v>
      </c>
      <c r="E13" s="152">
        <v>0.2</v>
      </c>
      <c r="F13" s="346">
        <f>VLOOKUP(D13,DGL!$B$8:$L$203,11,0)</f>
        <v>182365</v>
      </c>
      <c r="G13" s="153">
        <f t="shared" si="2"/>
        <v>43767.6</v>
      </c>
      <c r="J13" s="41" t="s">
        <v>381</v>
      </c>
    </row>
    <row r="14" spans="1:10" s="41" customFormat="1" ht="31.5" customHeight="1" x14ac:dyDescent="0.35">
      <c r="A14" s="152">
        <v>9</v>
      </c>
      <c r="B14" s="150" t="s">
        <v>387</v>
      </c>
      <c r="C14" s="176" t="s">
        <v>7</v>
      </c>
      <c r="D14" s="381" t="s">
        <v>684</v>
      </c>
      <c r="E14" s="152">
        <v>0.2</v>
      </c>
      <c r="F14" s="346">
        <f>VLOOKUP(D14,DGL!$B$8:$L$203,11,0)</f>
        <v>204557.5</v>
      </c>
      <c r="G14" s="153">
        <f t="shared" si="2"/>
        <v>49093.799999999996</v>
      </c>
    </row>
    <row r="15" spans="1:10" s="41" customFormat="1" ht="31.5" customHeight="1" x14ac:dyDescent="0.35">
      <c r="A15" s="155">
        <v>10</v>
      </c>
      <c r="B15" s="150" t="s">
        <v>388</v>
      </c>
      <c r="C15" s="176" t="s">
        <v>293</v>
      </c>
      <c r="D15" s="381" t="s">
        <v>686</v>
      </c>
      <c r="E15" s="152">
        <v>0.2</v>
      </c>
      <c r="F15" s="346">
        <f>VLOOKUP(D15,DGL!$B$8:$L$203,11,0)</f>
        <v>226750</v>
      </c>
      <c r="G15" s="153">
        <f t="shared" si="2"/>
        <v>54420</v>
      </c>
    </row>
    <row r="16" spans="1:10" s="41" customFormat="1" ht="31.5" customHeight="1" x14ac:dyDescent="0.35">
      <c r="A16" s="155">
        <v>11</v>
      </c>
      <c r="B16" s="154" t="s">
        <v>382</v>
      </c>
      <c r="C16" s="176" t="s">
        <v>477</v>
      </c>
      <c r="D16" s="381" t="s">
        <v>686</v>
      </c>
      <c r="E16" s="152">
        <v>0.2</v>
      </c>
      <c r="F16" s="346">
        <f>VLOOKUP(D16,DGL!$B$8:$L$203,11,0)</f>
        <v>226750</v>
      </c>
      <c r="G16" s="153">
        <f t="shared" si="2"/>
        <v>54420</v>
      </c>
    </row>
    <row r="17" spans="1:7" s="41" customFormat="1" ht="31.5" customHeight="1" x14ac:dyDescent="0.35">
      <c r="A17" s="152">
        <v>12</v>
      </c>
      <c r="B17" s="150" t="s">
        <v>383</v>
      </c>
      <c r="C17" s="371" t="s">
        <v>656</v>
      </c>
      <c r="D17" s="381" t="s">
        <v>684</v>
      </c>
      <c r="E17" s="152">
        <v>0.2</v>
      </c>
      <c r="F17" s="346">
        <f>VLOOKUP(D17,DGL!$B$8:$L$203,11,0)</f>
        <v>204557.5</v>
      </c>
      <c r="G17" s="153">
        <f t="shared" si="2"/>
        <v>49093.799999999996</v>
      </c>
    </row>
    <row r="18" spans="1:7" s="41" customFormat="1" ht="31.5" customHeight="1" x14ac:dyDescent="0.35">
      <c r="A18" s="155">
        <v>13</v>
      </c>
      <c r="B18" s="150" t="s">
        <v>389</v>
      </c>
      <c r="C18" s="176" t="s">
        <v>12</v>
      </c>
      <c r="D18" s="381" t="s">
        <v>684</v>
      </c>
      <c r="E18" s="152">
        <v>0.2</v>
      </c>
      <c r="F18" s="346">
        <f>VLOOKUP(D18,DGL!$B$8:$L$203,11,0)</f>
        <v>204557.5</v>
      </c>
      <c r="G18" s="153">
        <f t="shared" si="2"/>
        <v>49093.799999999996</v>
      </c>
    </row>
    <row r="19" spans="1:7" s="41" customFormat="1" ht="31.5" customHeight="1" x14ac:dyDescent="0.35">
      <c r="A19" s="155">
        <v>14</v>
      </c>
      <c r="B19" s="154" t="s">
        <v>390</v>
      </c>
      <c r="C19" s="176" t="s">
        <v>14</v>
      </c>
      <c r="D19" s="381" t="s">
        <v>684</v>
      </c>
      <c r="E19" s="152">
        <v>0.2</v>
      </c>
      <c r="F19" s="346">
        <f>VLOOKUP(D19,DGL!$B$8:$L$203,11,0)</f>
        <v>204557.5</v>
      </c>
      <c r="G19" s="153">
        <f t="shared" si="2"/>
        <v>49093.799999999996</v>
      </c>
    </row>
    <row r="20" spans="1:7" s="41" customFormat="1" ht="31.5" customHeight="1" x14ac:dyDescent="0.35">
      <c r="A20" s="152">
        <v>15</v>
      </c>
      <c r="B20" s="150" t="s">
        <v>391</v>
      </c>
      <c r="C20" s="176" t="s">
        <v>657</v>
      </c>
      <c r="D20" s="381" t="s">
        <v>684</v>
      </c>
      <c r="E20" s="152">
        <v>0.2</v>
      </c>
      <c r="F20" s="346">
        <f>VLOOKUP(D20,DGL!$B$8:$L$203,11,0)</f>
        <v>204557.5</v>
      </c>
      <c r="G20" s="153">
        <f t="shared" si="2"/>
        <v>49093.799999999996</v>
      </c>
    </row>
    <row r="21" spans="1:7" s="41" customFormat="1" ht="31.5" customHeight="1" x14ac:dyDescent="0.35">
      <c r="A21" s="155">
        <v>16</v>
      </c>
      <c r="B21" s="150" t="s">
        <v>392</v>
      </c>
      <c r="C21" s="176" t="s">
        <v>658</v>
      </c>
      <c r="D21" s="381" t="s">
        <v>684</v>
      </c>
      <c r="E21" s="152">
        <v>0.2</v>
      </c>
      <c r="F21" s="346">
        <f>VLOOKUP(D21,DGL!$B$8:$L$203,11,0)</f>
        <v>204557.5</v>
      </c>
      <c r="G21" s="153">
        <f t="shared" si="2"/>
        <v>49093.799999999996</v>
      </c>
    </row>
    <row r="22" spans="1:7" s="41" customFormat="1" ht="31.5" customHeight="1" x14ac:dyDescent="0.35">
      <c r="A22" s="155">
        <v>17</v>
      </c>
      <c r="B22" s="154" t="s">
        <v>393</v>
      </c>
      <c r="C22" s="176" t="s">
        <v>16</v>
      </c>
      <c r="D22" s="381" t="s">
        <v>684</v>
      </c>
      <c r="E22" s="152">
        <v>0.2</v>
      </c>
      <c r="F22" s="346">
        <f>VLOOKUP(D22,DGL!$B$8:$L$203,11,0)</f>
        <v>204557.5</v>
      </c>
      <c r="G22" s="153">
        <f t="shared" si="2"/>
        <v>49093.799999999996</v>
      </c>
    </row>
    <row r="23" spans="1:7" s="41" customFormat="1" ht="31.5" customHeight="1" x14ac:dyDescent="0.35">
      <c r="A23" s="152">
        <v>18</v>
      </c>
      <c r="B23" s="150" t="s">
        <v>394</v>
      </c>
      <c r="C23" s="176" t="s">
        <v>659</v>
      </c>
      <c r="D23" s="381" t="s">
        <v>684</v>
      </c>
      <c r="E23" s="152">
        <v>0.2</v>
      </c>
      <c r="F23" s="346">
        <f>VLOOKUP(D23,DGL!$B$8:$L$203,11,0)</f>
        <v>204557.5</v>
      </c>
      <c r="G23" s="153">
        <f t="shared" si="2"/>
        <v>49093.799999999996</v>
      </c>
    </row>
    <row r="24" spans="1:7" s="41" customFormat="1" ht="31.5" customHeight="1" x14ac:dyDescent="0.35">
      <c r="A24" s="155">
        <v>19</v>
      </c>
      <c r="B24" s="150" t="s">
        <v>395</v>
      </c>
      <c r="C24" s="176" t="s">
        <v>660</v>
      </c>
      <c r="D24" s="381" t="s">
        <v>684</v>
      </c>
      <c r="E24" s="152">
        <v>0.2</v>
      </c>
      <c r="F24" s="346">
        <f>VLOOKUP(D24,DGL!$B$8:$L$203,11,0)</f>
        <v>204557.5</v>
      </c>
      <c r="G24" s="153">
        <f t="shared" si="2"/>
        <v>49093.799999999996</v>
      </c>
    </row>
    <row r="25" spans="1:7" s="41" customFormat="1" ht="31.5" customHeight="1" x14ac:dyDescent="0.35">
      <c r="A25" s="155">
        <v>20</v>
      </c>
      <c r="B25" s="154" t="s">
        <v>396</v>
      </c>
      <c r="C25" s="176" t="s">
        <v>661</v>
      </c>
      <c r="D25" s="381" t="s">
        <v>684</v>
      </c>
      <c r="E25" s="152">
        <v>0.2</v>
      </c>
      <c r="F25" s="346">
        <f>VLOOKUP(D25,DGL!$B$8:$L$203,11,0)</f>
        <v>204557.5</v>
      </c>
      <c r="G25" s="153">
        <f t="shared" si="2"/>
        <v>49093.799999999996</v>
      </c>
    </row>
    <row r="26" spans="1:7" s="41" customFormat="1" ht="31.5" customHeight="1" x14ac:dyDescent="0.35">
      <c r="A26" s="152">
        <v>21</v>
      </c>
      <c r="B26" s="150" t="s">
        <v>397</v>
      </c>
      <c r="C26" s="176" t="s">
        <v>662</v>
      </c>
      <c r="D26" s="381" t="s">
        <v>684</v>
      </c>
      <c r="E26" s="152">
        <v>0.2</v>
      </c>
      <c r="F26" s="346">
        <f>VLOOKUP(D26,DGL!$B$8:$L$203,11,0)</f>
        <v>204557.5</v>
      </c>
      <c r="G26" s="153">
        <f t="shared" si="2"/>
        <v>49093.799999999996</v>
      </c>
    </row>
    <row r="27" spans="1:7" s="41" customFormat="1" ht="31.5" customHeight="1" x14ac:dyDescent="0.35">
      <c r="A27" s="155">
        <v>22</v>
      </c>
      <c r="B27" s="150" t="s">
        <v>398</v>
      </c>
      <c r="C27" s="176" t="s">
        <v>663</v>
      </c>
      <c r="D27" s="381" t="s">
        <v>684</v>
      </c>
      <c r="E27" s="152">
        <v>0.2</v>
      </c>
      <c r="F27" s="346">
        <f>VLOOKUP(D27,DGL!$B$8:$L$203,11,0)</f>
        <v>204557.5</v>
      </c>
      <c r="G27" s="153">
        <f t="shared" si="2"/>
        <v>49093.799999999996</v>
      </c>
    </row>
    <row r="28" spans="1:7" s="41" customFormat="1" ht="31.5" customHeight="1" x14ac:dyDescent="0.35">
      <c r="A28" s="155">
        <v>23</v>
      </c>
      <c r="B28" s="150" t="s">
        <v>399</v>
      </c>
      <c r="C28" s="176" t="s">
        <v>664</v>
      </c>
      <c r="D28" s="381" t="s">
        <v>684</v>
      </c>
      <c r="E28" s="152">
        <v>0.2</v>
      </c>
      <c r="F28" s="346">
        <f>VLOOKUP(D28,DGL!$B$8:$L$203,11,0)</f>
        <v>204557.5</v>
      </c>
      <c r="G28" s="153">
        <f t="shared" si="2"/>
        <v>49093.799999999996</v>
      </c>
    </row>
    <row r="29" spans="1:7" s="41" customFormat="1" ht="31.5" customHeight="1" x14ac:dyDescent="0.35">
      <c r="A29" s="152">
        <v>24</v>
      </c>
      <c r="B29" s="154" t="s">
        <v>696</v>
      </c>
      <c r="C29" s="176" t="s">
        <v>698</v>
      </c>
      <c r="D29" s="381" t="s">
        <v>684</v>
      </c>
      <c r="E29" s="152">
        <v>0.15</v>
      </c>
      <c r="F29" s="346">
        <f>VLOOKUP(D29,DGL!$B$8:$L$203,11,0)</f>
        <v>204557.5</v>
      </c>
      <c r="G29" s="153">
        <f t="shared" si="2"/>
        <v>36820.35</v>
      </c>
    </row>
    <row r="30" spans="1:7" s="41" customFormat="1" ht="31.5" customHeight="1" x14ac:dyDescent="0.35">
      <c r="A30" s="152">
        <v>25</v>
      </c>
      <c r="B30" s="154" t="s">
        <v>697</v>
      </c>
      <c r="C30" s="176" t="s">
        <v>699</v>
      </c>
      <c r="D30" s="381" t="s">
        <v>684</v>
      </c>
      <c r="E30" s="152">
        <v>0.15</v>
      </c>
      <c r="F30" s="346">
        <f>VLOOKUP(D30,DGL!$B$8:$L$203,11,0)</f>
        <v>204557.5</v>
      </c>
      <c r="G30" s="153">
        <f t="shared" ref="G30" si="3">F30*E30*1.2</f>
        <v>36820.35</v>
      </c>
    </row>
    <row r="31" spans="1:7" s="41" customFormat="1" ht="31.5" customHeight="1" x14ac:dyDescent="0.35">
      <c r="A31" s="155">
        <v>26</v>
      </c>
      <c r="B31" s="150" t="s">
        <v>700</v>
      </c>
      <c r="C31" s="176" t="s">
        <v>492</v>
      </c>
      <c r="D31" s="381" t="s">
        <v>684</v>
      </c>
      <c r="E31" s="152">
        <v>0.15</v>
      </c>
      <c r="F31" s="346">
        <f>VLOOKUP(D31,DGL!$B$8:$L$203,11,0)</f>
        <v>204557.5</v>
      </c>
      <c r="G31" s="153">
        <f t="shared" si="2"/>
        <v>36820.35</v>
      </c>
    </row>
    <row r="32" spans="1:7" s="41" customFormat="1" ht="31.5" customHeight="1" x14ac:dyDescent="0.35">
      <c r="A32" s="152">
        <v>27</v>
      </c>
      <c r="B32" s="150" t="s">
        <v>701</v>
      </c>
      <c r="C32" s="176" t="s">
        <v>493</v>
      </c>
      <c r="D32" s="381" t="s">
        <v>684</v>
      </c>
      <c r="E32" s="152">
        <v>0.15</v>
      </c>
      <c r="F32" s="346">
        <f>VLOOKUP(D32,DGL!$B$8:$L$203,11,0)</f>
        <v>204557.5</v>
      </c>
      <c r="G32" s="153">
        <f t="shared" ref="G32" si="4">F32*E32*1.2</f>
        <v>36820.35</v>
      </c>
    </row>
    <row r="33" spans="1:7" s="41" customFormat="1" ht="31.5" customHeight="1" x14ac:dyDescent="0.35">
      <c r="A33" s="152">
        <v>28</v>
      </c>
      <c r="B33" s="150" t="s">
        <v>702</v>
      </c>
      <c r="C33" s="176" t="s">
        <v>708</v>
      </c>
      <c r="D33" s="381" t="s">
        <v>684</v>
      </c>
      <c r="E33" s="152">
        <v>0.15</v>
      </c>
      <c r="F33" s="346">
        <f>VLOOKUP(D33,DGL!$B$8:$L$203,11,0)</f>
        <v>204557.5</v>
      </c>
      <c r="G33" s="153">
        <f t="shared" si="2"/>
        <v>36820.35</v>
      </c>
    </row>
    <row r="34" spans="1:7" s="41" customFormat="1" ht="31.5" customHeight="1" x14ac:dyDescent="0.35">
      <c r="A34" s="152">
        <v>29</v>
      </c>
      <c r="B34" s="150" t="s">
        <v>703</v>
      </c>
      <c r="C34" s="176" t="s">
        <v>709</v>
      </c>
      <c r="D34" s="381" t="s">
        <v>684</v>
      </c>
      <c r="E34" s="152">
        <v>0.15</v>
      </c>
      <c r="F34" s="346">
        <f>VLOOKUP(D34,DGL!$B$8:$L$203,11,0)</f>
        <v>204557.5</v>
      </c>
      <c r="G34" s="153">
        <f t="shared" ref="G34:G38" si="5">F34*E34*1.2</f>
        <v>36820.35</v>
      </c>
    </row>
    <row r="35" spans="1:7" s="41" customFormat="1" ht="31.5" customHeight="1" x14ac:dyDescent="0.35">
      <c r="A35" s="155">
        <v>30</v>
      </c>
      <c r="B35" s="150" t="s">
        <v>704</v>
      </c>
      <c r="C35" s="176" t="s">
        <v>710</v>
      </c>
      <c r="D35" s="381" t="s">
        <v>684</v>
      </c>
      <c r="E35" s="152">
        <v>0.15</v>
      </c>
      <c r="F35" s="346">
        <f>VLOOKUP(D35,DGL!$B$8:$L$203,11,0)</f>
        <v>204557.5</v>
      </c>
      <c r="G35" s="153">
        <f t="shared" si="5"/>
        <v>36820.35</v>
      </c>
    </row>
    <row r="36" spans="1:7" s="41" customFormat="1" ht="31.5" customHeight="1" x14ac:dyDescent="0.35">
      <c r="A36" s="152">
        <v>31</v>
      </c>
      <c r="B36" s="150" t="s">
        <v>705</v>
      </c>
      <c r="C36" s="176" t="s">
        <v>711</v>
      </c>
      <c r="D36" s="381" t="s">
        <v>684</v>
      </c>
      <c r="E36" s="152">
        <v>0.15</v>
      </c>
      <c r="F36" s="346">
        <f>VLOOKUP(D36,DGL!$B$8:$L$203,11,0)</f>
        <v>204557.5</v>
      </c>
      <c r="G36" s="153">
        <f t="shared" si="5"/>
        <v>36820.35</v>
      </c>
    </row>
    <row r="37" spans="1:7" s="41" customFormat="1" ht="31.5" customHeight="1" x14ac:dyDescent="0.35">
      <c r="A37" s="152">
        <v>32</v>
      </c>
      <c r="B37" s="150" t="s">
        <v>706</v>
      </c>
      <c r="C37" s="176" t="s">
        <v>712</v>
      </c>
      <c r="D37" s="381" t="s">
        <v>684</v>
      </c>
      <c r="E37" s="152">
        <v>0.15</v>
      </c>
      <c r="F37" s="346">
        <f>VLOOKUP(D37,DGL!$B$8:$L$203,11,0)</f>
        <v>204557.5</v>
      </c>
      <c r="G37" s="153">
        <f t="shared" si="5"/>
        <v>36820.35</v>
      </c>
    </row>
    <row r="38" spans="1:7" s="41" customFormat="1" ht="31.5" customHeight="1" x14ac:dyDescent="0.35">
      <c r="A38" s="152">
        <v>33</v>
      </c>
      <c r="B38" s="150" t="s">
        <v>707</v>
      </c>
      <c r="C38" s="176" t="s">
        <v>713</v>
      </c>
      <c r="D38" s="381" t="s">
        <v>684</v>
      </c>
      <c r="E38" s="152">
        <v>0.15</v>
      </c>
      <c r="F38" s="346">
        <f>VLOOKUP(D38,DGL!$B$8:$L$203,11,0)</f>
        <v>204557.5</v>
      </c>
      <c r="G38" s="153">
        <f t="shared" si="5"/>
        <v>36820.35</v>
      </c>
    </row>
    <row r="39" spans="1:7" s="41" customFormat="1" ht="31.5" customHeight="1" x14ac:dyDescent="0.35">
      <c r="A39" s="155">
        <v>34</v>
      </c>
      <c r="B39" s="154" t="s">
        <v>384</v>
      </c>
      <c r="C39" s="176" t="s">
        <v>17</v>
      </c>
      <c r="D39" s="381" t="s">
        <v>684</v>
      </c>
      <c r="E39" s="152">
        <v>0.2</v>
      </c>
      <c r="F39" s="346">
        <f>VLOOKUP(D39,DGL!$B$8:$L$203,11,0)</f>
        <v>204557.5</v>
      </c>
      <c r="G39" s="153">
        <f t="shared" si="2"/>
        <v>49093.799999999996</v>
      </c>
    </row>
    <row r="40" spans="1:7" s="41" customFormat="1" ht="31.5" customHeight="1" x14ac:dyDescent="0.35">
      <c r="A40" s="152">
        <v>35</v>
      </c>
      <c r="B40" s="150" t="s">
        <v>385</v>
      </c>
      <c r="C40" s="176" t="s">
        <v>294</v>
      </c>
      <c r="D40" s="381" t="s">
        <v>684</v>
      </c>
      <c r="E40" s="152">
        <v>0.2</v>
      </c>
      <c r="F40" s="346">
        <f>VLOOKUP(D40,DGL!$B$8:$L$203,11,0)</f>
        <v>204557.5</v>
      </c>
      <c r="G40" s="153">
        <f t="shared" si="2"/>
        <v>49093.799999999996</v>
      </c>
    </row>
    <row r="41" spans="1:7" s="41" customFormat="1" ht="31.5" customHeight="1" x14ac:dyDescent="0.35">
      <c r="A41" s="152">
        <v>36</v>
      </c>
      <c r="B41" s="150" t="s">
        <v>400</v>
      </c>
      <c r="C41" s="176" t="s">
        <v>19</v>
      </c>
      <c r="D41" s="381" t="s">
        <v>686</v>
      </c>
      <c r="E41" s="152">
        <v>0.2</v>
      </c>
      <c r="F41" s="346">
        <f>VLOOKUP(D41,DGL!$B$8:$L$203,11,0)</f>
        <v>226750</v>
      </c>
      <c r="G41" s="153">
        <f t="shared" si="2"/>
        <v>54420</v>
      </c>
    </row>
    <row r="42" spans="1:7" s="41" customFormat="1" ht="31.5" customHeight="1" x14ac:dyDescent="0.35">
      <c r="A42" s="152">
        <v>37</v>
      </c>
      <c r="B42" s="150" t="s">
        <v>401</v>
      </c>
      <c r="C42" s="176" t="s">
        <v>20</v>
      </c>
      <c r="D42" s="381" t="s">
        <v>686</v>
      </c>
      <c r="E42" s="152">
        <v>0.2</v>
      </c>
      <c r="F42" s="346">
        <f>VLOOKUP(D42,DGL!$B$8:$L$203,11,0)</f>
        <v>226750</v>
      </c>
      <c r="G42" s="153">
        <f t="shared" si="2"/>
        <v>54420</v>
      </c>
    </row>
    <row r="43" spans="1:7" s="41" customFormat="1" ht="31.5" customHeight="1" x14ac:dyDescent="0.35">
      <c r="A43" s="155">
        <v>38</v>
      </c>
      <c r="B43" s="154" t="s">
        <v>402</v>
      </c>
      <c r="C43" s="176" t="s">
        <v>21</v>
      </c>
      <c r="D43" s="381" t="s">
        <v>686</v>
      </c>
      <c r="E43" s="152">
        <v>0.2</v>
      </c>
      <c r="F43" s="346">
        <f>VLOOKUP(D43,DGL!$B$8:$L$203,11,0)</f>
        <v>226750</v>
      </c>
      <c r="G43" s="153">
        <f t="shared" si="2"/>
        <v>54420</v>
      </c>
    </row>
    <row r="44" spans="1:7" ht="24.75" customHeight="1" x14ac:dyDescent="0.35">
      <c r="A44" s="82" t="s">
        <v>250</v>
      </c>
      <c r="B44" s="140" t="s">
        <v>285</v>
      </c>
      <c r="C44" s="141"/>
      <c r="D44" s="141"/>
      <c r="E44" s="141"/>
      <c r="F44" s="346"/>
      <c r="G44" s="419"/>
    </row>
    <row r="45" spans="1:7" ht="31.5" customHeight="1" x14ac:dyDescent="0.35">
      <c r="A45" s="82">
        <v>1</v>
      </c>
      <c r="B45" s="176" t="s">
        <v>465</v>
      </c>
      <c r="C45" s="370" t="s">
        <v>665</v>
      </c>
      <c r="D45" s="381" t="s">
        <v>749</v>
      </c>
      <c r="E45" s="82">
        <v>0.47</v>
      </c>
      <c r="F45" s="346">
        <f>VLOOKUP(D45,DGL!$B$8:$L$203,11,0)</f>
        <v>162365</v>
      </c>
      <c r="G45" s="420">
        <f>E45*F45</f>
        <v>76311.55</v>
      </c>
    </row>
    <row r="46" spans="1:7" ht="31.5" customHeight="1" x14ac:dyDescent="0.35">
      <c r="A46" s="82">
        <v>2</v>
      </c>
      <c r="B46" s="176" t="s">
        <v>466</v>
      </c>
      <c r="C46" s="176" t="s">
        <v>4</v>
      </c>
      <c r="D46" s="381" t="s">
        <v>749</v>
      </c>
      <c r="E46" s="82">
        <v>0.5</v>
      </c>
      <c r="F46" s="346">
        <f>VLOOKUP(D46,DGL!$B$8:$L$203,11,0)</f>
        <v>162365</v>
      </c>
      <c r="G46" s="420">
        <f t="shared" ref="G46:G80" si="6">E46*F46</f>
        <v>81182.5</v>
      </c>
    </row>
    <row r="47" spans="1:7" ht="31.5" customHeight="1" x14ac:dyDescent="0.35">
      <c r="A47" s="82">
        <v>3</v>
      </c>
      <c r="B47" s="176" t="s">
        <v>386</v>
      </c>
      <c r="C47" s="176" t="s">
        <v>625</v>
      </c>
      <c r="D47" s="381" t="s">
        <v>749</v>
      </c>
      <c r="E47" s="82">
        <v>0.47</v>
      </c>
      <c r="F47" s="346">
        <f>VLOOKUP(D47,DGL!$B$8:$L$203,11,0)</f>
        <v>162365</v>
      </c>
      <c r="G47" s="421">
        <f>E47*F47</f>
        <v>76311.55</v>
      </c>
    </row>
    <row r="48" spans="1:7" ht="31.5" customHeight="1" x14ac:dyDescent="0.35">
      <c r="A48" s="82">
        <v>4</v>
      </c>
      <c r="B48" s="176" t="s">
        <v>553</v>
      </c>
      <c r="C48" s="176" t="s">
        <v>7</v>
      </c>
      <c r="D48" s="381" t="s">
        <v>750</v>
      </c>
      <c r="E48" s="372">
        <v>0.6</v>
      </c>
      <c r="F48" s="346">
        <f>VLOOKUP(D48,DGL!$B$8:$L$203,11,0)</f>
        <v>184557.5</v>
      </c>
      <c r="G48" s="420">
        <f t="shared" si="6"/>
        <v>110734.5</v>
      </c>
    </row>
    <row r="49" spans="1:7" ht="31.5" customHeight="1" x14ac:dyDescent="0.35">
      <c r="A49" s="82">
        <v>5</v>
      </c>
      <c r="B49" s="176" t="s">
        <v>554</v>
      </c>
      <c r="C49" s="176" t="s">
        <v>7</v>
      </c>
      <c r="D49" s="381" t="s">
        <v>750</v>
      </c>
      <c r="E49" s="372">
        <v>0.6</v>
      </c>
      <c r="F49" s="346">
        <f>VLOOKUP(D49,DGL!$B$8:$L$203,11,0)</f>
        <v>184557.5</v>
      </c>
      <c r="G49" s="420">
        <f t="shared" ref="G49" si="7">E49*F49</f>
        <v>110734.5</v>
      </c>
    </row>
    <row r="50" spans="1:7" ht="31.5" customHeight="1" x14ac:dyDescent="0.35">
      <c r="A50" s="82">
        <v>6</v>
      </c>
      <c r="B50" s="176" t="s">
        <v>555</v>
      </c>
      <c r="C50" s="176" t="s">
        <v>293</v>
      </c>
      <c r="D50" s="381" t="s">
        <v>750</v>
      </c>
      <c r="E50" s="372">
        <v>0.6</v>
      </c>
      <c r="F50" s="346">
        <f>VLOOKUP(D50,DGL!$B$8:$L$203,11,0)</f>
        <v>184557.5</v>
      </c>
      <c r="G50" s="420">
        <f t="shared" si="6"/>
        <v>110734.5</v>
      </c>
    </row>
    <row r="51" spans="1:7" ht="31.5" customHeight="1" x14ac:dyDescent="0.35">
      <c r="A51" s="82">
        <v>7</v>
      </c>
      <c r="B51" s="176" t="s">
        <v>556</v>
      </c>
      <c r="C51" s="176" t="s">
        <v>598</v>
      </c>
      <c r="D51" s="381" t="s">
        <v>750</v>
      </c>
      <c r="E51" s="372">
        <v>0.6</v>
      </c>
      <c r="F51" s="346">
        <f>VLOOKUP(D51,DGL!$B$8:$L$203,11,0)</f>
        <v>184557.5</v>
      </c>
      <c r="G51" s="420">
        <f t="shared" ref="G51" si="8">E51*F51</f>
        <v>110734.5</v>
      </c>
    </row>
    <row r="52" spans="1:7" ht="31.5" customHeight="1" x14ac:dyDescent="0.35">
      <c r="A52" s="82">
        <v>8</v>
      </c>
      <c r="B52" s="176" t="s">
        <v>403</v>
      </c>
      <c r="C52" s="176" t="s">
        <v>477</v>
      </c>
      <c r="D52" s="381" t="s">
        <v>750</v>
      </c>
      <c r="E52" s="372">
        <v>0.6</v>
      </c>
      <c r="F52" s="346">
        <f>VLOOKUP(D52,DGL!$B$8:$L$203,11,0)</f>
        <v>184557.5</v>
      </c>
      <c r="G52" s="420">
        <f t="shared" si="6"/>
        <v>110734.5</v>
      </c>
    </row>
    <row r="53" spans="1:7" ht="31.5" customHeight="1" x14ac:dyDescent="0.35">
      <c r="A53" s="82">
        <v>9</v>
      </c>
      <c r="B53" s="176" t="s">
        <v>5</v>
      </c>
      <c r="C53" s="176" t="s">
        <v>656</v>
      </c>
      <c r="D53" s="381" t="s">
        <v>750</v>
      </c>
      <c r="E53" s="82">
        <v>0.62</v>
      </c>
      <c r="F53" s="346">
        <f>VLOOKUP(D53,DGL!$B$8:$L$203,11,0)</f>
        <v>184557.5</v>
      </c>
      <c r="G53" s="420">
        <f t="shared" si="6"/>
        <v>114425.65</v>
      </c>
    </row>
    <row r="54" spans="1:7" ht="31.5" customHeight="1" x14ac:dyDescent="0.35">
      <c r="A54" s="82">
        <v>10</v>
      </c>
      <c r="B54" s="176" t="s">
        <v>291</v>
      </c>
      <c r="C54" s="176" t="s">
        <v>12</v>
      </c>
      <c r="D54" s="381" t="s">
        <v>750</v>
      </c>
      <c r="E54" s="82">
        <v>0.62</v>
      </c>
      <c r="F54" s="346">
        <f>VLOOKUP(D54,DGL!$B$8:$L$203,11,0)</f>
        <v>184557.5</v>
      </c>
      <c r="G54" s="420">
        <f t="shared" si="6"/>
        <v>114425.65</v>
      </c>
    </row>
    <row r="55" spans="1:7" ht="31.5" customHeight="1" x14ac:dyDescent="0.35">
      <c r="A55" s="82">
        <v>11</v>
      </c>
      <c r="B55" s="176" t="s">
        <v>292</v>
      </c>
      <c r="C55" s="176" t="s">
        <v>14</v>
      </c>
      <c r="D55" s="381" t="s">
        <v>750</v>
      </c>
      <c r="E55" s="82">
        <v>0.62</v>
      </c>
      <c r="F55" s="346">
        <f>VLOOKUP(D55,DGL!$B$8:$L$203,11,0)</f>
        <v>184557.5</v>
      </c>
      <c r="G55" s="420">
        <f t="shared" si="6"/>
        <v>114425.65</v>
      </c>
    </row>
    <row r="56" spans="1:7" ht="31.5" customHeight="1" x14ac:dyDescent="0.35">
      <c r="A56" s="82">
        <v>12</v>
      </c>
      <c r="B56" s="176" t="s">
        <v>404</v>
      </c>
      <c r="C56" s="176" t="s">
        <v>657</v>
      </c>
      <c r="D56" s="381" t="s">
        <v>749</v>
      </c>
      <c r="E56" s="82">
        <v>0.5</v>
      </c>
      <c r="F56" s="346">
        <f>VLOOKUP(D56,DGL!$B$8:$L$203,11,0)</f>
        <v>162365</v>
      </c>
      <c r="G56" s="420">
        <f t="shared" si="6"/>
        <v>81182.5</v>
      </c>
    </row>
    <row r="57" spans="1:7" ht="31.5" customHeight="1" x14ac:dyDescent="0.35">
      <c r="A57" s="82">
        <v>13</v>
      </c>
      <c r="B57" s="176" t="s">
        <v>405</v>
      </c>
      <c r="C57" s="176" t="s">
        <v>658</v>
      </c>
      <c r="D57" s="381" t="s">
        <v>750</v>
      </c>
      <c r="E57" s="82">
        <v>0.5</v>
      </c>
      <c r="F57" s="346">
        <f>VLOOKUP(D57,DGL!$B$8:$L$203,11,0)</f>
        <v>184557.5</v>
      </c>
      <c r="G57" s="420">
        <f t="shared" si="6"/>
        <v>92278.75</v>
      </c>
    </row>
    <row r="58" spans="1:7" ht="31.5" customHeight="1" x14ac:dyDescent="0.35">
      <c r="A58" s="82">
        <v>14</v>
      </c>
      <c r="B58" s="373" t="s">
        <v>406</v>
      </c>
      <c r="C58" s="176" t="s">
        <v>16</v>
      </c>
      <c r="D58" s="381" t="s">
        <v>750</v>
      </c>
      <c r="E58" s="82">
        <v>0.5</v>
      </c>
      <c r="F58" s="346">
        <f>VLOOKUP(D58,DGL!$B$8:$L$203,11,0)</f>
        <v>184557.5</v>
      </c>
      <c r="G58" s="420">
        <f t="shared" si="6"/>
        <v>92278.75</v>
      </c>
    </row>
    <row r="59" spans="1:7" ht="31.5" customHeight="1" x14ac:dyDescent="0.35">
      <c r="A59" s="82">
        <v>15</v>
      </c>
      <c r="B59" s="176" t="s">
        <v>407</v>
      </c>
      <c r="C59" s="176" t="s">
        <v>659</v>
      </c>
      <c r="D59" s="381" t="s">
        <v>750</v>
      </c>
      <c r="E59" s="82">
        <v>0.5</v>
      </c>
      <c r="F59" s="346">
        <f>VLOOKUP(D59,DGL!$B$8:$L$203,11,0)</f>
        <v>184557.5</v>
      </c>
      <c r="G59" s="420">
        <f t="shared" si="6"/>
        <v>92278.75</v>
      </c>
    </row>
    <row r="60" spans="1:7" ht="31.5" customHeight="1" x14ac:dyDescent="0.35">
      <c r="A60" s="82">
        <v>16</v>
      </c>
      <c r="B60" s="176" t="s">
        <v>408</v>
      </c>
      <c r="C60" s="176" t="s">
        <v>660</v>
      </c>
      <c r="D60" s="381" t="s">
        <v>750</v>
      </c>
      <c r="E60" s="82">
        <v>0.5</v>
      </c>
      <c r="F60" s="346">
        <f>VLOOKUP(D60,DGL!$B$8:$L$203,11,0)</f>
        <v>184557.5</v>
      </c>
      <c r="G60" s="420">
        <f t="shared" si="6"/>
        <v>92278.75</v>
      </c>
    </row>
    <row r="61" spans="1:7" ht="31.5" customHeight="1" x14ac:dyDescent="0.35">
      <c r="A61" s="82">
        <v>17</v>
      </c>
      <c r="B61" s="176" t="s">
        <v>409</v>
      </c>
      <c r="C61" s="176" t="s">
        <v>661</v>
      </c>
      <c r="D61" s="381" t="s">
        <v>750</v>
      </c>
      <c r="E61" s="82">
        <v>0.5</v>
      </c>
      <c r="F61" s="346">
        <f>VLOOKUP(D61,DGL!$B$8:$L$203,11,0)</f>
        <v>184557.5</v>
      </c>
      <c r="G61" s="420">
        <f t="shared" si="6"/>
        <v>92278.75</v>
      </c>
    </row>
    <row r="62" spans="1:7" ht="31.5" customHeight="1" x14ac:dyDescent="0.35">
      <c r="A62" s="82">
        <v>18</v>
      </c>
      <c r="B62" s="176" t="s">
        <v>410</v>
      </c>
      <c r="C62" s="176" t="s">
        <v>662</v>
      </c>
      <c r="D62" s="381" t="s">
        <v>750</v>
      </c>
      <c r="E62" s="82">
        <v>0.5</v>
      </c>
      <c r="F62" s="346">
        <f>VLOOKUP(D62,DGL!$B$8:$L$203,11,0)</f>
        <v>184557.5</v>
      </c>
      <c r="G62" s="420">
        <f t="shared" si="6"/>
        <v>92278.75</v>
      </c>
    </row>
    <row r="63" spans="1:7" ht="31.5" customHeight="1" x14ac:dyDescent="0.35">
      <c r="A63" s="82">
        <v>19</v>
      </c>
      <c r="B63" s="176" t="s">
        <v>411</v>
      </c>
      <c r="C63" s="176" t="s">
        <v>663</v>
      </c>
      <c r="D63" s="381" t="s">
        <v>750</v>
      </c>
      <c r="E63" s="82">
        <v>0.5</v>
      </c>
      <c r="F63" s="346">
        <f>VLOOKUP(D63,DGL!$B$8:$L$203,11,0)</f>
        <v>184557.5</v>
      </c>
      <c r="G63" s="420">
        <f t="shared" si="6"/>
        <v>92278.75</v>
      </c>
    </row>
    <row r="64" spans="1:7" ht="31.5" customHeight="1" x14ac:dyDescent="0.35">
      <c r="A64" s="82">
        <v>20</v>
      </c>
      <c r="B64" s="176" t="s">
        <v>412</v>
      </c>
      <c r="C64" s="176" t="s">
        <v>664</v>
      </c>
      <c r="D64" s="381" t="s">
        <v>750</v>
      </c>
      <c r="E64" s="82">
        <v>0.5</v>
      </c>
      <c r="F64" s="346">
        <f>VLOOKUP(D64,DGL!$B$8:$L$203,11,0)</f>
        <v>184557.5</v>
      </c>
      <c r="G64" s="420">
        <f t="shared" ref="G64:G76" si="9">E64*F64</f>
        <v>92278.75</v>
      </c>
    </row>
    <row r="65" spans="1:7" ht="31.5" customHeight="1" x14ac:dyDescent="0.35">
      <c r="A65" s="82">
        <v>21</v>
      </c>
      <c r="B65" s="176" t="s">
        <v>714</v>
      </c>
      <c r="C65" s="176" t="s">
        <v>698</v>
      </c>
      <c r="D65" s="381" t="s">
        <v>751</v>
      </c>
      <c r="E65" s="82">
        <v>0.6</v>
      </c>
      <c r="F65" s="346">
        <f>VLOOKUP(D65,DGL!$B$8:$L$203,11,0)</f>
        <v>206750</v>
      </c>
      <c r="G65" s="420">
        <f t="shared" si="9"/>
        <v>124050</v>
      </c>
    </row>
    <row r="66" spans="1:7" ht="31.5" customHeight="1" x14ac:dyDescent="0.35">
      <c r="A66" s="82">
        <v>22</v>
      </c>
      <c r="B66" s="176" t="s">
        <v>715</v>
      </c>
      <c r="C66" s="176" t="s">
        <v>716</v>
      </c>
      <c r="D66" s="381" t="s">
        <v>751</v>
      </c>
      <c r="E66" s="82">
        <v>0.6</v>
      </c>
      <c r="F66" s="346">
        <f>VLOOKUP(D66,DGL!$B$8:$L$203,11,0)</f>
        <v>206750</v>
      </c>
      <c r="G66" s="420">
        <f t="shared" ref="G66" si="10">E66*F66</f>
        <v>124050</v>
      </c>
    </row>
    <row r="67" spans="1:7" ht="31.5" customHeight="1" x14ac:dyDescent="0.35">
      <c r="A67" s="82">
        <v>23</v>
      </c>
      <c r="B67" s="176" t="s">
        <v>557</v>
      </c>
      <c r="C67" s="176" t="s">
        <v>492</v>
      </c>
      <c r="D67" s="381" t="s">
        <v>751</v>
      </c>
      <c r="E67" s="82">
        <v>0.6</v>
      </c>
      <c r="F67" s="346">
        <f>VLOOKUP(D67,DGL!$B$8:$L$203,11,0)</f>
        <v>206750</v>
      </c>
      <c r="G67" s="420">
        <f t="shared" si="9"/>
        <v>124050</v>
      </c>
    </row>
    <row r="68" spans="1:7" ht="31.5" customHeight="1" x14ac:dyDescent="0.35">
      <c r="A68" s="82">
        <v>24</v>
      </c>
      <c r="B68" s="176" t="s">
        <v>558</v>
      </c>
      <c r="C68" s="176" t="s">
        <v>493</v>
      </c>
      <c r="D68" s="381" t="s">
        <v>751</v>
      </c>
      <c r="E68" s="82">
        <v>0.6</v>
      </c>
      <c r="F68" s="346">
        <f>VLOOKUP(D68,DGL!$B$8:$L$203,11,0)</f>
        <v>206750</v>
      </c>
      <c r="G68" s="420">
        <f t="shared" ref="G68" si="11">E68*F68</f>
        <v>124050</v>
      </c>
    </row>
    <row r="69" spans="1:7" ht="31.5" customHeight="1" x14ac:dyDescent="0.35">
      <c r="A69" s="82">
        <v>25</v>
      </c>
      <c r="B69" s="176" t="s">
        <v>717</v>
      </c>
      <c r="C69" s="176" t="s">
        <v>708</v>
      </c>
      <c r="D69" s="381" t="s">
        <v>750</v>
      </c>
      <c r="E69" s="82">
        <v>0.6</v>
      </c>
      <c r="F69" s="346">
        <f>VLOOKUP(D69,DGL!$B$8:$L$203,11,0)</f>
        <v>184557.5</v>
      </c>
      <c r="G69" s="420">
        <f t="shared" si="9"/>
        <v>110734.5</v>
      </c>
    </row>
    <row r="70" spans="1:7" ht="31.5" customHeight="1" x14ac:dyDescent="0.35">
      <c r="A70" s="82">
        <v>26</v>
      </c>
      <c r="B70" s="176" t="s">
        <v>718</v>
      </c>
      <c r="C70" s="176" t="s">
        <v>709</v>
      </c>
      <c r="D70" s="381" t="s">
        <v>750</v>
      </c>
      <c r="E70" s="82">
        <v>0.6</v>
      </c>
      <c r="F70" s="346">
        <f>VLOOKUP(D70,DGL!$B$8:$L$203,11,0)</f>
        <v>184557.5</v>
      </c>
      <c r="G70" s="420">
        <f t="shared" ref="G70:G74" si="12">E70*F70</f>
        <v>110734.5</v>
      </c>
    </row>
    <row r="71" spans="1:7" ht="31.5" customHeight="1" x14ac:dyDescent="0.35">
      <c r="A71" s="82">
        <v>27</v>
      </c>
      <c r="B71" s="176" t="s">
        <v>719</v>
      </c>
      <c r="C71" s="176" t="s">
        <v>710</v>
      </c>
      <c r="D71" s="381" t="s">
        <v>750</v>
      </c>
      <c r="E71" s="82">
        <v>0.6</v>
      </c>
      <c r="F71" s="346">
        <f>VLOOKUP(D71,DGL!$B$8:$L$203,11,0)</f>
        <v>184557.5</v>
      </c>
      <c r="G71" s="420">
        <f t="shared" si="12"/>
        <v>110734.5</v>
      </c>
    </row>
    <row r="72" spans="1:7" ht="31.5" customHeight="1" x14ac:dyDescent="0.35">
      <c r="A72" s="82">
        <v>28</v>
      </c>
      <c r="B72" s="176" t="s">
        <v>720</v>
      </c>
      <c r="C72" s="176" t="s">
        <v>711</v>
      </c>
      <c r="D72" s="381" t="s">
        <v>750</v>
      </c>
      <c r="E72" s="82">
        <v>0.6</v>
      </c>
      <c r="F72" s="346">
        <f>VLOOKUP(D72,DGL!$B$8:$L$203,11,0)</f>
        <v>184557.5</v>
      </c>
      <c r="G72" s="420">
        <f t="shared" si="12"/>
        <v>110734.5</v>
      </c>
    </row>
    <row r="73" spans="1:7" ht="31.5" customHeight="1" x14ac:dyDescent="0.35">
      <c r="A73" s="82">
        <v>29</v>
      </c>
      <c r="B73" s="176" t="s">
        <v>721</v>
      </c>
      <c r="C73" s="176" t="s">
        <v>712</v>
      </c>
      <c r="D73" s="381" t="s">
        <v>750</v>
      </c>
      <c r="E73" s="82">
        <v>0.6</v>
      </c>
      <c r="F73" s="346">
        <f>VLOOKUP(D73,DGL!$B$8:$L$203,11,0)</f>
        <v>184557.5</v>
      </c>
      <c r="G73" s="420">
        <f t="shared" si="12"/>
        <v>110734.5</v>
      </c>
    </row>
    <row r="74" spans="1:7" ht="31.5" customHeight="1" x14ac:dyDescent="0.35">
      <c r="A74" s="82">
        <v>30</v>
      </c>
      <c r="B74" s="176" t="s">
        <v>722</v>
      </c>
      <c r="C74" s="176" t="s">
        <v>713</v>
      </c>
      <c r="D74" s="381" t="s">
        <v>750</v>
      </c>
      <c r="E74" s="82">
        <v>0.6</v>
      </c>
      <c r="F74" s="346">
        <f>VLOOKUP(D74,DGL!$B$8:$L$203,11,0)</f>
        <v>184557.5</v>
      </c>
      <c r="G74" s="420">
        <f t="shared" si="12"/>
        <v>110734.5</v>
      </c>
    </row>
    <row r="75" spans="1:7" ht="31.5" customHeight="1" x14ac:dyDescent="0.35">
      <c r="A75" s="82">
        <v>31</v>
      </c>
      <c r="B75" s="176" t="s">
        <v>8</v>
      </c>
      <c r="C75" s="176" t="s">
        <v>17</v>
      </c>
      <c r="D75" s="381" t="s">
        <v>751</v>
      </c>
      <c r="E75" s="82">
        <v>0.6</v>
      </c>
      <c r="F75" s="346">
        <f>VLOOKUP(D75,DGL!$B$8:$L$203,11,0)</f>
        <v>206750</v>
      </c>
      <c r="G75" s="420">
        <f t="shared" si="9"/>
        <v>124050</v>
      </c>
    </row>
    <row r="76" spans="1:7" ht="31.5" customHeight="1" x14ac:dyDescent="0.35">
      <c r="A76" s="82">
        <v>32</v>
      </c>
      <c r="B76" s="176" t="s">
        <v>10</v>
      </c>
      <c r="C76" s="176" t="s">
        <v>294</v>
      </c>
      <c r="D76" s="381" t="s">
        <v>751</v>
      </c>
      <c r="E76" s="82">
        <v>0.6</v>
      </c>
      <c r="F76" s="346">
        <f>VLOOKUP(D76,DGL!$B$8:$L$203,11,0)</f>
        <v>206750</v>
      </c>
      <c r="G76" s="420">
        <f t="shared" si="9"/>
        <v>124050</v>
      </c>
    </row>
    <row r="77" spans="1:7" ht="31.5" customHeight="1" x14ac:dyDescent="0.35">
      <c r="A77" s="82">
        <v>33</v>
      </c>
      <c r="B77" s="176" t="s">
        <v>11</v>
      </c>
      <c r="C77" s="176" t="s">
        <v>19</v>
      </c>
      <c r="D77" s="381" t="s">
        <v>751</v>
      </c>
      <c r="E77" s="82">
        <v>1</v>
      </c>
      <c r="F77" s="346">
        <f>VLOOKUP(D77,DGL!$B$8:$L$203,11,0)</f>
        <v>206750</v>
      </c>
      <c r="G77" s="420">
        <f t="shared" si="6"/>
        <v>206750</v>
      </c>
    </row>
    <row r="78" spans="1:7" ht="31.5" customHeight="1" x14ac:dyDescent="0.35">
      <c r="A78" s="82">
        <v>34</v>
      </c>
      <c r="B78" s="176" t="s">
        <v>13</v>
      </c>
      <c r="C78" s="176" t="s">
        <v>20</v>
      </c>
      <c r="D78" s="381" t="s">
        <v>751</v>
      </c>
      <c r="E78" s="82">
        <v>1</v>
      </c>
      <c r="F78" s="346">
        <f>VLOOKUP(D78,DGL!$B$8:$L$203,11,0)</f>
        <v>206750</v>
      </c>
      <c r="G78" s="420">
        <f t="shared" si="6"/>
        <v>206750</v>
      </c>
    </row>
    <row r="79" spans="1:7" ht="31.5" customHeight="1" x14ac:dyDescent="0.35">
      <c r="A79" s="82">
        <v>35</v>
      </c>
      <c r="B79" s="176" t="s">
        <v>15</v>
      </c>
      <c r="C79" s="176" t="s">
        <v>21</v>
      </c>
      <c r="D79" s="381" t="s">
        <v>751</v>
      </c>
      <c r="E79" s="82">
        <v>1</v>
      </c>
      <c r="F79" s="346">
        <f>VLOOKUP(D79,DGL!$B$8:$L$203,11,0)</f>
        <v>206750</v>
      </c>
      <c r="G79" s="420">
        <f t="shared" si="6"/>
        <v>206750</v>
      </c>
    </row>
    <row r="80" spans="1:7" ht="31.5" customHeight="1" x14ac:dyDescent="0.35">
      <c r="A80" s="82">
        <v>36</v>
      </c>
      <c r="B80" s="374" t="s">
        <v>468</v>
      </c>
      <c r="C80" s="371" t="s">
        <v>478</v>
      </c>
      <c r="D80" s="381" t="s">
        <v>751</v>
      </c>
      <c r="E80" s="375">
        <v>1</v>
      </c>
      <c r="F80" s="346">
        <f>VLOOKUP(D80,DGL!$B$8:$L$203,11,0)</f>
        <v>206750</v>
      </c>
      <c r="G80" s="420">
        <f t="shared" si="6"/>
        <v>206750</v>
      </c>
    </row>
  </sheetData>
  <sheetProtection selectLockedCells="1"/>
  <mergeCells count="4">
    <mergeCell ref="F2:G2"/>
    <mergeCell ref="A1:G1"/>
    <mergeCell ref="B4:G4"/>
    <mergeCell ref="B5:D5"/>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279"/>
  <sheetViews>
    <sheetView topLeftCell="A625" workbookViewId="0">
      <selection activeCell="G599" sqref="G599"/>
    </sheetView>
  </sheetViews>
  <sheetFormatPr defaultColWidth="9.1796875" defaultRowHeight="16.5" customHeight="1" x14ac:dyDescent="0.3"/>
  <cols>
    <col min="1" max="1" width="11.453125" style="16" customWidth="1"/>
    <col min="2" max="2" width="28.1796875" style="9" customWidth="1"/>
    <col min="3" max="3" width="9.1796875" style="9"/>
    <col min="4" max="4" width="10.1796875" style="9" customWidth="1"/>
    <col min="5" max="5" width="11.1796875" style="9" customWidth="1"/>
    <col min="6" max="6" width="12.1796875" style="9" customWidth="1"/>
    <col min="7" max="7" width="11.54296875" style="9" customWidth="1"/>
    <col min="8" max="16384" width="9.1796875" style="9"/>
  </cols>
  <sheetData>
    <row r="1" spans="1:8" ht="16.5" customHeight="1" x14ac:dyDescent="0.3">
      <c r="A1" s="462" t="s">
        <v>251</v>
      </c>
      <c r="B1" s="462"/>
      <c r="C1" s="462"/>
      <c r="D1" s="462"/>
      <c r="E1" s="462"/>
      <c r="F1" s="462"/>
      <c r="G1" s="462"/>
      <c r="H1" s="71"/>
    </row>
    <row r="2" spans="1:8" ht="16.5" customHeight="1" x14ac:dyDescent="0.3">
      <c r="F2" s="461" t="s">
        <v>256</v>
      </c>
      <c r="G2" s="461"/>
    </row>
    <row r="3" spans="1:8" ht="30.75" customHeight="1" x14ac:dyDescent="0.3">
      <c r="A3" s="496" t="s">
        <v>0</v>
      </c>
      <c r="B3" s="496" t="s">
        <v>22</v>
      </c>
      <c r="C3" s="496" t="s">
        <v>23</v>
      </c>
      <c r="D3" s="6" t="s">
        <v>24</v>
      </c>
      <c r="E3" s="496" t="s">
        <v>26</v>
      </c>
      <c r="F3" s="498" t="s">
        <v>252</v>
      </c>
      <c r="G3" s="471" t="s">
        <v>253</v>
      </c>
    </row>
    <row r="4" spans="1:8" ht="16.5" customHeight="1" x14ac:dyDescent="0.3">
      <c r="A4" s="496"/>
      <c r="B4" s="496"/>
      <c r="C4" s="496"/>
      <c r="D4" s="6" t="s">
        <v>25</v>
      </c>
      <c r="E4" s="496"/>
      <c r="F4" s="498"/>
      <c r="G4" s="471"/>
    </row>
    <row r="5" spans="1:8" s="42" customFormat="1" ht="16.5" customHeight="1" x14ac:dyDescent="0.35">
      <c r="A5" s="2" t="s">
        <v>272</v>
      </c>
      <c r="B5" s="473" t="s">
        <v>484</v>
      </c>
      <c r="C5" s="474"/>
      <c r="D5" s="474"/>
      <c r="E5" s="474"/>
      <c r="F5" s="474"/>
      <c r="G5" s="475"/>
    </row>
    <row r="6" spans="1:8" s="42" customFormat="1" ht="16.5" customHeight="1" x14ac:dyDescent="0.35">
      <c r="A6" s="39" t="s">
        <v>275</v>
      </c>
      <c r="B6" s="476" t="s">
        <v>537</v>
      </c>
      <c r="C6" s="477"/>
      <c r="D6" s="477"/>
      <c r="E6" s="478"/>
      <c r="F6" s="148"/>
      <c r="G6" s="149" t="s">
        <v>376</v>
      </c>
    </row>
    <row r="7" spans="1:8" ht="18.75" customHeight="1" x14ac:dyDescent="0.3">
      <c r="A7" s="309" t="s">
        <v>377</v>
      </c>
      <c r="B7" s="479" t="s">
        <v>582</v>
      </c>
      <c r="C7" s="480"/>
      <c r="D7" s="481"/>
      <c r="E7" s="145"/>
      <c r="F7" s="146"/>
      <c r="G7" s="45">
        <f>SUM(G8:G18)*1.05</f>
        <v>2850.3461538461543</v>
      </c>
    </row>
    <row r="8" spans="1:8" ht="22.5" customHeight="1" x14ac:dyDescent="0.3">
      <c r="A8" s="10">
        <v>1</v>
      </c>
      <c r="B8" s="93" t="s">
        <v>419</v>
      </c>
      <c r="C8" s="10" t="s">
        <v>28</v>
      </c>
      <c r="D8" s="348">
        <f>VLOOKUP(B8,[1]Dcu!$B$3:$D$511,3,0)</f>
        <v>6</v>
      </c>
      <c r="E8" s="10">
        <v>4.8000000000000001E-2</v>
      </c>
      <c r="F8" s="347">
        <f>VLOOKUP(B8,[1]Dcu!$B$3:$E$511,4,0)</f>
        <v>2500000</v>
      </c>
      <c r="G8" s="47">
        <f>F8/(D8*26)*E8</f>
        <v>769.23076923076928</v>
      </c>
    </row>
    <row r="9" spans="1:8" ht="16.5" customHeight="1" x14ac:dyDescent="0.3">
      <c r="A9" s="10">
        <v>2</v>
      </c>
      <c r="B9" s="93" t="s">
        <v>425</v>
      </c>
      <c r="C9" s="10" t="s">
        <v>36</v>
      </c>
      <c r="D9" s="348">
        <f>VLOOKUP(B9,[1]Dcu!$B$3:$D$511,3,0)</f>
        <v>12</v>
      </c>
      <c r="E9" s="10">
        <v>9.6000000000000002E-2</v>
      </c>
      <c r="F9" s="347">
        <f>VLOOKUP(B9,[1]Dcu!$B$3:$E$511,4,0)</f>
        <v>50000</v>
      </c>
      <c r="G9" s="47">
        <f t="shared" ref="G9:G139" si="0">F9/(D9*26)*E9</f>
        <v>15.384615384615385</v>
      </c>
    </row>
    <row r="10" spans="1:8" ht="16.5" customHeight="1" x14ac:dyDescent="0.3">
      <c r="A10" s="10">
        <v>3</v>
      </c>
      <c r="B10" s="12" t="s">
        <v>620</v>
      </c>
      <c r="C10" s="10" t="s">
        <v>42</v>
      </c>
      <c r="D10" s="348">
        <f>VLOOKUP(B10,[1]Dcu!$B$3:$D$511,3,0)</f>
        <v>6</v>
      </c>
      <c r="E10" s="10">
        <v>9.6000000000000002E-2</v>
      </c>
      <c r="F10" s="347">
        <f>VLOOKUP(B10,[1]Dcu!$B$3:$E$511,4,0)</f>
        <v>25000</v>
      </c>
      <c r="G10" s="47">
        <f t="shared" si="0"/>
        <v>15.384615384615385</v>
      </c>
    </row>
    <row r="11" spans="1:8" ht="16.5" customHeight="1" x14ac:dyDescent="0.3">
      <c r="A11" s="10">
        <v>4</v>
      </c>
      <c r="B11" s="12" t="s">
        <v>413</v>
      </c>
      <c r="C11" s="10" t="s">
        <v>42</v>
      </c>
      <c r="D11" s="348">
        <f>VLOOKUP(B11,[1]Dcu!$B$3:$D$511,3,0)</f>
        <v>6</v>
      </c>
      <c r="E11" s="10">
        <v>9.6000000000000002E-2</v>
      </c>
      <c r="F11" s="347">
        <f>VLOOKUP(B11,[1]Dcu!$B$3:$E$511,4,0)</f>
        <v>7000</v>
      </c>
      <c r="G11" s="47">
        <f t="shared" si="0"/>
        <v>4.3076923076923075</v>
      </c>
    </row>
    <row r="12" spans="1:8" ht="16.5" customHeight="1" x14ac:dyDescent="0.3">
      <c r="A12" s="10">
        <v>5</v>
      </c>
      <c r="B12" s="12" t="s">
        <v>414</v>
      </c>
      <c r="C12" s="10" t="s">
        <v>28</v>
      </c>
      <c r="D12" s="348">
        <f>VLOOKUP(B12,[1]Dcu!$B$3:$D$511,3,0)</f>
        <v>12</v>
      </c>
      <c r="E12" s="10">
        <v>9.6000000000000002E-2</v>
      </c>
      <c r="F12" s="347">
        <f>VLOOKUP(B12,[1]Dcu!$B$3:$E$511,4,0)</f>
        <v>20000</v>
      </c>
      <c r="G12" s="47">
        <f t="shared" si="0"/>
        <v>6.1538461538461542</v>
      </c>
    </row>
    <row r="13" spans="1:8" ht="16.5" customHeight="1" x14ac:dyDescent="0.3">
      <c r="A13" s="10">
        <v>6</v>
      </c>
      <c r="B13" s="12" t="s">
        <v>415</v>
      </c>
      <c r="C13" s="10" t="s">
        <v>28</v>
      </c>
      <c r="D13" s="348">
        <f>VLOOKUP(B13,[1]Dcu!$B$3:$D$511,3,0)</f>
        <v>24</v>
      </c>
      <c r="E13" s="10">
        <v>4.8000000000000001E-2</v>
      </c>
      <c r="F13" s="347">
        <f>VLOOKUP(B13,[1]Dcu!$B$3:$E$511,4,0)</f>
        <v>110000</v>
      </c>
      <c r="G13" s="47">
        <f t="shared" si="0"/>
        <v>8.4615384615384617</v>
      </c>
    </row>
    <row r="14" spans="1:8" ht="16.5" customHeight="1" x14ac:dyDescent="0.3">
      <c r="A14" s="10">
        <v>7</v>
      </c>
      <c r="B14" s="158" t="s">
        <v>426</v>
      </c>
      <c r="C14" s="10" t="s">
        <v>416</v>
      </c>
      <c r="D14" s="348">
        <f>VLOOKUP(B14,[1]Dcu!$B$3:$D$511,3,0)</f>
        <v>3</v>
      </c>
      <c r="E14" s="10">
        <v>4.8000000000000001E-2</v>
      </c>
      <c r="F14" s="347">
        <f>VLOOKUP(B14,[1]Dcu!$B$3:$E$511,4,0)</f>
        <v>70000</v>
      </c>
      <c r="G14" s="47">
        <f t="shared" si="0"/>
        <v>43.07692307692308</v>
      </c>
    </row>
    <row r="15" spans="1:8" ht="16.5" customHeight="1" x14ac:dyDescent="0.3">
      <c r="A15" s="10">
        <v>8</v>
      </c>
      <c r="B15" s="93" t="s">
        <v>43</v>
      </c>
      <c r="C15" s="10" t="s">
        <v>76</v>
      </c>
      <c r="D15" s="348">
        <f>VLOOKUP(B15,[1]Dcu!$B$3:$D$511,3,0)</f>
        <v>0.3</v>
      </c>
      <c r="E15" s="10">
        <v>0.02</v>
      </c>
      <c r="F15" s="347">
        <f>VLOOKUP(B15,[1]Dcu!$B$3:$E$511,4,0)</f>
        <v>400000</v>
      </c>
      <c r="G15" s="47">
        <f t="shared" si="0"/>
        <v>1025.6410256410256</v>
      </c>
    </row>
    <row r="16" spans="1:8" ht="16.5" customHeight="1" x14ac:dyDescent="0.3">
      <c r="A16" s="10">
        <v>9</v>
      </c>
      <c r="B16" s="12" t="s">
        <v>621</v>
      </c>
      <c r="C16" s="10" t="s">
        <v>76</v>
      </c>
      <c r="D16" s="348">
        <f>VLOOKUP(B16,[1]Dcu!$B$3:$D$511,3,0)</f>
        <v>0.3</v>
      </c>
      <c r="E16" s="10">
        <v>0.02</v>
      </c>
      <c r="F16" s="347">
        <f>VLOOKUP(B16,[1]Dcu!$B$3:$E$511,4,0)</f>
        <v>200000</v>
      </c>
      <c r="G16" s="47">
        <f t="shared" si="0"/>
        <v>512.82051282051282</v>
      </c>
    </row>
    <row r="17" spans="1:7" ht="16.5" customHeight="1" x14ac:dyDescent="0.3">
      <c r="A17" s="10">
        <v>11</v>
      </c>
      <c r="B17" s="12" t="s">
        <v>417</v>
      </c>
      <c r="C17" s="10" t="s">
        <v>28</v>
      </c>
      <c r="D17" s="348">
        <f>VLOOKUP(B17,[1]Dcu!$B$3:$D$511,3,0)</f>
        <v>60</v>
      </c>
      <c r="E17" s="10">
        <v>4.8000000000000001E-2</v>
      </c>
      <c r="F17" s="347">
        <f>VLOOKUP(B17,[1]Dcu!$B$3:$E$511,4,0)</f>
        <v>210000</v>
      </c>
      <c r="G17" s="47">
        <f t="shared" si="0"/>
        <v>6.4615384615384617</v>
      </c>
    </row>
    <row r="18" spans="1:7" ht="16.5" customHeight="1" x14ac:dyDescent="0.3">
      <c r="A18" s="10">
        <v>13</v>
      </c>
      <c r="B18" s="12" t="s">
        <v>418</v>
      </c>
      <c r="C18" s="10" t="s">
        <v>28</v>
      </c>
      <c r="D18" s="348">
        <f>VLOOKUP(B18,[1]Dcu!$B$3:$D$511,3,0)</f>
        <v>6</v>
      </c>
      <c r="E18" s="10">
        <v>4.8000000000000001E-2</v>
      </c>
      <c r="F18" s="347">
        <f>VLOOKUP(B18,[1]Dcu!$B$3:$E$511,4,0)</f>
        <v>1000000</v>
      </c>
      <c r="G18" s="47">
        <f t="shared" si="0"/>
        <v>307.69230769230768</v>
      </c>
    </row>
    <row r="19" spans="1:7" ht="16.5" customHeight="1" x14ac:dyDescent="0.3">
      <c r="A19" s="309" t="s">
        <v>378</v>
      </c>
      <c r="B19" s="479" t="s">
        <v>472</v>
      </c>
      <c r="C19" s="480"/>
      <c r="D19" s="481"/>
      <c r="E19" s="455" t="s">
        <v>581</v>
      </c>
      <c r="F19" s="451"/>
      <c r="G19" s="164">
        <f>G7</f>
        <v>2850.3461538461543</v>
      </c>
    </row>
    <row r="20" spans="1:7" ht="16.5" customHeight="1" x14ac:dyDescent="0.3">
      <c r="A20" s="156" t="s">
        <v>379</v>
      </c>
      <c r="B20" s="157" t="s">
        <v>622</v>
      </c>
      <c r="C20" s="10"/>
      <c r="D20" s="10"/>
      <c r="E20" s="10"/>
      <c r="F20" s="46"/>
      <c r="G20" s="45">
        <f>SUM(G21:G32)*1.1</f>
        <v>3102.5076923076931</v>
      </c>
    </row>
    <row r="21" spans="1:7" ht="16.5" customHeight="1" x14ac:dyDescent="0.3">
      <c r="A21" s="10">
        <v>1</v>
      </c>
      <c r="B21" s="12" t="s">
        <v>419</v>
      </c>
      <c r="C21" s="10" t="s">
        <v>28</v>
      </c>
      <c r="D21" s="348">
        <f>VLOOKUP(B21,[1]Dcu!$B$3:$D$511,3,0)</f>
        <v>6</v>
      </c>
      <c r="E21" s="10">
        <v>4.8000000000000001E-2</v>
      </c>
      <c r="F21" s="347">
        <f>VLOOKUP(B21,[1]Dcu!$B$3:$E$511,4,0)</f>
        <v>2500000</v>
      </c>
      <c r="G21" s="47">
        <f t="shared" si="0"/>
        <v>769.23076923076928</v>
      </c>
    </row>
    <row r="22" spans="1:7" ht="16.5" customHeight="1" x14ac:dyDescent="0.3">
      <c r="A22" s="10">
        <v>2</v>
      </c>
      <c r="B22" s="12" t="s">
        <v>420</v>
      </c>
      <c r="C22" s="10" t="s">
        <v>28</v>
      </c>
      <c r="D22" s="348">
        <f>VLOOKUP(B22,[1]Dcu!$B$3:$D$511,3,0)</f>
        <v>9</v>
      </c>
      <c r="E22" s="10">
        <v>4.8000000000000001E-2</v>
      </c>
      <c r="F22" s="347">
        <f>VLOOKUP(B22,[1]Dcu!$B$3:$E$511,4,0)</f>
        <v>2000000</v>
      </c>
      <c r="G22" s="47">
        <f t="shared" si="0"/>
        <v>410.25641025641028</v>
      </c>
    </row>
    <row r="23" spans="1:7" ht="16.5" customHeight="1" x14ac:dyDescent="0.3">
      <c r="A23" s="10">
        <v>3</v>
      </c>
      <c r="B23" s="12" t="s">
        <v>421</v>
      </c>
      <c r="C23" s="10" t="s">
        <v>28</v>
      </c>
      <c r="D23" s="348">
        <f>VLOOKUP(B23,[1]Dcu!$B$3:$D$511,3,0)</f>
        <v>36</v>
      </c>
      <c r="E23" s="10">
        <v>4.8000000000000001E-2</v>
      </c>
      <c r="F23" s="347">
        <f>VLOOKUP(B23,[1]Dcu!$B$3:$E$511,4,0)</f>
        <v>80000</v>
      </c>
      <c r="G23" s="47">
        <f t="shared" si="0"/>
        <v>4.1025641025641022</v>
      </c>
    </row>
    <row r="24" spans="1:7" ht="16.5" customHeight="1" x14ac:dyDescent="0.3">
      <c r="A24" s="10">
        <v>4</v>
      </c>
      <c r="B24" s="12" t="s">
        <v>59</v>
      </c>
      <c r="C24" s="10" t="s">
        <v>28</v>
      </c>
      <c r="D24" s="348">
        <f>VLOOKUP(B24,[1]Dcu!$B$3:$D$511,3,0)</f>
        <v>36</v>
      </c>
      <c r="E24" s="10">
        <v>4.8000000000000001E-2</v>
      </c>
      <c r="F24" s="347">
        <f>VLOOKUP(B24,[1]Dcu!$B$3:$E$511,4,0)</f>
        <v>110000</v>
      </c>
      <c r="G24" s="47">
        <f t="shared" si="0"/>
        <v>5.6410256410256414</v>
      </c>
    </row>
    <row r="25" spans="1:7" ht="16.5" customHeight="1" x14ac:dyDescent="0.3">
      <c r="A25" s="10">
        <v>5</v>
      </c>
      <c r="B25" s="93" t="s">
        <v>425</v>
      </c>
      <c r="C25" s="10" t="s">
        <v>36</v>
      </c>
      <c r="D25" s="348">
        <f>VLOOKUP(B25,[1]Dcu!$B$3:$D$511,3,0)</f>
        <v>12</v>
      </c>
      <c r="E25" s="10">
        <v>9.6000000000000002E-2</v>
      </c>
      <c r="F25" s="347">
        <f>VLOOKUP(B25,[1]Dcu!$B$3:$E$511,4,0)</f>
        <v>50000</v>
      </c>
      <c r="G25" s="47">
        <f t="shared" si="0"/>
        <v>15.384615384615385</v>
      </c>
    </row>
    <row r="26" spans="1:7" ht="16.5" customHeight="1" x14ac:dyDescent="0.3">
      <c r="A26" s="10">
        <v>6</v>
      </c>
      <c r="B26" s="12" t="s">
        <v>620</v>
      </c>
      <c r="C26" s="10" t="s">
        <v>42</v>
      </c>
      <c r="D26" s="348">
        <f>VLOOKUP(B26,[1]Dcu!$B$3:$D$511,3,0)</f>
        <v>6</v>
      </c>
      <c r="E26" s="10">
        <v>9.6000000000000002E-2</v>
      </c>
      <c r="F26" s="347">
        <f>VLOOKUP(B26,[1]Dcu!$B$3:$E$511,4,0)</f>
        <v>25000</v>
      </c>
      <c r="G26" s="47">
        <f t="shared" si="0"/>
        <v>15.384615384615385</v>
      </c>
    </row>
    <row r="27" spans="1:7" ht="16.5" customHeight="1" x14ac:dyDescent="0.3">
      <c r="A27" s="10">
        <v>7</v>
      </c>
      <c r="B27" s="12" t="s">
        <v>413</v>
      </c>
      <c r="C27" s="10" t="s">
        <v>42</v>
      </c>
      <c r="D27" s="348">
        <f>VLOOKUP(B27,[1]Dcu!$B$3:$D$511,3,0)</f>
        <v>6</v>
      </c>
      <c r="E27" s="10">
        <v>9.6000000000000002E-2</v>
      </c>
      <c r="F27" s="347">
        <f>VLOOKUP(B27,[1]Dcu!$B$3:$E$511,4,0)</f>
        <v>7000</v>
      </c>
      <c r="G27" s="47">
        <f t="shared" si="0"/>
        <v>4.3076923076923075</v>
      </c>
    </row>
    <row r="28" spans="1:7" ht="16.5" customHeight="1" x14ac:dyDescent="0.3">
      <c r="A28" s="10">
        <v>8</v>
      </c>
      <c r="B28" s="12" t="s">
        <v>414</v>
      </c>
      <c r="C28" s="10" t="s">
        <v>28</v>
      </c>
      <c r="D28" s="348">
        <f>VLOOKUP(B28,[1]Dcu!$B$3:$D$511,3,0)</f>
        <v>12</v>
      </c>
      <c r="E28" s="10">
        <v>9.6000000000000002E-2</v>
      </c>
      <c r="F28" s="347">
        <f>VLOOKUP(B28,[1]Dcu!$B$3:$E$511,4,0)</f>
        <v>20000</v>
      </c>
      <c r="G28" s="47">
        <f t="shared" si="0"/>
        <v>6.1538461538461542</v>
      </c>
    </row>
    <row r="29" spans="1:7" ht="16.5" customHeight="1" x14ac:dyDescent="0.3">
      <c r="A29" s="10">
        <v>9</v>
      </c>
      <c r="B29" s="12" t="s">
        <v>415</v>
      </c>
      <c r="C29" s="10" t="s">
        <v>28</v>
      </c>
      <c r="D29" s="348">
        <f>VLOOKUP(B29,[1]Dcu!$B$3:$D$511,3,0)</f>
        <v>24</v>
      </c>
      <c r="E29" s="10">
        <v>4.8000000000000001E-2</v>
      </c>
      <c r="F29" s="347">
        <f>VLOOKUP(B29,[1]Dcu!$B$3:$E$511,4,0)</f>
        <v>110000</v>
      </c>
      <c r="G29" s="47">
        <f t="shared" si="0"/>
        <v>8.4615384615384617</v>
      </c>
    </row>
    <row r="30" spans="1:7" ht="16.5" customHeight="1" x14ac:dyDescent="0.3">
      <c r="A30" s="10">
        <v>10</v>
      </c>
      <c r="B30" s="158" t="s">
        <v>426</v>
      </c>
      <c r="C30" s="10" t="s">
        <v>416</v>
      </c>
      <c r="D30" s="348">
        <f>VLOOKUP(B30,[1]Dcu!$B$3:$D$511,3,0)</f>
        <v>3</v>
      </c>
      <c r="E30" s="10">
        <v>4.8000000000000001E-2</v>
      </c>
      <c r="F30" s="347">
        <f>VLOOKUP(B30,[1]Dcu!$B$3:$E$511,4,0)</f>
        <v>70000</v>
      </c>
      <c r="G30" s="47">
        <f t="shared" si="0"/>
        <v>43.07692307692308</v>
      </c>
    </row>
    <row r="31" spans="1:7" ht="16.5" customHeight="1" x14ac:dyDescent="0.3">
      <c r="A31" s="10">
        <v>11</v>
      </c>
      <c r="B31" s="93" t="s">
        <v>43</v>
      </c>
      <c r="C31" s="10" t="s">
        <v>76</v>
      </c>
      <c r="D31" s="348">
        <f>VLOOKUP(B31,[1]Dcu!$B$3:$D$511,3,0)</f>
        <v>0.3</v>
      </c>
      <c r="E31" s="10">
        <v>0.02</v>
      </c>
      <c r="F31" s="347">
        <f>VLOOKUP(B31,[1]Dcu!$B$3:$E$511,4,0)</f>
        <v>400000</v>
      </c>
      <c r="G31" s="47">
        <f t="shared" si="0"/>
        <v>1025.6410256410256</v>
      </c>
    </row>
    <row r="32" spans="1:7" ht="16.5" customHeight="1" x14ac:dyDescent="0.3">
      <c r="A32" s="10">
        <v>12</v>
      </c>
      <c r="B32" s="12" t="s">
        <v>621</v>
      </c>
      <c r="C32" s="10" t="s">
        <v>76</v>
      </c>
      <c r="D32" s="348">
        <f>VLOOKUP(B32,[1]Dcu!$B$3:$D$511,3,0)</f>
        <v>0.3</v>
      </c>
      <c r="E32" s="10">
        <v>0.02</v>
      </c>
      <c r="F32" s="347">
        <f>VLOOKUP(B32,[1]Dcu!$B$3:$E$511,4,0)</f>
        <v>200000</v>
      </c>
      <c r="G32" s="47">
        <f>F32/(D32*26)*E32</f>
        <v>512.82051282051282</v>
      </c>
    </row>
    <row r="33" spans="1:7" ht="18.75" customHeight="1" x14ac:dyDescent="0.3">
      <c r="A33" s="382" t="s">
        <v>694</v>
      </c>
      <c r="B33" s="452" t="s">
        <v>562</v>
      </c>
      <c r="C33" s="453"/>
      <c r="D33" s="453"/>
      <c r="E33" s="454"/>
      <c r="F33" s="46"/>
      <c r="G33" s="160">
        <f>SUM(G34:G46)*1.05</f>
        <v>4655.4846153846156</v>
      </c>
    </row>
    <row r="34" spans="1:7" ht="16.5" customHeight="1" x14ac:dyDescent="0.3">
      <c r="A34" s="10">
        <v>1</v>
      </c>
      <c r="B34" s="12" t="s">
        <v>27</v>
      </c>
      <c r="C34" s="10" t="s">
        <v>28</v>
      </c>
      <c r="D34" s="348">
        <f>VLOOKUP(B34,[1]Dcu!$B$3:$D$511,3,0)</f>
        <v>12</v>
      </c>
      <c r="E34" s="10">
        <v>4.8000000000000001E-2</v>
      </c>
      <c r="F34" s="347">
        <f>VLOOKUP(B34,[1]Dcu!$B$3:$E$511,4,0)</f>
        <v>100000</v>
      </c>
      <c r="G34" s="47">
        <f t="shared" ref="G34:G46" si="1">F34/(D34*26)*E34</f>
        <v>15.384615384615385</v>
      </c>
    </row>
    <row r="35" spans="1:7" ht="16.5" customHeight="1" x14ac:dyDescent="0.3">
      <c r="A35" s="10">
        <v>2</v>
      </c>
      <c r="B35" s="170" t="s">
        <v>435</v>
      </c>
      <c r="C35" s="10" t="s">
        <v>416</v>
      </c>
      <c r="D35" s="348">
        <f>VLOOKUP(B35,[1]Dcu!$B$3:$D$511,3,0)</f>
        <v>12</v>
      </c>
      <c r="E35" s="10">
        <v>4.8000000000000001E-2</v>
      </c>
      <c r="F35" s="347">
        <f>VLOOKUP(B35,[1]Dcu!$B$3:$E$511,4,0)</f>
        <v>80000</v>
      </c>
      <c r="G35" s="47">
        <f t="shared" si="1"/>
        <v>12.307692307692308</v>
      </c>
    </row>
    <row r="36" spans="1:7" ht="16.5" customHeight="1" x14ac:dyDescent="0.3">
      <c r="A36" s="10">
        <v>3</v>
      </c>
      <c r="B36" s="12" t="s">
        <v>59</v>
      </c>
      <c r="C36" s="10" t="s">
        <v>28</v>
      </c>
      <c r="D36" s="348">
        <f>VLOOKUP(B36,[1]Dcu!$B$3:$D$511,3,0)</f>
        <v>36</v>
      </c>
      <c r="E36" s="10">
        <v>4.8000000000000001E-2</v>
      </c>
      <c r="F36" s="347">
        <f>VLOOKUP(B36,[1]Dcu!$B$3:$E$511,4,0)</f>
        <v>110000</v>
      </c>
      <c r="G36" s="47">
        <f t="shared" si="1"/>
        <v>5.6410256410256414</v>
      </c>
    </row>
    <row r="37" spans="1:7" ht="16.5" customHeight="1" x14ac:dyDescent="0.3">
      <c r="A37" s="10">
        <v>4</v>
      </c>
      <c r="B37" s="93" t="s">
        <v>425</v>
      </c>
      <c r="C37" s="10" t="s">
        <v>36</v>
      </c>
      <c r="D37" s="348">
        <f>VLOOKUP(B37,[1]Dcu!$B$3:$D$511,3,0)</f>
        <v>12</v>
      </c>
      <c r="E37" s="10">
        <v>9.6000000000000002E-2</v>
      </c>
      <c r="F37" s="347">
        <f>VLOOKUP(B37,[1]Dcu!$B$3:$E$511,4,0)</f>
        <v>50000</v>
      </c>
      <c r="G37" s="47">
        <f t="shared" si="1"/>
        <v>15.384615384615385</v>
      </c>
    </row>
    <row r="38" spans="1:7" ht="16.5" customHeight="1" x14ac:dyDescent="0.3">
      <c r="A38" s="10">
        <v>5</v>
      </c>
      <c r="B38" s="12" t="s">
        <v>620</v>
      </c>
      <c r="C38" s="10" t="s">
        <v>42</v>
      </c>
      <c r="D38" s="348">
        <f>VLOOKUP(B38,[1]Dcu!$B$3:$D$511,3,0)</f>
        <v>6</v>
      </c>
      <c r="E38" s="10">
        <v>9.6000000000000002E-2</v>
      </c>
      <c r="F38" s="347">
        <f>VLOOKUP(B38,[1]Dcu!$B$3:$E$511,4,0)</f>
        <v>25000</v>
      </c>
      <c r="G38" s="47">
        <f t="shared" si="1"/>
        <v>15.384615384615385</v>
      </c>
    </row>
    <row r="39" spans="1:7" ht="16.5" customHeight="1" x14ac:dyDescent="0.3">
      <c r="A39" s="10">
        <v>6</v>
      </c>
      <c r="B39" s="12" t="s">
        <v>413</v>
      </c>
      <c r="C39" s="10" t="s">
        <v>42</v>
      </c>
      <c r="D39" s="348">
        <f>VLOOKUP(B39,[1]Dcu!$B$3:$D$511,3,0)</f>
        <v>6</v>
      </c>
      <c r="E39" s="10">
        <v>9.6000000000000002E-2</v>
      </c>
      <c r="F39" s="347">
        <f>VLOOKUP(B39,[1]Dcu!$B$3:$E$511,4,0)</f>
        <v>7000</v>
      </c>
      <c r="G39" s="47">
        <f t="shared" si="1"/>
        <v>4.3076923076923075</v>
      </c>
    </row>
    <row r="40" spans="1:7" ht="16.5" customHeight="1" x14ac:dyDescent="0.3">
      <c r="A40" s="10">
        <v>7</v>
      </c>
      <c r="B40" s="12" t="s">
        <v>414</v>
      </c>
      <c r="C40" s="10" t="s">
        <v>28</v>
      </c>
      <c r="D40" s="348">
        <f>VLOOKUP(B40,[1]Dcu!$B$3:$D$511,3,0)</f>
        <v>12</v>
      </c>
      <c r="E40" s="10">
        <v>9.6000000000000002E-2</v>
      </c>
      <c r="F40" s="347">
        <f>VLOOKUP(B40,[1]Dcu!$B$3:$E$511,4,0)</f>
        <v>20000</v>
      </c>
      <c r="G40" s="47">
        <f t="shared" si="1"/>
        <v>6.1538461538461542</v>
      </c>
    </row>
    <row r="41" spans="1:7" ht="16.5" customHeight="1" x14ac:dyDescent="0.3">
      <c r="A41" s="10">
        <v>8</v>
      </c>
      <c r="B41" s="12" t="s">
        <v>415</v>
      </c>
      <c r="C41" s="10" t="s">
        <v>28</v>
      </c>
      <c r="D41" s="348">
        <f>VLOOKUP(B41,[1]Dcu!$B$3:$D$511,3,0)</f>
        <v>24</v>
      </c>
      <c r="E41" s="10">
        <v>4.8000000000000001E-2</v>
      </c>
      <c r="F41" s="347">
        <f>VLOOKUP(B41,[1]Dcu!$B$3:$E$511,4,0)</f>
        <v>110000</v>
      </c>
      <c r="G41" s="47">
        <f t="shared" si="1"/>
        <v>8.4615384615384617</v>
      </c>
    </row>
    <row r="42" spans="1:7" ht="16.5" customHeight="1" x14ac:dyDescent="0.3">
      <c r="A42" s="10">
        <v>9</v>
      </c>
      <c r="B42" s="158" t="s">
        <v>426</v>
      </c>
      <c r="C42" s="10" t="s">
        <v>416</v>
      </c>
      <c r="D42" s="348">
        <f>VLOOKUP(B42,[1]Dcu!$B$3:$D$511,3,0)</f>
        <v>3</v>
      </c>
      <c r="E42" s="10">
        <v>4.8000000000000001E-2</v>
      </c>
      <c r="F42" s="347">
        <f>VLOOKUP(B42,[1]Dcu!$B$3:$E$511,4,0)</f>
        <v>70000</v>
      </c>
      <c r="G42" s="47">
        <f t="shared" si="1"/>
        <v>43.07692307692308</v>
      </c>
    </row>
    <row r="43" spans="1:7" ht="16.5" customHeight="1" x14ac:dyDescent="0.3">
      <c r="A43" s="10">
        <v>10</v>
      </c>
      <c r="B43" s="93" t="s">
        <v>43</v>
      </c>
      <c r="C43" s="10" t="s">
        <v>76</v>
      </c>
      <c r="D43" s="348">
        <f>VLOOKUP(B43,[1]Dcu!$B$3:$D$511,3,0)</f>
        <v>0.3</v>
      </c>
      <c r="E43" s="10">
        <v>0.02</v>
      </c>
      <c r="F43" s="347">
        <f>VLOOKUP(B43,[1]Dcu!$B$3:$E$511,4,0)</f>
        <v>400000</v>
      </c>
      <c r="G43" s="47">
        <f t="shared" si="1"/>
        <v>1025.6410256410256</v>
      </c>
    </row>
    <row r="44" spans="1:7" ht="16.5" customHeight="1" x14ac:dyDescent="0.3">
      <c r="A44" s="10">
        <v>11</v>
      </c>
      <c r="B44" s="12" t="s">
        <v>621</v>
      </c>
      <c r="C44" s="10" t="s">
        <v>76</v>
      </c>
      <c r="D44" s="348">
        <f>VLOOKUP(B44,[1]Dcu!$B$3:$D$511,3,0)</f>
        <v>0.3</v>
      </c>
      <c r="E44" s="10">
        <v>0.02</v>
      </c>
      <c r="F44" s="347">
        <f>VLOOKUP(B44,[1]Dcu!$B$3:$E$511,4,0)</f>
        <v>200000</v>
      </c>
      <c r="G44" s="47">
        <f t="shared" si="1"/>
        <v>512.82051282051282</v>
      </c>
    </row>
    <row r="45" spans="1:7" ht="16.5" customHeight="1" x14ac:dyDescent="0.3">
      <c r="A45" s="10">
        <v>12</v>
      </c>
      <c r="B45" s="12" t="s">
        <v>423</v>
      </c>
      <c r="C45" s="10" t="s">
        <v>28</v>
      </c>
      <c r="D45" s="348">
        <f>VLOOKUP(B45,[1]Dcu!$B$3:$D$511,3,0)</f>
        <v>6</v>
      </c>
      <c r="E45" s="10">
        <v>0.48</v>
      </c>
      <c r="F45" s="347">
        <f>VLOOKUP(B45,[1]Dcu!$B$3:$E$511,4,0)</f>
        <v>800000</v>
      </c>
      <c r="G45" s="47">
        <f t="shared" si="1"/>
        <v>2461.5384615384614</v>
      </c>
    </row>
    <row r="46" spans="1:7" ht="16.5" customHeight="1" x14ac:dyDescent="0.3">
      <c r="A46" s="10">
        <v>13</v>
      </c>
      <c r="B46" s="12" t="s">
        <v>418</v>
      </c>
      <c r="C46" s="10" t="s">
        <v>28</v>
      </c>
      <c r="D46" s="348">
        <f>VLOOKUP(B46,[1]Dcu!$B$3:$D$511,3,0)</f>
        <v>6</v>
      </c>
      <c r="E46" s="10">
        <v>4.8000000000000001E-2</v>
      </c>
      <c r="F46" s="347">
        <f>VLOOKUP(B46,[1]Dcu!$B$3:$E$511,4,0)</f>
        <v>1000000</v>
      </c>
      <c r="G46" s="47">
        <f t="shared" si="1"/>
        <v>307.69230769230768</v>
      </c>
    </row>
    <row r="47" spans="1:7" ht="16.5" customHeight="1" x14ac:dyDescent="0.3">
      <c r="A47" s="159" t="s">
        <v>695</v>
      </c>
      <c r="B47" s="163" t="s">
        <v>723</v>
      </c>
      <c r="C47" s="450" t="s">
        <v>724</v>
      </c>
      <c r="D47" s="450"/>
      <c r="E47" s="451"/>
      <c r="F47" s="347"/>
      <c r="G47" s="164">
        <f>G33</f>
        <v>4655.4846153846156</v>
      </c>
    </row>
    <row r="48" spans="1:7" ht="16.5" customHeight="1" x14ac:dyDescent="0.3">
      <c r="A48" s="159" t="s">
        <v>276</v>
      </c>
      <c r="B48" s="482" t="s">
        <v>422</v>
      </c>
      <c r="C48" s="483"/>
      <c r="D48" s="483"/>
      <c r="E48" s="484"/>
      <c r="F48" s="46"/>
      <c r="G48" s="47"/>
    </row>
    <row r="49" spans="1:7" ht="16.5" customHeight="1" x14ac:dyDescent="0.3">
      <c r="A49" s="156" t="s">
        <v>427</v>
      </c>
      <c r="B49" s="470" t="s">
        <v>502</v>
      </c>
      <c r="C49" s="470"/>
      <c r="D49" s="470"/>
      <c r="E49" s="470"/>
      <c r="F49" s="470"/>
      <c r="G49" s="160">
        <f>SUM(G50:G61)*1.05</f>
        <v>4639.3307692307699</v>
      </c>
    </row>
    <row r="50" spans="1:7" ht="16.5" customHeight="1" x14ac:dyDescent="0.3">
      <c r="A50" s="10">
        <v>1</v>
      </c>
      <c r="B50" s="170" t="s">
        <v>435</v>
      </c>
      <c r="C50" s="236" t="s">
        <v>474</v>
      </c>
      <c r="D50" s="348">
        <f>VLOOKUP(B50,[1]Dcu!$B$3:$D$511,3,0)</f>
        <v>12</v>
      </c>
      <c r="E50" s="236">
        <v>4.8000000000000001E-2</v>
      </c>
      <c r="F50" s="347">
        <f>VLOOKUP(B50,[1]Dcu!$B$3:$E$511,4,0)</f>
        <v>80000</v>
      </c>
      <c r="G50" s="47">
        <f>F50/(D50*26)*E50</f>
        <v>12.307692307692308</v>
      </c>
    </row>
    <row r="51" spans="1:7" ht="16.5" customHeight="1" x14ac:dyDescent="0.3">
      <c r="A51" s="10">
        <v>2</v>
      </c>
      <c r="B51" s="12" t="s">
        <v>59</v>
      </c>
      <c r="C51" s="10" t="s">
        <v>28</v>
      </c>
      <c r="D51" s="348">
        <f>VLOOKUP(B51,[1]Dcu!$B$3:$D$511,3,0)</f>
        <v>36</v>
      </c>
      <c r="E51" s="10">
        <v>4.8000000000000001E-2</v>
      </c>
      <c r="F51" s="347">
        <f>VLOOKUP(B51,[1]Dcu!$B$3:$E$511,4,0)</f>
        <v>110000</v>
      </c>
      <c r="G51" s="47">
        <f t="shared" ref="G51:G61" si="2">F51/(D51*26)*E51</f>
        <v>5.6410256410256414</v>
      </c>
    </row>
    <row r="52" spans="1:7" ht="16.5" customHeight="1" x14ac:dyDescent="0.3">
      <c r="A52" s="10">
        <v>3</v>
      </c>
      <c r="B52" s="93" t="s">
        <v>425</v>
      </c>
      <c r="C52" s="10" t="s">
        <v>36</v>
      </c>
      <c r="D52" s="348">
        <f>VLOOKUP(B52,[1]Dcu!$B$3:$D$511,3,0)</f>
        <v>12</v>
      </c>
      <c r="E52" s="10">
        <v>9.6000000000000002E-2</v>
      </c>
      <c r="F52" s="347">
        <f>VLOOKUP(B52,[1]Dcu!$B$3:$E$511,4,0)</f>
        <v>50000</v>
      </c>
      <c r="G52" s="47">
        <f t="shared" si="2"/>
        <v>15.384615384615385</v>
      </c>
    </row>
    <row r="53" spans="1:7" ht="16.5" customHeight="1" x14ac:dyDescent="0.3">
      <c r="A53" s="10">
        <v>4</v>
      </c>
      <c r="B53" s="12" t="s">
        <v>620</v>
      </c>
      <c r="C53" s="10" t="s">
        <v>42</v>
      </c>
      <c r="D53" s="348">
        <f>VLOOKUP(B53,[1]Dcu!$B$3:$D$511,3,0)</f>
        <v>6</v>
      </c>
      <c r="E53" s="10">
        <v>9.6000000000000002E-2</v>
      </c>
      <c r="F53" s="347">
        <f>VLOOKUP(B53,[1]Dcu!$B$3:$E$511,4,0)</f>
        <v>25000</v>
      </c>
      <c r="G53" s="47">
        <f t="shared" si="2"/>
        <v>15.384615384615385</v>
      </c>
    </row>
    <row r="54" spans="1:7" ht="16.5" customHeight="1" x14ac:dyDescent="0.3">
      <c r="A54" s="10">
        <v>5</v>
      </c>
      <c r="B54" s="12" t="s">
        <v>413</v>
      </c>
      <c r="C54" s="10" t="s">
        <v>42</v>
      </c>
      <c r="D54" s="348">
        <f>VLOOKUP(B54,[1]Dcu!$B$3:$D$511,3,0)</f>
        <v>6</v>
      </c>
      <c r="E54" s="10">
        <v>9.6000000000000002E-2</v>
      </c>
      <c r="F54" s="347">
        <f>VLOOKUP(B54,[1]Dcu!$B$3:$E$511,4,0)</f>
        <v>7000</v>
      </c>
      <c r="G54" s="47">
        <f t="shared" si="2"/>
        <v>4.3076923076923075</v>
      </c>
    </row>
    <row r="55" spans="1:7" ht="16.5" customHeight="1" x14ac:dyDescent="0.3">
      <c r="A55" s="10">
        <v>6</v>
      </c>
      <c r="B55" s="12" t="s">
        <v>414</v>
      </c>
      <c r="C55" s="10" t="s">
        <v>28</v>
      </c>
      <c r="D55" s="348">
        <f>VLOOKUP(B55,[1]Dcu!$B$3:$D$511,3,0)</f>
        <v>12</v>
      </c>
      <c r="E55" s="10">
        <v>9.6000000000000002E-2</v>
      </c>
      <c r="F55" s="347">
        <f>VLOOKUP(B55,[1]Dcu!$B$3:$E$511,4,0)</f>
        <v>20000</v>
      </c>
      <c r="G55" s="47">
        <f t="shared" si="2"/>
        <v>6.1538461538461542</v>
      </c>
    </row>
    <row r="56" spans="1:7" ht="16.5" customHeight="1" x14ac:dyDescent="0.3">
      <c r="A56" s="10">
        <v>7</v>
      </c>
      <c r="B56" s="12" t="s">
        <v>415</v>
      </c>
      <c r="C56" s="10" t="s">
        <v>28</v>
      </c>
      <c r="D56" s="348">
        <f>VLOOKUP(B56,[1]Dcu!$B$3:$D$511,3,0)</f>
        <v>24</v>
      </c>
      <c r="E56" s="10">
        <v>4.8000000000000001E-2</v>
      </c>
      <c r="F56" s="347">
        <f>VLOOKUP(B56,[1]Dcu!$B$3:$E$511,4,0)</f>
        <v>110000</v>
      </c>
      <c r="G56" s="47">
        <f t="shared" si="2"/>
        <v>8.4615384615384617</v>
      </c>
    </row>
    <row r="57" spans="1:7" ht="16.5" customHeight="1" x14ac:dyDescent="0.3">
      <c r="A57" s="10">
        <v>8</v>
      </c>
      <c r="B57" s="158" t="s">
        <v>426</v>
      </c>
      <c r="C57" s="10" t="s">
        <v>416</v>
      </c>
      <c r="D57" s="348">
        <f>VLOOKUP(B57,[1]Dcu!$B$3:$D$511,3,0)</f>
        <v>3</v>
      </c>
      <c r="E57" s="10">
        <v>4.8000000000000001E-2</v>
      </c>
      <c r="F57" s="347">
        <f>VLOOKUP(B57,[1]Dcu!$B$3:$E$511,4,0)</f>
        <v>70000</v>
      </c>
      <c r="G57" s="47">
        <f t="shared" si="2"/>
        <v>43.07692307692308</v>
      </c>
    </row>
    <row r="58" spans="1:7" ht="16.5" customHeight="1" x14ac:dyDescent="0.3">
      <c r="A58" s="10">
        <v>9</v>
      </c>
      <c r="B58" s="93" t="s">
        <v>43</v>
      </c>
      <c r="C58" s="10" t="s">
        <v>76</v>
      </c>
      <c r="D58" s="348">
        <f>VLOOKUP(B58,[1]Dcu!$B$3:$D$511,3,0)</f>
        <v>0.3</v>
      </c>
      <c r="E58" s="10">
        <v>0.02</v>
      </c>
      <c r="F58" s="347">
        <f>VLOOKUP(B58,[1]Dcu!$B$3:$E$511,4,0)</f>
        <v>400000</v>
      </c>
      <c r="G58" s="47">
        <f t="shared" si="2"/>
        <v>1025.6410256410256</v>
      </c>
    </row>
    <row r="59" spans="1:7" ht="16.5" customHeight="1" x14ac:dyDescent="0.3">
      <c r="A59" s="10">
        <v>10</v>
      </c>
      <c r="B59" s="12" t="s">
        <v>621</v>
      </c>
      <c r="C59" s="10" t="s">
        <v>76</v>
      </c>
      <c r="D59" s="348">
        <f>VLOOKUP(B59,[1]Dcu!$B$3:$D$511,3,0)</f>
        <v>0.3</v>
      </c>
      <c r="E59" s="10">
        <v>0.02</v>
      </c>
      <c r="F59" s="347">
        <f>VLOOKUP(B59,[1]Dcu!$B$3:$E$511,4,0)</f>
        <v>200000</v>
      </c>
      <c r="G59" s="47">
        <f t="shared" si="2"/>
        <v>512.82051282051282</v>
      </c>
    </row>
    <row r="60" spans="1:7" ht="16.5" customHeight="1" x14ac:dyDescent="0.3">
      <c r="A60" s="10">
        <v>11</v>
      </c>
      <c r="B60" s="12" t="s">
        <v>423</v>
      </c>
      <c r="C60" s="10" t="s">
        <v>28</v>
      </c>
      <c r="D60" s="348">
        <f>VLOOKUP(B60,[1]Dcu!$B$3:$D$511,3,0)</f>
        <v>6</v>
      </c>
      <c r="E60" s="10">
        <v>0.48</v>
      </c>
      <c r="F60" s="347">
        <f>VLOOKUP(B60,[1]Dcu!$B$3:$E$511,4,0)</f>
        <v>800000</v>
      </c>
      <c r="G60" s="47">
        <f t="shared" si="2"/>
        <v>2461.5384615384614</v>
      </c>
    </row>
    <row r="61" spans="1:7" ht="16.5" customHeight="1" x14ac:dyDescent="0.3">
      <c r="A61" s="10">
        <v>12</v>
      </c>
      <c r="B61" s="12" t="s">
        <v>418</v>
      </c>
      <c r="C61" s="10" t="s">
        <v>28</v>
      </c>
      <c r="D61" s="348">
        <f>VLOOKUP(B61,[1]Dcu!$B$3:$D$511,3,0)</f>
        <v>6</v>
      </c>
      <c r="E61" s="10">
        <v>4.8000000000000001E-2</v>
      </c>
      <c r="F61" s="347">
        <f>VLOOKUP(B61,[1]Dcu!$B$3:$E$511,4,0)</f>
        <v>1000000</v>
      </c>
      <c r="G61" s="47">
        <f t="shared" si="2"/>
        <v>307.69230769230768</v>
      </c>
    </row>
    <row r="62" spans="1:7" ht="16.5" customHeight="1" x14ac:dyDescent="0.3">
      <c r="A62" s="156" t="s">
        <v>428</v>
      </c>
      <c r="B62" s="157" t="s">
        <v>503</v>
      </c>
      <c r="C62" s="10"/>
      <c r="D62" s="10"/>
      <c r="E62" s="10"/>
      <c r="F62" s="46"/>
      <c r="G62" s="160">
        <f>SUM(G63:G75)*1.05</f>
        <v>4655.4846153846156</v>
      </c>
    </row>
    <row r="63" spans="1:7" ht="16.5" customHeight="1" x14ac:dyDescent="0.3">
      <c r="A63" s="10">
        <v>1</v>
      </c>
      <c r="B63" s="12" t="s">
        <v>27</v>
      </c>
      <c r="C63" s="10" t="s">
        <v>28</v>
      </c>
      <c r="D63" s="348">
        <f>VLOOKUP(B63,[1]Dcu!$B$3:$D$511,3,0)</f>
        <v>12</v>
      </c>
      <c r="E63" s="10">
        <v>4.8000000000000001E-2</v>
      </c>
      <c r="F63" s="347">
        <f>VLOOKUP(B63,[1]Dcu!$B$3:$E$511,4,0)</f>
        <v>100000</v>
      </c>
      <c r="G63" s="47">
        <f t="shared" si="0"/>
        <v>15.384615384615385</v>
      </c>
    </row>
    <row r="64" spans="1:7" ht="16.5" customHeight="1" x14ac:dyDescent="0.3">
      <c r="A64" s="10">
        <v>2</v>
      </c>
      <c r="B64" s="170" t="s">
        <v>435</v>
      </c>
      <c r="C64" s="10" t="s">
        <v>28</v>
      </c>
      <c r="D64" s="348">
        <f>VLOOKUP(B64,[1]Dcu!$B$3:$D$511,3,0)</f>
        <v>12</v>
      </c>
      <c r="E64" s="10">
        <v>4.8000000000000001E-2</v>
      </c>
      <c r="F64" s="347">
        <f>VLOOKUP(B64,[1]Dcu!$B$3:$E$511,4,0)</f>
        <v>80000</v>
      </c>
      <c r="G64" s="47">
        <f t="shared" ref="G64" si="3">F64/(D64*26)*E64</f>
        <v>12.307692307692308</v>
      </c>
    </row>
    <row r="65" spans="1:7" ht="16.5" customHeight="1" x14ac:dyDescent="0.3">
      <c r="A65" s="10">
        <v>3</v>
      </c>
      <c r="B65" s="12" t="s">
        <v>59</v>
      </c>
      <c r="C65" s="10" t="s">
        <v>28</v>
      </c>
      <c r="D65" s="348">
        <f>VLOOKUP(B65,[1]Dcu!$B$3:$D$511,3,0)</f>
        <v>36</v>
      </c>
      <c r="E65" s="10">
        <v>4.8000000000000001E-2</v>
      </c>
      <c r="F65" s="347">
        <f>VLOOKUP(B65,[1]Dcu!$B$3:$E$511,4,0)</f>
        <v>110000</v>
      </c>
      <c r="G65" s="47">
        <f t="shared" si="0"/>
        <v>5.6410256410256414</v>
      </c>
    </row>
    <row r="66" spans="1:7" ht="16.5" customHeight="1" x14ac:dyDescent="0.3">
      <c r="A66" s="10">
        <v>4</v>
      </c>
      <c r="B66" s="93" t="s">
        <v>425</v>
      </c>
      <c r="C66" s="10" t="s">
        <v>36</v>
      </c>
      <c r="D66" s="348">
        <f>VLOOKUP(B66,[1]Dcu!$B$3:$D$511,3,0)</f>
        <v>12</v>
      </c>
      <c r="E66" s="10">
        <v>9.6000000000000002E-2</v>
      </c>
      <c r="F66" s="347">
        <f>VLOOKUP(B66,[1]Dcu!$B$3:$E$511,4,0)</f>
        <v>50000</v>
      </c>
      <c r="G66" s="47">
        <f t="shared" si="0"/>
        <v>15.384615384615385</v>
      </c>
    </row>
    <row r="67" spans="1:7" ht="16.5" customHeight="1" x14ac:dyDescent="0.3">
      <c r="A67" s="10">
        <v>5</v>
      </c>
      <c r="B67" s="12" t="s">
        <v>620</v>
      </c>
      <c r="C67" s="10" t="s">
        <v>42</v>
      </c>
      <c r="D67" s="348">
        <f>VLOOKUP(B67,[1]Dcu!$B$3:$D$511,3,0)</f>
        <v>6</v>
      </c>
      <c r="E67" s="10">
        <v>9.6000000000000002E-2</v>
      </c>
      <c r="F67" s="347">
        <f>VLOOKUP(B67,[1]Dcu!$B$3:$E$511,4,0)</f>
        <v>25000</v>
      </c>
      <c r="G67" s="47">
        <f t="shared" si="0"/>
        <v>15.384615384615385</v>
      </c>
    </row>
    <row r="68" spans="1:7" ht="16.5" customHeight="1" x14ac:dyDescent="0.3">
      <c r="A68" s="10">
        <v>6</v>
      </c>
      <c r="B68" s="12" t="s">
        <v>413</v>
      </c>
      <c r="C68" s="10" t="s">
        <v>42</v>
      </c>
      <c r="D68" s="348">
        <f>VLOOKUP(B68,[1]Dcu!$B$3:$D$511,3,0)</f>
        <v>6</v>
      </c>
      <c r="E68" s="10">
        <v>9.6000000000000002E-2</v>
      </c>
      <c r="F68" s="347">
        <f>VLOOKUP(B68,[1]Dcu!$B$3:$E$511,4,0)</f>
        <v>7000</v>
      </c>
      <c r="G68" s="47">
        <f t="shared" si="0"/>
        <v>4.3076923076923075</v>
      </c>
    </row>
    <row r="69" spans="1:7" ht="16.5" customHeight="1" x14ac:dyDescent="0.3">
      <c r="A69" s="10">
        <v>7</v>
      </c>
      <c r="B69" s="12" t="s">
        <v>414</v>
      </c>
      <c r="C69" s="10" t="s">
        <v>28</v>
      </c>
      <c r="D69" s="348">
        <f>VLOOKUP(B69,[1]Dcu!$B$3:$D$511,3,0)</f>
        <v>12</v>
      </c>
      <c r="E69" s="10">
        <v>9.6000000000000002E-2</v>
      </c>
      <c r="F69" s="347">
        <f>VLOOKUP(B69,[1]Dcu!$B$3:$E$511,4,0)</f>
        <v>20000</v>
      </c>
      <c r="G69" s="47">
        <f t="shared" si="0"/>
        <v>6.1538461538461542</v>
      </c>
    </row>
    <row r="70" spans="1:7" ht="16.5" customHeight="1" x14ac:dyDescent="0.3">
      <c r="A70" s="10">
        <v>8</v>
      </c>
      <c r="B70" s="12" t="s">
        <v>415</v>
      </c>
      <c r="C70" s="10" t="s">
        <v>28</v>
      </c>
      <c r="D70" s="348">
        <f>VLOOKUP(B70,[1]Dcu!$B$3:$D$511,3,0)</f>
        <v>24</v>
      </c>
      <c r="E70" s="10">
        <v>4.8000000000000001E-2</v>
      </c>
      <c r="F70" s="347">
        <f>VLOOKUP(B70,[1]Dcu!$B$3:$E$511,4,0)</f>
        <v>110000</v>
      </c>
      <c r="G70" s="47">
        <f t="shared" si="0"/>
        <v>8.4615384615384617</v>
      </c>
    </row>
    <row r="71" spans="1:7" ht="16.5" customHeight="1" x14ac:dyDescent="0.3">
      <c r="A71" s="10">
        <v>9</v>
      </c>
      <c r="B71" s="158" t="s">
        <v>426</v>
      </c>
      <c r="C71" s="10" t="s">
        <v>416</v>
      </c>
      <c r="D71" s="348">
        <f>VLOOKUP(B71,[1]Dcu!$B$3:$D$511,3,0)</f>
        <v>3</v>
      </c>
      <c r="E71" s="10">
        <v>4.8000000000000001E-2</v>
      </c>
      <c r="F71" s="347">
        <f>VLOOKUP(B71,[1]Dcu!$B$3:$E$511,4,0)</f>
        <v>70000</v>
      </c>
      <c r="G71" s="47">
        <f t="shared" si="0"/>
        <v>43.07692307692308</v>
      </c>
    </row>
    <row r="72" spans="1:7" ht="16.5" customHeight="1" x14ac:dyDescent="0.3">
      <c r="A72" s="10">
        <v>10</v>
      </c>
      <c r="B72" s="93" t="s">
        <v>43</v>
      </c>
      <c r="C72" s="10" t="s">
        <v>76</v>
      </c>
      <c r="D72" s="348">
        <f>VLOOKUP(B72,[1]Dcu!$B$3:$D$511,3,0)</f>
        <v>0.3</v>
      </c>
      <c r="E72" s="10">
        <v>0.02</v>
      </c>
      <c r="F72" s="347">
        <f>VLOOKUP(B72,[1]Dcu!$B$3:$E$511,4,0)</f>
        <v>400000</v>
      </c>
      <c r="G72" s="47">
        <f t="shared" si="0"/>
        <v>1025.6410256410256</v>
      </c>
    </row>
    <row r="73" spans="1:7" ht="16.5" customHeight="1" x14ac:dyDescent="0.3">
      <c r="A73" s="10">
        <v>11</v>
      </c>
      <c r="B73" s="12" t="s">
        <v>621</v>
      </c>
      <c r="C73" s="10" t="s">
        <v>76</v>
      </c>
      <c r="D73" s="348">
        <f>VLOOKUP(B73,[1]Dcu!$B$3:$D$511,3,0)</f>
        <v>0.3</v>
      </c>
      <c r="E73" s="10">
        <v>0.02</v>
      </c>
      <c r="F73" s="347">
        <f>VLOOKUP(B73,[1]Dcu!$B$3:$E$511,4,0)</f>
        <v>200000</v>
      </c>
      <c r="G73" s="47">
        <f t="shared" si="0"/>
        <v>512.82051282051282</v>
      </c>
    </row>
    <row r="74" spans="1:7" ht="16.5" customHeight="1" x14ac:dyDescent="0.3">
      <c r="A74" s="10">
        <v>12</v>
      </c>
      <c r="B74" s="12" t="s">
        <v>423</v>
      </c>
      <c r="C74" s="10" t="s">
        <v>28</v>
      </c>
      <c r="D74" s="348">
        <f>VLOOKUP(B74,[1]Dcu!$B$3:$D$511,3,0)</f>
        <v>6</v>
      </c>
      <c r="E74" s="10">
        <v>0.48</v>
      </c>
      <c r="F74" s="347">
        <f>VLOOKUP(B74,[1]Dcu!$B$3:$E$511,4,0)</f>
        <v>800000</v>
      </c>
      <c r="G74" s="47">
        <f t="shared" si="0"/>
        <v>2461.5384615384614</v>
      </c>
    </row>
    <row r="75" spans="1:7" ht="16.5" customHeight="1" x14ac:dyDescent="0.3">
      <c r="A75" s="10">
        <v>13</v>
      </c>
      <c r="B75" s="12" t="s">
        <v>418</v>
      </c>
      <c r="C75" s="10" t="s">
        <v>28</v>
      </c>
      <c r="D75" s="348">
        <f>VLOOKUP(B75,[1]Dcu!$B$3:$D$511,3,0)</f>
        <v>6</v>
      </c>
      <c r="E75" s="10">
        <v>4.8000000000000001E-2</v>
      </c>
      <c r="F75" s="347">
        <f>VLOOKUP(B75,[1]Dcu!$B$3:$E$511,4,0)</f>
        <v>1000000</v>
      </c>
      <c r="G75" s="47">
        <f t="shared" si="0"/>
        <v>307.69230769230768</v>
      </c>
    </row>
    <row r="76" spans="1:7" ht="16.5" customHeight="1" x14ac:dyDescent="0.3">
      <c r="A76" s="309" t="s">
        <v>380</v>
      </c>
      <c r="B76" s="469" t="s">
        <v>625</v>
      </c>
      <c r="C76" s="469"/>
      <c r="D76" s="469"/>
      <c r="E76" s="469"/>
      <c r="F76" s="469"/>
      <c r="G76" s="160">
        <f>SUM(G77:G90)*1.05</f>
        <v>4913.9461538461537</v>
      </c>
    </row>
    <row r="77" spans="1:7" ht="16.5" customHeight="1" x14ac:dyDescent="0.3">
      <c r="A77" s="10">
        <v>1</v>
      </c>
      <c r="B77" s="12" t="s">
        <v>27</v>
      </c>
      <c r="C77" s="10" t="s">
        <v>28</v>
      </c>
      <c r="D77" s="348">
        <f>VLOOKUP(B77,[1]Dcu!$B$3:$D$511,3,0)</f>
        <v>12</v>
      </c>
      <c r="E77" s="10">
        <v>4.8000000000000001E-2</v>
      </c>
      <c r="F77" s="347">
        <f>VLOOKUP(B77,[1]Dcu!$B$3:$E$511,4,0)</f>
        <v>100000</v>
      </c>
      <c r="G77" s="47">
        <f t="shared" ref="G77:G90" si="4">F77/(D77*26)*E77</f>
        <v>15.384615384615385</v>
      </c>
    </row>
    <row r="78" spans="1:7" ht="16.5" customHeight="1" x14ac:dyDescent="0.3">
      <c r="A78" s="10">
        <v>2</v>
      </c>
      <c r="B78" s="175" t="s">
        <v>423</v>
      </c>
      <c r="C78" s="10" t="s">
        <v>28</v>
      </c>
      <c r="D78" s="348">
        <f>VLOOKUP(B78,[1]Dcu!$B$3:$D$511,3,0)</f>
        <v>6</v>
      </c>
      <c r="E78" s="10">
        <v>4.8000000000000001E-2</v>
      </c>
      <c r="F78" s="347">
        <f>VLOOKUP(B78,[1]Dcu!$B$3:$E$511,4,0)</f>
        <v>800000</v>
      </c>
      <c r="G78" s="47">
        <f t="shared" ref="G78:G79" si="5">F78/(D78*26)*E78</f>
        <v>246.15384615384616</v>
      </c>
    </row>
    <row r="79" spans="1:7" ht="16.5" customHeight="1" x14ac:dyDescent="0.3">
      <c r="A79" s="10">
        <v>3</v>
      </c>
      <c r="B79" s="170" t="s">
        <v>435</v>
      </c>
      <c r="C79" s="10" t="s">
        <v>28</v>
      </c>
      <c r="D79" s="348">
        <f>VLOOKUP(B79,[1]Dcu!$B$3:$D$511,3,0)</f>
        <v>12</v>
      </c>
      <c r="E79" s="10">
        <v>4.8000000000000001E-2</v>
      </c>
      <c r="F79" s="347">
        <f>VLOOKUP(B79,[1]Dcu!$B$3:$E$511,4,0)</f>
        <v>80000</v>
      </c>
      <c r="G79" s="47">
        <f t="shared" si="5"/>
        <v>12.307692307692308</v>
      </c>
    </row>
    <row r="80" spans="1:7" ht="16.5" customHeight="1" x14ac:dyDescent="0.3">
      <c r="A80" s="10">
        <v>4</v>
      </c>
      <c r="B80" s="12" t="s">
        <v>59</v>
      </c>
      <c r="C80" s="10" t="s">
        <v>28</v>
      </c>
      <c r="D80" s="348">
        <f>VLOOKUP(B80,[1]Dcu!$B$3:$D$511,3,0)</f>
        <v>36</v>
      </c>
      <c r="E80" s="10">
        <v>4.8000000000000001E-2</v>
      </c>
      <c r="F80" s="347">
        <f>VLOOKUP(B80,[1]Dcu!$B$3:$E$511,4,0)</f>
        <v>110000</v>
      </c>
      <c r="G80" s="47">
        <f t="shared" si="4"/>
        <v>5.6410256410256414</v>
      </c>
    </row>
    <row r="81" spans="1:7" ht="16.5" customHeight="1" x14ac:dyDescent="0.3">
      <c r="A81" s="10">
        <v>5</v>
      </c>
      <c r="B81" s="93" t="s">
        <v>425</v>
      </c>
      <c r="C81" s="10" t="s">
        <v>36</v>
      </c>
      <c r="D81" s="348">
        <f>VLOOKUP(B81,[1]Dcu!$B$3:$D$511,3,0)</f>
        <v>12</v>
      </c>
      <c r="E81" s="10">
        <v>9.6000000000000002E-2</v>
      </c>
      <c r="F81" s="347">
        <f>VLOOKUP(B81,[1]Dcu!$B$3:$E$511,4,0)</f>
        <v>50000</v>
      </c>
      <c r="G81" s="47">
        <f t="shared" si="4"/>
        <v>15.384615384615385</v>
      </c>
    </row>
    <row r="82" spans="1:7" ht="16.5" customHeight="1" x14ac:dyDescent="0.3">
      <c r="A82" s="10">
        <v>6</v>
      </c>
      <c r="B82" s="12" t="s">
        <v>620</v>
      </c>
      <c r="C82" s="10" t="s">
        <v>42</v>
      </c>
      <c r="D82" s="348">
        <f>VLOOKUP(B82,[1]Dcu!$B$3:$D$511,3,0)</f>
        <v>6</v>
      </c>
      <c r="E82" s="10">
        <v>9.6000000000000002E-2</v>
      </c>
      <c r="F82" s="347">
        <f>VLOOKUP(B82,[1]Dcu!$B$3:$E$511,4,0)</f>
        <v>25000</v>
      </c>
      <c r="G82" s="47">
        <f t="shared" si="4"/>
        <v>15.384615384615385</v>
      </c>
    </row>
    <row r="83" spans="1:7" ht="16.5" customHeight="1" x14ac:dyDescent="0.3">
      <c r="A83" s="10">
        <v>7</v>
      </c>
      <c r="B83" s="12" t="s">
        <v>413</v>
      </c>
      <c r="C83" s="10" t="s">
        <v>42</v>
      </c>
      <c r="D83" s="348">
        <f>VLOOKUP(B83,[1]Dcu!$B$3:$D$511,3,0)</f>
        <v>6</v>
      </c>
      <c r="E83" s="10">
        <v>9.6000000000000002E-2</v>
      </c>
      <c r="F83" s="347">
        <f>VLOOKUP(B83,[1]Dcu!$B$3:$E$511,4,0)</f>
        <v>7000</v>
      </c>
      <c r="G83" s="47">
        <f t="shared" si="4"/>
        <v>4.3076923076923075</v>
      </c>
    </row>
    <row r="84" spans="1:7" ht="16.5" customHeight="1" x14ac:dyDescent="0.3">
      <c r="A84" s="10">
        <v>8</v>
      </c>
      <c r="B84" s="12" t="s">
        <v>414</v>
      </c>
      <c r="C84" s="10" t="s">
        <v>28</v>
      </c>
      <c r="D84" s="348">
        <f>VLOOKUP(B84,[1]Dcu!$B$3:$D$511,3,0)</f>
        <v>12</v>
      </c>
      <c r="E84" s="10">
        <v>9.6000000000000002E-2</v>
      </c>
      <c r="F84" s="347">
        <f>VLOOKUP(B84,[1]Dcu!$B$3:$E$511,4,0)</f>
        <v>20000</v>
      </c>
      <c r="G84" s="47">
        <f t="shared" si="4"/>
        <v>6.1538461538461542</v>
      </c>
    </row>
    <row r="85" spans="1:7" ht="16.5" customHeight="1" x14ac:dyDescent="0.3">
      <c r="A85" s="10">
        <v>9</v>
      </c>
      <c r="B85" s="12" t="s">
        <v>415</v>
      </c>
      <c r="C85" s="10" t="s">
        <v>28</v>
      </c>
      <c r="D85" s="348">
        <f>VLOOKUP(B85,[1]Dcu!$B$3:$D$511,3,0)</f>
        <v>24</v>
      </c>
      <c r="E85" s="10">
        <v>4.8000000000000001E-2</v>
      </c>
      <c r="F85" s="347">
        <f>VLOOKUP(B85,[1]Dcu!$B$3:$E$511,4,0)</f>
        <v>110000</v>
      </c>
      <c r="G85" s="47">
        <f t="shared" si="4"/>
        <v>8.4615384615384617</v>
      </c>
    </row>
    <row r="86" spans="1:7" ht="16.5" customHeight="1" x14ac:dyDescent="0.3">
      <c r="A86" s="10">
        <v>10</v>
      </c>
      <c r="B86" s="158" t="s">
        <v>426</v>
      </c>
      <c r="C86" s="10" t="s">
        <v>416</v>
      </c>
      <c r="D86" s="348">
        <f>VLOOKUP(B86,[1]Dcu!$B$3:$D$511,3,0)</f>
        <v>3</v>
      </c>
      <c r="E86" s="10">
        <v>4.8000000000000001E-2</v>
      </c>
      <c r="F86" s="347">
        <f>VLOOKUP(B86,[1]Dcu!$B$3:$E$511,4,0)</f>
        <v>70000</v>
      </c>
      <c r="G86" s="47">
        <f t="shared" si="4"/>
        <v>43.07692307692308</v>
      </c>
    </row>
    <row r="87" spans="1:7" ht="16.5" customHeight="1" x14ac:dyDescent="0.3">
      <c r="A87" s="10">
        <v>11</v>
      </c>
      <c r="B87" s="93" t="s">
        <v>43</v>
      </c>
      <c r="C87" s="10" t="s">
        <v>76</v>
      </c>
      <c r="D87" s="348">
        <f>VLOOKUP(B87,[1]Dcu!$B$3:$D$511,3,0)</f>
        <v>0.3</v>
      </c>
      <c r="E87" s="10">
        <v>0.02</v>
      </c>
      <c r="F87" s="347">
        <f>VLOOKUP(B87,[1]Dcu!$B$3:$E$511,4,0)</f>
        <v>400000</v>
      </c>
      <c r="G87" s="47">
        <f t="shared" si="4"/>
        <v>1025.6410256410256</v>
      </c>
    </row>
    <row r="88" spans="1:7" ht="16.5" customHeight="1" x14ac:dyDescent="0.3">
      <c r="A88" s="10">
        <v>12</v>
      </c>
      <c r="B88" s="12" t="s">
        <v>621</v>
      </c>
      <c r="C88" s="10" t="s">
        <v>76</v>
      </c>
      <c r="D88" s="348">
        <f>VLOOKUP(B88,[1]Dcu!$B$3:$D$511,3,0)</f>
        <v>0.3</v>
      </c>
      <c r="E88" s="10">
        <v>0.02</v>
      </c>
      <c r="F88" s="347">
        <f>VLOOKUP(B88,[1]Dcu!$B$3:$E$511,4,0)</f>
        <v>200000</v>
      </c>
      <c r="G88" s="47">
        <f t="shared" si="4"/>
        <v>512.82051282051282</v>
      </c>
    </row>
    <row r="89" spans="1:7" ht="16.5" customHeight="1" x14ac:dyDescent="0.3">
      <c r="A89" s="10">
        <v>13</v>
      </c>
      <c r="B89" s="12" t="s">
        <v>423</v>
      </c>
      <c r="C89" s="10" t="s">
        <v>28</v>
      </c>
      <c r="D89" s="348">
        <f>VLOOKUP(B89,[1]Dcu!$B$3:$D$511,3,0)</f>
        <v>6</v>
      </c>
      <c r="E89" s="10">
        <v>0.48</v>
      </c>
      <c r="F89" s="347">
        <f>VLOOKUP(B89,[1]Dcu!$B$3:$E$511,4,0)</f>
        <v>800000</v>
      </c>
      <c r="G89" s="47">
        <f t="shared" si="4"/>
        <v>2461.5384615384614</v>
      </c>
    </row>
    <row r="90" spans="1:7" ht="16.5" customHeight="1" x14ac:dyDescent="0.3">
      <c r="A90" s="10">
        <v>14</v>
      </c>
      <c r="B90" s="12" t="s">
        <v>418</v>
      </c>
      <c r="C90" s="10" t="s">
        <v>28</v>
      </c>
      <c r="D90" s="348">
        <f>VLOOKUP(B90,[1]Dcu!$B$3:$D$511,3,0)</f>
        <v>6</v>
      </c>
      <c r="E90" s="10">
        <v>4.8000000000000001E-2</v>
      </c>
      <c r="F90" s="347">
        <f>VLOOKUP(B90,[1]Dcu!$B$3:$E$511,4,0)</f>
        <v>1000000</v>
      </c>
      <c r="G90" s="47">
        <f t="shared" si="4"/>
        <v>307.69230769230768</v>
      </c>
    </row>
    <row r="91" spans="1:7" ht="16.5" customHeight="1" x14ac:dyDescent="0.3">
      <c r="A91" s="156" t="s">
        <v>387</v>
      </c>
      <c r="B91" s="470" t="s">
        <v>584</v>
      </c>
      <c r="C91" s="470"/>
      <c r="D91" s="470"/>
      <c r="E91" s="470"/>
      <c r="F91" s="470"/>
      <c r="G91" s="160">
        <f>SUM(G92:G104)*1.05</f>
        <v>4707.1769230769232</v>
      </c>
    </row>
    <row r="92" spans="1:7" ht="16.5" customHeight="1" x14ac:dyDescent="0.3">
      <c r="A92" s="10">
        <v>1</v>
      </c>
      <c r="B92" s="12" t="s">
        <v>27</v>
      </c>
      <c r="C92" s="10" t="s">
        <v>28</v>
      </c>
      <c r="D92" s="348">
        <f>VLOOKUP(B92,[1]Dcu!$B$3:$D$511,3,0)</f>
        <v>12</v>
      </c>
      <c r="E92" s="10">
        <v>4.8000000000000001E-2</v>
      </c>
      <c r="F92" s="347">
        <f>VLOOKUP(B92,[1]Dcu!$B$3:$E$511,4,0)</f>
        <v>100000</v>
      </c>
      <c r="G92" s="47">
        <f t="shared" ref="G92:G104" si="6">F92/(D92*26)*E92</f>
        <v>15.384615384615385</v>
      </c>
    </row>
    <row r="93" spans="1:7" ht="16.5" customHeight="1" x14ac:dyDescent="0.3">
      <c r="A93" s="10">
        <v>2</v>
      </c>
      <c r="B93" s="12" t="s">
        <v>424</v>
      </c>
      <c r="C93" s="10" t="s">
        <v>28</v>
      </c>
      <c r="D93" s="348">
        <f>VLOOKUP(B93,[1]Dcu!$B$3:$D$511,3,0)</f>
        <v>12</v>
      </c>
      <c r="E93" s="10">
        <v>9.6000000000000002E-2</v>
      </c>
      <c r="F93" s="347">
        <f>VLOOKUP(B93,[1]Dcu!$B$3:$E$511,4,0)</f>
        <v>200000</v>
      </c>
      <c r="G93" s="47">
        <f t="shared" si="6"/>
        <v>61.53846153846154</v>
      </c>
    </row>
    <row r="94" spans="1:7" ht="16.5" customHeight="1" x14ac:dyDescent="0.3">
      <c r="A94" s="10">
        <v>3</v>
      </c>
      <c r="B94" s="12" t="s">
        <v>59</v>
      </c>
      <c r="C94" s="10" t="s">
        <v>28</v>
      </c>
      <c r="D94" s="348">
        <f>VLOOKUP(B94,[1]Dcu!$B$3:$D$511,3,0)</f>
        <v>36</v>
      </c>
      <c r="E94" s="10">
        <v>4.8000000000000001E-2</v>
      </c>
      <c r="F94" s="347">
        <f>VLOOKUP(B94,[1]Dcu!$B$3:$E$511,4,0)</f>
        <v>110000</v>
      </c>
      <c r="G94" s="47">
        <f t="shared" si="6"/>
        <v>5.6410256410256414</v>
      </c>
    </row>
    <row r="95" spans="1:7" ht="16.5" customHeight="1" x14ac:dyDescent="0.3">
      <c r="A95" s="10">
        <v>4</v>
      </c>
      <c r="B95" s="93" t="s">
        <v>425</v>
      </c>
      <c r="C95" s="10" t="s">
        <v>36</v>
      </c>
      <c r="D95" s="348">
        <f>VLOOKUP(B95,[1]Dcu!$B$3:$D$511,3,0)</f>
        <v>12</v>
      </c>
      <c r="E95" s="10">
        <v>9.6000000000000002E-2</v>
      </c>
      <c r="F95" s="347">
        <f>VLOOKUP(B95,[1]Dcu!$B$3:$E$511,4,0)</f>
        <v>50000</v>
      </c>
      <c r="G95" s="47">
        <f t="shared" si="6"/>
        <v>15.384615384615385</v>
      </c>
    </row>
    <row r="96" spans="1:7" ht="16.5" customHeight="1" x14ac:dyDescent="0.3">
      <c r="A96" s="10">
        <v>5</v>
      </c>
      <c r="B96" s="12" t="s">
        <v>620</v>
      </c>
      <c r="C96" s="10" t="s">
        <v>42</v>
      </c>
      <c r="D96" s="348">
        <f>VLOOKUP(B96,[1]Dcu!$B$3:$D$511,3,0)</f>
        <v>6</v>
      </c>
      <c r="E96" s="10">
        <v>9.6000000000000002E-2</v>
      </c>
      <c r="F96" s="347">
        <f>VLOOKUP(B96,[1]Dcu!$B$3:$E$511,4,0)</f>
        <v>25000</v>
      </c>
      <c r="G96" s="47">
        <f t="shared" si="6"/>
        <v>15.384615384615385</v>
      </c>
    </row>
    <row r="97" spans="1:7" ht="16.5" customHeight="1" x14ac:dyDescent="0.3">
      <c r="A97" s="10">
        <v>6</v>
      </c>
      <c r="B97" s="12" t="s">
        <v>413</v>
      </c>
      <c r="C97" s="10" t="s">
        <v>42</v>
      </c>
      <c r="D97" s="348">
        <f>VLOOKUP(B97,[1]Dcu!$B$3:$D$511,3,0)</f>
        <v>6</v>
      </c>
      <c r="E97" s="10">
        <v>9.6000000000000002E-2</v>
      </c>
      <c r="F97" s="347">
        <f>VLOOKUP(B97,[1]Dcu!$B$3:$E$511,4,0)</f>
        <v>7000</v>
      </c>
      <c r="G97" s="47">
        <f t="shared" si="6"/>
        <v>4.3076923076923075</v>
      </c>
    </row>
    <row r="98" spans="1:7" ht="16.5" customHeight="1" x14ac:dyDescent="0.3">
      <c r="A98" s="10">
        <v>7</v>
      </c>
      <c r="B98" s="12" t="s">
        <v>414</v>
      </c>
      <c r="C98" s="10" t="s">
        <v>28</v>
      </c>
      <c r="D98" s="348">
        <f>VLOOKUP(B98,[1]Dcu!$B$3:$D$511,3,0)</f>
        <v>12</v>
      </c>
      <c r="E98" s="10">
        <v>9.6000000000000002E-2</v>
      </c>
      <c r="F98" s="347">
        <f>VLOOKUP(B98,[1]Dcu!$B$3:$E$511,4,0)</f>
        <v>20000</v>
      </c>
      <c r="G98" s="47">
        <f t="shared" si="6"/>
        <v>6.1538461538461542</v>
      </c>
    </row>
    <row r="99" spans="1:7" ht="16.5" customHeight="1" x14ac:dyDescent="0.3">
      <c r="A99" s="10">
        <v>8</v>
      </c>
      <c r="B99" s="12" t="s">
        <v>415</v>
      </c>
      <c r="C99" s="10" t="s">
        <v>28</v>
      </c>
      <c r="D99" s="348">
        <f>VLOOKUP(B99,[1]Dcu!$B$3:$D$511,3,0)</f>
        <v>24</v>
      </c>
      <c r="E99" s="10">
        <v>4.8000000000000001E-2</v>
      </c>
      <c r="F99" s="347">
        <f>VLOOKUP(B99,[1]Dcu!$B$3:$E$511,4,0)</f>
        <v>110000</v>
      </c>
      <c r="G99" s="47">
        <f t="shared" si="6"/>
        <v>8.4615384615384617</v>
      </c>
    </row>
    <row r="100" spans="1:7" ht="16.5" customHeight="1" x14ac:dyDescent="0.3">
      <c r="A100" s="10">
        <v>9</v>
      </c>
      <c r="B100" s="158" t="s">
        <v>426</v>
      </c>
      <c r="C100" s="10" t="s">
        <v>416</v>
      </c>
      <c r="D100" s="348">
        <f>VLOOKUP(B100,[1]Dcu!$B$3:$D$511,3,0)</f>
        <v>3</v>
      </c>
      <c r="E100" s="10">
        <v>4.8000000000000001E-2</v>
      </c>
      <c r="F100" s="347">
        <f>VLOOKUP(B100,[1]Dcu!$B$3:$E$511,4,0)</f>
        <v>70000</v>
      </c>
      <c r="G100" s="47">
        <f t="shared" si="6"/>
        <v>43.07692307692308</v>
      </c>
    </row>
    <row r="101" spans="1:7" ht="16.5" customHeight="1" x14ac:dyDescent="0.3">
      <c r="A101" s="10">
        <v>10</v>
      </c>
      <c r="B101" s="93" t="s">
        <v>43</v>
      </c>
      <c r="C101" s="10" t="s">
        <v>76</v>
      </c>
      <c r="D101" s="348">
        <f>VLOOKUP(B101,[1]Dcu!$B$3:$D$511,3,0)</f>
        <v>0.3</v>
      </c>
      <c r="E101" s="10">
        <v>0.02</v>
      </c>
      <c r="F101" s="347">
        <f>VLOOKUP(B101,[1]Dcu!$B$3:$E$511,4,0)</f>
        <v>400000</v>
      </c>
      <c r="G101" s="47">
        <f t="shared" si="6"/>
        <v>1025.6410256410256</v>
      </c>
    </row>
    <row r="102" spans="1:7" ht="16.5" customHeight="1" x14ac:dyDescent="0.3">
      <c r="A102" s="10">
        <v>11</v>
      </c>
      <c r="B102" s="12" t="s">
        <v>621</v>
      </c>
      <c r="C102" s="10" t="s">
        <v>76</v>
      </c>
      <c r="D102" s="348">
        <f>VLOOKUP(B102,[1]Dcu!$B$3:$D$511,3,0)</f>
        <v>0.3</v>
      </c>
      <c r="E102" s="10">
        <v>0.02</v>
      </c>
      <c r="F102" s="347">
        <f>VLOOKUP(B102,[1]Dcu!$B$3:$E$511,4,0)</f>
        <v>200000</v>
      </c>
      <c r="G102" s="47">
        <f t="shared" si="6"/>
        <v>512.82051282051282</v>
      </c>
    </row>
    <row r="103" spans="1:7" ht="16.5" customHeight="1" x14ac:dyDescent="0.3">
      <c r="A103" s="10">
        <v>12</v>
      </c>
      <c r="B103" s="12" t="s">
        <v>423</v>
      </c>
      <c r="C103" s="10" t="s">
        <v>28</v>
      </c>
      <c r="D103" s="348">
        <f>VLOOKUP(B103,[1]Dcu!$B$3:$D$511,3,0)</f>
        <v>6</v>
      </c>
      <c r="E103" s="10">
        <v>0.48</v>
      </c>
      <c r="F103" s="347">
        <f>VLOOKUP(B103,[1]Dcu!$B$3:$E$511,4,0)</f>
        <v>800000</v>
      </c>
      <c r="G103" s="47">
        <f t="shared" si="6"/>
        <v>2461.5384615384614</v>
      </c>
    </row>
    <row r="104" spans="1:7" ht="16.5" customHeight="1" x14ac:dyDescent="0.3">
      <c r="A104" s="10">
        <v>13</v>
      </c>
      <c r="B104" s="12" t="s">
        <v>418</v>
      </c>
      <c r="C104" s="10" t="s">
        <v>28</v>
      </c>
      <c r="D104" s="348">
        <f>VLOOKUP(B104,[1]Dcu!$B$3:$D$511,3,0)</f>
        <v>6</v>
      </c>
      <c r="E104" s="10">
        <v>4.8000000000000001E-2</v>
      </c>
      <c r="F104" s="347">
        <f>VLOOKUP(B104,[1]Dcu!$B$3:$E$511,4,0)</f>
        <v>1000000</v>
      </c>
      <c r="G104" s="47">
        <f t="shared" si="6"/>
        <v>307.69230769230768</v>
      </c>
    </row>
    <row r="105" spans="1:7" ht="16.5" customHeight="1" x14ac:dyDescent="0.3">
      <c r="A105" s="159" t="s">
        <v>388</v>
      </c>
      <c r="B105" s="323" t="s">
        <v>583</v>
      </c>
      <c r="C105" s="322"/>
      <c r="D105" s="488" t="s">
        <v>585</v>
      </c>
      <c r="E105" s="489"/>
      <c r="F105" s="490"/>
      <c r="G105" s="164">
        <f>G91</f>
        <v>4707.1769230769232</v>
      </c>
    </row>
    <row r="106" spans="1:7" ht="16.5" customHeight="1" x14ac:dyDescent="0.3">
      <c r="A106" s="156" t="s">
        <v>382</v>
      </c>
      <c r="B106" s="470" t="s">
        <v>479</v>
      </c>
      <c r="C106" s="470"/>
      <c r="D106" s="470"/>
      <c r="E106" s="470"/>
      <c r="F106" s="470"/>
      <c r="G106" s="160">
        <f>SUM(G107:G119)*1.05</f>
        <v>4924.7153846153842</v>
      </c>
    </row>
    <row r="107" spans="1:7" ht="16.5" customHeight="1" x14ac:dyDescent="0.3">
      <c r="A107" s="10">
        <v>1</v>
      </c>
      <c r="B107" s="12" t="s">
        <v>27</v>
      </c>
      <c r="C107" s="10" t="s">
        <v>28</v>
      </c>
      <c r="D107" s="348">
        <f>VLOOKUP(B107,[1]Dcu!$B$3:$D$511,3,0)</f>
        <v>12</v>
      </c>
      <c r="E107" s="10">
        <v>4.8000000000000001E-2</v>
      </c>
      <c r="F107" s="347">
        <f>VLOOKUP(B107,[1]Dcu!$B$3:$E$511,4,0)</f>
        <v>100000</v>
      </c>
      <c r="G107" s="47">
        <f t="shared" ref="G107:G119" si="7">F107/(D107*26)*E107</f>
        <v>15.384615384615385</v>
      </c>
    </row>
    <row r="108" spans="1:7" ht="16.5" customHeight="1" x14ac:dyDescent="0.3">
      <c r="A108" s="10">
        <v>2</v>
      </c>
      <c r="B108" s="170" t="s">
        <v>435</v>
      </c>
      <c r="C108" s="10" t="s">
        <v>28</v>
      </c>
      <c r="D108" s="348">
        <f>VLOOKUP(B108,[1]Dcu!$B$3:$D$511,3,0)</f>
        <v>12</v>
      </c>
      <c r="E108" s="10">
        <v>1.048</v>
      </c>
      <c r="F108" s="347">
        <f>VLOOKUP(B108,[1]Dcu!$B$3:$E$511,4,0)</f>
        <v>80000</v>
      </c>
      <c r="G108" s="47">
        <f t="shared" ref="G108" si="8">F108/(D108*26)*E108</f>
        <v>268.71794871794873</v>
      </c>
    </row>
    <row r="109" spans="1:7" ht="16.5" customHeight="1" x14ac:dyDescent="0.3">
      <c r="A109" s="10">
        <v>3</v>
      </c>
      <c r="B109" s="12" t="s">
        <v>59</v>
      </c>
      <c r="C109" s="10" t="s">
        <v>28</v>
      </c>
      <c r="D109" s="348">
        <f>VLOOKUP(B109,[1]Dcu!$B$3:$D$511,3,0)</f>
        <v>36</v>
      </c>
      <c r="E109" s="10">
        <v>4.8000000000000001E-2</v>
      </c>
      <c r="F109" s="347">
        <f>VLOOKUP(B109,[1]Dcu!$B$3:$E$511,4,0)</f>
        <v>110000</v>
      </c>
      <c r="G109" s="47">
        <f t="shared" si="7"/>
        <v>5.6410256410256414</v>
      </c>
    </row>
    <row r="110" spans="1:7" ht="16.5" customHeight="1" x14ac:dyDescent="0.3">
      <c r="A110" s="10">
        <v>4</v>
      </c>
      <c r="B110" s="93" t="s">
        <v>425</v>
      </c>
      <c r="C110" s="10" t="s">
        <v>36</v>
      </c>
      <c r="D110" s="348">
        <f>VLOOKUP(B110,[1]Dcu!$B$3:$D$511,3,0)</f>
        <v>12</v>
      </c>
      <c r="E110" s="10">
        <v>9.6000000000000002E-2</v>
      </c>
      <c r="F110" s="347">
        <f>VLOOKUP(B110,[1]Dcu!$B$3:$E$511,4,0)</f>
        <v>50000</v>
      </c>
      <c r="G110" s="47">
        <f t="shared" si="7"/>
        <v>15.384615384615385</v>
      </c>
    </row>
    <row r="111" spans="1:7" ht="16.5" customHeight="1" x14ac:dyDescent="0.3">
      <c r="A111" s="10">
        <v>5</v>
      </c>
      <c r="B111" s="12" t="s">
        <v>620</v>
      </c>
      <c r="C111" s="10" t="s">
        <v>42</v>
      </c>
      <c r="D111" s="348">
        <f>VLOOKUP(B111,[1]Dcu!$B$3:$D$511,3,0)</f>
        <v>6</v>
      </c>
      <c r="E111" s="10">
        <v>9.6000000000000002E-2</v>
      </c>
      <c r="F111" s="347">
        <f>VLOOKUP(B111,[1]Dcu!$B$3:$E$511,4,0)</f>
        <v>25000</v>
      </c>
      <c r="G111" s="47">
        <f t="shared" si="7"/>
        <v>15.384615384615385</v>
      </c>
    </row>
    <row r="112" spans="1:7" ht="16.5" customHeight="1" x14ac:dyDescent="0.3">
      <c r="A112" s="10">
        <v>6</v>
      </c>
      <c r="B112" s="12" t="s">
        <v>413</v>
      </c>
      <c r="C112" s="10" t="s">
        <v>42</v>
      </c>
      <c r="D112" s="348">
        <f>VLOOKUP(B112,[1]Dcu!$B$3:$D$511,3,0)</f>
        <v>6</v>
      </c>
      <c r="E112" s="10">
        <v>9.6000000000000002E-2</v>
      </c>
      <c r="F112" s="347">
        <f>VLOOKUP(B112,[1]Dcu!$B$3:$E$511,4,0)</f>
        <v>7000</v>
      </c>
      <c r="G112" s="47">
        <f t="shared" si="7"/>
        <v>4.3076923076923075</v>
      </c>
    </row>
    <row r="113" spans="1:7" ht="16.5" customHeight="1" x14ac:dyDescent="0.3">
      <c r="A113" s="10">
        <v>7</v>
      </c>
      <c r="B113" s="12" t="s">
        <v>414</v>
      </c>
      <c r="C113" s="10" t="s">
        <v>28</v>
      </c>
      <c r="D113" s="348">
        <f>VLOOKUP(B113,[1]Dcu!$B$3:$D$511,3,0)</f>
        <v>12</v>
      </c>
      <c r="E113" s="10">
        <v>9.6000000000000002E-2</v>
      </c>
      <c r="F113" s="347">
        <f>VLOOKUP(B113,[1]Dcu!$B$3:$E$511,4,0)</f>
        <v>20000</v>
      </c>
      <c r="G113" s="47">
        <f t="shared" si="7"/>
        <v>6.1538461538461542</v>
      </c>
    </row>
    <row r="114" spans="1:7" ht="16.5" customHeight="1" x14ac:dyDescent="0.3">
      <c r="A114" s="10">
        <v>8</v>
      </c>
      <c r="B114" s="12" t="s">
        <v>415</v>
      </c>
      <c r="C114" s="10" t="s">
        <v>28</v>
      </c>
      <c r="D114" s="348">
        <f>VLOOKUP(B114,[1]Dcu!$B$3:$D$511,3,0)</f>
        <v>24</v>
      </c>
      <c r="E114" s="10">
        <v>4.8000000000000001E-2</v>
      </c>
      <c r="F114" s="347">
        <f>VLOOKUP(B114,[1]Dcu!$B$3:$E$511,4,0)</f>
        <v>110000</v>
      </c>
      <c r="G114" s="47">
        <f t="shared" si="7"/>
        <v>8.4615384615384617</v>
      </c>
    </row>
    <row r="115" spans="1:7" ht="16.5" customHeight="1" x14ac:dyDescent="0.3">
      <c r="A115" s="10">
        <v>9</v>
      </c>
      <c r="B115" s="158" t="s">
        <v>426</v>
      </c>
      <c r="C115" s="10" t="s">
        <v>416</v>
      </c>
      <c r="D115" s="348">
        <f>VLOOKUP(B115,[1]Dcu!$B$3:$D$511,3,0)</f>
        <v>3</v>
      </c>
      <c r="E115" s="10">
        <v>4.8000000000000001E-2</v>
      </c>
      <c r="F115" s="347">
        <f>VLOOKUP(B115,[1]Dcu!$B$3:$E$511,4,0)</f>
        <v>70000</v>
      </c>
      <c r="G115" s="47">
        <f t="shared" si="7"/>
        <v>43.07692307692308</v>
      </c>
    </row>
    <row r="116" spans="1:7" ht="16.5" customHeight="1" x14ac:dyDescent="0.3">
      <c r="A116" s="10">
        <v>10</v>
      </c>
      <c r="B116" s="93" t="s">
        <v>43</v>
      </c>
      <c r="C116" s="10" t="s">
        <v>76</v>
      </c>
      <c r="D116" s="348">
        <f>VLOOKUP(B116,[1]Dcu!$B$3:$D$511,3,0)</f>
        <v>0.3</v>
      </c>
      <c r="E116" s="10">
        <v>0.02</v>
      </c>
      <c r="F116" s="347">
        <f>VLOOKUP(B116,[1]Dcu!$B$3:$E$511,4,0)</f>
        <v>400000</v>
      </c>
      <c r="G116" s="47">
        <f t="shared" si="7"/>
        <v>1025.6410256410256</v>
      </c>
    </row>
    <row r="117" spans="1:7" ht="16.5" customHeight="1" x14ac:dyDescent="0.3">
      <c r="A117" s="10">
        <v>11</v>
      </c>
      <c r="B117" s="12" t="s">
        <v>621</v>
      </c>
      <c r="C117" s="10" t="s">
        <v>76</v>
      </c>
      <c r="D117" s="348">
        <f>VLOOKUP(B117,[1]Dcu!$B$3:$D$511,3,0)</f>
        <v>0.3</v>
      </c>
      <c r="E117" s="10">
        <v>0.02</v>
      </c>
      <c r="F117" s="347">
        <f>VLOOKUP(B117,[1]Dcu!$B$3:$E$511,4,0)</f>
        <v>200000</v>
      </c>
      <c r="G117" s="47">
        <f t="shared" si="7"/>
        <v>512.82051282051282</v>
      </c>
    </row>
    <row r="118" spans="1:7" ht="16.5" customHeight="1" x14ac:dyDescent="0.3">
      <c r="A118" s="10">
        <v>12</v>
      </c>
      <c r="B118" s="12" t="s">
        <v>423</v>
      </c>
      <c r="C118" s="10" t="s">
        <v>28</v>
      </c>
      <c r="D118" s="348">
        <f>VLOOKUP(B118,[1]Dcu!$B$3:$D$511,3,0)</f>
        <v>6</v>
      </c>
      <c r="E118" s="10">
        <v>0.48</v>
      </c>
      <c r="F118" s="347">
        <f>VLOOKUP(B118,[1]Dcu!$B$3:$E$511,4,0)</f>
        <v>800000</v>
      </c>
      <c r="G118" s="47">
        <f t="shared" si="7"/>
        <v>2461.5384615384614</v>
      </c>
    </row>
    <row r="119" spans="1:7" ht="16.5" customHeight="1" x14ac:dyDescent="0.3">
      <c r="A119" s="10">
        <v>13</v>
      </c>
      <c r="B119" s="12" t="s">
        <v>418</v>
      </c>
      <c r="C119" s="10" t="s">
        <v>28</v>
      </c>
      <c r="D119" s="348">
        <f>VLOOKUP(B119,[1]Dcu!$B$3:$D$511,3,0)</f>
        <v>6</v>
      </c>
      <c r="E119" s="10">
        <v>4.8000000000000001E-2</v>
      </c>
      <c r="F119" s="347">
        <f>VLOOKUP(B119,[1]Dcu!$B$3:$E$511,4,0)</f>
        <v>1000000</v>
      </c>
      <c r="G119" s="47">
        <f t="shared" si="7"/>
        <v>307.69230769230768</v>
      </c>
    </row>
    <row r="120" spans="1:7" ht="16.5" customHeight="1" x14ac:dyDescent="0.3">
      <c r="A120" s="156" t="s">
        <v>383</v>
      </c>
      <c r="B120" s="470" t="s">
        <v>506</v>
      </c>
      <c r="C120" s="470"/>
      <c r="D120" s="470"/>
      <c r="E120" s="470"/>
      <c r="F120" s="470"/>
      <c r="G120" s="160">
        <f>SUM(G121:G132)*1.05</f>
        <v>4646.5999999999995</v>
      </c>
    </row>
    <row r="121" spans="1:7" ht="16.5" customHeight="1" x14ac:dyDescent="0.3">
      <c r="A121" s="10">
        <v>1</v>
      </c>
      <c r="B121" s="12" t="s">
        <v>27</v>
      </c>
      <c r="C121" s="10" t="s">
        <v>28</v>
      </c>
      <c r="D121" s="348">
        <f>VLOOKUP(B121,[1]Dcu!$B$3:$D$511,3,0)</f>
        <v>12</v>
      </c>
      <c r="E121" s="10">
        <v>4.8000000000000001E-2</v>
      </c>
      <c r="F121" s="347">
        <f>VLOOKUP(B121,[1]Dcu!$B$3:$E$511,4,0)</f>
        <v>100000</v>
      </c>
      <c r="G121" s="47">
        <f t="shared" ref="G121:G132" si="9">F121/(D121*26)*E121</f>
        <v>15.384615384615385</v>
      </c>
    </row>
    <row r="122" spans="1:7" ht="16.5" customHeight="1" x14ac:dyDescent="0.3">
      <c r="A122" s="10">
        <v>2</v>
      </c>
      <c r="B122" s="12" t="s">
        <v>59</v>
      </c>
      <c r="C122" s="10" t="s">
        <v>28</v>
      </c>
      <c r="D122" s="348">
        <f>VLOOKUP(B122,[1]Dcu!$B$3:$D$511,3,0)</f>
        <v>36</v>
      </c>
      <c r="E122" s="10">
        <v>4.8000000000000001E-2</v>
      </c>
      <c r="F122" s="347">
        <f>VLOOKUP(B122,[1]Dcu!$B$3:$E$511,4,0)</f>
        <v>110000</v>
      </c>
      <c r="G122" s="47">
        <f t="shared" si="9"/>
        <v>5.6410256410256414</v>
      </c>
    </row>
    <row r="123" spans="1:7" ht="16.5" customHeight="1" x14ac:dyDescent="0.3">
      <c r="A123" s="10">
        <v>3</v>
      </c>
      <c r="B123" s="93" t="s">
        <v>425</v>
      </c>
      <c r="C123" s="10" t="s">
        <v>36</v>
      </c>
      <c r="D123" s="348">
        <f>VLOOKUP(B123,[1]Dcu!$B$3:$D$511,3,0)</f>
        <v>12</v>
      </c>
      <c r="E123" s="10">
        <v>9.6000000000000002E-2</v>
      </c>
      <c r="F123" s="347">
        <f>VLOOKUP(B123,[1]Dcu!$B$3:$E$511,4,0)</f>
        <v>50000</v>
      </c>
      <c r="G123" s="47">
        <f t="shared" si="9"/>
        <v>15.384615384615385</v>
      </c>
    </row>
    <row r="124" spans="1:7" ht="16.5" customHeight="1" x14ac:dyDescent="0.3">
      <c r="A124" s="10">
        <v>4</v>
      </c>
      <c r="B124" s="12" t="s">
        <v>620</v>
      </c>
      <c r="C124" s="10" t="s">
        <v>42</v>
      </c>
      <c r="D124" s="348">
        <f>VLOOKUP(B124,[1]Dcu!$B$3:$D$511,3,0)</f>
        <v>6</v>
      </c>
      <c r="E124" s="10">
        <v>9.6000000000000002E-2</v>
      </c>
      <c r="F124" s="347">
        <f>VLOOKUP(B124,[1]Dcu!$B$3:$E$511,4,0)</f>
        <v>25000</v>
      </c>
      <c r="G124" s="47">
        <f t="shared" si="9"/>
        <v>15.384615384615385</v>
      </c>
    </row>
    <row r="125" spans="1:7" ht="16.5" customHeight="1" x14ac:dyDescent="0.3">
      <c r="A125" s="10">
        <v>5</v>
      </c>
      <c r="B125" s="12" t="s">
        <v>413</v>
      </c>
      <c r="C125" s="10" t="s">
        <v>42</v>
      </c>
      <c r="D125" s="348">
        <f>VLOOKUP(B125,[1]Dcu!$B$3:$D$511,3,0)</f>
        <v>6</v>
      </c>
      <c r="E125" s="10">
        <v>9.6000000000000002E-2</v>
      </c>
      <c r="F125" s="347">
        <f>VLOOKUP(B125,[1]Dcu!$B$3:$E$511,4,0)</f>
        <v>7000</v>
      </c>
      <c r="G125" s="47">
        <f t="shared" si="9"/>
        <v>4.3076923076923075</v>
      </c>
    </row>
    <row r="126" spans="1:7" ht="16.5" customHeight="1" x14ac:dyDescent="0.3">
      <c r="A126" s="10">
        <v>6</v>
      </c>
      <c r="B126" s="12" t="s">
        <v>414</v>
      </c>
      <c r="C126" s="10" t="s">
        <v>28</v>
      </c>
      <c r="D126" s="348">
        <f>VLOOKUP(B126,[1]Dcu!$B$3:$D$511,3,0)</f>
        <v>12</v>
      </c>
      <c r="E126" s="10">
        <v>9.6000000000000002E-2</v>
      </c>
      <c r="F126" s="347">
        <f>VLOOKUP(B126,[1]Dcu!$B$3:$E$511,4,0)</f>
        <v>20000</v>
      </c>
      <c r="G126" s="47">
        <f t="shared" si="9"/>
        <v>6.1538461538461542</v>
      </c>
    </row>
    <row r="127" spans="1:7" ht="16.5" customHeight="1" x14ac:dyDescent="0.3">
      <c r="A127" s="10">
        <v>7</v>
      </c>
      <c r="B127" s="158" t="s">
        <v>426</v>
      </c>
      <c r="C127" s="10" t="s">
        <v>416</v>
      </c>
      <c r="D127" s="348">
        <f>VLOOKUP(B127,[1]Dcu!$B$3:$D$511,3,0)</f>
        <v>3</v>
      </c>
      <c r="E127" s="10">
        <v>4.8000000000000001E-2</v>
      </c>
      <c r="F127" s="347">
        <f>VLOOKUP(B127,[1]Dcu!$B$3:$E$511,4,0)</f>
        <v>70000</v>
      </c>
      <c r="G127" s="47">
        <f t="shared" si="9"/>
        <v>43.07692307692308</v>
      </c>
    </row>
    <row r="128" spans="1:7" ht="16.5" customHeight="1" x14ac:dyDescent="0.3">
      <c r="A128" s="10">
        <v>8</v>
      </c>
      <c r="B128" s="93" t="s">
        <v>43</v>
      </c>
      <c r="C128" s="10" t="s">
        <v>76</v>
      </c>
      <c r="D128" s="348">
        <f>VLOOKUP(B128,[1]Dcu!$B$3:$D$511,3,0)</f>
        <v>0.3</v>
      </c>
      <c r="E128" s="10">
        <v>0.02</v>
      </c>
      <c r="F128" s="347">
        <f>VLOOKUP(B128,[1]Dcu!$B$3:$E$511,4,0)</f>
        <v>400000</v>
      </c>
      <c r="G128" s="47">
        <f t="shared" si="9"/>
        <v>1025.6410256410256</v>
      </c>
    </row>
    <row r="129" spans="1:7" ht="16.5" customHeight="1" x14ac:dyDescent="0.3">
      <c r="A129" s="10">
        <v>9</v>
      </c>
      <c r="B129" s="12" t="s">
        <v>621</v>
      </c>
      <c r="C129" s="10" t="s">
        <v>76</v>
      </c>
      <c r="D129" s="348">
        <f>VLOOKUP(B129,[1]Dcu!$B$3:$D$511,3,0)</f>
        <v>0.3</v>
      </c>
      <c r="E129" s="10">
        <v>0.02</v>
      </c>
      <c r="F129" s="347">
        <f>VLOOKUP(B129,[1]Dcu!$B$3:$E$511,4,0)</f>
        <v>200000</v>
      </c>
      <c r="G129" s="47">
        <f t="shared" si="9"/>
        <v>512.82051282051282</v>
      </c>
    </row>
    <row r="130" spans="1:7" ht="16.5" customHeight="1" x14ac:dyDescent="0.3">
      <c r="A130" s="10">
        <v>10</v>
      </c>
      <c r="B130" s="12" t="s">
        <v>423</v>
      </c>
      <c r="C130" s="10" t="s">
        <v>28</v>
      </c>
      <c r="D130" s="348">
        <f>VLOOKUP(B130,[1]Dcu!$B$3:$D$511,3,0)</f>
        <v>6</v>
      </c>
      <c r="E130" s="10">
        <v>0.48</v>
      </c>
      <c r="F130" s="347">
        <f>VLOOKUP(B130,[1]Dcu!$B$3:$E$511,4,0)</f>
        <v>800000</v>
      </c>
      <c r="G130" s="47">
        <f t="shared" si="9"/>
        <v>2461.5384615384614</v>
      </c>
    </row>
    <row r="131" spans="1:7" ht="16.5" customHeight="1" x14ac:dyDescent="0.3">
      <c r="A131" s="10">
        <v>11</v>
      </c>
      <c r="B131" s="170" t="s">
        <v>435</v>
      </c>
      <c r="C131" s="10" t="s">
        <v>28</v>
      </c>
      <c r="D131" s="348">
        <f>VLOOKUP(B131,[1]Dcu!$B$3:$D$511,3,0)</f>
        <v>12</v>
      </c>
      <c r="E131" s="10">
        <v>4.8000000000000001E-2</v>
      </c>
      <c r="F131" s="347">
        <f>VLOOKUP(B131,[1]Dcu!$B$3:$E$511,4,0)</f>
        <v>80000</v>
      </c>
      <c r="G131" s="47">
        <f t="shared" ref="G131" si="10">F131/(D131*26)*E131</f>
        <v>12.307692307692308</v>
      </c>
    </row>
    <row r="132" spans="1:7" ht="16.5" customHeight="1" x14ac:dyDescent="0.3">
      <c r="A132" s="10">
        <v>12</v>
      </c>
      <c r="B132" s="12" t="s">
        <v>418</v>
      </c>
      <c r="C132" s="10" t="s">
        <v>28</v>
      </c>
      <c r="D132" s="348">
        <f>VLOOKUP(B132,[1]Dcu!$B$3:$D$511,3,0)</f>
        <v>6</v>
      </c>
      <c r="E132" s="10">
        <v>4.8000000000000001E-2</v>
      </c>
      <c r="F132" s="347">
        <f>VLOOKUP(B132,[1]Dcu!$B$3:$E$511,4,0)</f>
        <v>1000000</v>
      </c>
      <c r="G132" s="47">
        <f t="shared" si="9"/>
        <v>307.69230769230768</v>
      </c>
    </row>
    <row r="133" spans="1:7" ht="21" customHeight="1" x14ac:dyDescent="0.3">
      <c r="A133" s="156" t="s">
        <v>389</v>
      </c>
      <c r="B133" s="469" t="s">
        <v>12</v>
      </c>
      <c r="C133" s="469"/>
      <c r="D133" s="469"/>
      <c r="E133" s="469"/>
      <c r="F133" s="469"/>
      <c r="G133" s="160">
        <f>SUM(G134:G146)*1.05</f>
        <v>4655.4846153846156</v>
      </c>
    </row>
    <row r="134" spans="1:7" ht="16.5" customHeight="1" x14ac:dyDescent="0.3">
      <c r="A134" s="10">
        <v>1</v>
      </c>
      <c r="B134" s="12" t="s">
        <v>27</v>
      </c>
      <c r="C134" s="10" t="s">
        <v>28</v>
      </c>
      <c r="D134" s="348">
        <f>VLOOKUP(B134,[1]Dcu!$B$3:$D$511,3,0)</f>
        <v>12</v>
      </c>
      <c r="E134" s="10">
        <v>4.8000000000000001E-2</v>
      </c>
      <c r="F134" s="347">
        <f>VLOOKUP(B134,[1]Dcu!$B$3:$E$511,4,0)</f>
        <v>100000</v>
      </c>
      <c r="G134" s="47">
        <f t="shared" si="0"/>
        <v>15.384615384615385</v>
      </c>
    </row>
    <row r="135" spans="1:7" ht="16.5" customHeight="1" x14ac:dyDescent="0.3">
      <c r="A135" s="10">
        <v>2</v>
      </c>
      <c r="B135" s="170" t="s">
        <v>435</v>
      </c>
      <c r="C135" s="10" t="s">
        <v>28</v>
      </c>
      <c r="D135" s="348">
        <f>VLOOKUP(B135,[1]Dcu!$B$3:$D$511,3,0)</f>
        <v>12</v>
      </c>
      <c r="E135" s="10">
        <v>4.8000000000000001E-2</v>
      </c>
      <c r="F135" s="347">
        <f>VLOOKUP(B135,[1]Dcu!$B$3:$E$511,4,0)</f>
        <v>80000</v>
      </c>
      <c r="G135" s="47">
        <f t="shared" ref="G135" si="11">F135/(D135*26)*E135</f>
        <v>12.307692307692308</v>
      </c>
    </row>
    <row r="136" spans="1:7" ht="16.5" customHeight="1" x14ac:dyDescent="0.3">
      <c r="A136" s="10">
        <v>3</v>
      </c>
      <c r="B136" s="12" t="s">
        <v>59</v>
      </c>
      <c r="C136" s="10" t="s">
        <v>28</v>
      </c>
      <c r="D136" s="348">
        <f>VLOOKUP(B136,[1]Dcu!$B$3:$D$511,3,0)</f>
        <v>36</v>
      </c>
      <c r="E136" s="10">
        <v>4.8000000000000001E-2</v>
      </c>
      <c r="F136" s="347">
        <f>VLOOKUP(B136,[1]Dcu!$B$3:$E$511,4,0)</f>
        <v>110000</v>
      </c>
      <c r="G136" s="47">
        <f t="shared" si="0"/>
        <v>5.6410256410256414</v>
      </c>
    </row>
    <row r="137" spans="1:7" ht="16.5" customHeight="1" x14ac:dyDescent="0.3">
      <c r="A137" s="10">
        <v>4</v>
      </c>
      <c r="B137" s="93" t="s">
        <v>425</v>
      </c>
      <c r="C137" s="10" t="s">
        <v>36</v>
      </c>
      <c r="D137" s="348">
        <f>VLOOKUP(B137,[1]Dcu!$B$3:$D$511,3,0)</f>
        <v>12</v>
      </c>
      <c r="E137" s="10">
        <v>9.6000000000000002E-2</v>
      </c>
      <c r="F137" s="347">
        <f>VLOOKUP(B137,[1]Dcu!$B$3:$E$511,4,0)</f>
        <v>50000</v>
      </c>
      <c r="G137" s="47">
        <f t="shared" si="0"/>
        <v>15.384615384615385</v>
      </c>
    </row>
    <row r="138" spans="1:7" ht="16.5" customHeight="1" x14ac:dyDescent="0.3">
      <c r="A138" s="10">
        <v>5</v>
      </c>
      <c r="B138" s="12" t="s">
        <v>620</v>
      </c>
      <c r="C138" s="10" t="s">
        <v>42</v>
      </c>
      <c r="D138" s="348">
        <f>VLOOKUP(B138,[1]Dcu!$B$3:$D$511,3,0)</f>
        <v>6</v>
      </c>
      <c r="E138" s="10">
        <v>9.6000000000000002E-2</v>
      </c>
      <c r="F138" s="347">
        <f>VLOOKUP(B138,[1]Dcu!$B$3:$E$511,4,0)</f>
        <v>25000</v>
      </c>
      <c r="G138" s="47">
        <f t="shared" si="0"/>
        <v>15.384615384615385</v>
      </c>
    </row>
    <row r="139" spans="1:7" ht="16.5" customHeight="1" x14ac:dyDescent="0.3">
      <c r="A139" s="10">
        <v>6</v>
      </c>
      <c r="B139" s="12" t="s">
        <v>413</v>
      </c>
      <c r="C139" s="10" t="s">
        <v>42</v>
      </c>
      <c r="D139" s="348">
        <f>VLOOKUP(B139,[1]Dcu!$B$3:$D$511,3,0)</f>
        <v>6</v>
      </c>
      <c r="E139" s="10">
        <v>9.6000000000000002E-2</v>
      </c>
      <c r="F139" s="347">
        <f>VLOOKUP(B139,[1]Dcu!$B$3:$E$511,4,0)</f>
        <v>7000</v>
      </c>
      <c r="G139" s="47">
        <f t="shared" si="0"/>
        <v>4.3076923076923075</v>
      </c>
    </row>
    <row r="140" spans="1:7" ht="16.5" customHeight="1" x14ac:dyDescent="0.3">
      <c r="A140" s="10">
        <v>7</v>
      </c>
      <c r="B140" s="12" t="s">
        <v>414</v>
      </c>
      <c r="C140" s="10" t="s">
        <v>28</v>
      </c>
      <c r="D140" s="348">
        <f>VLOOKUP(B140,[1]Dcu!$B$3:$D$511,3,0)</f>
        <v>12</v>
      </c>
      <c r="E140" s="10">
        <v>9.6000000000000002E-2</v>
      </c>
      <c r="F140" s="347">
        <f>VLOOKUP(B140,[1]Dcu!$B$3:$E$511,4,0)</f>
        <v>20000</v>
      </c>
      <c r="G140" s="47">
        <f t="shared" ref="G140:G146" si="12">F140/(D140*26)*E140</f>
        <v>6.1538461538461542</v>
      </c>
    </row>
    <row r="141" spans="1:7" ht="16.5" customHeight="1" x14ac:dyDescent="0.3">
      <c r="A141" s="10">
        <v>8</v>
      </c>
      <c r="B141" s="12" t="s">
        <v>415</v>
      </c>
      <c r="C141" s="10" t="s">
        <v>28</v>
      </c>
      <c r="D141" s="348">
        <f>VLOOKUP(B141,[1]Dcu!$B$3:$D$511,3,0)</f>
        <v>24</v>
      </c>
      <c r="E141" s="10">
        <v>4.8000000000000001E-2</v>
      </c>
      <c r="F141" s="347">
        <f>VLOOKUP(B141,[1]Dcu!$B$3:$E$511,4,0)</f>
        <v>110000</v>
      </c>
      <c r="G141" s="47">
        <f t="shared" si="12"/>
        <v>8.4615384615384617</v>
      </c>
    </row>
    <row r="142" spans="1:7" ht="16.5" customHeight="1" x14ac:dyDescent="0.3">
      <c r="A142" s="10">
        <v>9</v>
      </c>
      <c r="B142" s="158" t="s">
        <v>426</v>
      </c>
      <c r="C142" s="10" t="s">
        <v>416</v>
      </c>
      <c r="D142" s="348">
        <f>VLOOKUP(B142,[1]Dcu!$B$3:$D$511,3,0)</f>
        <v>3</v>
      </c>
      <c r="E142" s="10">
        <v>4.8000000000000001E-2</v>
      </c>
      <c r="F142" s="347">
        <f>VLOOKUP(B142,[1]Dcu!$B$3:$E$511,4,0)</f>
        <v>70000</v>
      </c>
      <c r="G142" s="47">
        <f t="shared" si="12"/>
        <v>43.07692307692308</v>
      </c>
    </row>
    <row r="143" spans="1:7" ht="16.5" customHeight="1" x14ac:dyDescent="0.3">
      <c r="A143" s="10">
        <v>10</v>
      </c>
      <c r="B143" s="93" t="s">
        <v>43</v>
      </c>
      <c r="C143" s="10" t="s">
        <v>76</v>
      </c>
      <c r="D143" s="348">
        <f>VLOOKUP(B143,[1]Dcu!$B$3:$D$511,3,0)</f>
        <v>0.3</v>
      </c>
      <c r="E143" s="10">
        <v>0.02</v>
      </c>
      <c r="F143" s="347">
        <f>VLOOKUP(B143,[1]Dcu!$B$3:$E$511,4,0)</f>
        <v>400000</v>
      </c>
      <c r="G143" s="47">
        <f t="shared" si="12"/>
        <v>1025.6410256410256</v>
      </c>
    </row>
    <row r="144" spans="1:7" ht="16.5" customHeight="1" x14ac:dyDescent="0.3">
      <c r="A144" s="10">
        <v>11</v>
      </c>
      <c r="B144" s="12" t="s">
        <v>621</v>
      </c>
      <c r="C144" s="10" t="s">
        <v>76</v>
      </c>
      <c r="D144" s="348">
        <f>VLOOKUP(B144,[1]Dcu!$B$3:$D$511,3,0)</f>
        <v>0.3</v>
      </c>
      <c r="E144" s="10">
        <v>0.02</v>
      </c>
      <c r="F144" s="347">
        <f>VLOOKUP(B144,[1]Dcu!$B$3:$E$511,4,0)</f>
        <v>200000</v>
      </c>
      <c r="G144" s="47">
        <f t="shared" si="12"/>
        <v>512.82051282051282</v>
      </c>
    </row>
    <row r="145" spans="1:7" ht="16.5" customHeight="1" x14ac:dyDescent="0.3">
      <c r="A145" s="10">
        <v>12</v>
      </c>
      <c r="B145" s="12" t="s">
        <v>423</v>
      </c>
      <c r="C145" s="10" t="s">
        <v>28</v>
      </c>
      <c r="D145" s="348">
        <f>VLOOKUP(B145,[1]Dcu!$B$3:$D$511,3,0)</f>
        <v>6</v>
      </c>
      <c r="E145" s="10">
        <v>0.48</v>
      </c>
      <c r="F145" s="347">
        <f>VLOOKUP(B145,[1]Dcu!$B$3:$E$511,4,0)</f>
        <v>800000</v>
      </c>
      <c r="G145" s="47">
        <f t="shared" si="12"/>
        <v>2461.5384615384614</v>
      </c>
    </row>
    <row r="146" spans="1:7" ht="16.5" customHeight="1" x14ac:dyDescent="0.3">
      <c r="A146" s="10">
        <v>13</v>
      </c>
      <c r="B146" s="12" t="s">
        <v>418</v>
      </c>
      <c r="C146" s="10" t="s">
        <v>28</v>
      </c>
      <c r="D146" s="348">
        <f>VLOOKUP(B146,[1]Dcu!$B$3:$D$511,3,0)</f>
        <v>6</v>
      </c>
      <c r="E146" s="10">
        <v>4.8000000000000001E-2</v>
      </c>
      <c r="F146" s="347">
        <f>VLOOKUP(B146,[1]Dcu!$B$3:$E$511,4,0)</f>
        <v>1000000</v>
      </c>
      <c r="G146" s="47">
        <f t="shared" si="12"/>
        <v>307.69230769230768</v>
      </c>
    </row>
    <row r="147" spans="1:7" ht="16.5" customHeight="1" x14ac:dyDescent="0.3">
      <c r="A147" s="324" t="s">
        <v>390</v>
      </c>
      <c r="B147" s="163" t="s">
        <v>586</v>
      </c>
      <c r="C147" s="252"/>
      <c r="D147" s="450" t="s">
        <v>596</v>
      </c>
      <c r="E147" s="450"/>
      <c r="F147" s="451"/>
      <c r="G147" s="164">
        <f>G133</f>
        <v>4655.4846153846156</v>
      </c>
    </row>
    <row r="148" spans="1:7" ht="16.5" customHeight="1" x14ac:dyDescent="0.3">
      <c r="A148" s="324" t="s">
        <v>391</v>
      </c>
      <c r="B148" s="163" t="s">
        <v>587</v>
      </c>
      <c r="C148" s="252"/>
      <c r="D148" s="450" t="s">
        <v>596</v>
      </c>
      <c r="E148" s="450"/>
      <c r="F148" s="451"/>
      <c r="G148" s="164">
        <f>G133</f>
        <v>4655.4846153846156</v>
      </c>
    </row>
    <row r="149" spans="1:7" ht="16.5" customHeight="1" x14ac:dyDescent="0.3">
      <c r="A149" s="324" t="s">
        <v>392</v>
      </c>
      <c r="B149" s="163" t="s">
        <v>588</v>
      </c>
      <c r="C149" s="252"/>
      <c r="D149" s="450" t="s">
        <v>596</v>
      </c>
      <c r="E149" s="450"/>
      <c r="F149" s="451"/>
      <c r="G149" s="164">
        <f>G133</f>
        <v>4655.4846153846156</v>
      </c>
    </row>
    <row r="150" spans="1:7" ht="16.5" customHeight="1" x14ac:dyDescent="0.3">
      <c r="A150" s="324" t="s">
        <v>393</v>
      </c>
      <c r="B150" s="163" t="s">
        <v>589</v>
      </c>
      <c r="C150" s="252"/>
      <c r="D150" s="450" t="s">
        <v>596</v>
      </c>
      <c r="E150" s="450"/>
      <c r="F150" s="451"/>
      <c r="G150" s="164">
        <f>G133</f>
        <v>4655.4846153846156</v>
      </c>
    </row>
    <row r="151" spans="1:7" ht="16.5" customHeight="1" x14ac:dyDescent="0.3">
      <c r="A151" s="324" t="s">
        <v>394</v>
      </c>
      <c r="B151" s="163" t="s">
        <v>590</v>
      </c>
      <c r="C151" s="252"/>
      <c r="D151" s="450" t="s">
        <v>596</v>
      </c>
      <c r="E151" s="450"/>
      <c r="F151" s="451"/>
      <c r="G151" s="164">
        <f>G133</f>
        <v>4655.4846153846156</v>
      </c>
    </row>
    <row r="152" spans="1:7" ht="16.5" customHeight="1" x14ac:dyDescent="0.3">
      <c r="A152" s="324" t="s">
        <v>395</v>
      </c>
      <c r="B152" s="163" t="s">
        <v>591</v>
      </c>
      <c r="C152" s="252"/>
      <c r="D152" s="450" t="s">
        <v>596</v>
      </c>
      <c r="E152" s="450"/>
      <c r="F152" s="451"/>
      <c r="G152" s="164">
        <f>G133</f>
        <v>4655.4846153846156</v>
      </c>
    </row>
    <row r="153" spans="1:7" ht="16.5" customHeight="1" x14ac:dyDescent="0.3">
      <c r="A153" s="324" t="s">
        <v>396</v>
      </c>
      <c r="B153" s="163" t="s">
        <v>592</v>
      </c>
      <c r="C153" s="252"/>
      <c r="D153" s="450" t="s">
        <v>596</v>
      </c>
      <c r="E153" s="450"/>
      <c r="F153" s="451"/>
      <c r="G153" s="164">
        <f>G133</f>
        <v>4655.4846153846156</v>
      </c>
    </row>
    <row r="154" spans="1:7" ht="16.5" customHeight="1" x14ac:dyDescent="0.3">
      <c r="A154" s="324" t="s">
        <v>397</v>
      </c>
      <c r="B154" s="163" t="s">
        <v>593</v>
      </c>
      <c r="C154" s="252"/>
      <c r="D154" s="450" t="s">
        <v>596</v>
      </c>
      <c r="E154" s="450"/>
      <c r="F154" s="451"/>
      <c r="G154" s="164">
        <f>G133</f>
        <v>4655.4846153846156</v>
      </c>
    </row>
    <row r="155" spans="1:7" ht="16.5" customHeight="1" x14ac:dyDescent="0.3">
      <c r="A155" s="324" t="s">
        <v>398</v>
      </c>
      <c r="B155" s="163" t="s">
        <v>594</v>
      </c>
      <c r="C155" s="252"/>
      <c r="D155" s="450" t="s">
        <v>596</v>
      </c>
      <c r="E155" s="450"/>
      <c r="F155" s="451"/>
      <c r="G155" s="164">
        <f>G133</f>
        <v>4655.4846153846156</v>
      </c>
    </row>
    <row r="156" spans="1:7" ht="16.5" customHeight="1" x14ac:dyDescent="0.3">
      <c r="A156" s="324" t="s">
        <v>399</v>
      </c>
      <c r="B156" s="163" t="s">
        <v>595</v>
      </c>
      <c r="C156" s="252"/>
      <c r="D156" s="450" t="s">
        <v>596</v>
      </c>
      <c r="E156" s="450"/>
      <c r="F156" s="451"/>
      <c r="G156" s="164">
        <f>G133</f>
        <v>4655.4846153846156</v>
      </c>
    </row>
    <row r="157" spans="1:7" ht="16.5" customHeight="1" x14ac:dyDescent="0.3">
      <c r="A157" s="324" t="s">
        <v>696</v>
      </c>
      <c r="B157" s="163" t="s">
        <v>725</v>
      </c>
      <c r="C157" s="252"/>
      <c r="D157" s="450" t="s">
        <v>596</v>
      </c>
      <c r="E157" s="450"/>
      <c r="F157" s="451"/>
      <c r="G157" s="164">
        <f>G133</f>
        <v>4655.4846153846156</v>
      </c>
    </row>
    <row r="158" spans="1:7" ht="16.5" customHeight="1" x14ac:dyDescent="0.3">
      <c r="A158" s="324" t="s">
        <v>697</v>
      </c>
      <c r="B158" s="176" t="s">
        <v>716</v>
      </c>
      <c r="C158" s="252"/>
      <c r="D158" s="450" t="s">
        <v>596</v>
      </c>
      <c r="E158" s="450"/>
      <c r="F158" s="451"/>
      <c r="G158" s="164">
        <f>G133</f>
        <v>4655.4846153846156</v>
      </c>
    </row>
    <row r="159" spans="1:7" ht="18" customHeight="1" x14ac:dyDescent="0.3">
      <c r="A159" s="324" t="s">
        <v>700</v>
      </c>
      <c r="B159" s="176" t="s">
        <v>492</v>
      </c>
      <c r="C159" s="252"/>
      <c r="D159" s="450" t="s">
        <v>596</v>
      </c>
      <c r="E159" s="450"/>
      <c r="F159" s="451"/>
      <c r="G159" s="164">
        <f>G133</f>
        <v>4655.4846153846156</v>
      </c>
    </row>
    <row r="160" spans="1:7" ht="18" customHeight="1" x14ac:dyDescent="0.3">
      <c r="A160" s="324" t="s">
        <v>701</v>
      </c>
      <c r="B160" s="176" t="s">
        <v>493</v>
      </c>
      <c r="C160" s="252"/>
      <c r="D160" s="450" t="s">
        <v>596</v>
      </c>
      <c r="E160" s="450"/>
      <c r="F160" s="451"/>
      <c r="G160" s="164">
        <f>G133</f>
        <v>4655.4846153846156</v>
      </c>
    </row>
    <row r="161" spans="1:7" ht="26.25" customHeight="1" x14ac:dyDescent="0.3">
      <c r="A161" s="324" t="s">
        <v>702</v>
      </c>
      <c r="B161" s="176" t="s">
        <v>708</v>
      </c>
      <c r="C161" s="252"/>
      <c r="D161" s="450" t="s">
        <v>596</v>
      </c>
      <c r="E161" s="450"/>
      <c r="F161" s="451"/>
      <c r="G161" s="164">
        <f>G133</f>
        <v>4655.4846153846156</v>
      </c>
    </row>
    <row r="162" spans="1:7" ht="26.25" customHeight="1" x14ac:dyDescent="0.3">
      <c r="A162" s="324" t="s">
        <v>703</v>
      </c>
      <c r="B162" s="176" t="s">
        <v>709</v>
      </c>
      <c r="C162" s="252"/>
      <c r="D162" s="450" t="s">
        <v>596</v>
      </c>
      <c r="E162" s="450"/>
      <c r="F162" s="451"/>
      <c r="G162" s="164">
        <f>G147</f>
        <v>4655.4846153846156</v>
      </c>
    </row>
    <row r="163" spans="1:7" ht="26.25" customHeight="1" x14ac:dyDescent="0.3">
      <c r="A163" s="324" t="s">
        <v>704</v>
      </c>
      <c r="B163" s="176" t="s">
        <v>710</v>
      </c>
      <c r="C163" s="252"/>
      <c r="D163" s="450" t="s">
        <v>596</v>
      </c>
      <c r="E163" s="450"/>
      <c r="F163" s="451"/>
      <c r="G163" s="164">
        <f>G147</f>
        <v>4655.4846153846156</v>
      </c>
    </row>
    <row r="164" spans="1:7" ht="26.25" customHeight="1" x14ac:dyDescent="0.3">
      <c r="A164" s="324" t="s">
        <v>705</v>
      </c>
      <c r="B164" s="176" t="s">
        <v>711</v>
      </c>
      <c r="C164" s="252"/>
      <c r="D164" s="450" t="s">
        <v>596</v>
      </c>
      <c r="E164" s="450"/>
      <c r="F164" s="451"/>
      <c r="G164" s="164">
        <f>G147</f>
        <v>4655.4846153846156</v>
      </c>
    </row>
    <row r="165" spans="1:7" ht="26.25" customHeight="1" x14ac:dyDescent="0.3">
      <c r="A165" s="324" t="s">
        <v>706</v>
      </c>
      <c r="B165" s="176" t="s">
        <v>712</v>
      </c>
      <c r="C165" s="252"/>
      <c r="D165" s="450" t="s">
        <v>596</v>
      </c>
      <c r="E165" s="450"/>
      <c r="F165" s="451"/>
      <c r="G165" s="164">
        <f>G148</f>
        <v>4655.4846153846156</v>
      </c>
    </row>
    <row r="166" spans="1:7" ht="26.25" customHeight="1" x14ac:dyDescent="0.3">
      <c r="A166" s="324" t="s">
        <v>707</v>
      </c>
      <c r="B166" s="176" t="s">
        <v>713</v>
      </c>
      <c r="C166" s="252"/>
      <c r="D166" s="450" t="s">
        <v>596</v>
      </c>
      <c r="E166" s="450"/>
      <c r="F166" s="451"/>
      <c r="G166" s="164">
        <f>G150</f>
        <v>4655.4846153846156</v>
      </c>
    </row>
    <row r="167" spans="1:7" ht="16.5" customHeight="1" x14ac:dyDescent="0.3">
      <c r="A167" s="159" t="s">
        <v>384</v>
      </c>
      <c r="B167" s="163" t="s">
        <v>138</v>
      </c>
      <c r="C167" s="455" t="s">
        <v>429</v>
      </c>
      <c r="D167" s="450"/>
      <c r="E167" s="451"/>
      <c r="F167" s="46"/>
      <c r="G167" s="164">
        <f>G120</f>
        <v>4646.5999999999995</v>
      </c>
    </row>
    <row r="168" spans="1:7" ht="16.5" customHeight="1" x14ac:dyDescent="0.3">
      <c r="A168" s="159" t="s">
        <v>385</v>
      </c>
      <c r="B168" s="163" t="s">
        <v>294</v>
      </c>
      <c r="C168" s="455" t="s">
        <v>429</v>
      </c>
      <c r="D168" s="450"/>
      <c r="E168" s="451"/>
      <c r="F168" s="46"/>
      <c r="G168" s="164">
        <f>G120</f>
        <v>4646.5999999999995</v>
      </c>
    </row>
    <row r="169" spans="1:7" ht="30.75" customHeight="1" x14ac:dyDescent="0.3">
      <c r="A169" s="320" t="s">
        <v>400</v>
      </c>
      <c r="B169" s="485" t="s">
        <v>618</v>
      </c>
      <c r="C169" s="486"/>
      <c r="D169" s="486"/>
      <c r="E169" s="487"/>
      <c r="F169" s="46"/>
      <c r="G169" s="160">
        <f>SUM(G170:G181)*1.05</f>
        <v>4639.3307692307699</v>
      </c>
    </row>
    <row r="170" spans="1:7" ht="19.5" customHeight="1" x14ac:dyDescent="0.3">
      <c r="A170" s="238">
        <v>1</v>
      </c>
      <c r="B170" s="170" t="s">
        <v>435</v>
      </c>
      <c r="C170" s="10" t="s">
        <v>28</v>
      </c>
      <c r="D170" s="348">
        <f>VLOOKUP(B170,[1]Dcu!$B$3:$D$511,3,0)</f>
        <v>12</v>
      </c>
      <c r="E170" s="239">
        <v>4.8000000000000001E-2</v>
      </c>
      <c r="F170" s="347">
        <f>VLOOKUP(B170,[1]Dcu!$B$3:$E$511,4,0)</f>
        <v>80000</v>
      </c>
      <c r="G170" s="47">
        <f t="shared" ref="G170" si="13">F170/(D170*26)*E170</f>
        <v>12.307692307692308</v>
      </c>
    </row>
    <row r="171" spans="1:7" ht="16.5" customHeight="1" x14ac:dyDescent="0.3">
      <c r="A171" s="149">
        <v>2</v>
      </c>
      <c r="B171" s="12" t="s">
        <v>59</v>
      </c>
      <c r="C171" s="10" t="s">
        <v>28</v>
      </c>
      <c r="D171" s="348">
        <f>VLOOKUP(B171,[1]Dcu!$B$3:$D$511,3,0)</f>
        <v>36</v>
      </c>
      <c r="E171" s="10">
        <v>4.8000000000000001E-2</v>
      </c>
      <c r="F171" s="347">
        <f>VLOOKUP(B171,[1]Dcu!$B$3:$E$511,4,0)</f>
        <v>110000</v>
      </c>
      <c r="G171" s="47">
        <f t="shared" ref="G171:G173" si="14">F171/(D171*26)*E171</f>
        <v>5.6410256410256414</v>
      </c>
    </row>
    <row r="172" spans="1:7" ht="16.5" customHeight="1" x14ac:dyDescent="0.3">
      <c r="A172" s="149">
        <v>3</v>
      </c>
      <c r="B172" s="93" t="s">
        <v>425</v>
      </c>
      <c r="C172" s="10" t="s">
        <v>36</v>
      </c>
      <c r="D172" s="348">
        <f>VLOOKUP(B172,[1]Dcu!$B$3:$D$511,3,0)</f>
        <v>12</v>
      </c>
      <c r="E172" s="10">
        <v>9.6000000000000002E-2</v>
      </c>
      <c r="F172" s="347">
        <f>VLOOKUP(B172,[1]Dcu!$B$3:$E$511,4,0)</f>
        <v>50000</v>
      </c>
      <c r="G172" s="47">
        <f t="shared" si="14"/>
        <v>15.384615384615385</v>
      </c>
    </row>
    <row r="173" spans="1:7" ht="16.5" customHeight="1" x14ac:dyDescent="0.3">
      <c r="A173" s="149">
        <v>4</v>
      </c>
      <c r="B173" s="12" t="s">
        <v>620</v>
      </c>
      <c r="C173" s="10" t="s">
        <v>42</v>
      </c>
      <c r="D173" s="348">
        <f>VLOOKUP(B173,[1]Dcu!$B$3:$D$511,3,0)</f>
        <v>6</v>
      </c>
      <c r="E173" s="10">
        <v>9.6000000000000002E-2</v>
      </c>
      <c r="F173" s="347">
        <f>VLOOKUP(B173,[1]Dcu!$B$3:$E$511,4,0)</f>
        <v>25000</v>
      </c>
      <c r="G173" s="47">
        <f t="shared" si="14"/>
        <v>15.384615384615385</v>
      </c>
    </row>
    <row r="174" spans="1:7" ht="16.5" customHeight="1" x14ac:dyDescent="0.3">
      <c r="A174" s="149">
        <v>5</v>
      </c>
      <c r="B174" s="12" t="s">
        <v>413</v>
      </c>
      <c r="C174" s="10" t="s">
        <v>42</v>
      </c>
      <c r="D174" s="348">
        <f>VLOOKUP(B174,[1]Dcu!$B$3:$D$511,3,0)</f>
        <v>6</v>
      </c>
      <c r="E174" s="10">
        <v>9.6000000000000002E-2</v>
      </c>
      <c r="F174" s="347">
        <f>VLOOKUP(B174,[1]Dcu!$B$3:$E$511,4,0)</f>
        <v>7000</v>
      </c>
      <c r="G174" s="47">
        <f t="shared" ref="G174:G181" si="15">F174/(D174*26)*E174</f>
        <v>4.3076923076923075</v>
      </c>
    </row>
    <row r="175" spans="1:7" ht="16.5" customHeight="1" x14ac:dyDescent="0.3">
      <c r="A175" s="149">
        <v>6</v>
      </c>
      <c r="B175" s="12" t="s">
        <v>414</v>
      </c>
      <c r="C175" s="10" t="s">
        <v>28</v>
      </c>
      <c r="D175" s="348">
        <f>VLOOKUP(B175,[1]Dcu!$B$3:$D$511,3,0)</f>
        <v>12</v>
      </c>
      <c r="E175" s="10">
        <v>9.6000000000000002E-2</v>
      </c>
      <c r="F175" s="347">
        <f>VLOOKUP(B175,[1]Dcu!$B$3:$E$511,4,0)</f>
        <v>20000</v>
      </c>
      <c r="G175" s="47">
        <f t="shared" si="15"/>
        <v>6.1538461538461542</v>
      </c>
    </row>
    <row r="176" spans="1:7" ht="16.5" customHeight="1" x14ac:dyDescent="0.3">
      <c r="A176" s="149">
        <v>7</v>
      </c>
      <c r="B176" s="12" t="s">
        <v>415</v>
      </c>
      <c r="C176" s="10" t="s">
        <v>28</v>
      </c>
      <c r="D176" s="348">
        <f>VLOOKUP(B176,[1]Dcu!$B$3:$D$511,3,0)</f>
        <v>24</v>
      </c>
      <c r="E176" s="10">
        <v>4.8000000000000001E-2</v>
      </c>
      <c r="F176" s="347">
        <f>VLOOKUP(B176,[1]Dcu!$B$3:$E$511,4,0)</f>
        <v>110000</v>
      </c>
      <c r="G176" s="47">
        <f t="shared" si="15"/>
        <v>8.4615384615384617</v>
      </c>
    </row>
    <row r="177" spans="1:7" ht="16.5" customHeight="1" x14ac:dyDescent="0.3">
      <c r="A177" s="149">
        <v>8</v>
      </c>
      <c r="B177" s="158" t="s">
        <v>426</v>
      </c>
      <c r="C177" s="10" t="s">
        <v>416</v>
      </c>
      <c r="D177" s="348">
        <f>VLOOKUP(B177,[1]Dcu!$B$3:$D$511,3,0)</f>
        <v>3</v>
      </c>
      <c r="E177" s="10">
        <v>4.8000000000000001E-2</v>
      </c>
      <c r="F177" s="347">
        <f>VLOOKUP(B177,[1]Dcu!$B$3:$E$511,4,0)</f>
        <v>70000</v>
      </c>
      <c r="G177" s="47">
        <f t="shared" si="15"/>
        <v>43.07692307692308</v>
      </c>
    </row>
    <row r="178" spans="1:7" ht="16.5" customHeight="1" x14ac:dyDescent="0.3">
      <c r="A178" s="149">
        <v>9</v>
      </c>
      <c r="B178" s="93" t="s">
        <v>43</v>
      </c>
      <c r="C178" s="10" t="s">
        <v>76</v>
      </c>
      <c r="D178" s="348">
        <f>VLOOKUP(B178,[1]Dcu!$B$3:$D$511,3,0)</f>
        <v>0.3</v>
      </c>
      <c r="E178" s="10">
        <v>0.02</v>
      </c>
      <c r="F178" s="347">
        <f>VLOOKUP(B178,[1]Dcu!$B$3:$E$511,4,0)</f>
        <v>400000</v>
      </c>
      <c r="G178" s="47">
        <f t="shared" si="15"/>
        <v>1025.6410256410256</v>
      </c>
    </row>
    <row r="179" spans="1:7" ht="16.5" customHeight="1" x14ac:dyDescent="0.3">
      <c r="A179" s="149">
        <v>10</v>
      </c>
      <c r="B179" s="12" t="s">
        <v>621</v>
      </c>
      <c r="C179" s="10" t="s">
        <v>76</v>
      </c>
      <c r="D179" s="348">
        <f>VLOOKUP(B179,[1]Dcu!$B$3:$D$511,3,0)</f>
        <v>0.3</v>
      </c>
      <c r="E179" s="10">
        <v>0.02</v>
      </c>
      <c r="F179" s="347">
        <f>VLOOKUP(B179,[1]Dcu!$B$3:$E$511,4,0)</f>
        <v>200000</v>
      </c>
      <c r="G179" s="47">
        <f t="shared" si="15"/>
        <v>512.82051282051282</v>
      </c>
    </row>
    <row r="180" spans="1:7" ht="16.5" customHeight="1" x14ac:dyDescent="0.3">
      <c r="A180" s="149">
        <v>11</v>
      </c>
      <c r="B180" s="12" t="s">
        <v>423</v>
      </c>
      <c r="C180" s="10" t="s">
        <v>28</v>
      </c>
      <c r="D180" s="348">
        <f>VLOOKUP(B180,[1]Dcu!$B$3:$D$511,3,0)</f>
        <v>6</v>
      </c>
      <c r="E180" s="10">
        <v>0.48</v>
      </c>
      <c r="F180" s="347">
        <f>VLOOKUP(B180,[1]Dcu!$B$3:$E$511,4,0)</f>
        <v>800000</v>
      </c>
      <c r="G180" s="47">
        <f t="shared" si="15"/>
        <v>2461.5384615384614</v>
      </c>
    </row>
    <row r="181" spans="1:7" ht="16.5" customHeight="1" x14ac:dyDescent="0.3">
      <c r="A181" s="149">
        <v>12</v>
      </c>
      <c r="B181" s="12" t="s">
        <v>418</v>
      </c>
      <c r="C181" s="10" t="s">
        <v>28</v>
      </c>
      <c r="D181" s="348">
        <f>VLOOKUP(B181,[1]Dcu!$B$3:$D$511,3,0)</f>
        <v>6</v>
      </c>
      <c r="E181" s="10">
        <v>4.8000000000000001E-2</v>
      </c>
      <c r="F181" s="347">
        <f>VLOOKUP(B181,[1]Dcu!$B$3:$E$511,4,0)</f>
        <v>1000000</v>
      </c>
      <c r="G181" s="47">
        <f t="shared" si="15"/>
        <v>307.69230769230768</v>
      </c>
    </row>
    <row r="182" spans="1:7" ht="16.5" customHeight="1" x14ac:dyDescent="0.3">
      <c r="A182" s="325" t="s">
        <v>401</v>
      </c>
      <c r="B182" s="482" t="s">
        <v>623</v>
      </c>
      <c r="C182" s="484"/>
      <c r="D182" s="455" t="s">
        <v>597</v>
      </c>
      <c r="E182" s="450"/>
      <c r="F182" s="451"/>
      <c r="G182" s="164">
        <f>G169</f>
        <v>4639.3307692307699</v>
      </c>
    </row>
    <row r="183" spans="1:7" ht="16.5" customHeight="1" x14ac:dyDescent="0.3">
      <c r="A183" s="325" t="s">
        <v>402</v>
      </c>
      <c r="B183" s="482" t="s">
        <v>624</v>
      </c>
      <c r="C183" s="484"/>
      <c r="D183" s="455" t="s">
        <v>597</v>
      </c>
      <c r="E183" s="450"/>
      <c r="F183" s="451"/>
      <c r="G183" s="164">
        <f>G169</f>
        <v>4639.3307692307699</v>
      </c>
    </row>
    <row r="184" spans="1:7" ht="16.5" customHeight="1" x14ac:dyDescent="0.3">
      <c r="A184" s="11" t="s">
        <v>276</v>
      </c>
      <c r="B184" s="165" t="s">
        <v>285</v>
      </c>
      <c r="C184" s="95"/>
      <c r="D184" s="166"/>
      <c r="E184" s="167"/>
      <c r="F184" s="167"/>
      <c r="G184" s="46"/>
    </row>
    <row r="185" spans="1:7" ht="16.5" customHeight="1" x14ac:dyDescent="0.3">
      <c r="A185" s="168" t="s">
        <v>465</v>
      </c>
      <c r="B185" s="497" t="s">
        <v>508</v>
      </c>
      <c r="C185" s="497"/>
      <c r="D185" s="497"/>
      <c r="E185" s="497"/>
      <c r="G185" s="70">
        <f>SUM(G186:G210)*1.05+G211</f>
        <v>64236.070782051269</v>
      </c>
    </row>
    <row r="186" spans="1:7" ht="16.5" customHeight="1" x14ac:dyDescent="0.3">
      <c r="A186" s="10">
        <v>1</v>
      </c>
      <c r="B186" s="12" t="s">
        <v>27</v>
      </c>
      <c r="C186" s="10" t="s">
        <v>28</v>
      </c>
      <c r="D186" s="348">
        <f>VLOOKUP(B186,[1]Dcu!$B$3:$D$511,3,0)</f>
        <v>12</v>
      </c>
      <c r="E186" s="10">
        <v>0.6</v>
      </c>
      <c r="F186" s="347">
        <f>VLOOKUP(B186,[1]Dcu!$B$3:$E$511,4,0)</f>
        <v>100000</v>
      </c>
      <c r="G186" s="47">
        <f>F186/(D186*26)*E186</f>
        <v>192.30769230769229</v>
      </c>
    </row>
    <row r="187" spans="1:7" ht="16.5" customHeight="1" x14ac:dyDescent="0.3">
      <c r="A187" s="10">
        <v>2</v>
      </c>
      <c r="B187" s="12" t="s">
        <v>29</v>
      </c>
      <c r="C187" s="10" t="s">
        <v>28</v>
      </c>
      <c r="D187" s="348">
        <f>VLOOKUP(B187,[1]Dcu!$B$3:$D$511,3,0)</f>
        <v>12</v>
      </c>
      <c r="E187" s="10">
        <v>0.6</v>
      </c>
      <c r="F187" s="347">
        <f>VLOOKUP(B187,[1]Dcu!$B$3:$E$511,4,0)</f>
        <v>600000</v>
      </c>
      <c r="G187" s="47">
        <f t="shared" ref="G187:G246" si="16">F187/(D187*26)*E187</f>
        <v>1153.8461538461538</v>
      </c>
    </row>
    <row r="188" spans="1:7" ht="16.5" customHeight="1" x14ac:dyDescent="0.3">
      <c r="A188" s="10">
        <v>3</v>
      </c>
      <c r="B188" s="12" t="s">
        <v>30</v>
      </c>
      <c r="C188" s="10" t="s">
        <v>28</v>
      </c>
      <c r="D188" s="348">
        <f>VLOOKUP(B188,[1]Dcu!$B$3:$D$511,3,0)</f>
        <v>12</v>
      </c>
      <c r="E188" s="10">
        <v>0.6</v>
      </c>
      <c r="F188" s="347">
        <f>VLOOKUP(B188,[1]Dcu!$B$3:$E$511,4,0)</f>
        <v>3500000</v>
      </c>
      <c r="G188" s="47">
        <f t="shared" si="16"/>
        <v>6730.7692307692314</v>
      </c>
    </row>
    <row r="189" spans="1:7" ht="16.5" customHeight="1" x14ac:dyDescent="0.3">
      <c r="A189" s="10">
        <v>4</v>
      </c>
      <c r="B189" s="12" t="s">
        <v>31</v>
      </c>
      <c r="C189" s="10" t="s">
        <v>28</v>
      </c>
      <c r="D189" s="348">
        <f>VLOOKUP(B189,[1]Dcu!$B$3:$D$511,3,0)</f>
        <v>1</v>
      </c>
      <c r="E189" s="10">
        <v>0.6</v>
      </c>
      <c r="F189" s="347">
        <f>VLOOKUP(B189,[1]Dcu!$B$3:$E$511,4,0)</f>
        <v>3000</v>
      </c>
      <c r="G189" s="47">
        <f t="shared" si="16"/>
        <v>69.230769230769226</v>
      </c>
    </row>
    <row r="190" spans="1:7" ht="16.5" customHeight="1" x14ac:dyDescent="0.3">
      <c r="A190" s="10">
        <v>5</v>
      </c>
      <c r="B190" s="12" t="s">
        <v>32</v>
      </c>
      <c r="C190" s="10" t="s">
        <v>28</v>
      </c>
      <c r="D190" s="348">
        <f>VLOOKUP(B190,[1]Dcu!$B$3:$D$511,3,0)</f>
        <v>12</v>
      </c>
      <c r="E190" s="10">
        <v>0.6</v>
      </c>
      <c r="F190" s="347">
        <f>VLOOKUP(B190,[1]Dcu!$B$3:$E$511,4,0)</f>
        <v>85000</v>
      </c>
      <c r="G190" s="47">
        <f t="shared" si="16"/>
        <v>163.46153846153848</v>
      </c>
    </row>
    <row r="191" spans="1:7" ht="16.5" customHeight="1" x14ac:dyDescent="0.3">
      <c r="A191" s="10">
        <v>6</v>
      </c>
      <c r="B191" s="12" t="s">
        <v>33</v>
      </c>
      <c r="C191" s="10" t="s">
        <v>28</v>
      </c>
      <c r="D191" s="348">
        <f>VLOOKUP(B191,[1]Dcu!$B$3:$D$511,3,0)</f>
        <v>12</v>
      </c>
      <c r="E191" s="10">
        <v>0.6</v>
      </c>
      <c r="F191" s="347">
        <f>VLOOKUP(B191,[1]Dcu!$B$3:$E$511,4,0)</f>
        <v>88000</v>
      </c>
      <c r="G191" s="47">
        <f t="shared" si="16"/>
        <v>169.23076923076923</v>
      </c>
    </row>
    <row r="192" spans="1:7" ht="16.5" customHeight="1" x14ac:dyDescent="0.3">
      <c r="A192" s="10">
        <v>7</v>
      </c>
      <c r="B192" s="12" t="s">
        <v>34</v>
      </c>
      <c r="C192" s="10" t="s">
        <v>28</v>
      </c>
      <c r="D192" s="348">
        <f>VLOOKUP(B192,[1]Dcu!$B$3:$D$511,3,0)</f>
        <v>12</v>
      </c>
      <c r="E192" s="10">
        <v>0.6</v>
      </c>
      <c r="F192" s="347">
        <f>VLOOKUP(B192,[1]Dcu!$B$3:$E$511,4,0)</f>
        <v>143000</v>
      </c>
      <c r="G192" s="47">
        <f t="shared" si="16"/>
        <v>275</v>
      </c>
    </row>
    <row r="193" spans="1:7" ht="16.5" customHeight="1" x14ac:dyDescent="0.3">
      <c r="A193" s="10">
        <v>8</v>
      </c>
      <c r="B193" s="12" t="s">
        <v>35</v>
      </c>
      <c r="C193" s="10" t="s">
        <v>36</v>
      </c>
      <c r="D193" s="348">
        <f>VLOOKUP(B193,[1]Dcu!$B$3:$D$511,3,0)</f>
        <v>24</v>
      </c>
      <c r="E193" s="10">
        <v>0.6</v>
      </c>
      <c r="F193" s="347">
        <f>VLOOKUP(B193,[1]Dcu!$B$3:$E$511,4,0)</f>
        <v>3000000</v>
      </c>
      <c r="G193" s="47">
        <f t="shared" si="16"/>
        <v>2884.6153846153843</v>
      </c>
    </row>
    <row r="194" spans="1:7" ht="16.5" customHeight="1" x14ac:dyDescent="0.3">
      <c r="A194" s="10">
        <v>9</v>
      </c>
      <c r="B194" s="12" t="s">
        <v>37</v>
      </c>
      <c r="C194" s="10" t="s">
        <v>28</v>
      </c>
      <c r="D194" s="348">
        <f>VLOOKUP(B194,[1]Dcu!$B$3:$D$511,3,0)</f>
        <v>12</v>
      </c>
      <c r="E194" s="10">
        <v>0.6</v>
      </c>
      <c r="F194" s="347">
        <f>VLOOKUP(B194,[1]Dcu!$B$3:$E$511,4,0)</f>
        <v>30000</v>
      </c>
      <c r="G194" s="47">
        <f t="shared" si="16"/>
        <v>57.692307692307693</v>
      </c>
    </row>
    <row r="195" spans="1:7" ht="16.5" customHeight="1" x14ac:dyDescent="0.3">
      <c r="A195" s="10">
        <v>10</v>
      </c>
      <c r="B195" s="12" t="s">
        <v>254</v>
      </c>
      <c r="C195" s="10" t="s">
        <v>28</v>
      </c>
      <c r="D195" s="348">
        <f>VLOOKUP(B195,[1]Dcu!$B$3:$D$511,3,0)</f>
        <v>24</v>
      </c>
      <c r="E195" s="10">
        <v>0.6</v>
      </c>
      <c r="F195" s="347">
        <f>VLOOKUP(B195,[1]Dcu!$B$3:$E$511,4,0)</f>
        <v>30000</v>
      </c>
      <c r="G195" s="47">
        <f t="shared" si="16"/>
        <v>28.846153846153847</v>
      </c>
    </row>
    <row r="196" spans="1:7" ht="16.5" customHeight="1" x14ac:dyDescent="0.3">
      <c r="A196" s="10">
        <v>11</v>
      </c>
      <c r="B196" s="12" t="s">
        <v>38</v>
      </c>
      <c r="C196" s="10" t="s">
        <v>28</v>
      </c>
      <c r="D196" s="348">
        <f>VLOOKUP(B196,[1]Dcu!$B$3:$D$511,3,0)</f>
        <v>6</v>
      </c>
      <c r="E196" s="10">
        <v>0.6</v>
      </c>
      <c r="F196" s="347">
        <f>VLOOKUP(B196,[1]Dcu!$B$3:$E$511,4,0)</f>
        <v>12000000</v>
      </c>
      <c r="G196" s="47">
        <f t="shared" si="16"/>
        <v>46153.846153846149</v>
      </c>
    </row>
    <row r="197" spans="1:7" ht="16.5" customHeight="1" x14ac:dyDescent="0.3">
      <c r="A197" s="10">
        <v>12</v>
      </c>
      <c r="B197" s="12" t="s">
        <v>39</v>
      </c>
      <c r="C197" s="10" t="s">
        <v>28</v>
      </c>
      <c r="D197" s="348">
        <f>VLOOKUP(B197,[1]Dcu!$B$3:$D$511,3,0)</f>
        <v>36</v>
      </c>
      <c r="E197" s="10">
        <v>0.6</v>
      </c>
      <c r="F197" s="347">
        <f>VLOOKUP(B197,[1]Dcu!$B$3:$E$511,4,0)</f>
        <v>340000</v>
      </c>
      <c r="G197" s="47">
        <f t="shared" si="16"/>
        <v>217.94871794871793</v>
      </c>
    </row>
    <row r="198" spans="1:7" ht="16.5" customHeight="1" x14ac:dyDescent="0.3">
      <c r="A198" s="10">
        <v>13</v>
      </c>
      <c r="B198" s="12" t="s">
        <v>40</v>
      </c>
      <c r="C198" s="10" t="s">
        <v>28</v>
      </c>
      <c r="D198" s="348">
        <f>VLOOKUP(B198,[1]Dcu!$B$3:$D$511,3,0)</f>
        <v>36</v>
      </c>
      <c r="E198" s="10">
        <v>0.6</v>
      </c>
      <c r="F198" s="347">
        <f>VLOOKUP(B198,[1]Dcu!$B$3:$E$511,4,0)</f>
        <v>700000</v>
      </c>
      <c r="G198" s="47">
        <f t="shared" si="16"/>
        <v>448.71794871794867</v>
      </c>
    </row>
    <row r="199" spans="1:7" ht="16.5" customHeight="1" x14ac:dyDescent="0.3">
      <c r="A199" s="10">
        <v>14</v>
      </c>
      <c r="B199" s="12" t="s">
        <v>41</v>
      </c>
      <c r="C199" s="10" t="s">
        <v>28</v>
      </c>
      <c r="D199" s="348">
        <f>VLOOKUP(B199,[1]Dcu!$B$3:$D$511,3,0)</f>
        <v>36</v>
      </c>
      <c r="E199" s="10">
        <v>0.6</v>
      </c>
      <c r="F199" s="347">
        <f>VLOOKUP(B199,[1]Dcu!$B$3:$E$511,4,0)</f>
        <v>60000</v>
      </c>
      <c r="G199" s="47">
        <f t="shared" si="16"/>
        <v>38.46153846153846</v>
      </c>
    </row>
    <row r="200" spans="1:7" ht="16.5" customHeight="1" x14ac:dyDescent="0.3">
      <c r="A200" s="10">
        <v>15</v>
      </c>
      <c r="B200" s="5" t="s">
        <v>639</v>
      </c>
      <c r="C200" s="4" t="s">
        <v>28</v>
      </c>
      <c r="D200" s="348">
        <f>VLOOKUP(B200,[1]Dcu!$B$3:$D$511,3,0)</f>
        <v>12</v>
      </c>
      <c r="E200" s="10">
        <v>0.6</v>
      </c>
      <c r="F200" s="347">
        <f>VLOOKUP(B200,[1]Dcu!$B$3:$E$511,4,0)</f>
        <v>30000</v>
      </c>
      <c r="G200" s="47">
        <f t="shared" si="16"/>
        <v>57.692307692307693</v>
      </c>
    </row>
    <row r="201" spans="1:7" ht="16.5" customHeight="1" x14ac:dyDescent="0.3">
      <c r="A201" s="10">
        <v>17</v>
      </c>
      <c r="B201" s="12" t="s">
        <v>621</v>
      </c>
      <c r="C201" s="10" t="s">
        <v>76</v>
      </c>
      <c r="D201" s="348">
        <f>VLOOKUP(B201,[1]Dcu!$B$3:$D$511,3,0)</f>
        <v>0.3</v>
      </c>
      <c r="E201" s="10">
        <v>0.02</v>
      </c>
      <c r="F201" s="347">
        <f>VLOOKUP(B201,[1]Dcu!$B$3:$E$511,4,0)</f>
        <v>200000</v>
      </c>
      <c r="G201" s="47">
        <f t="shared" si="16"/>
        <v>512.82051282051282</v>
      </c>
    </row>
    <row r="202" spans="1:7" ht="16.5" customHeight="1" x14ac:dyDescent="0.3">
      <c r="A202" s="10">
        <v>18</v>
      </c>
      <c r="B202" s="5" t="s">
        <v>43</v>
      </c>
      <c r="C202" s="10" t="s">
        <v>76</v>
      </c>
      <c r="D202" s="348">
        <f>VLOOKUP(B202,[1]Dcu!$B$3:$D$511,3,0)</f>
        <v>0.3</v>
      </c>
      <c r="E202" s="10">
        <v>0.02</v>
      </c>
      <c r="F202" s="347">
        <f>VLOOKUP(B202,[1]Dcu!$B$3:$E$511,4,0)</f>
        <v>400000</v>
      </c>
      <c r="G202" s="47">
        <f t="shared" si="16"/>
        <v>1025.6410256410256</v>
      </c>
    </row>
    <row r="203" spans="1:7" ht="16.5" customHeight="1" x14ac:dyDescent="0.3">
      <c r="A203" s="10">
        <v>19</v>
      </c>
      <c r="B203" s="5" t="s">
        <v>44</v>
      </c>
      <c r="C203" s="4" t="s">
        <v>28</v>
      </c>
      <c r="D203" s="348">
        <f>VLOOKUP(B203,[1]Dcu!$B$3:$D$511,3,0)</f>
        <v>60</v>
      </c>
      <c r="E203" s="10">
        <v>5.2999999999999999E-2</v>
      </c>
      <c r="F203" s="347">
        <f>VLOOKUP(B203,[1]Dcu!$B$3:$E$511,4,0)</f>
        <v>500000</v>
      </c>
      <c r="G203" s="47">
        <f t="shared" si="16"/>
        <v>16.987179487179485</v>
      </c>
    </row>
    <row r="204" spans="1:7" ht="16.5" customHeight="1" x14ac:dyDescent="0.3">
      <c r="A204" s="10">
        <v>20</v>
      </c>
      <c r="B204" s="5" t="s">
        <v>45</v>
      </c>
      <c r="C204" s="4" t="s">
        <v>28</v>
      </c>
      <c r="D204" s="348">
        <f>VLOOKUP(B204,[1]Dcu!$B$3:$D$511,3,0)</f>
        <v>60</v>
      </c>
      <c r="E204" s="4">
        <v>5.2999999999999999E-2</v>
      </c>
      <c r="F204" s="347">
        <f>VLOOKUP(B204,[1]Dcu!$B$3:$E$511,4,0)</f>
        <v>250000</v>
      </c>
      <c r="G204" s="47">
        <f t="shared" si="16"/>
        <v>8.4935897435897427</v>
      </c>
    </row>
    <row r="205" spans="1:7" ht="16.5" customHeight="1" x14ac:dyDescent="0.3">
      <c r="A205" s="10">
        <v>21</v>
      </c>
      <c r="B205" s="5" t="s">
        <v>46</v>
      </c>
      <c r="C205" s="4" t="s">
        <v>28</v>
      </c>
      <c r="D205" s="348">
        <f>VLOOKUP(B205,[1]Dcu!$B$3:$D$511,3,0)</f>
        <v>60</v>
      </c>
      <c r="E205" s="4">
        <v>3.0000000000000001E-3</v>
      </c>
      <c r="F205" s="347">
        <f>VLOOKUP(B205,[1]Dcu!$B$3:$E$511,4,0)</f>
        <v>1600000</v>
      </c>
      <c r="G205" s="47">
        <f t="shared" si="16"/>
        <v>3.0769230769230771</v>
      </c>
    </row>
    <row r="206" spans="1:7" ht="16.5" customHeight="1" x14ac:dyDescent="0.3">
      <c r="A206" s="10">
        <v>22</v>
      </c>
      <c r="B206" s="5" t="s">
        <v>47</v>
      </c>
      <c r="C206" s="4" t="s">
        <v>28</v>
      </c>
      <c r="D206" s="348">
        <f>VLOOKUP(B206,[1]Dcu!$B$3:$D$511,3,0)</f>
        <v>60</v>
      </c>
      <c r="E206" s="4">
        <v>0.02</v>
      </c>
      <c r="F206" s="347">
        <f>VLOOKUP(B206,[1]Dcu!$B$3:$E$511,4,0)</f>
        <v>1500000</v>
      </c>
      <c r="G206" s="47">
        <f t="shared" si="16"/>
        <v>19.23076923076923</v>
      </c>
    </row>
    <row r="207" spans="1:7" ht="16.5" customHeight="1" x14ac:dyDescent="0.3">
      <c r="A207" s="10">
        <v>23</v>
      </c>
      <c r="B207" s="5" t="s">
        <v>48</v>
      </c>
      <c r="C207" s="4" t="s">
        <v>36</v>
      </c>
      <c r="D207" s="348">
        <f>VLOOKUP(B207,[1]Dcu!$B$3:$D$511,3,0)</f>
        <v>36</v>
      </c>
      <c r="E207" s="4">
        <v>0.32</v>
      </c>
      <c r="F207" s="347">
        <f>VLOOKUP(B207,[1]Dcu!$B$3:$E$511,4,0)</f>
        <v>40000</v>
      </c>
      <c r="G207" s="47">
        <f t="shared" si="16"/>
        <v>13.675213675213675</v>
      </c>
    </row>
    <row r="208" spans="1:7" ht="16.5" customHeight="1" x14ac:dyDescent="0.3">
      <c r="A208" s="10">
        <v>24</v>
      </c>
      <c r="B208" s="5" t="s">
        <v>49</v>
      </c>
      <c r="C208" s="4" t="s">
        <v>28</v>
      </c>
      <c r="D208" s="348">
        <f>VLOOKUP(B208,[1]Dcu!$B$3:$D$511,3,0)</f>
        <v>96</v>
      </c>
      <c r="E208" s="4">
        <v>0.08</v>
      </c>
      <c r="F208" s="347">
        <f>VLOOKUP(B208,[1]Dcu!$B$3:$E$511,4,0)</f>
        <v>1000000</v>
      </c>
      <c r="G208" s="47">
        <f t="shared" si="16"/>
        <v>32.051282051282051</v>
      </c>
    </row>
    <row r="209" spans="1:7" ht="16.5" customHeight="1" x14ac:dyDescent="0.3">
      <c r="A209" s="10">
        <v>25</v>
      </c>
      <c r="B209" s="5" t="s">
        <v>50</v>
      </c>
      <c r="C209" s="4" t="s">
        <v>28</v>
      </c>
      <c r="D209" s="348">
        <f>VLOOKUP(B209,[1]Dcu!$B$3:$D$511,3,0)</f>
        <v>96</v>
      </c>
      <c r="E209" s="4">
        <v>0.6</v>
      </c>
      <c r="F209" s="347">
        <f>VLOOKUP(B209,[1]Dcu!$B$3:$E$511,4,0)</f>
        <v>300000</v>
      </c>
      <c r="G209" s="47">
        <f t="shared" si="16"/>
        <v>72.115384615384613</v>
      </c>
    </row>
    <row r="210" spans="1:7" ht="16.5" customHeight="1" x14ac:dyDescent="0.3">
      <c r="A210" s="10">
        <v>26</v>
      </c>
      <c r="B210" s="5" t="s">
        <v>51</v>
      </c>
      <c r="C210" s="4" t="s">
        <v>28</v>
      </c>
      <c r="D210" s="348">
        <f>VLOOKUP(B210,[1]Dcu!$B$3:$D$511,3,0)</f>
        <v>96</v>
      </c>
      <c r="E210" s="4">
        <v>0.6</v>
      </c>
      <c r="F210" s="347">
        <f>VLOOKUP(B210,[1]Dcu!$B$3:$E$511,4,0)</f>
        <v>80000</v>
      </c>
      <c r="G210" s="47">
        <f t="shared" si="16"/>
        <v>19.23076923076923</v>
      </c>
    </row>
    <row r="211" spans="1:7" ht="16.5" customHeight="1" x14ac:dyDescent="0.3">
      <c r="A211" s="10">
        <v>28</v>
      </c>
      <c r="B211" s="5" t="s">
        <v>52</v>
      </c>
      <c r="C211" s="4" t="s">
        <v>53</v>
      </c>
      <c r="D211" s="4"/>
      <c r="E211" s="4">
        <v>0.46400000000000002</v>
      </c>
      <c r="F211" s="347">
        <f>VLOOKUP(B211,[1]Dcu!$B$3:$E$511,4,0)</f>
        <v>1838</v>
      </c>
      <c r="G211" s="47">
        <f>F211*E211</f>
        <v>852.83199999999999</v>
      </c>
    </row>
    <row r="212" spans="1:7" ht="16.5" customHeight="1" x14ac:dyDescent="0.3">
      <c r="A212" s="11" t="s">
        <v>466</v>
      </c>
      <c r="B212" s="463" t="s">
        <v>509</v>
      </c>
      <c r="C212" s="463"/>
      <c r="D212" s="463"/>
      <c r="E212" s="463"/>
      <c r="F212" s="46"/>
      <c r="G212" s="45">
        <f>SUM(G213:G238)*1.05+G239</f>
        <v>22248.89223076923</v>
      </c>
    </row>
    <row r="213" spans="1:7" ht="16.5" customHeight="1" x14ac:dyDescent="0.3">
      <c r="A213" s="10">
        <v>1</v>
      </c>
      <c r="B213" s="12" t="s">
        <v>27</v>
      </c>
      <c r="C213" s="10" t="s">
        <v>28</v>
      </c>
      <c r="D213" s="348">
        <f>VLOOKUP(B213,[1]Dcu!$B$3:$D$511,3,0)</f>
        <v>12</v>
      </c>
      <c r="E213" s="4">
        <v>0.6</v>
      </c>
      <c r="F213" s="347">
        <f>VLOOKUP(B213,[1]Dcu!$B$3:$E$511,4,0)</f>
        <v>100000</v>
      </c>
      <c r="G213" s="47">
        <f t="shared" si="16"/>
        <v>192.30769230769229</v>
      </c>
    </row>
    <row r="214" spans="1:7" ht="16.5" customHeight="1" x14ac:dyDescent="0.3">
      <c r="A214" s="10">
        <v>2</v>
      </c>
      <c r="B214" s="12" t="s">
        <v>54</v>
      </c>
      <c r="C214" s="10" t="s">
        <v>28</v>
      </c>
      <c r="D214" s="348">
        <f>VLOOKUP(B214,[1]Dcu!$B$3:$D$511,3,0)</f>
        <v>6</v>
      </c>
      <c r="E214" s="4">
        <v>0.6</v>
      </c>
      <c r="F214" s="347">
        <f>VLOOKUP(B214,[1]Dcu!$B$3:$E$511,4,0)</f>
        <v>30000</v>
      </c>
      <c r="G214" s="47">
        <f t="shared" si="16"/>
        <v>115.38461538461539</v>
      </c>
    </row>
    <row r="215" spans="1:7" ht="16.5" customHeight="1" x14ac:dyDescent="0.3">
      <c r="A215" s="10">
        <v>3</v>
      </c>
      <c r="B215" s="12" t="s">
        <v>32</v>
      </c>
      <c r="C215" s="10" t="s">
        <v>28</v>
      </c>
      <c r="D215" s="348">
        <f>VLOOKUP(B215,[1]Dcu!$B$3:$D$511,3,0)</f>
        <v>12</v>
      </c>
      <c r="E215" s="4">
        <v>0.6</v>
      </c>
      <c r="F215" s="347">
        <f>VLOOKUP(B215,[1]Dcu!$B$3:$E$511,4,0)</f>
        <v>85000</v>
      </c>
      <c r="G215" s="47">
        <f t="shared" si="16"/>
        <v>163.46153846153848</v>
      </c>
    </row>
    <row r="216" spans="1:7" ht="16.5" customHeight="1" x14ac:dyDescent="0.3">
      <c r="A216" s="10">
        <v>4</v>
      </c>
      <c r="B216" s="12" t="s">
        <v>33</v>
      </c>
      <c r="C216" s="10" t="s">
        <v>28</v>
      </c>
      <c r="D216" s="348">
        <f>VLOOKUP(B216,[1]Dcu!$B$3:$D$511,3,0)</f>
        <v>12</v>
      </c>
      <c r="E216" s="4">
        <v>0.6</v>
      </c>
      <c r="F216" s="347">
        <f>VLOOKUP(B216,[1]Dcu!$B$3:$E$511,4,0)</f>
        <v>88000</v>
      </c>
      <c r="G216" s="47">
        <f t="shared" si="16"/>
        <v>169.23076923076923</v>
      </c>
    </row>
    <row r="217" spans="1:7" ht="16.5" customHeight="1" x14ac:dyDescent="0.3">
      <c r="A217" s="10">
        <v>5</v>
      </c>
      <c r="B217" s="12" t="s">
        <v>34</v>
      </c>
      <c r="C217" s="10" t="s">
        <v>28</v>
      </c>
      <c r="D217" s="348">
        <f>VLOOKUP(B217,[1]Dcu!$B$3:$D$511,3,0)</f>
        <v>12</v>
      </c>
      <c r="E217" s="4">
        <v>0.6</v>
      </c>
      <c r="F217" s="347">
        <f>VLOOKUP(B217,[1]Dcu!$B$3:$E$511,4,0)</f>
        <v>143000</v>
      </c>
      <c r="G217" s="47">
        <f t="shared" si="16"/>
        <v>275</v>
      </c>
    </row>
    <row r="218" spans="1:7" ht="16.5" customHeight="1" x14ac:dyDescent="0.3">
      <c r="A218" s="10">
        <v>6</v>
      </c>
      <c r="B218" s="12" t="s">
        <v>55</v>
      </c>
      <c r="C218" s="10" t="s">
        <v>28</v>
      </c>
      <c r="D218" s="348">
        <f>VLOOKUP(B218,[1]Dcu!$B$3:$D$511,3,0)</f>
        <v>12</v>
      </c>
      <c r="E218" s="4">
        <v>0.6</v>
      </c>
      <c r="F218" s="347">
        <f>VLOOKUP(B218,[1]Dcu!$B$3:$E$511,4,0)</f>
        <v>150000</v>
      </c>
      <c r="G218" s="47">
        <f t="shared" si="16"/>
        <v>288.46153846153845</v>
      </c>
    </row>
    <row r="219" spans="1:7" ht="16.5" customHeight="1" x14ac:dyDescent="0.3">
      <c r="A219" s="10">
        <v>7</v>
      </c>
      <c r="B219" s="12" t="s">
        <v>56</v>
      </c>
      <c r="C219" s="10" t="s">
        <v>28</v>
      </c>
      <c r="D219" s="348">
        <f>VLOOKUP(B219,[1]Dcu!$B$3:$D$511,3,0)</f>
        <v>12</v>
      </c>
      <c r="E219" s="4">
        <v>0.6</v>
      </c>
      <c r="F219" s="347">
        <f>VLOOKUP(B219,[1]Dcu!$B$3:$E$511,4,0)</f>
        <v>80000</v>
      </c>
      <c r="G219" s="47">
        <f t="shared" si="16"/>
        <v>153.84615384615384</v>
      </c>
    </row>
    <row r="220" spans="1:7" ht="16.5" customHeight="1" x14ac:dyDescent="0.3">
      <c r="A220" s="10">
        <v>8</v>
      </c>
      <c r="B220" s="12" t="s">
        <v>30</v>
      </c>
      <c r="C220" s="10" t="s">
        <v>28</v>
      </c>
      <c r="D220" s="348">
        <f>VLOOKUP(B220,[1]Dcu!$B$3:$D$511,3,0)</f>
        <v>12</v>
      </c>
      <c r="E220" s="4">
        <v>0.6</v>
      </c>
      <c r="F220" s="347">
        <f>VLOOKUP(B220,[1]Dcu!$B$3:$E$511,4,0)</f>
        <v>3500000</v>
      </c>
      <c r="G220" s="47">
        <f t="shared" si="16"/>
        <v>6730.7692307692314</v>
      </c>
    </row>
    <row r="221" spans="1:7" ht="16.5" customHeight="1" x14ac:dyDescent="0.3">
      <c r="A221" s="10">
        <v>9</v>
      </c>
      <c r="B221" s="48" t="s">
        <v>94</v>
      </c>
      <c r="C221" s="10" t="s">
        <v>28</v>
      </c>
      <c r="D221" s="348">
        <f>VLOOKUP(B221,[1]Dcu!$B$3:$D$511,3,0)</f>
        <v>12</v>
      </c>
      <c r="E221" s="4">
        <v>0.6</v>
      </c>
      <c r="F221" s="347">
        <f>VLOOKUP(B221,[1]Dcu!$B$3:$E$511,4,0)</f>
        <v>4900000</v>
      </c>
      <c r="G221" s="47">
        <f t="shared" si="16"/>
        <v>9423.076923076922</v>
      </c>
    </row>
    <row r="222" spans="1:7" ht="16.5" customHeight="1" x14ac:dyDescent="0.3">
      <c r="A222" s="10">
        <v>10</v>
      </c>
      <c r="B222" s="12" t="s">
        <v>57</v>
      </c>
      <c r="C222" s="10" t="s">
        <v>28</v>
      </c>
      <c r="D222" s="348">
        <f>VLOOKUP(B222,[1]Dcu!$B$3:$D$511,3,0)</f>
        <v>1</v>
      </c>
      <c r="E222" s="4">
        <v>0.6</v>
      </c>
      <c r="F222" s="347">
        <f>VLOOKUP(B222,[1]Dcu!$B$3:$E$511,4,0)</f>
        <v>3000</v>
      </c>
      <c r="G222" s="47">
        <f t="shared" si="16"/>
        <v>69.230769230769226</v>
      </c>
    </row>
    <row r="223" spans="1:7" ht="16.5" customHeight="1" x14ac:dyDescent="0.3">
      <c r="A223" s="10">
        <v>11</v>
      </c>
      <c r="B223" s="12" t="s">
        <v>58</v>
      </c>
      <c r="C223" s="10" t="s">
        <v>28</v>
      </c>
      <c r="D223" s="348">
        <f>VLOOKUP(B223,[1]Dcu!$B$3:$D$511,3,0)</f>
        <v>36</v>
      </c>
      <c r="E223" s="4">
        <v>0.6</v>
      </c>
      <c r="F223" s="347">
        <f>VLOOKUP(B223,[1]Dcu!$B$3:$E$511,4,0)</f>
        <v>150000</v>
      </c>
      <c r="G223" s="47">
        <f t="shared" si="16"/>
        <v>96.153846153846146</v>
      </c>
    </row>
    <row r="224" spans="1:7" ht="16.5" customHeight="1" x14ac:dyDescent="0.3">
      <c r="A224" s="10">
        <v>12</v>
      </c>
      <c r="B224" s="12" t="s">
        <v>59</v>
      </c>
      <c r="C224" s="10" t="s">
        <v>28</v>
      </c>
      <c r="D224" s="348">
        <f>VLOOKUP(B224,[1]Dcu!$B$3:$D$511,3,0)</f>
        <v>36</v>
      </c>
      <c r="E224" s="4">
        <v>0.6</v>
      </c>
      <c r="F224" s="347">
        <f>VLOOKUP(B224,[1]Dcu!$B$3:$E$511,4,0)</f>
        <v>110000</v>
      </c>
      <c r="G224" s="47">
        <f t="shared" si="16"/>
        <v>70.512820512820511</v>
      </c>
    </row>
    <row r="225" spans="1:7" ht="16.5" customHeight="1" x14ac:dyDescent="0.3">
      <c r="A225" s="10">
        <v>13</v>
      </c>
      <c r="B225" s="12" t="s">
        <v>60</v>
      </c>
      <c r="C225" s="10" t="s">
        <v>28</v>
      </c>
      <c r="D225" s="348">
        <f>VLOOKUP(B225,[1]Dcu!$B$3:$D$511,3,0)</f>
        <v>12</v>
      </c>
      <c r="E225" s="4">
        <v>0.6</v>
      </c>
      <c r="F225" s="347">
        <f>VLOOKUP(B225,[1]Dcu!$B$3:$E$511,4,0)</f>
        <v>75000</v>
      </c>
      <c r="G225" s="47">
        <f t="shared" si="16"/>
        <v>144.23076923076923</v>
      </c>
    </row>
    <row r="226" spans="1:7" ht="16.5" customHeight="1" x14ac:dyDescent="0.3">
      <c r="A226" s="10">
        <v>14</v>
      </c>
      <c r="B226" s="12" t="s">
        <v>61</v>
      </c>
      <c r="C226" s="10" t="s">
        <v>28</v>
      </c>
      <c r="D226" s="348">
        <f>VLOOKUP(B226,[1]Dcu!$B$3:$D$511,3,0)</f>
        <v>12</v>
      </c>
      <c r="E226" s="4">
        <v>0.6</v>
      </c>
      <c r="F226" s="347">
        <f>VLOOKUP(B226,[1]Dcu!$B$3:$E$511,4,0)</f>
        <v>15000</v>
      </c>
      <c r="G226" s="47">
        <f t="shared" si="16"/>
        <v>28.846153846153847</v>
      </c>
    </row>
    <row r="227" spans="1:7" ht="16.5" customHeight="1" x14ac:dyDescent="0.3">
      <c r="A227" s="10">
        <v>15</v>
      </c>
      <c r="B227" s="12" t="s">
        <v>39</v>
      </c>
      <c r="C227" s="10" t="s">
        <v>28</v>
      </c>
      <c r="D227" s="348">
        <f>VLOOKUP(B227,[1]Dcu!$B$3:$D$511,3,0)</f>
        <v>36</v>
      </c>
      <c r="E227" s="4">
        <v>0.6</v>
      </c>
      <c r="F227" s="347">
        <f>VLOOKUP(B227,[1]Dcu!$B$3:$E$511,4,0)</f>
        <v>340000</v>
      </c>
      <c r="G227" s="47">
        <f t="shared" si="16"/>
        <v>217.94871794871793</v>
      </c>
    </row>
    <row r="228" spans="1:7" ht="16.5" customHeight="1" x14ac:dyDescent="0.3">
      <c r="A228" s="10">
        <v>16</v>
      </c>
      <c r="B228" s="5" t="s">
        <v>639</v>
      </c>
      <c r="C228" s="4" t="s">
        <v>28</v>
      </c>
      <c r="D228" s="348">
        <f>VLOOKUP(B228,[1]Dcu!$B$3:$D$511,3,0)</f>
        <v>12</v>
      </c>
      <c r="E228" s="4">
        <v>0.6</v>
      </c>
      <c r="F228" s="347">
        <f>VLOOKUP(B228,[1]Dcu!$B$3:$E$511,4,0)</f>
        <v>30000</v>
      </c>
      <c r="G228" s="47">
        <f t="shared" si="16"/>
        <v>57.692307692307693</v>
      </c>
    </row>
    <row r="229" spans="1:7" ht="16.5" customHeight="1" x14ac:dyDescent="0.3">
      <c r="A229" s="10">
        <v>18</v>
      </c>
      <c r="B229" s="12" t="s">
        <v>621</v>
      </c>
      <c r="C229" s="10" t="s">
        <v>76</v>
      </c>
      <c r="D229" s="348">
        <f>VLOOKUP(B229,[1]Dcu!$B$3:$D$511,3,0)</f>
        <v>0.3</v>
      </c>
      <c r="E229" s="10">
        <v>0.02</v>
      </c>
      <c r="F229" s="347">
        <f>VLOOKUP(B229,[1]Dcu!$B$3:$E$511,4,0)</f>
        <v>200000</v>
      </c>
      <c r="G229" s="47">
        <f t="shared" si="16"/>
        <v>512.82051282051282</v>
      </c>
    </row>
    <row r="230" spans="1:7" ht="16.5" customHeight="1" x14ac:dyDescent="0.3">
      <c r="A230" s="10">
        <v>19</v>
      </c>
      <c r="B230" s="5" t="s">
        <v>43</v>
      </c>
      <c r="C230" s="10" t="s">
        <v>76</v>
      </c>
      <c r="D230" s="348">
        <f>VLOOKUP(B230,[1]Dcu!$B$3:$D$511,3,0)</f>
        <v>0.3</v>
      </c>
      <c r="E230" s="10">
        <v>0.02</v>
      </c>
      <c r="F230" s="347">
        <f>VLOOKUP(B230,[1]Dcu!$B$3:$E$511,4,0)</f>
        <v>400000</v>
      </c>
      <c r="G230" s="47">
        <f t="shared" si="16"/>
        <v>1025.6410256410256</v>
      </c>
    </row>
    <row r="231" spans="1:7" ht="16.5" customHeight="1" x14ac:dyDescent="0.3">
      <c r="A231" s="10">
        <v>20</v>
      </c>
      <c r="B231" s="5" t="s">
        <v>44</v>
      </c>
      <c r="C231" s="4" t="s">
        <v>28</v>
      </c>
      <c r="D231" s="348">
        <f>VLOOKUP(B231,[1]Dcu!$B$3:$D$511,3,0)</f>
        <v>60</v>
      </c>
      <c r="E231" s="4">
        <v>0.08</v>
      </c>
      <c r="F231" s="347">
        <f>VLOOKUP(B231,[1]Dcu!$B$3:$E$511,4,0)</f>
        <v>500000</v>
      </c>
      <c r="G231" s="47">
        <f t="shared" si="16"/>
        <v>25.641025641025639</v>
      </c>
    </row>
    <row r="232" spans="1:7" ht="16.5" customHeight="1" x14ac:dyDescent="0.3">
      <c r="A232" s="10">
        <v>21</v>
      </c>
      <c r="B232" s="5" t="s">
        <v>45</v>
      </c>
      <c r="C232" s="4" t="s">
        <v>28</v>
      </c>
      <c r="D232" s="348">
        <f>VLOOKUP(B232,[1]Dcu!$B$3:$D$511,3,0)</f>
        <v>60</v>
      </c>
      <c r="E232" s="4">
        <v>0.08</v>
      </c>
      <c r="F232" s="347">
        <f>VLOOKUP(B232,[1]Dcu!$B$3:$E$511,4,0)</f>
        <v>250000</v>
      </c>
      <c r="G232" s="47">
        <f t="shared" si="16"/>
        <v>12.820512820512819</v>
      </c>
    </row>
    <row r="233" spans="1:7" ht="16.5" customHeight="1" x14ac:dyDescent="0.3">
      <c r="A233" s="10">
        <v>22</v>
      </c>
      <c r="B233" s="5" t="s">
        <v>46</v>
      </c>
      <c r="C233" s="4" t="s">
        <v>28</v>
      </c>
      <c r="D233" s="348">
        <f>VLOOKUP(B233,[1]Dcu!$B$3:$D$511,3,0)</f>
        <v>60</v>
      </c>
      <c r="E233" s="4">
        <v>4.0000000000000001E-3</v>
      </c>
      <c r="F233" s="347">
        <f>VLOOKUP(B233,[1]Dcu!$B$3:$E$511,4,0)</f>
        <v>1600000</v>
      </c>
      <c r="G233" s="47">
        <f t="shared" si="16"/>
        <v>4.1025641025641022</v>
      </c>
    </row>
    <row r="234" spans="1:7" ht="16.5" customHeight="1" x14ac:dyDescent="0.3">
      <c r="A234" s="10">
        <v>23</v>
      </c>
      <c r="B234" s="5" t="s">
        <v>47</v>
      </c>
      <c r="C234" s="4" t="s">
        <v>28</v>
      </c>
      <c r="D234" s="348">
        <f>VLOOKUP(B234,[1]Dcu!$B$3:$D$511,3,0)</f>
        <v>60</v>
      </c>
      <c r="E234" s="4">
        <v>0.03</v>
      </c>
      <c r="F234" s="347">
        <f>VLOOKUP(B234,[1]Dcu!$B$3:$E$511,4,0)</f>
        <v>1500000</v>
      </c>
      <c r="G234" s="47">
        <f t="shared" si="16"/>
        <v>28.846153846153847</v>
      </c>
    </row>
    <row r="235" spans="1:7" ht="16.5" customHeight="1" x14ac:dyDescent="0.3">
      <c r="A235" s="10">
        <v>24</v>
      </c>
      <c r="B235" s="5" t="s">
        <v>48</v>
      </c>
      <c r="C235" s="4" t="s">
        <v>36</v>
      </c>
      <c r="D235" s="348">
        <f>VLOOKUP(B235,[1]Dcu!$B$3:$D$511,3,0)</f>
        <v>36</v>
      </c>
      <c r="E235" s="4">
        <v>0.6</v>
      </c>
      <c r="F235" s="347">
        <f>VLOOKUP(B235,[1]Dcu!$B$3:$E$511,4,0)</f>
        <v>40000</v>
      </c>
      <c r="G235" s="47">
        <f t="shared" si="16"/>
        <v>25.641025641025639</v>
      </c>
    </row>
    <row r="236" spans="1:7" ht="16.5" customHeight="1" x14ac:dyDescent="0.3">
      <c r="A236" s="10">
        <v>25</v>
      </c>
      <c r="B236" s="5" t="s">
        <v>49</v>
      </c>
      <c r="C236" s="4" t="s">
        <v>28</v>
      </c>
      <c r="D236" s="348">
        <f>VLOOKUP(B236,[1]Dcu!$B$3:$D$511,3,0)</f>
        <v>96</v>
      </c>
      <c r="E236" s="4">
        <v>0.12</v>
      </c>
      <c r="F236" s="347">
        <f>VLOOKUP(B236,[1]Dcu!$B$3:$E$511,4,0)</f>
        <v>1000000</v>
      </c>
      <c r="G236" s="47">
        <f t="shared" si="16"/>
        <v>48.076923076923073</v>
      </c>
    </row>
    <row r="237" spans="1:7" ht="16.5" customHeight="1" x14ac:dyDescent="0.3">
      <c r="A237" s="10">
        <v>26</v>
      </c>
      <c r="B237" s="5" t="s">
        <v>50</v>
      </c>
      <c r="C237" s="4" t="s">
        <v>28</v>
      </c>
      <c r="D237" s="348">
        <f>VLOOKUP(B237,[1]Dcu!$B$3:$D$511,3,0)</f>
        <v>96</v>
      </c>
      <c r="E237" s="4">
        <v>0.6</v>
      </c>
      <c r="F237" s="347">
        <f>VLOOKUP(B237,[1]Dcu!$B$3:$E$511,4,0)</f>
        <v>300000</v>
      </c>
      <c r="G237" s="47">
        <f t="shared" si="16"/>
        <v>72.115384615384613</v>
      </c>
    </row>
    <row r="238" spans="1:7" ht="16.5" customHeight="1" x14ac:dyDescent="0.3">
      <c r="A238" s="10">
        <v>27</v>
      </c>
      <c r="B238" s="5" t="s">
        <v>51</v>
      </c>
      <c r="C238" s="4" t="s">
        <v>28</v>
      </c>
      <c r="D238" s="348">
        <f>VLOOKUP(B238,[1]Dcu!$B$3:$D$511,3,0)</f>
        <v>96</v>
      </c>
      <c r="E238" s="4">
        <v>0.6</v>
      </c>
      <c r="F238" s="347">
        <f>VLOOKUP(B238,[1]Dcu!$B$3:$E$511,4,0)</f>
        <v>80000</v>
      </c>
      <c r="G238" s="47">
        <f t="shared" si="16"/>
        <v>19.23076923076923</v>
      </c>
    </row>
    <row r="239" spans="1:7" ht="16.5" customHeight="1" x14ac:dyDescent="0.3">
      <c r="A239" s="10">
        <v>29</v>
      </c>
      <c r="B239" s="5" t="s">
        <v>52</v>
      </c>
      <c r="C239" s="4" t="s">
        <v>53</v>
      </c>
      <c r="D239" s="4"/>
      <c r="E239" s="4">
        <v>0.69599999999999995</v>
      </c>
      <c r="F239" s="347">
        <f>VLOOKUP(B239,[1]Dcu!$B$3:$E$511,4,0)</f>
        <v>1838</v>
      </c>
      <c r="G239" s="47">
        <f>F239*E239</f>
        <v>1279.2479999999998</v>
      </c>
    </row>
    <row r="240" spans="1:7" ht="16.5" customHeight="1" x14ac:dyDescent="0.3">
      <c r="A240" s="11" t="s">
        <v>386</v>
      </c>
      <c r="B240" s="505" t="s">
        <v>510</v>
      </c>
      <c r="C240" s="505"/>
      <c r="D240" s="505"/>
      <c r="E240" s="505"/>
      <c r="F240" s="46"/>
      <c r="G240" s="45">
        <f>SUM(G241:G258)*1.05+G259</f>
        <v>3577.8845512820517</v>
      </c>
    </row>
    <row r="241" spans="1:7" ht="16.5" customHeight="1" x14ac:dyDescent="0.3">
      <c r="A241" s="10">
        <v>1</v>
      </c>
      <c r="B241" s="49" t="s">
        <v>33</v>
      </c>
      <c r="C241" s="50" t="s">
        <v>28</v>
      </c>
      <c r="D241" s="348">
        <f>VLOOKUP(B241,[1]Dcu!$B$3:$D$511,3,0)</f>
        <v>12</v>
      </c>
      <c r="E241" s="51">
        <v>0.4</v>
      </c>
      <c r="F241" s="347">
        <f>VLOOKUP(B241,[1]Dcu!$B$3:$E$511,4,0)</f>
        <v>88000</v>
      </c>
      <c r="G241" s="47">
        <f t="shared" si="16"/>
        <v>112.82051282051282</v>
      </c>
    </row>
    <row r="242" spans="1:7" ht="16.5" customHeight="1" x14ac:dyDescent="0.3">
      <c r="A242" s="10">
        <v>2</v>
      </c>
      <c r="B242" s="49" t="s">
        <v>34</v>
      </c>
      <c r="C242" s="50" t="s">
        <v>28</v>
      </c>
      <c r="D242" s="348">
        <f>VLOOKUP(B242,[1]Dcu!$B$3:$D$511,3,0)</f>
        <v>12</v>
      </c>
      <c r="E242" s="51">
        <v>0.4</v>
      </c>
      <c r="F242" s="347">
        <f>VLOOKUP(B242,[1]Dcu!$B$3:$E$511,4,0)</f>
        <v>143000</v>
      </c>
      <c r="G242" s="47">
        <f t="shared" si="16"/>
        <v>183.33333333333334</v>
      </c>
    </row>
    <row r="243" spans="1:7" ht="16.5" customHeight="1" x14ac:dyDescent="0.3">
      <c r="A243" s="10">
        <v>3</v>
      </c>
      <c r="B243" s="49" t="s">
        <v>62</v>
      </c>
      <c r="C243" s="50" t="s">
        <v>28</v>
      </c>
      <c r="D243" s="348">
        <f>VLOOKUP(B243,[1]Dcu!$B$3:$D$511,3,0)</f>
        <v>12</v>
      </c>
      <c r="E243" s="51">
        <v>0.4</v>
      </c>
      <c r="F243" s="347">
        <f>VLOOKUP(B243,[1]Dcu!$B$3:$E$511,4,0)</f>
        <v>44000</v>
      </c>
      <c r="G243" s="47">
        <f t="shared" si="16"/>
        <v>56.410256410256409</v>
      </c>
    </row>
    <row r="244" spans="1:7" ht="16.5" customHeight="1" x14ac:dyDescent="0.3">
      <c r="A244" s="10">
        <v>4</v>
      </c>
      <c r="B244" s="49" t="s">
        <v>92</v>
      </c>
      <c r="C244" s="50" t="s">
        <v>28</v>
      </c>
      <c r="D244" s="348">
        <f>VLOOKUP(B244,[1]Dcu!$B$3:$D$511,3,0)</f>
        <v>12</v>
      </c>
      <c r="E244" s="51">
        <v>0.4</v>
      </c>
      <c r="F244" s="347">
        <f>VLOOKUP(B244,[1]Dcu!$B$3:$E$511,4,0)</f>
        <v>35000</v>
      </c>
      <c r="G244" s="47">
        <f t="shared" si="16"/>
        <v>44.871794871794876</v>
      </c>
    </row>
    <row r="245" spans="1:7" ht="16.5" customHeight="1" x14ac:dyDescent="0.3">
      <c r="A245" s="10">
        <v>5</v>
      </c>
      <c r="B245" s="49" t="s">
        <v>60</v>
      </c>
      <c r="C245" s="50" t="s">
        <v>28</v>
      </c>
      <c r="D245" s="348">
        <f>VLOOKUP(B245,[1]Dcu!$B$3:$D$511,3,0)</f>
        <v>12</v>
      </c>
      <c r="E245" s="51">
        <v>0.4</v>
      </c>
      <c r="F245" s="347">
        <f>VLOOKUP(B245,[1]Dcu!$B$3:$E$511,4,0)</f>
        <v>75000</v>
      </c>
      <c r="G245" s="47">
        <f t="shared" si="16"/>
        <v>96.15384615384616</v>
      </c>
    </row>
    <row r="246" spans="1:7" ht="16.5" customHeight="1" x14ac:dyDescent="0.3">
      <c r="A246" s="10">
        <v>6</v>
      </c>
      <c r="B246" s="49" t="s">
        <v>61</v>
      </c>
      <c r="C246" s="50" t="s">
        <v>28</v>
      </c>
      <c r="D246" s="348">
        <f>VLOOKUP(B246,[1]Dcu!$B$3:$D$511,3,0)</f>
        <v>12</v>
      </c>
      <c r="E246" s="51">
        <v>0.4</v>
      </c>
      <c r="F246" s="347">
        <f>VLOOKUP(B246,[1]Dcu!$B$3:$E$511,4,0)</f>
        <v>15000</v>
      </c>
      <c r="G246" s="47">
        <f t="shared" si="16"/>
        <v>19.230769230769234</v>
      </c>
    </row>
    <row r="247" spans="1:7" ht="16.5" customHeight="1" x14ac:dyDescent="0.3">
      <c r="A247" s="10">
        <v>7</v>
      </c>
      <c r="B247" s="49" t="s">
        <v>39</v>
      </c>
      <c r="C247" s="50" t="s">
        <v>28</v>
      </c>
      <c r="D247" s="348">
        <f>VLOOKUP(B247,[1]Dcu!$B$3:$D$511,3,0)</f>
        <v>36</v>
      </c>
      <c r="E247" s="51">
        <v>0.4</v>
      </c>
      <c r="F247" s="347">
        <f>VLOOKUP(B247,[1]Dcu!$B$3:$E$511,4,0)</f>
        <v>340000</v>
      </c>
      <c r="G247" s="47">
        <f t="shared" ref="G247:G311" si="17">F247/(D247*26)*E247</f>
        <v>145.29914529914529</v>
      </c>
    </row>
    <row r="248" spans="1:7" ht="16.5" customHeight="1" x14ac:dyDescent="0.3">
      <c r="A248" s="10">
        <v>8</v>
      </c>
      <c r="B248" s="5" t="s">
        <v>639</v>
      </c>
      <c r="C248" s="50" t="s">
        <v>28</v>
      </c>
      <c r="D248" s="348">
        <f>VLOOKUP(B248,[1]Dcu!$B$3:$D$511,3,0)</f>
        <v>12</v>
      </c>
      <c r="E248" s="51">
        <v>0.4</v>
      </c>
      <c r="F248" s="347">
        <f>VLOOKUP(B248,[1]Dcu!$B$3:$E$511,4,0)</f>
        <v>30000</v>
      </c>
      <c r="G248" s="47">
        <f t="shared" si="17"/>
        <v>38.461538461538467</v>
      </c>
    </row>
    <row r="249" spans="1:7" ht="16.5" customHeight="1" x14ac:dyDescent="0.3">
      <c r="A249" s="10">
        <v>10</v>
      </c>
      <c r="B249" s="12" t="s">
        <v>621</v>
      </c>
      <c r="C249" s="10" t="s">
        <v>76</v>
      </c>
      <c r="D249" s="348">
        <f>VLOOKUP(B249,[1]Dcu!$B$3:$D$511,3,0)</f>
        <v>0.3</v>
      </c>
      <c r="E249" s="10">
        <v>0.02</v>
      </c>
      <c r="F249" s="347">
        <f>VLOOKUP(B249,[1]Dcu!$B$3:$E$511,4,0)</f>
        <v>200000</v>
      </c>
      <c r="G249" s="47">
        <f t="shared" si="17"/>
        <v>512.82051282051282</v>
      </c>
    </row>
    <row r="250" spans="1:7" ht="16.5" customHeight="1" x14ac:dyDescent="0.3">
      <c r="A250" s="10">
        <v>11</v>
      </c>
      <c r="B250" s="49" t="s">
        <v>43</v>
      </c>
      <c r="C250" s="10" t="s">
        <v>76</v>
      </c>
      <c r="D250" s="348">
        <f>VLOOKUP(B250,[1]Dcu!$B$3:$D$511,3,0)</f>
        <v>0.3</v>
      </c>
      <c r="E250" s="10">
        <v>0.02</v>
      </c>
      <c r="F250" s="347">
        <f>VLOOKUP(B250,[1]Dcu!$B$3:$E$511,4,0)</f>
        <v>400000</v>
      </c>
      <c r="G250" s="47">
        <f t="shared" si="17"/>
        <v>1025.6410256410256</v>
      </c>
    </row>
    <row r="251" spans="1:7" ht="16.5" customHeight="1" x14ac:dyDescent="0.3">
      <c r="A251" s="10">
        <v>12</v>
      </c>
      <c r="B251" s="49" t="s">
        <v>44</v>
      </c>
      <c r="C251" s="50" t="s">
        <v>28</v>
      </c>
      <c r="D251" s="348">
        <f>VLOOKUP(B251,[1]Dcu!$B$3:$D$511,3,0)</f>
        <v>60</v>
      </c>
      <c r="E251" s="51">
        <v>6.7000000000000004E-2</v>
      </c>
      <c r="F251" s="347">
        <f>VLOOKUP(B251,[1]Dcu!$B$3:$E$511,4,0)</f>
        <v>500000</v>
      </c>
      <c r="G251" s="47">
        <f t="shared" si="17"/>
        <v>21.474358974358974</v>
      </c>
    </row>
    <row r="252" spans="1:7" ht="16.5" customHeight="1" x14ac:dyDescent="0.3">
      <c r="A252" s="10">
        <v>13</v>
      </c>
      <c r="B252" s="49" t="s">
        <v>45</v>
      </c>
      <c r="C252" s="50" t="s">
        <v>28</v>
      </c>
      <c r="D252" s="348">
        <f>VLOOKUP(B252,[1]Dcu!$B$3:$D$511,3,0)</f>
        <v>60</v>
      </c>
      <c r="E252" s="51">
        <v>6.7000000000000004E-2</v>
      </c>
      <c r="F252" s="347">
        <f>VLOOKUP(B252,[1]Dcu!$B$3:$E$511,4,0)</f>
        <v>250000</v>
      </c>
      <c r="G252" s="47">
        <f t="shared" si="17"/>
        <v>10.737179487179487</v>
      </c>
    </row>
    <row r="253" spans="1:7" ht="16.5" customHeight="1" x14ac:dyDescent="0.3">
      <c r="A253" s="10">
        <v>14</v>
      </c>
      <c r="B253" s="49" t="s">
        <v>46</v>
      </c>
      <c r="C253" s="50" t="s">
        <v>28</v>
      </c>
      <c r="D253" s="348">
        <f>VLOOKUP(B253,[1]Dcu!$B$3:$D$511,3,0)</f>
        <v>60</v>
      </c>
      <c r="E253" s="51">
        <v>3.0000000000000001E-3</v>
      </c>
      <c r="F253" s="347">
        <f>VLOOKUP(B253,[1]Dcu!$B$3:$E$511,4,0)</f>
        <v>1600000</v>
      </c>
      <c r="G253" s="47">
        <f t="shared" si="17"/>
        <v>3.0769230769230771</v>
      </c>
    </row>
    <row r="254" spans="1:7" ht="16.5" customHeight="1" x14ac:dyDescent="0.3">
      <c r="A254" s="10">
        <v>15</v>
      </c>
      <c r="B254" s="49" t="s">
        <v>47</v>
      </c>
      <c r="C254" s="50" t="s">
        <v>28</v>
      </c>
      <c r="D254" s="348">
        <f>VLOOKUP(B254,[1]Dcu!$B$3:$D$511,3,0)</f>
        <v>60</v>
      </c>
      <c r="E254" s="51">
        <v>2.5000000000000001E-2</v>
      </c>
      <c r="F254" s="347">
        <f>VLOOKUP(B254,[1]Dcu!$B$3:$E$511,4,0)</f>
        <v>1500000</v>
      </c>
      <c r="G254" s="47">
        <f t="shared" si="17"/>
        <v>24.03846153846154</v>
      </c>
    </row>
    <row r="255" spans="1:7" ht="16.5" customHeight="1" x14ac:dyDescent="0.3">
      <c r="A255" s="10">
        <v>16</v>
      </c>
      <c r="B255" s="49" t="s">
        <v>48</v>
      </c>
      <c r="C255" s="50" t="s">
        <v>36</v>
      </c>
      <c r="D255" s="348">
        <f>VLOOKUP(B255,[1]Dcu!$B$3:$D$511,3,0)</f>
        <v>36</v>
      </c>
      <c r="E255" s="51">
        <v>0.4</v>
      </c>
      <c r="F255" s="347">
        <f>VLOOKUP(B255,[1]Dcu!$B$3:$E$511,4,0)</f>
        <v>40000</v>
      </c>
      <c r="G255" s="47">
        <f t="shared" si="17"/>
        <v>17.094017094017094</v>
      </c>
    </row>
    <row r="256" spans="1:7" ht="16.5" customHeight="1" x14ac:dyDescent="0.3">
      <c r="A256" s="10">
        <v>17</v>
      </c>
      <c r="B256" s="49" t="s">
        <v>49</v>
      </c>
      <c r="C256" s="50" t="s">
        <v>28</v>
      </c>
      <c r="D256" s="348">
        <f>VLOOKUP(B256,[1]Dcu!$B$3:$D$511,3,0)</f>
        <v>96</v>
      </c>
      <c r="E256" s="51">
        <v>0.08</v>
      </c>
      <c r="F256" s="347">
        <f>VLOOKUP(B256,[1]Dcu!$B$3:$E$511,4,0)</f>
        <v>1000000</v>
      </c>
      <c r="G256" s="47">
        <f t="shared" si="17"/>
        <v>32.051282051282051</v>
      </c>
    </row>
    <row r="257" spans="1:7" ht="16.5" customHeight="1" x14ac:dyDescent="0.3">
      <c r="A257" s="10">
        <v>18</v>
      </c>
      <c r="B257" s="49" t="s">
        <v>50</v>
      </c>
      <c r="C257" s="50" t="s">
        <v>28</v>
      </c>
      <c r="D257" s="348">
        <f>VLOOKUP(B257,[1]Dcu!$B$3:$D$511,3,0)</f>
        <v>96</v>
      </c>
      <c r="E257" s="51">
        <v>0.32</v>
      </c>
      <c r="F257" s="347">
        <f>VLOOKUP(B257,[1]Dcu!$B$3:$E$511,4,0)</f>
        <v>300000</v>
      </c>
      <c r="G257" s="47">
        <f t="shared" si="17"/>
        <v>38.46153846153846</v>
      </c>
    </row>
    <row r="258" spans="1:7" ht="16.5" customHeight="1" x14ac:dyDescent="0.3">
      <c r="A258" s="10">
        <v>19</v>
      </c>
      <c r="B258" s="49" t="s">
        <v>51</v>
      </c>
      <c r="C258" s="50" t="s">
        <v>28</v>
      </c>
      <c r="D258" s="348">
        <f>VLOOKUP(B258,[1]Dcu!$B$3:$D$511,3,0)</f>
        <v>96</v>
      </c>
      <c r="E258" s="51">
        <v>0.32</v>
      </c>
      <c r="F258" s="347">
        <f>VLOOKUP(B258,[1]Dcu!$B$3:$E$511,4,0)</f>
        <v>80000</v>
      </c>
      <c r="G258" s="47">
        <f t="shared" si="17"/>
        <v>10.256410256410257</v>
      </c>
    </row>
    <row r="259" spans="1:7" ht="16.5" customHeight="1" x14ac:dyDescent="0.3">
      <c r="A259" s="10">
        <v>21</v>
      </c>
      <c r="B259" s="49" t="s">
        <v>52</v>
      </c>
      <c r="C259" s="50" t="s">
        <v>53</v>
      </c>
      <c r="D259" s="50"/>
      <c r="E259" s="51">
        <v>0.57999999999999996</v>
      </c>
      <c r="F259" s="347">
        <f>VLOOKUP(B259,[1]Dcu!$B$3:$E$511,4,0)</f>
        <v>1838</v>
      </c>
      <c r="G259" s="47">
        <f>F259*E259</f>
        <v>1066.04</v>
      </c>
    </row>
    <row r="260" spans="1:7" ht="16.5" customHeight="1" x14ac:dyDescent="0.3">
      <c r="A260" s="11" t="s">
        <v>553</v>
      </c>
      <c r="B260" s="505" t="s">
        <v>7</v>
      </c>
      <c r="C260" s="505"/>
      <c r="D260" s="505"/>
      <c r="E260" s="505"/>
      <c r="F260" s="46"/>
      <c r="G260" s="45">
        <f>SUM(G261:G289)*1.05+G290</f>
        <v>6388.9500000000007</v>
      </c>
    </row>
    <row r="261" spans="1:7" ht="16.5" customHeight="1" x14ac:dyDescent="0.3">
      <c r="A261" s="73">
        <v>1</v>
      </c>
      <c r="B261" s="93" t="s">
        <v>27</v>
      </c>
      <c r="C261" s="73" t="s">
        <v>93</v>
      </c>
      <c r="D261" s="348">
        <f>VLOOKUP(B261,[1]Dcu!$B$3:$D$511,3,0)</f>
        <v>12</v>
      </c>
      <c r="E261" s="243">
        <v>0.8</v>
      </c>
      <c r="F261" s="347">
        <f>VLOOKUP(B261,[1]Dcu!$B$3:$E$511,4,0)</f>
        <v>100000</v>
      </c>
      <c r="G261" s="47">
        <f t="shared" si="17"/>
        <v>256.41025641025641</v>
      </c>
    </row>
    <row r="262" spans="1:7" ht="16.5" customHeight="1" x14ac:dyDescent="0.3">
      <c r="A262" s="73">
        <v>2</v>
      </c>
      <c r="B262" s="17" t="s">
        <v>63</v>
      </c>
      <c r="C262" s="18" t="s">
        <v>28</v>
      </c>
      <c r="D262" s="348">
        <f>VLOOKUP(B262,[1]Dcu!$B$3:$D$511,3,0)</f>
        <v>1</v>
      </c>
      <c r="E262" s="243">
        <v>0.05</v>
      </c>
      <c r="F262" s="347">
        <f>VLOOKUP(B262,[1]Dcu!$B$3:$E$511,4,0)</f>
        <v>35000</v>
      </c>
      <c r="G262" s="47">
        <f t="shared" si="17"/>
        <v>67.307692307692307</v>
      </c>
    </row>
    <row r="263" spans="1:7" ht="16.5" customHeight="1" x14ac:dyDescent="0.3">
      <c r="A263" s="73">
        <v>3</v>
      </c>
      <c r="B263" s="17" t="s">
        <v>64</v>
      </c>
      <c r="C263" s="18" t="s">
        <v>65</v>
      </c>
      <c r="D263" s="348">
        <f>VLOOKUP(B263,[1]Dcu!$B$3:$D$511,3,0)</f>
        <v>6</v>
      </c>
      <c r="E263" s="243">
        <v>0.05</v>
      </c>
      <c r="F263" s="347">
        <f>VLOOKUP(B263,[1]Dcu!$B$3:$E$511,4,0)</f>
        <v>60000</v>
      </c>
      <c r="G263" s="47">
        <f t="shared" si="17"/>
        <v>19.230769230769234</v>
      </c>
    </row>
    <row r="264" spans="1:7" ht="16.5" customHeight="1" x14ac:dyDescent="0.3">
      <c r="A264" s="73">
        <v>4</v>
      </c>
      <c r="B264" s="17" t="s">
        <v>66</v>
      </c>
      <c r="C264" s="18" t="s">
        <v>65</v>
      </c>
      <c r="D264" s="348">
        <f>VLOOKUP(B264,[1]Dcu!$B$3:$D$511,3,0)</f>
        <v>6</v>
      </c>
      <c r="E264" s="243">
        <v>0.05</v>
      </c>
      <c r="F264" s="347">
        <f>VLOOKUP(B264,[1]Dcu!$B$3:$E$511,4,0)</f>
        <v>22000</v>
      </c>
      <c r="G264" s="47">
        <f t="shared" si="17"/>
        <v>7.0512820512820511</v>
      </c>
    </row>
    <row r="265" spans="1:7" ht="16.5" customHeight="1" x14ac:dyDescent="0.3">
      <c r="A265" s="73">
        <v>5</v>
      </c>
      <c r="B265" s="17" t="s">
        <v>67</v>
      </c>
      <c r="C265" s="18" t="s">
        <v>65</v>
      </c>
      <c r="D265" s="348">
        <f>VLOOKUP(B265,[1]Dcu!$B$3:$D$511,3,0)</f>
        <v>6</v>
      </c>
      <c r="E265" s="243">
        <v>0.05</v>
      </c>
      <c r="F265" s="347">
        <f>VLOOKUP(B265,[1]Dcu!$B$3:$E$511,4,0)</f>
        <v>25000</v>
      </c>
      <c r="G265" s="47">
        <f t="shared" si="17"/>
        <v>8.0128205128205128</v>
      </c>
    </row>
    <row r="266" spans="1:7" ht="16.5" customHeight="1" x14ac:dyDescent="0.3">
      <c r="A266" s="73">
        <v>6</v>
      </c>
      <c r="B266" s="17" t="s">
        <v>68</v>
      </c>
      <c r="C266" s="18" t="s">
        <v>28</v>
      </c>
      <c r="D266" s="348">
        <f>VLOOKUP(B266,[1]Dcu!$B$3:$D$511,3,0)</f>
        <v>12</v>
      </c>
      <c r="E266" s="243">
        <v>0.05</v>
      </c>
      <c r="F266" s="347">
        <f>VLOOKUP(B266,[1]Dcu!$B$3:$E$511,4,0)</f>
        <v>3500000</v>
      </c>
      <c r="G266" s="47">
        <f t="shared" si="17"/>
        <v>560.89743589743591</v>
      </c>
    </row>
    <row r="267" spans="1:7" ht="16.5" customHeight="1" x14ac:dyDescent="0.3">
      <c r="A267" s="73">
        <v>7</v>
      </c>
      <c r="B267" s="17" t="s">
        <v>56</v>
      </c>
      <c r="C267" s="18" t="s">
        <v>28</v>
      </c>
      <c r="D267" s="348">
        <f>VLOOKUP(B267,[1]Dcu!$B$3:$D$511,3,0)</f>
        <v>12</v>
      </c>
      <c r="E267" s="243">
        <v>0.05</v>
      </c>
      <c r="F267" s="347">
        <f>VLOOKUP(B267,[1]Dcu!$B$3:$E$511,4,0)</f>
        <v>80000</v>
      </c>
      <c r="G267" s="47">
        <f t="shared" si="17"/>
        <v>12.820512820512821</v>
      </c>
    </row>
    <row r="268" spans="1:7" ht="16.5" customHeight="1" x14ac:dyDescent="0.3">
      <c r="A268" s="73">
        <v>8</v>
      </c>
      <c r="B268" s="224" t="s">
        <v>538</v>
      </c>
      <c r="C268" s="18" t="s">
        <v>28</v>
      </c>
      <c r="D268" s="348">
        <f>VLOOKUP(B268,[1]Dcu!$B$3:$D$511,3,0)</f>
        <v>1</v>
      </c>
      <c r="E268" s="243">
        <v>0.5</v>
      </c>
      <c r="F268" s="347">
        <f>VLOOKUP(B268,[1]Dcu!$B$3:$E$511,4,0)</f>
        <v>3000</v>
      </c>
      <c r="G268" s="47">
        <f t="shared" si="17"/>
        <v>57.692307692307693</v>
      </c>
    </row>
    <row r="269" spans="1:7" ht="16.5" customHeight="1" x14ac:dyDescent="0.3">
      <c r="A269" s="73">
        <v>9</v>
      </c>
      <c r="B269" s="17" t="s">
        <v>69</v>
      </c>
      <c r="C269" s="18" t="s">
        <v>28</v>
      </c>
      <c r="D269" s="348">
        <f>VLOOKUP(B269,[1]Dcu!$B$3:$D$511,3,0)</f>
        <v>1</v>
      </c>
      <c r="E269" s="243">
        <v>0.05</v>
      </c>
      <c r="F269" s="347">
        <f>VLOOKUP(B269,[1]Dcu!$B$3:$E$511,4,0)</f>
        <v>3000</v>
      </c>
      <c r="G269" s="47">
        <f t="shared" si="17"/>
        <v>5.7692307692307701</v>
      </c>
    </row>
    <row r="270" spans="1:7" ht="16.5" customHeight="1" x14ac:dyDescent="0.3">
      <c r="A270" s="73">
        <v>10</v>
      </c>
      <c r="B270" s="17" t="s">
        <v>31</v>
      </c>
      <c r="C270" s="18" t="s">
        <v>28</v>
      </c>
      <c r="D270" s="348">
        <f>VLOOKUP(B270,[1]Dcu!$B$3:$D$511,3,0)</f>
        <v>1</v>
      </c>
      <c r="E270" s="243">
        <v>0.05</v>
      </c>
      <c r="F270" s="347">
        <f>VLOOKUP(B270,[1]Dcu!$B$3:$E$511,4,0)</f>
        <v>3000</v>
      </c>
      <c r="G270" s="47">
        <f t="shared" si="17"/>
        <v>5.7692307692307701</v>
      </c>
    </row>
    <row r="271" spans="1:7" ht="16.5" customHeight="1" x14ac:dyDescent="0.3">
      <c r="A271" s="73">
        <v>11</v>
      </c>
      <c r="B271" s="17" t="s">
        <v>57</v>
      </c>
      <c r="C271" s="18" t="s">
        <v>28</v>
      </c>
      <c r="D271" s="348">
        <f>VLOOKUP(B271,[1]Dcu!$B$3:$D$511,3,0)</f>
        <v>1</v>
      </c>
      <c r="E271" s="243">
        <v>0.05</v>
      </c>
      <c r="F271" s="347">
        <f>VLOOKUP(B271,[1]Dcu!$B$3:$E$511,4,0)</f>
        <v>3000</v>
      </c>
      <c r="G271" s="47">
        <f t="shared" si="17"/>
        <v>5.7692307692307701</v>
      </c>
    </row>
    <row r="272" spans="1:7" ht="16.5" customHeight="1" x14ac:dyDescent="0.3">
      <c r="A272" s="73">
        <v>12</v>
      </c>
      <c r="B272" s="17" t="s">
        <v>59</v>
      </c>
      <c r="C272" s="18" t="s">
        <v>70</v>
      </c>
      <c r="D272" s="348">
        <f>VLOOKUP(B272,[1]Dcu!$B$3:$D$511,3,0)</f>
        <v>36</v>
      </c>
      <c r="E272" s="243">
        <v>0.05</v>
      </c>
      <c r="F272" s="347">
        <f>VLOOKUP(B272,[1]Dcu!$B$3:$E$511,4,0)</f>
        <v>110000</v>
      </c>
      <c r="G272" s="47">
        <f t="shared" si="17"/>
        <v>5.8760683760683765</v>
      </c>
    </row>
    <row r="273" spans="1:7" ht="16.5" customHeight="1" x14ac:dyDescent="0.3">
      <c r="A273" s="73">
        <v>13</v>
      </c>
      <c r="B273" s="17" t="s">
        <v>71</v>
      </c>
      <c r="C273" s="18" t="s">
        <v>28</v>
      </c>
      <c r="D273" s="348">
        <f>VLOOKUP(B273,[1]Dcu!$B$3:$D$511,3,0)</f>
        <v>12</v>
      </c>
      <c r="E273" s="243">
        <v>0.05</v>
      </c>
      <c r="F273" s="347">
        <f>VLOOKUP(B273,[1]Dcu!$B$3:$E$511,4,0)</f>
        <v>140000</v>
      </c>
      <c r="G273" s="47">
        <f t="shared" si="17"/>
        <v>22.435897435897438</v>
      </c>
    </row>
    <row r="274" spans="1:7" ht="16.5" customHeight="1" x14ac:dyDescent="0.3">
      <c r="A274" s="73">
        <v>14</v>
      </c>
      <c r="B274" s="17" t="s">
        <v>61</v>
      </c>
      <c r="C274" s="18" t="s">
        <v>28</v>
      </c>
      <c r="D274" s="348">
        <f>VLOOKUP(B274,[1]Dcu!$B$3:$D$511,3,0)</f>
        <v>12</v>
      </c>
      <c r="E274" s="243">
        <v>0.05</v>
      </c>
      <c r="F274" s="347">
        <f>VLOOKUP(B274,[1]Dcu!$B$3:$E$511,4,0)</f>
        <v>15000</v>
      </c>
      <c r="G274" s="47">
        <f t="shared" si="17"/>
        <v>2.4038461538461542</v>
      </c>
    </row>
    <row r="275" spans="1:7" ht="16.5" customHeight="1" x14ac:dyDescent="0.3">
      <c r="A275" s="73">
        <v>15</v>
      </c>
      <c r="B275" s="17" t="s">
        <v>72</v>
      </c>
      <c r="C275" s="18" t="s">
        <v>65</v>
      </c>
      <c r="D275" s="348">
        <f>VLOOKUP(B275,[1]Dcu!$B$3:$D$511,3,0)</f>
        <v>6</v>
      </c>
      <c r="E275" s="243">
        <v>0.05</v>
      </c>
      <c r="F275" s="347">
        <f>VLOOKUP(B275,[1]Dcu!$B$3:$E$511,4,0)</f>
        <v>3000</v>
      </c>
      <c r="G275" s="47">
        <f t="shared" si="17"/>
        <v>0.96153846153846156</v>
      </c>
    </row>
    <row r="276" spans="1:7" ht="16.5" customHeight="1" x14ac:dyDescent="0.3">
      <c r="A276" s="73">
        <v>16</v>
      </c>
      <c r="B276" s="17" t="s">
        <v>39</v>
      </c>
      <c r="C276" s="18" t="s">
        <v>28</v>
      </c>
      <c r="D276" s="348">
        <f>VLOOKUP(B276,[1]Dcu!$B$3:$D$511,3,0)</f>
        <v>36</v>
      </c>
      <c r="E276" s="243">
        <v>0.05</v>
      </c>
      <c r="F276" s="347">
        <f>VLOOKUP(B276,[1]Dcu!$B$3:$E$511,4,0)</f>
        <v>340000</v>
      </c>
      <c r="G276" s="47">
        <f t="shared" si="17"/>
        <v>18.162393162393162</v>
      </c>
    </row>
    <row r="277" spans="1:7" ht="16.5" customHeight="1" x14ac:dyDescent="0.3">
      <c r="A277" s="73">
        <v>17</v>
      </c>
      <c r="B277" s="17" t="s">
        <v>40</v>
      </c>
      <c r="C277" s="18" t="s">
        <v>28</v>
      </c>
      <c r="D277" s="348">
        <f>VLOOKUP(B277,[1]Dcu!$B$3:$D$511,3,0)</f>
        <v>36</v>
      </c>
      <c r="E277" s="243">
        <v>0.05</v>
      </c>
      <c r="F277" s="347">
        <f>VLOOKUP(B277,[1]Dcu!$B$3:$E$511,4,0)</f>
        <v>700000</v>
      </c>
      <c r="G277" s="47">
        <f t="shared" si="17"/>
        <v>37.393162393162392</v>
      </c>
    </row>
    <row r="278" spans="1:7" ht="16.5" customHeight="1" x14ac:dyDescent="0.3">
      <c r="A278" s="73">
        <v>18</v>
      </c>
      <c r="B278" s="17" t="s">
        <v>41</v>
      </c>
      <c r="C278" s="18" t="s">
        <v>28</v>
      </c>
      <c r="D278" s="348">
        <f>VLOOKUP(B278,[1]Dcu!$B$3:$D$511,3,0)</f>
        <v>36</v>
      </c>
      <c r="E278" s="243">
        <v>0.05</v>
      </c>
      <c r="F278" s="347">
        <f>VLOOKUP(B278,[1]Dcu!$B$3:$E$511,4,0)</f>
        <v>60000</v>
      </c>
      <c r="G278" s="47">
        <f t="shared" si="17"/>
        <v>3.2051282051282053</v>
      </c>
    </row>
    <row r="279" spans="1:7" ht="16.5" customHeight="1" x14ac:dyDescent="0.3">
      <c r="A279" s="73">
        <v>19</v>
      </c>
      <c r="B279" s="5" t="s">
        <v>639</v>
      </c>
      <c r="C279" s="18" t="s">
        <v>28</v>
      </c>
      <c r="D279" s="348">
        <f>VLOOKUP(B279,[1]Dcu!$B$3:$D$511,3,0)</f>
        <v>12</v>
      </c>
      <c r="E279" s="243">
        <v>0.8</v>
      </c>
      <c r="F279" s="347">
        <f>VLOOKUP(B279,[1]Dcu!$B$3:$E$511,4,0)</f>
        <v>30000</v>
      </c>
      <c r="G279" s="47">
        <f t="shared" si="17"/>
        <v>76.923076923076934</v>
      </c>
    </row>
    <row r="280" spans="1:7" ht="16.5" customHeight="1" x14ac:dyDescent="0.3">
      <c r="A280" s="73">
        <v>21</v>
      </c>
      <c r="B280" s="12" t="s">
        <v>621</v>
      </c>
      <c r="C280" s="10" t="s">
        <v>76</v>
      </c>
      <c r="D280" s="348">
        <f>VLOOKUP(B280,[1]Dcu!$B$3:$D$511,3,0)</f>
        <v>0.3</v>
      </c>
      <c r="E280" s="10">
        <v>0.02</v>
      </c>
      <c r="F280" s="347">
        <f>VLOOKUP(B280,[1]Dcu!$B$3:$E$511,4,0)</f>
        <v>200000</v>
      </c>
      <c r="G280" s="47">
        <f t="shared" si="17"/>
        <v>512.82051282051282</v>
      </c>
    </row>
    <row r="281" spans="1:7" ht="16.5" customHeight="1" x14ac:dyDescent="0.3">
      <c r="A281" s="73">
        <v>22</v>
      </c>
      <c r="B281" s="17" t="s">
        <v>43</v>
      </c>
      <c r="C281" s="10" t="s">
        <v>76</v>
      </c>
      <c r="D281" s="348">
        <f>VLOOKUP(B281,[1]Dcu!$B$3:$D$511,3,0)</f>
        <v>0.3</v>
      </c>
      <c r="E281" s="10">
        <v>0.02</v>
      </c>
      <c r="F281" s="347">
        <f>VLOOKUP(B281,[1]Dcu!$B$3:$E$511,4,0)</f>
        <v>400000</v>
      </c>
      <c r="G281" s="47">
        <f t="shared" si="17"/>
        <v>1025.6410256410256</v>
      </c>
    </row>
    <row r="282" spans="1:7" ht="16.5" customHeight="1" x14ac:dyDescent="0.3">
      <c r="A282" s="73">
        <v>23</v>
      </c>
      <c r="B282" s="17" t="s">
        <v>44</v>
      </c>
      <c r="C282" s="18" t="s">
        <v>28</v>
      </c>
      <c r="D282" s="348">
        <f>VLOOKUP(B282,[1]Dcu!$B$3:$D$511,3,0)</f>
        <v>60</v>
      </c>
      <c r="E282" s="243">
        <v>0.2</v>
      </c>
      <c r="F282" s="347">
        <f>VLOOKUP(B282,[1]Dcu!$B$3:$E$511,4,0)</f>
        <v>500000</v>
      </c>
      <c r="G282" s="47">
        <f t="shared" si="17"/>
        <v>64.102564102564102</v>
      </c>
    </row>
    <row r="283" spans="1:7" ht="16.5" customHeight="1" x14ac:dyDescent="0.3">
      <c r="A283" s="73">
        <v>24</v>
      </c>
      <c r="B283" s="17" t="s">
        <v>45</v>
      </c>
      <c r="C283" s="18" t="s">
        <v>28</v>
      </c>
      <c r="D283" s="348">
        <f>VLOOKUP(B283,[1]Dcu!$B$3:$D$511,3,0)</f>
        <v>60</v>
      </c>
      <c r="E283" s="243">
        <v>0.8</v>
      </c>
      <c r="F283" s="347">
        <f>VLOOKUP(B283,[1]Dcu!$B$3:$E$511,4,0)</f>
        <v>250000</v>
      </c>
      <c r="G283" s="47">
        <f t="shared" si="17"/>
        <v>128.2051282051282</v>
      </c>
    </row>
    <row r="284" spans="1:7" ht="16.5" customHeight="1" x14ac:dyDescent="0.3">
      <c r="A284" s="73">
        <v>25</v>
      </c>
      <c r="B284" s="17" t="s">
        <v>46</v>
      </c>
      <c r="C284" s="18" t="s">
        <v>28</v>
      </c>
      <c r="D284" s="348">
        <f>VLOOKUP(B284,[1]Dcu!$B$3:$D$511,3,0)</f>
        <v>60</v>
      </c>
      <c r="E284" s="243">
        <v>0.8</v>
      </c>
      <c r="F284" s="347">
        <f>VLOOKUP(B284,[1]Dcu!$B$3:$E$511,4,0)</f>
        <v>1600000</v>
      </c>
      <c r="G284" s="47">
        <f t="shared" si="17"/>
        <v>820.51282051282055</v>
      </c>
    </row>
    <row r="285" spans="1:7" ht="16.5" customHeight="1" x14ac:dyDescent="0.3">
      <c r="A285" s="73">
        <v>26</v>
      </c>
      <c r="B285" s="17" t="s">
        <v>47</v>
      </c>
      <c r="C285" s="18" t="s">
        <v>28</v>
      </c>
      <c r="D285" s="348">
        <f>VLOOKUP(B285,[1]Dcu!$B$3:$D$511,3,0)</f>
        <v>60</v>
      </c>
      <c r="E285" s="243">
        <v>0.2</v>
      </c>
      <c r="F285" s="347">
        <f>VLOOKUP(B285,[1]Dcu!$B$3:$E$511,4,0)</f>
        <v>1500000</v>
      </c>
      <c r="G285" s="47">
        <f t="shared" si="17"/>
        <v>192.30769230769232</v>
      </c>
    </row>
    <row r="286" spans="1:7" ht="16.5" customHeight="1" x14ac:dyDescent="0.3">
      <c r="A286" s="73">
        <v>27</v>
      </c>
      <c r="B286" s="17" t="s">
        <v>48</v>
      </c>
      <c r="C286" s="18" t="s">
        <v>36</v>
      </c>
      <c r="D286" s="348">
        <f>VLOOKUP(B286,[1]Dcu!$B$3:$D$511,3,0)</f>
        <v>36</v>
      </c>
      <c r="E286" s="243">
        <v>0.13</v>
      </c>
      <c r="F286" s="347">
        <f>VLOOKUP(B286,[1]Dcu!$B$3:$E$511,4,0)</f>
        <v>40000</v>
      </c>
      <c r="G286" s="47">
        <f t="shared" si="17"/>
        <v>5.5555555555555554</v>
      </c>
    </row>
    <row r="287" spans="1:7" ht="16.5" customHeight="1" x14ac:dyDescent="0.3">
      <c r="A287" s="73">
        <v>28</v>
      </c>
      <c r="B287" s="17" t="s">
        <v>49</v>
      </c>
      <c r="C287" s="18" t="s">
        <v>28</v>
      </c>
      <c r="D287" s="348">
        <f>VLOOKUP(B287,[1]Dcu!$B$3:$D$511,3,0)</f>
        <v>96</v>
      </c>
      <c r="E287" s="243">
        <v>0.13</v>
      </c>
      <c r="F287" s="347">
        <f>VLOOKUP(B287,[1]Dcu!$B$3:$E$511,4,0)</f>
        <v>1000000</v>
      </c>
      <c r="G287" s="47">
        <f t="shared" si="17"/>
        <v>52.083333333333336</v>
      </c>
    </row>
    <row r="288" spans="1:7" ht="16.5" customHeight="1" x14ac:dyDescent="0.3">
      <c r="A288" s="73">
        <v>29</v>
      </c>
      <c r="B288" s="17" t="s">
        <v>50</v>
      </c>
      <c r="C288" s="18" t="s">
        <v>28</v>
      </c>
      <c r="D288" s="348">
        <f>VLOOKUP(B288,[1]Dcu!$B$3:$D$511,3,0)</f>
        <v>96</v>
      </c>
      <c r="E288" s="243">
        <v>0.8</v>
      </c>
      <c r="F288" s="347">
        <f>VLOOKUP(B288,[1]Dcu!$B$3:$E$511,4,0)</f>
        <v>300000</v>
      </c>
      <c r="G288" s="47">
        <f t="shared" si="17"/>
        <v>96.15384615384616</v>
      </c>
    </row>
    <row r="289" spans="1:7" ht="16.5" customHeight="1" x14ac:dyDescent="0.3">
      <c r="A289" s="73">
        <v>30</v>
      </c>
      <c r="B289" s="17" t="s">
        <v>51</v>
      </c>
      <c r="C289" s="18" t="s">
        <v>28</v>
      </c>
      <c r="D289" s="348">
        <f>VLOOKUP(B289,[1]Dcu!$B$3:$D$511,3,0)</f>
        <v>96</v>
      </c>
      <c r="E289" s="243">
        <v>6.0000000000000001E-3</v>
      </c>
      <c r="F289" s="347">
        <f>VLOOKUP(B289,[1]Dcu!$B$3:$E$511,4,0)</f>
        <v>80000</v>
      </c>
      <c r="G289" s="47">
        <f t="shared" si="17"/>
        <v>0.19230769230769232</v>
      </c>
    </row>
    <row r="290" spans="1:7" ht="16.5" customHeight="1" x14ac:dyDescent="0.3">
      <c r="A290" s="73">
        <v>32</v>
      </c>
      <c r="B290" s="17" t="s">
        <v>52</v>
      </c>
      <c r="C290" s="18" t="s">
        <v>53</v>
      </c>
      <c r="D290" s="82"/>
      <c r="E290" s="243">
        <v>1.1499999999999999</v>
      </c>
      <c r="F290" s="347">
        <f>VLOOKUP(B290,[1]Dcu!$B$3:$E$511,4,0)</f>
        <v>1838</v>
      </c>
      <c r="G290" s="47">
        <f>E290*F290</f>
        <v>2113.6999999999998</v>
      </c>
    </row>
    <row r="291" spans="1:7" ht="16.5" customHeight="1" x14ac:dyDescent="0.3">
      <c r="A291" s="11" t="s">
        <v>554</v>
      </c>
      <c r="B291" s="91" t="s">
        <v>7</v>
      </c>
      <c r="C291" s="458" t="s">
        <v>574</v>
      </c>
      <c r="D291" s="459"/>
      <c r="E291" s="460"/>
      <c r="F291" s="46"/>
      <c r="G291" s="164">
        <f>G260</f>
        <v>6388.9500000000007</v>
      </c>
    </row>
    <row r="292" spans="1:7" ht="16.5" customHeight="1" x14ac:dyDescent="0.3">
      <c r="A292" s="11" t="s">
        <v>555</v>
      </c>
      <c r="B292" s="91" t="s">
        <v>599</v>
      </c>
      <c r="C292" s="458" t="s">
        <v>574</v>
      </c>
      <c r="D292" s="459"/>
      <c r="E292" s="460"/>
      <c r="F292" s="92"/>
      <c r="G292" s="92">
        <f>G260</f>
        <v>6388.9500000000007</v>
      </c>
    </row>
    <row r="293" spans="1:7" ht="16.5" customHeight="1" x14ac:dyDescent="0.3">
      <c r="A293" s="11" t="s">
        <v>556</v>
      </c>
      <c r="B293" s="91" t="s">
        <v>599</v>
      </c>
      <c r="C293" s="458" t="s">
        <v>574</v>
      </c>
      <c r="D293" s="459"/>
      <c r="E293" s="460"/>
      <c r="F293" s="327"/>
      <c r="G293" s="92">
        <f>G260</f>
        <v>6388.9500000000007</v>
      </c>
    </row>
    <row r="294" spans="1:7" ht="16.5" customHeight="1" x14ac:dyDescent="0.3">
      <c r="A294" s="11" t="s">
        <v>403</v>
      </c>
      <c r="B294" s="467" t="s">
        <v>511</v>
      </c>
      <c r="C294" s="468"/>
      <c r="D294" s="468"/>
      <c r="E294" s="468"/>
      <c r="F294" s="143"/>
      <c r="G294" s="45">
        <f>SUM(G295:G321)*1.05+G322</f>
        <v>48598.588217948738</v>
      </c>
    </row>
    <row r="295" spans="1:7" ht="16.5" customHeight="1" x14ac:dyDescent="0.3">
      <c r="A295" s="10">
        <v>1</v>
      </c>
      <c r="B295" s="49" t="s">
        <v>27</v>
      </c>
      <c r="C295" s="50" t="s">
        <v>28</v>
      </c>
      <c r="D295" s="348">
        <f>VLOOKUP(B295,[1]Dcu!$B$3:$D$511,3,0)</f>
        <v>12</v>
      </c>
      <c r="E295" s="52">
        <v>1.6</v>
      </c>
      <c r="F295" s="347">
        <f>VLOOKUP(B295,[1]Dcu!$B$3:$E$511,4,0)</f>
        <v>100000</v>
      </c>
      <c r="G295" s="47">
        <f t="shared" si="17"/>
        <v>512.82051282051282</v>
      </c>
    </row>
    <row r="296" spans="1:7" ht="16.5" customHeight="1" x14ac:dyDescent="0.3">
      <c r="A296" s="10">
        <v>2</v>
      </c>
      <c r="B296" s="49" t="s">
        <v>30</v>
      </c>
      <c r="C296" s="50" t="s">
        <v>28</v>
      </c>
      <c r="D296" s="348">
        <f>VLOOKUP(B296,[1]Dcu!$B$3:$D$511,3,0)</f>
        <v>12</v>
      </c>
      <c r="E296" s="52">
        <v>1.6</v>
      </c>
      <c r="F296" s="347">
        <f>VLOOKUP(B296,[1]Dcu!$B$3:$E$511,4,0)</f>
        <v>3500000</v>
      </c>
      <c r="G296" s="47">
        <f t="shared" si="17"/>
        <v>17948.717948717949</v>
      </c>
    </row>
    <row r="297" spans="1:7" ht="16.5" customHeight="1" x14ac:dyDescent="0.3">
      <c r="A297" s="10">
        <v>3</v>
      </c>
      <c r="B297" s="49" t="s">
        <v>73</v>
      </c>
      <c r="C297" s="50" t="s">
        <v>28</v>
      </c>
      <c r="D297" s="348">
        <f>VLOOKUP(B297,[1]Dcu!$B$3:$D$511,3,0)</f>
        <v>12</v>
      </c>
      <c r="E297" s="52">
        <v>1.6</v>
      </c>
      <c r="F297" s="347">
        <f>VLOOKUP(B297,[1]Dcu!$B$3:$E$511,4,0)</f>
        <v>70000</v>
      </c>
      <c r="G297" s="47">
        <f t="shared" si="17"/>
        <v>358.97435897435901</v>
      </c>
    </row>
    <row r="298" spans="1:7" ht="16.5" customHeight="1" x14ac:dyDescent="0.3">
      <c r="A298" s="10">
        <v>4</v>
      </c>
      <c r="B298" s="49" t="s">
        <v>59</v>
      </c>
      <c r="C298" s="50" t="s">
        <v>28</v>
      </c>
      <c r="D298" s="348">
        <f>VLOOKUP(B298,[1]Dcu!$B$3:$D$511,3,0)</f>
        <v>36</v>
      </c>
      <c r="E298" s="52">
        <v>1.6</v>
      </c>
      <c r="F298" s="347">
        <f>VLOOKUP(B298,[1]Dcu!$B$3:$E$511,4,0)</f>
        <v>110000</v>
      </c>
      <c r="G298" s="47">
        <f t="shared" si="17"/>
        <v>188.03418803418805</v>
      </c>
    </row>
    <row r="299" spans="1:7" ht="16.5" customHeight="1" x14ac:dyDescent="0.3">
      <c r="A299" s="10">
        <v>5</v>
      </c>
      <c r="B299" s="49" t="s">
        <v>74</v>
      </c>
      <c r="C299" s="50" t="s">
        <v>28</v>
      </c>
      <c r="D299" s="348">
        <f>VLOOKUP(B299,[1]Dcu!$B$3:$D$511,3,0)</f>
        <v>6</v>
      </c>
      <c r="E299" s="52">
        <v>1.6</v>
      </c>
      <c r="F299" s="347">
        <f>VLOOKUP(B299,[1]Dcu!$B$3:$E$511,4,0)</f>
        <v>120000</v>
      </c>
      <c r="G299" s="47">
        <f t="shared" si="17"/>
        <v>1230.7692307692309</v>
      </c>
    </row>
    <row r="300" spans="1:7" ht="16.5" customHeight="1" x14ac:dyDescent="0.3">
      <c r="A300" s="10">
        <v>6</v>
      </c>
      <c r="B300" s="49" t="s">
        <v>75</v>
      </c>
      <c r="C300" s="50" t="s">
        <v>28</v>
      </c>
      <c r="D300" s="348">
        <f>VLOOKUP(B300,[1]Dcu!$B$3:$D$511,3,0)</f>
        <v>6</v>
      </c>
      <c r="E300" s="52">
        <v>1.6</v>
      </c>
      <c r="F300" s="347">
        <f>VLOOKUP(B300,[1]Dcu!$B$3:$E$511,4,0)</f>
        <v>250000</v>
      </c>
      <c r="G300" s="47">
        <f t="shared" si="17"/>
        <v>2564.1025641025644</v>
      </c>
    </row>
    <row r="301" spans="1:7" ht="16.5" customHeight="1" x14ac:dyDescent="0.3">
      <c r="A301" s="10">
        <v>7</v>
      </c>
      <c r="B301" s="49" t="s">
        <v>62</v>
      </c>
      <c r="C301" s="50" t="s">
        <v>28</v>
      </c>
      <c r="D301" s="348">
        <f>VLOOKUP(B301,[1]Dcu!$B$3:$D$511,3,0)</f>
        <v>12</v>
      </c>
      <c r="E301" s="52">
        <v>1.6</v>
      </c>
      <c r="F301" s="347">
        <f>VLOOKUP(B301,[1]Dcu!$B$3:$E$511,4,0)</f>
        <v>44000</v>
      </c>
      <c r="G301" s="47">
        <f t="shared" si="17"/>
        <v>225.64102564102564</v>
      </c>
    </row>
    <row r="302" spans="1:7" ht="16.5" customHeight="1" x14ac:dyDescent="0.3">
      <c r="A302" s="10">
        <v>8</v>
      </c>
      <c r="B302" s="49" t="s">
        <v>61</v>
      </c>
      <c r="C302" s="50" t="s">
        <v>28</v>
      </c>
      <c r="D302" s="348">
        <f>VLOOKUP(B302,[1]Dcu!$B$3:$D$511,3,0)</f>
        <v>12</v>
      </c>
      <c r="E302" s="52">
        <v>1.6</v>
      </c>
      <c r="F302" s="347">
        <f>VLOOKUP(B302,[1]Dcu!$B$3:$E$511,4,0)</f>
        <v>15000</v>
      </c>
      <c r="G302" s="47">
        <f t="shared" si="17"/>
        <v>76.923076923076934</v>
      </c>
    </row>
    <row r="303" spans="1:7" ht="16.5" customHeight="1" x14ac:dyDescent="0.3">
      <c r="A303" s="10">
        <v>9</v>
      </c>
      <c r="B303" s="49" t="s">
        <v>33</v>
      </c>
      <c r="C303" s="50" t="s">
        <v>28</v>
      </c>
      <c r="D303" s="348">
        <f>VLOOKUP(B303,[1]Dcu!$B$3:$D$511,3,0)</f>
        <v>12</v>
      </c>
      <c r="E303" s="52">
        <v>1.6</v>
      </c>
      <c r="F303" s="347">
        <f>VLOOKUP(B303,[1]Dcu!$B$3:$E$511,4,0)</f>
        <v>88000</v>
      </c>
      <c r="G303" s="47">
        <f t="shared" si="17"/>
        <v>451.28205128205127</v>
      </c>
    </row>
    <row r="304" spans="1:7" ht="16.5" customHeight="1" x14ac:dyDescent="0.3">
      <c r="A304" s="10">
        <v>10</v>
      </c>
      <c r="B304" s="49" t="s">
        <v>55</v>
      </c>
      <c r="C304" s="50" t="s">
        <v>28</v>
      </c>
      <c r="D304" s="348">
        <f>VLOOKUP(B304,[1]Dcu!$B$3:$D$511,3,0)</f>
        <v>12</v>
      </c>
      <c r="E304" s="52">
        <v>1.6</v>
      </c>
      <c r="F304" s="347">
        <f>VLOOKUP(B304,[1]Dcu!$B$3:$E$511,4,0)</f>
        <v>150000</v>
      </c>
      <c r="G304" s="47">
        <f t="shared" si="17"/>
        <v>769.23076923076928</v>
      </c>
    </row>
    <row r="305" spans="1:7" ht="16.5" customHeight="1" x14ac:dyDescent="0.3">
      <c r="A305" s="10">
        <v>11</v>
      </c>
      <c r="B305" s="49" t="s">
        <v>747</v>
      </c>
      <c r="C305" s="50" t="s">
        <v>28</v>
      </c>
      <c r="D305" s="348">
        <f>VLOOKUP(B305,[1]Dcu!$B$3:$D$511,3,0)</f>
        <v>6</v>
      </c>
      <c r="E305" s="52">
        <v>1.6</v>
      </c>
      <c r="F305" s="347">
        <f>VLOOKUP(B305,[1]Dcu!$B$3:$E$511,4,0)</f>
        <v>25000</v>
      </c>
      <c r="G305" s="47">
        <f t="shared" si="17"/>
        <v>256.41025641025641</v>
      </c>
    </row>
    <row r="306" spans="1:7" ht="16.5" customHeight="1" x14ac:dyDescent="0.3">
      <c r="A306" s="10">
        <v>12</v>
      </c>
      <c r="B306" s="49" t="s">
        <v>84</v>
      </c>
      <c r="C306" s="50" t="s">
        <v>28</v>
      </c>
      <c r="D306" s="348">
        <f>VLOOKUP(B306,[1]Dcu!$B$3:$D$511,3,0)</f>
        <v>12</v>
      </c>
      <c r="E306" s="52">
        <v>1.6</v>
      </c>
      <c r="F306" s="347">
        <f>VLOOKUP(B306,[1]Dcu!$B$3:$E$511,4,0)</f>
        <v>90000</v>
      </c>
      <c r="G306" s="47">
        <f t="shared" si="17"/>
        <v>461.53846153846155</v>
      </c>
    </row>
    <row r="307" spans="1:7" ht="16.5" customHeight="1" x14ac:dyDescent="0.3">
      <c r="A307" s="10">
        <v>13</v>
      </c>
      <c r="B307" s="49" t="s">
        <v>61</v>
      </c>
      <c r="C307" s="50" t="s">
        <v>28</v>
      </c>
      <c r="D307" s="348">
        <f>VLOOKUP(B307,[1]Dcu!$B$3:$D$511,3,0)</f>
        <v>12</v>
      </c>
      <c r="E307" s="52">
        <v>1.6</v>
      </c>
      <c r="F307" s="347">
        <f>VLOOKUP(B307,[1]Dcu!$B$3:$E$511,4,0)</f>
        <v>15000</v>
      </c>
      <c r="G307" s="47">
        <f t="shared" si="17"/>
        <v>76.923076923076934</v>
      </c>
    </row>
    <row r="308" spans="1:7" ht="16.5" customHeight="1" x14ac:dyDescent="0.3">
      <c r="A308" s="10">
        <v>14</v>
      </c>
      <c r="B308" s="49" t="s">
        <v>760</v>
      </c>
      <c r="C308" s="50" t="s">
        <v>28</v>
      </c>
      <c r="D308" s="348">
        <f>VLOOKUP(B308,[1]Dcu!$B$3:$D$511,3,0)</f>
        <v>36</v>
      </c>
      <c r="E308" s="52">
        <v>1.6</v>
      </c>
      <c r="F308" s="347">
        <f>VLOOKUP(B308,[1]Dcu!$B$3:$E$511,4,0)</f>
        <v>3000000</v>
      </c>
      <c r="G308" s="47">
        <f t="shared" si="17"/>
        <v>5128.2051282051289</v>
      </c>
    </row>
    <row r="309" spans="1:7" ht="16.5" customHeight="1" x14ac:dyDescent="0.3">
      <c r="A309" s="10">
        <v>15</v>
      </c>
      <c r="B309" s="49" t="s">
        <v>39</v>
      </c>
      <c r="C309" s="50" t="s">
        <v>28</v>
      </c>
      <c r="D309" s="348">
        <f>VLOOKUP(B309,[1]Dcu!$B$3:$D$511,3,0)</f>
        <v>36</v>
      </c>
      <c r="E309" s="52">
        <v>1.6</v>
      </c>
      <c r="F309" s="347">
        <f>VLOOKUP(B309,[1]Dcu!$B$3:$E$511,4,0)</f>
        <v>340000</v>
      </c>
      <c r="G309" s="47">
        <f t="shared" si="17"/>
        <v>581.19658119658118</v>
      </c>
    </row>
    <row r="310" spans="1:7" ht="16.5" customHeight="1" x14ac:dyDescent="0.3">
      <c r="A310" s="10">
        <v>16</v>
      </c>
      <c r="B310" s="139" t="s">
        <v>110</v>
      </c>
      <c r="C310" s="50" t="s">
        <v>28</v>
      </c>
      <c r="D310" s="348">
        <f>VLOOKUP(B310,[1]Dcu!$B$3:$D$511,3,0)</f>
        <v>12</v>
      </c>
      <c r="E310" s="52">
        <v>1.6</v>
      </c>
      <c r="F310" s="347">
        <f>VLOOKUP(B310,[1]Dcu!$B$3:$E$511,4,0)</f>
        <v>1750000</v>
      </c>
      <c r="G310" s="47">
        <f t="shared" si="17"/>
        <v>8974.3589743589746</v>
      </c>
    </row>
    <row r="311" spans="1:7" ht="16.5" customHeight="1" x14ac:dyDescent="0.3">
      <c r="A311" s="10">
        <v>17</v>
      </c>
      <c r="B311" s="5" t="s">
        <v>639</v>
      </c>
      <c r="C311" s="50" t="s">
        <v>28</v>
      </c>
      <c r="D311" s="348">
        <f>VLOOKUP(B311,[1]Dcu!$B$3:$D$511,3,0)</f>
        <v>12</v>
      </c>
      <c r="E311" s="52">
        <v>1.6</v>
      </c>
      <c r="F311" s="347">
        <f>VLOOKUP(B311,[1]Dcu!$B$3:$E$511,4,0)</f>
        <v>30000</v>
      </c>
      <c r="G311" s="47">
        <f t="shared" si="17"/>
        <v>153.84615384615387</v>
      </c>
    </row>
    <row r="312" spans="1:7" ht="16.5" customHeight="1" x14ac:dyDescent="0.3">
      <c r="A312" s="10">
        <v>18</v>
      </c>
      <c r="B312" s="12" t="s">
        <v>621</v>
      </c>
      <c r="C312" s="10" t="s">
        <v>76</v>
      </c>
      <c r="D312" s="348">
        <f>VLOOKUP(B312,[1]Dcu!$B$3:$D$511,3,0)</f>
        <v>0.3</v>
      </c>
      <c r="E312" s="10">
        <v>0.02</v>
      </c>
      <c r="F312" s="347">
        <f>VLOOKUP(B312,[1]Dcu!$B$3:$E$511,4,0)</f>
        <v>200000</v>
      </c>
      <c r="G312" s="47">
        <f t="shared" ref="G312:G370" si="18">F312/(D312*26)*E312</f>
        <v>512.82051282051282</v>
      </c>
    </row>
    <row r="313" spans="1:7" ht="16.5" customHeight="1" x14ac:dyDescent="0.3">
      <c r="A313" s="10">
        <v>19</v>
      </c>
      <c r="B313" s="49" t="s">
        <v>43</v>
      </c>
      <c r="C313" s="10" t="s">
        <v>76</v>
      </c>
      <c r="D313" s="348">
        <f>VLOOKUP(B313,[1]Dcu!$B$3:$D$511,3,0)</f>
        <v>0.3</v>
      </c>
      <c r="E313" s="10">
        <v>0.02</v>
      </c>
      <c r="F313" s="347">
        <f>VLOOKUP(B313,[1]Dcu!$B$3:$E$511,4,0)</f>
        <v>400000</v>
      </c>
      <c r="G313" s="47">
        <f t="shared" si="18"/>
        <v>1025.6410256410256</v>
      </c>
    </row>
    <row r="314" spans="1:7" ht="16.5" customHeight="1" x14ac:dyDescent="0.3">
      <c r="A314" s="10">
        <v>20</v>
      </c>
      <c r="B314" s="49" t="s">
        <v>44</v>
      </c>
      <c r="C314" s="50" t="s">
        <v>28</v>
      </c>
      <c r="D314" s="348">
        <f>VLOOKUP(B314,[1]Dcu!$B$3:$D$511,3,0)</f>
        <v>60</v>
      </c>
      <c r="E314" s="52">
        <v>0.26700000000000002</v>
      </c>
      <c r="F314" s="347">
        <f>VLOOKUP(B314,[1]Dcu!$B$3:$E$511,4,0)</f>
        <v>500000</v>
      </c>
      <c r="G314" s="47">
        <f t="shared" si="18"/>
        <v>85.57692307692308</v>
      </c>
    </row>
    <row r="315" spans="1:7" ht="16.5" customHeight="1" x14ac:dyDescent="0.3">
      <c r="A315" s="10">
        <v>21</v>
      </c>
      <c r="B315" s="49" t="s">
        <v>45</v>
      </c>
      <c r="C315" s="50" t="s">
        <v>28</v>
      </c>
      <c r="D315" s="348">
        <f>VLOOKUP(B315,[1]Dcu!$B$3:$D$511,3,0)</f>
        <v>60</v>
      </c>
      <c r="E315" s="52">
        <v>0.26700000000000002</v>
      </c>
      <c r="F315" s="347">
        <f>VLOOKUP(B315,[1]Dcu!$B$3:$E$511,4,0)</f>
        <v>250000</v>
      </c>
      <c r="G315" s="47">
        <f t="shared" si="18"/>
        <v>42.78846153846154</v>
      </c>
    </row>
    <row r="316" spans="1:7" ht="16.5" customHeight="1" x14ac:dyDescent="0.3">
      <c r="A316" s="10">
        <v>22</v>
      </c>
      <c r="B316" s="49" t="s">
        <v>46</v>
      </c>
      <c r="C316" s="50" t="s">
        <v>28</v>
      </c>
      <c r="D316" s="348">
        <f>VLOOKUP(B316,[1]Dcu!$B$3:$D$511,3,0)</f>
        <v>60</v>
      </c>
      <c r="E316" s="52">
        <v>1.2999999999999999E-2</v>
      </c>
      <c r="F316" s="347">
        <f>VLOOKUP(B316,[1]Dcu!$B$3:$E$511,4,0)</f>
        <v>1600000</v>
      </c>
      <c r="G316" s="47">
        <f t="shared" si="18"/>
        <v>13.333333333333332</v>
      </c>
    </row>
    <row r="317" spans="1:7" ht="16.5" customHeight="1" x14ac:dyDescent="0.3">
      <c r="A317" s="10">
        <v>23</v>
      </c>
      <c r="B317" s="49" t="s">
        <v>47</v>
      </c>
      <c r="C317" s="50" t="s">
        <v>28</v>
      </c>
      <c r="D317" s="348">
        <f>VLOOKUP(B317,[1]Dcu!$B$3:$D$511,3,0)</f>
        <v>60</v>
      </c>
      <c r="E317" s="52">
        <v>0.1</v>
      </c>
      <c r="F317" s="347">
        <f>VLOOKUP(B317,[1]Dcu!$B$3:$E$511,4,0)</f>
        <v>1500000</v>
      </c>
      <c r="G317" s="47">
        <f t="shared" si="18"/>
        <v>96.15384615384616</v>
      </c>
    </row>
    <row r="318" spans="1:7" ht="16.5" customHeight="1" x14ac:dyDescent="0.3">
      <c r="A318" s="10">
        <v>24</v>
      </c>
      <c r="B318" s="49" t="s">
        <v>48</v>
      </c>
      <c r="C318" s="50" t="s">
        <v>36</v>
      </c>
      <c r="D318" s="348">
        <f>VLOOKUP(B318,[1]Dcu!$B$3:$D$511,3,0)</f>
        <v>36</v>
      </c>
      <c r="E318" s="52">
        <v>1.6</v>
      </c>
      <c r="F318" s="347">
        <f>VLOOKUP(B318,[1]Dcu!$B$3:$E$511,4,0)</f>
        <v>40000</v>
      </c>
      <c r="G318" s="47">
        <f t="shared" si="18"/>
        <v>68.376068376068375</v>
      </c>
    </row>
    <row r="319" spans="1:7" ht="16.5" customHeight="1" x14ac:dyDescent="0.3">
      <c r="A319" s="10">
        <v>25</v>
      </c>
      <c r="B319" s="49" t="s">
        <v>49</v>
      </c>
      <c r="C319" s="50" t="s">
        <v>28</v>
      </c>
      <c r="D319" s="348">
        <f>VLOOKUP(B319,[1]Dcu!$B$3:$D$511,3,0)</f>
        <v>96</v>
      </c>
      <c r="E319" s="52">
        <v>0.4</v>
      </c>
      <c r="F319" s="347">
        <f>VLOOKUP(B319,[1]Dcu!$B$3:$E$511,4,0)</f>
        <v>1000000</v>
      </c>
      <c r="G319" s="47">
        <f t="shared" si="18"/>
        <v>160.25641025641028</v>
      </c>
    </row>
    <row r="320" spans="1:7" ht="16.5" customHeight="1" x14ac:dyDescent="0.3">
      <c r="A320" s="10">
        <v>26</v>
      </c>
      <c r="B320" s="49" t="s">
        <v>50</v>
      </c>
      <c r="C320" s="50" t="s">
        <v>28</v>
      </c>
      <c r="D320" s="348">
        <f>VLOOKUP(B320,[1]Dcu!$B$3:$D$511,3,0)</f>
        <v>96</v>
      </c>
      <c r="E320" s="52">
        <v>1.6</v>
      </c>
      <c r="F320" s="347">
        <f>VLOOKUP(B320,[1]Dcu!$B$3:$E$511,4,0)</f>
        <v>300000</v>
      </c>
      <c r="G320" s="47">
        <f t="shared" si="18"/>
        <v>192.30769230769232</v>
      </c>
    </row>
    <row r="321" spans="1:7" ht="16.5" customHeight="1" x14ac:dyDescent="0.3">
      <c r="A321" s="10">
        <v>27</v>
      </c>
      <c r="B321" s="49" t="s">
        <v>51</v>
      </c>
      <c r="C321" s="50" t="s">
        <v>28</v>
      </c>
      <c r="D321" s="348">
        <f>VLOOKUP(B321,[1]Dcu!$B$3:$D$511,3,0)</f>
        <v>96</v>
      </c>
      <c r="E321" s="52">
        <v>1.6</v>
      </c>
      <c r="F321" s="347">
        <f>VLOOKUP(B321,[1]Dcu!$B$3:$E$511,4,0)</f>
        <v>80000</v>
      </c>
      <c r="G321" s="47">
        <f t="shared" si="18"/>
        <v>51.282051282051285</v>
      </c>
    </row>
    <row r="322" spans="1:7" ht="16.5" customHeight="1" x14ac:dyDescent="0.3">
      <c r="A322" s="10">
        <v>28</v>
      </c>
      <c r="B322" s="49" t="s">
        <v>52</v>
      </c>
      <c r="C322" s="50" t="s">
        <v>53</v>
      </c>
      <c r="D322" s="52"/>
      <c r="E322" s="52">
        <v>2.3290000000000002</v>
      </c>
      <c r="F322" s="347">
        <f>VLOOKUP(B322,[1]Dcu!$B$3:$E$511,4,0)</f>
        <v>1838</v>
      </c>
      <c r="G322" s="47">
        <f>E322*F322</f>
        <v>4280.7020000000002</v>
      </c>
    </row>
    <row r="323" spans="1:7" ht="16.5" customHeight="1" x14ac:dyDescent="0.3">
      <c r="A323" s="11" t="s">
        <v>5</v>
      </c>
      <c r="B323" s="465" t="s">
        <v>512</v>
      </c>
      <c r="C323" s="466"/>
      <c r="D323" s="466"/>
      <c r="E323" s="466"/>
      <c r="F323" s="144"/>
      <c r="G323" s="45">
        <f>SUM(G324:G348)*1.05+G349</f>
        <v>38706.306628205122</v>
      </c>
    </row>
    <row r="324" spans="1:7" ht="16.5" customHeight="1" x14ac:dyDescent="0.3">
      <c r="A324" s="10">
        <v>1</v>
      </c>
      <c r="B324" s="53" t="s">
        <v>27</v>
      </c>
      <c r="C324" s="54" t="s">
        <v>79</v>
      </c>
      <c r="D324" s="348">
        <f>VLOOKUP(B324,[1]Dcu!$B$3:$D$511,3,0)</f>
        <v>12</v>
      </c>
      <c r="E324" s="55">
        <v>0.64</v>
      </c>
      <c r="F324" s="347">
        <f>VLOOKUP(B324,[1]Dcu!$B$3:$E$511,4,0)</f>
        <v>100000</v>
      </c>
      <c r="G324" s="47">
        <f t="shared" si="18"/>
        <v>205.12820512820511</v>
      </c>
    </row>
    <row r="325" spans="1:7" ht="16.5" customHeight="1" x14ac:dyDescent="0.3">
      <c r="A325" s="10">
        <v>2</v>
      </c>
      <c r="B325" s="53" t="s">
        <v>30</v>
      </c>
      <c r="C325" s="54" t="s">
        <v>79</v>
      </c>
      <c r="D325" s="348">
        <f>VLOOKUP(B325,[1]Dcu!$B$3:$D$511,3,0)</f>
        <v>12</v>
      </c>
      <c r="E325" s="55">
        <v>0.64</v>
      </c>
      <c r="F325" s="347">
        <f>VLOOKUP(B325,[1]Dcu!$B$3:$E$511,4,0)</f>
        <v>3500000</v>
      </c>
      <c r="G325" s="47">
        <f t="shared" si="18"/>
        <v>7179.4871794871797</v>
      </c>
    </row>
    <row r="326" spans="1:7" ht="16.5" customHeight="1" x14ac:dyDescent="0.3">
      <c r="A326" s="10">
        <v>3</v>
      </c>
      <c r="B326" s="53" t="s">
        <v>73</v>
      </c>
      <c r="C326" s="54" t="s">
        <v>79</v>
      </c>
      <c r="D326" s="348">
        <f>VLOOKUP(B326,[1]Dcu!$B$3:$D$511,3,0)</f>
        <v>12</v>
      </c>
      <c r="E326" s="55">
        <v>0.64</v>
      </c>
      <c r="F326" s="347">
        <f>VLOOKUP(B326,[1]Dcu!$B$3:$E$511,4,0)</f>
        <v>70000</v>
      </c>
      <c r="G326" s="47">
        <f t="shared" si="18"/>
        <v>143.58974358974359</v>
      </c>
    </row>
    <row r="327" spans="1:7" ht="16.5" customHeight="1" x14ac:dyDescent="0.3">
      <c r="A327" s="10">
        <v>4</v>
      </c>
      <c r="B327" s="53" t="s">
        <v>57</v>
      </c>
      <c r="C327" s="54" t="s">
        <v>79</v>
      </c>
      <c r="D327" s="348">
        <f>VLOOKUP(B327,[1]Dcu!$B$3:$D$511,3,0)</f>
        <v>1</v>
      </c>
      <c r="E327" s="55">
        <v>0.64</v>
      </c>
      <c r="F327" s="347">
        <f>VLOOKUP(B327,[1]Dcu!$B$3:$E$511,4,0)</f>
        <v>3000</v>
      </c>
      <c r="G327" s="47">
        <f t="shared" si="18"/>
        <v>73.846153846153854</v>
      </c>
    </row>
    <row r="328" spans="1:7" ht="16.5" customHeight="1" x14ac:dyDescent="0.3">
      <c r="A328" s="10">
        <v>5</v>
      </c>
      <c r="B328" s="53" t="s">
        <v>59</v>
      </c>
      <c r="C328" s="54" t="s">
        <v>79</v>
      </c>
      <c r="D328" s="348">
        <f>VLOOKUP(B328,[1]Dcu!$B$3:$D$511,3,0)</f>
        <v>36</v>
      </c>
      <c r="E328" s="55">
        <v>0.64</v>
      </c>
      <c r="F328" s="347">
        <f>VLOOKUP(B328,[1]Dcu!$B$3:$E$511,4,0)</f>
        <v>110000</v>
      </c>
      <c r="G328" s="47">
        <f t="shared" si="18"/>
        <v>75.213675213675216</v>
      </c>
    </row>
    <row r="329" spans="1:7" ht="16.5" customHeight="1" x14ac:dyDescent="0.3">
      <c r="A329" s="10">
        <v>6</v>
      </c>
      <c r="B329" s="56" t="s">
        <v>94</v>
      </c>
      <c r="C329" s="54" t="s">
        <v>79</v>
      </c>
      <c r="D329" s="348">
        <f>VLOOKUP(B329,[1]Dcu!$B$3:$D$511,3,0)</f>
        <v>12</v>
      </c>
      <c r="E329" s="55">
        <v>0.64</v>
      </c>
      <c r="F329" s="347">
        <f>VLOOKUP(B329,[1]Dcu!$B$3:$E$511,4,0)</f>
        <v>4900000</v>
      </c>
      <c r="G329" s="47">
        <f t="shared" si="18"/>
        <v>10051.282051282051</v>
      </c>
    </row>
    <row r="330" spans="1:7" ht="16.5" customHeight="1" x14ac:dyDescent="0.3">
      <c r="A330" s="10">
        <v>7</v>
      </c>
      <c r="B330" s="53" t="s">
        <v>32</v>
      </c>
      <c r="C330" s="54" t="s">
        <v>79</v>
      </c>
      <c r="D330" s="348">
        <f>VLOOKUP(B330,[1]Dcu!$B$3:$D$511,3,0)</f>
        <v>12</v>
      </c>
      <c r="E330" s="55">
        <v>0.64</v>
      </c>
      <c r="F330" s="347">
        <f>VLOOKUP(B330,[1]Dcu!$B$3:$E$511,4,0)</f>
        <v>85000</v>
      </c>
      <c r="G330" s="47">
        <f t="shared" si="18"/>
        <v>174.35897435897436</v>
      </c>
    </row>
    <row r="331" spans="1:7" ht="16.5" customHeight="1" x14ac:dyDescent="0.3">
      <c r="A331" s="10">
        <v>8</v>
      </c>
      <c r="B331" s="53" t="s">
        <v>33</v>
      </c>
      <c r="C331" s="54" t="s">
        <v>95</v>
      </c>
      <c r="D331" s="348">
        <f>VLOOKUP(B331,[1]Dcu!$B$3:$D$511,3,0)</f>
        <v>12</v>
      </c>
      <c r="E331" s="55">
        <v>0.64</v>
      </c>
      <c r="F331" s="347">
        <f>VLOOKUP(B331,[1]Dcu!$B$3:$E$511,4,0)</f>
        <v>88000</v>
      </c>
      <c r="G331" s="47">
        <f t="shared" si="18"/>
        <v>180.51282051282053</v>
      </c>
    </row>
    <row r="332" spans="1:7" ht="16.5" customHeight="1" x14ac:dyDescent="0.3">
      <c r="A332" s="10">
        <v>10</v>
      </c>
      <c r="B332" s="56" t="s">
        <v>96</v>
      </c>
      <c r="C332" s="13" t="s">
        <v>28</v>
      </c>
      <c r="D332" s="348">
        <f>VLOOKUP(B332,[1]Dcu!$B$3:$D$511,3,0)</f>
        <v>24</v>
      </c>
      <c r="E332" s="14">
        <v>0.4</v>
      </c>
      <c r="F332" s="347">
        <f>VLOOKUP(B332,[1]Dcu!$B$3:$E$511,4,0)</f>
        <v>15000000</v>
      </c>
      <c r="G332" s="47">
        <f t="shared" si="18"/>
        <v>9615.3846153846152</v>
      </c>
    </row>
    <row r="333" spans="1:7" ht="16.5" customHeight="1" x14ac:dyDescent="0.3">
      <c r="A333" s="10">
        <v>11</v>
      </c>
      <c r="B333" s="56" t="s">
        <v>97</v>
      </c>
      <c r="C333" s="13" t="s">
        <v>28</v>
      </c>
      <c r="D333" s="348">
        <f>VLOOKUP(B333,[1]Dcu!$B$3:$D$511,3,0)</f>
        <v>24</v>
      </c>
      <c r="E333" s="14">
        <v>0.4</v>
      </c>
      <c r="F333" s="347">
        <f>VLOOKUP(B333,[1]Dcu!$B$3:$E$511,4,0)</f>
        <v>4500000</v>
      </c>
      <c r="G333" s="47">
        <f t="shared" si="18"/>
        <v>2884.6153846153848</v>
      </c>
    </row>
    <row r="334" spans="1:7" ht="16.5" customHeight="1" x14ac:dyDescent="0.3">
      <c r="A334" s="10">
        <v>12</v>
      </c>
      <c r="B334" s="56" t="s">
        <v>83</v>
      </c>
      <c r="C334" s="13" t="s">
        <v>28</v>
      </c>
      <c r="D334" s="348">
        <f>VLOOKUP(B334,[1]Dcu!$B$3:$D$511,3,0)</f>
        <v>12</v>
      </c>
      <c r="E334" s="14">
        <v>0.4</v>
      </c>
      <c r="F334" s="347">
        <f>VLOOKUP(B334,[1]Dcu!$B$3:$E$511,4,0)</f>
        <v>1600000</v>
      </c>
      <c r="G334" s="47">
        <f t="shared" si="18"/>
        <v>2051.2820512820513</v>
      </c>
    </row>
    <row r="335" spans="1:7" ht="16.5" customHeight="1" x14ac:dyDescent="0.3">
      <c r="A335" s="10">
        <v>13</v>
      </c>
      <c r="B335" s="53" t="s">
        <v>39</v>
      </c>
      <c r="C335" s="54" t="s">
        <v>79</v>
      </c>
      <c r="D335" s="348">
        <f>VLOOKUP(B335,[1]Dcu!$B$3:$D$511,3,0)</f>
        <v>36</v>
      </c>
      <c r="E335" s="55">
        <v>0.64</v>
      </c>
      <c r="F335" s="347">
        <f>VLOOKUP(B335,[1]Dcu!$B$3:$E$511,4,0)</f>
        <v>340000</v>
      </c>
      <c r="G335" s="47">
        <f t="shared" si="18"/>
        <v>232.47863247863248</v>
      </c>
    </row>
    <row r="336" spans="1:7" ht="16.5" customHeight="1" x14ac:dyDescent="0.3">
      <c r="A336" s="10">
        <v>14</v>
      </c>
      <c r="B336" s="53" t="s">
        <v>40</v>
      </c>
      <c r="C336" s="54" t="s">
        <v>79</v>
      </c>
      <c r="D336" s="348">
        <f>VLOOKUP(B336,[1]Dcu!$B$3:$D$511,3,0)</f>
        <v>36</v>
      </c>
      <c r="E336" s="55">
        <v>0.64</v>
      </c>
      <c r="F336" s="347">
        <f>VLOOKUP(B336,[1]Dcu!$B$3:$E$511,4,0)</f>
        <v>700000</v>
      </c>
      <c r="G336" s="47">
        <f t="shared" si="18"/>
        <v>478.63247863247858</v>
      </c>
    </row>
    <row r="337" spans="1:7" ht="16.5" customHeight="1" x14ac:dyDescent="0.3">
      <c r="A337" s="10">
        <v>15</v>
      </c>
      <c r="B337" s="53" t="s">
        <v>41</v>
      </c>
      <c r="C337" s="54" t="s">
        <v>79</v>
      </c>
      <c r="D337" s="348">
        <f>VLOOKUP(B337,[1]Dcu!$B$3:$D$511,3,0)</f>
        <v>36</v>
      </c>
      <c r="E337" s="55">
        <v>0.64</v>
      </c>
      <c r="F337" s="347">
        <f>VLOOKUP(B337,[1]Dcu!$B$3:$E$511,4,0)</f>
        <v>60000</v>
      </c>
      <c r="G337" s="47">
        <f t="shared" si="18"/>
        <v>41.025641025641029</v>
      </c>
    </row>
    <row r="338" spans="1:7" ht="16.5" customHeight="1" x14ac:dyDescent="0.3">
      <c r="A338" s="10">
        <v>16</v>
      </c>
      <c r="B338" s="5" t="s">
        <v>639</v>
      </c>
      <c r="C338" s="54" t="s">
        <v>79</v>
      </c>
      <c r="D338" s="348">
        <f>VLOOKUP(B338,[1]Dcu!$B$3:$D$511,3,0)</f>
        <v>12</v>
      </c>
      <c r="E338" s="55">
        <v>0.64</v>
      </c>
      <c r="F338" s="347">
        <f>VLOOKUP(B338,[1]Dcu!$B$3:$E$511,4,0)</f>
        <v>30000</v>
      </c>
      <c r="G338" s="47">
        <f t="shared" si="18"/>
        <v>61.538461538461547</v>
      </c>
    </row>
    <row r="339" spans="1:7" ht="16.5" customHeight="1" x14ac:dyDescent="0.3">
      <c r="A339" s="10">
        <v>18</v>
      </c>
      <c r="B339" s="12" t="s">
        <v>621</v>
      </c>
      <c r="C339" s="10" t="s">
        <v>76</v>
      </c>
      <c r="D339" s="348">
        <f>VLOOKUP(B339,[1]Dcu!$B$3:$D$511,3,0)</f>
        <v>0.3</v>
      </c>
      <c r="E339" s="10">
        <v>0.02</v>
      </c>
      <c r="F339" s="347">
        <f>VLOOKUP(B339,[1]Dcu!$B$3:$E$511,4,0)</f>
        <v>200000</v>
      </c>
      <c r="G339" s="47">
        <f t="shared" si="18"/>
        <v>512.82051282051282</v>
      </c>
    </row>
    <row r="340" spans="1:7" ht="16.5" customHeight="1" x14ac:dyDescent="0.3">
      <c r="A340" s="10">
        <v>19</v>
      </c>
      <c r="B340" s="53" t="s">
        <v>43</v>
      </c>
      <c r="C340" s="10" t="s">
        <v>76</v>
      </c>
      <c r="D340" s="348">
        <f>VLOOKUP(B340,[1]Dcu!$B$3:$D$511,3,0)</f>
        <v>0.3</v>
      </c>
      <c r="E340" s="10">
        <v>0.02</v>
      </c>
      <c r="F340" s="347">
        <f>VLOOKUP(B340,[1]Dcu!$B$3:$E$511,4,0)</f>
        <v>400000</v>
      </c>
      <c r="G340" s="47">
        <f t="shared" si="18"/>
        <v>1025.6410256410256</v>
      </c>
    </row>
    <row r="341" spans="1:7" ht="16.5" customHeight="1" x14ac:dyDescent="0.3">
      <c r="A341" s="10">
        <v>20</v>
      </c>
      <c r="B341" s="53" t="s">
        <v>44</v>
      </c>
      <c r="C341" s="54" t="s">
        <v>79</v>
      </c>
      <c r="D341" s="348">
        <f>VLOOKUP(B341,[1]Dcu!$B$3:$D$511,3,0)</f>
        <v>60</v>
      </c>
      <c r="E341" s="55">
        <v>0.107</v>
      </c>
      <c r="F341" s="347">
        <f>VLOOKUP(B341,[1]Dcu!$B$3:$E$511,4,0)</f>
        <v>500000</v>
      </c>
      <c r="G341" s="47">
        <f t="shared" si="18"/>
        <v>34.294871794871796</v>
      </c>
    </row>
    <row r="342" spans="1:7" ht="16.5" customHeight="1" x14ac:dyDescent="0.3">
      <c r="A342" s="10">
        <v>21</v>
      </c>
      <c r="B342" s="53" t="s">
        <v>45</v>
      </c>
      <c r="C342" s="54" t="s">
        <v>79</v>
      </c>
      <c r="D342" s="348">
        <f>VLOOKUP(B342,[1]Dcu!$B$3:$D$511,3,0)</f>
        <v>60</v>
      </c>
      <c r="E342" s="55">
        <v>0.107</v>
      </c>
      <c r="F342" s="347">
        <f>VLOOKUP(B342,[1]Dcu!$B$3:$E$511,4,0)</f>
        <v>250000</v>
      </c>
      <c r="G342" s="47">
        <f t="shared" si="18"/>
        <v>17.147435897435898</v>
      </c>
    </row>
    <row r="343" spans="1:7" ht="16.5" customHeight="1" x14ac:dyDescent="0.3">
      <c r="A343" s="10">
        <v>22</v>
      </c>
      <c r="B343" s="53" t="s">
        <v>46</v>
      </c>
      <c r="C343" s="54" t="s">
        <v>79</v>
      </c>
      <c r="D343" s="348">
        <f>VLOOKUP(B343,[1]Dcu!$B$3:$D$511,3,0)</f>
        <v>60</v>
      </c>
      <c r="E343" s="55">
        <v>5.0000000000000001E-3</v>
      </c>
      <c r="F343" s="347">
        <f>VLOOKUP(B343,[1]Dcu!$B$3:$E$511,4,0)</f>
        <v>1600000</v>
      </c>
      <c r="G343" s="47">
        <f t="shared" si="18"/>
        <v>5.1282051282051286</v>
      </c>
    </row>
    <row r="344" spans="1:7" ht="16.5" customHeight="1" x14ac:dyDescent="0.3">
      <c r="A344" s="10">
        <v>23</v>
      </c>
      <c r="B344" s="53" t="s">
        <v>47</v>
      </c>
      <c r="C344" s="54" t="s">
        <v>79</v>
      </c>
      <c r="D344" s="348">
        <f>VLOOKUP(B344,[1]Dcu!$B$3:$D$511,3,0)</f>
        <v>60</v>
      </c>
      <c r="E344" s="55">
        <v>0.04</v>
      </c>
      <c r="F344" s="347">
        <f>VLOOKUP(B344,[1]Dcu!$B$3:$E$511,4,0)</f>
        <v>1500000</v>
      </c>
      <c r="G344" s="47">
        <f t="shared" si="18"/>
        <v>38.46153846153846</v>
      </c>
    </row>
    <row r="345" spans="1:7" ht="16.5" customHeight="1" x14ac:dyDescent="0.3">
      <c r="A345" s="10">
        <v>25</v>
      </c>
      <c r="B345" s="53" t="s">
        <v>48</v>
      </c>
      <c r="C345" s="54" t="s">
        <v>36</v>
      </c>
      <c r="D345" s="348">
        <f>VLOOKUP(B345,[1]Dcu!$B$3:$D$511,3,0)</f>
        <v>36</v>
      </c>
      <c r="E345" s="55">
        <v>0.64</v>
      </c>
      <c r="F345" s="347">
        <f>VLOOKUP(B345,[1]Dcu!$B$3:$E$511,4,0)</f>
        <v>40000</v>
      </c>
      <c r="G345" s="47">
        <f t="shared" si="18"/>
        <v>27.350427350427349</v>
      </c>
    </row>
    <row r="346" spans="1:7" ht="16.5" customHeight="1" x14ac:dyDescent="0.3">
      <c r="A346" s="10">
        <v>26</v>
      </c>
      <c r="B346" s="53" t="s">
        <v>49</v>
      </c>
      <c r="C346" s="54" t="s">
        <v>79</v>
      </c>
      <c r="D346" s="348">
        <f>VLOOKUP(B346,[1]Dcu!$B$3:$D$511,3,0)</f>
        <v>96</v>
      </c>
      <c r="E346" s="55">
        <v>0.08</v>
      </c>
      <c r="F346" s="347">
        <f>VLOOKUP(B346,[1]Dcu!$B$3:$E$511,4,0)</f>
        <v>1000000</v>
      </c>
      <c r="G346" s="47">
        <f t="shared" si="18"/>
        <v>32.051282051282051</v>
      </c>
    </row>
    <row r="347" spans="1:7" ht="16.5" customHeight="1" x14ac:dyDescent="0.3">
      <c r="A347" s="10">
        <v>27</v>
      </c>
      <c r="B347" s="53" t="s">
        <v>50</v>
      </c>
      <c r="C347" s="54" t="s">
        <v>79</v>
      </c>
      <c r="D347" s="348">
        <f>VLOOKUP(B347,[1]Dcu!$B$3:$D$511,3,0)</f>
        <v>96</v>
      </c>
      <c r="E347" s="55">
        <v>0.64</v>
      </c>
      <c r="F347" s="347">
        <f>VLOOKUP(B347,[1]Dcu!$B$3:$E$511,4,0)</f>
        <v>300000</v>
      </c>
      <c r="G347" s="47">
        <f t="shared" si="18"/>
        <v>76.92307692307692</v>
      </c>
    </row>
    <row r="348" spans="1:7" ht="16.5" customHeight="1" x14ac:dyDescent="0.3">
      <c r="A348" s="10">
        <v>28</v>
      </c>
      <c r="B348" s="53" t="s">
        <v>51</v>
      </c>
      <c r="C348" s="54" t="s">
        <v>79</v>
      </c>
      <c r="D348" s="348">
        <f>VLOOKUP(B348,[1]Dcu!$B$3:$D$511,3,0)</f>
        <v>96</v>
      </c>
      <c r="E348" s="55">
        <v>0.64</v>
      </c>
      <c r="F348" s="347">
        <f>VLOOKUP(B348,[1]Dcu!$B$3:$E$511,4,0)</f>
        <v>80000</v>
      </c>
      <c r="G348" s="47">
        <f t="shared" si="18"/>
        <v>20.512820512820515</v>
      </c>
    </row>
    <row r="349" spans="1:7" ht="16.5" customHeight="1" x14ac:dyDescent="0.3">
      <c r="A349" s="10">
        <v>29</v>
      </c>
      <c r="B349" s="53" t="s">
        <v>52</v>
      </c>
      <c r="C349" s="54" t="s">
        <v>98</v>
      </c>
      <c r="D349" s="54"/>
      <c r="E349" s="55">
        <v>0.92800000000000005</v>
      </c>
      <c r="F349" s="347">
        <f>VLOOKUP(B349,[1]Dcu!$B$3:$E$511,4,0)</f>
        <v>1838</v>
      </c>
      <c r="G349" s="47">
        <f>E349*F349</f>
        <v>1705.664</v>
      </c>
    </row>
    <row r="350" spans="1:7" ht="16.5" customHeight="1" x14ac:dyDescent="0.3">
      <c r="A350" s="11" t="s">
        <v>291</v>
      </c>
      <c r="B350" s="472" t="s">
        <v>12</v>
      </c>
      <c r="C350" s="472"/>
      <c r="D350" s="472"/>
      <c r="E350" s="472"/>
      <c r="F350" s="46"/>
      <c r="G350" s="45">
        <f>SUM(G351:G380)*1.05+G381</f>
        <v>36474.630346153841</v>
      </c>
    </row>
    <row r="351" spans="1:7" ht="16.5" customHeight="1" x14ac:dyDescent="0.3">
      <c r="A351" s="10">
        <v>1</v>
      </c>
      <c r="B351" s="49" t="s">
        <v>27</v>
      </c>
      <c r="C351" s="50" t="s">
        <v>28</v>
      </c>
      <c r="D351" s="348">
        <f>VLOOKUP(B351,[1]Dcu!$B$3:$D$511,3,0)</f>
        <v>12</v>
      </c>
      <c r="E351" s="52">
        <v>0.6</v>
      </c>
      <c r="F351" s="347">
        <f>VLOOKUP(B351,[1]Dcu!$B$3:$E$511,4,0)</f>
        <v>100000</v>
      </c>
      <c r="G351" s="47">
        <f t="shared" si="18"/>
        <v>192.30769230769229</v>
      </c>
    </row>
    <row r="352" spans="1:7" ht="16.5" customHeight="1" x14ac:dyDescent="0.3">
      <c r="A352" s="10">
        <v>2</v>
      </c>
      <c r="B352" s="49" t="s">
        <v>77</v>
      </c>
      <c r="C352" s="50" t="s">
        <v>28</v>
      </c>
      <c r="D352" s="348">
        <f>VLOOKUP(B352,[1]Dcu!$B$3:$D$511,3,0)</f>
        <v>12</v>
      </c>
      <c r="E352" s="52">
        <v>0.6</v>
      </c>
      <c r="F352" s="347">
        <f>VLOOKUP(B352,[1]Dcu!$B$3:$E$511,4,0)</f>
        <v>60000</v>
      </c>
      <c r="G352" s="47">
        <f t="shared" si="18"/>
        <v>115.38461538461539</v>
      </c>
    </row>
    <row r="353" spans="1:7" ht="16.5" customHeight="1" x14ac:dyDescent="0.3">
      <c r="A353" s="10">
        <v>3</v>
      </c>
      <c r="B353" s="49" t="s">
        <v>78</v>
      </c>
      <c r="C353" s="50" t="s">
        <v>28</v>
      </c>
      <c r="D353" s="348">
        <f>VLOOKUP(B353,[1]Dcu!$B$3:$D$511,3,0)</f>
        <v>12</v>
      </c>
      <c r="E353" s="52">
        <v>0.7</v>
      </c>
      <c r="F353" s="347">
        <f>VLOOKUP(B353,[1]Dcu!$B$3:$E$511,4,0)</f>
        <v>120000</v>
      </c>
      <c r="G353" s="47">
        <f t="shared" si="18"/>
        <v>269.23076923076923</v>
      </c>
    </row>
    <row r="354" spans="1:7" ht="16.5" customHeight="1" x14ac:dyDescent="0.3">
      <c r="A354" s="10">
        <v>4</v>
      </c>
      <c r="B354" s="49" t="s">
        <v>80</v>
      </c>
      <c r="C354" s="50" t="s">
        <v>28</v>
      </c>
      <c r="D354" s="348">
        <f>VLOOKUP(B354,[1]Dcu!$B$3:$D$511,3,0)</f>
        <v>12</v>
      </c>
      <c r="E354" s="52">
        <v>0.6</v>
      </c>
      <c r="F354" s="347">
        <f>VLOOKUP(B354,[1]Dcu!$B$3:$E$511,4,0)</f>
        <v>3500000</v>
      </c>
      <c r="G354" s="47">
        <f t="shared" si="18"/>
        <v>6730.7692307692314</v>
      </c>
    </row>
    <row r="355" spans="1:7" ht="16.5" customHeight="1" x14ac:dyDescent="0.3">
      <c r="A355" s="10">
        <v>5</v>
      </c>
      <c r="B355" s="49" t="s">
        <v>56</v>
      </c>
      <c r="C355" s="50" t="s">
        <v>28</v>
      </c>
      <c r="D355" s="348">
        <f>VLOOKUP(B355,[1]Dcu!$B$3:$D$511,3,0)</f>
        <v>12</v>
      </c>
      <c r="E355" s="52">
        <v>0.6</v>
      </c>
      <c r="F355" s="347">
        <f>VLOOKUP(B355,[1]Dcu!$B$3:$E$511,4,0)</f>
        <v>80000</v>
      </c>
      <c r="G355" s="47">
        <f t="shared" si="18"/>
        <v>153.84615384615384</v>
      </c>
    </row>
    <row r="356" spans="1:7" ht="16.5" customHeight="1" x14ac:dyDescent="0.3">
      <c r="A356" s="10">
        <v>6</v>
      </c>
      <c r="B356" s="49" t="s">
        <v>32</v>
      </c>
      <c r="C356" s="50" t="s">
        <v>28</v>
      </c>
      <c r="D356" s="348">
        <f>VLOOKUP(B356,[1]Dcu!$B$3:$D$511,3,0)</f>
        <v>12</v>
      </c>
      <c r="E356" s="52">
        <v>0.6</v>
      </c>
      <c r="F356" s="347">
        <f>VLOOKUP(B356,[1]Dcu!$B$3:$E$511,4,0)</f>
        <v>85000</v>
      </c>
      <c r="G356" s="47">
        <f t="shared" si="18"/>
        <v>163.46153846153848</v>
      </c>
    </row>
    <row r="357" spans="1:7" ht="16.5" customHeight="1" x14ac:dyDescent="0.3">
      <c r="A357" s="10">
        <v>7</v>
      </c>
      <c r="B357" s="49" t="s">
        <v>33</v>
      </c>
      <c r="C357" s="50" t="s">
        <v>28</v>
      </c>
      <c r="D357" s="348">
        <f>VLOOKUP(B357,[1]Dcu!$B$3:$D$511,3,0)</f>
        <v>12</v>
      </c>
      <c r="E357" s="52">
        <v>0.6</v>
      </c>
      <c r="F357" s="347">
        <f>VLOOKUP(B357,[1]Dcu!$B$3:$E$511,4,0)</f>
        <v>88000</v>
      </c>
      <c r="G357" s="47">
        <f t="shared" si="18"/>
        <v>169.23076923076923</v>
      </c>
    </row>
    <row r="358" spans="1:7" ht="16.5" customHeight="1" x14ac:dyDescent="0.3">
      <c r="A358" s="10">
        <v>8</v>
      </c>
      <c r="B358" s="49" t="s">
        <v>81</v>
      </c>
      <c r="C358" s="50" t="s">
        <v>28</v>
      </c>
      <c r="D358" s="348">
        <f>VLOOKUP(B358,[1]Dcu!$B$3:$D$511,3,0)</f>
        <v>12</v>
      </c>
      <c r="E358" s="52">
        <v>0.6</v>
      </c>
      <c r="F358" s="347">
        <f>VLOOKUP(B358,[1]Dcu!$B$3:$E$511,4,0)</f>
        <v>170000</v>
      </c>
      <c r="G358" s="47">
        <f t="shared" si="18"/>
        <v>326.92307692307696</v>
      </c>
    </row>
    <row r="359" spans="1:7" ht="16.5" customHeight="1" x14ac:dyDescent="0.3">
      <c r="A359" s="10">
        <v>9</v>
      </c>
      <c r="B359" s="49" t="s">
        <v>34</v>
      </c>
      <c r="C359" s="50" t="s">
        <v>28</v>
      </c>
      <c r="D359" s="348">
        <f>VLOOKUP(B359,[1]Dcu!$B$3:$D$511,3,0)</f>
        <v>12</v>
      </c>
      <c r="E359" s="52">
        <v>0.6</v>
      </c>
      <c r="F359" s="347">
        <f>VLOOKUP(B359,[1]Dcu!$B$3:$E$511,4,0)</f>
        <v>143000</v>
      </c>
      <c r="G359" s="47">
        <f t="shared" si="18"/>
        <v>275</v>
      </c>
    </row>
    <row r="360" spans="1:7" ht="16.5" customHeight="1" x14ac:dyDescent="0.3">
      <c r="A360" s="10">
        <v>10</v>
      </c>
      <c r="B360" s="49" t="s">
        <v>57</v>
      </c>
      <c r="C360" s="50" t="s">
        <v>28</v>
      </c>
      <c r="D360" s="348">
        <f>VLOOKUP(B360,[1]Dcu!$B$3:$D$511,3,0)</f>
        <v>1</v>
      </c>
      <c r="E360" s="52">
        <v>0.6</v>
      </c>
      <c r="F360" s="347">
        <f>VLOOKUP(B360,[1]Dcu!$B$3:$E$511,4,0)</f>
        <v>3000</v>
      </c>
      <c r="G360" s="47">
        <f t="shared" si="18"/>
        <v>69.230769230769226</v>
      </c>
    </row>
    <row r="361" spans="1:7" ht="16.5" customHeight="1" x14ac:dyDescent="0.3">
      <c r="A361" s="10">
        <v>11</v>
      </c>
      <c r="B361" s="49" t="s">
        <v>60</v>
      </c>
      <c r="C361" s="50" t="s">
        <v>28</v>
      </c>
      <c r="D361" s="348">
        <f>VLOOKUP(B361,[1]Dcu!$B$3:$D$511,3,0)</f>
        <v>12</v>
      </c>
      <c r="E361" s="52">
        <v>0.6</v>
      </c>
      <c r="F361" s="347">
        <f>VLOOKUP(B361,[1]Dcu!$B$3:$E$511,4,0)</f>
        <v>75000</v>
      </c>
      <c r="G361" s="47">
        <f t="shared" si="18"/>
        <v>144.23076923076923</v>
      </c>
    </row>
    <row r="362" spans="1:7" ht="16.5" customHeight="1" x14ac:dyDescent="0.3">
      <c r="A362" s="10">
        <v>12</v>
      </c>
      <c r="B362" s="49" t="s">
        <v>61</v>
      </c>
      <c r="C362" s="50" t="s">
        <v>82</v>
      </c>
      <c r="D362" s="348">
        <f>VLOOKUP(B362,[1]Dcu!$B$3:$D$511,3,0)</f>
        <v>12</v>
      </c>
      <c r="E362" s="52">
        <v>0.6</v>
      </c>
      <c r="F362" s="347">
        <f>VLOOKUP(B362,[1]Dcu!$B$3:$E$511,4,0)</f>
        <v>15000</v>
      </c>
      <c r="G362" s="47">
        <f t="shared" si="18"/>
        <v>28.846153846153847</v>
      </c>
    </row>
    <row r="363" spans="1:7" ht="16.5" customHeight="1" x14ac:dyDescent="0.3">
      <c r="A363" s="10">
        <v>13</v>
      </c>
      <c r="B363" s="49" t="s">
        <v>59</v>
      </c>
      <c r="C363" s="50" t="s">
        <v>28</v>
      </c>
      <c r="D363" s="348">
        <f>VLOOKUP(B363,[1]Dcu!$B$3:$D$511,3,0)</f>
        <v>36</v>
      </c>
      <c r="E363" s="52">
        <v>0.6</v>
      </c>
      <c r="F363" s="347">
        <f>VLOOKUP(B363,[1]Dcu!$B$3:$E$511,4,0)</f>
        <v>110000</v>
      </c>
      <c r="G363" s="47">
        <f t="shared" si="18"/>
        <v>70.512820512820511</v>
      </c>
    </row>
    <row r="364" spans="1:7" ht="16.5" customHeight="1" x14ac:dyDescent="0.3">
      <c r="A364" s="10">
        <v>14</v>
      </c>
      <c r="B364" s="49" t="s">
        <v>96</v>
      </c>
      <c r="C364" s="50" t="s">
        <v>28</v>
      </c>
      <c r="D364" s="348">
        <f>VLOOKUP(B364,[1]Dcu!$B$3:$D$511,3,0)</f>
        <v>24</v>
      </c>
      <c r="E364" s="52">
        <v>0.6</v>
      </c>
      <c r="F364" s="347">
        <f>VLOOKUP(B364,[1]Dcu!$B$3:$E$511,4,0)</f>
        <v>15000000</v>
      </c>
      <c r="G364" s="47">
        <f t="shared" si="18"/>
        <v>14423.076923076924</v>
      </c>
    </row>
    <row r="365" spans="1:7" ht="16.5" customHeight="1" x14ac:dyDescent="0.3">
      <c r="A365" s="10">
        <v>15</v>
      </c>
      <c r="B365" s="49" t="s">
        <v>97</v>
      </c>
      <c r="C365" s="50" t="s">
        <v>28</v>
      </c>
      <c r="D365" s="348">
        <f>VLOOKUP(B365,[1]Dcu!$B$3:$D$511,3,0)</f>
        <v>24</v>
      </c>
      <c r="E365" s="52">
        <v>0.6</v>
      </c>
      <c r="F365" s="347">
        <f>VLOOKUP(B365,[1]Dcu!$B$3:$E$511,4,0)</f>
        <v>4500000</v>
      </c>
      <c r="G365" s="47">
        <f t="shared" si="18"/>
        <v>4326.9230769230771</v>
      </c>
    </row>
    <row r="366" spans="1:7" ht="16.5" customHeight="1" x14ac:dyDescent="0.3">
      <c r="A366" s="10">
        <v>16</v>
      </c>
      <c r="B366" s="49" t="s">
        <v>83</v>
      </c>
      <c r="C366" s="50" t="s">
        <v>28</v>
      </c>
      <c r="D366" s="348">
        <f>VLOOKUP(B366,[1]Dcu!$B$3:$D$511,3,0)</f>
        <v>12</v>
      </c>
      <c r="E366" s="52">
        <v>0.6</v>
      </c>
      <c r="F366" s="347">
        <f>VLOOKUP(B366,[1]Dcu!$B$3:$E$511,4,0)</f>
        <v>1600000</v>
      </c>
      <c r="G366" s="47">
        <f t="shared" si="18"/>
        <v>3076.9230769230767</v>
      </c>
    </row>
    <row r="367" spans="1:7" ht="16.5" customHeight="1" x14ac:dyDescent="0.3">
      <c r="A367" s="10">
        <v>17</v>
      </c>
      <c r="B367" s="49" t="s">
        <v>39</v>
      </c>
      <c r="C367" s="50" t="s">
        <v>28</v>
      </c>
      <c r="D367" s="348">
        <f>VLOOKUP(B367,[1]Dcu!$B$3:$D$511,3,0)</f>
        <v>36</v>
      </c>
      <c r="E367" s="52">
        <v>0.6</v>
      </c>
      <c r="F367" s="347">
        <f>VLOOKUP(B367,[1]Dcu!$B$3:$E$511,4,0)</f>
        <v>340000</v>
      </c>
      <c r="G367" s="47">
        <f t="shared" si="18"/>
        <v>217.94871794871793</v>
      </c>
    </row>
    <row r="368" spans="1:7" ht="16.5" customHeight="1" x14ac:dyDescent="0.3">
      <c r="A368" s="10">
        <v>18</v>
      </c>
      <c r="B368" s="49" t="s">
        <v>40</v>
      </c>
      <c r="C368" s="50" t="s">
        <v>28</v>
      </c>
      <c r="D368" s="348">
        <f>VLOOKUP(B368,[1]Dcu!$B$3:$D$511,3,0)</f>
        <v>36</v>
      </c>
      <c r="E368" s="52">
        <v>0.6</v>
      </c>
      <c r="F368" s="347">
        <f>VLOOKUP(B368,[1]Dcu!$B$3:$E$511,4,0)</f>
        <v>700000</v>
      </c>
      <c r="G368" s="47">
        <f t="shared" si="18"/>
        <v>448.71794871794867</v>
      </c>
    </row>
    <row r="369" spans="1:7" ht="16.5" customHeight="1" x14ac:dyDescent="0.3">
      <c r="A369" s="10">
        <v>19</v>
      </c>
      <c r="B369" s="49" t="s">
        <v>41</v>
      </c>
      <c r="C369" s="50" t="s">
        <v>28</v>
      </c>
      <c r="D369" s="348">
        <f>VLOOKUP(B369,[1]Dcu!$B$3:$D$511,3,0)</f>
        <v>36</v>
      </c>
      <c r="E369" s="52">
        <v>0.6</v>
      </c>
      <c r="F369" s="347">
        <f>VLOOKUP(B369,[1]Dcu!$B$3:$E$511,4,0)</f>
        <v>60000</v>
      </c>
      <c r="G369" s="47">
        <f t="shared" si="18"/>
        <v>38.46153846153846</v>
      </c>
    </row>
    <row r="370" spans="1:7" ht="16.5" customHeight="1" x14ac:dyDescent="0.3">
      <c r="A370" s="10">
        <v>20</v>
      </c>
      <c r="B370" s="5" t="s">
        <v>639</v>
      </c>
      <c r="C370" s="50" t="s">
        <v>28</v>
      </c>
      <c r="D370" s="348">
        <f>VLOOKUP(B370,[1]Dcu!$B$3:$D$511,3,0)</f>
        <v>12</v>
      </c>
      <c r="E370" s="52">
        <v>0.6</v>
      </c>
      <c r="F370" s="347">
        <f>VLOOKUP(B370,[1]Dcu!$B$3:$E$511,4,0)</f>
        <v>30000</v>
      </c>
      <c r="G370" s="47">
        <f t="shared" si="18"/>
        <v>57.692307692307693</v>
      </c>
    </row>
    <row r="371" spans="1:7" ht="16.5" customHeight="1" x14ac:dyDescent="0.3">
      <c r="A371" s="10">
        <v>22</v>
      </c>
      <c r="B371" s="12" t="s">
        <v>621</v>
      </c>
      <c r="C371" s="10" t="s">
        <v>76</v>
      </c>
      <c r="D371" s="348">
        <f>VLOOKUP(B371,[1]Dcu!$B$3:$D$511,3,0)</f>
        <v>0.3</v>
      </c>
      <c r="E371" s="10">
        <v>0.02</v>
      </c>
      <c r="F371" s="347">
        <f>VLOOKUP(B371,[1]Dcu!$B$3:$E$511,4,0)</f>
        <v>200000</v>
      </c>
      <c r="G371" s="47">
        <f t="shared" ref="G371:G432" si="19">F371/(D371*26)*E371</f>
        <v>512.82051282051282</v>
      </c>
    </row>
    <row r="372" spans="1:7" ht="16.5" customHeight="1" x14ac:dyDescent="0.3">
      <c r="A372" s="10">
        <v>23</v>
      </c>
      <c r="B372" s="49" t="s">
        <v>43</v>
      </c>
      <c r="C372" s="10" t="s">
        <v>76</v>
      </c>
      <c r="D372" s="348">
        <f>VLOOKUP(B372,[1]Dcu!$B$3:$D$511,3,0)</f>
        <v>0.3</v>
      </c>
      <c r="E372" s="10">
        <v>0.02</v>
      </c>
      <c r="F372" s="347">
        <f>VLOOKUP(B372,[1]Dcu!$B$3:$E$511,4,0)</f>
        <v>400000</v>
      </c>
      <c r="G372" s="47">
        <f t="shared" si="19"/>
        <v>1025.6410256410256</v>
      </c>
    </row>
    <row r="373" spans="1:7" ht="16.5" customHeight="1" x14ac:dyDescent="0.3">
      <c r="A373" s="10">
        <v>24</v>
      </c>
      <c r="B373" s="49" t="s">
        <v>44</v>
      </c>
      <c r="C373" s="50" t="s">
        <v>28</v>
      </c>
      <c r="D373" s="348">
        <f>VLOOKUP(B373,[1]Dcu!$B$3:$D$511,3,0)</f>
        <v>60</v>
      </c>
      <c r="E373" s="52">
        <v>0.107</v>
      </c>
      <c r="F373" s="347">
        <f>VLOOKUP(B373,[1]Dcu!$B$3:$E$511,4,0)</f>
        <v>500000</v>
      </c>
      <c r="G373" s="47">
        <f t="shared" si="19"/>
        <v>34.294871794871796</v>
      </c>
    </row>
    <row r="374" spans="1:7" ht="16.5" customHeight="1" x14ac:dyDescent="0.3">
      <c r="A374" s="10">
        <v>25</v>
      </c>
      <c r="B374" s="49" t="s">
        <v>45</v>
      </c>
      <c r="C374" s="50" t="s">
        <v>28</v>
      </c>
      <c r="D374" s="348">
        <f>VLOOKUP(B374,[1]Dcu!$B$3:$D$511,3,0)</f>
        <v>60</v>
      </c>
      <c r="E374" s="52">
        <v>0.107</v>
      </c>
      <c r="F374" s="347">
        <f>VLOOKUP(B374,[1]Dcu!$B$3:$E$511,4,0)</f>
        <v>250000</v>
      </c>
      <c r="G374" s="47">
        <f t="shared" si="19"/>
        <v>17.147435897435898</v>
      </c>
    </row>
    <row r="375" spans="1:7" ht="16.5" customHeight="1" x14ac:dyDescent="0.3">
      <c r="A375" s="10">
        <v>26</v>
      </c>
      <c r="B375" s="49" t="s">
        <v>46</v>
      </c>
      <c r="C375" s="50" t="s">
        <v>28</v>
      </c>
      <c r="D375" s="348">
        <f>VLOOKUP(B375,[1]Dcu!$B$3:$D$511,3,0)</f>
        <v>60</v>
      </c>
      <c r="E375" s="52">
        <v>5.0000000000000001E-3</v>
      </c>
      <c r="F375" s="347">
        <f>VLOOKUP(B375,[1]Dcu!$B$3:$E$511,4,0)</f>
        <v>1600000</v>
      </c>
      <c r="G375" s="47">
        <f t="shared" si="19"/>
        <v>5.1282051282051286</v>
      </c>
    </row>
    <row r="376" spans="1:7" ht="16.5" customHeight="1" x14ac:dyDescent="0.3">
      <c r="A376" s="10">
        <v>27</v>
      </c>
      <c r="B376" s="49" t="s">
        <v>47</v>
      </c>
      <c r="C376" s="50" t="s">
        <v>28</v>
      </c>
      <c r="D376" s="348">
        <f>VLOOKUP(B376,[1]Dcu!$B$3:$D$511,3,0)</f>
        <v>60</v>
      </c>
      <c r="E376" s="52">
        <v>0.04</v>
      </c>
      <c r="F376" s="347">
        <f>VLOOKUP(B376,[1]Dcu!$B$3:$E$511,4,0)</f>
        <v>1500000</v>
      </c>
      <c r="G376" s="47">
        <f t="shared" si="19"/>
        <v>38.46153846153846</v>
      </c>
    </row>
    <row r="377" spans="1:7" ht="16.5" customHeight="1" x14ac:dyDescent="0.3">
      <c r="A377" s="10">
        <v>28</v>
      </c>
      <c r="B377" s="49" t="s">
        <v>48</v>
      </c>
      <c r="C377" s="50" t="s">
        <v>36</v>
      </c>
      <c r="D377" s="348">
        <f>VLOOKUP(B377,[1]Dcu!$B$3:$D$511,3,0)</f>
        <v>36</v>
      </c>
      <c r="E377" s="52">
        <v>0.6</v>
      </c>
      <c r="F377" s="347">
        <f>VLOOKUP(B377,[1]Dcu!$B$3:$E$511,4,0)</f>
        <v>40000</v>
      </c>
      <c r="G377" s="47">
        <f t="shared" si="19"/>
        <v>25.641025641025639</v>
      </c>
    </row>
    <row r="378" spans="1:7" ht="16.5" customHeight="1" x14ac:dyDescent="0.3">
      <c r="A378" s="10">
        <v>29</v>
      </c>
      <c r="B378" s="49" t="s">
        <v>49</v>
      </c>
      <c r="C378" s="50" t="s">
        <v>28</v>
      </c>
      <c r="D378" s="348">
        <f>VLOOKUP(B378,[1]Dcu!$B$3:$D$511,3,0)</f>
        <v>96</v>
      </c>
      <c r="E378" s="52">
        <v>0.16</v>
      </c>
      <c r="F378" s="347">
        <f>VLOOKUP(B378,[1]Dcu!$B$3:$E$511,4,0)</f>
        <v>1000000</v>
      </c>
      <c r="G378" s="47">
        <f t="shared" si="19"/>
        <v>64.102564102564102</v>
      </c>
    </row>
    <row r="379" spans="1:7" ht="16.5" customHeight="1" x14ac:dyDescent="0.3">
      <c r="A379" s="10">
        <v>30</v>
      </c>
      <c r="B379" s="49" t="s">
        <v>50</v>
      </c>
      <c r="C379" s="50" t="s">
        <v>28</v>
      </c>
      <c r="D379" s="348">
        <f>VLOOKUP(B379,[1]Dcu!$B$3:$D$511,3,0)</f>
        <v>96</v>
      </c>
      <c r="E379" s="52">
        <v>0.6</v>
      </c>
      <c r="F379" s="347">
        <f>VLOOKUP(B379,[1]Dcu!$B$3:$E$511,4,0)</f>
        <v>300000</v>
      </c>
      <c r="G379" s="47">
        <f t="shared" si="19"/>
        <v>72.115384615384613</v>
      </c>
    </row>
    <row r="380" spans="1:7" ht="16.5" customHeight="1" x14ac:dyDescent="0.3">
      <c r="A380" s="10">
        <v>31</v>
      </c>
      <c r="B380" s="49" t="s">
        <v>51</v>
      </c>
      <c r="C380" s="50" t="s">
        <v>28</v>
      </c>
      <c r="D380" s="348">
        <f>VLOOKUP(B380,[1]Dcu!$B$3:$D$511,3,0)</f>
        <v>96</v>
      </c>
      <c r="E380" s="52">
        <v>0.6</v>
      </c>
      <c r="F380" s="347">
        <f>VLOOKUP(B380,[1]Dcu!$B$3:$E$511,4,0)</f>
        <v>80000</v>
      </c>
      <c r="G380" s="47">
        <f t="shared" si="19"/>
        <v>19.23076923076923</v>
      </c>
    </row>
    <row r="381" spans="1:7" ht="16.5" customHeight="1" x14ac:dyDescent="0.3">
      <c r="A381" s="10">
        <v>33</v>
      </c>
      <c r="B381" s="49" t="s">
        <v>52</v>
      </c>
      <c r="C381" s="50" t="s">
        <v>53</v>
      </c>
      <c r="D381" s="52"/>
      <c r="E381" s="52">
        <v>0.92800000000000005</v>
      </c>
      <c r="F381" s="347">
        <f>VLOOKUP(B381,[1]Dcu!$B$3:$E$511,4,0)</f>
        <v>1838</v>
      </c>
      <c r="G381" s="47">
        <f>F381*E381</f>
        <v>1705.664</v>
      </c>
    </row>
    <row r="382" spans="1:7" ht="16.5" customHeight="1" x14ac:dyDescent="0.3">
      <c r="A382" s="11" t="s">
        <v>292</v>
      </c>
      <c r="B382" s="463" t="s">
        <v>514</v>
      </c>
      <c r="C382" s="463"/>
      <c r="D382" s="19"/>
      <c r="E382" s="19"/>
      <c r="F382" s="46"/>
      <c r="G382" s="45">
        <f>SUM(G383:G412)*1.05+G413</f>
        <v>42387.290358974358</v>
      </c>
    </row>
    <row r="383" spans="1:7" ht="16.5" customHeight="1" x14ac:dyDescent="0.3">
      <c r="A383" s="10">
        <v>1</v>
      </c>
      <c r="B383" s="49" t="s">
        <v>27</v>
      </c>
      <c r="C383" s="50" t="s">
        <v>28</v>
      </c>
      <c r="D383" s="348">
        <f>VLOOKUP(B383,[1]Dcu!$B$3:$D$511,3,0)</f>
        <v>12</v>
      </c>
      <c r="E383" s="52">
        <v>0.7</v>
      </c>
      <c r="F383" s="347">
        <f>VLOOKUP(B383,[1]Dcu!$B$3:$E$511,4,0)</f>
        <v>100000</v>
      </c>
      <c r="G383" s="47">
        <f t="shared" si="19"/>
        <v>224.35897435897434</v>
      </c>
    </row>
    <row r="384" spans="1:7" ht="16.5" customHeight="1" x14ac:dyDescent="0.3">
      <c r="A384" s="10">
        <v>2</v>
      </c>
      <c r="B384" s="49" t="s">
        <v>77</v>
      </c>
      <c r="C384" s="50" t="s">
        <v>28</v>
      </c>
      <c r="D384" s="348">
        <f>VLOOKUP(B384,[1]Dcu!$B$3:$D$511,3,0)</f>
        <v>12</v>
      </c>
      <c r="E384" s="52">
        <v>0.7</v>
      </c>
      <c r="F384" s="347">
        <f>VLOOKUP(B384,[1]Dcu!$B$3:$E$511,4,0)</f>
        <v>60000</v>
      </c>
      <c r="G384" s="47">
        <f t="shared" si="19"/>
        <v>134.61538461538461</v>
      </c>
    </row>
    <row r="385" spans="1:7" ht="16.5" customHeight="1" x14ac:dyDescent="0.3">
      <c r="A385" s="10">
        <v>3</v>
      </c>
      <c r="B385" s="49" t="s">
        <v>78</v>
      </c>
      <c r="C385" s="50" t="s">
        <v>28</v>
      </c>
      <c r="D385" s="348">
        <f>VLOOKUP(B385,[1]Dcu!$B$3:$D$511,3,0)</f>
        <v>12</v>
      </c>
      <c r="E385" s="52">
        <v>0.7</v>
      </c>
      <c r="F385" s="347">
        <f>VLOOKUP(B385,[1]Dcu!$B$3:$E$511,4,0)</f>
        <v>120000</v>
      </c>
      <c r="G385" s="47">
        <f t="shared" si="19"/>
        <v>269.23076923076923</v>
      </c>
    </row>
    <row r="386" spans="1:7" ht="16.5" customHeight="1" x14ac:dyDescent="0.3">
      <c r="A386" s="10">
        <v>4</v>
      </c>
      <c r="B386" s="49" t="s">
        <v>80</v>
      </c>
      <c r="C386" s="50" t="s">
        <v>28</v>
      </c>
      <c r="D386" s="348">
        <f>VLOOKUP(B386,[1]Dcu!$B$3:$D$511,3,0)</f>
        <v>12</v>
      </c>
      <c r="E386" s="52">
        <v>0.7</v>
      </c>
      <c r="F386" s="347">
        <f>VLOOKUP(B386,[1]Dcu!$B$3:$E$511,4,0)</f>
        <v>3500000</v>
      </c>
      <c r="G386" s="47">
        <f t="shared" si="19"/>
        <v>7852.5641025641025</v>
      </c>
    </row>
    <row r="387" spans="1:7" ht="16.5" customHeight="1" x14ac:dyDescent="0.3">
      <c r="A387" s="10">
        <v>5</v>
      </c>
      <c r="B387" s="49" t="s">
        <v>56</v>
      </c>
      <c r="C387" s="50" t="s">
        <v>28</v>
      </c>
      <c r="D387" s="348">
        <f>VLOOKUP(B387,[1]Dcu!$B$3:$D$511,3,0)</f>
        <v>12</v>
      </c>
      <c r="E387" s="52">
        <v>0.7</v>
      </c>
      <c r="F387" s="347">
        <f>VLOOKUP(B387,[1]Dcu!$B$3:$E$511,4,0)</f>
        <v>80000</v>
      </c>
      <c r="G387" s="47">
        <f t="shared" si="19"/>
        <v>179.48717948717947</v>
      </c>
    </row>
    <row r="388" spans="1:7" ht="16.5" customHeight="1" x14ac:dyDescent="0.3">
      <c r="A388" s="10">
        <v>6</v>
      </c>
      <c r="B388" s="49" t="s">
        <v>32</v>
      </c>
      <c r="C388" s="50" t="s">
        <v>28</v>
      </c>
      <c r="D388" s="348">
        <f>VLOOKUP(B388,[1]Dcu!$B$3:$D$511,3,0)</f>
        <v>12</v>
      </c>
      <c r="E388" s="52">
        <v>0.7</v>
      </c>
      <c r="F388" s="347">
        <f>VLOOKUP(B388,[1]Dcu!$B$3:$E$511,4,0)</f>
        <v>85000</v>
      </c>
      <c r="G388" s="47">
        <f t="shared" si="19"/>
        <v>190.7051282051282</v>
      </c>
    </row>
    <row r="389" spans="1:7" ht="16.5" customHeight="1" x14ac:dyDescent="0.3">
      <c r="A389" s="10">
        <v>7</v>
      </c>
      <c r="B389" s="49" t="s">
        <v>33</v>
      </c>
      <c r="C389" s="50" t="s">
        <v>28</v>
      </c>
      <c r="D389" s="348">
        <f>VLOOKUP(B389,[1]Dcu!$B$3:$D$511,3,0)</f>
        <v>12</v>
      </c>
      <c r="E389" s="52">
        <v>0.7</v>
      </c>
      <c r="F389" s="347">
        <f>VLOOKUP(B389,[1]Dcu!$B$3:$E$511,4,0)</f>
        <v>88000</v>
      </c>
      <c r="G389" s="47">
        <f t="shared" si="19"/>
        <v>197.43589743589743</v>
      </c>
    </row>
    <row r="390" spans="1:7" ht="16.5" customHeight="1" x14ac:dyDescent="0.3">
      <c r="A390" s="10">
        <v>8</v>
      </c>
      <c r="B390" s="49" t="s">
        <v>81</v>
      </c>
      <c r="C390" s="50" t="s">
        <v>28</v>
      </c>
      <c r="D390" s="348">
        <f>VLOOKUP(B390,[1]Dcu!$B$3:$D$511,3,0)</f>
        <v>12</v>
      </c>
      <c r="E390" s="52">
        <v>0.7</v>
      </c>
      <c r="F390" s="347">
        <f>VLOOKUP(B390,[1]Dcu!$B$3:$E$511,4,0)</f>
        <v>170000</v>
      </c>
      <c r="G390" s="47">
        <f t="shared" si="19"/>
        <v>381.41025641025641</v>
      </c>
    </row>
    <row r="391" spans="1:7" ht="16.5" customHeight="1" x14ac:dyDescent="0.3">
      <c r="A391" s="10">
        <v>9</v>
      </c>
      <c r="B391" s="49" t="s">
        <v>34</v>
      </c>
      <c r="C391" s="50" t="s">
        <v>28</v>
      </c>
      <c r="D391" s="348">
        <f>VLOOKUP(B391,[1]Dcu!$B$3:$D$511,3,0)</f>
        <v>12</v>
      </c>
      <c r="E391" s="52">
        <v>0.7</v>
      </c>
      <c r="F391" s="347">
        <f>VLOOKUP(B391,[1]Dcu!$B$3:$E$511,4,0)</f>
        <v>143000</v>
      </c>
      <c r="G391" s="47">
        <f t="shared" si="19"/>
        <v>320.83333333333331</v>
      </c>
    </row>
    <row r="392" spans="1:7" ht="16.5" customHeight="1" x14ac:dyDescent="0.3">
      <c r="A392" s="10">
        <v>10</v>
      </c>
      <c r="B392" s="49" t="s">
        <v>57</v>
      </c>
      <c r="C392" s="50" t="s">
        <v>28</v>
      </c>
      <c r="D392" s="348">
        <f>VLOOKUP(B392,[1]Dcu!$B$3:$D$511,3,0)</f>
        <v>1</v>
      </c>
      <c r="E392" s="52">
        <v>0.7</v>
      </c>
      <c r="F392" s="347">
        <f>VLOOKUP(B392,[1]Dcu!$B$3:$E$511,4,0)</f>
        <v>3000</v>
      </c>
      <c r="G392" s="47">
        <f t="shared" si="19"/>
        <v>80.769230769230759</v>
      </c>
    </row>
    <row r="393" spans="1:7" ht="16.5" customHeight="1" x14ac:dyDescent="0.3">
      <c r="A393" s="10">
        <v>11</v>
      </c>
      <c r="B393" s="49" t="s">
        <v>60</v>
      </c>
      <c r="C393" s="50" t="s">
        <v>28</v>
      </c>
      <c r="D393" s="348">
        <f>VLOOKUP(B393,[1]Dcu!$B$3:$D$511,3,0)</f>
        <v>12</v>
      </c>
      <c r="E393" s="52">
        <v>0.7</v>
      </c>
      <c r="F393" s="347">
        <f>VLOOKUP(B393,[1]Dcu!$B$3:$E$511,4,0)</f>
        <v>75000</v>
      </c>
      <c r="G393" s="47">
        <f t="shared" si="19"/>
        <v>168.26923076923077</v>
      </c>
    </row>
    <row r="394" spans="1:7" ht="16.5" customHeight="1" x14ac:dyDescent="0.3">
      <c r="A394" s="10">
        <v>12</v>
      </c>
      <c r="B394" s="49" t="s">
        <v>61</v>
      </c>
      <c r="C394" s="50" t="s">
        <v>82</v>
      </c>
      <c r="D394" s="348">
        <f>VLOOKUP(B394,[1]Dcu!$B$3:$D$511,3,0)</f>
        <v>12</v>
      </c>
      <c r="E394" s="52">
        <v>0.7</v>
      </c>
      <c r="F394" s="347">
        <f>VLOOKUP(B394,[1]Dcu!$B$3:$E$511,4,0)</f>
        <v>15000</v>
      </c>
      <c r="G394" s="47">
        <f t="shared" si="19"/>
        <v>33.653846153846153</v>
      </c>
    </row>
    <row r="395" spans="1:7" ht="16.5" customHeight="1" x14ac:dyDescent="0.3">
      <c r="A395" s="10">
        <v>13</v>
      </c>
      <c r="B395" s="49" t="s">
        <v>59</v>
      </c>
      <c r="C395" s="50" t="s">
        <v>28</v>
      </c>
      <c r="D395" s="348">
        <f>VLOOKUP(B395,[1]Dcu!$B$3:$D$511,3,0)</f>
        <v>36</v>
      </c>
      <c r="E395" s="52">
        <v>0.7</v>
      </c>
      <c r="F395" s="347">
        <f>VLOOKUP(B395,[1]Dcu!$B$3:$E$511,4,0)</f>
        <v>110000</v>
      </c>
      <c r="G395" s="47">
        <f t="shared" si="19"/>
        <v>82.26495726495726</v>
      </c>
    </row>
    <row r="396" spans="1:7" ht="16.5" customHeight="1" x14ac:dyDescent="0.3">
      <c r="A396" s="10">
        <v>14</v>
      </c>
      <c r="B396" s="49" t="s">
        <v>96</v>
      </c>
      <c r="C396" s="50" t="s">
        <v>28</v>
      </c>
      <c r="D396" s="348">
        <f>VLOOKUP(B396,[1]Dcu!$B$3:$D$511,3,0)</f>
        <v>24</v>
      </c>
      <c r="E396" s="52">
        <v>0.7</v>
      </c>
      <c r="F396" s="347">
        <f>VLOOKUP(B396,[1]Dcu!$B$3:$E$511,4,0)</f>
        <v>15000000</v>
      </c>
      <c r="G396" s="47">
        <f t="shared" si="19"/>
        <v>16826.923076923078</v>
      </c>
    </row>
    <row r="397" spans="1:7" ht="16.5" customHeight="1" x14ac:dyDescent="0.3">
      <c r="A397" s="10">
        <v>15</v>
      </c>
      <c r="B397" s="49" t="s">
        <v>97</v>
      </c>
      <c r="C397" s="50" t="s">
        <v>28</v>
      </c>
      <c r="D397" s="348">
        <f>VLOOKUP(B397,[1]Dcu!$B$3:$D$511,3,0)</f>
        <v>24</v>
      </c>
      <c r="E397" s="52">
        <v>0.7</v>
      </c>
      <c r="F397" s="347">
        <f>VLOOKUP(B397,[1]Dcu!$B$3:$E$511,4,0)</f>
        <v>4500000</v>
      </c>
      <c r="G397" s="47">
        <f t="shared" si="19"/>
        <v>5048.0769230769229</v>
      </c>
    </row>
    <row r="398" spans="1:7" ht="16.5" customHeight="1" x14ac:dyDescent="0.3">
      <c r="A398" s="10">
        <v>16</v>
      </c>
      <c r="B398" s="49" t="s">
        <v>83</v>
      </c>
      <c r="C398" s="50" t="s">
        <v>28</v>
      </c>
      <c r="D398" s="348">
        <f>VLOOKUP(B398,[1]Dcu!$B$3:$D$511,3,0)</f>
        <v>12</v>
      </c>
      <c r="E398" s="52">
        <v>0.7</v>
      </c>
      <c r="F398" s="347">
        <f>VLOOKUP(B398,[1]Dcu!$B$3:$E$511,4,0)</f>
        <v>1600000</v>
      </c>
      <c r="G398" s="47">
        <f t="shared" si="19"/>
        <v>3589.7435897435894</v>
      </c>
    </row>
    <row r="399" spans="1:7" ht="16.5" customHeight="1" x14ac:dyDescent="0.3">
      <c r="A399" s="10">
        <v>17</v>
      </c>
      <c r="B399" s="49" t="s">
        <v>39</v>
      </c>
      <c r="C399" s="50" t="s">
        <v>28</v>
      </c>
      <c r="D399" s="348">
        <f>VLOOKUP(B399,[1]Dcu!$B$3:$D$511,3,0)</f>
        <v>36</v>
      </c>
      <c r="E399" s="52">
        <v>0.7</v>
      </c>
      <c r="F399" s="347">
        <f>VLOOKUP(B399,[1]Dcu!$B$3:$E$511,4,0)</f>
        <v>340000</v>
      </c>
      <c r="G399" s="47">
        <f t="shared" si="19"/>
        <v>254.27350427350424</v>
      </c>
    </row>
    <row r="400" spans="1:7" ht="16.5" customHeight="1" x14ac:dyDescent="0.3">
      <c r="A400" s="10">
        <v>18</v>
      </c>
      <c r="B400" s="49" t="s">
        <v>40</v>
      </c>
      <c r="C400" s="50" t="s">
        <v>28</v>
      </c>
      <c r="D400" s="348">
        <f>VLOOKUP(B400,[1]Dcu!$B$3:$D$511,3,0)</f>
        <v>36</v>
      </c>
      <c r="E400" s="52">
        <v>0.7</v>
      </c>
      <c r="F400" s="347">
        <f>VLOOKUP(B400,[1]Dcu!$B$3:$E$511,4,0)</f>
        <v>700000</v>
      </c>
      <c r="G400" s="47">
        <f t="shared" si="19"/>
        <v>523.50427350427344</v>
      </c>
    </row>
    <row r="401" spans="1:7" ht="16.5" customHeight="1" x14ac:dyDescent="0.3">
      <c r="A401" s="10">
        <v>19</v>
      </c>
      <c r="B401" s="49" t="s">
        <v>41</v>
      </c>
      <c r="C401" s="50" t="s">
        <v>28</v>
      </c>
      <c r="D401" s="348">
        <f>VLOOKUP(B401,[1]Dcu!$B$3:$D$511,3,0)</f>
        <v>36</v>
      </c>
      <c r="E401" s="52">
        <v>0.7</v>
      </c>
      <c r="F401" s="347">
        <f>VLOOKUP(B401,[1]Dcu!$B$3:$E$511,4,0)</f>
        <v>60000</v>
      </c>
      <c r="G401" s="47">
        <f t="shared" si="19"/>
        <v>44.871794871794869</v>
      </c>
    </row>
    <row r="402" spans="1:7" ht="16.5" customHeight="1" x14ac:dyDescent="0.3">
      <c r="A402" s="10">
        <v>20</v>
      </c>
      <c r="B402" s="5" t="s">
        <v>639</v>
      </c>
      <c r="C402" s="50" t="s">
        <v>28</v>
      </c>
      <c r="D402" s="348">
        <f>VLOOKUP(B402,[1]Dcu!$B$3:$D$511,3,0)</f>
        <v>12</v>
      </c>
      <c r="E402" s="52">
        <v>0.7</v>
      </c>
      <c r="F402" s="347">
        <f>VLOOKUP(B402,[1]Dcu!$B$3:$E$511,4,0)</f>
        <v>30000</v>
      </c>
      <c r="G402" s="47">
        <f t="shared" si="19"/>
        <v>67.307692307692307</v>
      </c>
    </row>
    <row r="403" spans="1:7" ht="16.5" customHeight="1" x14ac:dyDescent="0.3">
      <c r="A403" s="10">
        <v>22</v>
      </c>
      <c r="B403" s="12" t="s">
        <v>621</v>
      </c>
      <c r="C403" s="10" t="s">
        <v>76</v>
      </c>
      <c r="D403" s="348">
        <f>VLOOKUP(B403,[1]Dcu!$B$3:$D$511,3,0)</f>
        <v>0.3</v>
      </c>
      <c r="E403" s="10">
        <v>0.02</v>
      </c>
      <c r="F403" s="347">
        <f>VLOOKUP(B403,[1]Dcu!$B$3:$E$511,4,0)</f>
        <v>200000</v>
      </c>
      <c r="G403" s="47">
        <f t="shared" si="19"/>
        <v>512.82051282051282</v>
      </c>
    </row>
    <row r="404" spans="1:7" ht="16.5" customHeight="1" x14ac:dyDescent="0.3">
      <c r="A404" s="10">
        <v>23</v>
      </c>
      <c r="B404" s="49" t="s">
        <v>43</v>
      </c>
      <c r="C404" s="10" t="s">
        <v>76</v>
      </c>
      <c r="D404" s="348">
        <f>VLOOKUP(B404,[1]Dcu!$B$3:$D$511,3,0)</f>
        <v>0.3</v>
      </c>
      <c r="E404" s="10">
        <v>0.02</v>
      </c>
      <c r="F404" s="347">
        <f>VLOOKUP(B404,[1]Dcu!$B$3:$E$511,4,0)</f>
        <v>400000</v>
      </c>
      <c r="G404" s="47">
        <f t="shared" si="19"/>
        <v>1025.6410256410256</v>
      </c>
    </row>
    <row r="405" spans="1:7" ht="16.5" customHeight="1" x14ac:dyDescent="0.3">
      <c r="A405" s="10">
        <v>24</v>
      </c>
      <c r="B405" s="49" t="s">
        <v>44</v>
      </c>
      <c r="C405" s="50" t="s">
        <v>28</v>
      </c>
      <c r="D405" s="348">
        <f>VLOOKUP(B405,[1]Dcu!$B$3:$D$511,3,0)</f>
        <v>60</v>
      </c>
      <c r="E405" s="52">
        <v>0.13300000000000001</v>
      </c>
      <c r="F405" s="347">
        <f>VLOOKUP(B405,[1]Dcu!$B$3:$E$511,4,0)</f>
        <v>500000</v>
      </c>
      <c r="G405" s="47">
        <f t="shared" si="19"/>
        <v>42.628205128205131</v>
      </c>
    </row>
    <row r="406" spans="1:7" ht="16.5" customHeight="1" x14ac:dyDescent="0.3">
      <c r="A406" s="10">
        <v>25</v>
      </c>
      <c r="B406" s="49" t="s">
        <v>45</v>
      </c>
      <c r="C406" s="50" t="s">
        <v>28</v>
      </c>
      <c r="D406" s="348">
        <f>VLOOKUP(B406,[1]Dcu!$B$3:$D$511,3,0)</f>
        <v>60</v>
      </c>
      <c r="E406" s="52">
        <v>0.13300000000000001</v>
      </c>
      <c r="F406" s="347">
        <f>VLOOKUP(B406,[1]Dcu!$B$3:$E$511,4,0)</f>
        <v>250000</v>
      </c>
      <c r="G406" s="47">
        <f t="shared" si="19"/>
        <v>21.314102564102566</v>
      </c>
    </row>
    <row r="407" spans="1:7" ht="16.5" customHeight="1" x14ac:dyDescent="0.3">
      <c r="A407" s="10">
        <v>26</v>
      </c>
      <c r="B407" s="49" t="s">
        <v>46</v>
      </c>
      <c r="C407" s="50" t="s">
        <v>28</v>
      </c>
      <c r="D407" s="348">
        <f>VLOOKUP(B407,[1]Dcu!$B$3:$D$511,3,0)</f>
        <v>60</v>
      </c>
      <c r="E407" s="52">
        <v>6.0000000000000001E-3</v>
      </c>
      <c r="F407" s="347">
        <f>VLOOKUP(B407,[1]Dcu!$B$3:$E$511,4,0)</f>
        <v>1600000</v>
      </c>
      <c r="G407" s="47">
        <f t="shared" si="19"/>
        <v>6.1538461538461542</v>
      </c>
    </row>
    <row r="408" spans="1:7" ht="16.5" customHeight="1" x14ac:dyDescent="0.3">
      <c r="A408" s="10">
        <v>27</v>
      </c>
      <c r="B408" s="49" t="s">
        <v>47</v>
      </c>
      <c r="C408" s="50" t="s">
        <v>28</v>
      </c>
      <c r="D408" s="348">
        <f>VLOOKUP(B408,[1]Dcu!$B$3:$D$511,3,0)</f>
        <v>60</v>
      </c>
      <c r="E408" s="52">
        <v>0.05</v>
      </c>
      <c r="F408" s="347">
        <f>VLOOKUP(B408,[1]Dcu!$B$3:$E$511,4,0)</f>
        <v>1500000</v>
      </c>
      <c r="G408" s="47">
        <f t="shared" si="19"/>
        <v>48.07692307692308</v>
      </c>
    </row>
    <row r="409" spans="1:7" ht="16.5" customHeight="1" x14ac:dyDescent="0.3">
      <c r="A409" s="10">
        <v>28</v>
      </c>
      <c r="B409" s="49" t="s">
        <v>48</v>
      </c>
      <c r="C409" s="50" t="s">
        <v>36</v>
      </c>
      <c r="D409" s="348">
        <f>VLOOKUP(B409,[1]Dcu!$B$3:$D$511,3,0)</f>
        <v>36</v>
      </c>
      <c r="E409" s="52">
        <v>0.7</v>
      </c>
      <c r="F409" s="347">
        <f>VLOOKUP(B409,[1]Dcu!$B$3:$E$511,4,0)</f>
        <v>40000</v>
      </c>
      <c r="G409" s="47">
        <f t="shared" si="19"/>
        <v>29.914529914529911</v>
      </c>
    </row>
    <row r="410" spans="1:7" ht="16.5" customHeight="1" x14ac:dyDescent="0.3">
      <c r="A410" s="10">
        <v>29</v>
      </c>
      <c r="B410" s="49" t="s">
        <v>49</v>
      </c>
      <c r="C410" s="50" t="s">
        <v>28</v>
      </c>
      <c r="D410" s="348">
        <f>VLOOKUP(B410,[1]Dcu!$B$3:$D$511,3,0)</f>
        <v>96</v>
      </c>
      <c r="E410" s="52">
        <v>0.2</v>
      </c>
      <c r="F410" s="347">
        <f>VLOOKUP(B410,[1]Dcu!$B$3:$E$511,4,0)</f>
        <v>1000000</v>
      </c>
      <c r="G410" s="47">
        <f t="shared" si="19"/>
        <v>80.128205128205138</v>
      </c>
    </row>
    <row r="411" spans="1:7" ht="16.5" customHeight="1" x14ac:dyDescent="0.3">
      <c r="A411" s="10">
        <v>30</v>
      </c>
      <c r="B411" s="49" t="s">
        <v>50</v>
      </c>
      <c r="C411" s="50" t="s">
        <v>28</v>
      </c>
      <c r="D411" s="348">
        <f>VLOOKUP(B411,[1]Dcu!$B$3:$D$511,3,0)</f>
        <v>96</v>
      </c>
      <c r="E411" s="52">
        <v>0.7</v>
      </c>
      <c r="F411" s="347">
        <f>VLOOKUP(B411,[1]Dcu!$B$3:$E$511,4,0)</f>
        <v>300000</v>
      </c>
      <c r="G411" s="47">
        <f t="shared" si="19"/>
        <v>84.134615384615387</v>
      </c>
    </row>
    <row r="412" spans="1:7" ht="16.5" customHeight="1" x14ac:dyDescent="0.3">
      <c r="A412" s="10">
        <v>31</v>
      </c>
      <c r="B412" s="49" t="s">
        <v>51</v>
      </c>
      <c r="C412" s="50" t="s">
        <v>28</v>
      </c>
      <c r="D412" s="348">
        <f>VLOOKUP(B412,[1]Dcu!$B$3:$D$511,3,0)</f>
        <v>96</v>
      </c>
      <c r="E412" s="52">
        <v>0.7</v>
      </c>
      <c r="F412" s="347">
        <f>VLOOKUP(B412,[1]Dcu!$B$3:$E$511,4,0)</f>
        <v>80000</v>
      </c>
      <c r="G412" s="47">
        <f t="shared" si="19"/>
        <v>22.435897435897434</v>
      </c>
    </row>
    <row r="413" spans="1:7" ht="16.5" customHeight="1" x14ac:dyDescent="0.3">
      <c r="A413" s="10">
        <v>33</v>
      </c>
      <c r="B413" s="49" t="s">
        <v>52</v>
      </c>
      <c r="C413" s="50" t="s">
        <v>53</v>
      </c>
      <c r="D413" s="52"/>
      <c r="E413" s="52">
        <v>1.157</v>
      </c>
      <c r="F413" s="347">
        <f>VLOOKUP(B413,[1]Dcu!$B$3:$E$511,4,0)</f>
        <v>1838</v>
      </c>
      <c r="G413" s="47">
        <f>F413*E413</f>
        <v>2126.5660000000003</v>
      </c>
    </row>
    <row r="414" spans="1:7" ht="16.5" customHeight="1" x14ac:dyDescent="0.3">
      <c r="A414" s="11" t="s">
        <v>404</v>
      </c>
      <c r="B414" s="463" t="s">
        <v>515</v>
      </c>
      <c r="C414" s="463"/>
      <c r="D414" s="463"/>
      <c r="E414" s="463"/>
      <c r="F414" s="46"/>
      <c r="G414" s="45">
        <f>SUM(G415:G442)*1.05+G443</f>
        <v>41339.363858974357</v>
      </c>
    </row>
    <row r="415" spans="1:7" ht="16.5" customHeight="1" x14ac:dyDescent="0.3">
      <c r="A415" s="10">
        <v>1</v>
      </c>
      <c r="B415" s="49" t="s">
        <v>27</v>
      </c>
      <c r="C415" s="50" t="s">
        <v>28</v>
      </c>
      <c r="D415" s="348">
        <f>VLOOKUP(B415,[1]Dcu!$B$3:$D$511,3,0)</f>
        <v>12</v>
      </c>
      <c r="E415" s="51">
        <v>0.4</v>
      </c>
      <c r="F415" s="347">
        <f>VLOOKUP(B415,[1]Dcu!$B$3:$E$511,4,0)</f>
        <v>100000</v>
      </c>
      <c r="G415" s="47">
        <f t="shared" si="19"/>
        <v>128.2051282051282</v>
      </c>
    </row>
    <row r="416" spans="1:7" ht="16.5" customHeight="1" x14ac:dyDescent="0.3">
      <c r="A416" s="10">
        <v>2</v>
      </c>
      <c r="B416" s="49" t="s">
        <v>86</v>
      </c>
      <c r="C416" s="50" t="s">
        <v>28</v>
      </c>
      <c r="D416" s="348">
        <f>VLOOKUP(B416,[1]Dcu!$B$3:$D$511,3,0)</f>
        <v>12</v>
      </c>
      <c r="E416" s="51">
        <v>0.4</v>
      </c>
      <c r="F416" s="347">
        <f>VLOOKUP(B416,[1]Dcu!$B$3:$E$511,4,0)</f>
        <v>2000000</v>
      </c>
      <c r="G416" s="47">
        <f t="shared" si="19"/>
        <v>2564.1025641025644</v>
      </c>
    </row>
    <row r="417" spans="1:7" ht="16.5" customHeight="1" x14ac:dyDescent="0.3">
      <c r="A417" s="10">
        <v>3</v>
      </c>
      <c r="B417" s="49" t="s">
        <v>87</v>
      </c>
      <c r="C417" s="50" t="s">
        <v>28</v>
      </c>
      <c r="D417" s="348">
        <f>VLOOKUP(B417,[1]Dcu!$B$3:$D$511,3,0)</f>
        <v>6</v>
      </c>
      <c r="E417" s="51">
        <v>3</v>
      </c>
      <c r="F417" s="347">
        <f>VLOOKUP(B417,[1]Dcu!$B$3:$E$511,4,0)</f>
        <v>15000</v>
      </c>
      <c r="G417" s="47">
        <f t="shared" si="19"/>
        <v>288.46153846153845</v>
      </c>
    </row>
    <row r="418" spans="1:7" ht="16.5" customHeight="1" x14ac:dyDescent="0.3">
      <c r="A418" s="10">
        <v>4</v>
      </c>
      <c r="B418" s="49" t="s">
        <v>88</v>
      </c>
      <c r="C418" s="50" t="s">
        <v>28</v>
      </c>
      <c r="D418" s="348">
        <f>VLOOKUP(B418,[1]Dcu!$B$3:$D$511,3,0)</f>
        <v>1</v>
      </c>
      <c r="E418" s="51">
        <v>3</v>
      </c>
      <c r="F418" s="347">
        <f>VLOOKUP(B418,[1]Dcu!$B$3:$E$511,4,0)</f>
        <v>150000</v>
      </c>
      <c r="G418" s="47">
        <f t="shared" si="19"/>
        <v>17307.692307692309</v>
      </c>
    </row>
    <row r="419" spans="1:7" ht="16.5" customHeight="1" x14ac:dyDescent="0.3">
      <c r="A419" s="10">
        <v>5</v>
      </c>
      <c r="B419" s="49" t="s">
        <v>89</v>
      </c>
      <c r="C419" s="50" t="s">
        <v>28</v>
      </c>
      <c r="D419" s="348">
        <f>VLOOKUP(B419,[1]Dcu!$B$3:$D$511,3,0)</f>
        <v>3</v>
      </c>
      <c r="E419" s="51">
        <v>1</v>
      </c>
      <c r="F419" s="347">
        <f>VLOOKUP(B419,[1]Dcu!$B$3:$E$511,4,0)</f>
        <v>7500</v>
      </c>
      <c r="G419" s="47">
        <f t="shared" si="19"/>
        <v>96.15384615384616</v>
      </c>
    </row>
    <row r="420" spans="1:7" ht="16.5" customHeight="1" x14ac:dyDescent="0.3">
      <c r="A420" s="10">
        <v>6</v>
      </c>
      <c r="B420" s="49" t="s">
        <v>75</v>
      </c>
      <c r="C420" s="50" t="s">
        <v>28</v>
      </c>
      <c r="D420" s="348">
        <f>VLOOKUP(B420,[1]Dcu!$B$3:$D$511,3,0)</f>
        <v>6</v>
      </c>
      <c r="E420" s="51">
        <v>0.4</v>
      </c>
      <c r="F420" s="347">
        <f>VLOOKUP(B420,[1]Dcu!$B$3:$E$511,4,0)</f>
        <v>250000</v>
      </c>
      <c r="G420" s="47">
        <f t="shared" si="19"/>
        <v>641.02564102564111</v>
      </c>
    </row>
    <row r="421" spans="1:7" ht="16.5" customHeight="1" x14ac:dyDescent="0.3">
      <c r="A421" s="10">
        <v>7</v>
      </c>
      <c r="B421" s="142" t="s">
        <v>96</v>
      </c>
      <c r="C421" s="18" t="s">
        <v>28</v>
      </c>
      <c r="D421" s="348">
        <f>VLOOKUP(B421,[1]Dcu!$B$3:$D$511,3,0)</f>
        <v>24</v>
      </c>
      <c r="E421" s="51">
        <v>0.4</v>
      </c>
      <c r="F421" s="347">
        <f>VLOOKUP(B421,[1]Dcu!$B$3:$E$511,4,0)</f>
        <v>15000000</v>
      </c>
      <c r="G421" s="47">
        <f t="shared" si="19"/>
        <v>9615.3846153846152</v>
      </c>
    </row>
    <row r="422" spans="1:7" ht="16.5" customHeight="1" x14ac:dyDescent="0.3">
      <c r="A422" s="10">
        <v>8</v>
      </c>
      <c r="B422" s="142" t="s">
        <v>97</v>
      </c>
      <c r="C422" s="18" t="s">
        <v>28</v>
      </c>
      <c r="D422" s="348">
        <f>VLOOKUP(B422,[1]Dcu!$B$3:$D$511,3,0)</f>
        <v>24</v>
      </c>
      <c r="E422" s="51">
        <v>0.4</v>
      </c>
      <c r="F422" s="347">
        <f>VLOOKUP(B422,[1]Dcu!$B$3:$E$511,4,0)</f>
        <v>4500000</v>
      </c>
      <c r="G422" s="47">
        <f t="shared" si="19"/>
        <v>2884.6153846153848</v>
      </c>
    </row>
    <row r="423" spans="1:7" ht="16.5" customHeight="1" x14ac:dyDescent="0.3">
      <c r="A423" s="10">
        <v>9</v>
      </c>
      <c r="B423" s="142" t="s">
        <v>83</v>
      </c>
      <c r="C423" s="18" t="s">
        <v>28</v>
      </c>
      <c r="D423" s="348">
        <f>VLOOKUP(B423,[1]Dcu!$B$3:$D$511,3,0)</f>
        <v>12</v>
      </c>
      <c r="E423" s="51">
        <v>0.4</v>
      </c>
      <c r="F423" s="347">
        <f>VLOOKUP(B423,[1]Dcu!$B$3:$E$511,4,0)</f>
        <v>1600000</v>
      </c>
      <c r="G423" s="47">
        <f t="shared" si="19"/>
        <v>2051.2820512820513</v>
      </c>
    </row>
    <row r="424" spans="1:7" ht="16.5" customHeight="1" x14ac:dyDescent="0.3">
      <c r="A424" s="10">
        <v>10</v>
      </c>
      <c r="B424" s="49" t="s">
        <v>59</v>
      </c>
      <c r="C424" s="50" t="s">
        <v>28</v>
      </c>
      <c r="D424" s="348">
        <f>VLOOKUP(B424,[1]Dcu!$B$3:$D$511,3,0)</f>
        <v>36</v>
      </c>
      <c r="E424" s="51">
        <v>0.4</v>
      </c>
      <c r="F424" s="347">
        <f>VLOOKUP(B424,[1]Dcu!$B$3:$E$511,4,0)</f>
        <v>110000</v>
      </c>
      <c r="G424" s="47">
        <f t="shared" si="19"/>
        <v>47.008547008547012</v>
      </c>
    </row>
    <row r="425" spans="1:7" ht="16.5" customHeight="1" x14ac:dyDescent="0.3">
      <c r="A425" s="10">
        <v>11</v>
      </c>
      <c r="B425" s="49" t="s">
        <v>62</v>
      </c>
      <c r="C425" s="50" t="s">
        <v>28</v>
      </c>
      <c r="D425" s="348">
        <f>VLOOKUP(B425,[1]Dcu!$B$3:$D$511,3,0)</f>
        <v>12</v>
      </c>
      <c r="E425" s="51">
        <v>0.4</v>
      </c>
      <c r="F425" s="347">
        <f>VLOOKUP(B425,[1]Dcu!$B$3:$E$511,4,0)</f>
        <v>44000</v>
      </c>
      <c r="G425" s="47">
        <f t="shared" si="19"/>
        <v>56.410256410256409</v>
      </c>
    </row>
    <row r="426" spans="1:7" ht="16.5" customHeight="1" x14ac:dyDescent="0.3">
      <c r="A426" s="10">
        <v>12</v>
      </c>
      <c r="B426" s="49" t="s">
        <v>34</v>
      </c>
      <c r="C426" s="50" t="s">
        <v>28</v>
      </c>
      <c r="D426" s="348">
        <f>VLOOKUP(B426,[1]Dcu!$B$3:$D$511,3,0)</f>
        <v>12</v>
      </c>
      <c r="E426" s="51">
        <v>0.4</v>
      </c>
      <c r="F426" s="347">
        <f>VLOOKUP(B426,[1]Dcu!$B$3:$E$511,4,0)</f>
        <v>143000</v>
      </c>
      <c r="G426" s="47">
        <f t="shared" si="19"/>
        <v>183.33333333333334</v>
      </c>
    </row>
    <row r="427" spans="1:7" ht="16.5" customHeight="1" x14ac:dyDescent="0.3">
      <c r="A427" s="10">
        <v>13</v>
      </c>
      <c r="B427" s="49" t="s">
        <v>99</v>
      </c>
      <c r="C427" s="50" t="s">
        <v>28</v>
      </c>
      <c r="D427" s="348">
        <f>VLOOKUP(B427,[1]Dcu!$B$3:$D$511,3,0)</f>
        <v>12</v>
      </c>
      <c r="E427" s="51">
        <v>0.4</v>
      </c>
      <c r="F427" s="347">
        <f>VLOOKUP(B427,[1]Dcu!$B$3:$E$511,4,0)</f>
        <v>140000</v>
      </c>
      <c r="G427" s="47">
        <f t="shared" si="19"/>
        <v>179.4871794871795</v>
      </c>
    </row>
    <row r="428" spans="1:7" ht="16.5" customHeight="1" x14ac:dyDescent="0.3">
      <c r="A428" s="10">
        <v>14</v>
      </c>
      <c r="B428" s="49" t="s">
        <v>60</v>
      </c>
      <c r="C428" s="50" t="s">
        <v>28</v>
      </c>
      <c r="D428" s="348">
        <f>VLOOKUP(B428,[1]Dcu!$B$3:$D$511,3,0)</f>
        <v>12</v>
      </c>
      <c r="E428" s="51">
        <v>0.4</v>
      </c>
      <c r="F428" s="347">
        <f>VLOOKUP(B428,[1]Dcu!$B$3:$E$511,4,0)</f>
        <v>75000</v>
      </c>
      <c r="G428" s="47">
        <f t="shared" si="19"/>
        <v>96.15384615384616</v>
      </c>
    </row>
    <row r="429" spans="1:7" ht="16.5" customHeight="1" x14ac:dyDescent="0.3">
      <c r="A429" s="10">
        <v>15</v>
      </c>
      <c r="B429" s="49" t="s">
        <v>100</v>
      </c>
      <c r="C429" s="50" t="s">
        <v>28</v>
      </c>
      <c r="D429" s="348">
        <f>VLOOKUP(B429,[1]Dcu!$B$3:$D$511,3,0)</f>
        <v>12</v>
      </c>
      <c r="E429" s="51">
        <v>0.4</v>
      </c>
      <c r="F429" s="347">
        <f>VLOOKUP(B429,[1]Dcu!$B$3:$E$511,4,0)</f>
        <v>15000</v>
      </c>
      <c r="G429" s="47">
        <f t="shared" si="19"/>
        <v>19.230769230769234</v>
      </c>
    </row>
    <row r="430" spans="1:7" ht="16.5" customHeight="1" x14ac:dyDescent="0.3">
      <c r="A430" s="10">
        <v>16</v>
      </c>
      <c r="B430" s="49" t="s">
        <v>39</v>
      </c>
      <c r="C430" s="50" t="s">
        <v>28</v>
      </c>
      <c r="D430" s="348">
        <f>VLOOKUP(B430,[1]Dcu!$B$3:$D$511,3,0)</f>
        <v>36</v>
      </c>
      <c r="E430" s="51">
        <v>0.4</v>
      </c>
      <c r="F430" s="347">
        <f>VLOOKUP(B430,[1]Dcu!$B$3:$E$511,4,0)</f>
        <v>340000</v>
      </c>
      <c r="G430" s="47">
        <f t="shared" si="19"/>
        <v>145.29914529914529</v>
      </c>
    </row>
    <row r="431" spans="1:7" ht="16.5" customHeight="1" x14ac:dyDescent="0.3">
      <c r="A431" s="10">
        <v>17</v>
      </c>
      <c r="B431" s="49" t="s">
        <v>40</v>
      </c>
      <c r="C431" s="50" t="s">
        <v>28</v>
      </c>
      <c r="D431" s="348">
        <f>VLOOKUP(B431,[1]Dcu!$B$3:$D$511,3,0)</f>
        <v>36</v>
      </c>
      <c r="E431" s="51">
        <v>0.4</v>
      </c>
      <c r="F431" s="347">
        <f>VLOOKUP(B431,[1]Dcu!$B$3:$E$511,4,0)</f>
        <v>700000</v>
      </c>
      <c r="G431" s="47">
        <f t="shared" si="19"/>
        <v>299.14529914529913</v>
      </c>
    </row>
    <row r="432" spans="1:7" ht="16.5" customHeight="1" x14ac:dyDescent="0.3">
      <c r="A432" s="10">
        <v>18</v>
      </c>
      <c r="B432" s="5" t="s">
        <v>639</v>
      </c>
      <c r="C432" s="50" t="s">
        <v>28</v>
      </c>
      <c r="D432" s="348">
        <f>VLOOKUP(B432,[1]Dcu!$B$3:$D$511,3,0)</f>
        <v>12</v>
      </c>
      <c r="E432" s="51">
        <v>0.4</v>
      </c>
      <c r="F432" s="347">
        <f>VLOOKUP(B432,[1]Dcu!$B$3:$E$511,4,0)</f>
        <v>30000</v>
      </c>
      <c r="G432" s="47">
        <f t="shared" si="19"/>
        <v>38.461538461538467</v>
      </c>
    </row>
    <row r="433" spans="1:7" ht="16.5" customHeight="1" x14ac:dyDescent="0.3">
      <c r="A433" s="10">
        <v>20</v>
      </c>
      <c r="B433" s="12" t="s">
        <v>621</v>
      </c>
      <c r="C433" s="10" t="s">
        <v>76</v>
      </c>
      <c r="D433" s="348">
        <f>VLOOKUP(B433,[1]Dcu!$B$3:$D$511,3,0)</f>
        <v>0.3</v>
      </c>
      <c r="E433" s="10">
        <v>0.02</v>
      </c>
      <c r="F433" s="347">
        <f>VLOOKUP(B433,[1]Dcu!$B$3:$E$511,4,0)</f>
        <v>200000</v>
      </c>
      <c r="G433" s="47">
        <f t="shared" ref="G433:G493" si="20">F433/(D433*26)*E433</f>
        <v>512.82051282051282</v>
      </c>
    </row>
    <row r="434" spans="1:7" ht="16.5" customHeight="1" x14ac:dyDescent="0.3">
      <c r="A434" s="10">
        <v>21</v>
      </c>
      <c r="B434" s="49" t="s">
        <v>43</v>
      </c>
      <c r="C434" s="10" t="s">
        <v>76</v>
      </c>
      <c r="D434" s="348">
        <f>VLOOKUP(B434,[1]Dcu!$B$3:$D$511,3,0)</f>
        <v>0.3</v>
      </c>
      <c r="E434" s="10">
        <v>0.02</v>
      </c>
      <c r="F434" s="347">
        <f>VLOOKUP(B434,[1]Dcu!$B$3:$E$511,4,0)</f>
        <v>400000</v>
      </c>
      <c r="G434" s="47">
        <f t="shared" si="20"/>
        <v>1025.6410256410256</v>
      </c>
    </row>
    <row r="435" spans="1:7" ht="16.5" customHeight="1" x14ac:dyDescent="0.3">
      <c r="A435" s="10">
        <v>22</v>
      </c>
      <c r="B435" s="49" t="s">
        <v>44</v>
      </c>
      <c r="C435" s="50" t="s">
        <v>28</v>
      </c>
      <c r="D435" s="348">
        <f>VLOOKUP(B435,[1]Dcu!$B$3:$D$511,3,0)</f>
        <v>60</v>
      </c>
      <c r="E435" s="51">
        <v>6.7000000000000004E-2</v>
      </c>
      <c r="F435" s="347">
        <f>VLOOKUP(B435,[1]Dcu!$B$3:$E$511,4,0)</f>
        <v>500000</v>
      </c>
      <c r="G435" s="47">
        <f t="shared" si="20"/>
        <v>21.474358974358974</v>
      </c>
    </row>
    <row r="436" spans="1:7" ht="16.5" customHeight="1" x14ac:dyDescent="0.3">
      <c r="A436" s="10">
        <v>23</v>
      </c>
      <c r="B436" s="49" t="s">
        <v>45</v>
      </c>
      <c r="C436" s="50" t="s">
        <v>28</v>
      </c>
      <c r="D436" s="348">
        <f>VLOOKUP(B436,[1]Dcu!$B$3:$D$511,3,0)</f>
        <v>60</v>
      </c>
      <c r="E436" s="51">
        <v>6.7000000000000004E-2</v>
      </c>
      <c r="F436" s="347">
        <f>VLOOKUP(B436,[1]Dcu!$B$3:$E$511,4,0)</f>
        <v>250000</v>
      </c>
      <c r="G436" s="47">
        <f t="shared" si="20"/>
        <v>10.737179487179487</v>
      </c>
    </row>
    <row r="437" spans="1:7" ht="16.5" customHeight="1" x14ac:dyDescent="0.3">
      <c r="A437" s="10">
        <v>24</v>
      </c>
      <c r="B437" s="49" t="s">
        <v>46</v>
      </c>
      <c r="C437" s="50" t="s">
        <v>28</v>
      </c>
      <c r="D437" s="348">
        <f>VLOOKUP(B437,[1]Dcu!$B$3:$D$511,3,0)</f>
        <v>60</v>
      </c>
      <c r="E437" s="51">
        <v>3.0000000000000001E-3</v>
      </c>
      <c r="F437" s="347">
        <f>VLOOKUP(B437,[1]Dcu!$B$3:$E$511,4,0)</f>
        <v>1600000</v>
      </c>
      <c r="G437" s="47">
        <f t="shared" si="20"/>
        <v>3.0769230769230771</v>
      </c>
    </row>
    <row r="438" spans="1:7" ht="16.5" customHeight="1" x14ac:dyDescent="0.3">
      <c r="A438" s="10">
        <v>25</v>
      </c>
      <c r="B438" s="49" t="s">
        <v>47</v>
      </c>
      <c r="C438" s="50" t="s">
        <v>28</v>
      </c>
      <c r="D438" s="348">
        <f>VLOOKUP(B438,[1]Dcu!$B$3:$D$511,3,0)</f>
        <v>60</v>
      </c>
      <c r="E438" s="51">
        <v>2.5000000000000001E-2</v>
      </c>
      <c r="F438" s="347">
        <f>VLOOKUP(B438,[1]Dcu!$B$3:$E$511,4,0)</f>
        <v>1500000</v>
      </c>
      <c r="G438" s="47">
        <f t="shared" si="20"/>
        <v>24.03846153846154</v>
      </c>
    </row>
    <row r="439" spans="1:7" ht="16.5" customHeight="1" x14ac:dyDescent="0.3">
      <c r="A439" s="10">
        <v>26</v>
      </c>
      <c r="B439" s="49" t="s">
        <v>48</v>
      </c>
      <c r="C439" s="50" t="s">
        <v>36</v>
      </c>
      <c r="D439" s="348">
        <f>VLOOKUP(B439,[1]Dcu!$B$3:$D$511,3,0)</f>
        <v>36</v>
      </c>
      <c r="E439" s="51">
        <v>0.4</v>
      </c>
      <c r="F439" s="347">
        <f>VLOOKUP(B439,[1]Dcu!$B$3:$E$511,4,0)</f>
        <v>40000</v>
      </c>
      <c r="G439" s="47">
        <f t="shared" si="20"/>
        <v>17.094017094017094</v>
      </c>
    </row>
    <row r="440" spans="1:7" ht="16.5" customHeight="1" x14ac:dyDescent="0.3">
      <c r="A440" s="10">
        <v>27</v>
      </c>
      <c r="B440" s="49" t="s">
        <v>49</v>
      </c>
      <c r="C440" s="50" t="s">
        <v>28</v>
      </c>
      <c r="D440" s="348">
        <f>VLOOKUP(B440,[1]Dcu!$B$3:$D$511,3,0)</f>
        <v>96</v>
      </c>
      <c r="E440" s="51">
        <v>0.1</v>
      </c>
      <c r="F440" s="347">
        <f>VLOOKUP(B440,[1]Dcu!$B$3:$E$511,4,0)</f>
        <v>1000000</v>
      </c>
      <c r="G440" s="47">
        <f t="shared" si="20"/>
        <v>40.064102564102569</v>
      </c>
    </row>
    <row r="441" spans="1:7" ht="16.5" customHeight="1" x14ac:dyDescent="0.3">
      <c r="A441" s="10">
        <v>28</v>
      </c>
      <c r="B441" s="49" t="s">
        <v>50</v>
      </c>
      <c r="C441" s="50" t="s">
        <v>28</v>
      </c>
      <c r="D441" s="348">
        <f>VLOOKUP(B441,[1]Dcu!$B$3:$D$511,3,0)</f>
        <v>96</v>
      </c>
      <c r="E441" s="51">
        <v>0.4</v>
      </c>
      <c r="F441" s="347">
        <f>VLOOKUP(B441,[1]Dcu!$B$3:$E$511,4,0)</f>
        <v>300000</v>
      </c>
      <c r="G441" s="47">
        <f t="shared" si="20"/>
        <v>48.07692307692308</v>
      </c>
    </row>
    <row r="442" spans="1:7" ht="16.5" customHeight="1" x14ac:dyDescent="0.3">
      <c r="A442" s="10">
        <v>29</v>
      </c>
      <c r="B442" s="49" t="s">
        <v>51</v>
      </c>
      <c r="C442" s="50" t="s">
        <v>28</v>
      </c>
      <c r="D442" s="348">
        <f>VLOOKUP(B442,[1]Dcu!$B$3:$D$511,3,0)</f>
        <v>96</v>
      </c>
      <c r="E442" s="51">
        <v>0.4</v>
      </c>
      <c r="F442" s="347">
        <f>VLOOKUP(B442,[1]Dcu!$B$3:$E$511,4,0)</f>
        <v>80000</v>
      </c>
      <c r="G442" s="47">
        <f t="shared" si="20"/>
        <v>12.820512820512821</v>
      </c>
    </row>
    <row r="443" spans="1:7" ht="16.5" customHeight="1" x14ac:dyDescent="0.3">
      <c r="A443" s="10">
        <v>31</v>
      </c>
      <c r="B443" s="49" t="s">
        <v>52</v>
      </c>
      <c r="C443" s="50" t="s">
        <v>53</v>
      </c>
      <c r="D443" s="50"/>
      <c r="E443" s="51">
        <v>0.57899999999999996</v>
      </c>
      <c r="F443" s="347">
        <f>VLOOKUP(B443,[1]Dcu!$B$3:$E$511,4,0)</f>
        <v>1838</v>
      </c>
      <c r="G443" s="47">
        <f>F443*E443</f>
        <v>1064.202</v>
      </c>
    </row>
    <row r="444" spans="1:7" ht="16.5" customHeight="1" x14ac:dyDescent="0.3">
      <c r="A444" s="11" t="s">
        <v>405</v>
      </c>
      <c r="B444" s="452" t="s">
        <v>517</v>
      </c>
      <c r="C444" s="453"/>
      <c r="D444" s="453"/>
      <c r="E444" s="454"/>
      <c r="F444" s="46"/>
      <c r="G444" s="45">
        <f>SUM(G445:G472)*1.05+G3207</f>
        <v>40275.161858974367</v>
      </c>
    </row>
    <row r="445" spans="1:7" ht="16.5" customHeight="1" x14ac:dyDescent="0.3">
      <c r="A445" s="10">
        <v>1</v>
      </c>
      <c r="B445" s="49" t="s">
        <v>27</v>
      </c>
      <c r="C445" s="50" t="s">
        <v>28</v>
      </c>
      <c r="D445" s="348">
        <f>VLOOKUP(B445,[1]Dcu!$B$3:$D$511,3,0)</f>
        <v>12</v>
      </c>
      <c r="E445" s="51">
        <v>0.4</v>
      </c>
      <c r="F445" s="347">
        <f>VLOOKUP(B445,[1]Dcu!$B$3:$E$511,4,0)</f>
        <v>100000</v>
      </c>
      <c r="G445" s="47">
        <f t="shared" si="20"/>
        <v>128.2051282051282</v>
      </c>
    </row>
    <row r="446" spans="1:7" ht="16.5" customHeight="1" x14ac:dyDescent="0.3">
      <c r="A446" s="10">
        <v>2</v>
      </c>
      <c r="B446" s="49" t="s">
        <v>86</v>
      </c>
      <c r="C446" s="50" t="s">
        <v>28</v>
      </c>
      <c r="D446" s="348">
        <f>VLOOKUP(B446,[1]Dcu!$B$3:$D$511,3,0)</f>
        <v>12</v>
      </c>
      <c r="E446" s="51">
        <v>0.4</v>
      </c>
      <c r="F446" s="347">
        <f>VLOOKUP(B446,[1]Dcu!$B$3:$E$511,4,0)</f>
        <v>2000000</v>
      </c>
      <c r="G446" s="47">
        <f t="shared" si="20"/>
        <v>2564.1025641025644</v>
      </c>
    </row>
    <row r="447" spans="1:7" ht="16.5" customHeight="1" x14ac:dyDescent="0.3">
      <c r="A447" s="10">
        <v>3</v>
      </c>
      <c r="B447" s="49" t="s">
        <v>87</v>
      </c>
      <c r="C447" s="50" t="s">
        <v>28</v>
      </c>
      <c r="D447" s="348">
        <f>VLOOKUP(B447,[1]Dcu!$B$3:$D$511,3,0)</f>
        <v>6</v>
      </c>
      <c r="E447" s="51">
        <v>3</v>
      </c>
      <c r="F447" s="347">
        <f>VLOOKUP(B447,[1]Dcu!$B$3:$E$511,4,0)</f>
        <v>15000</v>
      </c>
      <c r="G447" s="47">
        <f t="shared" si="20"/>
        <v>288.46153846153845</v>
      </c>
    </row>
    <row r="448" spans="1:7" ht="16.5" customHeight="1" x14ac:dyDescent="0.3">
      <c r="A448" s="10">
        <v>4</v>
      </c>
      <c r="B448" s="49" t="s">
        <v>88</v>
      </c>
      <c r="C448" s="50" t="s">
        <v>28</v>
      </c>
      <c r="D448" s="348">
        <f>VLOOKUP(B448,[1]Dcu!$B$3:$D$511,3,0)</f>
        <v>1</v>
      </c>
      <c r="E448" s="51">
        <v>3</v>
      </c>
      <c r="F448" s="347">
        <f>VLOOKUP(B448,[1]Dcu!$B$3:$E$511,4,0)</f>
        <v>150000</v>
      </c>
      <c r="G448" s="47">
        <f t="shared" si="20"/>
        <v>17307.692307692309</v>
      </c>
    </row>
    <row r="449" spans="1:7" ht="16.5" customHeight="1" x14ac:dyDescent="0.3">
      <c r="A449" s="10">
        <v>5</v>
      </c>
      <c r="B449" s="49" t="s">
        <v>89</v>
      </c>
      <c r="C449" s="50" t="s">
        <v>28</v>
      </c>
      <c r="D449" s="348">
        <f>VLOOKUP(B449,[1]Dcu!$B$3:$D$511,3,0)</f>
        <v>3</v>
      </c>
      <c r="E449" s="51">
        <v>1</v>
      </c>
      <c r="F449" s="347">
        <f>VLOOKUP(B449,[1]Dcu!$B$3:$E$511,4,0)</f>
        <v>7500</v>
      </c>
      <c r="G449" s="47">
        <f t="shared" si="20"/>
        <v>96.15384615384616</v>
      </c>
    </row>
    <row r="450" spans="1:7" ht="16.5" customHeight="1" x14ac:dyDescent="0.3">
      <c r="A450" s="10">
        <v>6</v>
      </c>
      <c r="B450" s="49" t="s">
        <v>75</v>
      </c>
      <c r="C450" s="50" t="s">
        <v>28</v>
      </c>
      <c r="D450" s="348">
        <f>VLOOKUP(B450,[1]Dcu!$B$3:$D$511,3,0)</f>
        <v>6</v>
      </c>
      <c r="E450" s="51">
        <v>0.4</v>
      </c>
      <c r="F450" s="347">
        <f>VLOOKUP(B450,[1]Dcu!$B$3:$E$511,4,0)</f>
        <v>250000</v>
      </c>
      <c r="G450" s="47">
        <f t="shared" si="20"/>
        <v>641.02564102564111</v>
      </c>
    </row>
    <row r="451" spans="1:7" ht="16.5" customHeight="1" x14ac:dyDescent="0.3">
      <c r="A451" s="10">
        <v>7</v>
      </c>
      <c r="B451" s="49" t="s">
        <v>59</v>
      </c>
      <c r="C451" s="50" t="s">
        <v>28</v>
      </c>
      <c r="D451" s="348">
        <f>VLOOKUP(B451,[1]Dcu!$B$3:$D$511,3,0)</f>
        <v>36</v>
      </c>
      <c r="E451" s="51">
        <v>0.4</v>
      </c>
      <c r="F451" s="347">
        <f>VLOOKUP(B451,[1]Dcu!$B$3:$E$511,4,0)</f>
        <v>110000</v>
      </c>
      <c r="G451" s="47">
        <f t="shared" si="20"/>
        <v>47.008547008547012</v>
      </c>
    </row>
    <row r="452" spans="1:7" ht="16.5" customHeight="1" x14ac:dyDescent="0.3">
      <c r="A452" s="10">
        <v>8</v>
      </c>
      <c r="B452" s="49" t="s">
        <v>62</v>
      </c>
      <c r="C452" s="50" t="s">
        <v>28</v>
      </c>
      <c r="D452" s="348">
        <f>VLOOKUP(B452,[1]Dcu!$B$3:$D$511,3,0)</f>
        <v>12</v>
      </c>
      <c r="E452" s="51">
        <v>0.4</v>
      </c>
      <c r="F452" s="347">
        <f>VLOOKUP(B452,[1]Dcu!$B$3:$E$511,4,0)</f>
        <v>44000</v>
      </c>
      <c r="G452" s="47">
        <f t="shared" si="20"/>
        <v>56.410256410256409</v>
      </c>
    </row>
    <row r="453" spans="1:7" ht="16.5" customHeight="1" x14ac:dyDescent="0.3">
      <c r="A453" s="10">
        <v>9</v>
      </c>
      <c r="B453" s="49" t="s">
        <v>34</v>
      </c>
      <c r="C453" s="50" t="s">
        <v>28</v>
      </c>
      <c r="D453" s="348">
        <f>VLOOKUP(B453,[1]Dcu!$B$3:$D$511,3,0)</f>
        <v>12</v>
      </c>
      <c r="E453" s="51">
        <v>0.4</v>
      </c>
      <c r="F453" s="347">
        <f>VLOOKUP(B453,[1]Dcu!$B$3:$E$511,4,0)</f>
        <v>143000</v>
      </c>
      <c r="G453" s="47">
        <f t="shared" si="20"/>
        <v>183.33333333333334</v>
      </c>
    </row>
    <row r="454" spans="1:7" ht="16.5" customHeight="1" x14ac:dyDescent="0.3">
      <c r="A454" s="10">
        <v>10</v>
      </c>
      <c r="B454" s="49" t="s">
        <v>99</v>
      </c>
      <c r="C454" s="50" t="s">
        <v>28</v>
      </c>
      <c r="D454" s="348">
        <f>VLOOKUP(B454,[1]Dcu!$B$3:$D$511,3,0)</f>
        <v>12</v>
      </c>
      <c r="E454" s="51">
        <v>0.4</v>
      </c>
      <c r="F454" s="347">
        <f>VLOOKUP(B454,[1]Dcu!$B$3:$E$511,4,0)</f>
        <v>140000</v>
      </c>
      <c r="G454" s="47">
        <f t="shared" si="20"/>
        <v>179.4871794871795</v>
      </c>
    </row>
    <row r="455" spans="1:7" ht="16.5" customHeight="1" x14ac:dyDescent="0.3">
      <c r="A455" s="10">
        <v>11</v>
      </c>
      <c r="B455" s="49" t="s">
        <v>60</v>
      </c>
      <c r="C455" s="50" t="s">
        <v>28</v>
      </c>
      <c r="D455" s="348">
        <f>VLOOKUP(B455,[1]Dcu!$B$3:$D$511,3,0)</f>
        <v>12</v>
      </c>
      <c r="E455" s="51">
        <v>0.4</v>
      </c>
      <c r="F455" s="347">
        <f>VLOOKUP(B455,[1]Dcu!$B$3:$E$511,4,0)</f>
        <v>75000</v>
      </c>
      <c r="G455" s="47">
        <f t="shared" si="20"/>
        <v>96.15384615384616</v>
      </c>
    </row>
    <row r="456" spans="1:7" ht="16.5" customHeight="1" x14ac:dyDescent="0.3">
      <c r="A456" s="10">
        <v>12</v>
      </c>
      <c r="B456" s="49" t="s">
        <v>100</v>
      </c>
      <c r="C456" s="50" t="s">
        <v>28</v>
      </c>
      <c r="D456" s="348">
        <f>VLOOKUP(B456,[1]Dcu!$B$3:$D$511,3,0)</f>
        <v>12</v>
      </c>
      <c r="E456" s="51">
        <v>0.4</v>
      </c>
      <c r="F456" s="347">
        <f>VLOOKUP(B456,[1]Dcu!$B$3:$E$511,4,0)</f>
        <v>15000</v>
      </c>
      <c r="G456" s="47">
        <f t="shared" si="20"/>
        <v>19.230769230769234</v>
      </c>
    </row>
    <row r="457" spans="1:7" ht="16.5" customHeight="1" x14ac:dyDescent="0.3">
      <c r="A457" s="10">
        <v>13</v>
      </c>
      <c r="B457" s="49" t="s">
        <v>96</v>
      </c>
      <c r="C457" s="50" t="s">
        <v>28</v>
      </c>
      <c r="D457" s="348">
        <f>VLOOKUP(B457,[1]Dcu!$B$3:$D$511,3,0)</f>
        <v>24</v>
      </c>
      <c r="E457" s="51">
        <v>0.4</v>
      </c>
      <c r="F457" s="347">
        <f>VLOOKUP(B457,[1]Dcu!$B$3:$E$511,4,0)</f>
        <v>15000000</v>
      </c>
      <c r="G457" s="47">
        <f t="shared" si="20"/>
        <v>9615.3846153846152</v>
      </c>
    </row>
    <row r="458" spans="1:7" ht="16.5" customHeight="1" x14ac:dyDescent="0.3">
      <c r="A458" s="10">
        <v>14</v>
      </c>
      <c r="B458" s="49" t="s">
        <v>97</v>
      </c>
      <c r="C458" s="50" t="s">
        <v>28</v>
      </c>
      <c r="D458" s="348">
        <f>VLOOKUP(B458,[1]Dcu!$B$3:$D$511,3,0)</f>
        <v>24</v>
      </c>
      <c r="E458" s="51">
        <v>0.4</v>
      </c>
      <c r="F458" s="347">
        <f>VLOOKUP(B458,[1]Dcu!$B$3:$E$511,4,0)</f>
        <v>4500000</v>
      </c>
      <c r="G458" s="47">
        <f t="shared" si="20"/>
        <v>2884.6153846153848</v>
      </c>
    </row>
    <row r="459" spans="1:7" ht="16.5" customHeight="1" x14ac:dyDescent="0.3">
      <c r="A459" s="10">
        <v>15</v>
      </c>
      <c r="B459" s="49" t="s">
        <v>83</v>
      </c>
      <c r="C459" s="50" t="s">
        <v>28</v>
      </c>
      <c r="D459" s="348">
        <f>VLOOKUP(B459,[1]Dcu!$B$3:$D$511,3,0)</f>
        <v>12</v>
      </c>
      <c r="E459" s="51">
        <v>0.4</v>
      </c>
      <c r="F459" s="347">
        <f>VLOOKUP(B459,[1]Dcu!$B$3:$E$511,4,0)</f>
        <v>1600000</v>
      </c>
      <c r="G459" s="47">
        <f t="shared" si="20"/>
        <v>2051.2820512820513</v>
      </c>
    </row>
    <row r="460" spans="1:7" ht="16.5" customHeight="1" x14ac:dyDescent="0.3">
      <c r="A460" s="10">
        <v>16</v>
      </c>
      <c r="B460" s="49" t="s">
        <v>39</v>
      </c>
      <c r="C460" s="50" t="s">
        <v>28</v>
      </c>
      <c r="D460" s="348">
        <f>VLOOKUP(B460,[1]Dcu!$B$3:$D$511,3,0)</f>
        <v>36</v>
      </c>
      <c r="E460" s="51">
        <v>0.4</v>
      </c>
      <c r="F460" s="347">
        <f>VLOOKUP(B460,[1]Dcu!$B$3:$E$511,4,0)</f>
        <v>340000</v>
      </c>
      <c r="G460" s="47">
        <f t="shared" si="20"/>
        <v>145.29914529914529</v>
      </c>
    </row>
    <row r="461" spans="1:7" ht="16.5" customHeight="1" x14ac:dyDescent="0.3">
      <c r="A461" s="10">
        <v>17</v>
      </c>
      <c r="B461" s="49" t="s">
        <v>40</v>
      </c>
      <c r="C461" s="50" t="s">
        <v>28</v>
      </c>
      <c r="D461" s="348">
        <f>VLOOKUP(B461,[1]Dcu!$B$3:$D$511,3,0)</f>
        <v>36</v>
      </c>
      <c r="E461" s="51">
        <v>0.4</v>
      </c>
      <c r="F461" s="347">
        <f>VLOOKUP(B461,[1]Dcu!$B$3:$E$511,4,0)</f>
        <v>700000</v>
      </c>
      <c r="G461" s="47">
        <f t="shared" si="20"/>
        <v>299.14529914529913</v>
      </c>
    </row>
    <row r="462" spans="1:7" ht="16.5" customHeight="1" x14ac:dyDescent="0.3">
      <c r="A462" s="10">
        <v>18</v>
      </c>
      <c r="B462" s="5" t="s">
        <v>639</v>
      </c>
      <c r="C462" s="50" t="s">
        <v>28</v>
      </c>
      <c r="D462" s="348">
        <f>VLOOKUP(B462,[1]Dcu!$B$3:$D$511,3,0)</f>
        <v>12</v>
      </c>
      <c r="E462" s="51">
        <v>0.4</v>
      </c>
      <c r="F462" s="347">
        <f>VLOOKUP(B462,[1]Dcu!$B$3:$E$511,4,0)</f>
        <v>30000</v>
      </c>
      <c r="G462" s="47">
        <f t="shared" si="20"/>
        <v>38.461538461538467</v>
      </c>
    </row>
    <row r="463" spans="1:7" ht="16.5" customHeight="1" x14ac:dyDescent="0.3">
      <c r="A463" s="10">
        <v>20</v>
      </c>
      <c r="B463" s="12" t="s">
        <v>621</v>
      </c>
      <c r="C463" s="10" t="s">
        <v>76</v>
      </c>
      <c r="D463" s="348">
        <f>VLOOKUP(B463,[1]Dcu!$B$3:$D$511,3,0)</f>
        <v>0.3</v>
      </c>
      <c r="E463" s="10">
        <v>0.02</v>
      </c>
      <c r="F463" s="347">
        <f>VLOOKUP(B463,[1]Dcu!$B$3:$E$511,4,0)</f>
        <v>200000</v>
      </c>
      <c r="G463" s="47">
        <f t="shared" si="20"/>
        <v>512.82051282051282</v>
      </c>
    </row>
    <row r="464" spans="1:7" ht="16.5" customHeight="1" x14ac:dyDescent="0.3">
      <c r="A464" s="10">
        <v>21</v>
      </c>
      <c r="B464" s="49" t="s">
        <v>43</v>
      </c>
      <c r="C464" s="10" t="s">
        <v>76</v>
      </c>
      <c r="D464" s="348">
        <f>VLOOKUP(B464,[1]Dcu!$B$3:$D$511,3,0)</f>
        <v>0.3</v>
      </c>
      <c r="E464" s="10">
        <v>0.02</v>
      </c>
      <c r="F464" s="347">
        <f>VLOOKUP(B464,[1]Dcu!$B$3:$E$511,4,0)</f>
        <v>400000</v>
      </c>
      <c r="G464" s="47">
        <f t="shared" si="20"/>
        <v>1025.6410256410256</v>
      </c>
    </row>
    <row r="465" spans="1:7" ht="16.5" customHeight="1" x14ac:dyDescent="0.3">
      <c r="A465" s="10">
        <v>22</v>
      </c>
      <c r="B465" s="49" t="s">
        <v>44</v>
      </c>
      <c r="C465" s="50" t="s">
        <v>28</v>
      </c>
      <c r="D465" s="348">
        <f>VLOOKUP(B465,[1]Dcu!$B$3:$D$511,3,0)</f>
        <v>60</v>
      </c>
      <c r="E465" s="51">
        <v>6.7000000000000004E-2</v>
      </c>
      <c r="F465" s="347">
        <f>VLOOKUP(B465,[1]Dcu!$B$3:$E$511,4,0)</f>
        <v>500000</v>
      </c>
      <c r="G465" s="47">
        <f t="shared" si="20"/>
        <v>21.474358974358974</v>
      </c>
    </row>
    <row r="466" spans="1:7" ht="16.5" customHeight="1" x14ac:dyDescent="0.3">
      <c r="A466" s="10">
        <v>23</v>
      </c>
      <c r="B466" s="49" t="s">
        <v>45</v>
      </c>
      <c r="C466" s="50" t="s">
        <v>28</v>
      </c>
      <c r="D466" s="348">
        <f>VLOOKUP(B466,[1]Dcu!$B$3:$D$511,3,0)</f>
        <v>60</v>
      </c>
      <c r="E466" s="51">
        <v>6.7000000000000004E-2</v>
      </c>
      <c r="F466" s="347">
        <f>VLOOKUP(B466,[1]Dcu!$B$3:$E$511,4,0)</f>
        <v>250000</v>
      </c>
      <c r="G466" s="47">
        <f t="shared" si="20"/>
        <v>10.737179487179487</v>
      </c>
    </row>
    <row r="467" spans="1:7" ht="16.5" customHeight="1" x14ac:dyDescent="0.3">
      <c r="A467" s="10">
        <v>24</v>
      </c>
      <c r="B467" s="49" t="s">
        <v>46</v>
      </c>
      <c r="C467" s="50" t="s">
        <v>28</v>
      </c>
      <c r="D467" s="348">
        <f>VLOOKUP(B467,[1]Dcu!$B$3:$D$511,3,0)</f>
        <v>60</v>
      </c>
      <c r="E467" s="51">
        <v>3.0000000000000001E-3</v>
      </c>
      <c r="F467" s="347">
        <f>VLOOKUP(B467,[1]Dcu!$B$3:$E$511,4,0)</f>
        <v>1600000</v>
      </c>
      <c r="G467" s="47">
        <f t="shared" si="20"/>
        <v>3.0769230769230771</v>
      </c>
    </row>
    <row r="468" spans="1:7" ht="16.5" customHeight="1" x14ac:dyDescent="0.3">
      <c r="A468" s="10">
        <v>25</v>
      </c>
      <c r="B468" s="49" t="s">
        <v>47</v>
      </c>
      <c r="C468" s="50" t="s">
        <v>28</v>
      </c>
      <c r="D468" s="348">
        <f>VLOOKUP(B468,[1]Dcu!$B$3:$D$511,3,0)</f>
        <v>60</v>
      </c>
      <c r="E468" s="51">
        <v>2.5000000000000001E-2</v>
      </c>
      <c r="F468" s="347">
        <f>VLOOKUP(B468,[1]Dcu!$B$3:$E$511,4,0)</f>
        <v>1500000</v>
      </c>
      <c r="G468" s="47">
        <f t="shared" si="20"/>
        <v>24.03846153846154</v>
      </c>
    </row>
    <row r="469" spans="1:7" ht="16.5" customHeight="1" x14ac:dyDescent="0.3">
      <c r="A469" s="10">
        <v>26</v>
      </c>
      <c r="B469" s="49" t="s">
        <v>48</v>
      </c>
      <c r="C469" s="50" t="s">
        <v>36</v>
      </c>
      <c r="D469" s="348">
        <f>VLOOKUP(B469,[1]Dcu!$B$3:$D$511,3,0)</f>
        <v>36</v>
      </c>
      <c r="E469" s="51">
        <v>0.4</v>
      </c>
      <c r="F469" s="347">
        <f>VLOOKUP(B469,[1]Dcu!$B$3:$E$511,4,0)</f>
        <v>40000</v>
      </c>
      <c r="G469" s="47">
        <f t="shared" si="20"/>
        <v>17.094017094017094</v>
      </c>
    </row>
    <row r="470" spans="1:7" ht="16.5" customHeight="1" x14ac:dyDescent="0.3">
      <c r="A470" s="10">
        <v>27</v>
      </c>
      <c r="B470" s="49" t="s">
        <v>49</v>
      </c>
      <c r="C470" s="50" t="s">
        <v>28</v>
      </c>
      <c r="D470" s="348">
        <f>VLOOKUP(B470,[1]Dcu!$B$3:$D$511,3,0)</f>
        <v>96</v>
      </c>
      <c r="E470" s="51">
        <v>0.1</v>
      </c>
      <c r="F470" s="347">
        <f>VLOOKUP(B470,[1]Dcu!$B$3:$E$511,4,0)</f>
        <v>1000000</v>
      </c>
      <c r="G470" s="47">
        <f t="shared" si="20"/>
        <v>40.064102564102569</v>
      </c>
    </row>
    <row r="471" spans="1:7" ht="16.5" customHeight="1" x14ac:dyDescent="0.3">
      <c r="A471" s="10">
        <v>28</v>
      </c>
      <c r="B471" s="49" t="s">
        <v>50</v>
      </c>
      <c r="C471" s="50" t="s">
        <v>28</v>
      </c>
      <c r="D471" s="348">
        <f>VLOOKUP(B471,[1]Dcu!$B$3:$D$511,3,0)</f>
        <v>96</v>
      </c>
      <c r="E471" s="51">
        <v>0.4</v>
      </c>
      <c r="F471" s="347">
        <f>VLOOKUP(B471,[1]Dcu!$B$3:$E$511,4,0)</f>
        <v>300000</v>
      </c>
      <c r="G471" s="47">
        <f t="shared" si="20"/>
        <v>48.07692307692308</v>
      </c>
    </row>
    <row r="472" spans="1:7" ht="16.5" customHeight="1" x14ac:dyDescent="0.3">
      <c r="A472" s="10">
        <v>29</v>
      </c>
      <c r="B472" s="49" t="s">
        <v>51</v>
      </c>
      <c r="C472" s="50" t="s">
        <v>28</v>
      </c>
      <c r="D472" s="348">
        <f>VLOOKUP(B472,[1]Dcu!$B$3:$D$511,3,0)</f>
        <v>96</v>
      </c>
      <c r="E472" s="51">
        <v>0.4</v>
      </c>
      <c r="F472" s="347">
        <f>VLOOKUP(B472,[1]Dcu!$B$3:$E$511,4,0)</f>
        <v>80000</v>
      </c>
      <c r="G472" s="47">
        <f t="shared" si="20"/>
        <v>12.820512820512821</v>
      </c>
    </row>
    <row r="473" spans="1:7" ht="16.5" customHeight="1" x14ac:dyDescent="0.3">
      <c r="A473" s="10">
        <v>31</v>
      </c>
      <c r="B473" s="49" t="s">
        <v>52</v>
      </c>
      <c r="C473" s="50" t="s">
        <v>53</v>
      </c>
      <c r="D473" s="50"/>
      <c r="E473" s="51">
        <v>0.57899999999999996</v>
      </c>
      <c r="F473" s="347">
        <f>VLOOKUP(B473,[1]Dcu!$B$3:$E$511,4,0)</f>
        <v>1838</v>
      </c>
      <c r="G473" s="47">
        <f>F473*E473</f>
        <v>1064.202</v>
      </c>
    </row>
    <row r="474" spans="1:7" ht="16.5" customHeight="1" x14ac:dyDescent="0.3">
      <c r="A474" s="11" t="s">
        <v>406</v>
      </c>
      <c r="B474" s="464" t="s">
        <v>630</v>
      </c>
      <c r="C474" s="464"/>
      <c r="D474" s="464"/>
      <c r="E474" s="464"/>
      <c r="F474" s="46"/>
      <c r="G474" s="45">
        <f>SUM(G475:G503)*1.05+G504</f>
        <v>25007.954051282046</v>
      </c>
    </row>
    <row r="475" spans="1:7" ht="16.5" customHeight="1" x14ac:dyDescent="0.3">
      <c r="A475" s="10">
        <v>1</v>
      </c>
      <c r="B475" s="49" t="s">
        <v>27</v>
      </c>
      <c r="C475" s="50" t="s">
        <v>28</v>
      </c>
      <c r="D475" s="348">
        <f>VLOOKUP(B475,[1]Dcu!$B$3:$D$511,3,0)</f>
        <v>12</v>
      </c>
      <c r="E475" s="52">
        <v>0.4</v>
      </c>
      <c r="F475" s="347">
        <f>VLOOKUP(B475,[1]Dcu!$B$3:$E$511,4,0)</f>
        <v>100000</v>
      </c>
      <c r="G475" s="47">
        <f t="shared" si="20"/>
        <v>128.2051282051282</v>
      </c>
    </row>
    <row r="476" spans="1:7" ht="16.5" customHeight="1" x14ac:dyDescent="0.3">
      <c r="A476" s="10">
        <v>2</v>
      </c>
      <c r="B476" s="49" t="s">
        <v>62</v>
      </c>
      <c r="C476" s="50" t="s">
        <v>28</v>
      </c>
      <c r="D476" s="348">
        <f>VLOOKUP(B476,[1]Dcu!$B$3:$D$511,3,0)</f>
        <v>12</v>
      </c>
      <c r="E476" s="52">
        <v>0.4</v>
      </c>
      <c r="F476" s="347">
        <f>VLOOKUP(B476,[1]Dcu!$B$3:$E$511,4,0)</f>
        <v>44000</v>
      </c>
      <c r="G476" s="47">
        <f t="shared" si="20"/>
        <v>56.410256410256409</v>
      </c>
    </row>
    <row r="477" spans="1:7" ht="16.5" customHeight="1" x14ac:dyDescent="0.3">
      <c r="A477" s="10">
        <v>3</v>
      </c>
      <c r="B477" s="49" t="s">
        <v>87</v>
      </c>
      <c r="C477" s="50" t="s">
        <v>28</v>
      </c>
      <c r="D477" s="348">
        <f>VLOOKUP(B477,[1]Dcu!$B$3:$D$511,3,0)</f>
        <v>6</v>
      </c>
      <c r="E477" s="52">
        <v>3</v>
      </c>
      <c r="F477" s="347">
        <f>VLOOKUP(B477,[1]Dcu!$B$3:$E$511,4,0)</f>
        <v>15000</v>
      </c>
      <c r="G477" s="47">
        <f t="shared" si="20"/>
        <v>288.46153846153845</v>
      </c>
    </row>
    <row r="478" spans="1:7" ht="16.5" customHeight="1" x14ac:dyDescent="0.3">
      <c r="A478" s="10">
        <v>4</v>
      </c>
      <c r="B478" s="49" t="s">
        <v>89</v>
      </c>
      <c r="C478" s="50" t="s">
        <v>28</v>
      </c>
      <c r="D478" s="348">
        <f>VLOOKUP(B478,[1]Dcu!$B$3:$D$511,3,0)</f>
        <v>3</v>
      </c>
      <c r="E478" s="52">
        <v>1</v>
      </c>
      <c r="F478" s="347">
        <f>VLOOKUP(B478,[1]Dcu!$B$3:$E$511,4,0)</f>
        <v>7500</v>
      </c>
      <c r="G478" s="47">
        <f t="shared" si="20"/>
        <v>96.15384615384616</v>
      </c>
    </row>
    <row r="479" spans="1:7" ht="16.5" customHeight="1" x14ac:dyDescent="0.3">
      <c r="A479" s="10">
        <v>5</v>
      </c>
      <c r="B479" s="49" t="s">
        <v>73</v>
      </c>
      <c r="C479" s="50" t="s">
        <v>28</v>
      </c>
      <c r="D479" s="348">
        <f>VLOOKUP(B479,[1]Dcu!$B$3:$D$511,3,0)</f>
        <v>12</v>
      </c>
      <c r="E479" s="52">
        <v>0.4</v>
      </c>
      <c r="F479" s="347">
        <f>VLOOKUP(B479,[1]Dcu!$B$3:$E$511,4,0)</f>
        <v>70000</v>
      </c>
      <c r="G479" s="47">
        <f t="shared" si="20"/>
        <v>89.743589743589752</v>
      </c>
    </row>
    <row r="480" spans="1:7" ht="16.5" customHeight="1" x14ac:dyDescent="0.3">
      <c r="A480" s="10">
        <v>6</v>
      </c>
      <c r="B480" s="49" t="s">
        <v>30</v>
      </c>
      <c r="C480" s="50" t="s">
        <v>28</v>
      </c>
      <c r="D480" s="348">
        <f>VLOOKUP(B480,[1]Dcu!$B$3:$D$511,3,0)</f>
        <v>12</v>
      </c>
      <c r="E480" s="52">
        <v>0.4</v>
      </c>
      <c r="F480" s="347">
        <f>VLOOKUP(B480,[1]Dcu!$B$3:$E$511,4,0)</f>
        <v>3500000</v>
      </c>
      <c r="G480" s="47">
        <f t="shared" si="20"/>
        <v>4487.1794871794873</v>
      </c>
    </row>
    <row r="481" spans="1:7" ht="16.5" customHeight="1" x14ac:dyDescent="0.3">
      <c r="A481" s="10">
        <v>7</v>
      </c>
      <c r="B481" s="49" t="s">
        <v>57</v>
      </c>
      <c r="C481" s="50" t="s">
        <v>28</v>
      </c>
      <c r="D481" s="348">
        <f>VLOOKUP(B481,[1]Dcu!$B$3:$D$511,3,0)</f>
        <v>1</v>
      </c>
      <c r="E481" s="52">
        <v>0.4</v>
      </c>
      <c r="F481" s="347">
        <f>VLOOKUP(B481,[1]Dcu!$B$3:$E$511,4,0)</f>
        <v>3000</v>
      </c>
      <c r="G481" s="47">
        <f t="shared" si="20"/>
        <v>46.15384615384616</v>
      </c>
    </row>
    <row r="482" spans="1:7" ht="16.5" customHeight="1" x14ac:dyDescent="0.3">
      <c r="A482" s="10">
        <v>8</v>
      </c>
      <c r="B482" s="49" t="s">
        <v>84</v>
      </c>
      <c r="C482" s="50" t="s">
        <v>28</v>
      </c>
      <c r="D482" s="348">
        <f>VLOOKUP(B482,[1]Dcu!$B$3:$D$511,3,0)</f>
        <v>12</v>
      </c>
      <c r="E482" s="52">
        <v>0.4</v>
      </c>
      <c r="F482" s="347">
        <f>VLOOKUP(B482,[1]Dcu!$B$3:$E$511,4,0)</f>
        <v>90000</v>
      </c>
      <c r="G482" s="47">
        <f t="shared" si="20"/>
        <v>115.38461538461539</v>
      </c>
    </row>
    <row r="483" spans="1:7" ht="16.5" customHeight="1" x14ac:dyDescent="0.3">
      <c r="A483" s="10">
        <v>9</v>
      </c>
      <c r="B483" s="49" t="s">
        <v>61</v>
      </c>
      <c r="C483" s="50" t="s">
        <v>28</v>
      </c>
      <c r="D483" s="348">
        <f>VLOOKUP(B483,[1]Dcu!$B$3:$D$511,3,0)</f>
        <v>12</v>
      </c>
      <c r="E483" s="52">
        <v>0.4</v>
      </c>
      <c r="F483" s="347">
        <f>VLOOKUP(B483,[1]Dcu!$B$3:$E$511,4,0)</f>
        <v>15000</v>
      </c>
      <c r="G483" s="47">
        <f t="shared" si="20"/>
        <v>19.230769230769234</v>
      </c>
    </row>
    <row r="484" spans="1:7" ht="16.5" customHeight="1" x14ac:dyDescent="0.3">
      <c r="A484" s="10">
        <v>10</v>
      </c>
      <c r="B484" s="49" t="s">
        <v>96</v>
      </c>
      <c r="C484" s="50" t="s">
        <v>28</v>
      </c>
      <c r="D484" s="348">
        <f>VLOOKUP(B484,[1]Dcu!$B$3:$D$511,3,0)</f>
        <v>24</v>
      </c>
      <c r="E484" s="52">
        <v>0.4</v>
      </c>
      <c r="F484" s="347">
        <f>VLOOKUP(B484,[1]Dcu!$B$3:$E$511,4,0)</f>
        <v>15000000</v>
      </c>
      <c r="G484" s="47">
        <f t="shared" si="20"/>
        <v>9615.3846153846152</v>
      </c>
    </row>
    <row r="485" spans="1:7" ht="16.5" customHeight="1" x14ac:dyDescent="0.3">
      <c r="A485" s="10">
        <v>11</v>
      </c>
      <c r="B485" s="49" t="s">
        <v>97</v>
      </c>
      <c r="C485" s="50" t="s">
        <v>28</v>
      </c>
      <c r="D485" s="348">
        <f>VLOOKUP(B485,[1]Dcu!$B$3:$D$511,3,0)</f>
        <v>24</v>
      </c>
      <c r="E485" s="52">
        <v>0.4</v>
      </c>
      <c r="F485" s="347">
        <f>VLOOKUP(B485,[1]Dcu!$B$3:$E$511,4,0)</f>
        <v>4500000</v>
      </c>
      <c r="G485" s="47">
        <f t="shared" si="20"/>
        <v>2884.6153846153848</v>
      </c>
    </row>
    <row r="486" spans="1:7" ht="16.5" customHeight="1" x14ac:dyDescent="0.3">
      <c r="A486" s="10">
        <v>12</v>
      </c>
      <c r="B486" s="49" t="s">
        <v>83</v>
      </c>
      <c r="C486" s="50" t="s">
        <v>28</v>
      </c>
      <c r="D486" s="348">
        <f>VLOOKUP(B486,[1]Dcu!$B$3:$D$511,3,0)</f>
        <v>12</v>
      </c>
      <c r="E486" s="52">
        <v>0.4</v>
      </c>
      <c r="F486" s="347">
        <f>VLOOKUP(B486,[1]Dcu!$B$3:$E$511,4,0)</f>
        <v>1600000</v>
      </c>
      <c r="G486" s="47">
        <f t="shared" si="20"/>
        <v>2051.2820512820513</v>
      </c>
    </row>
    <row r="487" spans="1:7" ht="16.5" customHeight="1" x14ac:dyDescent="0.3">
      <c r="A487" s="10">
        <v>13</v>
      </c>
      <c r="B487" s="49" t="s">
        <v>32</v>
      </c>
      <c r="C487" s="50" t="s">
        <v>28</v>
      </c>
      <c r="D487" s="348">
        <f>VLOOKUP(B487,[1]Dcu!$B$3:$D$511,3,0)</f>
        <v>12</v>
      </c>
      <c r="E487" s="52">
        <v>0.4</v>
      </c>
      <c r="F487" s="347">
        <f>VLOOKUP(B487,[1]Dcu!$B$3:$E$511,4,0)</f>
        <v>85000</v>
      </c>
      <c r="G487" s="47">
        <f t="shared" si="20"/>
        <v>108.97435897435899</v>
      </c>
    </row>
    <row r="488" spans="1:7" ht="16.5" customHeight="1" x14ac:dyDescent="0.3">
      <c r="A488" s="10">
        <v>14</v>
      </c>
      <c r="B488" s="49" t="s">
        <v>55</v>
      </c>
      <c r="C488" s="50" t="s">
        <v>28</v>
      </c>
      <c r="D488" s="348">
        <f>VLOOKUP(B488,[1]Dcu!$B$3:$D$511,3,0)</f>
        <v>12</v>
      </c>
      <c r="E488" s="52">
        <v>0.4</v>
      </c>
      <c r="F488" s="347">
        <f>VLOOKUP(B488,[1]Dcu!$B$3:$E$511,4,0)</f>
        <v>150000</v>
      </c>
      <c r="G488" s="47">
        <f t="shared" si="20"/>
        <v>192.30769230769232</v>
      </c>
    </row>
    <row r="489" spans="1:7" ht="16.5" customHeight="1" x14ac:dyDescent="0.3">
      <c r="A489" s="10">
        <v>15</v>
      </c>
      <c r="B489" s="49" t="s">
        <v>59</v>
      </c>
      <c r="C489" s="50" t="s">
        <v>28</v>
      </c>
      <c r="D489" s="348">
        <f>VLOOKUP(B489,[1]Dcu!$B$3:$D$511,3,0)</f>
        <v>36</v>
      </c>
      <c r="E489" s="52">
        <v>0.4</v>
      </c>
      <c r="F489" s="347">
        <f>VLOOKUP(B489,[1]Dcu!$B$3:$E$511,4,0)</f>
        <v>110000</v>
      </c>
      <c r="G489" s="47">
        <f t="shared" si="20"/>
        <v>47.008547008547012</v>
      </c>
    </row>
    <row r="490" spans="1:7" ht="16.5" customHeight="1" x14ac:dyDescent="0.3">
      <c r="A490" s="10">
        <v>16</v>
      </c>
      <c r="B490" s="49" t="s">
        <v>39</v>
      </c>
      <c r="C490" s="50" t="s">
        <v>28</v>
      </c>
      <c r="D490" s="348">
        <f>VLOOKUP(B490,[1]Dcu!$B$3:$D$511,3,0)</f>
        <v>36</v>
      </c>
      <c r="E490" s="52">
        <v>0.4</v>
      </c>
      <c r="F490" s="347">
        <f>VLOOKUP(B490,[1]Dcu!$B$3:$E$511,4,0)</f>
        <v>340000</v>
      </c>
      <c r="G490" s="47">
        <f t="shared" si="20"/>
        <v>145.29914529914529</v>
      </c>
    </row>
    <row r="491" spans="1:7" ht="16.5" customHeight="1" x14ac:dyDescent="0.3">
      <c r="A491" s="10">
        <v>17</v>
      </c>
      <c r="B491" s="49" t="s">
        <v>40</v>
      </c>
      <c r="C491" s="50" t="s">
        <v>28</v>
      </c>
      <c r="D491" s="348">
        <f>VLOOKUP(B491,[1]Dcu!$B$3:$D$511,3,0)</f>
        <v>36</v>
      </c>
      <c r="E491" s="52">
        <v>0.4</v>
      </c>
      <c r="F491" s="347">
        <f>VLOOKUP(B491,[1]Dcu!$B$3:$E$511,4,0)</f>
        <v>700000</v>
      </c>
      <c r="G491" s="47">
        <f t="shared" si="20"/>
        <v>299.14529914529913</v>
      </c>
    </row>
    <row r="492" spans="1:7" ht="16.5" customHeight="1" x14ac:dyDescent="0.3">
      <c r="A492" s="10">
        <v>18</v>
      </c>
      <c r="B492" s="49" t="s">
        <v>41</v>
      </c>
      <c r="C492" s="50" t="s">
        <v>28</v>
      </c>
      <c r="D492" s="348">
        <f>VLOOKUP(B492,[1]Dcu!$B$3:$D$511,3,0)</f>
        <v>36</v>
      </c>
      <c r="E492" s="52">
        <v>0.4</v>
      </c>
      <c r="F492" s="347">
        <f>VLOOKUP(B492,[1]Dcu!$B$3:$E$511,4,0)</f>
        <v>60000</v>
      </c>
      <c r="G492" s="47">
        <f t="shared" si="20"/>
        <v>25.641025641025642</v>
      </c>
    </row>
    <row r="493" spans="1:7" ht="16.5" customHeight="1" x14ac:dyDescent="0.3">
      <c r="A493" s="10">
        <v>19</v>
      </c>
      <c r="B493" s="5" t="s">
        <v>639</v>
      </c>
      <c r="C493" s="50" t="s">
        <v>28</v>
      </c>
      <c r="D493" s="348">
        <f>VLOOKUP(B493,[1]Dcu!$B$3:$D$511,3,0)</f>
        <v>12</v>
      </c>
      <c r="E493" s="52">
        <v>0.4</v>
      </c>
      <c r="F493" s="347">
        <f>VLOOKUP(B493,[1]Dcu!$B$3:$E$511,4,0)</f>
        <v>30000</v>
      </c>
      <c r="G493" s="47">
        <f t="shared" si="20"/>
        <v>38.461538461538467</v>
      </c>
    </row>
    <row r="494" spans="1:7" ht="16.5" customHeight="1" x14ac:dyDescent="0.3">
      <c r="A494" s="10">
        <v>21</v>
      </c>
      <c r="B494" s="12" t="s">
        <v>621</v>
      </c>
      <c r="C494" s="10" t="s">
        <v>76</v>
      </c>
      <c r="D494" s="348">
        <f>VLOOKUP(B494,[1]Dcu!$B$3:$D$511,3,0)</f>
        <v>0.3</v>
      </c>
      <c r="E494" s="10">
        <v>0.02</v>
      </c>
      <c r="F494" s="347">
        <f>VLOOKUP(B494,[1]Dcu!$B$3:$E$511,4,0)</f>
        <v>200000</v>
      </c>
      <c r="G494" s="47">
        <f t="shared" ref="G494:G554" si="21">F494/(D494*26)*E494</f>
        <v>512.82051282051282</v>
      </c>
    </row>
    <row r="495" spans="1:7" ht="16.5" customHeight="1" x14ac:dyDescent="0.3">
      <c r="A495" s="10">
        <v>22</v>
      </c>
      <c r="B495" s="49" t="s">
        <v>43</v>
      </c>
      <c r="C495" s="10" t="s">
        <v>76</v>
      </c>
      <c r="D495" s="348">
        <f>VLOOKUP(B495,[1]Dcu!$B$3:$D$511,3,0)</f>
        <v>0.3</v>
      </c>
      <c r="E495" s="10">
        <v>0.02</v>
      </c>
      <c r="F495" s="347">
        <f>VLOOKUP(B495,[1]Dcu!$B$3:$E$511,4,0)</f>
        <v>400000</v>
      </c>
      <c r="G495" s="47">
        <f t="shared" si="21"/>
        <v>1025.6410256410256</v>
      </c>
    </row>
    <row r="496" spans="1:7" ht="16.5" customHeight="1" x14ac:dyDescent="0.3">
      <c r="A496" s="10">
        <v>23</v>
      </c>
      <c r="B496" s="49" t="s">
        <v>44</v>
      </c>
      <c r="C496" s="50" t="s">
        <v>28</v>
      </c>
      <c r="D496" s="348">
        <f>VLOOKUP(B496,[1]Dcu!$B$3:$D$511,3,0)</f>
        <v>60</v>
      </c>
      <c r="E496" s="52">
        <v>0.08</v>
      </c>
      <c r="F496" s="347">
        <f>VLOOKUP(B496,[1]Dcu!$B$3:$E$511,4,0)</f>
        <v>500000</v>
      </c>
      <c r="G496" s="47">
        <f t="shared" si="21"/>
        <v>25.641025641025639</v>
      </c>
    </row>
    <row r="497" spans="1:7" ht="16.5" customHeight="1" x14ac:dyDescent="0.3">
      <c r="A497" s="10">
        <v>24</v>
      </c>
      <c r="B497" s="49" t="s">
        <v>45</v>
      </c>
      <c r="C497" s="50" t="s">
        <v>28</v>
      </c>
      <c r="D497" s="348">
        <f>VLOOKUP(B497,[1]Dcu!$B$3:$D$511,3,0)</f>
        <v>60</v>
      </c>
      <c r="E497" s="52">
        <v>0.08</v>
      </c>
      <c r="F497" s="347">
        <f>VLOOKUP(B497,[1]Dcu!$B$3:$E$511,4,0)</f>
        <v>250000</v>
      </c>
      <c r="G497" s="47">
        <f t="shared" si="21"/>
        <v>12.820512820512819</v>
      </c>
    </row>
    <row r="498" spans="1:7" ht="16.5" customHeight="1" x14ac:dyDescent="0.3">
      <c r="A498" s="10">
        <v>25</v>
      </c>
      <c r="B498" s="49" t="s">
        <v>46</v>
      </c>
      <c r="C498" s="50" t="s">
        <v>28</v>
      </c>
      <c r="D498" s="348">
        <f>VLOOKUP(B498,[1]Dcu!$B$3:$D$511,3,0)</f>
        <v>60</v>
      </c>
      <c r="E498" s="52">
        <v>4.0000000000000001E-3</v>
      </c>
      <c r="F498" s="347">
        <f>VLOOKUP(B498,[1]Dcu!$B$3:$E$511,4,0)</f>
        <v>1600000</v>
      </c>
      <c r="G498" s="47">
        <f t="shared" si="21"/>
        <v>4.1025641025641022</v>
      </c>
    </row>
    <row r="499" spans="1:7" ht="16.5" customHeight="1" x14ac:dyDescent="0.3">
      <c r="A499" s="10">
        <v>26</v>
      </c>
      <c r="B499" s="49" t="s">
        <v>47</v>
      </c>
      <c r="C499" s="50" t="s">
        <v>28</v>
      </c>
      <c r="D499" s="348">
        <f>VLOOKUP(B499,[1]Dcu!$B$3:$D$511,3,0)</f>
        <v>60</v>
      </c>
      <c r="E499" s="52">
        <v>0.03</v>
      </c>
      <c r="F499" s="347">
        <f>VLOOKUP(B499,[1]Dcu!$B$3:$E$511,4,0)</f>
        <v>1500000</v>
      </c>
      <c r="G499" s="47">
        <f t="shared" si="21"/>
        <v>28.846153846153847</v>
      </c>
    </row>
    <row r="500" spans="1:7" ht="16.5" customHeight="1" x14ac:dyDescent="0.3">
      <c r="A500" s="10">
        <v>27</v>
      </c>
      <c r="B500" s="49" t="s">
        <v>48</v>
      </c>
      <c r="C500" s="50" t="s">
        <v>36</v>
      </c>
      <c r="D500" s="348">
        <f>VLOOKUP(B500,[1]Dcu!$B$3:$D$511,3,0)</f>
        <v>36</v>
      </c>
      <c r="E500" s="52">
        <v>0.4</v>
      </c>
      <c r="F500" s="347">
        <f>VLOOKUP(B500,[1]Dcu!$B$3:$E$511,4,0)</f>
        <v>40000</v>
      </c>
      <c r="G500" s="47">
        <f t="shared" si="21"/>
        <v>17.094017094017094</v>
      </c>
    </row>
    <row r="501" spans="1:7" ht="16.5" customHeight="1" x14ac:dyDescent="0.3">
      <c r="A501" s="10">
        <v>28</v>
      </c>
      <c r="B501" s="49" t="s">
        <v>49</v>
      </c>
      <c r="C501" s="50" t="s">
        <v>28</v>
      </c>
      <c r="D501" s="348">
        <f>VLOOKUP(B501,[1]Dcu!$B$3:$D$511,3,0)</f>
        <v>96</v>
      </c>
      <c r="E501" s="52">
        <v>0.12</v>
      </c>
      <c r="F501" s="347">
        <f>VLOOKUP(B501,[1]Dcu!$B$3:$E$511,4,0)</f>
        <v>1000000</v>
      </c>
      <c r="G501" s="47">
        <f t="shared" si="21"/>
        <v>48.076923076923073</v>
      </c>
    </row>
    <row r="502" spans="1:7" ht="16.5" customHeight="1" x14ac:dyDescent="0.3">
      <c r="A502" s="10">
        <v>29</v>
      </c>
      <c r="B502" s="49" t="s">
        <v>50</v>
      </c>
      <c r="C502" s="50" t="s">
        <v>28</v>
      </c>
      <c r="D502" s="348">
        <f>VLOOKUP(B502,[1]Dcu!$B$3:$D$511,3,0)</f>
        <v>96</v>
      </c>
      <c r="E502" s="52">
        <v>0.4</v>
      </c>
      <c r="F502" s="347">
        <f>VLOOKUP(B502,[1]Dcu!$B$3:$E$511,4,0)</f>
        <v>300000</v>
      </c>
      <c r="G502" s="47">
        <f t="shared" si="21"/>
        <v>48.07692307692308</v>
      </c>
    </row>
    <row r="503" spans="1:7" ht="16.5" customHeight="1" x14ac:dyDescent="0.3">
      <c r="A503" s="10">
        <v>30</v>
      </c>
      <c r="B503" s="49" t="s">
        <v>51</v>
      </c>
      <c r="C503" s="50" t="s">
        <v>28</v>
      </c>
      <c r="D503" s="348">
        <f>VLOOKUP(B503,[1]Dcu!$B$3:$D$511,3,0)</f>
        <v>96</v>
      </c>
      <c r="E503" s="52">
        <v>0.4</v>
      </c>
      <c r="F503" s="347">
        <f>VLOOKUP(B503,[1]Dcu!$B$3:$E$511,4,0)</f>
        <v>80000</v>
      </c>
      <c r="G503" s="47">
        <f t="shared" si="21"/>
        <v>12.820512820512821</v>
      </c>
    </row>
    <row r="504" spans="1:7" ht="16.5" customHeight="1" x14ac:dyDescent="0.3">
      <c r="A504" s="10">
        <v>32</v>
      </c>
      <c r="B504" s="49" t="s">
        <v>52</v>
      </c>
      <c r="C504" s="50" t="s">
        <v>53</v>
      </c>
      <c r="D504" s="52"/>
      <c r="E504" s="52">
        <v>0.76900000000000002</v>
      </c>
      <c r="F504" s="347">
        <f>VLOOKUP(B504,[1]Dcu!$B$3:$E$511,4,0)</f>
        <v>1838</v>
      </c>
      <c r="G504" s="47">
        <f>F504*E504</f>
        <v>1413.422</v>
      </c>
    </row>
    <row r="505" spans="1:7" ht="16.5" customHeight="1" x14ac:dyDescent="0.3">
      <c r="A505" s="11" t="s">
        <v>407</v>
      </c>
      <c r="B505" s="463" t="s">
        <v>519</v>
      </c>
      <c r="C505" s="463"/>
      <c r="D505" s="463"/>
      <c r="E505" s="12"/>
      <c r="F505" s="46"/>
      <c r="G505" s="45">
        <f>SUM(G506:G537)*1.05+G538</f>
        <v>61600.549756410255</v>
      </c>
    </row>
    <row r="506" spans="1:7" ht="16.5" customHeight="1" x14ac:dyDescent="0.3">
      <c r="A506" s="116">
        <v>1</v>
      </c>
      <c r="B506" s="358" t="s">
        <v>27</v>
      </c>
      <c r="C506" s="73" t="s">
        <v>28</v>
      </c>
      <c r="D506" s="348">
        <f>VLOOKUP(B506,[1]Dcu!$B$3:$D$511,3,0)</f>
        <v>12</v>
      </c>
      <c r="E506" s="244">
        <v>0.4</v>
      </c>
      <c r="F506" s="347">
        <f>VLOOKUP(B506,[1]Dcu!$B$3:$E$511,4,0)</f>
        <v>100000</v>
      </c>
      <c r="G506" s="47">
        <f t="shared" si="21"/>
        <v>128.2051282051282</v>
      </c>
    </row>
    <row r="507" spans="1:7" ht="16.5" customHeight="1" x14ac:dyDescent="0.3">
      <c r="A507" s="116">
        <v>2</v>
      </c>
      <c r="B507" s="358" t="s">
        <v>68</v>
      </c>
      <c r="C507" s="73" t="s">
        <v>28</v>
      </c>
      <c r="D507" s="348">
        <f>VLOOKUP(B507,[1]Dcu!$B$3:$D$511,3,0)</f>
        <v>12</v>
      </c>
      <c r="E507" s="244">
        <v>0.4</v>
      </c>
      <c r="F507" s="347">
        <f>VLOOKUP(B507,[1]Dcu!$B$3:$E$511,4,0)</f>
        <v>3500000</v>
      </c>
      <c r="G507" s="47">
        <f t="shared" si="21"/>
        <v>4487.1794871794873</v>
      </c>
    </row>
    <row r="508" spans="1:7" ht="16.5" customHeight="1" x14ac:dyDescent="0.3">
      <c r="A508" s="116">
        <v>3</v>
      </c>
      <c r="B508" s="358" t="s">
        <v>87</v>
      </c>
      <c r="C508" s="73" t="s">
        <v>28</v>
      </c>
      <c r="D508" s="348">
        <f>VLOOKUP(B508,[1]Dcu!$B$3:$D$511,3,0)</f>
        <v>6</v>
      </c>
      <c r="E508" s="244">
        <v>3</v>
      </c>
      <c r="F508" s="347">
        <f>VLOOKUP(B508,[1]Dcu!$B$3:$E$511,4,0)</f>
        <v>15000</v>
      </c>
      <c r="G508" s="47">
        <f t="shared" si="21"/>
        <v>288.46153846153845</v>
      </c>
    </row>
    <row r="509" spans="1:7" ht="16.5" customHeight="1" x14ac:dyDescent="0.3">
      <c r="A509" s="116">
        <v>4</v>
      </c>
      <c r="B509" s="358" t="s">
        <v>88</v>
      </c>
      <c r="C509" s="73" t="s">
        <v>28</v>
      </c>
      <c r="D509" s="348">
        <f>VLOOKUP(B509,[1]Dcu!$B$3:$D$511,3,0)</f>
        <v>1</v>
      </c>
      <c r="E509" s="244">
        <v>3</v>
      </c>
      <c r="F509" s="347">
        <f>VLOOKUP(B509,[1]Dcu!$B$3:$E$511,4,0)</f>
        <v>150000</v>
      </c>
      <c r="G509" s="47">
        <f t="shared" si="21"/>
        <v>17307.692307692309</v>
      </c>
    </row>
    <row r="510" spans="1:7" ht="16.5" customHeight="1" x14ac:dyDescent="0.3">
      <c r="A510" s="116">
        <v>5</v>
      </c>
      <c r="B510" s="358" t="s">
        <v>89</v>
      </c>
      <c r="C510" s="73" t="s">
        <v>28</v>
      </c>
      <c r="D510" s="348">
        <f>VLOOKUP(B510,[1]Dcu!$B$3:$D$511,3,0)</f>
        <v>3</v>
      </c>
      <c r="E510" s="244">
        <v>1</v>
      </c>
      <c r="F510" s="347">
        <f>VLOOKUP(B510,[1]Dcu!$B$3:$E$511,4,0)</f>
        <v>7500</v>
      </c>
      <c r="G510" s="47">
        <f t="shared" si="21"/>
        <v>96.15384615384616</v>
      </c>
    </row>
    <row r="511" spans="1:7" ht="16.5" customHeight="1" x14ac:dyDescent="0.3">
      <c r="A511" s="116">
        <v>6</v>
      </c>
      <c r="B511" s="358" t="s">
        <v>57</v>
      </c>
      <c r="C511" s="73" t="s">
        <v>28</v>
      </c>
      <c r="D511" s="348">
        <f>VLOOKUP(B511,[1]Dcu!$B$3:$D$511,3,0)</f>
        <v>1</v>
      </c>
      <c r="E511" s="244">
        <v>0.4</v>
      </c>
      <c r="F511" s="347">
        <f>VLOOKUP(B511,[1]Dcu!$B$3:$E$511,4,0)</f>
        <v>3000</v>
      </c>
      <c r="G511" s="47">
        <f t="shared" si="21"/>
        <v>46.15384615384616</v>
      </c>
    </row>
    <row r="512" spans="1:7" ht="16.5" customHeight="1" x14ac:dyDescent="0.3">
      <c r="A512" s="116">
        <v>7</v>
      </c>
      <c r="B512" s="358" t="s">
        <v>31</v>
      </c>
      <c r="C512" s="73" t="s">
        <v>28</v>
      </c>
      <c r="D512" s="348">
        <f>VLOOKUP(B512,[1]Dcu!$B$3:$D$511,3,0)</f>
        <v>1</v>
      </c>
      <c r="E512" s="244">
        <v>0.4</v>
      </c>
      <c r="F512" s="347">
        <f>VLOOKUP(B512,[1]Dcu!$B$3:$E$511,4,0)</f>
        <v>3000</v>
      </c>
      <c r="G512" s="47">
        <f t="shared" si="21"/>
        <v>46.15384615384616</v>
      </c>
    </row>
    <row r="513" spans="1:7" ht="16.5" customHeight="1" x14ac:dyDescent="0.3">
      <c r="A513" s="116">
        <v>8</v>
      </c>
      <c r="B513" s="358" t="s">
        <v>71</v>
      </c>
      <c r="C513" s="73" t="s">
        <v>28</v>
      </c>
      <c r="D513" s="348">
        <f>VLOOKUP(B513,[1]Dcu!$B$3:$D$511,3,0)</f>
        <v>12</v>
      </c>
      <c r="E513" s="244">
        <v>0.4</v>
      </c>
      <c r="F513" s="347">
        <f>VLOOKUP(B513,[1]Dcu!$B$3:$E$511,4,0)</f>
        <v>140000</v>
      </c>
      <c r="G513" s="47">
        <f t="shared" si="21"/>
        <v>179.4871794871795</v>
      </c>
    </row>
    <row r="514" spans="1:7" ht="16.5" customHeight="1" x14ac:dyDescent="0.3">
      <c r="A514" s="116">
        <v>9</v>
      </c>
      <c r="B514" s="358" t="s">
        <v>84</v>
      </c>
      <c r="C514" s="73" t="s">
        <v>28</v>
      </c>
      <c r="D514" s="348">
        <f>VLOOKUP(B514,[1]Dcu!$B$3:$D$511,3,0)</f>
        <v>12</v>
      </c>
      <c r="E514" s="244">
        <v>0.4</v>
      </c>
      <c r="F514" s="347">
        <f>VLOOKUP(B514,[1]Dcu!$B$3:$E$511,4,0)</f>
        <v>90000</v>
      </c>
      <c r="G514" s="47">
        <f t="shared" si="21"/>
        <v>115.38461538461539</v>
      </c>
    </row>
    <row r="515" spans="1:7" ht="16.5" customHeight="1" x14ac:dyDescent="0.3">
      <c r="A515" s="116">
        <v>10</v>
      </c>
      <c r="B515" s="358" t="s">
        <v>32</v>
      </c>
      <c r="C515" s="73" t="s">
        <v>28</v>
      </c>
      <c r="D515" s="348">
        <f>VLOOKUP(B515,[1]Dcu!$B$3:$D$511,3,0)</f>
        <v>12</v>
      </c>
      <c r="E515" s="244">
        <v>0.4</v>
      </c>
      <c r="F515" s="347">
        <f>VLOOKUP(B515,[1]Dcu!$B$3:$E$511,4,0)</f>
        <v>85000</v>
      </c>
      <c r="G515" s="47">
        <f t="shared" si="21"/>
        <v>108.97435897435899</v>
      </c>
    </row>
    <row r="516" spans="1:7" ht="16.5" customHeight="1" x14ac:dyDescent="0.3">
      <c r="A516" s="116">
        <v>11</v>
      </c>
      <c r="B516" s="358" t="s">
        <v>33</v>
      </c>
      <c r="C516" s="73" t="s">
        <v>28</v>
      </c>
      <c r="D516" s="348">
        <f>VLOOKUP(B516,[1]Dcu!$B$3:$D$511,3,0)</f>
        <v>12</v>
      </c>
      <c r="E516" s="244">
        <v>0.4</v>
      </c>
      <c r="F516" s="347">
        <f>VLOOKUP(B516,[1]Dcu!$B$3:$E$511,4,0)</f>
        <v>88000</v>
      </c>
      <c r="G516" s="47">
        <f t="shared" si="21"/>
        <v>112.82051282051282</v>
      </c>
    </row>
    <row r="517" spans="1:7" ht="16.5" customHeight="1" x14ac:dyDescent="0.3">
      <c r="A517" s="116">
        <v>12</v>
      </c>
      <c r="B517" s="358" t="s">
        <v>55</v>
      </c>
      <c r="C517" s="73" t="s">
        <v>28</v>
      </c>
      <c r="D517" s="348">
        <f>VLOOKUP(B517,[1]Dcu!$B$3:$D$511,3,0)</f>
        <v>12</v>
      </c>
      <c r="E517" s="244">
        <v>0.4</v>
      </c>
      <c r="F517" s="347">
        <f>VLOOKUP(B517,[1]Dcu!$B$3:$E$511,4,0)</f>
        <v>150000</v>
      </c>
      <c r="G517" s="47">
        <f t="shared" si="21"/>
        <v>192.30769230769232</v>
      </c>
    </row>
    <row r="518" spans="1:7" ht="16.5" customHeight="1" x14ac:dyDescent="0.3">
      <c r="A518" s="116">
        <v>13</v>
      </c>
      <c r="B518" s="358" t="s">
        <v>61</v>
      </c>
      <c r="C518" s="73" t="s">
        <v>28</v>
      </c>
      <c r="D518" s="348">
        <f>VLOOKUP(B518,[1]Dcu!$B$3:$D$511,3,0)</f>
        <v>12</v>
      </c>
      <c r="E518" s="244">
        <v>0.4</v>
      </c>
      <c r="F518" s="347">
        <f>VLOOKUP(B518,[1]Dcu!$B$3:$E$511,4,0)</f>
        <v>15000</v>
      </c>
      <c r="G518" s="47">
        <f t="shared" si="21"/>
        <v>19.230769230769234</v>
      </c>
    </row>
    <row r="519" spans="1:7" ht="16.5" customHeight="1" x14ac:dyDescent="0.3">
      <c r="A519" s="116">
        <v>14</v>
      </c>
      <c r="B519" s="358" t="s">
        <v>59</v>
      </c>
      <c r="C519" s="73" t="s">
        <v>28</v>
      </c>
      <c r="D519" s="348">
        <f>VLOOKUP(B519,[1]Dcu!$B$3:$D$511,3,0)</f>
        <v>36</v>
      </c>
      <c r="E519" s="244">
        <v>0.4</v>
      </c>
      <c r="F519" s="347">
        <f>VLOOKUP(B519,[1]Dcu!$B$3:$E$511,4,0)</f>
        <v>110000</v>
      </c>
      <c r="G519" s="47">
        <f t="shared" si="21"/>
        <v>47.008547008547012</v>
      </c>
    </row>
    <row r="520" spans="1:7" ht="16.5" customHeight="1" x14ac:dyDescent="0.3">
      <c r="A520" s="116">
        <v>15</v>
      </c>
      <c r="B520" s="358" t="s">
        <v>96</v>
      </c>
      <c r="C520" s="73" t="s">
        <v>28</v>
      </c>
      <c r="D520" s="348">
        <f>VLOOKUP(B520,[1]Dcu!$B$3:$D$511,3,0)</f>
        <v>24</v>
      </c>
      <c r="E520" s="244">
        <v>0.4</v>
      </c>
      <c r="F520" s="347">
        <f>VLOOKUP(B520,[1]Dcu!$B$3:$E$511,4,0)</f>
        <v>15000000</v>
      </c>
      <c r="G520" s="47">
        <f t="shared" si="21"/>
        <v>9615.3846153846152</v>
      </c>
    </row>
    <row r="521" spans="1:7" ht="16.5" customHeight="1" x14ac:dyDescent="0.3">
      <c r="A521" s="116">
        <v>16</v>
      </c>
      <c r="B521" s="358" t="s">
        <v>97</v>
      </c>
      <c r="C521" s="73" t="s">
        <v>28</v>
      </c>
      <c r="D521" s="348">
        <f>VLOOKUP(B521,[1]Dcu!$B$3:$D$511,3,0)</f>
        <v>24</v>
      </c>
      <c r="E521" s="244">
        <v>0.4</v>
      </c>
      <c r="F521" s="347">
        <f>VLOOKUP(B521,[1]Dcu!$B$3:$E$511,4,0)</f>
        <v>4500000</v>
      </c>
      <c r="G521" s="47">
        <f t="shared" si="21"/>
        <v>2884.6153846153848</v>
      </c>
    </row>
    <row r="522" spans="1:7" ht="16.5" customHeight="1" x14ac:dyDescent="0.3">
      <c r="A522" s="116">
        <v>17</v>
      </c>
      <c r="B522" s="358" t="s">
        <v>83</v>
      </c>
      <c r="C522" s="73" t="s">
        <v>28</v>
      </c>
      <c r="D522" s="348">
        <f>VLOOKUP(B522,[1]Dcu!$B$3:$D$511,3,0)</f>
        <v>12</v>
      </c>
      <c r="E522" s="244">
        <v>0.4</v>
      </c>
      <c r="F522" s="347">
        <f>VLOOKUP(B522,[1]Dcu!$B$3:$E$511,4,0)</f>
        <v>1600000</v>
      </c>
      <c r="G522" s="47">
        <f t="shared" si="21"/>
        <v>2051.2820512820513</v>
      </c>
    </row>
    <row r="523" spans="1:7" ht="16.5" customHeight="1" x14ac:dyDescent="0.3">
      <c r="A523" s="116">
        <v>18</v>
      </c>
      <c r="B523" s="358" t="s">
        <v>645</v>
      </c>
      <c r="C523" s="73" t="s">
        <v>79</v>
      </c>
      <c r="D523" s="348">
        <f>VLOOKUP(B523,[1]Dcu!$B$3:$D$511,3,0)</f>
        <v>6</v>
      </c>
      <c r="E523" s="244">
        <v>0.3</v>
      </c>
      <c r="F523" s="347">
        <f>VLOOKUP(B523,[1]Dcu!$B$3:$E$511,4,0)</f>
        <v>2000000</v>
      </c>
      <c r="G523" s="47">
        <f t="shared" si="21"/>
        <v>3846.1538461538457</v>
      </c>
    </row>
    <row r="524" spans="1:7" ht="16.5" customHeight="1" x14ac:dyDescent="0.3">
      <c r="A524" s="116">
        <v>19</v>
      </c>
      <c r="B524" s="358" t="s">
        <v>39</v>
      </c>
      <c r="C524" s="73" t="s">
        <v>28</v>
      </c>
      <c r="D524" s="348">
        <f>VLOOKUP(B524,[1]Dcu!$B$3:$D$511,3,0)</f>
        <v>36</v>
      </c>
      <c r="E524" s="244">
        <v>0.4</v>
      </c>
      <c r="F524" s="347">
        <f>VLOOKUP(B524,[1]Dcu!$B$3:$E$511,4,0)</f>
        <v>340000</v>
      </c>
      <c r="G524" s="47">
        <f t="shared" si="21"/>
        <v>145.29914529914529</v>
      </c>
    </row>
    <row r="525" spans="1:7" ht="16.5" customHeight="1" x14ac:dyDescent="0.3">
      <c r="A525" s="116">
        <v>20</v>
      </c>
      <c r="B525" s="358" t="s">
        <v>40</v>
      </c>
      <c r="C525" s="73" t="s">
        <v>28</v>
      </c>
      <c r="D525" s="348">
        <f>VLOOKUP(B525,[1]Dcu!$B$3:$D$511,3,0)</f>
        <v>36</v>
      </c>
      <c r="E525" s="244">
        <v>0.4</v>
      </c>
      <c r="F525" s="347">
        <f>VLOOKUP(B525,[1]Dcu!$B$3:$E$511,4,0)</f>
        <v>700000</v>
      </c>
      <c r="G525" s="47">
        <f t="shared" si="21"/>
        <v>299.14529914529913</v>
      </c>
    </row>
    <row r="526" spans="1:7" ht="16.5" customHeight="1" x14ac:dyDescent="0.3">
      <c r="A526" s="116">
        <v>21</v>
      </c>
      <c r="B526" s="358" t="s">
        <v>41</v>
      </c>
      <c r="C526" s="73" t="s">
        <v>28</v>
      </c>
      <c r="D526" s="348">
        <f>VLOOKUP(B526,[1]Dcu!$B$3:$D$511,3,0)</f>
        <v>36</v>
      </c>
      <c r="E526" s="244">
        <v>0.4</v>
      </c>
      <c r="F526" s="347">
        <f>VLOOKUP(B526,[1]Dcu!$B$3:$E$511,4,0)</f>
        <v>60000</v>
      </c>
      <c r="G526" s="47">
        <f t="shared" si="21"/>
        <v>25.641025641025642</v>
      </c>
    </row>
    <row r="527" spans="1:7" ht="16.5" customHeight="1" x14ac:dyDescent="0.3">
      <c r="A527" s="116">
        <v>22</v>
      </c>
      <c r="B527" s="358" t="s">
        <v>639</v>
      </c>
      <c r="C527" s="73" t="s">
        <v>28</v>
      </c>
      <c r="D527" s="348">
        <f>VLOOKUP(B527,[1]Dcu!$B$3:$D$511,3,0)</f>
        <v>12</v>
      </c>
      <c r="E527" s="244">
        <v>0.5</v>
      </c>
      <c r="F527" s="347">
        <f>VLOOKUP(B527,[1]Dcu!$B$3:$E$511,4,0)</f>
        <v>30000</v>
      </c>
      <c r="G527" s="47">
        <f t="shared" si="21"/>
        <v>48.07692307692308</v>
      </c>
    </row>
    <row r="528" spans="1:7" ht="16.5" customHeight="1" x14ac:dyDescent="0.3">
      <c r="A528" s="116">
        <v>23</v>
      </c>
      <c r="B528" s="358" t="s">
        <v>621</v>
      </c>
      <c r="C528" s="73" t="s">
        <v>76</v>
      </c>
      <c r="D528" s="348">
        <f>VLOOKUP(B528,[1]Dcu!$B$3:$D$511,3,0)</f>
        <v>0.3</v>
      </c>
      <c r="E528" s="244">
        <v>0.2</v>
      </c>
      <c r="F528" s="347">
        <f>VLOOKUP(B528,[1]Dcu!$B$3:$E$511,4,0)</f>
        <v>200000</v>
      </c>
      <c r="G528" s="47">
        <f t="shared" si="21"/>
        <v>5128.2051282051289</v>
      </c>
    </row>
    <row r="529" spans="1:7" ht="16.5" customHeight="1" x14ac:dyDescent="0.3">
      <c r="A529" s="116">
        <v>24</v>
      </c>
      <c r="B529" s="358" t="s">
        <v>43</v>
      </c>
      <c r="C529" s="73" t="s">
        <v>76</v>
      </c>
      <c r="D529" s="348">
        <f>VLOOKUP(B529,[1]Dcu!$B$3:$D$511,3,0)</f>
        <v>0.3</v>
      </c>
      <c r="E529" s="244">
        <v>0.2</v>
      </c>
      <c r="F529" s="347">
        <f>VLOOKUP(B529,[1]Dcu!$B$3:$E$511,4,0)</f>
        <v>400000</v>
      </c>
      <c r="G529" s="47">
        <f t="shared" si="21"/>
        <v>10256.410256410258</v>
      </c>
    </row>
    <row r="530" spans="1:7" ht="16.5" customHeight="1" x14ac:dyDescent="0.3">
      <c r="A530" s="116">
        <v>25</v>
      </c>
      <c r="B530" s="358" t="s">
        <v>44</v>
      </c>
      <c r="C530" s="73" t="s">
        <v>28</v>
      </c>
      <c r="D530" s="348">
        <f>VLOOKUP(B530,[1]Dcu!$B$3:$D$511,3,0)</f>
        <v>60</v>
      </c>
      <c r="E530" s="244">
        <v>6.7000000000000004E-2</v>
      </c>
      <c r="F530" s="347">
        <f>VLOOKUP(B530,[1]Dcu!$B$3:$E$511,4,0)</f>
        <v>500000</v>
      </c>
      <c r="G530" s="47">
        <f t="shared" si="21"/>
        <v>21.474358974358974</v>
      </c>
    </row>
    <row r="531" spans="1:7" ht="16.5" customHeight="1" x14ac:dyDescent="0.3">
      <c r="A531" s="116">
        <v>26</v>
      </c>
      <c r="B531" s="358" t="s">
        <v>45</v>
      </c>
      <c r="C531" s="73" t="s">
        <v>28</v>
      </c>
      <c r="D531" s="348">
        <f>VLOOKUP(B531,[1]Dcu!$B$3:$D$511,3,0)</f>
        <v>60</v>
      </c>
      <c r="E531" s="244">
        <v>6.7000000000000004E-2</v>
      </c>
      <c r="F531" s="347">
        <f>VLOOKUP(B531,[1]Dcu!$B$3:$E$511,4,0)</f>
        <v>250000</v>
      </c>
      <c r="G531" s="47">
        <f t="shared" si="21"/>
        <v>10.737179487179487</v>
      </c>
    </row>
    <row r="532" spans="1:7" ht="16.5" customHeight="1" x14ac:dyDescent="0.3">
      <c r="A532" s="116">
        <v>27</v>
      </c>
      <c r="B532" s="358" t="s">
        <v>46</v>
      </c>
      <c r="C532" s="73" t="s">
        <v>28</v>
      </c>
      <c r="D532" s="348">
        <f>VLOOKUP(B532,[1]Dcu!$B$3:$D$511,3,0)</f>
        <v>60</v>
      </c>
      <c r="E532" s="244">
        <v>3.0000000000000001E-3</v>
      </c>
      <c r="F532" s="347">
        <f>VLOOKUP(B532,[1]Dcu!$B$3:$E$511,4,0)</f>
        <v>1600000</v>
      </c>
      <c r="G532" s="47">
        <f t="shared" si="21"/>
        <v>3.0769230769230771</v>
      </c>
    </row>
    <row r="533" spans="1:7" ht="16.5" customHeight="1" x14ac:dyDescent="0.3">
      <c r="A533" s="116">
        <v>28</v>
      </c>
      <c r="B533" s="358" t="s">
        <v>47</v>
      </c>
      <c r="C533" s="73" t="s">
        <v>28</v>
      </c>
      <c r="D533" s="348">
        <f>VLOOKUP(B533,[1]Dcu!$B$3:$D$511,3,0)</f>
        <v>60</v>
      </c>
      <c r="E533" s="244">
        <v>2.5000000000000001E-2</v>
      </c>
      <c r="F533" s="347">
        <f>VLOOKUP(B533,[1]Dcu!$B$3:$E$511,4,0)</f>
        <v>1500000</v>
      </c>
      <c r="G533" s="47">
        <f t="shared" si="21"/>
        <v>24.03846153846154</v>
      </c>
    </row>
    <row r="534" spans="1:7" ht="16.5" customHeight="1" x14ac:dyDescent="0.3">
      <c r="A534" s="116">
        <v>29</v>
      </c>
      <c r="B534" s="358" t="s">
        <v>48</v>
      </c>
      <c r="C534" s="73" t="s">
        <v>36</v>
      </c>
      <c r="D534" s="348">
        <f>VLOOKUP(B534,[1]Dcu!$B$3:$D$511,3,0)</f>
        <v>36</v>
      </c>
      <c r="E534" s="244">
        <v>0.42</v>
      </c>
      <c r="F534" s="347">
        <f>VLOOKUP(B534,[1]Dcu!$B$3:$E$511,4,0)</f>
        <v>40000</v>
      </c>
      <c r="G534" s="47">
        <f t="shared" si="21"/>
        <v>17.948717948717945</v>
      </c>
    </row>
    <row r="535" spans="1:7" ht="16.5" customHeight="1" x14ac:dyDescent="0.3">
      <c r="A535" s="116">
        <v>30</v>
      </c>
      <c r="B535" s="358" t="s">
        <v>49</v>
      </c>
      <c r="C535" s="73" t="s">
        <v>28</v>
      </c>
      <c r="D535" s="348">
        <f>VLOOKUP(B535,[1]Dcu!$B$3:$D$511,3,0)</f>
        <v>96</v>
      </c>
      <c r="E535" s="244">
        <v>0.1</v>
      </c>
      <c r="F535" s="347">
        <f>VLOOKUP(B535,[1]Dcu!$B$3:$E$511,4,0)</f>
        <v>1000000</v>
      </c>
      <c r="G535" s="47">
        <f t="shared" si="21"/>
        <v>40.064102564102569</v>
      </c>
    </row>
    <row r="536" spans="1:7" ht="16.5" customHeight="1" x14ac:dyDescent="0.3">
      <c r="A536" s="116">
        <v>31</v>
      </c>
      <c r="B536" s="358" t="s">
        <v>50</v>
      </c>
      <c r="C536" s="73" t="s">
        <v>28</v>
      </c>
      <c r="D536" s="348">
        <f>VLOOKUP(B536,[1]Dcu!$B$3:$D$511,3,0)</f>
        <v>96</v>
      </c>
      <c r="E536" s="244">
        <v>0.4</v>
      </c>
      <c r="F536" s="347">
        <f>VLOOKUP(B536,[1]Dcu!$B$3:$E$511,4,0)</f>
        <v>300000</v>
      </c>
      <c r="G536" s="47">
        <f t="shared" si="21"/>
        <v>48.07692307692308</v>
      </c>
    </row>
    <row r="537" spans="1:7" ht="16.5" customHeight="1" x14ac:dyDescent="0.3">
      <c r="A537" s="116">
        <v>32</v>
      </c>
      <c r="B537" s="358" t="s">
        <v>51</v>
      </c>
      <c r="C537" s="73" t="s">
        <v>28</v>
      </c>
      <c r="D537" s="348">
        <f>VLOOKUP(B537,[1]Dcu!$B$3:$D$511,3,0)</f>
        <v>96</v>
      </c>
      <c r="E537" s="244">
        <v>0.4</v>
      </c>
      <c r="F537" s="347">
        <f>VLOOKUP(B537,[1]Dcu!$B$3:$E$511,4,0)</f>
        <v>80000</v>
      </c>
      <c r="G537" s="47">
        <f t="shared" si="21"/>
        <v>12.820512820512821</v>
      </c>
    </row>
    <row r="538" spans="1:7" ht="16.5" customHeight="1" x14ac:dyDescent="0.3">
      <c r="A538" s="116">
        <v>33</v>
      </c>
      <c r="B538" s="358" t="s">
        <v>52</v>
      </c>
      <c r="C538" s="73" t="s">
        <v>53</v>
      </c>
      <c r="D538" s="347"/>
      <c r="E538" s="244">
        <v>0.57899999999999996</v>
      </c>
      <c r="F538" s="347">
        <f>VLOOKUP(B538,[1]Dcu!$B$3:$E$511,4,0)</f>
        <v>1838</v>
      </c>
      <c r="G538" s="47">
        <f>F538*E538</f>
        <v>1064.202</v>
      </c>
    </row>
    <row r="539" spans="1:7" ht="16.5" customHeight="1" x14ac:dyDescent="0.3">
      <c r="A539" s="357" t="s">
        <v>408</v>
      </c>
      <c r="B539" s="500" t="s">
        <v>255</v>
      </c>
      <c r="C539" s="501"/>
      <c r="D539" s="12"/>
      <c r="E539" s="12"/>
      <c r="F539" s="46"/>
      <c r="G539" s="45">
        <f>SUM(G540:G566)*1.05+G567</f>
        <v>24571.800205128202</v>
      </c>
    </row>
    <row r="540" spans="1:7" ht="16.5" customHeight="1" x14ac:dyDescent="0.3">
      <c r="A540" s="10">
        <v>1</v>
      </c>
      <c r="B540" s="49" t="s">
        <v>27</v>
      </c>
      <c r="C540" s="50" t="s">
        <v>28</v>
      </c>
      <c r="D540" s="348">
        <f>VLOOKUP(B540,[1]Dcu!$B$3:$D$511,3,0)</f>
        <v>12</v>
      </c>
      <c r="E540" s="52">
        <v>0.4</v>
      </c>
      <c r="F540" s="347">
        <f>VLOOKUP(B540,[1]Dcu!$B$3:$E$511,4,0)</f>
        <v>100000</v>
      </c>
      <c r="G540" s="47">
        <f t="shared" si="21"/>
        <v>128.2051282051282</v>
      </c>
    </row>
    <row r="541" spans="1:7" ht="16.5" customHeight="1" x14ac:dyDescent="0.3">
      <c r="A541" s="10">
        <v>2</v>
      </c>
      <c r="B541" s="49" t="s">
        <v>62</v>
      </c>
      <c r="C541" s="50" t="s">
        <v>28</v>
      </c>
      <c r="D541" s="348">
        <f>VLOOKUP(B541,[1]Dcu!$B$3:$D$511,3,0)</f>
        <v>12</v>
      </c>
      <c r="E541" s="52">
        <v>0.4</v>
      </c>
      <c r="F541" s="347">
        <f>VLOOKUP(B541,[1]Dcu!$B$3:$E$511,4,0)</f>
        <v>44000</v>
      </c>
      <c r="G541" s="47">
        <f t="shared" si="21"/>
        <v>56.410256410256409</v>
      </c>
    </row>
    <row r="542" spans="1:7" ht="16.5" customHeight="1" x14ac:dyDescent="0.3">
      <c r="A542" s="10">
        <v>3</v>
      </c>
      <c r="B542" s="49" t="s">
        <v>73</v>
      </c>
      <c r="C542" s="50" t="s">
        <v>28</v>
      </c>
      <c r="D542" s="348">
        <f>VLOOKUP(B542,[1]Dcu!$B$3:$D$511,3,0)</f>
        <v>12</v>
      </c>
      <c r="E542" s="52">
        <v>0.4</v>
      </c>
      <c r="F542" s="347">
        <f>VLOOKUP(B542,[1]Dcu!$B$3:$E$511,4,0)</f>
        <v>70000</v>
      </c>
      <c r="G542" s="47">
        <f t="shared" si="21"/>
        <v>89.743589743589752</v>
      </c>
    </row>
    <row r="543" spans="1:7" ht="16.5" customHeight="1" x14ac:dyDescent="0.3">
      <c r="A543" s="10">
        <v>4</v>
      </c>
      <c r="B543" s="49" t="s">
        <v>30</v>
      </c>
      <c r="C543" s="50" t="s">
        <v>28</v>
      </c>
      <c r="D543" s="348">
        <f>VLOOKUP(B543,[1]Dcu!$B$3:$D$511,3,0)</f>
        <v>12</v>
      </c>
      <c r="E543" s="52">
        <v>0.4</v>
      </c>
      <c r="F543" s="347">
        <f>VLOOKUP(B543,[1]Dcu!$B$3:$E$511,4,0)</f>
        <v>3500000</v>
      </c>
      <c r="G543" s="47">
        <f t="shared" si="21"/>
        <v>4487.1794871794873</v>
      </c>
    </row>
    <row r="544" spans="1:7" ht="16.5" customHeight="1" x14ac:dyDescent="0.3">
      <c r="A544" s="10">
        <v>5</v>
      </c>
      <c r="B544" s="49" t="s">
        <v>57</v>
      </c>
      <c r="C544" s="50" t="s">
        <v>28</v>
      </c>
      <c r="D544" s="348">
        <f>VLOOKUP(B544,[1]Dcu!$B$3:$D$511,3,0)</f>
        <v>1</v>
      </c>
      <c r="E544" s="52">
        <v>0.4</v>
      </c>
      <c r="F544" s="347">
        <f>VLOOKUP(B544,[1]Dcu!$B$3:$E$511,4,0)</f>
        <v>3000</v>
      </c>
      <c r="G544" s="47">
        <f t="shared" si="21"/>
        <v>46.15384615384616</v>
      </c>
    </row>
    <row r="545" spans="1:7" ht="16.5" customHeight="1" x14ac:dyDescent="0.3">
      <c r="A545" s="10">
        <v>6</v>
      </c>
      <c r="B545" s="49" t="s">
        <v>84</v>
      </c>
      <c r="C545" s="50" t="s">
        <v>28</v>
      </c>
      <c r="D545" s="348">
        <f>VLOOKUP(B545,[1]Dcu!$B$3:$D$511,3,0)</f>
        <v>12</v>
      </c>
      <c r="E545" s="52">
        <v>0.4</v>
      </c>
      <c r="F545" s="347">
        <f>VLOOKUP(B545,[1]Dcu!$B$3:$E$511,4,0)</f>
        <v>90000</v>
      </c>
      <c r="G545" s="47">
        <f t="shared" si="21"/>
        <v>115.38461538461539</v>
      </c>
    </row>
    <row r="546" spans="1:7" ht="16.5" customHeight="1" x14ac:dyDescent="0.3">
      <c r="A546" s="10">
        <v>7</v>
      </c>
      <c r="B546" s="49" t="s">
        <v>61</v>
      </c>
      <c r="C546" s="50" t="s">
        <v>28</v>
      </c>
      <c r="D546" s="348">
        <f>VLOOKUP(B546,[1]Dcu!$B$3:$D$511,3,0)</f>
        <v>12</v>
      </c>
      <c r="E546" s="52">
        <v>0.4</v>
      </c>
      <c r="F546" s="347">
        <f>VLOOKUP(B546,[1]Dcu!$B$3:$E$511,4,0)</f>
        <v>15000</v>
      </c>
      <c r="G546" s="47">
        <f t="shared" si="21"/>
        <v>19.230769230769234</v>
      </c>
    </row>
    <row r="547" spans="1:7" ht="16.5" customHeight="1" x14ac:dyDescent="0.3">
      <c r="A547" s="10">
        <v>8</v>
      </c>
      <c r="B547" s="49" t="s">
        <v>96</v>
      </c>
      <c r="C547" s="50" t="s">
        <v>28</v>
      </c>
      <c r="D547" s="348">
        <f>VLOOKUP(B547,[1]Dcu!$B$3:$D$511,3,0)</f>
        <v>24</v>
      </c>
      <c r="E547" s="52">
        <v>0.4</v>
      </c>
      <c r="F547" s="347">
        <f>VLOOKUP(B547,[1]Dcu!$B$3:$E$511,4,0)</f>
        <v>15000000</v>
      </c>
      <c r="G547" s="47">
        <f t="shared" si="21"/>
        <v>9615.3846153846152</v>
      </c>
    </row>
    <row r="548" spans="1:7" ht="16.5" customHeight="1" x14ac:dyDescent="0.3">
      <c r="A548" s="10">
        <v>9</v>
      </c>
      <c r="B548" s="49" t="s">
        <v>97</v>
      </c>
      <c r="C548" s="50" t="s">
        <v>28</v>
      </c>
      <c r="D548" s="348">
        <f>VLOOKUP(B548,[1]Dcu!$B$3:$D$511,3,0)</f>
        <v>24</v>
      </c>
      <c r="E548" s="52">
        <v>0.4</v>
      </c>
      <c r="F548" s="347">
        <f>VLOOKUP(B548,[1]Dcu!$B$3:$E$511,4,0)</f>
        <v>4500000</v>
      </c>
      <c r="G548" s="47">
        <f t="shared" si="21"/>
        <v>2884.6153846153848</v>
      </c>
    </row>
    <row r="549" spans="1:7" ht="16.5" customHeight="1" x14ac:dyDescent="0.3">
      <c r="A549" s="10">
        <v>10</v>
      </c>
      <c r="B549" s="49" t="s">
        <v>83</v>
      </c>
      <c r="C549" s="50" t="s">
        <v>28</v>
      </c>
      <c r="D549" s="348">
        <f>VLOOKUP(B549,[1]Dcu!$B$3:$D$511,3,0)</f>
        <v>12</v>
      </c>
      <c r="E549" s="52">
        <v>0.4</v>
      </c>
      <c r="F549" s="347">
        <f>VLOOKUP(B549,[1]Dcu!$B$3:$E$511,4,0)</f>
        <v>1600000</v>
      </c>
      <c r="G549" s="47">
        <f t="shared" si="21"/>
        <v>2051.2820512820513</v>
      </c>
    </row>
    <row r="550" spans="1:7" ht="16.5" customHeight="1" x14ac:dyDescent="0.3">
      <c r="A550" s="10">
        <v>11</v>
      </c>
      <c r="B550" s="49" t="s">
        <v>32</v>
      </c>
      <c r="C550" s="50" t="s">
        <v>28</v>
      </c>
      <c r="D550" s="348">
        <f>VLOOKUP(B550,[1]Dcu!$B$3:$D$511,3,0)</f>
        <v>12</v>
      </c>
      <c r="E550" s="52">
        <v>0.4</v>
      </c>
      <c r="F550" s="347">
        <f>VLOOKUP(B550,[1]Dcu!$B$3:$E$511,4,0)</f>
        <v>85000</v>
      </c>
      <c r="G550" s="47">
        <f t="shared" si="21"/>
        <v>108.97435897435899</v>
      </c>
    </row>
    <row r="551" spans="1:7" ht="16.5" customHeight="1" x14ac:dyDescent="0.3">
      <c r="A551" s="10">
        <v>12</v>
      </c>
      <c r="B551" s="49" t="s">
        <v>55</v>
      </c>
      <c r="C551" s="50" t="s">
        <v>28</v>
      </c>
      <c r="D551" s="348">
        <f>VLOOKUP(B551,[1]Dcu!$B$3:$D$511,3,0)</f>
        <v>12</v>
      </c>
      <c r="E551" s="52">
        <v>0.4</v>
      </c>
      <c r="F551" s="347">
        <f>VLOOKUP(B551,[1]Dcu!$B$3:$E$511,4,0)</f>
        <v>150000</v>
      </c>
      <c r="G551" s="47">
        <f t="shared" si="21"/>
        <v>192.30769230769232</v>
      </c>
    </row>
    <row r="552" spans="1:7" ht="16.5" customHeight="1" x14ac:dyDescent="0.3">
      <c r="A552" s="10">
        <v>13</v>
      </c>
      <c r="B552" s="49" t="s">
        <v>59</v>
      </c>
      <c r="C552" s="50" t="s">
        <v>28</v>
      </c>
      <c r="D552" s="348">
        <f>VLOOKUP(B552,[1]Dcu!$B$3:$D$511,3,0)</f>
        <v>36</v>
      </c>
      <c r="E552" s="52">
        <v>0.4</v>
      </c>
      <c r="F552" s="347">
        <f>VLOOKUP(B552,[1]Dcu!$B$3:$E$511,4,0)</f>
        <v>110000</v>
      </c>
      <c r="G552" s="47">
        <f t="shared" si="21"/>
        <v>47.008547008547012</v>
      </c>
    </row>
    <row r="553" spans="1:7" ht="16.5" customHeight="1" x14ac:dyDescent="0.3">
      <c r="A553" s="10">
        <v>14</v>
      </c>
      <c r="B553" s="49" t="s">
        <v>39</v>
      </c>
      <c r="C553" s="50" t="s">
        <v>28</v>
      </c>
      <c r="D553" s="348">
        <f>VLOOKUP(B553,[1]Dcu!$B$3:$D$511,3,0)</f>
        <v>36</v>
      </c>
      <c r="E553" s="52">
        <v>0.4</v>
      </c>
      <c r="F553" s="347">
        <f>VLOOKUP(B553,[1]Dcu!$B$3:$E$511,4,0)</f>
        <v>340000</v>
      </c>
      <c r="G553" s="47">
        <f t="shared" si="21"/>
        <v>145.29914529914529</v>
      </c>
    </row>
    <row r="554" spans="1:7" ht="16.5" customHeight="1" x14ac:dyDescent="0.3">
      <c r="A554" s="10">
        <v>15</v>
      </c>
      <c r="B554" s="49" t="s">
        <v>40</v>
      </c>
      <c r="C554" s="50" t="s">
        <v>28</v>
      </c>
      <c r="D554" s="348">
        <f>VLOOKUP(B554,[1]Dcu!$B$3:$D$511,3,0)</f>
        <v>36</v>
      </c>
      <c r="E554" s="52">
        <v>0.4</v>
      </c>
      <c r="F554" s="347">
        <f>VLOOKUP(B554,[1]Dcu!$B$3:$E$511,4,0)</f>
        <v>700000</v>
      </c>
      <c r="G554" s="47">
        <f t="shared" si="21"/>
        <v>299.14529914529913</v>
      </c>
    </row>
    <row r="555" spans="1:7" ht="16.5" customHeight="1" x14ac:dyDescent="0.3">
      <c r="A555" s="10">
        <v>16</v>
      </c>
      <c r="B555" s="49" t="s">
        <v>41</v>
      </c>
      <c r="C555" s="50" t="s">
        <v>28</v>
      </c>
      <c r="D555" s="348">
        <f>VLOOKUP(B555,[1]Dcu!$B$3:$D$511,3,0)</f>
        <v>36</v>
      </c>
      <c r="E555" s="52">
        <v>0.4</v>
      </c>
      <c r="F555" s="347">
        <f>VLOOKUP(B555,[1]Dcu!$B$3:$E$511,4,0)</f>
        <v>60000</v>
      </c>
      <c r="G555" s="47">
        <f t="shared" ref="G555:G614" si="22">F555/(D555*26)*E555</f>
        <v>25.641025641025642</v>
      </c>
    </row>
    <row r="556" spans="1:7" ht="16.5" customHeight="1" x14ac:dyDescent="0.3">
      <c r="A556" s="10">
        <v>17</v>
      </c>
      <c r="B556" s="5" t="s">
        <v>639</v>
      </c>
      <c r="C556" s="50" t="s">
        <v>28</v>
      </c>
      <c r="D556" s="348">
        <f>VLOOKUP(B556,[1]Dcu!$B$3:$D$511,3,0)</f>
        <v>12</v>
      </c>
      <c r="E556" s="52">
        <v>0.08</v>
      </c>
      <c r="F556" s="347">
        <f>VLOOKUP(B556,[1]Dcu!$B$3:$E$511,4,0)</f>
        <v>30000</v>
      </c>
      <c r="G556" s="47">
        <f t="shared" si="22"/>
        <v>7.6923076923076934</v>
      </c>
    </row>
    <row r="557" spans="1:7" ht="16.5" customHeight="1" x14ac:dyDescent="0.3">
      <c r="A557" s="10">
        <v>19</v>
      </c>
      <c r="B557" s="12" t="s">
        <v>621</v>
      </c>
      <c r="C557" s="10" t="s">
        <v>76</v>
      </c>
      <c r="D557" s="348">
        <f>VLOOKUP(B557,[1]Dcu!$B$3:$D$511,3,0)</f>
        <v>0.3</v>
      </c>
      <c r="E557" s="10">
        <v>0.02</v>
      </c>
      <c r="F557" s="347">
        <f>VLOOKUP(B557,[1]Dcu!$B$3:$E$511,4,0)</f>
        <v>200000</v>
      </c>
      <c r="G557" s="47">
        <f t="shared" si="22"/>
        <v>512.82051282051282</v>
      </c>
    </row>
    <row r="558" spans="1:7" ht="16.5" customHeight="1" x14ac:dyDescent="0.3">
      <c r="A558" s="10">
        <v>20</v>
      </c>
      <c r="B558" s="49" t="s">
        <v>43</v>
      </c>
      <c r="C558" s="10" t="s">
        <v>76</v>
      </c>
      <c r="D558" s="348">
        <f>VLOOKUP(B558,[1]Dcu!$B$3:$D$511,3,0)</f>
        <v>0.3</v>
      </c>
      <c r="E558" s="10">
        <v>0.02</v>
      </c>
      <c r="F558" s="347">
        <f>VLOOKUP(B558,[1]Dcu!$B$3:$E$511,4,0)</f>
        <v>400000</v>
      </c>
      <c r="G558" s="47">
        <f t="shared" si="22"/>
        <v>1025.6410256410256</v>
      </c>
    </row>
    <row r="559" spans="1:7" ht="16.5" customHeight="1" x14ac:dyDescent="0.3">
      <c r="A559" s="10">
        <v>21</v>
      </c>
      <c r="B559" s="49" t="s">
        <v>44</v>
      </c>
      <c r="C559" s="50" t="s">
        <v>28</v>
      </c>
      <c r="D559" s="348">
        <f>VLOOKUP(B559,[1]Dcu!$B$3:$D$511,3,0)</f>
        <v>60</v>
      </c>
      <c r="E559" s="52">
        <v>0.08</v>
      </c>
      <c r="F559" s="347">
        <f>VLOOKUP(B559,[1]Dcu!$B$3:$E$511,4,0)</f>
        <v>500000</v>
      </c>
      <c r="G559" s="47">
        <f t="shared" si="22"/>
        <v>25.641025641025639</v>
      </c>
    </row>
    <row r="560" spans="1:7" ht="16.5" customHeight="1" x14ac:dyDescent="0.3">
      <c r="A560" s="10">
        <v>22</v>
      </c>
      <c r="B560" s="49" t="s">
        <v>45</v>
      </c>
      <c r="C560" s="50" t="s">
        <v>28</v>
      </c>
      <c r="D560" s="348">
        <f>VLOOKUP(B560,[1]Dcu!$B$3:$D$511,3,0)</f>
        <v>60</v>
      </c>
      <c r="E560" s="52">
        <v>0.08</v>
      </c>
      <c r="F560" s="347">
        <f>VLOOKUP(B560,[1]Dcu!$B$3:$E$511,4,0)</f>
        <v>250000</v>
      </c>
      <c r="G560" s="47">
        <f t="shared" si="22"/>
        <v>12.820512820512819</v>
      </c>
    </row>
    <row r="561" spans="1:7" ht="16.5" customHeight="1" x14ac:dyDescent="0.3">
      <c r="A561" s="10">
        <v>23</v>
      </c>
      <c r="B561" s="49" t="s">
        <v>46</v>
      </c>
      <c r="C561" s="50" t="s">
        <v>28</v>
      </c>
      <c r="D561" s="348">
        <f>VLOOKUP(B561,[1]Dcu!$B$3:$D$511,3,0)</f>
        <v>60</v>
      </c>
      <c r="E561" s="52">
        <v>4.0000000000000001E-3</v>
      </c>
      <c r="F561" s="347">
        <f>VLOOKUP(B561,[1]Dcu!$B$3:$E$511,4,0)</f>
        <v>1600000</v>
      </c>
      <c r="G561" s="47">
        <f t="shared" si="22"/>
        <v>4.1025641025641022</v>
      </c>
    </row>
    <row r="562" spans="1:7" ht="16.5" customHeight="1" x14ac:dyDescent="0.3">
      <c r="A562" s="10">
        <v>24</v>
      </c>
      <c r="B562" s="49" t="s">
        <v>47</v>
      </c>
      <c r="C562" s="50" t="s">
        <v>28</v>
      </c>
      <c r="D562" s="348">
        <f>VLOOKUP(B562,[1]Dcu!$B$3:$D$511,3,0)</f>
        <v>60</v>
      </c>
      <c r="E562" s="52">
        <v>0.03</v>
      </c>
      <c r="F562" s="347">
        <f>VLOOKUP(B562,[1]Dcu!$B$3:$E$511,4,0)</f>
        <v>1500000</v>
      </c>
      <c r="G562" s="47">
        <f t="shared" si="22"/>
        <v>28.846153846153847</v>
      </c>
    </row>
    <row r="563" spans="1:7" ht="16.5" customHeight="1" x14ac:dyDescent="0.3">
      <c r="A563" s="10">
        <v>25</v>
      </c>
      <c r="B563" s="49" t="s">
        <v>48</v>
      </c>
      <c r="C563" s="50" t="s">
        <v>36</v>
      </c>
      <c r="D563" s="348">
        <f>VLOOKUP(B563,[1]Dcu!$B$3:$D$511,3,0)</f>
        <v>36</v>
      </c>
      <c r="E563" s="52">
        <v>0.4</v>
      </c>
      <c r="F563" s="347">
        <f>VLOOKUP(B563,[1]Dcu!$B$3:$E$511,4,0)</f>
        <v>40000</v>
      </c>
      <c r="G563" s="47">
        <f t="shared" si="22"/>
        <v>17.094017094017094</v>
      </c>
    </row>
    <row r="564" spans="1:7" ht="16.5" customHeight="1" x14ac:dyDescent="0.3">
      <c r="A564" s="10">
        <v>26</v>
      </c>
      <c r="B564" s="49" t="s">
        <v>49</v>
      </c>
      <c r="C564" s="50" t="s">
        <v>28</v>
      </c>
      <c r="D564" s="348">
        <f>VLOOKUP(B564,[1]Dcu!$B$3:$D$511,3,0)</f>
        <v>96</v>
      </c>
      <c r="E564" s="52">
        <v>0.12</v>
      </c>
      <c r="F564" s="347">
        <f>VLOOKUP(B564,[1]Dcu!$B$3:$E$511,4,0)</f>
        <v>1000000</v>
      </c>
      <c r="G564" s="47">
        <f t="shared" si="22"/>
        <v>48.076923076923073</v>
      </c>
    </row>
    <row r="565" spans="1:7" ht="16.5" customHeight="1" x14ac:dyDescent="0.3">
      <c r="A565" s="10">
        <v>27</v>
      </c>
      <c r="B565" s="49" t="s">
        <v>50</v>
      </c>
      <c r="C565" s="50" t="s">
        <v>28</v>
      </c>
      <c r="D565" s="348">
        <f>VLOOKUP(B565,[1]Dcu!$B$3:$D$511,3,0)</f>
        <v>96</v>
      </c>
      <c r="E565" s="52">
        <v>0.4</v>
      </c>
      <c r="F565" s="347">
        <f>VLOOKUP(B565,[1]Dcu!$B$3:$E$511,4,0)</f>
        <v>300000</v>
      </c>
      <c r="G565" s="47">
        <f t="shared" si="22"/>
        <v>48.07692307692308</v>
      </c>
    </row>
    <row r="566" spans="1:7" ht="16.5" customHeight="1" x14ac:dyDescent="0.3">
      <c r="A566" s="10">
        <v>28</v>
      </c>
      <c r="B566" s="49" t="s">
        <v>51</v>
      </c>
      <c r="C566" s="50" t="s">
        <v>28</v>
      </c>
      <c r="D566" s="348">
        <f>VLOOKUP(B566,[1]Dcu!$B$3:$D$511,3,0)</f>
        <v>96</v>
      </c>
      <c r="E566" s="52">
        <v>0.4</v>
      </c>
      <c r="F566" s="347">
        <f>VLOOKUP(B566,[1]Dcu!$B$3:$E$511,4,0)</f>
        <v>80000</v>
      </c>
      <c r="G566" s="47">
        <f t="shared" si="22"/>
        <v>12.820512820512821</v>
      </c>
    </row>
    <row r="567" spans="1:7" ht="16.5" customHeight="1" x14ac:dyDescent="0.3">
      <c r="A567" s="10">
        <v>30</v>
      </c>
      <c r="B567" s="49" t="s">
        <v>52</v>
      </c>
      <c r="C567" s="50" t="s">
        <v>53</v>
      </c>
      <c r="D567" s="52"/>
      <c r="E567" s="52">
        <v>0.76900000000000002</v>
      </c>
      <c r="F567" s="347">
        <f>VLOOKUP(B567,[1]Dcu!$B$3:$E$511,4,0)</f>
        <v>1838</v>
      </c>
      <c r="G567" s="47">
        <f>E567*F567</f>
        <v>1413.422</v>
      </c>
    </row>
    <row r="568" spans="1:7" ht="16.5" customHeight="1" x14ac:dyDescent="0.3">
      <c r="A568" s="11" t="s">
        <v>409</v>
      </c>
      <c r="B568" s="502" t="s">
        <v>219</v>
      </c>
      <c r="C568" s="503"/>
      <c r="D568" s="503"/>
      <c r="E568" s="504"/>
      <c r="F568" s="46"/>
      <c r="G568" s="45">
        <f>SUM(G569:G597)*1.05+G598</f>
        <v>25007.954051282046</v>
      </c>
    </row>
    <row r="569" spans="1:7" ht="16.5" customHeight="1" x14ac:dyDescent="0.3">
      <c r="A569" s="10">
        <v>1</v>
      </c>
      <c r="B569" s="49" t="s">
        <v>27</v>
      </c>
      <c r="C569" s="50" t="s">
        <v>28</v>
      </c>
      <c r="D569" s="348">
        <f>VLOOKUP(B569,[1]Dcu!$B$3:$D$511,3,0)</f>
        <v>12</v>
      </c>
      <c r="E569" s="52">
        <v>0.4</v>
      </c>
      <c r="F569" s="347">
        <f>VLOOKUP(B569,[1]Dcu!$B$3:$E$511,4,0)</f>
        <v>100000</v>
      </c>
      <c r="G569" s="47">
        <f t="shared" si="22"/>
        <v>128.2051282051282</v>
      </c>
    </row>
    <row r="570" spans="1:7" ht="16.5" customHeight="1" x14ac:dyDescent="0.3">
      <c r="A570" s="10">
        <v>2</v>
      </c>
      <c r="B570" s="49" t="s">
        <v>62</v>
      </c>
      <c r="C570" s="50" t="s">
        <v>28</v>
      </c>
      <c r="D570" s="348">
        <f>VLOOKUP(B570,[1]Dcu!$B$3:$D$511,3,0)</f>
        <v>12</v>
      </c>
      <c r="E570" s="52">
        <v>0.4</v>
      </c>
      <c r="F570" s="347">
        <f>VLOOKUP(B570,[1]Dcu!$B$3:$E$511,4,0)</f>
        <v>44000</v>
      </c>
      <c r="G570" s="47">
        <f t="shared" si="22"/>
        <v>56.410256410256409</v>
      </c>
    </row>
    <row r="571" spans="1:7" ht="16.5" customHeight="1" x14ac:dyDescent="0.3">
      <c r="A571" s="10">
        <v>3</v>
      </c>
      <c r="B571" s="49" t="s">
        <v>87</v>
      </c>
      <c r="C571" s="50" t="s">
        <v>28</v>
      </c>
      <c r="D571" s="348">
        <f>VLOOKUP(B571,[1]Dcu!$B$3:$D$511,3,0)</f>
        <v>6</v>
      </c>
      <c r="E571" s="52">
        <v>3</v>
      </c>
      <c r="F571" s="347">
        <f>VLOOKUP(B571,[1]Dcu!$B$3:$E$511,4,0)</f>
        <v>15000</v>
      </c>
      <c r="G571" s="47">
        <f t="shared" si="22"/>
        <v>288.46153846153845</v>
      </c>
    </row>
    <row r="572" spans="1:7" ht="16.5" customHeight="1" x14ac:dyDescent="0.3">
      <c r="A572" s="10">
        <v>4</v>
      </c>
      <c r="B572" s="49" t="s">
        <v>89</v>
      </c>
      <c r="C572" s="50" t="s">
        <v>28</v>
      </c>
      <c r="D572" s="348">
        <f>VLOOKUP(B572,[1]Dcu!$B$3:$D$511,3,0)</f>
        <v>3</v>
      </c>
      <c r="E572" s="52">
        <v>1</v>
      </c>
      <c r="F572" s="347">
        <f>VLOOKUP(B572,[1]Dcu!$B$3:$E$511,4,0)</f>
        <v>7500</v>
      </c>
      <c r="G572" s="47">
        <f t="shared" si="22"/>
        <v>96.15384615384616</v>
      </c>
    </row>
    <row r="573" spans="1:7" ht="16.5" customHeight="1" x14ac:dyDescent="0.3">
      <c r="A573" s="10">
        <v>5</v>
      </c>
      <c r="B573" s="49" t="s">
        <v>73</v>
      </c>
      <c r="C573" s="50" t="s">
        <v>28</v>
      </c>
      <c r="D573" s="348">
        <f>VLOOKUP(B573,[1]Dcu!$B$3:$D$511,3,0)</f>
        <v>12</v>
      </c>
      <c r="E573" s="52">
        <v>0.4</v>
      </c>
      <c r="F573" s="347">
        <f>VLOOKUP(B573,[1]Dcu!$B$3:$E$511,4,0)</f>
        <v>70000</v>
      </c>
      <c r="G573" s="47">
        <f t="shared" si="22"/>
        <v>89.743589743589752</v>
      </c>
    </row>
    <row r="574" spans="1:7" ht="16.5" customHeight="1" x14ac:dyDescent="0.3">
      <c r="A574" s="10">
        <v>6</v>
      </c>
      <c r="B574" s="49" t="s">
        <v>30</v>
      </c>
      <c r="C574" s="50" t="s">
        <v>28</v>
      </c>
      <c r="D574" s="348">
        <f>VLOOKUP(B574,[1]Dcu!$B$3:$D$511,3,0)</f>
        <v>12</v>
      </c>
      <c r="E574" s="52">
        <v>0.4</v>
      </c>
      <c r="F574" s="347">
        <f>VLOOKUP(B574,[1]Dcu!$B$3:$E$511,4,0)</f>
        <v>3500000</v>
      </c>
      <c r="G574" s="47">
        <f t="shared" si="22"/>
        <v>4487.1794871794873</v>
      </c>
    </row>
    <row r="575" spans="1:7" ht="16.5" customHeight="1" x14ac:dyDescent="0.3">
      <c r="A575" s="10">
        <v>7</v>
      </c>
      <c r="B575" s="49" t="s">
        <v>57</v>
      </c>
      <c r="C575" s="50" t="s">
        <v>28</v>
      </c>
      <c r="D575" s="348">
        <f>VLOOKUP(B575,[1]Dcu!$B$3:$D$511,3,0)</f>
        <v>1</v>
      </c>
      <c r="E575" s="52">
        <v>0.4</v>
      </c>
      <c r="F575" s="347">
        <f>VLOOKUP(B575,[1]Dcu!$B$3:$E$511,4,0)</f>
        <v>3000</v>
      </c>
      <c r="G575" s="47">
        <f t="shared" si="22"/>
        <v>46.15384615384616</v>
      </c>
    </row>
    <row r="576" spans="1:7" ht="16.5" customHeight="1" x14ac:dyDescent="0.3">
      <c r="A576" s="10">
        <v>8</v>
      </c>
      <c r="B576" s="49" t="s">
        <v>84</v>
      </c>
      <c r="C576" s="50" t="s">
        <v>28</v>
      </c>
      <c r="D576" s="348">
        <f>VLOOKUP(B576,[1]Dcu!$B$3:$D$511,3,0)</f>
        <v>12</v>
      </c>
      <c r="E576" s="52">
        <v>0.4</v>
      </c>
      <c r="F576" s="347">
        <f>VLOOKUP(B576,[1]Dcu!$B$3:$E$511,4,0)</f>
        <v>90000</v>
      </c>
      <c r="G576" s="47">
        <f t="shared" si="22"/>
        <v>115.38461538461539</v>
      </c>
    </row>
    <row r="577" spans="1:7" ht="16.5" customHeight="1" x14ac:dyDescent="0.3">
      <c r="A577" s="10">
        <v>9</v>
      </c>
      <c r="B577" s="49" t="s">
        <v>61</v>
      </c>
      <c r="C577" s="50" t="s">
        <v>28</v>
      </c>
      <c r="D577" s="348">
        <f>VLOOKUP(B577,[1]Dcu!$B$3:$D$511,3,0)</f>
        <v>12</v>
      </c>
      <c r="E577" s="52">
        <v>0.4</v>
      </c>
      <c r="F577" s="347">
        <f>VLOOKUP(B577,[1]Dcu!$B$3:$E$511,4,0)</f>
        <v>15000</v>
      </c>
      <c r="G577" s="47">
        <f t="shared" si="22"/>
        <v>19.230769230769234</v>
      </c>
    </row>
    <row r="578" spans="1:7" ht="16.5" customHeight="1" x14ac:dyDescent="0.3">
      <c r="A578" s="10">
        <v>10</v>
      </c>
      <c r="B578" s="49" t="s">
        <v>96</v>
      </c>
      <c r="C578" s="50" t="s">
        <v>28</v>
      </c>
      <c r="D578" s="348">
        <f>VLOOKUP(B578,[1]Dcu!$B$3:$D$511,3,0)</f>
        <v>24</v>
      </c>
      <c r="E578" s="52">
        <v>0.4</v>
      </c>
      <c r="F578" s="347">
        <f>VLOOKUP(B578,[1]Dcu!$B$3:$E$511,4,0)</f>
        <v>15000000</v>
      </c>
      <c r="G578" s="47">
        <f t="shared" si="22"/>
        <v>9615.3846153846152</v>
      </c>
    </row>
    <row r="579" spans="1:7" ht="16.5" customHeight="1" x14ac:dyDescent="0.3">
      <c r="A579" s="10">
        <v>11</v>
      </c>
      <c r="B579" s="49" t="s">
        <v>97</v>
      </c>
      <c r="C579" s="50" t="s">
        <v>28</v>
      </c>
      <c r="D579" s="348">
        <f>VLOOKUP(B579,[1]Dcu!$B$3:$D$511,3,0)</f>
        <v>24</v>
      </c>
      <c r="E579" s="52">
        <v>0.4</v>
      </c>
      <c r="F579" s="347">
        <f>VLOOKUP(B579,[1]Dcu!$B$3:$E$511,4,0)</f>
        <v>4500000</v>
      </c>
      <c r="G579" s="47">
        <f t="shared" si="22"/>
        <v>2884.6153846153848</v>
      </c>
    </row>
    <row r="580" spans="1:7" ht="16.5" customHeight="1" x14ac:dyDescent="0.3">
      <c r="A580" s="10">
        <v>12</v>
      </c>
      <c r="B580" s="49" t="s">
        <v>83</v>
      </c>
      <c r="C580" s="50" t="s">
        <v>28</v>
      </c>
      <c r="D580" s="348">
        <f>VLOOKUP(B580,[1]Dcu!$B$3:$D$511,3,0)</f>
        <v>12</v>
      </c>
      <c r="E580" s="52">
        <v>0.4</v>
      </c>
      <c r="F580" s="347">
        <f>VLOOKUP(B580,[1]Dcu!$B$3:$E$511,4,0)</f>
        <v>1600000</v>
      </c>
      <c r="G580" s="47">
        <f t="shared" si="22"/>
        <v>2051.2820512820513</v>
      </c>
    </row>
    <row r="581" spans="1:7" ht="16.5" customHeight="1" x14ac:dyDescent="0.3">
      <c r="A581" s="10">
        <v>13</v>
      </c>
      <c r="B581" s="49" t="s">
        <v>32</v>
      </c>
      <c r="C581" s="50" t="s">
        <v>28</v>
      </c>
      <c r="D581" s="348">
        <f>VLOOKUP(B581,[1]Dcu!$B$3:$D$511,3,0)</f>
        <v>12</v>
      </c>
      <c r="E581" s="52">
        <v>0.4</v>
      </c>
      <c r="F581" s="347">
        <f>VLOOKUP(B581,[1]Dcu!$B$3:$E$511,4,0)</f>
        <v>85000</v>
      </c>
      <c r="G581" s="47">
        <f t="shared" si="22"/>
        <v>108.97435897435899</v>
      </c>
    </row>
    <row r="582" spans="1:7" ht="16.5" customHeight="1" x14ac:dyDescent="0.3">
      <c r="A582" s="10">
        <v>14</v>
      </c>
      <c r="B582" s="49" t="s">
        <v>55</v>
      </c>
      <c r="C582" s="50" t="s">
        <v>28</v>
      </c>
      <c r="D582" s="348">
        <f>VLOOKUP(B582,[1]Dcu!$B$3:$D$511,3,0)</f>
        <v>12</v>
      </c>
      <c r="E582" s="52">
        <v>0.4</v>
      </c>
      <c r="F582" s="347">
        <f>VLOOKUP(B582,[1]Dcu!$B$3:$E$511,4,0)</f>
        <v>150000</v>
      </c>
      <c r="G582" s="47">
        <f t="shared" si="22"/>
        <v>192.30769230769232</v>
      </c>
    </row>
    <row r="583" spans="1:7" ht="16.5" customHeight="1" x14ac:dyDescent="0.3">
      <c r="A583" s="10">
        <v>15</v>
      </c>
      <c r="B583" s="49" t="s">
        <v>59</v>
      </c>
      <c r="C583" s="50" t="s">
        <v>28</v>
      </c>
      <c r="D583" s="348">
        <f>VLOOKUP(B583,[1]Dcu!$B$3:$D$511,3,0)</f>
        <v>36</v>
      </c>
      <c r="E583" s="52">
        <v>0.4</v>
      </c>
      <c r="F583" s="347">
        <f>VLOOKUP(B583,[1]Dcu!$B$3:$E$511,4,0)</f>
        <v>110000</v>
      </c>
      <c r="G583" s="47">
        <f t="shared" si="22"/>
        <v>47.008547008547012</v>
      </c>
    </row>
    <row r="584" spans="1:7" ht="16.5" customHeight="1" x14ac:dyDescent="0.3">
      <c r="A584" s="10">
        <v>16</v>
      </c>
      <c r="B584" s="49" t="s">
        <v>39</v>
      </c>
      <c r="C584" s="50" t="s">
        <v>28</v>
      </c>
      <c r="D584" s="348">
        <f>VLOOKUP(B584,[1]Dcu!$B$3:$D$511,3,0)</f>
        <v>36</v>
      </c>
      <c r="E584" s="52">
        <v>0.4</v>
      </c>
      <c r="F584" s="347">
        <f>VLOOKUP(B584,[1]Dcu!$B$3:$E$511,4,0)</f>
        <v>340000</v>
      </c>
      <c r="G584" s="47">
        <f t="shared" si="22"/>
        <v>145.29914529914529</v>
      </c>
    </row>
    <row r="585" spans="1:7" ht="16.5" customHeight="1" x14ac:dyDescent="0.3">
      <c r="A585" s="10">
        <v>17</v>
      </c>
      <c r="B585" s="49" t="s">
        <v>40</v>
      </c>
      <c r="C585" s="50" t="s">
        <v>28</v>
      </c>
      <c r="D585" s="348">
        <f>VLOOKUP(B585,[1]Dcu!$B$3:$D$511,3,0)</f>
        <v>36</v>
      </c>
      <c r="E585" s="52">
        <v>0.4</v>
      </c>
      <c r="F585" s="347">
        <f>VLOOKUP(B585,[1]Dcu!$B$3:$E$511,4,0)</f>
        <v>700000</v>
      </c>
      <c r="G585" s="47">
        <f t="shared" si="22"/>
        <v>299.14529914529913</v>
      </c>
    </row>
    <row r="586" spans="1:7" ht="16.5" customHeight="1" x14ac:dyDescent="0.3">
      <c r="A586" s="10">
        <v>18</v>
      </c>
      <c r="B586" s="49" t="s">
        <v>41</v>
      </c>
      <c r="C586" s="50" t="s">
        <v>28</v>
      </c>
      <c r="D586" s="348">
        <f>VLOOKUP(B586,[1]Dcu!$B$3:$D$511,3,0)</f>
        <v>36</v>
      </c>
      <c r="E586" s="52">
        <v>0.4</v>
      </c>
      <c r="F586" s="347">
        <f>VLOOKUP(B586,[1]Dcu!$B$3:$E$511,4,0)</f>
        <v>60000</v>
      </c>
      <c r="G586" s="47">
        <f t="shared" si="22"/>
        <v>25.641025641025642</v>
      </c>
    </row>
    <row r="587" spans="1:7" ht="16.5" customHeight="1" x14ac:dyDescent="0.3">
      <c r="A587" s="10">
        <v>19</v>
      </c>
      <c r="B587" s="5" t="s">
        <v>639</v>
      </c>
      <c r="C587" s="50" t="s">
        <v>28</v>
      </c>
      <c r="D587" s="348">
        <f>VLOOKUP(B587,[1]Dcu!$B$3:$D$511,3,0)</f>
        <v>12</v>
      </c>
      <c r="E587" s="52">
        <v>0.4</v>
      </c>
      <c r="F587" s="347">
        <f>VLOOKUP(B587,[1]Dcu!$B$3:$E$511,4,0)</f>
        <v>30000</v>
      </c>
      <c r="G587" s="47">
        <f t="shared" si="22"/>
        <v>38.461538461538467</v>
      </c>
    </row>
    <row r="588" spans="1:7" ht="16.5" customHeight="1" x14ac:dyDescent="0.3">
      <c r="A588" s="10">
        <v>21</v>
      </c>
      <c r="B588" s="12" t="s">
        <v>621</v>
      </c>
      <c r="C588" s="10" t="s">
        <v>76</v>
      </c>
      <c r="D588" s="348">
        <f>VLOOKUP(B588,[1]Dcu!$B$3:$D$511,3,0)</f>
        <v>0.3</v>
      </c>
      <c r="E588" s="10">
        <v>0.02</v>
      </c>
      <c r="F588" s="347">
        <f>VLOOKUP(B588,[1]Dcu!$B$3:$E$511,4,0)</f>
        <v>200000</v>
      </c>
      <c r="G588" s="47">
        <f t="shared" si="22"/>
        <v>512.82051282051282</v>
      </c>
    </row>
    <row r="589" spans="1:7" ht="16.5" customHeight="1" x14ac:dyDescent="0.3">
      <c r="A589" s="10">
        <v>22</v>
      </c>
      <c r="B589" s="49" t="s">
        <v>43</v>
      </c>
      <c r="C589" s="10" t="s">
        <v>76</v>
      </c>
      <c r="D589" s="348">
        <f>VLOOKUP(B589,[1]Dcu!$B$3:$D$511,3,0)</f>
        <v>0.3</v>
      </c>
      <c r="E589" s="10">
        <v>0.02</v>
      </c>
      <c r="F589" s="347">
        <f>VLOOKUP(B589,[1]Dcu!$B$3:$E$511,4,0)</f>
        <v>400000</v>
      </c>
      <c r="G589" s="47">
        <f t="shared" si="22"/>
        <v>1025.6410256410256</v>
      </c>
    </row>
    <row r="590" spans="1:7" ht="16.5" customHeight="1" x14ac:dyDescent="0.3">
      <c r="A590" s="10">
        <v>23</v>
      </c>
      <c r="B590" s="49" t="s">
        <v>44</v>
      </c>
      <c r="C590" s="50" t="s">
        <v>28</v>
      </c>
      <c r="D590" s="348">
        <f>VLOOKUP(B590,[1]Dcu!$B$3:$D$511,3,0)</f>
        <v>60</v>
      </c>
      <c r="E590" s="52">
        <v>0.08</v>
      </c>
      <c r="F590" s="347">
        <f>VLOOKUP(B590,[1]Dcu!$B$3:$E$511,4,0)</f>
        <v>500000</v>
      </c>
      <c r="G590" s="47">
        <f t="shared" si="22"/>
        <v>25.641025641025639</v>
      </c>
    </row>
    <row r="591" spans="1:7" ht="16.5" customHeight="1" x14ac:dyDescent="0.3">
      <c r="A591" s="10">
        <v>24</v>
      </c>
      <c r="B591" s="49" t="s">
        <v>45</v>
      </c>
      <c r="C591" s="50" t="s">
        <v>28</v>
      </c>
      <c r="D591" s="348">
        <f>VLOOKUP(B591,[1]Dcu!$B$3:$D$511,3,0)</f>
        <v>60</v>
      </c>
      <c r="E591" s="52">
        <v>0.08</v>
      </c>
      <c r="F591" s="347">
        <f>VLOOKUP(B591,[1]Dcu!$B$3:$E$511,4,0)</f>
        <v>250000</v>
      </c>
      <c r="G591" s="47">
        <f t="shared" si="22"/>
        <v>12.820512820512819</v>
      </c>
    </row>
    <row r="592" spans="1:7" ht="16.5" customHeight="1" x14ac:dyDescent="0.3">
      <c r="A592" s="10">
        <v>25</v>
      </c>
      <c r="B592" s="49" t="s">
        <v>46</v>
      </c>
      <c r="C592" s="50" t="s">
        <v>28</v>
      </c>
      <c r="D592" s="348">
        <f>VLOOKUP(B592,[1]Dcu!$B$3:$D$511,3,0)</f>
        <v>60</v>
      </c>
      <c r="E592" s="52">
        <v>4.0000000000000001E-3</v>
      </c>
      <c r="F592" s="347">
        <f>VLOOKUP(B592,[1]Dcu!$B$3:$E$511,4,0)</f>
        <v>1600000</v>
      </c>
      <c r="G592" s="47">
        <f t="shared" si="22"/>
        <v>4.1025641025641022</v>
      </c>
    </row>
    <row r="593" spans="1:7" ht="16.5" customHeight="1" x14ac:dyDescent="0.3">
      <c r="A593" s="10">
        <v>26</v>
      </c>
      <c r="B593" s="49" t="s">
        <v>47</v>
      </c>
      <c r="C593" s="50" t="s">
        <v>28</v>
      </c>
      <c r="D593" s="348">
        <f>VLOOKUP(B593,[1]Dcu!$B$3:$D$511,3,0)</f>
        <v>60</v>
      </c>
      <c r="E593" s="52">
        <v>0.03</v>
      </c>
      <c r="F593" s="347">
        <f>VLOOKUP(B593,[1]Dcu!$B$3:$E$511,4,0)</f>
        <v>1500000</v>
      </c>
      <c r="G593" s="47">
        <f t="shared" si="22"/>
        <v>28.846153846153847</v>
      </c>
    </row>
    <row r="594" spans="1:7" ht="16.5" customHeight="1" x14ac:dyDescent="0.3">
      <c r="A594" s="10">
        <v>27</v>
      </c>
      <c r="B594" s="49" t="s">
        <v>48</v>
      </c>
      <c r="C594" s="50" t="s">
        <v>36</v>
      </c>
      <c r="D594" s="348">
        <f>VLOOKUP(B594,[1]Dcu!$B$3:$D$511,3,0)</f>
        <v>36</v>
      </c>
      <c r="E594" s="52">
        <v>0.4</v>
      </c>
      <c r="F594" s="347">
        <f>VLOOKUP(B594,[1]Dcu!$B$3:$E$511,4,0)</f>
        <v>40000</v>
      </c>
      <c r="G594" s="47">
        <f t="shared" si="22"/>
        <v>17.094017094017094</v>
      </c>
    </row>
    <row r="595" spans="1:7" ht="16.5" customHeight="1" x14ac:dyDescent="0.3">
      <c r="A595" s="10">
        <v>28</v>
      </c>
      <c r="B595" s="49" t="s">
        <v>49</v>
      </c>
      <c r="C595" s="50" t="s">
        <v>28</v>
      </c>
      <c r="D595" s="348">
        <f>VLOOKUP(B595,[1]Dcu!$B$3:$D$511,3,0)</f>
        <v>96</v>
      </c>
      <c r="E595" s="52">
        <v>0.12</v>
      </c>
      <c r="F595" s="347">
        <f>VLOOKUP(B595,[1]Dcu!$B$3:$E$511,4,0)</f>
        <v>1000000</v>
      </c>
      <c r="G595" s="47">
        <f t="shared" si="22"/>
        <v>48.076923076923073</v>
      </c>
    </row>
    <row r="596" spans="1:7" ht="16.5" customHeight="1" x14ac:dyDescent="0.3">
      <c r="A596" s="10">
        <v>29</v>
      </c>
      <c r="B596" s="49" t="s">
        <v>50</v>
      </c>
      <c r="C596" s="50" t="s">
        <v>28</v>
      </c>
      <c r="D596" s="348">
        <f>VLOOKUP(B596,[1]Dcu!$B$3:$D$511,3,0)</f>
        <v>96</v>
      </c>
      <c r="E596" s="52">
        <v>0.4</v>
      </c>
      <c r="F596" s="347">
        <f>VLOOKUP(B596,[1]Dcu!$B$3:$E$511,4,0)</f>
        <v>300000</v>
      </c>
      <c r="G596" s="47">
        <f t="shared" si="22"/>
        <v>48.07692307692308</v>
      </c>
    </row>
    <row r="597" spans="1:7" ht="16.5" customHeight="1" x14ac:dyDescent="0.3">
      <c r="A597" s="10">
        <v>30</v>
      </c>
      <c r="B597" s="49" t="s">
        <v>51</v>
      </c>
      <c r="C597" s="50" t="s">
        <v>28</v>
      </c>
      <c r="D597" s="348">
        <f>VLOOKUP(B597,[1]Dcu!$B$3:$D$511,3,0)</f>
        <v>96</v>
      </c>
      <c r="E597" s="52">
        <v>0.4</v>
      </c>
      <c r="F597" s="347">
        <f>VLOOKUP(B597,[1]Dcu!$B$3:$E$511,4,0)</f>
        <v>80000</v>
      </c>
      <c r="G597" s="47">
        <f t="shared" si="22"/>
        <v>12.820512820512821</v>
      </c>
    </row>
    <row r="598" spans="1:7" ht="16.5" customHeight="1" x14ac:dyDescent="0.3">
      <c r="A598" s="10">
        <v>32</v>
      </c>
      <c r="B598" s="49" t="s">
        <v>52</v>
      </c>
      <c r="C598" s="50" t="s">
        <v>53</v>
      </c>
      <c r="D598" s="52"/>
      <c r="E598" s="52">
        <v>0.76900000000000002</v>
      </c>
      <c r="F598" s="347">
        <f>VLOOKUP(B598,[1]Dcu!$B$3:$E$511,4,0)</f>
        <v>1838</v>
      </c>
      <c r="G598" s="47">
        <f>E598*F598</f>
        <v>1413.422</v>
      </c>
    </row>
    <row r="599" spans="1:7" ht="16.5" customHeight="1" x14ac:dyDescent="0.3">
      <c r="A599" s="11" t="s">
        <v>410</v>
      </c>
      <c r="B599" s="452" t="s">
        <v>489</v>
      </c>
      <c r="C599" s="453"/>
      <c r="D599" s="453"/>
      <c r="E599" s="454"/>
      <c r="F599" s="46"/>
      <c r="G599" s="45">
        <f>SUM(G600:G628)*1.05+G629</f>
        <v>25007.954051282046</v>
      </c>
    </row>
    <row r="600" spans="1:7" ht="16.5" customHeight="1" x14ac:dyDescent="0.3">
      <c r="A600" s="10">
        <v>1</v>
      </c>
      <c r="B600" s="49" t="s">
        <v>27</v>
      </c>
      <c r="C600" s="50" t="s">
        <v>28</v>
      </c>
      <c r="D600" s="348">
        <f>VLOOKUP(B600,[1]Dcu!$B$3:$D$511,3,0)</f>
        <v>12</v>
      </c>
      <c r="E600" s="52">
        <v>0.4</v>
      </c>
      <c r="F600" s="347">
        <f>VLOOKUP(B600,[1]Dcu!$B$3:$E$511,4,0)</f>
        <v>100000</v>
      </c>
      <c r="G600" s="47">
        <f t="shared" si="22"/>
        <v>128.2051282051282</v>
      </c>
    </row>
    <row r="601" spans="1:7" ht="16.5" customHeight="1" x14ac:dyDescent="0.3">
      <c r="A601" s="10">
        <v>2</v>
      </c>
      <c r="B601" s="49" t="s">
        <v>62</v>
      </c>
      <c r="C601" s="50" t="s">
        <v>28</v>
      </c>
      <c r="D601" s="348">
        <f>VLOOKUP(B601,[1]Dcu!$B$3:$D$511,3,0)</f>
        <v>12</v>
      </c>
      <c r="E601" s="52">
        <v>0.4</v>
      </c>
      <c r="F601" s="347">
        <f>VLOOKUP(B601,[1]Dcu!$B$3:$E$511,4,0)</f>
        <v>44000</v>
      </c>
      <c r="G601" s="47">
        <f t="shared" si="22"/>
        <v>56.410256410256409</v>
      </c>
    </row>
    <row r="602" spans="1:7" ht="16.5" customHeight="1" x14ac:dyDescent="0.3">
      <c r="A602" s="10">
        <v>3</v>
      </c>
      <c r="B602" s="49" t="s">
        <v>87</v>
      </c>
      <c r="C602" s="50" t="s">
        <v>28</v>
      </c>
      <c r="D602" s="348">
        <f>VLOOKUP(B602,[1]Dcu!$B$3:$D$511,3,0)</f>
        <v>6</v>
      </c>
      <c r="E602" s="52">
        <v>3</v>
      </c>
      <c r="F602" s="347">
        <f>VLOOKUP(B602,[1]Dcu!$B$3:$E$511,4,0)</f>
        <v>15000</v>
      </c>
      <c r="G602" s="47">
        <f t="shared" si="22"/>
        <v>288.46153846153845</v>
      </c>
    </row>
    <row r="603" spans="1:7" ht="16.5" customHeight="1" x14ac:dyDescent="0.3">
      <c r="A603" s="10">
        <v>4</v>
      </c>
      <c r="B603" s="49" t="s">
        <v>89</v>
      </c>
      <c r="C603" s="50" t="s">
        <v>28</v>
      </c>
      <c r="D603" s="348">
        <f>VLOOKUP(B603,[1]Dcu!$B$3:$D$511,3,0)</f>
        <v>3</v>
      </c>
      <c r="E603" s="52">
        <v>1</v>
      </c>
      <c r="F603" s="347">
        <f>VLOOKUP(B603,[1]Dcu!$B$3:$E$511,4,0)</f>
        <v>7500</v>
      </c>
      <c r="G603" s="47">
        <f t="shared" si="22"/>
        <v>96.15384615384616</v>
      </c>
    </row>
    <row r="604" spans="1:7" ht="16.5" customHeight="1" x14ac:dyDescent="0.3">
      <c r="A604" s="10">
        <v>5</v>
      </c>
      <c r="B604" s="49" t="s">
        <v>73</v>
      </c>
      <c r="C604" s="50" t="s">
        <v>28</v>
      </c>
      <c r="D604" s="348">
        <f>VLOOKUP(B604,[1]Dcu!$B$3:$D$511,3,0)</f>
        <v>12</v>
      </c>
      <c r="E604" s="52">
        <v>0.4</v>
      </c>
      <c r="F604" s="347">
        <f>VLOOKUP(B604,[1]Dcu!$B$3:$E$511,4,0)</f>
        <v>70000</v>
      </c>
      <c r="G604" s="47">
        <f t="shared" si="22"/>
        <v>89.743589743589752</v>
      </c>
    </row>
    <row r="605" spans="1:7" ht="16.5" customHeight="1" x14ac:dyDescent="0.3">
      <c r="A605" s="10">
        <v>6</v>
      </c>
      <c r="B605" s="49" t="s">
        <v>30</v>
      </c>
      <c r="C605" s="50" t="s">
        <v>28</v>
      </c>
      <c r="D605" s="348">
        <f>VLOOKUP(B605,[1]Dcu!$B$3:$D$511,3,0)</f>
        <v>12</v>
      </c>
      <c r="E605" s="52">
        <v>0.4</v>
      </c>
      <c r="F605" s="347">
        <f>VLOOKUP(B605,[1]Dcu!$B$3:$E$511,4,0)</f>
        <v>3500000</v>
      </c>
      <c r="G605" s="47">
        <f t="shared" si="22"/>
        <v>4487.1794871794873</v>
      </c>
    </row>
    <row r="606" spans="1:7" ht="16.5" customHeight="1" x14ac:dyDescent="0.3">
      <c r="A606" s="10">
        <v>7</v>
      </c>
      <c r="B606" s="49" t="s">
        <v>57</v>
      </c>
      <c r="C606" s="50" t="s">
        <v>28</v>
      </c>
      <c r="D606" s="348">
        <f>VLOOKUP(B606,[1]Dcu!$B$3:$D$511,3,0)</f>
        <v>1</v>
      </c>
      <c r="E606" s="52">
        <v>0.4</v>
      </c>
      <c r="F606" s="347">
        <f>VLOOKUP(B606,[1]Dcu!$B$3:$E$511,4,0)</f>
        <v>3000</v>
      </c>
      <c r="G606" s="47">
        <f t="shared" si="22"/>
        <v>46.15384615384616</v>
      </c>
    </row>
    <row r="607" spans="1:7" ht="16.5" customHeight="1" x14ac:dyDescent="0.3">
      <c r="A607" s="10">
        <v>8</v>
      </c>
      <c r="B607" s="49" t="s">
        <v>84</v>
      </c>
      <c r="C607" s="50" t="s">
        <v>28</v>
      </c>
      <c r="D607" s="348">
        <f>VLOOKUP(B607,[1]Dcu!$B$3:$D$511,3,0)</f>
        <v>12</v>
      </c>
      <c r="E607" s="52">
        <v>0.4</v>
      </c>
      <c r="F607" s="347">
        <f>VLOOKUP(B607,[1]Dcu!$B$3:$E$511,4,0)</f>
        <v>90000</v>
      </c>
      <c r="G607" s="47">
        <f t="shared" si="22"/>
        <v>115.38461538461539</v>
      </c>
    </row>
    <row r="608" spans="1:7" ht="16.5" customHeight="1" x14ac:dyDescent="0.3">
      <c r="A608" s="10">
        <v>9</v>
      </c>
      <c r="B608" s="49" t="s">
        <v>61</v>
      </c>
      <c r="C608" s="50" t="s">
        <v>28</v>
      </c>
      <c r="D608" s="348">
        <f>VLOOKUP(B608,[1]Dcu!$B$3:$D$511,3,0)</f>
        <v>12</v>
      </c>
      <c r="E608" s="52">
        <v>0.4</v>
      </c>
      <c r="F608" s="347">
        <f>VLOOKUP(B608,[1]Dcu!$B$3:$E$511,4,0)</f>
        <v>15000</v>
      </c>
      <c r="G608" s="47">
        <f t="shared" si="22"/>
        <v>19.230769230769234</v>
      </c>
    </row>
    <row r="609" spans="1:7" ht="16.5" customHeight="1" x14ac:dyDescent="0.3">
      <c r="A609" s="10">
        <v>10</v>
      </c>
      <c r="B609" s="57" t="s">
        <v>32</v>
      </c>
      <c r="C609" s="58" t="s">
        <v>28</v>
      </c>
      <c r="D609" s="348">
        <f>VLOOKUP(B609,[1]Dcu!$B$3:$D$511,3,0)</f>
        <v>12</v>
      </c>
      <c r="E609" s="59">
        <v>0.4</v>
      </c>
      <c r="F609" s="347">
        <f>VLOOKUP(B609,[1]Dcu!$B$3:$E$511,4,0)</f>
        <v>85000</v>
      </c>
      <c r="G609" s="47">
        <f t="shared" si="22"/>
        <v>108.97435897435899</v>
      </c>
    </row>
    <row r="610" spans="1:7" ht="16.5" customHeight="1" x14ac:dyDescent="0.3">
      <c r="A610" s="10">
        <v>11</v>
      </c>
      <c r="B610" s="60" t="s">
        <v>96</v>
      </c>
      <c r="C610" s="61" t="s">
        <v>28</v>
      </c>
      <c r="D610" s="348">
        <f>VLOOKUP(B610,[1]Dcu!$B$3:$D$511,3,0)</f>
        <v>24</v>
      </c>
      <c r="E610" s="61">
        <v>0.4</v>
      </c>
      <c r="F610" s="347">
        <f>VLOOKUP(B610,[1]Dcu!$B$3:$E$511,4,0)</f>
        <v>15000000</v>
      </c>
      <c r="G610" s="47">
        <f t="shared" si="22"/>
        <v>9615.3846153846152</v>
      </c>
    </row>
    <row r="611" spans="1:7" ht="16.5" customHeight="1" x14ac:dyDescent="0.3">
      <c r="A611" s="10">
        <v>12</v>
      </c>
      <c r="B611" s="60" t="s">
        <v>97</v>
      </c>
      <c r="C611" s="61" t="s">
        <v>28</v>
      </c>
      <c r="D611" s="348">
        <f>VLOOKUP(B611,[1]Dcu!$B$3:$D$511,3,0)</f>
        <v>24</v>
      </c>
      <c r="E611" s="61">
        <v>0.4</v>
      </c>
      <c r="F611" s="347">
        <f>VLOOKUP(B611,[1]Dcu!$B$3:$E$511,4,0)</f>
        <v>4500000</v>
      </c>
      <c r="G611" s="47">
        <f t="shared" si="22"/>
        <v>2884.6153846153848</v>
      </c>
    </row>
    <row r="612" spans="1:7" ht="16.5" customHeight="1" x14ac:dyDescent="0.3">
      <c r="A612" s="10">
        <v>13</v>
      </c>
      <c r="B612" s="60" t="s">
        <v>83</v>
      </c>
      <c r="C612" s="61" t="s">
        <v>28</v>
      </c>
      <c r="D612" s="348">
        <f>VLOOKUP(B612,[1]Dcu!$B$3:$D$511,3,0)</f>
        <v>12</v>
      </c>
      <c r="E612" s="61">
        <v>0.4</v>
      </c>
      <c r="F612" s="347">
        <f>VLOOKUP(B612,[1]Dcu!$B$3:$E$511,4,0)</f>
        <v>1600000</v>
      </c>
      <c r="G612" s="47">
        <f t="shared" si="22"/>
        <v>2051.2820512820513</v>
      </c>
    </row>
    <row r="613" spans="1:7" ht="16.5" customHeight="1" x14ac:dyDescent="0.3">
      <c r="A613" s="10">
        <v>14</v>
      </c>
      <c r="B613" s="62" t="s">
        <v>55</v>
      </c>
      <c r="C613" s="63" t="s">
        <v>28</v>
      </c>
      <c r="D613" s="348">
        <f>VLOOKUP(B613,[1]Dcu!$B$3:$D$511,3,0)</f>
        <v>12</v>
      </c>
      <c r="E613" s="64">
        <v>0.4</v>
      </c>
      <c r="F613" s="347">
        <f>VLOOKUP(B613,[1]Dcu!$B$3:$E$511,4,0)</f>
        <v>150000</v>
      </c>
      <c r="G613" s="47">
        <f t="shared" si="22"/>
        <v>192.30769230769232</v>
      </c>
    </row>
    <row r="614" spans="1:7" ht="16.5" customHeight="1" x14ac:dyDescent="0.3">
      <c r="A614" s="10">
        <v>15</v>
      </c>
      <c r="B614" s="49" t="s">
        <v>59</v>
      </c>
      <c r="C614" s="50" t="s">
        <v>28</v>
      </c>
      <c r="D614" s="348">
        <f>VLOOKUP(B614,[1]Dcu!$B$3:$D$511,3,0)</f>
        <v>36</v>
      </c>
      <c r="E614" s="52">
        <v>0.4</v>
      </c>
      <c r="F614" s="347">
        <f>VLOOKUP(B614,[1]Dcu!$B$3:$E$511,4,0)</f>
        <v>110000</v>
      </c>
      <c r="G614" s="47">
        <f t="shared" si="22"/>
        <v>47.008547008547012</v>
      </c>
    </row>
    <row r="615" spans="1:7" ht="16.5" customHeight="1" x14ac:dyDescent="0.3">
      <c r="A615" s="10">
        <v>16</v>
      </c>
      <c r="B615" s="49" t="s">
        <v>39</v>
      </c>
      <c r="C615" s="50" t="s">
        <v>28</v>
      </c>
      <c r="D615" s="348">
        <f>VLOOKUP(B615,[1]Dcu!$B$3:$D$511,3,0)</f>
        <v>36</v>
      </c>
      <c r="E615" s="52">
        <v>0.4</v>
      </c>
      <c r="F615" s="347">
        <f>VLOOKUP(B615,[1]Dcu!$B$3:$E$511,4,0)</f>
        <v>340000</v>
      </c>
      <c r="G615" s="47">
        <f t="shared" ref="G615:G802" si="23">F615/(D615*26)*E615</f>
        <v>145.29914529914529</v>
      </c>
    </row>
    <row r="616" spans="1:7" ht="16.5" customHeight="1" x14ac:dyDescent="0.3">
      <c r="A616" s="10">
        <v>17</v>
      </c>
      <c r="B616" s="49" t="s">
        <v>40</v>
      </c>
      <c r="C616" s="50" t="s">
        <v>28</v>
      </c>
      <c r="D616" s="348">
        <f>VLOOKUP(B616,[1]Dcu!$B$3:$D$511,3,0)</f>
        <v>36</v>
      </c>
      <c r="E616" s="52">
        <v>0.4</v>
      </c>
      <c r="F616" s="347">
        <f>VLOOKUP(B616,[1]Dcu!$B$3:$E$511,4,0)</f>
        <v>700000</v>
      </c>
      <c r="G616" s="47">
        <f t="shared" si="23"/>
        <v>299.14529914529913</v>
      </c>
    </row>
    <row r="617" spans="1:7" ht="16.5" customHeight="1" x14ac:dyDescent="0.3">
      <c r="A617" s="10">
        <v>18</v>
      </c>
      <c r="B617" s="49" t="s">
        <v>41</v>
      </c>
      <c r="C617" s="50" t="s">
        <v>28</v>
      </c>
      <c r="D617" s="348">
        <f>VLOOKUP(B617,[1]Dcu!$B$3:$D$511,3,0)</f>
        <v>36</v>
      </c>
      <c r="E617" s="52">
        <v>0.4</v>
      </c>
      <c r="F617" s="347">
        <f>VLOOKUP(B617,[1]Dcu!$B$3:$E$511,4,0)</f>
        <v>60000</v>
      </c>
      <c r="G617" s="47">
        <f t="shared" si="23"/>
        <v>25.641025641025642</v>
      </c>
    </row>
    <row r="618" spans="1:7" ht="16.5" customHeight="1" x14ac:dyDescent="0.3">
      <c r="A618" s="10">
        <v>19</v>
      </c>
      <c r="B618" s="5" t="s">
        <v>639</v>
      </c>
      <c r="C618" s="50" t="s">
        <v>28</v>
      </c>
      <c r="D618" s="348">
        <f>VLOOKUP(B618,[1]Dcu!$B$3:$D$511,3,0)</f>
        <v>12</v>
      </c>
      <c r="E618" s="52">
        <v>0.4</v>
      </c>
      <c r="F618" s="347">
        <f>VLOOKUP(B618,[1]Dcu!$B$3:$E$511,4,0)</f>
        <v>30000</v>
      </c>
      <c r="G618" s="47">
        <f t="shared" si="23"/>
        <v>38.461538461538467</v>
      </c>
    </row>
    <row r="619" spans="1:7" ht="16.5" customHeight="1" x14ac:dyDescent="0.3">
      <c r="A619" s="10">
        <v>21</v>
      </c>
      <c r="B619" s="12" t="s">
        <v>621</v>
      </c>
      <c r="C619" s="10" t="s">
        <v>76</v>
      </c>
      <c r="D619" s="348">
        <f>VLOOKUP(B619,[1]Dcu!$B$3:$D$511,3,0)</f>
        <v>0.3</v>
      </c>
      <c r="E619" s="10">
        <v>0.02</v>
      </c>
      <c r="F619" s="347">
        <f>VLOOKUP(B619,[1]Dcu!$B$3:$E$511,4,0)</f>
        <v>200000</v>
      </c>
      <c r="G619" s="47">
        <f t="shared" si="23"/>
        <v>512.82051282051282</v>
      </c>
    </row>
    <row r="620" spans="1:7" ht="16.5" customHeight="1" x14ac:dyDescent="0.3">
      <c r="A620" s="10">
        <v>22</v>
      </c>
      <c r="B620" s="49" t="s">
        <v>43</v>
      </c>
      <c r="C620" s="10" t="s">
        <v>76</v>
      </c>
      <c r="D620" s="348">
        <f>VLOOKUP(B620,[1]Dcu!$B$3:$D$511,3,0)</f>
        <v>0.3</v>
      </c>
      <c r="E620" s="10">
        <v>0.02</v>
      </c>
      <c r="F620" s="347">
        <f>VLOOKUP(B620,[1]Dcu!$B$3:$E$511,4,0)</f>
        <v>400000</v>
      </c>
      <c r="G620" s="47">
        <f t="shared" si="23"/>
        <v>1025.6410256410256</v>
      </c>
    </row>
    <row r="621" spans="1:7" ht="16.5" customHeight="1" x14ac:dyDescent="0.3">
      <c r="A621" s="10">
        <v>23</v>
      </c>
      <c r="B621" s="49" t="s">
        <v>44</v>
      </c>
      <c r="C621" s="50" t="s">
        <v>28</v>
      </c>
      <c r="D621" s="348">
        <f>VLOOKUP(B621,[1]Dcu!$B$3:$D$511,3,0)</f>
        <v>60</v>
      </c>
      <c r="E621" s="52">
        <v>0.08</v>
      </c>
      <c r="F621" s="347">
        <f>VLOOKUP(B621,[1]Dcu!$B$3:$E$511,4,0)</f>
        <v>500000</v>
      </c>
      <c r="G621" s="47">
        <f t="shared" si="23"/>
        <v>25.641025641025639</v>
      </c>
    </row>
    <row r="622" spans="1:7" ht="16.5" customHeight="1" x14ac:dyDescent="0.3">
      <c r="A622" s="10">
        <v>24</v>
      </c>
      <c r="B622" s="49" t="s">
        <v>45</v>
      </c>
      <c r="C622" s="50" t="s">
        <v>28</v>
      </c>
      <c r="D622" s="348">
        <f>VLOOKUP(B622,[1]Dcu!$B$3:$D$511,3,0)</f>
        <v>60</v>
      </c>
      <c r="E622" s="52">
        <v>0.08</v>
      </c>
      <c r="F622" s="347">
        <f>VLOOKUP(B622,[1]Dcu!$B$3:$E$511,4,0)</f>
        <v>250000</v>
      </c>
      <c r="G622" s="47">
        <f t="shared" si="23"/>
        <v>12.820512820512819</v>
      </c>
    </row>
    <row r="623" spans="1:7" ht="16.5" customHeight="1" x14ac:dyDescent="0.3">
      <c r="A623" s="10">
        <v>25</v>
      </c>
      <c r="B623" s="49" t="s">
        <v>46</v>
      </c>
      <c r="C623" s="50" t="s">
        <v>28</v>
      </c>
      <c r="D623" s="348">
        <f>VLOOKUP(B623,[1]Dcu!$B$3:$D$511,3,0)</f>
        <v>60</v>
      </c>
      <c r="E623" s="52">
        <v>4.0000000000000001E-3</v>
      </c>
      <c r="F623" s="347">
        <f>VLOOKUP(B623,[1]Dcu!$B$3:$E$511,4,0)</f>
        <v>1600000</v>
      </c>
      <c r="G623" s="47">
        <f t="shared" si="23"/>
        <v>4.1025641025641022</v>
      </c>
    </row>
    <row r="624" spans="1:7" ht="16.5" customHeight="1" x14ac:dyDescent="0.3">
      <c r="A624" s="10">
        <v>26</v>
      </c>
      <c r="B624" s="49" t="s">
        <v>47</v>
      </c>
      <c r="C624" s="50" t="s">
        <v>28</v>
      </c>
      <c r="D624" s="348">
        <f>VLOOKUP(B624,[1]Dcu!$B$3:$D$511,3,0)</f>
        <v>60</v>
      </c>
      <c r="E624" s="52">
        <v>0.03</v>
      </c>
      <c r="F624" s="347">
        <f>VLOOKUP(B624,[1]Dcu!$B$3:$E$511,4,0)</f>
        <v>1500000</v>
      </c>
      <c r="G624" s="47">
        <f t="shared" si="23"/>
        <v>28.846153846153847</v>
      </c>
    </row>
    <row r="625" spans="1:7" ht="16.5" customHeight="1" x14ac:dyDescent="0.3">
      <c r="A625" s="10">
        <v>27</v>
      </c>
      <c r="B625" s="49" t="s">
        <v>48</v>
      </c>
      <c r="C625" s="50" t="s">
        <v>36</v>
      </c>
      <c r="D625" s="348">
        <f>VLOOKUP(B625,[1]Dcu!$B$3:$D$511,3,0)</f>
        <v>36</v>
      </c>
      <c r="E625" s="52">
        <v>0.4</v>
      </c>
      <c r="F625" s="347">
        <f>VLOOKUP(B625,[1]Dcu!$B$3:$E$511,4,0)</f>
        <v>40000</v>
      </c>
      <c r="G625" s="47">
        <f t="shared" si="23"/>
        <v>17.094017094017094</v>
      </c>
    </row>
    <row r="626" spans="1:7" ht="16.5" customHeight="1" x14ac:dyDescent="0.3">
      <c r="A626" s="10">
        <v>28</v>
      </c>
      <c r="B626" s="49" t="s">
        <v>49</v>
      </c>
      <c r="C626" s="50" t="s">
        <v>28</v>
      </c>
      <c r="D626" s="348">
        <f>VLOOKUP(B626,[1]Dcu!$B$3:$D$511,3,0)</f>
        <v>96</v>
      </c>
      <c r="E626" s="52">
        <v>0.12</v>
      </c>
      <c r="F626" s="347">
        <f>VLOOKUP(B626,[1]Dcu!$B$3:$E$511,4,0)</f>
        <v>1000000</v>
      </c>
      <c r="G626" s="47">
        <f t="shared" si="23"/>
        <v>48.076923076923073</v>
      </c>
    </row>
    <row r="627" spans="1:7" ht="16.5" customHeight="1" x14ac:dyDescent="0.3">
      <c r="A627" s="10">
        <v>29</v>
      </c>
      <c r="B627" s="49" t="s">
        <v>50</v>
      </c>
      <c r="C627" s="50" t="s">
        <v>28</v>
      </c>
      <c r="D627" s="348">
        <f>VLOOKUP(B627,[1]Dcu!$B$3:$D$511,3,0)</f>
        <v>96</v>
      </c>
      <c r="E627" s="52">
        <v>0.4</v>
      </c>
      <c r="F627" s="347">
        <f>VLOOKUP(B627,[1]Dcu!$B$3:$E$511,4,0)</f>
        <v>300000</v>
      </c>
      <c r="G627" s="47">
        <f t="shared" si="23"/>
        <v>48.07692307692308</v>
      </c>
    </row>
    <row r="628" spans="1:7" ht="16.5" customHeight="1" x14ac:dyDescent="0.3">
      <c r="A628" s="10">
        <v>30</v>
      </c>
      <c r="B628" s="49" t="s">
        <v>51</v>
      </c>
      <c r="C628" s="50" t="s">
        <v>28</v>
      </c>
      <c r="D628" s="348">
        <f>VLOOKUP(B628,[1]Dcu!$B$3:$D$511,3,0)</f>
        <v>96</v>
      </c>
      <c r="E628" s="52">
        <v>0.4</v>
      </c>
      <c r="F628" s="347">
        <f>VLOOKUP(B628,[1]Dcu!$B$3:$E$511,4,0)</f>
        <v>80000</v>
      </c>
      <c r="G628" s="47">
        <f t="shared" si="23"/>
        <v>12.820512820512821</v>
      </c>
    </row>
    <row r="629" spans="1:7" ht="16.5" customHeight="1" x14ac:dyDescent="0.3">
      <c r="A629" s="10">
        <v>32</v>
      </c>
      <c r="B629" s="49" t="s">
        <v>52</v>
      </c>
      <c r="C629" s="50" t="s">
        <v>53</v>
      </c>
      <c r="D629" s="52"/>
      <c r="E629" s="52">
        <v>0.76900000000000002</v>
      </c>
      <c r="F629" s="347">
        <f>VLOOKUP(B629,[1]Dcu!$B$3:$E$511,4,0)</f>
        <v>1838</v>
      </c>
      <c r="G629" s="47">
        <f>F629*E629</f>
        <v>1413.422</v>
      </c>
    </row>
    <row r="630" spans="1:7" ht="16.5" customHeight="1" x14ac:dyDescent="0.3">
      <c r="A630" s="11" t="s">
        <v>411</v>
      </c>
      <c r="B630" s="452" t="s">
        <v>488</v>
      </c>
      <c r="C630" s="453"/>
      <c r="D630" s="454"/>
      <c r="E630" s="4"/>
      <c r="F630" s="46"/>
      <c r="G630" s="45">
        <f>SUM(G631:G653)*1.05+G654</f>
        <v>18776.327448717944</v>
      </c>
    </row>
    <row r="631" spans="1:7" ht="16.5" customHeight="1" x14ac:dyDescent="0.3">
      <c r="A631" s="10">
        <v>1</v>
      </c>
      <c r="B631" s="49" t="s">
        <v>27</v>
      </c>
      <c r="C631" s="50" t="s">
        <v>28</v>
      </c>
      <c r="D631" s="348">
        <f>VLOOKUP(B631,[1]Dcu!$B$3:$D$511,3,0)</f>
        <v>12</v>
      </c>
      <c r="E631" s="52">
        <v>0.5</v>
      </c>
      <c r="F631" s="347">
        <f>VLOOKUP(B631,[1]Dcu!$B$3:$E$511,4,0)</f>
        <v>100000</v>
      </c>
      <c r="G631" s="47">
        <f t="shared" si="23"/>
        <v>160.25641025641025</v>
      </c>
    </row>
    <row r="632" spans="1:7" ht="16.5" customHeight="1" x14ac:dyDescent="0.3">
      <c r="A632" s="10">
        <v>2</v>
      </c>
      <c r="B632" s="49" t="s">
        <v>30</v>
      </c>
      <c r="C632" s="50" t="s">
        <v>28</v>
      </c>
      <c r="D632" s="348">
        <f>VLOOKUP(B632,[1]Dcu!$B$3:$D$511,3,0)</f>
        <v>12</v>
      </c>
      <c r="E632" s="52">
        <v>0.5</v>
      </c>
      <c r="F632" s="347">
        <f>VLOOKUP(B632,[1]Dcu!$B$3:$E$511,4,0)</f>
        <v>3500000</v>
      </c>
      <c r="G632" s="47">
        <f t="shared" si="23"/>
        <v>5608.9743589743593</v>
      </c>
    </row>
    <row r="633" spans="1:7" ht="16.5" customHeight="1" x14ac:dyDescent="0.3">
      <c r="A633" s="10">
        <v>3</v>
      </c>
      <c r="B633" s="49" t="s">
        <v>73</v>
      </c>
      <c r="C633" s="50" t="s">
        <v>28</v>
      </c>
      <c r="D633" s="348">
        <f>VLOOKUP(B633,[1]Dcu!$B$3:$D$511,3,0)</f>
        <v>12</v>
      </c>
      <c r="E633" s="52">
        <v>0.5</v>
      </c>
      <c r="F633" s="347">
        <f>VLOOKUP(B633,[1]Dcu!$B$3:$E$511,4,0)</f>
        <v>70000</v>
      </c>
      <c r="G633" s="47">
        <f t="shared" si="23"/>
        <v>112.17948717948718</v>
      </c>
    </row>
    <row r="634" spans="1:7" ht="16.5" customHeight="1" x14ac:dyDescent="0.3">
      <c r="A634" s="10">
        <v>4</v>
      </c>
      <c r="B634" s="49" t="s">
        <v>57</v>
      </c>
      <c r="C634" s="50" t="s">
        <v>28</v>
      </c>
      <c r="D634" s="348">
        <f>VLOOKUP(B634,[1]Dcu!$B$3:$D$511,3,0)</f>
        <v>1</v>
      </c>
      <c r="E634" s="52">
        <v>0.5</v>
      </c>
      <c r="F634" s="347">
        <f>VLOOKUP(B634,[1]Dcu!$B$3:$E$511,4,0)</f>
        <v>3000</v>
      </c>
      <c r="G634" s="47">
        <f t="shared" si="23"/>
        <v>57.692307692307693</v>
      </c>
    </row>
    <row r="635" spans="1:7" ht="16.5" customHeight="1" x14ac:dyDescent="0.3">
      <c r="A635" s="10">
        <v>5</v>
      </c>
      <c r="B635" s="49" t="s">
        <v>31</v>
      </c>
      <c r="C635" s="50" t="s">
        <v>28</v>
      </c>
      <c r="D635" s="348">
        <f>VLOOKUP(B635,[1]Dcu!$B$3:$D$511,3,0)</f>
        <v>1</v>
      </c>
      <c r="E635" s="52">
        <v>0.5</v>
      </c>
      <c r="F635" s="347">
        <f>VLOOKUP(B635,[1]Dcu!$B$3:$E$511,4,0)</f>
        <v>3000</v>
      </c>
      <c r="G635" s="47">
        <f t="shared" si="23"/>
        <v>57.692307692307693</v>
      </c>
    </row>
    <row r="636" spans="1:7" ht="16.5" customHeight="1" x14ac:dyDescent="0.3">
      <c r="A636" s="10">
        <v>6</v>
      </c>
      <c r="B636" s="49" t="s">
        <v>59</v>
      </c>
      <c r="C636" s="50" t="s">
        <v>28</v>
      </c>
      <c r="D636" s="348">
        <f>VLOOKUP(B636,[1]Dcu!$B$3:$D$511,3,0)</f>
        <v>36</v>
      </c>
      <c r="E636" s="52">
        <v>0.5</v>
      </c>
      <c r="F636" s="347">
        <f>VLOOKUP(B636,[1]Dcu!$B$3:$E$511,4,0)</f>
        <v>110000</v>
      </c>
      <c r="G636" s="47">
        <f t="shared" si="23"/>
        <v>58.760683760683762</v>
      </c>
    </row>
    <row r="637" spans="1:7" ht="16.5" customHeight="1" x14ac:dyDescent="0.3">
      <c r="A637" s="10">
        <v>7</v>
      </c>
      <c r="B637" s="49" t="s">
        <v>101</v>
      </c>
      <c r="C637" s="50" t="s">
        <v>28</v>
      </c>
      <c r="D637" s="348">
        <f>VLOOKUP(B637,[1]Dcu!$B$3:$D$511,3,0)</f>
        <v>12</v>
      </c>
      <c r="E637" s="52">
        <v>0.5</v>
      </c>
      <c r="F637" s="347">
        <f>VLOOKUP(B637,[1]Dcu!$B$3:$E$511,4,0)</f>
        <v>4900000</v>
      </c>
      <c r="G637" s="47">
        <f t="shared" si="23"/>
        <v>7852.5641025641025</v>
      </c>
    </row>
    <row r="638" spans="1:7" ht="16.5" customHeight="1" x14ac:dyDescent="0.3">
      <c r="A638" s="10">
        <v>8</v>
      </c>
      <c r="B638" s="49" t="s">
        <v>32</v>
      </c>
      <c r="C638" s="50" t="s">
        <v>28</v>
      </c>
      <c r="D638" s="348">
        <f>VLOOKUP(B638,[1]Dcu!$B$3:$D$511,3,0)</f>
        <v>12</v>
      </c>
      <c r="E638" s="52">
        <v>0.5</v>
      </c>
      <c r="F638" s="347">
        <f>VLOOKUP(B638,[1]Dcu!$B$3:$E$511,4,0)</f>
        <v>85000</v>
      </c>
      <c r="G638" s="47">
        <f t="shared" si="23"/>
        <v>136.21794871794873</v>
      </c>
    </row>
    <row r="639" spans="1:7" ht="16.5" customHeight="1" x14ac:dyDescent="0.3">
      <c r="A639" s="10">
        <v>9</v>
      </c>
      <c r="B639" s="49" t="s">
        <v>33</v>
      </c>
      <c r="C639" s="50" t="s">
        <v>28</v>
      </c>
      <c r="D639" s="348">
        <f>VLOOKUP(B639,[1]Dcu!$B$3:$D$511,3,0)</f>
        <v>12</v>
      </c>
      <c r="E639" s="52">
        <v>0.5</v>
      </c>
      <c r="F639" s="347">
        <f>VLOOKUP(B639,[1]Dcu!$B$3:$E$511,4,0)</f>
        <v>88000</v>
      </c>
      <c r="G639" s="47">
        <f t="shared" si="23"/>
        <v>141.02564102564102</v>
      </c>
    </row>
    <row r="640" spans="1:7" ht="16.5" customHeight="1" x14ac:dyDescent="0.3">
      <c r="A640" s="10">
        <v>10</v>
      </c>
      <c r="B640" s="49" t="s">
        <v>39</v>
      </c>
      <c r="C640" s="50" t="s">
        <v>28</v>
      </c>
      <c r="D640" s="348">
        <f>VLOOKUP(B640,[1]Dcu!$B$3:$D$511,3,0)</f>
        <v>36</v>
      </c>
      <c r="E640" s="52">
        <v>0.5</v>
      </c>
      <c r="F640" s="347">
        <f>VLOOKUP(B640,[1]Dcu!$B$3:$E$511,4,0)</f>
        <v>340000</v>
      </c>
      <c r="G640" s="47">
        <f t="shared" si="23"/>
        <v>181.62393162393161</v>
      </c>
    </row>
    <row r="641" spans="1:7" ht="16.5" customHeight="1" x14ac:dyDescent="0.3">
      <c r="A641" s="10">
        <v>11</v>
      </c>
      <c r="B641" s="49" t="s">
        <v>40</v>
      </c>
      <c r="C641" s="50" t="s">
        <v>28</v>
      </c>
      <c r="D641" s="348">
        <f>VLOOKUP(B641,[1]Dcu!$B$3:$D$511,3,0)</f>
        <v>36</v>
      </c>
      <c r="E641" s="52">
        <v>0.5</v>
      </c>
      <c r="F641" s="347">
        <f>VLOOKUP(B641,[1]Dcu!$B$3:$E$511,4,0)</f>
        <v>700000</v>
      </c>
      <c r="G641" s="47">
        <f t="shared" si="23"/>
        <v>373.9316239316239</v>
      </c>
    </row>
    <row r="642" spans="1:7" ht="16.5" customHeight="1" x14ac:dyDescent="0.3">
      <c r="A642" s="10">
        <v>12</v>
      </c>
      <c r="B642" s="49" t="s">
        <v>41</v>
      </c>
      <c r="C642" s="50" t="s">
        <v>28</v>
      </c>
      <c r="D642" s="348">
        <f>VLOOKUP(B642,[1]Dcu!$B$3:$D$511,3,0)</f>
        <v>36</v>
      </c>
      <c r="E642" s="52">
        <v>0.5</v>
      </c>
      <c r="F642" s="347">
        <f>VLOOKUP(B642,[1]Dcu!$B$3:$E$511,4,0)</f>
        <v>60000</v>
      </c>
      <c r="G642" s="47">
        <f t="shared" si="23"/>
        <v>32.051282051282051</v>
      </c>
    </row>
    <row r="643" spans="1:7" ht="16.5" customHeight="1" x14ac:dyDescent="0.3">
      <c r="A643" s="10">
        <v>13</v>
      </c>
      <c r="B643" s="5" t="s">
        <v>639</v>
      </c>
      <c r="C643" s="50" t="s">
        <v>28</v>
      </c>
      <c r="D643" s="348">
        <f>VLOOKUP(B643,[1]Dcu!$B$3:$D$511,3,0)</f>
        <v>12</v>
      </c>
      <c r="E643" s="52">
        <v>0.08</v>
      </c>
      <c r="F643" s="347">
        <f>VLOOKUP(B643,[1]Dcu!$B$3:$E$511,4,0)</f>
        <v>30000</v>
      </c>
      <c r="G643" s="47">
        <f t="shared" si="23"/>
        <v>7.6923076923076934</v>
      </c>
    </row>
    <row r="644" spans="1:7" ht="16.5" customHeight="1" x14ac:dyDescent="0.3">
      <c r="A644" s="10">
        <v>15</v>
      </c>
      <c r="B644" s="12" t="s">
        <v>621</v>
      </c>
      <c r="C644" s="10" t="s">
        <v>76</v>
      </c>
      <c r="D644" s="348">
        <f>VLOOKUP(B644,[1]Dcu!$B$3:$D$511,3,0)</f>
        <v>0.3</v>
      </c>
      <c r="E644" s="10">
        <v>0.02</v>
      </c>
      <c r="F644" s="347">
        <f>VLOOKUP(B644,[1]Dcu!$B$3:$E$511,4,0)</f>
        <v>200000</v>
      </c>
      <c r="G644" s="47">
        <f t="shared" si="23"/>
        <v>512.82051282051282</v>
      </c>
    </row>
    <row r="645" spans="1:7" ht="16.5" customHeight="1" x14ac:dyDescent="0.3">
      <c r="A645" s="10">
        <v>16</v>
      </c>
      <c r="B645" s="49" t="s">
        <v>43</v>
      </c>
      <c r="C645" s="10" t="s">
        <v>76</v>
      </c>
      <c r="D645" s="348">
        <f>VLOOKUP(B645,[1]Dcu!$B$3:$D$511,3,0)</f>
        <v>0.3</v>
      </c>
      <c r="E645" s="10">
        <v>0.02</v>
      </c>
      <c r="F645" s="347">
        <f>VLOOKUP(B645,[1]Dcu!$B$3:$E$511,4,0)</f>
        <v>400000</v>
      </c>
      <c r="G645" s="47">
        <f t="shared" si="23"/>
        <v>1025.6410256410256</v>
      </c>
    </row>
    <row r="646" spans="1:7" ht="16.5" customHeight="1" x14ac:dyDescent="0.3">
      <c r="A646" s="10">
        <v>17</v>
      </c>
      <c r="B646" s="49" t="s">
        <v>44</v>
      </c>
      <c r="C646" s="50" t="s">
        <v>28</v>
      </c>
      <c r="D646" s="348">
        <f>VLOOKUP(B646,[1]Dcu!$B$3:$D$511,3,0)</f>
        <v>60</v>
      </c>
      <c r="E646" s="52">
        <v>0.08</v>
      </c>
      <c r="F646" s="347">
        <f>VLOOKUP(B646,[1]Dcu!$B$3:$E$511,4,0)</f>
        <v>500000</v>
      </c>
      <c r="G646" s="47">
        <f t="shared" si="23"/>
        <v>25.641025641025639</v>
      </c>
    </row>
    <row r="647" spans="1:7" ht="16.5" customHeight="1" x14ac:dyDescent="0.3">
      <c r="A647" s="10">
        <v>18</v>
      </c>
      <c r="B647" s="49" t="s">
        <v>45</v>
      </c>
      <c r="C647" s="50" t="s">
        <v>28</v>
      </c>
      <c r="D647" s="348">
        <f>VLOOKUP(B647,[1]Dcu!$B$3:$D$511,3,0)</f>
        <v>60</v>
      </c>
      <c r="E647" s="52">
        <v>0.08</v>
      </c>
      <c r="F647" s="347">
        <f>VLOOKUP(B647,[1]Dcu!$B$3:$E$511,4,0)</f>
        <v>250000</v>
      </c>
      <c r="G647" s="47">
        <f t="shared" si="23"/>
        <v>12.820512820512819</v>
      </c>
    </row>
    <row r="648" spans="1:7" ht="16.5" customHeight="1" x14ac:dyDescent="0.3">
      <c r="A648" s="10">
        <v>19</v>
      </c>
      <c r="B648" s="49" t="s">
        <v>46</v>
      </c>
      <c r="C648" s="50" t="s">
        <v>28</v>
      </c>
      <c r="D648" s="348">
        <f>VLOOKUP(B648,[1]Dcu!$B$3:$D$511,3,0)</f>
        <v>60</v>
      </c>
      <c r="E648" s="52">
        <v>4.0000000000000001E-3</v>
      </c>
      <c r="F648" s="347">
        <f>VLOOKUP(B648,[1]Dcu!$B$3:$E$511,4,0)</f>
        <v>1600000</v>
      </c>
      <c r="G648" s="47">
        <f t="shared" si="23"/>
        <v>4.1025641025641022</v>
      </c>
    </row>
    <row r="649" spans="1:7" ht="16.5" customHeight="1" x14ac:dyDescent="0.3">
      <c r="A649" s="10">
        <v>20</v>
      </c>
      <c r="B649" s="49" t="s">
        <v>47</v>
      </c>
      <c r="C649" s="50" t="s">
        <v>28</v>
      </c>
      <c r="D649" s="348">
        <f>VLOOKUP(B649,[1]Dcu!$B$3:$D$511,3,0)</f>
        <v>60</v>
      </c>
      <c r="E649" s="52">
        <v>0.03</v>
      </c>
      <c r="F649" s="347">
        <f>VLOOKUP(B649,[1]Dcu!$B$3:$E$511,4,0)</f>
        <v>1500000</v>
      </c>
      <c r="G649" s="47">
        <f t="shared" si="23"/>
        <v>28.846153846153847</v>
      </c>
    </row>
    <row r="650" spans="1:7" ht="16.5" customHeight="1" x14ac:dyDescent="0.3">
      <c r="A650" s="10">
        <v>21</v>
      </c>
      <c r="B650" s="49" t="s">
        <v>48</v>
      </c>
      <c r="C650" s="50" t="s">
        <v>36</v>
      </c>
      <c r="D650" s="348">
        <f>VLOOKUP(B650,[1]Dcu!$B$3:$D$511,3,0)</f>
        <v>36</v>
      </c>
      <c r="E650" s="52">
        <v>0.5</v>
      </c>
      <c r="F650" s="347">
        <f>VLOOKUP(B650,[1]Dcu!$B$3:$E$511,4,0)</f>
        <v>40000</v>
      </c>
      <c r="G650" s="47">
        <f t="shared" si="23"/>
        <v>21.367521367521366</v>
      </c>
    </row>
    <row r="651" spans="1:7" ht="16.5" customHeight="1" x14ac:dyDescent="0.3">
      <c r="A651" s="10">
        <v>22</v>
      </c>
      <c r="B651" s="49" t="s">
        <v>49</v>
      </c>
      <c r="C651" s="50" t="s">
        <v>28</v>
      </c>
      <c r="D651" s="348">
        <f>VLOOKUP(B651,[1]Dcu!$B$3:$D$511,3,0)</f>
        <v>96</v>
      </c>
      <c r="E651" s="52">
        <v>0.12</v>
      </c>
      <c r="F651" s="347">
        <f>VLOOKUP(B651,[1]Dcu!$B$3:$E$511,4,0)</f>
        <v>1000000</v>
      </c>
      <c r="G651" s="47">
        <f t="shared" si="23"/>
        <v>48.076923076923073</v>
      </c>
    </row>
    <row r="652" spans="1:7" ht="16.5" customHeight="1" x14ac:dyDescent="0.3">
      <c r="A652" s="10">
        <v>23</v>
      </c>
      <c r="B652" s="49" t="s">
        <v>50</v>
      </c>
      <c r="C652" s="50" t="s">
        <v>28</v>
      </c>
      <c r="D652" s="348">
        <f>VLOOKUP(B652,[1]Dcu!$B$3:$D$511,3,0)</f>
        <v>96</v>
      </c>
      <c r="E652" s="52">
        <v>0.5</v>
      </c>
      <c r="F652" s="347">
        <f>VLOOKUP(B652,[1]Dcu!$B$3:$E$511,4,0)</f>
        <v>300000</v>
      </c>
      <c r="G652" s="47">
        <f t="shared" si="23"/>
        <v>60.096153846153847</v>
      </c>
    </row>
    <row r="653" spans="1:7" ht="16.5" customHeight="1" x14ac:dyDescent="0.3">
      <c r="A653" s="10">
        <v>24</v>
      </c>
      <c r="B653" s="49" t="s">
        <v>51</v>
      </c>
      <c r="C653" s="50" t="s">
        <v>28</v>
      </c>
      <c r="D653" s="348">
        <f>VLOOKUP(B653,[1]Dcu!$B$3:$D$511,3,0)</f>
        <v>96</v>
      </c>
      <c r="E653" s="52">
        <v>0.5</v>
      </c>
      <c r="F653" s="347">
        <f>VLOOKUP(B653,[1]Dcu!$B$3:$E$511,4,0)</f>
        <v>80000</v>
      </c>
      <c r="G653" s="47">
        <f t="shared" si="23"/>
        <v>16.025641025641026</v>
      </c>
    </row>
    <row r="654" spans="1:7" ht="16.5" customHeight="1" x14ac:dyDescent="0.3">
      <c r="A654" s="10">
        <v>26</v>
      </c>
      <c r="B654" s="49" t="s">
        <v>52</v>
      </c>
      <c r="C654" s="50" t="s">
        <v>53</v>
      </c>
      <c r="D654" s="52"/>
      <c r="E654" s="52">
        <v>0.76900000000000002</v>
      </c>
      <c r="F654" s="347">
        <f>VLOOKUP(B654,[1]Dcu!$B$3:$E$511,4,0)</f>
        <v>1838</v>
      </c>
      <c r="G654" s="47">
        <f>F654*E654</f>
        <v>1413.422</v>
      </c>
    </row>
    <row r="655" spans="1:7" ht="16.5" customHeight="1" x14ac:dyDescent="0.3">
      <c r="A655" s="11" t="s">
        <v>412</v>
      </c>
      <c r="B655" s="509" t="s">
        <v>522</v>
      </c>
      <c r="C655" s="510"/>
      <c r="D655" s="510"/>
      <c r="E655" s="511"/>
      <c r="F655" s="46"/>
      <c r="G655" s="45">
        <f>SUM(G656:G682)*1.05+G683</f>
        <v>17974.300205128209</v>
      </c>
    </row>
    <row r="656" spans="1:7" ht="16.5" customHeight="1" x14ac:dyDescent="0.3">
      <c r="A656" s="10">
        <v>1</v>
      </c>
      <c r="B656" s="49" t="s">
        <v>27</v>
      </c>
      <c r="C656" s="50" t="s">
        <v>28</v>
      </c>
      <c r="D656" s="348">
        <f>VLOOKUP(B656,[1]Dcu!$B$3:$D$511,3,0)</f>
        <v>12</v>
      </c>
      <c r="E656" s="52">
        <v>0.4</v>
      </c>
      <c r="F656" s="347">
        <f>VLOOKUP(B656,[1]Dcu!$B$3:$E$511,4,0)</f>
        <v>100000</v>
      </c>
      <c r="G656" s="47">
        <f t="shared" ref="G656:G682" si="24">F656/(D656*26)*E656</f>
        <v>128.2051282051282</v>
      </c>
    </row>
    <row r="657" spans="1:7" ht="16.5" customHeight="1" x14ac:dyDescent="0.3">
      <c r="A657" s="10">
        <v>2</v>
      </c>
      <c r="B657" s="49" t="s">
        <v>62</v>
      </c>
      <c r="C657" s="50" t="s">
        <v>28</v>
      </c>
      <c r="D657" s="348">
        <f>VLOOKUP(B657,[1]Dcu!$B$3:$D$511,3,0)</f>
        <v>12</v>
      </c>
      <c r="E657" s="52">
        <v>0.4</v>
      </c>
      <c r="F657" s="347">
        <f>VLOOKUP(B657,[1]Dcu!$B$3:$E$511,4,0)</f>
        <v>44000</v>
      </c>
      <c r="G657" s="47">
        <f t="shared" si="24"/>
        <v>56.410256410256409</v>
      </c>
    </row>
    <row r="658" spans="1:7" ht="16.5" customHeight="1" x14ac:dyDescent="0.3">
      <c r="A658" s="10">
        <v>3</v>
      </c>
      <c r="B658" s="49" t="s">
        <v>87</v>
      </c>
      <c r="C658" s="50" t="s">
        <v>28</v>
      </c>
      <c r="D658" s="348">
        <f>VLOOKUP(B658,[1]Dcu!$B$3:$D$511,3,0)</f>
        <v>6</v>
      </c>
      <c r="E658" s="52">
        <v>3</v>
      </c>
      <c r="F658" s="347">
        <f>VLOOKUP(B658,[1]Dcu!$B$3:$E$511,4,0)</f>
        <v>15000</v>
      </c>
      <c r="G658" s="47">
        <f t="shared" si="24"/>
        <v>288.46153846153845</v>
      </c>
    </row>
    <row r="659" spans="1:7" ht="16.5" customHeight="1" x14ac:dyDescent="0.3">
      <c r="A659" s="10">
        <v>4</v>
      </c>
      <c r="B659" s="49" t="s">
        <v>89</v>
      </c>
      <c r="C659" s="50" t="s">
        <v>28</v>
      </c>
      <c r="D659" s="348">
        <f>VLOOKUP(B659,[1]Dcu!$B$3:$D$511,3,0)</f>
        <v>3</v>
      </c>
      <c r="E659" s="52">
        <v>1</v>
      </c>
      <c r="F659" s="347">
        <f>VLOOKUP(B659,[1]Dcu!$B$3:$E$511,4,0)</f>
        <v>7500</v>
      </c>
      <c r="G659" s="47">
        <f t="shared" si="24"/>
        <v>96.15384615384616</v>
      </c>
    </row>
    <row r="660" spans="1:7" ht="16.5" customHeight="1" x14ac:dyDescent="0.3">
      <c r="A660" s="10">
        <v>5</v>
      </c>
      <c r="B660" s="49" t="s">
        <v>73</v>
      </c>
      <c r="C660" s="50" t="s">
        <v>28</v>
      </c>
      <c r="D660" s="348">
        <f>VLOOKUP(B660,[1]Dcu!$B$3:$D$511,3,0)</f>
        <v>12</v>
      </c>
      <c r="E660" s="52">
        <v>0.4</v>
      </c>
      <c r="F660" s="347">
        <f>VLOOKUP(B660,[1]Dcu!$B$3:$E$511,4,0)</f>
        <v>70000</v>
      </c>
      <c r="G660" s="47">
        <f t="shared" si="24"/>
        <v>89.743589743589752</v>
      </c>
    </row>
    <row r="661" spans="1:7" ht="16.5" customHeight="1" x14ac:dyDescent="0.3">
      <c r="A661" s="10">
        <v>6</v>
      </c>
      <c r="B661" s="49" t="s">
        <v>30</v>
      </c>
      <c r="C661" s="50" t="s">
        <v>28</v>
      </c>
      <c r="D661" s="348">
        <f>VLOOKUP(B661,[1]Dcu!$B$3:$D$511,3,0)</f>
        <v>12</v>
      </c>
      <c r="E661" s="52">
        <v>0.4</v>
      </c>
      <c r="F661" s="347">
        <f>VLOOKUP(B661,[1]Dcu!$B$3:$E$511,4,0)</f>
        <v>3500000</v>
      </c>
      <c r="G661" s="47">
        <f t="shared" si="24"/>
        <v>4487.1794871794873</v>
      </c>
    </row>
    <row r="662" spans="1:7" ht="16.5" customHeight="1" x14ac:dyDescent="0.3">
      <c r="A662" s="10">
        <v>7</v>
      </c>
      <c r="B662" s="49" t="s">
        <v>57</v>
      </c>
      <c r="C662" s="50" t="s">
        <v>28</v>
      </c>
      <c r="D662" s="348">
        <f>VLOOKUP(B662,[1]Dcu!$B$3:$D$511,3,0)</f>
        <v>1</v>
      </c>
      <c r="E662" s="52">
        <v>0.4</v>
      </c>
      <c r="F662" s="347">
        <f>VLOOKUP(B662,[1]Dcu!$B$3:$E$511,4,0)</f>
        <v>3000</v>
      </c>
      <c r="G662" s="47">
        <f t="shared" si="24"/>
        <v>46.15384615384616</v>
      </c>
    </row>
    <row r="663" spans="1:7" ht="16.5" customHeight="1" x14ac:dyDescent="0.3">
      <c r="A663" s="10">
        <v>8</v>
      </c>
      <c r="B663" s="49" t="s">
        <v>84</v>
      </c>
      <c r="C663" s="50" t="s">
        <v>28</v>
      </c>
      <c r="D663" s="348">
        <f>VLOOKUP(B663,[1]Dcu!$B$3:$D$511,3,0)</f>
        <v>12</v>
      </c>
      <c r="E663" s="52">
        <v>0.4</v>
      </c>
      <c r="F663" s="347">
        <f>VLOOKUP(B663,[1]Dcu!$B$3:$E$511,4,0)</f>
        <v>90000</v>
      </c>
      <c r="G663" s="47">
        <f t="shared" si="24"/>
        <v>115.38461538461539</v>
      </c>
    </row>
    <row r="664" spans="1:7" ht="16.5" customHeight="1" x14ac:dyDescent="0.3">
      <c r="A664" s="10">
        <v>9</v>
      </c>
      <c r="B664" s="49" t="s">
        <v>101</v>
      </c>
      <c r="C664" s="50" t="s">
        <v>28</v>
      </c>
      <c r="D664" s="348">
        <f>VLOOKUP(B664,[1]Dcu!$B$3:$D$511,3,0)</f>
        <v>12</v>
      </c>
      <c r="E664" s="52">
        <v>0.5</v>
      </c>
      <c r="F664" s="347">
        <f>VLOOKUP(B664,[1]Dcu!$B$3:$E$511,4,0)</f>
        <v>4900000</v>
      </c>
      <c r="G664" s="47">
        <f t="shared" si="24"/>
        <v>7852.5641025641025</v>
      </c>
    </row>
    <row r="665" spans="1:7" ht="16.5" customHeight="1" x14ac:dyDescent="0.3">
      <c r="A665" s="10">
        <v>10</v>
      </c>
      <c r="B665" s="49" t="s">
        <v>61</v>
      </c>
      <c r="C665" s="50" t="s">
        <v>28</v>
      </c>
      <c r="D665" s="348">
        <f>VLOOKUP(B665,[1]Dcu!$B$3:$D$511,3,0)</f>
        <v>12</v>
      </c>
      <c r="E665" s="52">
        <v>0.4</v>
      </c>
      <c r="F665" s="347">
        <f>VLOOKUP(B665,[1]Dcu!$B$3:$E$511,4,0)</f>
        <v>15000</v>
      </c>
      <c r="G665" s="47">
        <f t="shared" si="24"/>
        <v>19.230769230769234</v>
      </c>
    </row>
    <row r="666" spans="1:7" ht="16.5" customHeight="1" x14ac:dyDescent="0.3">
      <c r="A666" s="10">
        <v>11</v>
      </c>
      <c r="B666" s="49" t="s">
        <v>32</v>
      </c>
      <c r="C666" s="50" t="s">
        <v>28</v>
      </c>
      <c r="D666" s="348">
        <f>VLOOKUP(B666,[1]Dcu!$B$3:$D$511,3,0)</f>
        <v>12</v>
      </c>
      <c r="E666" s="52">
        <v>0.4</v>
      </c>
      <c r="F666" s="347">
        <f>VLOOKUP(B666,[1]Dcu!$B$3:$E$511,4,0)</f>
        <v>85000</v>
      </c>
      <c r="G666" s="47">
        <f t="shared" si="24"/>
        <v>108.97435897435899</v>
      </c>
    </row>
    <row r="667" spans="1:7" ht="16.5" customHeight="1" x14ac:dyDescent="0.3">
      <c r="A667" s="10">
        <v>12</v>
      </c>
      <c r="B667" s="49" t="s">
        <v>55</v>
      </c>
      <c r="C667" s="50" t="s">
        <v>28</v>
      </c>
      <c r="D667" s="348">
        <f>VLOOKUP(B667,[1]Dcu!$B$3:$D$511,3,0)</f>
        <v>12</v>
      </c>
      <c r="E667" s="52">
        <v>0.4</v>
      </c>
      <c r="F667" s="347">
        <f>VLOOKUP(B667,[1]Dcu!$B$3:$E$511,4,0)</f>
        <v>150000</v>
      </c>
      <c r="G667" s="47">
        <f t="shared" si="24"/>
        <v>192.30769230769232</v>
      </c>
    </row>
    <row r="668" spans="1:7" ht="16.5" customHeight="1" x14ac:dyDescent="0.3">
      <c r="A668" s="10">
        <v>13</v>
      </c>
      <c r="B668" s="49" t="s">
        <v>59</v>
      </c>
      <c r="C668" s="50" t="s">
        <v>28</v>
      </c>
      <c r="D668" s="348">
        <f>VLOOKUP(B668,[1]Dcu!$B$3:$D$511,3,0)</f>
        <v>36</v>
      </c>
      <c r="E668" s="52">
        <v>0.4</v>
      </c>
      <c r="F668" s="347">
        <f>VLOOKUP(B668,[1]Dcu!$B$3:$E$511,4,0)</f>
        <v>110000</v>
      </c>
      <c r="G668" s="47">
        <f t="shared" si="24"/>
        <v>47.008547008547012</v>
      </c>
    </row>
    <row r="669" spans="1:7" ht="16.5" customHeight="1" x14ac:dyDescent="0.3">
      <c r="A669" s="10">
        <v>14</v>
      </c>
      <c r="B669" s="49" t="s">
        <v>39</v>
      </c>
      <c r="C669" s="50" t="s">
        <v>28</v>
      </c>
      <c r="D669" s="348">
        <f>VLOOKUP(B669,[1]Dcu!$B$3:$D$511,3,0)</f>
        <v>36</v>
      </c>
      <c r="E669" s="52">
        <v>0.4</v>
      </c>
      <c r="F669" s="347">
        <f>VLOOKUP(B669,[1]Dcu!$B$3:$E$511,4,0)</f>
        <v>340000</v>
      </c>
      <c r="G669" s="47">
        <f t="shared" si="24"/>
        <v>145.29914529914529</v>
      </c>
    </row>
    <row r="670" spans="1:7" ht="16.5" customHeight="1" x14ac:dyDescent="0.3">
      <c r="A670" s="10">
        <v>15</v>
      </c>
      <c r="B670" s="49" t="s">
        <v>40</v>
      </c>
      <c r="C670" s="50" t="s">
        <v>28</v>
      </c>
      <c r="D670" s="348">
        <f>VLOOKUP(B670,[1]Dcu!$B$3:$D$511,3,0)</f>
        <v>36</v>
      </c>
      <c r="E670" s="52">
        <v>0.4</v>
      </c>
      <c r="F670" s="347">
        <f>VLOOKUP(B670,[1]Dcu!$B$3:$E$511,4,0)</f>
        <v>700000</v>
      </c>
      <c r="G670" s="47">
        <f t="shared" si="24"/>
        <v>299.14529914529913</v>
      </c>
    </row>
    <row r="671" spans="1:7" ht="16.5" customHeight="1" x14ac:dyDescent="0.3">
      <c r="A671" s="10">
        <v>16</v>
      </c>
      <c r="B671" s="49" t="s">
        <v>41</v>
      </c>
      <c r="C671" s="50" t="s">
        <v>28</v>
      </c>
      <c r="D671" s="348">
        <f>VLOOKUP(B671,[1]Dcu!$B$3:$D$511,3,0)</f>
        <v>36</v>
      </c>
      <c r="E671" s="52">
        <v>0.4</v>
      </c>
      <c r="F671" s="347">
        <f>VLOOKUP(B671,[1]Dcu!$B$3:$E$511,4,0)</f>
        <v>60000</v>
      </c>
      <c r="G671" s="47">
        <f t="shared" si="24"/>
        <v>25.641025641025642</v>
      </c>
    </row>
    <row r="672" spans="1:7" ht="21" customHeight="1" x14ac:dyDescent="0.3">
      <c r="A672" s="10">
        <v>17</v>
      </c>
      <c r="B672" s="5" t="s">
        <v>639</v>
      </c>
      <c r="C672" s="50" t="s">
        <v>28</v>
      </c>
      <c r="D672" s="348">
        <f>VLOOKUP(B672,[1]Dcu!$B$3:$D$511,3,0)</f>
        <v>12</v>
      </c>
      <c r="E672" s="52">
        <v>0.4</v>
      </c>
      <c r="F672" s="347">
        <f>VLOOKUP(B672,[1]Dcu!$B$3:$E$511,4,0)</f>
        <v>30000</v>
      </c>
      <c r="G672" s="47">
        <f t="shared" si="24"/>
        <v>38.461538461538467</v>
      </c>
    </row>
    <row r="673" spans="1:7" ht="16.5" customHeight="1" x14ac:dyDescent="0.3">
      <c r="A673" s="10">
        <v>19</v>
      </c>
      <c r="B673" s="12" t="s">
        <v>621</v>
      </c>
      <c r="C673" s="10" t="s">
        <v>76</v>
      </c>
      <c r="D673" s="348">
        <f>VLOOKUP(B673,[1]Dcu!$B$3:$D$511,3,0)</f>
        <v>0.3</v>
      </c>
      <c r="E673" s="10">
        <v>0.02</v>
      </c>
      <c r="F673" s="347">
        <f>VLOOKUP(B673,[1]Dcu!$B$3:$E$511,4,0)</f>
        <v>200000</v>
      </c>
      <c r="G673" s="47">
        <f t="shared" si="24"/>
        <v>512.82051282051282</v>
      </c>
    </row>
    <row r="674" spans="1:7" ht="16.5" customHeight="1" x14ac:dyDescent="0.3">
      <c r="A674" s="10">
        <v>20</v>
      </c>
      <c r="B674" s="49" t="s">
        <v>43</v>
      </c>
      <c r="C674" s="10" t="s">
        <v>76</v>
      </c>
      <c r="D674" s="348">
        <f>VLOOKUP(B674,[1]Dcu!$B$3:$D$511,3,0)</f>
        <v>0.3</v>
      </c>
      <c r="E674" s="10">
        <v>0.02</v>
      </c>
      <c r="F674" s="347">
        <f>VLOOKUP(B674,[1]Dcu!$B$3:$E$511,4,0)</f>
        <v>400000</v>
      </c>
      <c r="G674" s="47">
        <f t="shared" si="24"/>
        <v>1025.6410256410256</v>
      </c>
    </row>
    <row r="675" spans="1:7" ht="16.5" customHeight="1" x14ac:dyDescent="0.3">
      <c r="A675" s="10">
        <v>21</v>
      </c>
      <c r="B675" s="49" t="s">
        <v>44</v>
      </c>
      <c r="C675" s="50" t="s">
        <v>28</v>
      </c>
      <c r="D675" s="348">
        <f>VLOOKUP(B675,[1]Dcu!$B$3:$D$511,3,0)</f>
        <v>60</v>
      </c>
      <c r="E675" s="52">
        <v>0.08</v>
      </c>
      <c r="F675" s="347">
        <f>VLOOKUP(B675,[1]Dcu!$B$3:$E$511,4,0)</f>
        <v>500000</v>
      </c>
      <c r="G675" s="47">
        <f t="shared" si="24"/>
        <v>25.641025641025639</v>
      </c>
    </row>
    <row r="676" spans="1:7" ht="16.5" customHeight="1" x14ac:dyDescent="0.3">
      <c r="A676" s="10">
        <v>22</v>
      </c>
      <c r="B676" s="49" t="s">
        <v>45</v>
      </c>
      <c r="C676" s="50" t="s">
        <v>28</v>
      </c>
      <c r="D676" s="348">
        <f>VLOOKUP(B676,[1]Dcu!$B$3:$D$511,3,0)</f>
        <v>60</v>
      </c>
      <c r="E676" s="52">
        <v>0.08</v>
      </c>
      <c r="F676" s="347">
        <f>VLOOKUP(B676,[1]Dcu!$B$3:$E$511,4,0)</f>
        <v>250000</v>
      </c>
      <c r="G676" s="47">
        <f t="shared" si="24"/>
        <v>12.820512820512819</v>
      </c>
    </row>
    <row r="677" spans="1:7" ht="16.5" customHeight="1" x14ac:dyDescent="0.3">
      <c r="A677" s="10">
        <v>23</v>
      </c>
      <c r="B677" s="49" t="s">
        <v>46</v>
      </c>
      <c r="C677" s="50" t="s">
        <v>28</v>
      </c>
      <c r="D677" s="348">
        <f>VLOOKUP(B677,[1]Dcu!$B$3:$D$511,3,0)</f>
        <v>60</v>
      </c>
      <c r="E677" s="52">
        <v>4.0000000000000001E-3</v>
      </c>
      <c r="F677" s="347">
        <f>VLOOKUP(B677,[1]Dcu!$B$3:$E$511,4,0)</f>
        <v>1600000</v>
      </c>
      <c r="G677" s="47">
        <f t="shared" si="24"/>
        <v>4.1025641025641022</v>
      </c>
    </row>
    <row r="678" spans="1:7" ht="16.5" customHeight="1" x14ac:dyDescent="0.3">
      <c r="A678" s="10">
        <v>24</v>
      </c>
      <c r="B678" s="49" t="s">
        <v>47</v>
      </c>
      <c r="C678" s="50" t="s">
        <v>28</v>
      </c>
      <c r="D678" s="348">
        <f>VLOOKUP(B678,[1]Dcu!$B$3:$D$511,3,0)</f>
        <v>60</v>
      </c>
      <c r="E678" s="52">
        <v>0.03</v>
      </c>
      <c r="F678" s="347">
        <f>VLOOKUP(B678,[1]Dcu!$B$3:$E$511,4,0)</f>
        <v>1500000</v>
      </c>
      <c r="G678" s="47">
        <f t="shared" si="24"/>
        <v>28.846153846153847</v>
      </c>
    </row>
    <row r="679" spans="1:7" ht="16.5" customHeight="1" x14ac:dyDescent="0.3">
      <c r="A679" s="10">
        <v>25</v>
      </c>
      <c r="B679" s="49" t="s">
        <v>48</v>
      </c>
      <c r="C679" s="50" t="s">
        <v>36</v>
      </c>
      <c r="D679" s="348">
        <f>VLOOKUP(B679,[1]Dcu!$B$3:$D$511,3,0)</f>
        <v>36</v>
      </c>
      <c r="E679" s="52">
        <v>0.4</v>
      </c>
      <c r="F679" s="347">
        <f>VLOOKUP(B679,[1]Dcu!$B$3:$E$511,4,0)</f>
        <v>40000</v>
      </c>
      <c r="G679" s="47">
        <f t="shared" si="24"/>
        <v>17.094017094017094</v>
      </c>
    </row>
    <row r="680" spans="1:7" ht="16.5" customHeight="1" x14ac:dyDescent="0.3">
      <c r="A680" s="10">
        <v>26</v>
      </c>
      <c r="B680" s="49" t="s">
        <v>49</v>
      </c>
      <c r="C680" s="50" t="s">
        <v>28</v>
      </c>
      <c r="D680" s="348">
        <f>VLOOKUP(B680,[1]Dcu!$B$3:$D$511,3,0)</f>
        <v>96</v>
      </c>
      <c r="E680" s="52">
        <v>0.12</v>
      </c>
      <c r="F680" s="347">
        <f>VLOOKUP(B680,[1]Dcu!$B$3:$E$511,4,0)</f>
        <v>1000000</v>
      </c>
      <c r="G680" s="47">
        <f t="shared" si="24"/>
        <v>48.076923076923073</v>
      </c>
    </row>
    <row r="681" spans="1:7" ht="16.5" customHeight="1" x14ac:dyDescent="0.3">
      <c r="A681" s="10">
        <v>27</v>
      </c>
      <c r="B681" s="49" t="s">
        <v>50</v>
      </c>
      <c r="C681" s="50" t="s">
        <v>28</v>
      </c>
      <c r="D681" s="348">
        <f>VLOOKUP(B681,[1]Dcu!$B$3:$D$511,3,0)</f>
        <v>96</v>
      </c>
      <c r="E681" s="52">
        <v>0.4</v>
      </c>
      <c r="F681" s="347">
        <f>VLOOKUP(B681,[1]Dcu!$B$3:$E$511,4,0)</f>
        <v>300000</v>
      </c>
      <c r="G681" s="47">
        <f t="shared" si="24"/>
        <v>48.07692307692308</v>
      </c>
    </row>
    <row r="682" spans="1:7" ht="16.5" customHeight="1" x14ac:dyDescent="0.3">
      <c r="A682" s="10">
        <v>28</v>
      </c>
      <c r="B682" s="49" t="s">
        <v>51</v>
      </c>
      <c r="C682" s="50" t="s">
        <v>28</v>
      </c>
      <c r="D682" s="348">
        <f>VLOOKUP(B682,[1]Dcu!$B$3:$D$511,3,0)</f>
        <v>96</v>
      </c>
      <c r="E682" s="52">
        <v>0.4</v>
      </c>
      <c r="F682" s="347">
        <f>VLOOKUP(B682,[1]Dcu!$B$3:$E$511,4,0)</f>
        <v>80000</v>
      </c>
      <c r="G682" s="47">
        <f t="shared" si="24"/>
        <v>12.820512820512821</v>
      </c>
    </row>
    <row r="683" spans="1:7" ht="16.5" customHeight="1" x14ac:dyDescent="0.3">
      <c r="A683" s="10">
        <v>30</v>
      </c>
      <c r="B683" s="49" t="s">
        <v>52</v>
      </c>
      <c r="C683" s="50" t="s">
        <v>53</v>
      </c>
      <c r="D683" s="52"/>
      <c r="E683" s="52">
        <v>0.76900000000000002</v>
      </c>
      <c r="F683" s="347">
        <f>VLOOKUP(B683,[1]Dcu!$B$3:$E$511,4,0)</f>
        <v>1838</v>
      </c>
      <c r="G683" s="47">
        <f>F683*E683</f>
        <v>1413.422</v>
      </c>
    </row>
    <row r="684" spans="1:7" ht="16.5" customHeight="1" x14ac:dyDescent="0.3">
      <c r="A684" s="383" t="s">
        <v>714</v>
      </c>
      <c r="B684" s="467" t="s">
        <v>725</v>
      </c>
      <c r="C684" s="468"/>
      <c r="D684" s="468"/>
      <c r="E684" s="468"/>
      <c r="F684" s="143"/>
      <c r="G684" s="45">
        <f>SUM(G685:G713)*1.05+G714</f>
        <v>52033.09965384614</v>
      </c>
    </row>
    <row r="685" spans="1:7" ht="16.5" customHeight="1" x14ac:dyDescent="0.3">
      <c r="A685" s="10">
        <v>1</v>
      </c>
      <c r="B685" s="49" t="s">
        <v>27</v>
      </c>
      <c r="C685" s="50" t="s">
        <v>28</v>
      </c>
      <c r="D685" s="348">
        <f>VLOOKUP(B685,[1]Dcu!$B$3:$D$511,3,0)</f>
        <v>12</v>
      </c>
      <c r="E685" s="52">
        <v>0.6</v>
      </c>
      <c r="F685" s="347">
        <f>VLOOKUP(B685,[1]Dcu!$B$3:$E$511,4,0)</f>
        <v>100000</v>
      </c>
      <c r="G685" s="47">
        <f t="shared" ref="G685:G703" si="25">F685/(D685*26)*E685</f>
        <v>192.30769230769229</v>
      </c>
    </row>
    <row r="686" spans="1:7" ht="16.5" customHeight="1" x14ac:dyDescent="0.3">
      <c r="A686" s="10">
        <v>2</v>
      </c>
      <c r="B686" s="49" t="s">
        <v>73</v>
      </c>
      <c r="C686" s="50" t="s">
        <v>28</v>
      </c>
      <c r="D686" s="348">
        <f>VLOOKUP(B686,[1]Dcu!$B$3:$D$511,3,0)</f>
        <v>12</v>
      </c>
      <c r="E686" s="52">
        <v>0.6</v>
      </c>
      <c r="F686" s="347">
        <f>VLOOKUP(B686,[1]Dcu!$B$3:$E$511,4,0)</f>
        <v>70000</v>
      </c>
      <c r="G686" s="47">
        <f t="shared" si="25"/>
        <v>134.61538461538461</v>
      </c>
    </row>
    <row r="687" spans="1:7" ht="16.5" customHeight="1" x14ac:dyDescent="0.3">
      <c r="A687" s="10">
        <v>3</v>
      </c>
      <c r="B687" s="49" t="s">
        <v>68</v>
      </c>
      <c r="C687" s="50" t="s">
        <v>28</v>
      </c>
      <c r="D687" s="348">
        <f>VLOOKUP(B687,[1]Dcu!$B$3:$D$511,3,0)</f>
        <v>12</v>
      </c>
      <c r="E687" s="52">
        <v>0.6</v>
      </c>
      <c r="F687" s="347">
        <f>VLOOKUP(B687,[1]Dcu!$B$3:$E$511,4,0)</f>
        <v>3500000</v>
      </c>
      <c r="G687" s="47">
        <f t="shared" si="25"/>
        <v>6730.7692307692314</v>
      </c>
    </row>
    <row r="688" spans="1:7" ht="16.5" customHeight="1" x14ac:dyDescent="0.3">
      <c r="A688" s="10">
        <v>4</v>
      </c>
      <c r="B688" s="49" t="s">
        <v>31</v>
      </c>
      <c r="C688" s="50" t="s">
        <v>28</v>
      </c>
      <c r="D688" s="348">
        <f>VLOOKUP(B688,[1]Dcu!$B$3:$D$511,3,0)</f>
        <v>1</v>
      </c>
      <c r="E688" s="52">
        <v>0.6</v>
      </c>
      <c r="F688" s="347">
        <f>VLOOKUP(B688,[1]Dcu!$B$3:$E$511,4,0)</f>
        <v>3000</v>
      </c>
      <c r="G688" s="47">
        <f t="shared" si="25"/>
        <v>69.230769230769226</v>
      </c>
    </row>
    <row r="689" spans="1:7" ht="16.5" customHeight="1" x14ac:dyDescent="0.3">
      <c r="A689" s="10">
        <v>5</v>
      </c>
      <c r="B689" s="49" t="s">
        <v>59</v>
      </c>
      <c r="C689" s="50" t="s">
        <v>28</v>
      </c>
      <c r="D689" s="348">
        <f>VLOOKUP(B689,[1]Dcu!$B$3:$D$511,3,0)</f>
        <v>36</v>
      </c>
      <c r="E689" s="52">
        <v>0.6</v>
      </c>
      <c r="F689" s="347">
        <f>VLOOKUP(B689,[1]Dcu!$B$3:$E$511,4,0)</f>
        <v>110000</v>
      </c>
      <c r="G689" s="47">
        <f t="shared" si="25"/>
        <v>70.512820512820511</v>
      </c>
    </row>
    <row r="690" spans="1:7" ht="16.5" customHeight="1" x14ac:dyDescent="0.3">
      <c r="A690" s="10">
        <v>6</v>
      </c>
      <c r="B690" s="49" t="s">
        <v>81</v>
      </c>
      <c r="C690" s="50" t="s">
        <v>28</v>
      </c>
      <c r="D690" s="348">
        <f>VLOOKUP(B690,[1]Dcu!$B$3:$D$511,3,0)</f>
        <v>12</v>
      </c>
      <c r="E690" s="52">
        <v>0.6</v>
      </c>
      <c r="F690" s="347">
        <f>VLOOKUP(B690,[1]Dcu!$B$3:$E$511,4,0)</f>
        <v>170000</v>
      </c>
      <c r="G690" s="47">
        <f t="shared" si="25"/>
        <v>326.92307692307696</v>
      </c>
    </row>
    <row r="691" spans="1:7" ht="16.5" customHeight="1" x14ac:dyDescent="0.3">
      <c r="A691" s="10">
        <v>7</v>
      </c>
      <c r="B691" s="49" t="s">
        <v>32</v>
      </c>
      <c r="C691" s="50" t="s">
        <v>28</v>
      </c>
      <c r="D691" s="348">
        <f>VLOOKUP(B691,[1]Dcu!$B$3:$D$511,3,0)</f>
        <v>12</v>
      </c>
      <c r="E691" s="52">
        <v>0.6</v>
      </c>
      <c r="F691" s="347">
        <f>VLOOKUP(B691,[1]Dcu!$B$3:$E$511,4,0)</f>
        <v>85000</v>
      </c>
      <c r="G691" s="47">
        <f t="shared" si="25"/>
        <v>163.46153846153848</v>
      </c>
    </row>
    <row r="692" spans="1:7" ht="16.5" customHeight="1" x14ac:dyDescent="0.3">
      <c r="A692" s="10">
        <v>8</v>
      </c>
      <c r="B692" s="49" t="s">
        <v>55</v>
      </c>
      <c r="C692" s="50" t="s">
        <v>28</v>
      </c>
      <c r="D692" s="348">
        <f>VLOOKUP(B692,[1]Dcu!$B$3:$D$511,3,0)</f>
        <v>12</v>
      </c>
      <c r="E692" s="52">
        <v>0.6</v>
      </c>
      <c r="F692" s="347">
        <f>VLOOKUP(B692,[1]Dcu!$B$3:$E$511,4,0)</f>
        <v>150000</v>
      </c>
      <c r="G692" s="47">
        <f t="shared" si="25"/>
        <v>288.46153846153845</v>
      </c>
    </row>
    <row r="693" spans="1:7" ht="16.5" customHeight="1" x14ac:dyDescent="0.3">
      <c r="A693" s="10">
        <v>9</v>
      </c>
      <c r="B693" s="49" t="s">
        <v>84</v>
      </c>
      <c r="C693" s="50" t="s">
        <v>28</v>
      </c>
      <c r="D693" s="348">
        <f>VLOOKUP(B693,[1]Dcu!$B$3:$D$511,3,0)</f>
        <v>12</v>
      </c>
      <c r="E693" s="52">
        <v>0.6</v>
      </c>
      <c r="F693" s="347">
        <f>VLOOKUP(B693,[1]Dcu!$B$3:$E$511,4,0)</f>
        <v>90000</v>
      </c>
      <c r="G693" s="47">
        <f t="shared" si="25"/>
        <v>173.07692307692307</v>
      </c>
    </row>
    <row r="694" spans="1:7" ht="16.5" customHeight="1" x14ac:dyDescent="0.3">
      <c r="A694" s="10">
        <v>10</v>
      </c>
      <c r="B694" s="49" t="s">
        <v>61</v>
      </c>
      <c r="C694" s="50" t="s">
        <v>28</v>
      </c>
      <c r="D694" s="348">
        <f>VLOOKUP(B694,[1]Dcu!$B$3:$D$511,3,0)</f>
        <v>12</v>
      </c>
      <c r="E694" s="52">
        <v>0.6</v>
      </c>
      <c r="F694" s="347">
        <f>VLOOKUP(B694,[1]Dcu!$B$3:$E$511,4,0)</f>
        <v>15000</v>
      </c>
      <c r="G694" s="47">
        <f t="shared" si="25"/>
        <v>28.846153846153847</v>
      </c>
    </row>
    <row r="695" spans="1:7" ht="16.5" customHeight="1" x14ac:dyDescent="0.3">
      <c r="A695" s="10">
        <v>11</v>
      </c>
      <c r="B695" s="49" t="s">
        <v>62</v>
      </c>
      <c r="C695" s="50" t="s">
        <v>28</v>
      </c>
      <c r="D695" s="348">
        <f>VLOOKUP(B695,[1]Dcu!$B$3:$D$511,3,0)</f>
        <v>12</v>
      </c>
      <c r="E695" s="52">
        <v>0.6</v>
      </c>
      <c r="F695" s="347">
        <f>VLOOKUP(B695,[1]Dcu!$B$3:$E$511,4,0)</f>
        <v>44000</v>
      </c>
      <c r="G695" s="47">
        <f t="shared" si="25"/>
        <v>84.615384615384613</v>
      </c>
    </row>
    <row r="696" spans="1:7" ht="16.5" customHeight="1" x14ac:dyDescent="0.3">
      <c r="A696" s="10">
        <v>12</v>
      </c>
      <c r="B696" s="49" t="s">
        <v>102</v>
      </c>
      <c r="C696" s="50" t="s">
        <v>28</v>
      </c>
      <c r="D696" s="348">
        <f>VLOOKUP(B696,[1]Dcu!$B$3:$D$511,3,0)</f>
        <v>6</v>
      </c>
      <c r="E696" s="52">
        <v>0.3</v>
      </c>
      <c r="F696" s="347">
        <f>VLOOKUP(B696,[1]Dcu!$B$3:$E$511,4,0)</f>
        <v>5000000</v>
      </c>
      <c r="G696" s="47">
        <f t="shared" si="25"/>
        <v>9615.3846153846152</v>
      </c>
    </row>
    <row r="697" spans="1:7" ht="16.5" customHeight="1" x14ac:dyDescent="0.3">
      <c r="A697" s="10">
        <v>13</v>
      </c>
      <c r="B697" s="49" t="s">
        <v>39</v>
      </c>
      <c r="C697" s="50" t="s">
        <v>28</v>
      </c>
      <c r="D697" s="348">
        <f>VLOOKUP(B697,[1]Dcu!$B$3:$D$511,3,0)</f>
        <v>36</v>
      </c>
      <c r="E697" s="52">
        <v>0.6</v>
      </c>
      <c r="F697" s="347">
        <f>VLOOKUP(B697,[1]Dcu!$B$3:$E$511,4,0)</f>
        <v>340000</v>
      </c>
      <c r="G697" s="47">
        <f t="shared" si="25"/>
        <v>217.94871794871793</v>
      </c>
    </row>
    <row r="698" spans="1:7" ht="16.5" customHeight="1" x14ac:dyDescent="0.3">
      <c r="A698" s="10">
        <v>14</v>
      </c>
      <c r="B698" s="142" t="s">
        <v>96</v>
      </c>
      <c r="C698" s="18" t="s">
        <v>28</v>
      </c>
      <c r="D698" s="348">
        <f>VLOOKUP(B698,[1]Dcu!$B$3:$D$511,3,0)</f>
        <v>24</v>
      </c>
      <c r="E698" s="18">
        <v>0.5</v>
      </c>
      <c r="F698" s="347">
        <f>VLOOKUP(B698,[1]Dcu!$B$3:$E$511,4,0)</f>
        <v>15000000</v>
      </c>
      <c r="G698" s="47">
        <f t="shared" si="25"/>
        <v>12019.23076923077</v>
      </c>
    </row>
    <row r="699" spans="1:7" ht="16.5" customHeight="1" x14ac:dyDescent="0.3">
      <c r="A699" s="10">
        <v>15</v>
      </c>
      <c r="B699" s="142" t="s">
        <v>97</v>
      </c>
      <c r="C699" s="18" t="s">
        <v>28</v>
      </c>
      <c r="D699" s="348">
        <f>VLOOKUP(B699,[1]Dcu!$B$3:$D$511,3,0)</f>
        <v>24</v>
      </c>
      <c r="E699" s="18">
        <v>0.5</v>
      </c>
      <c r="F699" s="347">
        <f>VLOOKUP(B699,[1]Dcu!$B$3:$E$511,4,0)</f>
        <v>4500000</v>
      </c>
      <c r="G699" s="47">
        <f t="shared" si="25"/>
        <v>3605.7692307692309</v>
      </c>
    </row>
    <row r="700" spans="1:7" ht="16.5" customHeight="1" x14ac:dyDescent="0.3">
      <c r="A700" s="10">
        <v>16</v>
      </c>
      <c r="B700" s="142" t="s">
        <v>106</v>
      </c>
      <c r="C700" s="18" t="s">
        <v>28</v>
      </c>
      <c r="D700" s="348">
        <f>VLOOKUP(B700,[1]Dcu!$B$3:$D$511,3,0)</f>
        <v>24</v>
      </c>
      <c r="E700" s="18">
        <v>0.5</v>
      </c>
      <c r="F700" s="347">
        <f>VLOOKUP(B700,[1]Dcu!$B$3:$E$511,4,0)</f>
        <v>14000000</v>
      </c>
      <c r="G700" s="47">
        <f t="shared" si="25"/>
        <v>11217.948717948719</v>
      </c>
    </row>
    <row r="701" spans="1:7" ht="16.5" customHeight="1" x14ac:dyDescent="0.3">
      <c r="A701" s="10">
        <v>17</v>
      </c>
      <c r="B701" s="49" t="s">
        <v>40</v>
      </c>
      <c r="C701" s="50" t="s">
        <v>28</v>
      </c>
      <c r="D701" s="348">
        <f>VLOOKUP(B701,[1]Dcu!$B$3:$D$511,3,0)</f>
        <v>36</v>
      </c>
      <c r="E701" s="52">
        <v>0.6</v>
      </c>
      <c r="F701" s="347">
        <f>VLOOKUP(B701,[1]Dcu!$B$3:$E$511,4,0)</f>
        <v>700000</v>
      </c>
      <c r="G701" s="47">
        <f t="shared" si="25"/>
        <v>448.71794871794867</v>
      </c>
    </row>
    <row r="702" spans="1:7" ht="16.5" customHeight="1" x14ac:dyDescent="0.3">
      <c r="A702" s="10">
        <v>18</v>
      </c>
      <c r="B702" s="49" t="s">
        <v>85</v>
      </c>
      <c r="C702" s="50" t="s">
        <v>28</v>
      </c>
      <c r="D702" s="348">
        <f>VLOOKUP(B702,[1]Dcu!$B$3:$D$511,3,0)</f>
        <v>36</v>
      </c>
      <c r="E702" s="52">
        <v>0.6</v>
      </c>
      <c r="F702" s="347">
        <f>VLOOKUP(B702,[1]Dcu!$B$3:$E$511,4,0)</f>
        <v>110000</v>
      </c>
      <c r="G702" s="47">
        <f t="shared" si="25"/>
        <v>70.512820512820511</v>
      </c>
    </row>
    <row r="703" spans="1:7" ht="21" customHeight="1" x14ac:dyDescent="0.3">
      <c r="A703" s="10">
        <v>19</v>
      </c>
      <c r="B703" s="5" t="s">
        <v>639</v>
      </c>
      <c r="C703" s="50" t="s">
        <v>28</v>
      </c>
      <c r="D703" s="348">
        <f>VLOOKUP(B703,[1]Dcu!$B$3:$D$511,3,0)</f>
        <v>12</v>
      </c>
      <c r="E703" s="52">
        <v>0.6</v>
      </c>
      <c r="F703" s="347">
        <f>VLOOKUP(B703,[1]Dcu!$B$3:$E$511,4,0)</f>
        <v>30000</v>
      </c>
      <c r="G703" s="47">
        <f t="shared" si="25"/>
        <v>57.692307692307693</v>
      </c>
    </row>
    <row r="704" spans="1:7" ht="16.5" customHeight="1" x14ac:dyDescent="0.3">
      <c r="A704" s="10">
        <v>20</v>
      </c>
      <c r="B704" s="12" t="s">
        <v>621</v>
      </c>
      <c r="C704" s="10" t="s">
        <v>76</v>
      </c>
      <c r="D704" s="348">
        <f>VLOOKUP(B704,[1]Dcu!$B$3:$D$511,3,0)</f>
        <v>0.3</v>
      </c>
      <c r="E704" s="10">
        <v>0.02</v>
      </c>
      <c r="F704" s="347">
        <f>VLOOKUP(B704,[1]Dcu!$B$3:$E$511,4,0)</f>
        <v>200000</v>
      </c>
      <c r="G704" s="47">
        <f t="shared" ref="G704:G766" si="26">F704/(D704*26)*E704</f>
        <v>512.82051282051282</v>
      </c>
    </row>
    <row r="705" spans="1:7" ht="16.5" customHeight="1" x14ac:dyDescent="0.3">
      <c r="A705" s="10">
        <v>21</v>
      </c>
      <c r="B705" s="49" t="s">
        <v>43</v>
      </c>
      <c r="C705" s="10" t="s">
        <v>76</v>
      </c>
      <c r="D705" s="348">
        <f>VLOOKUP(B705,[1]Dcu!$B$3:$D$511,3,0)</f>
        <v>0.3</v>
      </c>
      <c r="E705" s="10">
        <v>0.02</v>
      </c>
      <c r="F705" s="347">
        <f>VLOOKUP(B705,[1]Dcu!$B$3:$E$511,4,0)</f>
        <v>400000</v>
      </c>
      <c r="G705" s="47">
        <f t="shared" si="26"/>
        <v>1025.6410256410256</v>
      </c>
    </row>
    <row r="706" spans="1:7" ht="16.5" customHeight="1" x14ac:dyDescent="0.3">
      <c r="A706" s="10">
        <v>22</v>
      </c>
      <c r="B706" s="49" t="s">
        <v>44</v>
      </c>
      <c r="C706" s="50" t="s">
        <v>28</v>
      </c>
      <c r="D706" s="348">
        <f>VLOOKUP(B706,[1]Dcu!$B$3:$D$511,3,0)</f>
        <v>60</v>
      </c>
      <c r="E706" s="52">
        <v>0.13300000000000001</v>
      </c>
      <c r="F706" s="347">
        <f>VLOOKUP(B706,[1]Dcu!$B$3:$E$511,4,0)</f>
        <v>500000</v>
      </c>
      <c r="G706" s="47">
        <f t="shared" si="26"/>
        <v>42.628205128205131</v>
      </c>
    </row>
    <row r="707" spans="1:7" ht="16.5" customHeight="1" x14ac:dyDescent="0.3">
      <c r="A707" s="10">
        <v>23</v>
      </c>
      <c r="B707" s="49" t="s">
        <v>45</v>
      </c>
      <c r="C707" s="50" t="s">
        <v>28</v>
      </c>
      <c r="D707" s="348">
        <f>VLOOKUP(B707,[1]Dcu!$B$3:$D$511,3,0)</f>
        <v>60</v>
      </c>
      <c r="E707" s="52">
        <v>0.13300000000000001</v>
      </c>
      <c r="F707" s="347">
        <f>VLOOKUP(B707,[1]Dcu!$B$3:$E$511,4,0)</f>
        <v>250000</v>
      </c>
      <c r="G707" s="47">
        <f t="shared" si="26"/>
        <v>21.314102564102566</v>
      </c>
    </row>
    <row r="708" spans="1:7" ht="16.5" customHeight="1" x14ac:dyDescent="0.3">
      <c r="A708" s="10">
        <v>24</v>
      </c>
      <c r="B708" s="49" t="s">
        <v>46</v>
      </c>
      <c r="C708" s="50" t="s">
        <v>28</v>
      </c>
      <c r="D708" s="348">
        <f>VLOOKUP(B708,[1]Dcu!$B$3:$D$511,3,0)</f>
        <v>60</v>
      </c>
      <c r="E708" s="52">
        <v>6.0000000000000001E-3</v>
      </c>
      <c r="F708" s="347">
        <f>VLOOKUP(B708,[1]Dcu!$B$3:$E$511,4,0)</f>
        <v>1600000</v>
      </c>
      <c r="G708" s="47">
        <f t="shared" si="26"/>
        <v>6.1538461538461542</v>
      </c>
    </row>
    <row r="709" spans="1:7" ht="16.5" customHeight="1" x14ac:dyDescent="0.3">
      <c r="A709" s="10">
        <v>25</v>
      </c>
      <c r="B709" s="49" t="s">
        <v>47</v>
      </c>
      <c r="C709" s="50" t="s">
        <v>28</v>
      </c>
      <c r="D709" s="348">
        <f>VLOOKUP(B709,[1]Dcu!$B$3:$D$511,3,0)</f>
        <v>60</v>
      </c>
      <c r="E709" s="52">
        <v>0.05</v>
      </c>
      <c r="F709" s="347">
        <f>VLOOKUP(B709,[1]Dcu!$B$3:$E$511,4,0)</f>
        <v>1500000</v>
      </c>
      <c r="G709" s="47">
        <f t="shared" si="26"/>
        <v>48.07692307692308</v>
      </c>
    </row>
    <row r="710" spans="1:7" ht="16.5" customHeight="1" x14ac:dyDescent="0.3">
      <c r="A710" s="10">
        <v>26</v>
      </c>
      <c r="B710" s="49" t="s">
        <v>48</v>
      </c>
      <c r="C710" s="50" t="s">
        <v>36</v>
      </c>
      <c r="D710" s="348">
        <f>VLOOKUP(B710,[1]Dcu!$B$3:$D$511,3,0)</f>
        <v>36</v>
      </c>
      <c r="E710" s="52">
        <v>0.6</v>
      </c>
      <c r="F710" s="347">
        <f>VLOOKUP(B710,[1]Dcu!$B$3:$E$511,4,0)</f>
        <v>40000</v>
      </c>
      <c r="G710" s="47">
        <f t="shared" si="26"/>
        <v>25.641025641025639</v>
      </c>
    </row>
    <row r="711" spans="1:7" ht="16.5" customHeight="1" x14ac:dyDescent="0.3">
      <c r="A711" s="10">
        <v>27</v>
      </c>
      <c r="B711" s="49" t="s">
        <v>49</v>
      </c>
      <c r="C711" s="50" t="s">
        <v>28</v>
      </c>
      <c r="D711" s="348">
        <f>VLOOKUP(B711,[1]Dcu!$B$3:$D$511,3,0)</f>
        <v>96</v>
      </c>
      <c r="E711" s="52">
        <v>0.6</v>
      </c>
      <c r="F711" s="347">
        <f>VLOOKUP(B711,[1]Dcu!$B$3:$E$511,4,0)</f>
        <v>1000000</v>
      </c>
      <c r="G711" s="47">
        <f t="shared" si="26"/>
        <v>240.38461538461536</v>
      </c>
    </row>
    <row r="712" spans="1:7" ht="16.5" customHeight="1" x14ac:dyDescent="0.3">
      <c r="A712" s="10">
        <v>28</v>
      </c>
      <c r="B712" s="49" t="s">
        <v>50</v>
      </c>
      <c r="C712" s="50" t="s">
        <v>28</v>
      </c>
      <c r="D712" s="348">
        <f>VLOOKUP(B712,[1]Dcu!$B$3:$D$511,3,0)</f>
        <v>96</v>
      </c>
      <c r="E712" s="52">
        <v>0.6</v>
      </c>
      <c r="F712" s="347">
        <f>VLOOKUP(B712,[1]Dcu!$B$3:$E$511,4,0)</f>
        <v>300000</v>
      </c>
      <c r="G712" s="47">
        <f t="shared" si="26"/>
        <v>72.115384615384613</v>
      </c>
    </row>
    <row r="713" spans="1:7" ht="16.5" customHeight="1" x14ac:dyDescent="0.3">
      <c r="A713" s="10">
        <v>29</v>
      </c>
      <c r="B713" s="49" t="s">
        <v>51</v>
      </c>
      <c r="C713" s="50" t="s">
        <v>28</v>
      </c>
      <c r="D713" s="348">
        <f>VLOOKUP(B713,[1]Dcu!$B$3:$D$511,3,0)</f>
        <v>96</v>
      </c>
      <c r="E713" s="52">
        <v>0.6</v>
      </c>
      <c r="F713" s="347">
        <f>VLOOKUP(B713,[1]Dcu!$B$3:$E$511,4,0)</f>
        <v>80000</v>
      </c>
      <c r="G713" s="47">
        <f t="shared" si="26"/>
        <v>19.23076923076923</v>
      </c>
    </row>
    <row r="714" spans="1:7" ht="16.5" customHeight="1" x14ac:dyDescent="0.3">
      <c r="A714" s="10">
        <v>30</v>
      </c>
      <c r="B714" s="49" t="s">
        <v>52</v>
      </c>
      <c r="C714" s="50" t="s">
        <v>53</v>
      </c>
      <c r="D714" s="52"/>
      <c r="E714" s="52">
        <v>1.157</v>
      </c>
      <c r="F714" s="347">
        <f>VLOOKUP(B714,[1]Dcu!$B$3:$E$511,4,0)</f>
        <v>1838</v>
      </c>
      <c r="G714" s="47">
        <f>F714*E714</f>
        <v>2126.5660000000003</v>
      </c>
    </row>
    <row r="715" spans="1:7" ht="16.5" customHeight="1" x14ac:dyDescent="0.3">
      <c r="A715" s="383" t="s">
        <v>715</v>
      </c>
      <c r="B715" s="386" t="s">
        <v>726</v>
      </c>
      <c r="C715" s="456" t="s">
        <v>727</v>
      </c>
      <c r="D715" s="456"/>
      <c r="E715" s="457"/>
      <c r="F715" s="347"/>
      <c r="G715" s="164">
        <f>G684</f>
        <v>52033.09965384614</v>
      </c>
    </row>
    <row r="716" spans="1:7" ht="22.5" customHeight="1" x14ac:dyDescent="0.3">
      <c r="A716" s="11" t="s">
        <v>557</v>
      </c>
      <c r="B716" s="311" t="s">
        <v>492</v>
      </c>
      <c r="C716" s="312"/>
      <c r="D716" s="312"/>
      <c r="E716" s="313"/>
      <c r="F716" s="46"/>
      <c r="G716" s="45">
        <f>SUM(G717:G746)*1.05+G747</f>
        <v>120622.49953846156</v>
      </c>
    </row>
    <row r="717" spans="1:7" ht="16.5" customHeight="1" x14ac:dyDescent="0.3">
      <c r="A717" s="73">
        <v>1</v>
      </c>
      <c r="B717" s="93" t="s">
        <v>27</v>
      </c>
      <c r="C717" s="73" t="s">
        <v>28</v>
      </c>
      <c r="D717" s="348">
        <f>VLOOKUP(B717,[1]Dcu!$B$3:$D$511,3,0)</f>
        <v>12</v>
      </c>
      <c r="E717" s="242">
        <v>0.9</v>
      </c>
      <c r="F717" s="347">
        <f>VLOOKUP(B717,[1]Dcu!$B$3:$E$511,4,0)</f>
        <v>100000</v>
      </c>
      <c r="G717" s="47">
        <f t="shared" si="26"/>
        <v>288.46153846153845</v>
      </c>
    </row>
    <row r="718" spans="1:7" ht="16.5" customHeight="1" x14ac:dyDescent="0.3">
      <c r="A718" s="73">
        <v>2</v>
      </c>
      <c r="B718" s="142" t="s">
        <v>73</v>
      </c>
      <c r="C718" s="18" t="s">
        <v>28</v>
      </c>
      <c r="D718" s="348">
        <f>VLOOKUP(B718,[1]Dcu!$B$3:$D$511,3,0)</f>
        <v>12</v>
      </c>
      <c r="E718" s="18">
        <v>0.9</v>
      </c>
      <c r="F718" s="347">
        <f>VLOOKUP(B718,[1]Dcu!$B$3:$E$511,4,0)</f>
        <v>70000</v>
      </c>
      <c r="G718" s="47">
        <f t="shared" si="26"/>
        <v>201.92307692307693</v>
      </c>
    </row>
    <row r="719" spans="1:7" ht="16.5" customHeight="1" x14ac:dyDescent="0.3">
      <c r="A719" s="73">
        <v>3</v>
      </c>
      <c r="B719" s="142" t="s">
        <v>68</v>
      </c>
      <c r="C719" s="18" t="s">
        <v>28</v>
      </c>
      <c r="D719" s="348">
        <f>VLOOKUP(B719,[1]Dcu!$B$3:$D$511,3,0)</f>
        <v>12</v>
      </c>
      <c r="E719" s="18">
        <v>0.9</v>
      </c>
      <c r="F719" s="347">
        <f>VLOOKUP(B719,[1]Dcu!$B$3:$E$511,4,0)</f>
        <v>3500000</v>
      </c>
      <c r="G719" s="47">
        <f t="shared" si="26"/>
        <v>10096.153846153848</v>
      </c>
    </row>
    <row r="720" spans="1:7" ht="16.5" customHeight="1" x14ac:dyDescent="0.3">
      <c r="A720" s="73">
        <v>4</v>
      </c>
      <c r="B720" s="142" t="s">
        <v>31</v>
      </c>
      <c r="C720" s="18" t="s">
        <v>28</v>
      </c>
      <c r="D720" s="348">
        <f>VLOOKUP(B720,[1]Dcu!$B$3:$D$511,3,0)</f>
        <v>1</v>
      </c>
      <c r="E720" s="18">
        <v>0.9</v>
      </c>
      <c r="F720" s="347">
        <f>VLOOKUP(B720,[1]Dcu!$B$3:$E$511,4,0)</f>
        <v>3000</v>
      </c>
      <c r="G720" s="47">
        <f t="shared" si="26"/>
        <v>103.84615384615385</v>
      </c>
    </row>
    <row r="721" spans="1:7" ht="16.5" customHeight="1" x14ac:dyDescent="0.3">
      <c r="A721" s="73">
        <v>5</v>
      </c>
      <c r="B721" s="142" t="s">
        <v>59</v>
      </c>
      <c r="C721" s="18" t="s">
        <v>28</v>
      </c>
      <c r="D721" s="348">
        <f>VLOOKUP(B721,[1]Dcu!$B$3:$D$511,3,0)</f>
        <v>36</v>
      </c>
      <c r="E721" s="18">
        <v>0.9</v>
      </c>
      <c r="F721" s="347">
        <f>VLOOKUP(B721,[1]Dcu!$B$3:$E$511,4,0)</f>
        <v>110000</v>
      </c>
      <c r="G721" s="47">
        <f t="shared" si="26"/>
        <v>105.76923076923077</v>
      </c>
    </row>
    <row r="722" spans="1:7" ht="16.5" customHeight="1" x14ac:dyDescent="0.3">
      <c r="A722" s="73">
        <v>6</v>
      </c>
      <c r="B722" s="142" t="s">
        <v>81</v>
      </c>
      <c r="C722" s="18" t="s">
        <v>28</v>
      </c>
      <c r="D722" s="348">
        <f>VLOOKUP(B722,[1]Dcu!$B$3:$D$511,3,0)</f>
        <v>12</v>
      </c>
      <c r="E722" s="18">
        <v>0.9</v>
      </c>
      <c r="F722" s="347">
        <f>VLOOKUP(B722,[1]Dcu!$B$3:$E$511,4,0)</f>
        <v>170000</v>
      </c>
      <c r="G722" s="47">
        <f t="shared" si="26"/>
        <v>490.38461538461542</v>
      </c>
    </row>
    <row r="723" spans="1:7" ht="16.5" customHeight="1" x14ac:dyDescent="0.3">
      <c r="A723" s="73">
        <v>7</v>
      </c>
      <c r="B723" s="142" t="s">
        <v>32</v>
      </c>
      <c r="C723" s="18" t="s">
        <v>28</v>
      </c>
      <c r="D723" s="348">
        <f>VLOOKUP(B723,[1]Dcu!$B$3:$D$511,3,0)</f>
        <v>12</v>
      </c>
      <c r="E723" s="18">
        <v>0.9</v>
      </c>
      <c r="F723" s="347">
        <f>VLOOKUP(B723,[1]Dcu!$B$3:$E$511,4,0)</f>
        <v>85000</v>
      </c>
      <c r="G723" s="47">
        <f t="shared" si="26"/>
        <v>245.19230769230771</v>
      </c>
    </row>
    <row r="724" spans="1:7" ht="16.5" customHeight="1" x14ac:dyDescent="0.3">
      <c r="A724" s="73">
        <v>8</v>
      </c>
      <c r="B724" s="142" t="s">
        <v>55</v>
      </c>
      <c r="C724" s="18" t="s">
        <v>28</v>
      </c>
      <c r="D724" s="348">
        <f>VLOOKUP(B724,[1]Dcu!$B$3:$D$511,3,0)</f>
        <v>12</v>
      </c>
      <c r="E724" s="18">
        <v>0.9</v>
      </c>
      <c r="F724" s="347">
        <f>VLOOKUP(B724,[1]Dcu!$B$3:$E$511,4,0)</f>
        <v>150000</v>
      </c>
      <c r="G724" s="47">
        <f t="shared" si="26"/>
        <v>432.69230769230768</v>
      </c>
    </row>
    <row r="725" spans="1:7" ht="16.5" customHeight="1" x14ac:dyDescent="0.3">
      <c r="A725" s="73">
        <v>9</v>
      </c>
      <c r="B725" s="142" t="s">
        <v>84</v>
      </c>
      <c r="C725" s="18" t="s">
        <v>28</v>
      </c>
      <c r="D725" s="348">
        <f>VLOOKUP(B725,[1]Dcu!$B$3:$D$511,3,0)</f>
        <v>12</v>
      </c>
      <c r="E725" s="18">
        <v>0.9</v>
      </c>
      <c r="F725" s="347">
        <f>VLOOKUP(B725,[1]Dcu!$B$3:$E$511,4,0)</f>
        <v>90000</v>
      </c>
      <c r="G725" s="47">
        <f t="shared" si="26"/>
        <v>259.61538461538464</v>
      </c>
    </row>
    <row r="726" spans="1:7" ht="16.5" customHeight="1" x14ac:dyDescent="0.3">
      <c r="A726" s="73">
        <v>10</v>
      </c>
      <c r="B726" s="142" t="s">
        <v>61</v>
      </c>
      <c r="C726" s="18" t="s">
        <v>28</v>
      </c>
      <c r="D726" s="348">
        <f>VLOOKUP(B726,[1]Dcu!$B$3:$D$511,3,0)</f>
        <v>12</v>
      </c>
      <c r="E726" s="18">
        <v>0.9</v>
      </c>
      <c r="F726" s="347">
        <f>VLOOKUP(B726,[1]Dcu!$B$3:$E$511,4,0)</f>
        <v>15000</v>
      </c>
      <c r="G726" s="47">
        <f t="shared" si="26"/>
        <v>43.269230769230774</v>
      </c>
    </row>
    <row r="727" spans="1:7" ht="16.5" customHeight="1" x14ac:dyDescent="0.3">
      <c r="A727" s="73">
        <v>11</v>
      </c>
      <c r="B727" s="142" t="s">
        <v>62</v>
      </c>
      <c r="C727" s="18" t="s">
        <v>28</v>
      </c>
      <c r="D727" s="348">
        <f>VLOOKUP(B727,[1]Dcu!$B$3:$D$511,3,0)</f>
        <v>12</v>
      </c>
      <c r="E727" s="18">
        <v>0.9</v>
      </c>
      <c r="F727" s="347">
        <f>VLOOKUP(B727,[1]Dcu!$B$3:$E$511,4,0)</f>
        <v>44000</v>
      </c>
      <c r="G727" s="47">
        <f t="shared" si="26"/>
        <v>126.92307692307692</v>
      </c>
    </row>
    <row r="728" spans="1:7" ht="16.5" customHeight="1" x14ac:dyDescent="0.3">
      <c r="A728" s="73">
        <v>12</v>
      </c>
      <c r="B728" s="142" t="s">
        <v>104</v>
      </c>
      <c r="C728" s="18" t="s">
        <v>28</v>
      </c>
      <c r="D728" s="348">
        <f>VLOOKUP(B728,[1]Dcu!$B$3:$D$511,3,0)</f>
        <v>12</v>
      </c>
      <c r="E728" s="18">
        <v>0.5</v>
      </c>
      <c r="F728" s="347">
        <f>VLOOKUP(B728,[1]Dcu!$B$3:$E$511,4,0)</f>
        <v>35000000</v>
      </c>
      <c r="G728" s="47">
        <f t="shared" si="26"/>
        <v>56089.743589743586</v>
      </c>
    </row>
    <row r="729" spans="1:7" ht="16.5" customHeight="1" x14ac:dyDescent="0.3">
      <c r="A729" s="73">
        <v>13</v>
      </c>
      <c r="B729" s="142" t="s">
        <v>96</v>
      </c>
      <c r="C729" s="18" t="s">
        <v>28</v>
      </c>
      <c r="D729" s="348">
        <f>VLOOKUP(B729,[1]Dcu!$B$3:$D$511,3,0)</f>
        <v>24</v>
      </c>
      <c r="E729" s="18">
        <v>0.5</v>
      </c>
      <c r="F729" s="347">
        <f>VLOOKUP(B729,[1]Dcu!$B$3:$E$511,4,0)</f>
        <v>15000000</v>
      </c>
      <c r="G729" s="47">
        <f t="shared" si="26"/>
        <v>12019.23076923077</v>
      </c>
    </row>
    <row r="730" spans="1:7" ht="16.5" customHeight="1" x14ac:dyDescent="0.3">
      <c r="A730" s="73">
        <v>14</v>
      </c>
      <c r="B730" s="142" t="s">
        <v>105</v>
      </c>
      <c r="C730" s="18" t="s">
        <v>28</v>
      </c>
      <c r="D730" s="348">
        <f>VLOOKUP(B730,[1]Dcu!$B$3:$D$511,3,0)</f>
        <v>2</v>
      </c>
      <c r="E730" s="18">
        <v>0.5</v>
      </c>
      <c r="F730" s="347">
        <f>VLOOKUP(B730,[1]Dcu!$B$3:$E$511,4,0)</f>
        <v>1450000</v>
      </c>
      <c r="G730" s="47">
        <f t="shared" si="26"/>
        <v>13942.307692307691</v>
      </c>
    </row>
    <row r="731" spans="1:7" ht="16.5" customHeight="1" x14ac:dyDescent="0.3">
      <c r="A731" s="73">
        <v>15</v>
      </c>
      <c r="B731" s="142" t="s">
        <v>97</v>
      </c>
      <c r="C731" s="18" t="s">
        <v>28</v>
      </c>
      <c r="D731" s="348">
        <f>VLOOKUP(B731,[1]Dcu!$B$3:$D$511,3,0)</f>
        <v>24</v>
      </c>
      <c r="E731" s="18">
        <v>0.5</v>
      </c>
      <c r="F731" s="347">
        <f>VLOOKUP(B731,[1]Dcu!$B$3:$E$511,4,0)</f>
        <v>4500000</v>
      </c>
      <c r="G731" s="47">
        <f t="shared" si="26"/>
        <v>3605.7692307692309</v>
      </c>
    </row>
    <row r="732" spans="1:7" ht="16.5" customHeight="1" x14ac:dyDescent="0.3">
      <c r="A732" s="73">
        <v>16</v>
      </c>
      <c r="B732" s="142" t="s">
        <v>106</v>
      </c>
      <c r="C732" s="18" t="s">
        <v>28</v>
      </c>
      <c r="D732" s="348">
        <f>VLOOKUP(B732,[1]Dcu!$B$3:$D$511,3,0)</f>
        <v>24</v>
      </c>
      <c r="E732" s="18">
        <v>0.5</v>
      </c>
      <c r="F732" s="347">
        <f>VLOOKUP(B732,[1]Dcu!$B$3:$E$511,4,0)</f>
        <v>14000000</v>
      </c>
      <c r="G732" s="47">
        <f t="shared" si="26"/>
        <v>11217.948717948719</v>
      </c>
    </row>
    <row r="733" spans="1:7" ht="16.5" customHeight="1" x14ac:dyDescent="0.3">
      <c r="A733" s="73">
        <v>17</v>
      </c>
      <c r="B733" s="142" t="s">
        <v>39</v>
      </c>
      <c r="C733" s="18" t="s">
        <v>28</v>
      </c>
      <c r="D733" s="348">
        <f>VLOOKUP(B733,[1]Dcu!$B$3:$D$511,3,0)</f>
        <v>36</v>
      </c>
      <c r="E733" s="18">
        <v>0.9</v>
      </c>
      <c r="F733" s="347">
        <f>VLOOKUP(B733,[1]Dcu!$B$3:$E$511,4,0)</f>
        <v>340000</v>
      </c>
      <c r="G733" s="47">
        <f t="shared" si="26"/>
        <v>326.92307692307691</v>
      </c>
    </row>
    <row r="734" spans="1:7" ht="16.5" customHeight="1" x14ac:dyDescent="0.3">
      <c r="A734" s="73">
        <v>18</v>
      </c>
      <c r="B734" s="142" t="s">
        <v>40</v>
      </c>
      <c r="C734" s="18" t="s">
        <v>28</v>
      </c>
      <c r="D734" s="348">
        <f>VLOOKUP(B734,[1]Dcu!$B$3:$D$511,3,0)</f>
        <v>36</v>
      </c>
      <c r="E734" s="18">
        <v>0.9</v>
      </c>
      <c r="F734" s="347">
        <f>VLOOKUP(B734,[1]Dcu!$B$3:$E$511,4,0)</f>
        <v>700000</v>
      </c>
      <c r="G734" s="47">
        <f t="shared" si="26"/>
        <v>673.07692307692309</v>
      </c>
    </row>
    <row r="735" spans="1:7" ht="16.5" customHeight="1" x14ac:dyDescent="0.3">
      <c r="A735" s="73">
        <v>19</v>
      </c>
      <c r="B735" s="142" t="s">
        <v>85</v>
      </c>
      <c r="C735" s="18" t="s">
        <v>28</v>
      </c>
      <c r="D735" s="348">
        <f>VLOOKUP(B735,[1]Dcu!$B$3:$D$511,3,0)</f>
        <v>36</v>
      </c>
      <c r="E735" s="18">
        <v>0.9</v>
      </c>
      <c r="F735" s="347">
        <f>VLOOKUP(B735,[1]Dcu!$B$3:$E$511,4,0)</f>
        <v>110000</v>
      </c>
      <c r="G735" s="47">
        <f t="shared" si="26"/>
        <v>105.76923076923077</v>
      </c>
    </row>
    <row r="736" spans="1:7" ht="21" customHeight="1" x14ac:dyDescent="0.3">
      <c r="A736" s="73">
        <v>20</v>
      </c>
      <c r="B736" s="5" t="s">
        <v>639</v>
      </c>
      <c r="C736" s="18" t="s">
        <v>28</v>
      </c>
      <c r="D736" s="348">
        <f>VLOOKUP(B736,[1]Dcu!$B$3:$D$511,3,0)</f>
        <v>12</v>
      </c>
      <c r="E736" s="18">
        <v>0.9</v>
      </c>
      <c r="F736" s="347">
        <f>VLOOKUP(B736,[1]Dcu!$B$3:$E$511,4,0)</f>
        <v>30000</v>
      </c>
      <c r="G736" s="47">
        <f t="shared" si="26"/>
        <v>86.538461538461547</v>
      </c>
    </row>
    <row r="737" spans="1:7" ht="16.5" customHeight="1" x14ac:dyDescent="0.3">
      <c r="A737" s="73">
        <v>22</v>
      </c>
      <c r="B737" s="12" t="s">
        <v>621</v>
      </c>
      <c r="C737" s="10" t="s">
        <v>76</v>
      </c>
      <c r="D737" s="348">
        <f>VLOOKUP(B737,[1]Dcu!$B$3:$D$511,3,0)</f>
        <v>0.3</v>
      </c>
      <c r="E737" s="10">
        <v>0.02</v>
      </c>
      <c r="F737" s="347">
        <f>VLOOKUP(B737,[1]Dcu!$B$3:$E$511,4,0)</f>
        <v>200000</v>
      </c>
      <c r="G737" s="47">
        <f t="shared" si="26"/>
        <v>512.82051282051282</v>
      </c>
    </row>
    <row r="738" spans="1:7" ht="16.5" customHeight="1" x14ac:dyDescent="0.3">
      <c r="A738" s="73">
        <v>23</v>
      </c>
      <c r="B738" s="142" t="s">
        <v>43</v>
      </c>
      <c r="C738" s="10" t="s">
        <v>76</v>
      </c>
      <c r="D738" s="348">
        <f>VLOOKUP(B738,[1]Dcu!$B$3:$D$511,3,0)</f>
        <v>0.3</v>
      </c>
      <c r="E738" s="10">
        <v>0.02</v>
      </c>
      <c r="F738" s="347">
        <f>VLOOKUP(B738,[1]Dcu!$B$3:$E$511,4,0)</f>
        <v>400000</v>
      </c>
      <c r="G738" s="47">
        <f t="shared" si="26"/>
        <v>1025.6410256410256</v>
      </c>
    </row>
    <row r="739" spans="1:7" ht="16.5" customHeight="1" x14ac:dyDescent="0.3">
      <c r="A739" s="73">
        <v>24</v>
      </c>
      <c r="B739" s="142" t="s">
        <v>44</v>
      </c>
      <c r="C739" s="18" t="s">
        <v>28</v>
      </c>
      <c r="D739" s="348">
        <f>VLOOKUP(B739,[1]Dcu!$B$3:$D$511,3,0)</f>
        <v>60</v>
      </c>
      <c r="E739" s="18">
        <v>0.16</v>
      </c>
      <c r="F739" s="347">
        <f>VLOOKUP(B739,[1]Dcu!$B$3:$E$511,4,0)</f>
        <v>500000</v>
      </c>
      <c r="G739" s="47">
        <f t="shared" si="26"/>
        <v>51.282051282051277</v>
      </c>
    </row>
    <row r="740" spans="1:7" ht="16.5" customHeight="1" x14ac:dyDescent="0.3">
      <c r="A740" s="73">
        <v>25</v>
      </c>
      <c r="B740" s="142" t="s">
        <v>45</v>
      </c>
      <c r="C740" s="18" t="s">
        <v>28</v>
      </c>
      <c r="D740" s="348">
        <f>VLOOKUP(B740,[1]Dcu!$B$3:$D$511,3,0)</f>
        <v>60</v>
      </c>
      <c r="E740" s="18">
        <v>0.16</v>
      </c>
      <c r="F740" s="347">
        <f>VLOOKUP(B740,[1]Dcu!$B$3:$E$511,4,0)</f>
        <v>250000</v>
      </c>
      <c r="G740" s="47">
        <f t="shared" si="26"/>
        <v>25.641025641025639</v>
      </c>
    </row>
    <row r="741" spans="1:7" ht="16.5" customHeight="1" x14ac:dyDescent="0.3">
      <c r="A741" s="73">
        <v>26</v>
      </c>
      <c r="B741" s="142" t="s">
        <v>46</v>
      </c>
      <c r="C741" s="18" t="s">
        <v>28</v>
      </c>
      <c r="D741" s="348">
        <f>VLOOKUP(B741,[1]Dcu!$B$3:$D$511,3,0)</f>
        <v>60</v>
      </c>
      <c r="E741" s="18">
        <v>8.0000000000000002E-3</v>
      </c>
      <c r="F741" s="347">
        <f>VLOOKUP(B741,[1]Dcu!$B$3:$E$511,4,0)</f>
        <v>1600000</v>
      </c>
      <c r="G741" s="47">
        <f t="shared" si="26"/>
        <v>8.2051282051282044</v>
      </c>
    </row>
    <row r="742" spans="1:7" ht="16.5" customHeight="1" x14ac:dyDescent="0.3">
      <c r="A742" s="73">
        <v>27</v>
      </c>
      <c r="B742" s="142" t="s">
        <v>47</v>
      </c>
      <c r="C742" s="18" t="s">
        <v>28</v>
      </c>
      <c r="D742" s="348">
        <f>VLOOKUP(B742,[1]Dcu!$B$3:$D$511,3,0)</f>
        <v>60</v>
      </c>
      <c r="E742" s="18">
        <v>0.06</v>
      </c>
      <c r="F742" s="347">
        <f>VLOOKUP(B742,[1]Dcu!$B$3:$E$511,4,0)</f>
        <v>1500000</v>
      </c>
      <c r="G742" s="47">
        <f t="shared" si="26"/>
        <v>57.692307692307693</v>
      </c>
    </row>
    <row r="743" spans="1:7" ht="16.5" customHeight="1" x14ac:dyDescent="0.3">
      <c r="A743" s="73">
        <v>28</v>
      </c>
      <c r="B743" s="142" t="s">
        <v>48</v>
      </c>
      <c r="C743" s="18" t="s">
        <v>36</v>
      </c>
      <c r="D743" s="348">
        <f>VLOOKUP(B743,[1]Dcu!$B$3:$D$511,3,0)</f>
        <v>36</v>
      </c>
      <c r="E743" s="18">
        <v>0.96</v>
      </c>
      <c r="F743" s="347">
        <f>VLOOKUP(B743,[1]Dcu!$B$3:$E$511,4,0)</f>
        <v>40000</v>
      </c>
      <c r="G743" s="47">
        <f t="shared" si="26"/>
        <v>41.025641025641022</v>
      </c>
    </row>
    <row r="744" spans="1:7" ht="16.5" customHeight="1" x14ac:dyDescent="0.3">
      <c r="A744" s="73">
        <v>29</v>
      </c>
      <c r="B744" s="142" t="s">
        <v>49</v>
      </c>
      <c r="C744" s="18" t="s">
        <v>28</v>
      </c>
      <c r="D744" s="348">
        <f>VLOOKUP(B744,[1]Dcu!$B$3:$D$511,3,0)</f>
        <v>96</v>
      </c>
      <c r="E744" s="18">
        <v>0.24</v>
      </c>
      <c r="F744" s="347">
        <f>VLOOKUP(B744,[1]Dcu!$B$3:$E$511,4,0)</f>
        <v>1000000</v>
      </c>
      <c r="G744" s="47">
        <f t="shared" si="26"/>
        <v>96.153846153846146</v>
      </c>
    </row>
    <row r="745" spans="1:7" ht="16.5" customHeight="1" x14ac:dyDescent="0.3">
      <c r="A745" s="73">
        <v>30</v>
      </c>
      <c r="B745" s="142" t="s">
        <v>50</v>
      </c>
      <c r="C745" s="18" t="s">
        <v>28</v>
      </c>
      <c r="D745" s="348">
        <f>VLOOKUP(B745,[1]Dcu!$B$3:$D$511,3,0)</f>
        <v>96</v>
      </c>
      <c r="E745" s="18">
        <v>0.96</v>
      </c>
      <c r="F745" s="347">
        <f>VLOOKUP(B745,[1]Dcu!$B$3:$E$511,4,0)</f>
        <v>300000</v>
      </c>
      <c r="G745" s="47">
        <f t="shared" si="26"/>
        <v>115.38461538461539</v>
      </c>
    </row>
    <row r="746" spans="1:7" ht="16.5" customHeight="1" x14ac:dyDescent="0.3">
      <c r="A746" s="73">
        <v>31</v>
      </c>
      <c r="B746" s="142" t="s">
        <v>51</v>
      </c>
      <c r="C746" s="18" t="s">
        <v>28</v>
      </c>
      <c r="D746" s="348">
        <f>VLOOKUP(B746,[1]Dcu!$B$3:$D$511,3,0)</f>
        <v>96</v>
      </c>
      <c r="E746" s="18">
        <v>0.96</v>
      </c>
      <c r="F746" s="347">
        <f>VLOOKUP(B746,[1]Dcu!$B$3:$E$511,4,0)</f>
        <v>80000</v>
      </c>
      <c r="G746" s="47">
        <f t="shared" si="26"/>
        <v>30.769230769230766</v>
      </c>
    </row>
    <row r="747" spans="1:7" ht="16.5" customHeight="1" x14ac:dyDescent="0.3">
      <c r="A747" s="73">
        <v>33</v>
      </c>
      <c r="B747" s="142" t="s">
        <v>52</v>
      </c>
      <c r="C747" s="18" t="s">
        <v>53</v>
      </c>
      <c r="D747" s="82"/>
      <c r="E747" s="18">
        <v>1.401</v>
      </c>
      <c r="F747" s="347">
        <f>VLOOKUP(B747,[1]Dcu!$B$3:$E$511,4,0)</f>
        <v>1838</v>
      </c>
      <c r="G747" s="47">
        <f>F747*E747</f>
        <v>2575.038</v>
      </c>
    </row>
    <row r="748" spans="1:7" ht="16.5" customHeight="1" x14ac:dyDescent="0.3">
      <c r="A748" s="11" t="s">
        <v>558</v>
      </c>
      <c r="B748" s="311" t="s">
        <v>493</v>
      </c>
      <c r="C748" s="331"/>
      <c r="D748" s="494" t="s">
        <v>608</v>
      </c>
      <c r="E748" s="494"/>
      <c r="F748" s="495"/>
      <c r="G748" s="164">
        <f>G716</f>
        <v>120622.49953846156</v>
      </c>
    </row>
    <row r="749" spans="1:7" ht="16.5" customHeight="1" x14ac:dyDescent="0.3">
      <c r="A749" s="383" t="s">
        <v>717</v>
      </c>
      <c r="B749" s="467" t="s">
        <v>728</v>
      </c>
      <c r="C749" s="468"/>
      <c r="D749" s="468"/>
      <c r="E749" s="468"/>
      <c r="F749" s="143"/>
      <c r="G749" s="45">
        <f>SUM(G750:G777)*1.05+G778</f>
        <v>43936.473294871801</v>
      </c>
    </row>
    <row r="750" spans="1:7" ht="16.5" customHeight="1" x14ac:dyDescent="0.3">
      <c r="A750" s="10">
        <v>1</v>
      </c>
      <c r="B750" s="49" t="s">
        <v>27</v>
      </c>
      <c r="C750" s="50" t="s">
        <v>28</v>
      </c>
      <c r="D750" s="348">
        <f>VLOOKUP(B750,[1]Dcu!$B$3:$D$511,3,0)</f>
        <v>12</v>
      </c>
      <c r="E750" s="52">
        <v>0.5</v>
      </c>
      <c r="F750" s="347">
        <f>VLOOKUP(B750,[1]Dcu!$B$3:$E$511,4,0)</f>
        <v>100000</v>
      </c>
      <c r="G750" s="47">
        <f t="shared" si="26"/>
        <v>160.25641025641025</v>
      </c>
    </row>
    <row r="751" spans="1:7" ht="16.5" customHeight="1" x14ac:dyDescent="0.3">
      <c r="A751" s="10">
        <v>2</v>
      </c>
      <c r="B751" s="49" t="s">
        <v>73</v>
      </c>
      <c r="C751" s="50" t="s">
        <v>28</v>
      </c>
      <c r="D751" s="348">
        <f>VLOOKUP(B751,[1]Dcu!$B$3:$D$511,3,0)</f>
        <v>12</v>
      </c>
      <c r="E751" s="52">
        <v>0.5</v>
      </c>
      <c r="F751" s="347">
        <f>VLOOKUP(B751,[1]Dcu!$B$3:$E$511,4,0)</f>
        <v>70000</v>
      </c>
      <c r="G751" s="47">
        <f t="shared" si="26"/>
        <v>112.17948717948718</v>
      </c>
    </row>
    <row r="752" spans="1:7" ht="16.5" customHeight="1" x14ac:dyDescent="0.3">
      <c r="A752" s="10">
        <v>3</v>
      </c>
      <c r="B752" s="49" t="s">
        <v>68</v>
      </c>
      <c r="C752" s="50" t="s">
        <v>28</v>
      </c>
      <c r="D752" s="348">
        <f>VLOOKUP(B752,[1]Dcu!$B$3:$D$511,3,0)</f>
        <v>12</v>
      </c>
      <c r="E752" s="52">
        <v>0.5</v>
      </c>
      <c r="F752" s="347">
        <f>VLOOKUP(B752,[1]Dcu!$B$3:$E$511,4,0)</f>
        <v>3500000</v>
      </c>
      <c r="G752" s="47">
        <f t="shared" si="26"/>
        <v>5608.9743589743593</v>
      </c>
    </row>
    <row r="753" spans="1:7" ht="16.5" customHeight="1" x14ac:dyDescent="0.3">
      <c r="A753" s="10">
        <v>4</v>
      </c>
      <c r="B753" s="49" t="s">
        <v>31</v>
      </c>
      <c r="C753" s="50" t="s">
        <v>28</v>
      </c>
      <c r="D753" s="348">
        <f>VLOOKUP(B753,[1]Dcu!$B$3:$D$511,3,0)</f>
        <v>1</v>
      </c>
      <c r="E753" s="52">
        <v>0.5</v>
      </c>
      <c r="F753" s="347">
        <f>VLOOKUP(B753,[1]Dcu!$B$3:$E$511,4,0)</f>
        <v>3000</v>
      </c>
      <c r="G753" s="47">
        <f t="shared" si="26"/>
        <v>57.692307692307693</v>
      </c>
    </row>
    <row r="754" spans="1:7" ht="16.5" customHeight="1" x14ac:dyDescent="0.3">
      <c r="A754" s="10">
        <v>5</v>
      </c>
      <c r="B754" s="49" t="s">
        <v>59</v>
      </c>
      <c r="C754" s="50" t="s">
        <v>28</v>
      </c>
      <c r="D754" s="348">
        <f>VLOOKUP(B754,[1]Dcu!$B$3:$D$511,3,0)</f>
        <v>36</v>
      </c>
      <c r="E754" s="52">
        <v>0.5</v>
      </c>
      <c r="F754" s="347">
        <f>VLOOKUP(B754,[1]Dcu!$B$3:$E$511,4,0)</f>
        <v>110000</v>
      </c>
      <c r="G754" s="47">
        <f t="shared" si="26"/>
        <v>58.760683760683762</v>
      </c>
    </row>
    <row r="755" spans="1:7" ht="16.5" customHeight="1" x14ac:dyDescent="0.3">
      <c r="A755" s="10">
        <v>6</v>
      </c>
      <c r="B755" s="49" t="s">
        <v>81</v>
      </c>
      <c r="C755" s="50" t="s">
        <v>28</v>
      </c>
      <c r="D755" s="348">
        <f>VLOOKUP(B755,[1]Dcu!$B$3:$D$511,3,0)</f>
        <v>12</v>
      </c>
      <c r="E755" s="52">
        <v>0.5</v>
      </c>
      <c r="F755" s="347">
        <f>VLOOKUP(B755,[1]Dcu!$B$3:$E$511,4,0)</f>
        <v>170000</v>
      </c>
      <c r="G755" s="47">
        <f t="shared" si="26"/>
        <v>272.43589743589746</v>
      </c>
    </row>
    <row r="756" spans="1:7" ht="16.5" customHeight="1" x14ac:dyDescent="0.3">
      <c r="A756" s="10">
        <v>7</v>
      </c>
      <c r="B756" s="49" t="s">
        <v>32</v>
      </c>
      <c r="C756" s="50" t="s">
        <v>28</v>
      </c>
      <c r="D756" s="348">
        <f>VLOOKUP(B756,[1]Dcu!$B$3:$D$511,3,0)</f>
        <v>12</v>
      </c>
      <c r="E756" s="52">
        <v>0.5</v>
      </c>
      <c r="F756" s="347">
        <f>VLOOKUP(B756,[1]Dcu!$B$3:$E$511,4,0)</f>
        <v>85000</v>
      </c>
      <c r="G756" s="47">
        <f t="shared" si="26"/>
        <v>136.21794871794873</v>
      </c>
    </row>
    <row r="757" spans="1:7" ht="16.5" customHeight="1" x14ac:dyDescent="0.3">
      <c r="A757" s="10">
        <v>8</v>
      </c>
      <c r="B757" s="49" t="s">
        <v>55</v>
      </c>
      <c r="C757" s="50" t="s">
        <v>28</v>
      </c>
      <c r="D757" s="348">
        <f>VLOOKUP(B757,[1]Dcu!$B$3:$D$511,3,0)</f>
        <v>12</v>
      </c>
      <c r="E757" s="52">
        <v>0.5</v>
      </c>
      <c r="F757" s="347">
        <f>VLOOKUP(B757,[1]Dcu!$B$3:$E$511,4,0)</f>
        <v>150000</v>
      </c>
      <c r="G757" s="47">
        <f t="shared" si="26"/>
        <v>240.38461538461539</v>
      </c>
    </row>
    <row r="758" spans="1:7" ht="16.5" customHeight="1" x14ac:dyDescent="0.3">
      <c r="A758" s="10">
        <v>9</v>
      </c>
      <c r="B758" s="49" t="s">
        <v>84</v>
      </c>
      <c r="C758" s="50" t="s">
        <v>28</v>
      </c>
      <c r="D758" s="348">
        <f>VLOOKUP(B758,[1]Dcu!$B$3:$D$511,3,0)</f>
        <v>12</v>
      </c>
      <c r="E758" s="52">
        <v>0.5</v>
      </c>
      <c r="F758" s="347">
        <f>VLOOKUP(B758,[1]Dcu!$B$3:$E$511,4,0)</f>
        <v>90000</v>
      </c>
      <c r="G758" s="47">
        <f t="shared" si="26"/>
        <v>144.23076923076923</v>
      </c>
    </row>
    <row r="759" spans="1:7" ht="16.5" customHeight="1" x14ac:dyDescent="0.3">
      <c r="A759" s="10">
        <v>10</v>
      </c>
      <c r="B759" s="49" t="s">
        <v>61</v>
      </c>
      <c r="C759" s="50" t="s">
        <v>28</v>
      </c>
      <c r="D759" s="348">
        <f>VLOOKUP(B759,[1]Dcu!$B$3:$D$511,3,0)</f>
        <v>12</v>
      </c>
      <c r="E759" s="52">
        <v>0.5</v>
      </c>
      <c r="F759" s="347">
        <f>VLOOKUP(B759,[1]Dcu!$B$3:$E$511,4,0)</f>
        <v>15000</v>
      </c>
      <c r="G759" s="47">
        <f t="shared" si="26"/>
        <v>24.03846153846154</v>
      </c>
    </row>
    <row r="760" spans="1:7" ht="16.5" customHeight="1" x14ac:dyDescent="0.3">
      <c r="A760" s="10">
        <v>11</v>
      </c>
      <c r="B760" s="49" t="s">
        <v>62</v>
      </c>
      <c r="C760" s="50" t="s">
        <v>28</v>
      </c>
      <c r="D760" s="348">
        <f>VLOOKUP(B760,[1]Dcu!$B$3:$D$511,3,0)</f>
        <v>12</v>
      </c>
      <c r="E760" s="52">
        <v>0.5</v>
      </c>
      <c r="F760" s="347">
        <f>VLOOKUP(B760,[1]Dcu!$B$3:$E$511,4,0)</f>
        <v>44000</v>
      </c>
      <c r="G760" s="47">
        <f t="shared" si="26"/>
        <v>70.512820512820511</v>
      </c>
    </row>
    <row r="761" spans="1:7" ht="16.5" customHeight="1" x14ac:dyDescent="0.3">
      <c r="A761" s="10">
        <v>12</v>
      </c>
      <c r="B761" s="49" t="s">
        <v>96</v>
      </c>
      <c r="C761" s="50" t="s">
        <v>28</v>
      </c>
      <c r="D761" s="348">
        <f>VLOOKUP(B761,[1]Dcu!$B$3:$D$511,3,0)</f>
        <v>24</v>
      </c>
      <c r="E761" s="52">
        <v>0.5</v>
      </c>
      <c r="F761" s="347">
        <f>VLOOKUP(B761,[1]Dcu!$B$3:$E$511,4,0)</f>
        <v>15000000</v>
      </c>
      <c r="G761" s="47">
        <f t="shared" si="26"/>
        <v>12019.23076923077</v>
      </c>
    </row>
    <row r="762" spans="1:7" ht="16.5" customHeight="1" x14ac:dyDescent="0.3">
      <c r="A762" s="10">
        <v>13</v>
      </c>
      <c r="B762" s="49" t="s">
        <v>97</v>
      </c>
      <c r="C762" s="50" t="s">
        <v>28</v>
      </c>
      <c r="D762" s="348">
        <f>VLOOKUP(B762,[1]Dcu!$B$3:$D$511,3,0)</f>
        <v>24</v>
      </c>
      <c r="E762" s="52">
        <v>0.5</v>
      </c>
      <c r="F762" s="347">
        <f>VLOOKUP(B762,[1]Dcu!$B$3:$E$511,4,0)</f>
        <v>4500000</v>
      </c>
      <c r="G762" s="47">
        <f t="shared" si="26"/>
        <v>3605.7692307692309</v>
      </c>
    </row>
    <row r="763" spans="1:7" ht="16.5" customHeight="1" x14ac:dyDescent="0.3">
      <c r="A763" s="10">
        <v>14</v>
      </c>
      <c r="B763" s="49" t="s">
        <v>103</v>
      </c>
      <c r="C763" s="50" t="s">
        <v>28</v>
      </c>
      <c r="D763" s="348">
        <f>VLOOKUP(B763,[1]Dcu!$B$3:$D$511,3,0)</f>
        <v>24</v>
      </c>
      <c r="E763" s="52">
        <v>0.5</v>
      </c>
      <c r="F763" s="347">
        <f>VLOOKUP(B763,[1]Dcu!$B$3:$E$511,4,0)</f>
        <v>19000000</v>
      </c>
      <c r="G763" s="47">
        <f t="shared" si="26"/>
        <v>15224.358974358975</v>
      </c>
    </row>
    <row r="764" spans="1:7" ht="16.5" customHeight="1" x14ac:dyDescent="0.3">
      <c r="A764" s="10">
        <v>15</v>
      </c>
      <c r="B764" s="49" t="s">
        <v>39</v>
      </c>
      <c r="C764" s="50" t="s">
        <v>28</v>
      </c>
      <c r="D764" s="348">
        <f>VLOOKUP(B764,[1]Dcu!$B$3:$D$511,3,0)</f>
        <v>36</v>
      </c>
      <c r="E764" s="52">
        <v>0.5</v>
      </c>
      <c r="F764" s="347">
        <f>VLOOKUP(B764,[1]Dcu!$B$3:$E$511,4,0)</f>
        <v>340000</v>
      </c>
      <c r="G764" s="47">
        <f t="shared" si="26"/>
        <v>181.62393162393161</v>
      </c>
    </row>
    <row r="765" spans="1:7" ht="16.5" customHeight="1" x14ac:dyDescent="0.3">
      <c r="A765" s="10">
        <v>16</v>
      </c>
      <c r="B765" s="49" t="s">
        <v>40</v>
      </c>
      <c r="C765" s="50" t="s">
        <v>28</v>
      </c>
      <c r="D765" s="348">
        <f>VLOOKUP(B765,[1]Dcu!$B$3:$D$511,3,0)</f>
        <v>36</v>
      </c>
      <c r="E765" s="52">
        <v>0.5</v>
      </c>
      <c r="F765" s="347">
        <f>VLOOKUP(B765,[1]Dcu!$B$3:$E$511,4,0)</f>
        <v>700000</v>
      </c>
      <c r="G765" s="47">
        <f t="shared" si="26"/>
        <v>373.9316239316239</v>
      </c>
    </row>
    <row r="766" spans="1:7" ht="16.5" customHeight="1" x14ac:dyDescent="0.3">
      <c r="A766" s="10">
        <v>17</v>
      </c>
      <c r="B766" s="49" t="s">
        <v>85</v>
      </c>
      <c r="C766" s="50" t="s">
        <v>28</v>
      </c>
      <c r="D766" s="348">
        <f>VLOOKUP(B766,[1]Dcu!$B$3:$D$511,3,0)</f>
        <v>36</v>
      </c>
      <c r="E766" s="52">
        <v>0.5</v>
      </c>
      <c r="F766" s="347">
        <f>VLOOKUP(B766,[1]Dcu!$B$3:$E$511,4,0)</f>
        <v>110000</v>
      </c>
      <c r="G766" s="47">
        <f t="shared" si="26"/>
        <v>58.760683760683762</v>
      </c>
    </row>
    <row r="767" spans="1:7" ht="20.25" customHeight="1" x14ac:dyDescent="0.3">
      <c r="A767" s="10">
        <v>18</v>
      </c>
      <c r="B767" s="5" t="s">
        <v>639</v>
      </c>
      <c r="C767" s="50" t="s">
        <v>28</v>
      </c>
      <c r="D767" s="348">
        <f>VLOOKUP(B767,[1]Dcu!$B$3:$D$511,3,0)</f>
        <v>12</v>
      </c>
      <c r="E767" s="52">
        <v>0.5</v>
      </c>
      <c r="F767" s="347">
        <f>VLOOKUP(B767,[1]Dcu!$B$3:$E$511,4,0)</f>
        <v>30000</v>
      </c>
      <c r="G767" s="47">
        <f t="shared" ref="G767:G777" si="27">F767/(D767*26)*E767</f>
        <v>48.07692307692308</v>
      </c>
    </row>
    <row r="768" spans="1:7" ht="16.5" customHeight="1" x14ac:dyDescent="0.3">
      <c r="A768" s="10">
        <v>20</v>
      </c>
      <c r="B768" s="12" t="s">
        <v>621</v>
      </c>
      <c r="C768" s="10" t="s">
        <v>76</v>
      </c>
      <c r="D768" s="348">
        <f>VLOOKUP(B768,[1]Dcu!$B$3:$D$511,3,0)</f>
        <v>0.3</v>
      </c>
      <c r="E768" s="10">
        <v>0.02</v>
      </c>
      <c r="F768" s="347">
        <f>VLOOKUP(B768,[1]Dcu!$B$3:$E$511,4,0)</f>
        <v>200000</v>
      </c>
      <c r="G768" s="47">
        <f t="shared" si="27"/>
        <v>512.82051282051282</v>
      </c>
    </row>
    <row r="769" spans="1:7" ht="16.5" customHeight="1" x14ac:dyDescent="0.3">
      <c r="A769" s="10">
        <v>21</v>
      </c>
      <c r="B769" s="49" t="s">
        <v>43</v>
      </c>
      <c r="C769" s="10" t="s">
        <v>76</v>
      </c>
      <c r="D769" s="348">
        <f>VLOOKUP(B769,[1]Dcu!$B$3:$D$511,3,0)</f>
        <v>0.3</v>
      </c>
      <c r="E769" s="10">
        <v>0.02</v>
      </c>
      <c r="F769" s="347">
        <f>VLOOKUP(B769,[1]Dcu!$B$3:$E$511,4,0)</f>
        <v>400000</v>
      </c>
      <c r="G769" s="47">
        <f t="shared" si="27"/>
        <v>1025.6410256410256</v>
      </c>
    </row>
    <row r="770" spans="1:7" ht="16.5" customHeight="1" x14ac:dyDescent="0.3">
      <c r="A770" s="10">
        <v>22</v>
      </c>
      <c r="B770" s="49" t="s">
        <v>44</v>
      </c>
      <c r="C770" s="50" t="s">
        <v>28</v>
      </c>
      <c r="D770" s="348">
        <f>VLOOKUP(B770,[1]Dcu!$B$3:$D$511,3,0)</f>
        <v>60</v>
      </c>
      <c r="E770" s="52">
        <v>0.107</v>
      </c>
      <c r="F770" s="347">
        <f>VLOOKUP(B770,[1]Dcu!$B$3:$E$511,4,0)</f>
        <v>500000</v>
      </c>
      <c r="G770" s="47">
        <f t="shared" si="27"/>
        <v>34.294871794871796</v>
      </c>
    </row>
    <row r="771" spans="1:7" ht="16.5" customHeight="1" x14ac:dyDescent="0.3">
      <c r="A771" s="10">
        <v>23</v>
      </c>
      <c r="B771" s="49" t="s">
        <v>45</v>
      </c>
      <c r="C771" s="50" t="s">
        <v>28</v>
      </c>
      <c r="D771" s="348">
        <f>VLOOKUP(B771,[1]Dcu!$B$3:$D$511,3,0)</f>
        <v>60</v>
      </c>
      <c r="E771" s="52">
        <v>0.107</v>
      </c>
      <c r="F771" s="347">
        <f>VLOOKUP(B771,[1]Dcu!$B$3:$E$511,4,0)</f>
        <v>250000</v>
      </c>
      <c r="G771" s="47">
        <f t="shared" si="27"/>
        <v>17.147435897435898</v>
      </c>
    </row>
    <row r="772" spans="1:7" ht="16.5" customHeight="1" x14ac:dyDescent="0.3">
      <c r="A772" s="10">
        <v>24</v>
      </c>
      <c r="B772" s="49" t="s">
        <v>46</v>
      </c>
      <c r="C772" s="50" t="s">
        <v>28</v>
      </c>
      <c r="D772" s="348">
        <f>VLOOKUP(B772,[1]Dcu!$B$3:$D$511,3,0)</f>
        <v>60</v>
      </c>
      <c r="E772" s="52">
        <v>5.0000000000000001E-3</v>
      </c>
      <c r="F772" s="347">
        <f>VLOOKUP(B772,[1]Dcu!$B$3:$E$511,4,0)</f>
        <v>1600000</v>
      </c>
      <c r="G772" s="47">
        <f t="shared" si="27"/>
        <v>5.1282051282051286</v>
      </c>
    </row>
    <row r="773" spans="1:7" ht="16.5" customHeight="1" x14ac:dyDescent="0.3">
      <c r="A773" s="10">
        <v>25</v>
      </c>
      <c r="B773" s="49" t="s">
        <v>47</v>
      </c>
      <c r="C773" s="50" t="s">
        <v>28</v>
      </c>
      <c r="D773" s="348">
        <f>VLOOKUP(B773,[1]Dcu!$B$3:$D$511,3,0)</f>
        <v>60</v>
      </c>
      <c r="E773" s="52">
        <v>0.04</v>
      </c>
      <c r="F773" s="347">
        <f>VLOOKUP(B773,[1]Dcu!$B$3:$E$511,4,0)</f>
        <v>1500000</v>
      </c>
      <c r="G773" s="47">
        <f t="shared" si="27"/>
        <v>38.46153846153846</v>
      </c>
    </row>
    <row r="774" spans="1:7" ht="16.5" customHeight="1" x14ac:dyDescent="0.3">
      <c r="A774" s="10">
        <v>26</v>
      </c>
      <c r="B774" s="49" t="s">
        <v>48</v>
      </c>
      <c r="C774" s="50" t="s">
        <v>36</v>
      </c>
      <c r="D774" s="348">
        <f>VLOOKUP(B774,[1]Dcu!$B$3:$D$511,3,0)</f>
        <v>36</v>
      </c>
      <c r="E774" s="52">
        <v>0.64</v>
      </c>
      <c r="F774" s="347">
        <f>VLOOKUP(B774,[1]Dcu!$B$3:$E$511,4,0)</f>
        <v>40000</v>
      </c>
      <c r="G774" s="47">
        <f t="shared" si="27"/>
        <v>27.350427350427349</v>
      </c>
    </row>
    <row r="775" spans="1:7" ht="16.5" customHeight="1" x14ac:dyDescent="0.3">
      <c r="A775" s="10">
        <v>27</v>
      </c>
      <c r="B775" s="49" t="s">
        <v>49</v>
      </c>
      <c r="C775" s="50" t="s">
        <v>28</v>
      </c>
      <c r="D775" s="348">
        <f>VLOOKUP(B775,[1]Dcu!$B$3:$D$511,3,0)</f>
        <v>96</v>
      </c>
      <c r="E775" s="52">
        <v>0.16</v>
      </c>
      <c r="F775" s="347">
        <f>VLOOKUP(B775,[1]Dcu!$B$3:$E$511,4,0)</f>
        <v>1000000</v>
      </c>
      <c r="G775" s="47">
        <f t="shared" si="27"/>
        <v>64.102564102564102</v>
      </c>
    </row>
    <row r="776" spans="1:7" ht="16.5" customHeight="1" x14ac:dyDescent="0.3">
      <c r="A776" s="10">
        <v>28</v>
      </c>
      <c r="B776" s="49" t="s">
        <v>50</v>
      </c>
      <c r="C776" s="50" t="s">
        <v>28</v>
      </c>
      <c r="D776" s="348">
        <f>VLOOKUP(B776,[1]Dcu!$B$3:$D$511,3,0)</f>
        <v>96</v>
      </c>
      <c r="E776" s="52">
        <v>0.64</v>
      </c>
      <c r="F776" s="347">
        <f>VLOOKUP(B776,[1]Dcu!$B$3:$E$511,4,0)</f>
        <v>300000</v>
      </c>
      <c r="G776" s="47">
        <f t="shared" si="27"/>
        <v>76.92307692307692</v>
      </c>
    </row>
    <row r="777" spans="1:7" ht="16.5" customHeight="1" x14ac:dyDescent="0.3">
      <c r="A777" s="10">
        <v>29</v>
      </c>
      <c r="B777" s="49" t="s">
        <v>51</v>
      </c>
      <c r="C777" s="50" t="s">
        <v>28</v>
      </c>
      <c r="D777" s="348">
        <f>VLOOKUP(B777,[1]Dcu!$B$3:$D$511,3,0)</f>
        <v>96</v>
      </c>
      <c r="E777" s="52">
        <v>0.64</v>
      </c>
      <c r="F777" s="347">
        <f>VLOOKUP(B777,[1]Dcu!$B$3:$E$511,4,0)</f>
        <v>80000</v>
      </c>
      <c r="G777" s="47">
        <f t="shared" si="27"/>
        <v>20.512820512820515</v>
      </c>
    </row>
    <row r="778" spans="1:7" ht="16.5" customHeight="1" x14ac:dyDescent="0.3">
      <c r="A778" s="10">
        <v>31</v>
      </c>
      <c r="B778" s="49" t="s">
        <v>52</v>
      </c>
      <c r="C778" s="50" t="s">
        <v>53</v>
      </c>
      <c r="D778" s="52"/>
      <c r="E778" s="52">
        <v>0.92800000000000005</v>
      </c>
      <c r="F778" s="347">
        <f>VLOOKUP(B778,[1]Dcu!$B$3:$E$511,4,0)</f>
        <v>1838</v>
      </c>
      <c r="G778" s="47">
        <f>F778*E778</f>
        <v>1705.664</v>
      </c>
    </row>
    <row r="779" spans="1:7" ht="16.5" customHeight="1" x14ac:dyDescent="0.3">
      <c r="A779" s="387" t="s">
        <v>718</v>
      </c>
      <c r="B779" s="387" t="s">
        <v>709</v>
      </c>
      <c r="C779" s="491" t="s">
        <v>729</v>
      </c>
      <c r="D779" s="492"/>
      <c r="E779" s="493"/>
      <c r="F779" s="388"/>
      <c r="G779" s="164">
        <f>G749</f>
        <v>43936.473294871801</v>
      </c>
    </row>
    <row r="780" spans="1:7" ht="16.5" customHeight="1" x14ac:dyDescent="0.3">
      <c r="A780" s="387" t="s">
        <v>719</v>
      </c>
      <c r="B780" s="387" t="s">
        <v>710</v>
      </c>
      <c r="C780" s="491" t="s">
        <v>729</v>
      </c>
      <c r="D780" s="492"/>
      <c r="E780" s="493"/>
      <c r="F780" s="388"/>
      <c r="G780" s="164">
        <f>G749</f>
        <v>43936.473294871801</v>
      </c>
    </row>
    <row r="781" spans="1:7" ht="16.5" customHeight="1" x14ac:dyDescent="0.3">
      <c r="A781" s="387" t="s">
        <v>720</v>
      </c>
      <c r="B781" s="387" t="s">
        <v>711</v>
      </c>
      <c r="C781" s="491" t="s">
        <v>729</v>
      </c>
      <c r="D781" s="492"/>
      <c r="E781" s="493"/>
      <c r="F781" s="388"/>
      <c r="G781" s="164">
        <f>G749</f>
        <v>43936.473294871801</v>
      </c>
    </row>
    <row r="782" spans="1:7" ht="16.5" customHeight="1" x14ac:dyDescent="0.3">
      <c r="A782" s="387" t="s">
        <v>721</v>
      </c>
      <c r="B782" s="387" t="s">
        <v>712</v>
      </c>
      <c r="C782" s="491" t="s">
        <v>729</v>
      </c>
      <c r="D782" s="492"/>
      <c r="E782" s="493"/>
      <c r="F782" s="388"/>
      <c r="G782" s="164">
        <f>G749</f>
        <v>43936.473294871801</v>
      </c>
    </row>
    <row r="783" spans="1:7" ht="16.5" customHeight="1" x14ac:dyDescent="0.3">
      <c r="A783" s="387" t="s">
        <v>722</v>
      </c>
      <c r="B783" s="387" t="s">
        <v>713</v>
      </c>
      <c r="C783" s="491" t="s">
        <v>729</v>
      </c>
      <c r="D783" s="492"/>
      <c r="E783" s="493"/>
      <c r="F783" s="388"/>
      <c r="G783" s="164">
        <f>G749</f>
        <v>43936.473294871801</v>
      </c>
    </row>
    <row r="784" spans="1:7" ht="16.5" customHeight="1" x14ac:dyDescent="0.3">
      <c r="A784" s="11" t="s">
        <v>8</v>
      </c>
      <c r="B784" s="465" t="s">
        <v>17</v>
      </c>
      <c r="C784" s="466"/>
      <c r="D784" s="466"/>
      <c r="E784" s="508"/>
      <c r="F784" s="46"/>
      <c r="G784" s="45">
        <f>SUM(G785:G810)*1.05+G811</f>
        <v>56499.717551282047</v>
      </c>
    </row>
    <row r="785" spans="1:7" ht="16.5" customHeight="1" x14ac:dyDescent="0.3">
      <c r="A785" s="10">
        <v>1</v>
      </c>
      <c r="B785" s="56" t="s">
        <v>27</v>
      </c>
      <c r="C785" s="13" t="s">
        <v>79</v>
      </c>
      <c r="D785" s="348">
        <f>VLOOKUP(B785,[1]Dcu!$B$3:$D$511,3,0)</f>
        <v>12</v>
      </c>
      <c r="E785" s="55">
        <v>1.6</v>
      </c>
      <c r="F785" s="347">
        <f>VLOOKUP(B785,[1]Dcu!$B$3:$E$511,4,0)</f>
        <v>100000</v>
      </c>
      <c r="G785" s="47">
        <f t="shared" si="23"/>
        <v>512.82051282051282</v>
      </c>
    </row>
    <row r="786" spans="1:7" ht="16.5" customHeight="1" x14ac:dyDescent="0.3">
      <c r="A786" s="10">
        <v>2</v>
      </c>
      <c r="B786" s="56" t="s">
        <v>30</v>
      </c>
      <c r="C786" s="13" t="s">
        <v>79</v>
      </c>
      <c r="D786" s="348">
        <f>VLOOKUP(B786,[1]Dcu!$B$3:$D$511,3,0)</f>
        <v>12</v>
      </c>
      <c r="E786" s="55">
        <v>1.6</v>
      </c>
      <c r="F786" s="347">
        <f>VLOOKUP(B786,[1]Dcu!$B$3:$E$511,4,0)</f>
        <v>3500000</v>
      </c>
      <c r="G786" s="47">
        <f t="shared" si="23"/>
        <v>17948.717948717949</v>
      </c>
    </row>
    <row r="787" spans="1:7" ht="16.5" customHeight="1" x14ac:dyDescent="0.3">
      <c r="A787" s="10">
        <v>3</v>
      </c>
      <c r="B787" s="56" t="s">
        <v>91</v>
      </c>
      <c r="C787" s="13" t="s">
        <v>79</v>
      </c>
      <c r="D787" s="348">
        <f>VLOOKUP(B787,[1]Dcu!$B$3:$D$511,3,0)</f>
        <v>12</v>
      </c>
      <c r="E787" s="55">
        <v>1.6</v>
      </c>
      <c r="F787" s="347">
        <f>VLOOKUP(B787,[1]Dcu!$B$3:$E$511,4,0)</f>
        <v>70000</v>
      </c>
      <c r="G787" s="47">
        <f t="shared" si="23"/>
        <v>358.97435897435901</v>
      </c>
    </row>
    <row r="788" spans="1:7" ht="16.5" customHeight="1" x14ac:dyDescent="0.3">
      <c r="A788" s="10">
        <v>4</v>
      </c>
      <c r="B788" s="56" t="s">
        <v>59</v>
      </c>
      <c r="C788" s="13" t="s">
        <v>79</v>
      </c>
      <c r="D788" s="348">
        <f>VLOOKUP(B788,[1]Dcu!$B$3:$D$511,3,0)</f>
        <v>36</v>
      </c>
      <c r="E788" s="55">
        <v>1.6</v>
      </c>
      <c r="F788" s="347">
        <f>VLOOKUP(B788,[1]Dcu!$B$3:$E$511,4,0)</f>
        <v>110000</v>
      </c>
      <c r="G788" s="47">
        <f t="shared" si="23"/>
        <v>188.03418803418805</v>
      </c>
    </row>
    <row r="789" spans="1:7" ht="16.5" customHeight="1" x14ac:dyDescent="0.3">
      <c r="A789" s="10">
        <v>5</v>
      </c>
      <c r="B789" s="56" t="s">
        <v>75</v>
      </c>
      <c r="C789" s="13" t="s">
        <v>79</v>
      </c>
      <c r="D789" s="348">
        <f>VLOOKUP(B789,[1]Dcu!$B$3:$D$511,3,0)</f>
        <v>6</v>
      </c>
      <c r="E789" s="55">
        <v>1.6</v>
      </c>
      <c r="F789" s="347">
        <f>VLOOKUP(B789,[1]Dcu!$B$3:$E$511,4,0)</f>
        <v>250000</v>
      </c>
      <c r="G789" s="47">
        <f t="shared" si="23"/>
        <v>2564.1025641025644</v>
      </c>
    </row>
    <row r="790" spans="1:7" ht="16.5" customHeight="1" x14ac:dyDescent="0.3">
      <c r="A790" s="10">
        <v>6</v>
      </c>
      <c r="B790" s="56" t="s">
        <v>62</v>
      </c>
      <c r="C790" s="13" t="s">
        <v>79</v>
      </c>
      <c r="D790" s="348">
        <f>VLOOKUP(B790,[1]Dcu!$B$3:$D$511,3,0)</f>
        <v>12</v>
      </c>
      <c r="E790" s="55">
        <v>1.6</v>
      </c>
      <c r="F790" s="347">
        <f>VLOOKUP(B790,[1]Dcu!$B$3:$E$511,4,0)</f>
        <v>44000</v>
      </c>
      <c r="G790" s="47">
        <f t="shared" si="23"/>
        <v>225.64102564102564</v>
      </c>
    </row>
    <row r="791" spans="1:7" ht="16.5" customHeight="1" x14ac:dyDescent="0.3">
      <c r="A791" s="10">
        <v>7</v>
      </c>
      <c r="B791" s="56" t="s">
        <v>84</v>
      </c>
      <c r="C791" s="13" t="s">
        <v>79</v>
      </c>
      <c r="D791" s="348">
        <f>VLOOKUP(B791,[1]Dcu!$B$3:$D$511,3,0)</f>
        <v>12</v>
      </c>
      <c r="E791" s="55">
        <v>1.6</v>
      </c>
      <c r="F791" s="347">
        <f>VLOOKUP(B791,[1]Dcu!$B$3:$E$511,4,0)</f>
        <v>90000</v>
      </c>
      <c r="G791" s="47">
        <f t="shared" si="23"/>
        <v>461.53846153846155</v>
      </c>
    </row>
    <row r="792" spans="1:7" ht="16.5" customHeight="1" x14ac:dyDescent="0.3">
      <c r="A792" s="10">
        <v>8</v>
      </c>
      <c r="B792" s="56" t="s">
        <v>33</v>
      </c>
      <c r="C792" s="13" t="s">
        <v>79</v>
      </c>
      <c r="D792" s="348">
        <f>VLOOKUP(B792,[1]Dcu!$B$3:$D$511,3,0)</f>
        <v>12</v>
      </c>
      <c r="E792" s="55">
        <v>1.6</v>
      </c>
      <c r="F792" s="347">
        <f>VLOOKUP(B792,[1]Dcu!$B$3:$E$511,4,0)</f>
        <v>88000</v>
      </c>
      <c r="G792" s="47">
        <f t="shared" si="23"/>
        <v>451.28205128205127</v>
      </c>
    </row>
    <row r="793" spans="1:7" ht="16.5" customHeight="1" x14ac:dyDescent="0.3">
      <c r="A793" s="10">
        <v>9</v>
      </c>
      <c r="B793" s="56" t="s">
        <v>34</v>
      </c>
      <c r="C793" s="13" t="s">
        <v>95</v>
      </c>
      <c r="D793" s="348">
        <f>VLOOKUP(B793,[1]Dcu!$B$3:$D$511,3,0)</f>
        <v>12</v>
      </c>
      <c r="E793" s="55">
        <v>1.6</v>
      </c>
      <c r="F793" s="347">
        <f>VLOOKUP(B793,[1]Dcu!$B$3:$E$511,4,0)</f>
        <v>143000</v>
      </c>
      <c r="G793" s="47">
        <f t="shared" si="23"/>
        <v>733.33333333333337</v>
      </c>
    </row>
    <row r="794" spans="1:7" ht="16.5" customHeight="1" x14ac:dyDescent="0.3">
      <c r="A794" s="10">
        <v>10</v>
      </c>
      <c r="B794" s="56" t="s">
        <v>96</v>
      </c>
      <c r="C794" s="13" t="s">
        <v>28</v>
      </c>
      <c r="D794" s="348">
        <f>VLOOKUP(B794,[1]Dcu!$B$3:$D$511,3,0)</f>
        <v>24</v>
      </c>
      <c r="E794" s="14">
        <v>0.4</v>
      </c>
      <c r="F794" s="347">
        <f>VLOOKUP(B794,[1]Dcu!$B$3:$E$511,4,0)</f>
        <v>15000000</v>
      </c>
      <c r="G794" s="47">
        <f t="shared" si="23"/>
        <v>9615.3846153846152</v>
      </c>
    </row>
    <row r="795" spans="1:7" ht="16.5" customHeight="1" x14ac:dyDescent="0.3">
      <c r="A795" s="10">
        <v>11</v>
      </c>
      <c r="B795" s="56" t="s">
        <v>97</v>
      </c>
      <c r="C795" s="13" t="s">
        <v>28</v>
      </c>
      <c r="D795" s="348">
        <f>VLOOKUP(B795,[1]Dcu!$B$3:$D$511,3,0)</f>
        <v>24</v>
      </c>
      <c r="E795" s="14">
        <v>0.4</v>
      </c>
      <c r="F795" s="347">
        <f>VLOOKUP(B795,[1]Dcu!$B$3:$E$511,4,0)</f>
        <v>4500000</v>
      </c>
      <c r="G795" s="47">
        <f t="shared" si="23"/>
        <v>2884.6153846153848</v>
      </c>
    </row>
    <row r="796" spans="1:7" ht="16.5" customHeight="1" x14ac:dyDescent="0.3">
      <c r="A796" s="10">
        <v>12</v>
      </c>
      <c r="B796" s="56" t="s">
        <v>83</v>
      </c>
      <c r="C796" s="13" t="s">
        <v>28</v>
      </c>
      <c r="D796" s="348">
        <f>VLOOKUP(B796,[1]Dcu!$B$3:$D$511,3,0)</f>
        <v>12</v>
      </c>
      <c r="E796" s="14">
        <v>0.4</v>
      </c>
      <c r="F796" s="347">
        <f>VLOOKUP(B796,[1]Dcu!$B$3:$E$511,4,0)</f>
        <v>1600000</v>
      </c>
      <c r="G796" s="47">
        <f t="shared" si="23"/>
        <v>2051.2820512820513</v>
      </c>
    </row>
    <row r="797" spans="1:7" ht="16.5" customHeight="1" x14ac:dyDescent="0.3">
      <c r="A797" s="10">
        <v>13</v>
      </c>
      <c r="B797" s="56" t="s">
        <v>61</v>
      </c>
      <c r="C797" s="13" t="s">
        <v>79</v>
      </c>
      <c r="D797" s="348">
        <f>VLOOKUP(B797,[1]Dcu!$B$3:$D$511,3,0)</f>
        <v>12</v>
      </c>
      <c r="E797" s="55">
        <v>1.6</v>
      </c>
      <c r="F797" s="347">
        <f>VLOOKUP(B797,[1]Dcu!$B$3:$E$511,4,0)</f>
        <v>15000</v>
      </c>
      <c r="G797" s="47">
        <f t="shared" si="23"/>
        <v>76.923076923076934</v>
      </c>
    </row>
    <row r="798" spans="1:7" ht="16.5" customHeight="1" x14ac:dyDescent="0.3">
      <c r="A798" s="10">
        <v>14</v>
      </c>
      <c r="B798" s="56" t="s">
        <v>39</v>
      </c>
      <c r="C798" s="13" t="s">
        <v>79</v>
      </c>
      <c r="D798" s="348">
        <f>VLOOKUP(B798,[1]Dcu!$B$3:$D$511,3,0)</f>
        <v>36</v>
      </c>
      <c r="E798" s="55">
        <v>1.6</v>
      </c>
      <c r="F798" s="347">
        <f>VLOOKUP(B798,[1]Dcu!$B$3:$E$511,4,0)</f>
        <v>340000</v>
      </c>
      <c r="G798" s="47">
        <f t="shared" si="23"/>
        <v>581.19658119658118</v>
      </c>
    </row>
    <row r="799" spans="1:7" ht="16.5" customHeight="1" x14ac:dyDescent="0.3">
      <c r="A799" s="10">
        <v>15</v>
      </c>
      <c r="B799" s="139" t="s">
        <v>110</v>
      </c>
      <c r="C799" s="13" t="s">
        <v>79</v>
      </c>
      <c r="D799" s="348">
        <f>VLOOKUP(B799,[1]Dcu!$B$3:$D$511,3,0)</f>
        <v>12</v>
      </c>
      <c r="E799" s="55">
        <v>1.6</v>
      </c>
      <c r="F799" s="347">
        <f>VLOOKUP(B799,[1]Dcu!$B$3:$E$511,4,0)</f>
        <v>1750000</v>
      </c>
      <c r="G799" s="47">
        <f t="shared" si="23"/>
        <v>8974.3589743589746</v>
      </c>
    </row>
    <row r="800" spans="1:7" ht="16.5" customHeight="1" x14ac:dyDescent="0.3">
      <c r="A800" s="10">
        <v>16</v>
      </c>
      <c r="B800" s="5" t="s">
        <v>639</v>
      </c>
      <c r="C800" s="13" t="s">
        <v>79</v>
      </c>
      <c r="D800" s="348">
        <f>VLOOKUP(B800,[1]Dcu!$B$3:$D$511,3,0)</f>
        <v>12</v>
      </c>
      <c r="E800" s="55">
        <v>1.6</v>
      </c>
      <c r="F800" s="347">
        <f>VLOOKUP(B800,[1]Dcu!$B$3:$E$511,4,0)</f>
        <v>30000</v>
      </c>
      <c r="G800" s="47">
        <f t="shared" si="23"/>
        <v>153.84615384615387</v>
      </c>
    </row>
    <row r="801" spans="1:7" ht="16.5" customHeight="1" x14ac:dyDescent="0.3">
      <c r="A801" s="10">
        <v>18</v>
      </c>
      <c r="B801" s="12" t="s">
        <v>621</v>
      </c>
      <c r="C801" s="10" t="s">
        <v>76</v>
      </c>
      <c r="D801" s="348">
        <f>VLOOKUP(B801,[1]Dcu!$B$3:$D$511,3,0)</f>
        <v>0.3</v>
      </c>
      <c r="E801" s="10">
        <v>0.02</v>
      </c>
      <c r="F801" s="347">
        <f>VLOOKUP(B801,[1]Dcu!$B$3:$E$511,4,0)</f>
        <v>200000</v>
      </c>
      <c r="G801" s="47">
        <f t="shared" si="23"/>
        <v>512.82051282051282</v>
      </c>
    </row>
    <row r="802" spans="1:7" ht="16.5" customHeight="1" x14ac:dyDescent="0.3">
      <c r="A802" s="10">
        <v>19</v>
      </c>
      <c r="B802" s="56" t="s">
        <v>43</v>
      </c>
      <c r="C802" s="10" t="s">
        <v>76</v>
      </c>
      <c r="D802" s="348">
        <f>VLOOKUP(B802,[1]Dcu!$B$3:$D$511,3,0)</f>
        <v>0.3</v>
      </c>
      <c r="E802" s="10">
        <v>0.02</v>
      </c>
      <c r="F802" s="347">
        <f>VLOOKUP(B802,[1]Dcu!$B$3:$E$511,4,0)</f>
        <v>400000</v>
      </c>
      <c r="G802" s="47">
        <f t="shared" si="23"/>
        <v>1025.6410256410256</v>
      </c>
    </row>
    <row r="803" spans="1:7" ht="16.5" customHeight="1" x14ac:dyDescent="0.3">
      <c r="A803" s="10">
        <v>20</v>
      </c>
      <c r="B803" s="56" t="s">
        <v>44</v>
      </c>
      <c r="C803" s="13" t="s">
        <v>79</v>
      </c>
      <c r="D803" s="348">
        <f>VLOOKUP(B803,[1]Dcu!$B$3:$D$511,3,0)</f>
        <v>60</v>
      </c>
      <c r="E803" s="55">
        <v>0.26700000000000002</v>
      </c>
      <c r="F803" s="347">
        <f>VLOOKUP(B803,[1]Dcu!$B$3:$E$511,4,0)</f>
        <v>500000</v>
      </c>
      <c r="G803" s="47">
        <f t="shared" ref="G803:G810" si="28">F803/(D803*26)*E803</f>
        <v>85.57692307692308</v>
      </c>
    </row>
    <row r="804" spans="1:7" ht="16.5" customHeight="1" x14ac:dyDescent="0.3">
      <c r="A804" s="10">
        <v>21</v>
      </c>
      <c r="B804" s="56" t="s">
        <v>45</v>
      </c>
      <c r="C804" s="13" t="s">
        <v>79</v>
      </c>
      <c r="D804" s="348">
        <f>VLOOKUP(B804,[1]Dcu!$B$3:$D$511,3,0)</f>
        <v>60</v>
      </c>
      <c r="E804" s="55">
        <v>0.26700000000000002</v>
      </c>
      <c r="F804" s="347">
        <f>VLOOKUP(B804,[1]Dcu!$B$3:$E$511,4,0)</f>
        <v>250000</v>
      </c>
      <c r="G804" s="47">
        <f t="shared" si="28"/>
        <v>42.78846153846154</v>
      </c>
    </row>
    <row r="805" spans="1:7" ht="16.5" customHeight="1" x14ac:dyDescent="0.3">
      <c r="A805" s="10">
        <v>22</v>
      </c>
      <c r="B805" s="56" t="s">
        <v>46</v>
      </c>
      <c r="C805" s="13" t="s">
        <v>79</v>
      </c>
      <c r="D805" s="348">
        <f>VLOOKUP(B805,[1]Dcu!$B$3:$D$511,3,0)</f>
        <v>60</v>
      </c>
      <c r="E805" s="55">
        <v>1.2999999999999999E-2</v>
      </c>
      <c r="F805" s="347">
        <f>VLOOKUP(B805,[1]Dcu!$B$3:$E$511,4,0)</f>
        <v>1600000</v>
      </c>
      <c r="G805" s="47">
        <f t="shared" si="28"/>
        <v>13.333333333333332</v>
      </c>
    </row>
    <row r="806" spans="1:7" ht="16.5" customHeight="1" x14ac:dyDescent="0.3">
      <c r="A806" s="10">
        <v>23</v>
      </c>
      <c r="B806" s="56" t="s">
        <v>47</v>
      </c>
      <c r="C806" s="13" t="s">
        <v>79</v>
      </c>
      <c r="D806" s="348">
        <f>VLOOKUP(B806,[1]Dcu!$B$3:$D$511,3,0)</f>
        <v>60</v>
      </c>
      <c r="E806" s="55">
        <v>0.1</v>
      </c>
      <c r="F806" s="347">
        <f>VLOOKUP(B806,[1]Dcu!$B$3:$E$511,4,0)</f>
        <v>1500000</v>
      </c>
      <c r="G806" s="47">
        <f t="shared" si="28"/>
        <v>96.15384615384616</v>
      </c>
    </row>
    <row r="807" spans="1:7" ht="16.5" customHeight="1" x14ac:dyDescent="0.3">
      <c r="A807" s="10">
        <v>25</v>
      </c>
      <c r="B807" s="56" t="s">
        <v>48</v>
      </c>
      <c r="C807" s="13" t="s">
        <v>36</v>
      </c>
      <c r="D807" s="348">
        <f>VLOOKUP(B807,[1]Dcu!$B$3:$D$511,3,0)</f>
        <v>36</v>
      </c>
      <c r="E807" s="55">
        <v>0.8</v>
      </c>
      <c r="F807" s="347">
        <f>VLOOKUP(B807,[1]Dcu!$B$3:$E$511,4,0)</f>
        <v>40000</v>
      </c>
      <c r="G807" s="47">
        <f t="shared" si="28"/>
        <v>34.188034188034187</v>
      </c>
    </row>
    <row r="808" spans="1:7" ht="16.5" customHeight="1" x14ac:dyDescent="0.3">
      <c r="A808" s="10">
        <v>26</v>
      </c>
      <c r="B808" s="56" t="s">
        <v>49</v>
      </c>
      <c r="C808" s="13" t="s">
        <v>79</v>
      </c>
      <c r="D808" s="348">
        <f>VLOOKUP(B808,[1]Dcu!$B$3:$D$511,3,0)</f>
        <v>96</v>
      </c>
      <c r="E808" s="55">
        <v>0.08</v>
      </c>
      <c r="F808" s="347">
        <f>VLOOKUP(B808,[1]Dcu!$B$3:$E$511,4,0)</f>
        <v>1000000</v>
      </c>
      <c r="G808" s="47">
        <f t="shared" si="28"/>
        <v>32.051282051282051</v>
      </c>
    </row>
    <row r="809" spans="1:7" ht="16.5" customHeight="1" x14ac:dyDescent="0.3">
      <c r="A809" s="10">
        <v>27</v>
      </c>
      <c r="B809" s="56" t="s">
        <v>50</v>
      </c>
      <c r="C809" s="13" t="s">
        <v>79</v>
      </c>
      <c r="D809" s="348">
        <f>VLOOKUP(B809,[1]Dcu!$B$3:$D$511,3,0)</f>
        <v>96</v>
      </c>
      <c r="E809" s="55">
        <v>0.8</v>
      </c>
      <c r="F809" s="347">
        <f>VLOOKUP(B809,[1]Dcu!$B$3:$E$511,4,0)</f>
        <v>300000</v>
      </c>
      <c r="G809" s="47">
        <f t="shared" si="28"/>
        <v>96.15384615384616</v>
      </c>
    </row>
    <row r="810" spans="1:7" ht="16.5" customHeight="1" x14ac:dyDescent="0.3">
      <c r="A810" s="10">
        <v>28</v>
      </c>
      <c r="B810" s="56" t="s">
        <v>51</v>
      </c>
      <c r="C810" s="13" t="s">
        <v>79</v>
      </c>
      <c r="D810" s="348">
        <f>VLOOKUP(B810,[1]Dcu!$B$3:$D$511,3,0)</f>
        <v>96</v>
      </c>
      <c r="E810" s="55">
        <v>0.8</v>
      </c>
      <c r="F810" s="347">
        <f>VLOOKUP(B810,[1]Dcu!$B$3:$E$511,4,0)</f>
        <v>80000</v>
      </c>
      <c r="G810" s="47">
        <f t="shared" si="28"/>
        <v>25.641025641025642</v>
      </c>
    </row>
    <row r="811" spans="1:7" ht="16.5" customHeight="1" x14ac:dyDescent="0.3">
      <c r="A811" s="10">
        <v>29</v>
      </c>
      <c r="B811" s="56" t="s">
        <v>52</v>
      </c>
      <c r="C811" s="13" t="s">
        <v>98</v>
      </c>
      <c r="D811" s="13"/>
      <c r="E811" s="55">
        <v>2.3210000000000002</v>
      </c>
      <c r="F811" s="347">
        <f>VLOOKUP(B811,[1]Dcu!$B$3:$E$511,4,0)</f>
        <v>1838</v>
      </c>
      <c r="G811" s="47">
        <f>F811*E811</f>
        <v>4265.9980000000005</v>
      </c>
    </row>
    <row r="812" spans="1:7" ht="16.5" customHeight="1" x14ac:dyDescent="0.3">
      <c r="A812" s="11" t="s">
        <v>10</v>
      </c>
      <c r="B812" s="512" t="s">
        <v>487</v>
      </c>
      <c r="C812" s="513"/>
      <c r="D812" s="513"/>
      <c r="E812" s="514"/>
      <c r="F812" s="46"/>
      <c r="G812" s="45">
        <f>SUM(G813:G838)*1.05+G839</f>
        <v>68210.25488461541</v>
      </c>
    </row>
    <row r="813" spans="1:7" ht="16.5" customHeight="1" x14ac:dyDescent="0.3">
      <c r="A813" s="18">
        <v>1</v>
      </c>
      <c r="B813" s="17" t="s">
        <v>27</v>
      </c>
      <c r="C813" s="18" t="s">
        <v>28</v>
      </c>
      <c r="D813" s="348">
        <f>VLOOKUP(B813,[1]Dcu!$B$3:$D$511,3,0)</f>
        <v>12</v>
      </c>
      <c r="E813" s="18">
        <v>1.6</v>
      </c>
      <c r="F813" s="347">
        <f>VLOOKUP(B813,[1]Dcu!$B$3:$E$511,4,0)</f>
        <v>100000</v>
      </c>
      <c r="G813" s="47">
        <f>F813/(D813*26)*E813</f>
        <v>512.82051282051282</v>
      </c>
    </row>
    <row r="814" spans="1:7" ht="16.5" customHeight="1" x14ac:dyDescent="0.3">
      <c r="A814" s="18">
        <v>2</v>
      </c>
      <c r="B814" s="17" t="s">
        <v>30</v>
      </c>
      <c r="C814" s="18" t="s">
        <v>28</v>
      </c>
      <c r="D814" s="348">
        <f>VLOOKUP(B814,[1]Dcu!$B$3:$D$511,3,0)</f>
        <v>12</v>
      </c>
      <c r="E814" s="18">
        <v>1.6</v>
      </c>
      <c r="F814" s="347">
        <f>VLOOKUP(B814,[1]Dcu!$B$3:$E$511,4,0)</f>
        <v>3500000</v>
      </c>
      <c r="G814" s="47">
        <f t="shared" ref="G814:G838" si="29">F814/(D814*26)*E814</f>
        <v>17948.717948717949</v>
      </c>
    </row>
    <row r="815" spans="1:7" ht="16.5" customHeight="1" x14ac:dyDescent="0.3">
      <c r="A815" s="18">
        <v>3</v>
      </c>
      <c r="B815" s="17" t="s">
        <v>73</v>
      </c>
      <c r="C815" s="18" t="s">
        <v>28</v>
      </c>
      <c r="D815" s="348">
        <f>VLOOKUP(B815,[1]Dcu!$B$3:$D$511,3,0)</f>
        <v>12</v>
      </c>
      <c r="E815" s="18">
        <v>1.6</v>
      </c>
      <c r="F815" s="347">
        <f>VLOOKUP(B815,[1]Dcu!$B$3:$E$511,4,0)</f>
        <v>70000</v>
      </c>
      <c r="G815" s="47">
        <f t="shared" si="29"/>
        <v>358.97435897435901</v>
      </c>
    </row>
    <row r="816" spans="1:7" ht="16.5" customHeight="1" x14ac:dyDescent="0.3">
      <c r="A816" s="18">
        <v>4</v>
      </c>
      <c r="B816" s="17" t="s">
        <v>59</v>
      </c>
      <c r="C816" s="18" t="s">
        <v>28</v>
      </c>
      <c r="D816" s="348">
        <f>VLOOKUP(B816,[1]Dcu!$B$3:$D$511,3,0)</f>
        <v>36</v>
      </c>
      <c r="E816" s="18">
        <v>1.6</v>
      </c>
      <c r="F816" s="347">
        <f>VLOOKUP(B816,[1]Dcu!$B$3:$E$511,4,0)</f>
        <v>110000</v>
      </c>
      <c r="G816" s="47">
        <f t="shared" si="29"/>
        <v>188.03418803418805</v>
      </c>
    </row>
    <row r="817" spans="1:7" ht="16.5" customHeight="1" x14ac:dyDescent="0.3">
      <c r="A817" s="18">
        <v>5</v>
      </c>
      <c r="B817" s="17" t="s">
        <v>74</v>
      </c>
      <c r="C817" s="18" t="s">
        <v>28</v>
      </c>
      <c r="D817" s="348">
        <f>VLOOKUP(B817,[1]Dcu!$B$3:$D$511,3,0)</f>
        <v>6</v>
      </c>
      <c r="E817" s="18">
        <v>1.6</v>
      </c>
      <c r="F817" s="347">
        <f>VLOOKUP(B817,[1]Dcu!$B$3:$E$511,4,0)</f>
        <v>120000</v>
      </c>
      <c r="G817" s="47">
        <f t="shared" si="29"/>
        <v>1230.7692307692309</v>
      </c>
    </row>
    <row r="818" spans="1:7" ht="16.5" customHeight="1" x14ac:dyDescent="0.3">
      <c r="A818" s="18">
        <v>6</v>
      </c>
      <c r="B818" s="17" t="s">
        <v>75</v>
      </c>
      <c r="C818" s="18" t="s">
        <v>28</v>
      </c>
      <c r="D818" s="348">
        <f>VLOOKUP(B818,[1]Dcu!$B$3:$D$511,3,0)</f>
        <v>6</v>
      </c>
      <c r="E818" s="18">
        <v>1.6</v>
      </c>
      <c r="F818" s="347">
        <f>VLOOKUP(B818,[1]Dcu!$B$3:$E$511,4,0)</f>
        <v>250000</v>
      </c>
      <c r="G818" s="47">
        <f t="shared" si="29"/>
        <v>2564.1025641025644</v>
      </c>
    </row>
    <row r="819" spans="1:7" ht="16.5" customHeight="1" x14ac:dyDescent="0.3">
      <c r="A819" s="18">
        <v>7</v>
      </c>
      <c r="B819" s="17" t="s">
        <v>61</v>
      </c>
      <c r="C819" s="18" t="s">
        <v>28</v>
      </c>
      <c r="D819" s="348">
        <f>VLOOKUP(B819,[1]Dcu!$B$3:$D$511,3,0)</f>
        <v>12</v>
      </c>
      <c r="E819" s="18">
        <v>1.6</v>
      </c>
      <c r="F819" s="347">
        <f>VLOOKUP(B819,[1]Dcu!$B$3:$E$511,4,0)</f>
        <v>15000</v>
      </c>
      <c r="G819" s="47">
        <f t="shared" si="29"/>
        <v>76.923076923076934</v>
      </c>
    </row>
    <row r="820" spans="1:7" ht="16.5" customHeight="1" x14ac:dyDescent="0.3">
      <c r="A820" s="18">
        <v>8</v>
      </c>
      <c r="B820" s="56" t="s">
        <v>96</v>
      </c>
      <c r="C820" s="13" t="s">
        <v>28</v>
      </c>
      <c r="D820" s="348">
        <f>VLOOKUP(B820,[1]Dcu!$B$3:$D$511,3,0)</f>
        <v>24</v>
      </c>
      <c r="E820" s="14">
        <v>0.4</v>
      </c>
      <c r="F820" s="347">
        <f>VLOOKUP(B820,[1]Dcu!$B$3:$E$511,4,0)</f>
        <v>15000000</v>
      </c>
      <c r="G820" s="47">
        <f t="shared" si="29"/>
        <v>9615.3846153846152</v>
      </c>
    </row>
    <row r="821" spans="1:7" ht="16.5" customHeight="1" x14ac:dyDescent="0.3">
      <c r="A821" s="18">
        <v>9</v>
      </c>
      <c r="B821" s="56" t="s">
        <v>97</v>
      </c>
      <c r="C821" s="13" t="s">
        <v>28</v>
      </c>
      <c r="D821" s="348">
        <f>VLOOKUP(B821,[1]Dcu!$B$3:$D$511,3,0)</f>
        <v>24</v>
      </c>
      <c r="E821" s="14">
        <v>0.4</v>
      </c>
      <c r="F821" s="347">
        <f>VLOOKUP(B821,[1]Dcu!$B$3:$E$511,4,0)</f>
        <v>4500000</v>
      </c>
      <c r="G821" s="47">
        <f t="shared" si="29"/>
        <v>2884.6153846153848</v>
      </c>
    </row>
    <row r="822" spans="1:7" ht="16.5" customHeight="1" x14ac:dyDescent="0.3">
      <c r="A822" s="18">
        <v>10</v>
      </c>
      <c r="B822" s="56" t="s">
        <v>83</v>
      </c>
      <c r="C822" s="13" t="s">
        <v>28</v>
      </c>
      <c r="D822" s="348">
        <f>VLOOKUP(B822,[1]Dcu!$B$3:$D$511,3,0)</f>
        <v>12</v>
      </c>
      <c r="E822" s="14">
        <v>0.4</v>
      </c>
      <c r="F822" s="347">
        <f>VLOOKUP(B822,[1]Dcu!$B$3:$E$511,4,0)</f>
        <v>1600000</v>
      </c>
      <c r="G822" s="47">
        <f t="shared" si="29"/>
        <v>2051.2820512820513</v>
      </c>
    </row>
    <row r="823" spans="1:7" ht="16.5" customHeight="1" x14ac:dyDescent="0.3">
      <c r="A823" s="18">
        <v>11</v>
      </c>
      <c r="B823" s="17" t="s">
        <v>55</v>
      </c>
      <c r="C823" s="18" t="s">
        <v>28</v>
      </c>
      <c r="D823" s="348">
        <f>VLOOKUP(B823,[1]Dcu!$B$3:$D$511,3,0)</f>
        <v>12</v>
      </c>
      <c r="E823" s="18">
        <v>1.6</v>
      </c>
      <c r="F823" s="347">
        <f>VLOOKUP(B823,[1]Dcu!$B$3:$E$511,4,0)</f>
        <v>150000</v>
      </c>
      <c r="G823" s="47">
        <f t="shared" si="29"/>
        <v>769.23076923076928</v>
      </c>
    </row>
    <row r="824" spans="1:7" ht="16.5" customHeight="1" x14ac:dyDescent="0.3">
      <c r="A824" s="18">
        <v>12</v>
      </c>
      <c r="B824" s="17" t="s">
        <v>84</v>
      </c>
      <c r="C824" s="18" t="s">
        <v>28</v>
      </c>
      <c r="D824" s="348">
        <f>VLOOKUP(B824,[1]Dcu!$B$3:$D$511,3,0)</f>
        <v>12</v>
      </c>
      <c r="E824" s="18">
        <v>1.6</v>
      </c>
      <c r="F824" s="347">
        <f>VLOOKUP(B824,[1]Dcu!$B$3:$E$511,4,0)</f>
        <v>90000</v>
      </c>
      <c r="G824" s="47">
        <f t="shared" si="29"/>
        <v>461.53846153846155</v>
      </c>
    </row>
    <row r="825" spans="1:7" ht="16.5" customHeight="1" x14ac:dyDescent="0.3">
      <c r="A825" s="18">
        <v>13</v>
      </c>
      <c r="B825" s="17" t="s">
        <v>61</v>
      </c>
      <c r="C825" s="18" t="s">
        <v>28</v>
      </c>
      <c r="D825" s="348">
        <f>VLOOKUP(B825,[1]Dcu!$B$3:$D$511,3,0)</f>
        <v>12</v>
      </c>
      <c r="E825" s="18">
        <v>1.6</v>
      </c>
      <c r="F825" s="347">
        <f>VLOOKUP(B825,[1]Dcu!$B$3:$E$511,4,0)</f>
        <v>15000</v>
      </c>
      <c r="G825" s="47">
        <f t="shared" si="29"/>
        <v>76.923076923076934</v>
      </c>
    </row>
    <row r="826" spans="1:7" ht="16.5" customHeight="1" x14ac:dyDescent="0.3">
      <c r="A826" s="18">
        <v>14</v>
      </c>
      <c r="B826" s="90" t="s">
        <v>295</v>
      </c>
      <c r="C826" s="18" t="s">
        <v>79</v>
      </c>
      <c r="D826" s="348">
        <f>VLOOKUP(B826,[1]Dcu!$B$3:$D$511,3,0)</f>
        <v>6</v>
      </c>
      <c r="E826" s="18">
        <v>1.6</v>
      </c>
      <c r="F826" s="347">
        <f>VLOOKUP(B826,[1]Dcu!$B$3:$E$511,4,0)</f>
        <v>1250000</v>
      </c>
      <c r="G826" s="47">
        <f t="shared" si="29"/>
        <v>12820.51282051282</v>
      </c>
    </row>
    <row r="827" spans="1:7" ht="16.5" customHeight="1" x14ac:dyDescent="0.3">
      <c r="A827" s="18">
        <v>15</v>
      </c>
      <c r="B827" s="90" t="s">
        <v>109</v>
      </c>
      <c r="C827" s="18" t="s">
        <v>79</v>
      </c>
      <c r="D827" s="348">
        <f>VLOOKUP(B827,[1]Dcu!$B$3:$D$511,3,0)</f>
        <v>12</v>
      </c>
      <c r="E827" s="18">
        <v>1.6</v>
      </c>
      <c r="F827" s="347">
        <f>VLOOKUP(B827,[1]Dcu!$B$3:$E$511,4,0)</f>
        <v>1350000</v>
      </c>
      <c r="G827" s="47">
        <f t="shared" si="29"/>
        <v>6923.0769230769238</v>
      </c>
    </row>
    <row r="828" spans="1:7" s="65" customFormat="1" ht="16.5" customHeight="1" x14ac:dyDescent="0.3">
      <c r="A828" s="18">
        <v>16</v>
      </c>
      <c r="B828" s="5" t="s">
        <v>639</v>
      </c>
      <c r="C828" s="18" t="s">
        <v>28</v>
      </c>
      <c r="D828" s="348">
        <f>VLOOKUP(B828,[1]Dcu!$B$3:$D$511,3,0)</f>
        <v>12</v>
      </c>
      <c r="E828" s="18">
        <v>1.6</v>
      </c>
      <c r="F828" s="347">
        <f>VLOOKUP(B828,[1]Dcu!$B$3:$E$511,4,0)</f>
        <v>30000</v>
      </c>
      <c r="G828" s="47">
        <f t="shared" si="29"/>
        <v>153.84615384615387</v>
      </c>
    </row>
    <row r="829" spans="1:7" ht="16.5" customHeight="1" x14ac:dyDescent="0.3">
      <c r="A829" s="18">
        <v>18</v>
      </c>
      <c r="B829" s="12" t="s">
        <v>621</v>
      </c>
      <c r="C829" s="10" t="s">
        <v>76</v>
      </c>
      <c r="D829" s="348">
        <f>VLOOKUP(B829,[1]Dcu!$B$3:$D$511,3,0)</f>
        <v>0.3</v>
      </c>
      <c r="E829" s="10">
        <v>0.02</v>
      </c>
      <c r="F829" s="347">
        <f>VLOOKUP(B829,[1]Dcu!$B$3:$E$511,4,0)</f>
        <v>200000</v>
      </c>
      <c r="G829" s="47">
        <f t="shared" si="29"/>
        <v>512.82051282051282</v>
      </c>
    </row>
    <row r="830" spans="1:7" ht="16.5" customHeight="1" x14ac:dyDescent="0.3">
      <c r="A830" s="18">
        <v>19</v>
      </c>
      <c r="B830" s="17" t="s">
        <v>43</v>
      </c>
      <c r="C830" s="10" t="s">
        <v>76</v>
      </c>
      <c r="D830" s="348">
        <f>VLOOKUP(B830,[1]Dcu!$B$3:$D$511,3,0)</f>
        <v>0.3</v>
      </c>
      <c r="E830" s="10">
        <v>0.02</v>
      </c>
      <c r="F830" s="347">
        <f>VLOOKUP(B830,[1]Dcu!$B$3:$E$511,4,0)</f>
        <v>400000</v>
      </c>
      <c r="G830" s="47">
        <f t="shared" si="29"/>
        <v>1025.6410256410256</v>
      </c>
    </row>
    <row r="831" spans="1:7" ht="16.5" customHeight="1" x14ac:dyDescent="0.3">
      <c r="A831" s="18">
        <v>20</v>
      </c>
      <c r="B831" s="17" t="s">
        <v>44</v>
      </c>
      <c r="C831" s="18" t="s">
        <v>28</v>
      </c>
      <c r="D831" s="348">
        <f>VLOOKUP(B831,[1]Dcu!$B$3:$D$511,3,0)</f>
        <v>60</v>
      </c>
      <c r="E831" s="18">
        <v>0.26700000000000002</v>
      </c>
      <c r="F831" s="347">
        <f>VLOOKUP(B831,[1]Dcu!$B$3:$E$511,4,0)</f>
        <v>500000</v>
      </c>
      <c r="G831" s="47">
        <f t="shared" si="29"/>
        <v>85.57692307692308</v>
      </c>
    </row>
    <row r="832" spans="1:7" ht="16.5" customHeight="1" x14ac:dyDescent="0.3">
      <c r="A832" s="18">
        <v>21</v>
      </c>
      <c r="B832" s="17" t="s">
        <v>45</v>
      </c>
      <c r="C832" s="18" t="s">
        <v>28</v>
      </c>
      <c r="D832" s="348">
        <f>VLOOKUP(B832,[1]Dcu!$B$3:$D$511,3,0)</f>
        <v>60</v>
      </c>
      <c r="E832" s="18">
        <v>0.26700000000000002</v>
      </c>
      <c r="F832" s="347">
        <f>VLOOKUP(B832,[1]Dcu!$B$3:$E$511,4,0)</f>
        <v>250000</v>
      </c>
      <c r="G832" s="47">
        <f t="shared" si="29"/>
        <v>42.78846153846154</v>
      </c>
    </row>
    <row r="833" spans="1:7" ht="16.5" customHeight="1" x14ac:dyDescent="0.3">
      <c r="A833" s="18">
        <v>22</v>
      </c>
      <c r="B833" s="17" t="s">
        <v>46</v>
      </c>
      <c r="C833" s="18" t="s">
        <v>28</v>
      </c>
      <c r="D833" s="348">
        <f>VLOOKUP(B833,[1]Dcu!$B$3:$D$511,3,0)</f>
        <v>60</v>
      </c>
      <c r="E833" s="18">
        <v>1.2999999999999999E-2</v>
      </c>
      <c r="F833" s="347">
        <f>VLOOKUP(B833,[1]Dcu!$B$3:$E$511,4,0)</f>
        <v>1600000</v>
      </c>
      <c r="G833" s="47">
        <f t="shared" si="29"/>
        <v>13.333333333333332</v>
      </c>
    </row>
    <row r="834" spans="1:7" ht="16.5" customHeight="1" x14ac:dyDescent="0.3">
      <c r="A834" s="18">
        <v>23</v>
      </c>
      <c r="B834" s="17" t="s">
        <v>47</v>
      </c>
      <c r="C834" s="18" t="s">
        <v>28</v>
      </c>
      <c r="D834" s="348">
        <f>VLOOKUP(B834,[1]Dcu!$B$3:$D$511,3,0)</f>
        <v>60</v>
      </c>
      <c r="E834" s="18">
        <v>0.1</v>
      </c>
      <c r="F834" s="347">
        <f>VLOOKUP(B834,[1]Dcu!$B$3:$E$511,4,0)</f>
        <v>1500000</v>
      </c>
      <c r="G834" s="47">
        <f t="shared" si="29"/>
        <v>96.15384615384616</v>
      </c>
    </row>
    <row r="835" spans="1:7" ht="16.5" customHeight="1" x14ac:dyDescent="0.3">
      <c r="A835" s="18">
        <v>24</v>
      </c>
      <c r="B835" s="17" t="s">
        <v>48</v>
      </c>
      <c r="C835" s="18" t="s">
        <v>36</v>
      </c>
      <c r="D835" s="348">
        <f>VLOOKUP(B835,[1]Dcu!$B$3:$D$511,3,0)</f>
        <v>36</v>
      </c>
      <c r="E835" s="18">
        <v>1.6</v>
      </c>
      <c r="F835" s="347">
        <f>VLOOKUP(B835,[1]Dcu!$B$3:$E$511,4,0)</f>
        <v>40000</v>
      </c>
      <c r="G835" s="47">
        <f t="shared" si="29"/>
        <v>68.376068376068375</v>
      </c>
    </row>
    <row r="836" spans="1:7" ht="16.5" customHeight="1" x14ac:dyDescent="0.3">
      <c r="A836" s="18">
        <v>25</v>
      </c>
      <c r="B836" s="17" t="s">
        <v>49</v>
      </c>
      <c r="C836" s="18" t="s">
        <v>28</v>
      </c>
      <c r="D836" s="348">
        <f>VLOOKUP(B836,[1]Dcu!$B$3:$D$511,3,0)</f>
        <v>96</v>
      </c>
      <c r="E836" s="18">
        <v>0.4</v>
      </c>
      <c r="F836" s="347">
        <f>VLOOKUP(B836,[1]Dcu!$B$3:$E$511,4,0)</f>
        <v>1000000</v>
      </c>
      <c r="G836" s="47">
        <f t="shared" si="29"/>
        <v>160.25641025641028</v>
      </c>
    </row>
    <row r="837" spans="1:7" ht="16.5" customHeight="1" x14ac:dyDescent="0.3">
      <c r="A837" s="18">
        <v>26</v>
      </c>
      <c r="B837" s="17" t="s">
        <v>50</v>
      </c>
      <c r="C837" s="18" t="s">
        <v>28</v>
      </c>
      <c r="D837" s="348">
        <f>VLOOKUP(B837,[1]Dcu!$B$3:$D$511,3,0)</f>
        <v>96</v>
      </c>
      <c r="E837" s="18">
        <v>1.6</v>
      </c>
      <c r="F837" s="347">
        <f>VLOOKUP(B837,[1]Dcu!$B$3:$E$511,4,0)</f>
        <v>300000</v>
      </c>
      <c r="G837" s="47">
        <f t="shared" si="29"/>
        <v>192.30769230769232</v>
      </c>
    </row>
    <row r="838" spans="1:7" ht="16.5" customHeight="1" x14ac:dyDescent="0.3">
      <c r="A838" s="18">
        <v>27</v>
      </c>
      <c r="B838" s="17" t="s">
        <v>51</v>
      </c>
      <c r="C838" s="18" t="s">
        <v>28</v>
      </c>
      <c r="D838" s="348">
        <f>VLOOKUP(B838,[1]Dcu!$B$3:$D$511,3,0)</f>
        <v>96</v>
      </c>
      <c r="E838" s="18">
        <v>1.6</v>
      </c>
      <c r="F838" s="347">
        <f>VLOOKUP(B838,[1]Dcu!$B$3:$E$511,4,0)</f>
        <v>80000</v>
      </c>
      <c r="G838" s="47">
        <f t="shared" si="29"/>
        <v>51.282051282051285</v>
      </c>
    </row>
    <row r="839" spans="1:7" ht="16.5" customHeight="1" x14ac:dyDescent="0.3">
      <c r="A839" s="18">
        <v>29</v>
      </c>
      <c r="B839" s="17" t="s">
        <v>52</v>
      </c>
      <c r="C839" s="18" t="s">
        <v>53</v>
      </c>
      <c r="D839" s="82"/>
      <c r="E839" s="18">
        <v>2.3290000000000002</v>
      </c>
      <c r="F839" s="347">
        <f>VLOOKUP(B839,[1]Dcu!$B$3:$E$511,4,0)</f>
        <v>1838</v>
      </c>
      <c r="G839" s="47">
        <f>E839*F839</f>
        <v>4280.7020000000002</v>
      </c>
    </row>
    <row r="840" spans="1:7" ht="35.25" customHeight="1" x14ac:dyDescent="0.3">
      <c r="A840" s="15" t="s">
        <v>11</v>
      </c>
      <c r="B840" s="506" t="s">
        <v>576</v>
      </c>
      <c r="C840" s="507"/>
      <c r="D840" s="507"/>
      <c r="E840" s="507"/>
      <c r="F840" s="46"/>
      <c r="G840" s="45">
        <f>SUM(G841:G866)*1.05+G867</f>
        <v>166970.94671794871</v>
      </c>
    </row>
    <row r="841" spans="1:7" ht="16.5" customHeight="1" x14ac:dyDescent="0.3">
      <c r="A841" s="16">
        <v>1</v>
      </c>
      <c r="B841" s="66" t="s">
        <v>27</v>
      </c>
      <c r="C841" s="50" t="s">
        <v>79</v>
      </c>
      <c r="D841" s="348">
        <f>VLOOKUP(B841,[1]Dcu!$B$3:$D$511,3,0)</f>
        <v>12</v>
      </c>
      <c r="E841" s="52">
        <v>1.2</v>
      </c>
      <c r="F841" s="347">
        <f>VLOOKUP(B841,[1]Dcu!$B$3:$E$511,4,0)</f>
        <v>100000</v>
      </c>
      <c r="G841" s="47">
        <f t="shared" ref="G841:G886" si="30">F841/(D841*26)*E841</f>
        <v>384.61538461538458</v>
      </c>
    </row>
    <row r="842" spans="1:7" ht="16.5" customHeight="1" x14ac:dyDescent="0.3">
      <c r="A842" s="16">
        <v>2</v>
      </c>
      <c r="B842" s="66" t="s">
        <v>107</v>
      </c>
      <c r="C842" s="50" t="s">
        <v>79</v>
      </c>
      <c r="D842" s="348">
        <f>VLOOKUP(B842,[1]Dcu!$B$3:$D$511,3,0)</f>
        <v>12</v>
      </c>
      <c r="E842" s="52">
        <v>1.2</v>
      </c>
      <c r="F842" s="347">
        <f>VLOOKUP(B842,[1]Dcu!$B$3:$E$511,4,0)</f>
        <v>1900000</v>
      </c>
      <c r="G842" s="47">
        <f t="shared" si="30"/>
        <v>7307.6923076923076</v>
      </c>
    </row>
    <row r="843" spans="1:7" ht="16.5" customHeight="1" x14ac:dyDescent="0.3">
      <c r="A843" s="16">
        <v>3</v>
      </c>
      <c r="B843" s="66" t="s">
        <v>108</v>
      </c>
      <c r="C843" s="50" t="s">
        <v>79</v>
      </c>
      <c r="D843" s="348">
        <f>VLOOKUP(B843,[1]Dcu!$B$3:$D$511,3,0)</f>
        <v>12</v>
      </c>
      <c r="E843" s="52">
        <v>1.2</v>
      </c>
      <c r="F843" s="347">
        <f>VLOOKUP(B843,[1]Dcu!$B$3:$E$511,4,0)</f>
        <v>27000000</v>
      </c>
      <c r="G843" s="47">
        <f t="shared" si="30"/>
        <v>103846.15384615383</v>
      </c>
    </row>
    <row r="844" spans="1:7" ht="16.5" customHeight="1" x14ac:dyDescent="0.3">
      <c r="A844" s="16">
        <v>4</v>
      </c>
      <c r="B844" s="66" t="s">
        <v>109</v>
      </c>
      <c r="C844" s="50" t="s">
        <v>79</v>
      </c>
      <c r="D844" s="348">
        <f>VLOOKUP(B844,[1]Dcu!$B$3:$D$511,3,0)</f>
        <v>12</v>
      </c>
      <c r="E844" s="52">
        <v>1.2</v>
      </c>
      <c r="F844" s="347">
        <f>VLOOKUP(B844,[1]Dcu!$B$3:$E$511,4,0)</f>
        <v>1350000</v>
      </c>
      <c r="G844" s="47">
        <f t="shared" si="30"/>
        <v>5192.3076923076924</v>
      </c>
    </row>
    <row r="845" spans="1:7" ht="16.5" customHeight="1" x14ac:dyDescent="0.3">
      <c r="A845" s="16">
        <v>5</v>
      </c>
      <c r="B845" s="66" t="s">
        <v>110</v>
      </c>
      <c r="C845" s="50" t="s">
        <v>79</v>
      </c>
      <c r="D845" s="348">
        <f>VLOOKUP(B845,[1]Dcu!$B$3:$D$511,3,0)</f>
        <v>12</v>
      </c>
      <c r="E845" s="52">
        <v>1.2</v>
      </c>
      <c r="F845" s="347">
        <f>VLOOKUP(B845,[1]Dcu!$B$3:$E$511,4,0)</f>
        <v>1750000</v>
      </c>
      <c r="G845" s="47">
        <f t="shared" si="30"/>
        <v>6730.7692307692314</v>
      </c>
    </row>
    <row r="846" spans="1:7" ht="16.5" customHeight="1" x14ac:dyDescent="0.3">
      <c r="A846" s="16">
        <v>6</v>
      </c>
      <c r="B846" s="66" t="s">
        <v>56</v>
      </c>
      <c r="C846" s="50" t="s">
        <v>79</v>
      </c>
      <c r="D846" s="348">
        <f>VLOOKUP(B846,[1]Dcu!$B$3:$D$511,3,0)</f>
        <v>12</v>
      </c>
      <c r="E846" s="52">
        <v>1.2</v>
      </c>
      <c r="F846" s="347">
        <f>VLOOKUP(B846,[1]Dcu!$B$3:$E$511,4,0)</f>
        <v>80000</v>
      </c>
      <c r="G846" s="47">
        <f t="shared" si="30"/>
        <v>307.69230769230768</v>
      </c>
    </row>
    <row r="847" spans="1:7" ht="16.5" customHeight="1" x14ac:dyDescent="0.3">
      <c r="A847" s="16">
        <v>7</v>
      </c>
      <c r="B847" s="66" t="s">
        <v>30</v>
      </c>
      <c r="C847" s="50" t="s">
        <v>79</v>
      </c>
      <c r="D847" s="348">
        <f>VLOOKUP(B847,[1]Dcu!$B$3:$D$511,3,0)</f>
        <v>12</v>
      </c>
      <c r="E847" s="52">
        <v>1.2</v>
      </c>
      <c r="F847" s="347">
        <f>VLOOKUP(B847,[1]Dcu!$B$3:$E$511,4,0)</f>
        <v>3500000</v>
      </c>
      <c r="G847" s="47">
        <f t="shared" si="30"/>
        <v>13461.538461538463</v>
      </c>
    </row>
    <row r="848" spans="1:7" ht="16.5" customHeight="1" x14ac:dyDescent="0.3">
      <c r="A848" s="16">
        <v>8</v>
      </c>
      <c r="B848" s="66" t="s">
        <v>84</v>
      </c>
      <c r="C848" s="50" t="s">
        <v>79</v>
      </c>
      <c r="D848" s="348">
        <f>VLOOKUP(B848,[1]Dcu!$B$3:$D$511,3,0)</f>
        <v>12</v>
      </c>
      <c r="E848" s="52">
        <v>1.2</v>
      </c>
      <c r="F848" s="347">
        <f>VLOOKUP(B848,[1]Dcu!$B$3:$E$511,4,0)</f>
        <v>90000</v>
      </c>
      <c r="G848" s="47">
        <f t="shared" si="30"/>
        <v>346.15384615384613</v>
      </c>
    </row>
    <row r="849" spans="1:7" ht="16.5" customHeight="1" x14ac:dyDescent="0.3">
      <c r="A849" s="16">
        <v>9</v>
      </c>
      <c r="B849" s="66" t="s">
        <v>32</v>
      </c>
      <c r="C849" s="50" t="s">
        <v>79</v>
      </c>
      <c r="D849" s="348">
        <f>VLOOKUP(B849,[1]Dcu!$B$3:$D$511,3,0)</f>
        <v>12</v>
      </c>
      <c r="E849" s="52">
        <v>1.2</v>
      </c>
      <c r="F849" s="347">
        <f>VLOOKUP(B849,[1]Dcu!$B$3:$E$511,4,0)</f>
        <v>85000</v>
      </c>
      <c r="G849" s="47">
        <f t="shared" si="30"/>
        <v>326.92307692307696</v>
      </c>
    </row>
    <row r="850" spans="1:7" ht="16.5" customHeight="1" x14ac:dyDescent="0.3">
      <c r="A850" s="16">
        <v>10</v>
      </c>
      <c r="B850" s="66" t="s">
        <v>90</v>
      </c>
      <c r="C850" s="50" t="s">
        <v>79</v>
      </c>
      <c r="D850" s="348">
        <f>VLOOKUP(B850,[1]Dcu!$B$3:$D$511,3,0)</f>
        <v>12</v>
      </c>
      <c r="E850" s="52">
        <v>1.2</v>
      </c>
      <c r="F850" s="347">
        <f>VLOOKUP(B850,[1]Dcu!$B$3:$E$511,4,0)</f>
        <v>121000</v>
      </c>
      <c r="G850" s="47">
        <f t="shared" si="30"/>
        <v>465.38461538461536</v>
      </c>
    </row>
    <row r="851" spans="1:7" ht="16.5" customHeight="1" x14ac:dyDescent="0.3">
      <c r="A851" s="16">
        <v>11</v>
      </c>
      <c r="B851" s="66" t="s">
        <v>55</v>
      </c>
      <c r="C851" s="50" t="s">
        <v>79</v>
      </c>
      <c r="D851" s="348">
        <f>VLOOKUP(B851,[1]Dcu!$B$3:$D$511,3,0)</f>
        <v>12</v>
      </c>
      <c r="E851" s="52">
        <v>1.2</v>
      </c>
      <c r="F851" s="347">
        <f>VLOOKUP(B851,[1]Dcu!$B$3:$E$511,4,0)</f>
        <v>150000</v>
      </c>
      <c r="G851" s="47">
        <f t="shared" si="30"/>
        <v>576.92307692307691</v>
      </c>
    </row>
    <row r="852" spans="1:7" ht="16.5" customHeight="1" x14ac:dyDescent="0.3">
      <c r="A852" s="16">
        <v>12</v>
      </c>
      <c r="B852" s="66" t="s">
        <v>39</v>
      </c>
      <c r="C852" s="50" t="s">
        <v>79</v>
      </c>
      <c r="D852" s="348">
        <f>VLOOKUP(B852,[1]Dcu!$B$3:$D$511,3,0)</f>
        <v>36</v>
      </c>
      <c r="E852" s="52">
        <v>1.2</v>
      </c>
      <c r="F852" s="347">
        <f>VLOOKUP(B852,[1]Dcu!$B$3:$E$511,4,0)</f>
        <v>340000</v>
      </c>
      <c r="G852" s="47">
        <f t="shared" si="30"/>
        <v>435.89743589743586</v>
      </c>
    </row>
    <row r="853" spans="1:7" ht="16.5" customHeight="1" x14ac:dyDescent="0.3">
      <c r="A853" s="16">
        <v>13</v>
      </c>
      <c r="B853" s="66" t="s">
        <v>40</v>
      </c>
      <c r="C853" s="50" t="s">
        <v>79</v>
      </c>
      <c r="D853" s="348">
        <f>VLOOKUP(B853,[1]Dcu!$B$3:$D$511,3,0)</f>
        <v>36</v>
      </c>
      <c r="E853" s="52">
        <v>1.2</v>
      </c>
      <c r="F853" s="347">
        <f>VLOOKUP(B853,[1]Dcu!$B$3:$E$511,4,0)</f>
        <v>700000</v>
      </c>
      <c r="G853" s="47">
        <f t="shared" si="30"/>
        <v>897.43589743589735</v>
      </c>
    </row>
    <row r="854" spans="1:7" ht="16.5" customHeight="1" x14ac:dyDescent="0.3">
      <c r="A854" s="16">
        <v>14</v>
      </c>
      <c r="B854" s="66" t="s">
        <v>41</v>
      </c>
      <c r="C854" s="50" t="s">
        <v>79</v>
      </c>
      <c r="D854" s="348">
        <f>VLOOKUP(B854,[1]Dcu!$B$3:$D$511,3,0)</f>
        <v>36</v>
      </c>
      <c r="E854" s="52">
        <v>1.2</v>
      </c>
      <c r="F854" s="347">
        <f>VLOOKUP(B854,[1]Dcu!$B$3:$E$511,4,0)</f>
        <v>60000</v>
      </c>
      <c r="G854" s="47">
        <f t="shared" si="30"/>
        <v>76.92307692307692</v>
      </c>
    </row>
    <row r="855" spans="1:7" ht="16.5" customHeight="1" x14ac:dyDescent="0.3">
      <c r="A855" s="16">
        <v>15</v>
      </c>
      <c r="B855" s="5" t="s">
        <v>639</v>
      </c>
      <c r="C855" s="50" t="s">
        <v>79</v>
      </c>
      <c r="D855" s="348">
        <f>VLOOKUP(B855,[1]Dcu!$B$3:$D$511,3,0)</f>
        <v>12</v>
      </c>
      <c r="E855" s="52">
        <v>1.2</v>
      </c>
      <c r="F855" s="347">
        <f>VLOOKUP(B855,[1]Dcu!$B$3:$E$511,4,0)</f>
        <v>30000</v>
      </c>
      <c r="G855" s="47">
        <f t="shared" si="30"/>
        <v>115.38461538461539</v>
      </c>
    </row>
    <row r="856" spans="1:7" ht="16.5" customHeight="1" x14ac:dyDescent="0.3">
      <c r="A856" s="16">
        <v>17</v>
      </c>
      <c r="B856" s="12" t="s">
        <v>621</v>
      </c>
      <c r="C856" s="10" t="s">
        <v>76</v>
      </c>
      <c r="D856" s="348">
        <f>VLOOKUP(B856,[1]Dcu!$B$3:$D$511,3,0)</f>
        <v>0.3</v>
      </c>
      <c r="E856" s="10">
        <v>0.02</v>
      </c>
      <c r="F856" s="347">
        <f>VLOOKUP(B856,[1]Dcu!$B$3:$E$511,4,0)</f>
        <v>200000</v>
      </c>
      <c r="G856" s="47">
        <f t="shared" si="30"/>
        <v>512.82051282051282</v>
      </c>
    </row>
    <row r="857" spans="1:7" ht="16.5" customHeight="1" x14ac:dyDescent="0.3">
      <c r="A857" s="16">
        <v>18</v>
      </c>
      <c r="B857" s="66" t="s">
        <v>43</v>
      </c>
      <c r="C857" s="10" t="s">
        <v>76</v>
      </c>
      <c r="D857" s="348">
        <f>VLOOKUP(B857,[1]Dcu!$B$3:$D$511,3,0)</f>
        <v>0.3</v>
      </c>
      <c r="E857" s="10">
        <v>0.02</v>
      </c>
      <c r="F857" s="347">
        <f>VLOOKUP(B857,[1]Dcu!$B$3:$E$511,4,0)</f>
        <v>400000</v>
      </c>
      <c r="G857" s="47">
        <f t="shared" si="30"/>
        <v>1025.6410256410256</v>
      </c>
    </row>
    <row r="858" spans="1:7" ht="16.5" customHeight="1" x14ac:dyDescent="0.3">
      <c r="A858" s="16">
        <v>19</v>
      </c>
      <c r="B858" s="66" t="s">
        <v>111</v>
      </c>
      <c r="C858" s="50" t="s">
        <v>79</v>
      </c>
      <c r="D858" s="348">
        <f>VLOOKUP(B858,[1]Dcu!$B$3:$D$511,3,0)</f>
        <v>6</v>
      </c>
      <c r="E858" s="52">
        <v>1.2</v>
      </c>
      <c r="F858" s="347">
        <f>VLOOKUP(B858,[1]Dcu!$B$3:$E$511,4,0)</f>
        <v>1600000</v>
      </c>
      <c r="G858" s="47">
        <f t="shared" si="30"/>
        <v>12307.692307692307</v>
      </c>
    </row>
    <row r="859" spans="1:7" ht="16.5" customHeight="1" x14ac:dyDescent="0.3">
      <c r="A859" s="16">
        <v>20</v>
      </c>
      <c r="B859" s="66" t="s">
        <v>44</v>
      </c>
      <c r="C859" s="50" t="s">
        <v>79</v>
      </c>
      <c r="D859" s="348">
        <f>VLOOKUP(B859,[1]Dcu!$B$3:$D$511,3,0)</f>
        <v>60</v>
      </c>
      <c r="E859" s="52">
        <v>0.4</v>
      </c>
      <c r="F859" s="347">
        <f>VLOOKUP(B859,[1]Dcu!$B$3:$E$511,4,0)</f>
        <v>500000</v>
      </c>
      <c r="G859" s="47">
        <f t="shared" si="30"/>
        <v>128.2051282051282</v>
      </c>
    </row>
    <row r="860" spans="1:7" ht="16.5" customHeight="1" x14ac:dyDescent="0.3">
      <c r="A860" s="16">
        <v>21</v>
      </c>
      <c r="B860" s="66" t="s">
        <v>45</v>
      </c>
      <c r="C860" s="50" t="s">
        <v>79</v>
      </c>
      <c r="D860" s="348">
        <f>VLOOKUP(B860,[1]Dcu!$B$3:$D$511,3,0)</f>
        <v>60</v>
      </c>
      <c r="E860" s="52">
        <v>0.4</v>
      </c>
      <c r="F860" s="347">
        <f>VLOOKUP(B860,[1]Dcu!$B$3:$E$511,4,0)</f>
        <v>250000</v>
      </c>
      <c r="G860" s="47">
        <f t="shared" si="30"/>
        <v>64.102564102564102</v>
      </c>
    </row>
    <row r="861" spans="1:7" ht="16.5" customHeight="1" x14ac:dyDescent="0.3">
      <c r="A861" s="16">
        <v>22</v>
      </c>
      <c r="B861" s="66" t="s">
        <v>46</v>
      </c>
      <c r="C861" s="50" t="s">
        <v>79</v>
      </c>
      <c r="D861" s="348">
        <f>VLOOKUP(B861,[1]Dcu!$B$3:$D$511,3,0)</f>
        <v>60</v>
      </c>
      <c r="E861" s="52">
        <v>1.9E-2</v>
      </c>
      <c r="F861" s="347">
        <f>VLOOKUP(B861,[1]Dcu!$B$3:$E$511,4,0)</f>
        <v>1600000</v>
      </c>
      <c r="G861" s="47">
        <f t="shared" si="30"/>
        <v>19.487179487179485</v>
      </c>
    </row>
    <row r="862" spans="1:7" ht="16.5" customHeight="1" x14ac:dyDescent="0.3">
      <c r="A862" s="16">
        <v>23</v>
      </c>
      <c r="B862" s="66" t="s">
        <v>47</v>
      </c>
      <c r="C862" s="50" t="s">
        <v>79</v>
      </c>
      <c r="D862" s="348">
        <f>VLOOKUP(B862,[1]Dcu!$B$3:$D$511,3,0)</f>
        <v>60</v>
      </c>
      <c r="E862" s="52">
        <v>0.15</v>
      </c>
      <c r="F862" s="347">
        <f>VLOOKUP(B862,[1]Dcu!$B$3:$E$511,4,0)</f>
        <v>1500000</v>
      </c>
      <c r="G862" s="47">
        <f t="shared" si="30"/>
        <v>144.23076923076923</v>
      </c>
    </row>
    <row r="863" spans="1:7" ht="16.5" customHeight="1" x14ac:dyDescent="0.3">
      <c r="A863" s="16">
        <v>25</v>
      </c>
      <c r="B863" s="66" t="s">
        <v>48</v>
      </c>
      <c r="C863" s="50" t="s">
        <v>36</v>
      </c>
      <c r="D863" s="348">
        <f>VLOOKUP(B863,[1]Dcu!$B$3:$D$511,3,0)</f>
        <v>36</v>
      </c>
      <c r="E863" s="52">
        <v>1.6</v>
      </c>
      <c r="F863" s="347">
        <f>VLOOKUP(B863,[1]Dcu!$B$3:$E$511,4,0)</f>
        <v>40000</v>
      </c>
      <c r="G863" s="47">
        <f t="shared" si="30"/>
        <v>68.376068376068375</v>
      </c>
    </row>
    <row r="864" spans="1:7" ht="16.5" customHeight="1" x14ac:dyDescent="0.3">
      <c r="A864" s="16">
        <v>26</v>
      </c>
      <c r="B864" s="66" t="s">
        <v>49</v>
      </c>
      <c r="C864" s="50" t="s">
        <v>79</v>
      </c>
      <c r="D864" s="348">
        <f>VLOOKUP(B864,[1]Dcu!$B$3:$D$511,3,0)</f>
        <v>96</v>
      </c>
      <c r="E864" s="52">
        <v>0.08</v>
      </c>
      <c r="F864" s="347">
        <f>VLOOKUP(B864,[1]Dcu!$B$3:$E$511,4,0)</f>
        <v>1000000</v>
      </c>
      <c r="G864" s="47">
        <f t="shared" si="30"/>
        <v>32.051282051282051</v>
      </c>
    </row>
    <row r="865" spans="1:7" ht="16.5" customHeight="1" x14ac:dyDescent="0.3">
      <c r="A865" s="16">
        <v>27</v>
      </c>
      <c r="B865" s="66" t="s">
        <v>50</v>
      </c>
      <c r="C865" s="50" t="s">
        <v>79</v>
      </c>
      <c r="D865" s="348">
        <f>VLOOKUP(B865,[1]Dcu!$B$3:$D$511,3,0)</f>
        <v>96</v>
      </c>
      <c r="E865" s="52">
        <v>1.2</v>
      </c>
      <c r="F865" s="347">
        <f>VLOOKUP(B865,[1]Dcu!$B$3:$E$511,4,0)</f>
        <v>300000</v>
      </c>
      <c r="G865" s="47">
        <f t="shared" si="30"/>
        <v>144.23076923076923</v>
      </c>
    </row>
    <row r="866" spans="1:7" ht="16.5" customHeight="1" x14ac:dyDescent="0.3">
      <c r="A866" s="16">
        <v>28</v>
      </c>
      <c r="B866" s="66" t="s">
        <v>51</v>
      </c>
      <c r="C866" s="50" t="s">
        <v>79</v>
      </c>
      <c r="D866" s="348">
        <f>VLOOKUP(B866,[1]Dcu!$B$3:$D$511,3,0)</f>
        <v>96</v>
      </c>
      <c r="E866" s="52">
        <v>1.2</v>
      </c>
      <c r="F866" s="347">
        <f>VLOOKUP(B866,[1]Dcu!$B$3:$E$511,4,0)</f>
        <v>80000</v>
      </c>
      <c r="G866" s="47">
        <f t="shared" si="30"/>
        <v>38.46153846153846</v>
      </c>
    </row>
    <row r="867" spans="1:7" ht="16.5" customHeight="1" x14ac:dyDescent="0.3">
      <c r="A867" s="16">
        <v>29</v>
      </c>
      <c r="B867" s="66" t="s">
        <v>52</v>
      </c>
      <c r="C867" s="50" t="s">
        <v>98</v>
      </c>
      <c r="D867" s="52"/>
      <c r="E867" s="52">
        <v>2.3210000000000002</v>
      </c>
      <c r="F867" s="347">
        <f>VLOOKUP(B867,[1]Dcu!$B$3:$E$511,4,0)</f>
        <v>1838</v>
      </c>
      <c r="G867" s="47">
        <f>F867*E867</f>
        <v>4265.9980000000005</v>
      </c>
    </row>
    <row r="868" spans="1:7" ht="16.5" customHeight="1" x14ac:dyDescent="0.3">
      <c r="A868" s="15" t="s">
        <v>13</v>
      </c>
      <c r="B868" s="506" t="s">
        <v>169</v>
      </c>
      <c r="C868" s="507"/>
      <c r="D868" s="507"/>
      <c r="E868" s="507"/>
      <c r="F868" s="46"/>
      <c r="G868" s="45">
        <f>SUM(G869:G894)*1.05+G895</f>
        <v>166970.94671794871</v>
      </c>
    </row>
    <row r="869" spans="1:7" ht="16.5" customHeight="1" x14ac:dyDescent="0.3">
      <c r="A869" s="16">
        <v>1</v>
      </c>
      <c r="B869" s="66" t="s">
        <v>27</v>
      </c>
      <c r="C869" s="50" t="s">
        <v>79</v>
      </c>
      <c r="D869" s="348">
        <f>VLOOKUP(B869,[1]Dcu!$B$3:$D$511,3,0)</f>
        <v>12</v>
      </c>
      <c r="E869" s="52">
        <v>1.2</v>
      </c>
      <c r="F869" s="347">
        <f>VLOOKUP(B869,[1]Dcu!$B$3:$E$511,4,0)</f>
        <v>100000</v>
      </c>
      <c r="G869" s="47">
        <f t="shared" si="30"/>
        <v>384.61538461538458</v>
      </c>
    </row>
    <row r="870" spans="1:7" ht="16.5" customHeight="1" x14ac:dyDescent="0.3">
      <c r="A870" s="16">
        <v>2</v>
      </c>
      <c r="B870" s="66" t="s">
        <v>107</v>
      </c>
      <c r="C870" s="50" t="s">
        <v>79</v>
      </c>
      <c r="D870" s="348">
        <f>VLOOKUP(B870,[1]Dcu!$B$3:$D$511,3,0)</f>
        <v>12</v>
      </c>
      <c r="E870" s="52">
        <v>1.2</v>
      </c>
      <c r="F870" s="347">
        <f>VLOOKUP(B870,[1]Dcu!$B$3:$E$511,4,0)</f>
        <v>1900000</v>
      </c>
      <c r="G870" s="47">
        <f t="shared" si="30"/>
        <v>7307.6923076923076</v>
      </c>
    </row>
    <row r="871" spans="1:7" ht="16.5" customHeight="1" x14ac:dyDescent="0.3">
      <c r="A871" s="16">
        <v>3</v>
      </c>
      <c r="B871" s="66" t="s">
        <v>108</v>
      </c>
      <c r="C871" s="50" t="s">
        <v>79</v>
      </c>
      <c r="D871" s="348">
        <f>VLOOKUP(B871,[1]Dcu!$B$3:$D$511,3,0)</f>
        <v>12</v>
      </c>
      <c r="E871" s="52">
        <v>1.2</v>
      </c>
      <c r="F871" s="347">
        <f>VLOOKUP(B871,[1]Dcu!$B$3:$E$511,4,0)</f>
        <v>27000000</v>
      </c>
      <c r="G871" s="47">
        <f t="shared" si="30"/>
        <v>103846.15384615383</v>
      </c>
    </row>
    <row r="872" spans="1:7" ht="16.5" customHeight="1" x14ac:dyDescent="0.3">
      <c r="A872" s="16">
        <v>4</v>
      </c>
      <c r="B872" s="66" t="s">
        <v>109</v>
      </c>
      <c r="C872" s="50" t="s">
        <v>79</v>
      </c>
      <c r="D872" s="348">
        <f>VLOOKUP(B872,[1]Dcu!$B$3:$D$511,3,0)</f>
        <v>12</v>
      </c>
      <c r="E872" s="52">
        <v>1.2</v>
      </c>
      <c r="F872" s="347">
        <f>VLOOKUP(B872,[1]Dcu!$B$3:$E$511,4,0)</f>
        <v>1350000</v>
      </c>
      <c r="G872" s="47">
        <f t="shared" si="30"/>
        <v>5192.3076923076924</v>
      </c>
    </row>
    <row r="873" spans="1:7" ht="16.5" customHeight="1" x14ac:dyDescent="0.3">
      <c r="A873" s="16">
        <v>5</v>
      </c>
      <c r="B873" s="66" t="s">
        <v>110</v>
      </c>
      <c r="C873" s="50" t="s">
        <v>79</v>
      </c>
      <c r="D873" s="348">
        <f>VLOOKUP(B873,[1]Dcu!$B$3:$D$511,3,0)</f>
        <v>12</v>
      </c>
      <c r="E873" s="52">
        <v>1.2</v>
      </c>
      <c r="F873" s="347">
        <f>VLOOKUP(B873,[1]Dcu!$B$3:$E$511,4,0)</f>
        <v>1750000</v>
      </c>
      <c r="G873" s="47">
        <f t="shared" si="30"/>
        <v>6730.7692307692314</v>
      </c>
    </row>
    <row r="874" spans="1:7" ht="16.5" customHeight="1" x14ac:dyDescent="0.3">
      <c r="A874" s="16">
        <v>6</v>
      </c>
      <c r="B874" s="66" t="s">
        <v>56</v>
      </c>
      <c r="C874" s="50" t="s">
        <v>79</v>
      </c>
      <c r="D874" s="348">
        <f>VLOOKUP(B874,[1]Dcu!$B$3:$D$511,3,0)</f>
        <v>12</v>
      </c>
      <c r="E874" s="52">
        <v>1.2</v>
      </c>
      <c r="F874" s="347">
        <f>VLOOKUP(B874,[1]Dcu!$B$3:$E$511,4,0)</f>
        <v>80000</v>
      </c>
      <c r="G874" s="47">
        <f t="shared" si="30"/>
        <v>307.69230769230768</v>
      </c>
    </row>
    <row r="875" spans="1:7" ht="16.5" customHeight="1" x14ac:dyDescent="0.3">
      <c r="A875" s="16">
        <v>7</v>
      </c>
      <c r="B875" s="66" t="s">
        <v>30</v>
      </c>
      <c r="C875" s="50" t="s">
        <v>79</v>
      </c>
      <c r="D875" s="348">
        <f>VLOOKUP(B875,[1]Dcu!$B$3:$D$511,3,0)</f>
        <v>12</v>
      </c>
      <c r="E875" s="52">
        <v>1.2</v>
      </c>
      <c r="F875" s="347">
        <f>VLOOKUP(B875,[1]Dcu!$B$3:$E$511,4,0)</f>
        <v>3500000</v>
      </c>
      <c r="G875" s="47">
        <f t="shared" si="30"/>
        <v>13461.538461538463</v>
      </c>
    </row>
    <row r="876" spans="1:7" ht="16.5" customHeight="1" x14ac:dyDescent="0.3">
      <c r="A876" s="16">
        <v>8</v>
      </c>
      <c r="B876" s="66" t="s">
        <v>84</v>
      </c>
      <c r="C876" s="50" t="s">
        <v>79</v>
      </c>
      <c r="D876" s="348">
        <f>VLOOKUP(B876,[1]Dcu!$B$3:$D$511,3,0)</f>
        <v>12</v>
      </c>
      <c r="E876" s="52">
        <v>1.2</v>
      </c>
      <c r="F876" s="347">
        <f>VLOOKUP(B876,[1]Dcu!$B$3:$E$511,4,0)</f>
        <v>90000</v>
      </c>
      <c r="G876" s="47">
        <f t="shared" si="30"/>
        <v>346.15384615384613</v>
      </c>
    </row>
    <row r="877" spans="1:7" ht="16.5" customHeight="1" x14ac:dyDescent="0.3">
      <c r="A877" s="16">
        <v>9</v>
      </c>
      <c r="B877" s="66" t="s">
        <v>32</v>
      </c>
      <c r="C877" s="50" t="s">
        <v>79</v>
      </c>
      <c r="D877" s="348">
        <f>VLOOKUP(B877,[1]Dcu!$B$3:$D$511,3,0)</f>
        <v>12</v>
      </c>
      <c r="E877" s="52">
        <v>1.2</v>
      </c>
      <c r="F877" s="347">
        <f>VLOOKUP(B877,[1]Dcu!$B$3:$E$511,4,0)</f>
        <v>85000</v>
      </c>
      <c r="G877" s="47">
        <f t="shared" si="30"/>
        <v>326.92307692307696</v>
      </c>
    </row>
    <row r="878" spans="1:7" ht="16.5" customHeight="1" x14ac:dyDescent="0.3">
      <c r="A878" s="16">
        <v>10</v>
      </c>
      <c r="B878" s="66" t="s">
        <v>90</v>
      </c>
      <c r="C878" s="50" t="s">
        <v>79</v>
      </c>
      <c r="D878" s="348">
        <f>VLOOKUP(B878,[1]Dcu!$B$3:$D$511,3,0)</f>
        <v>12</v>
      </c>
      <c r="E878" s="52">
        <v>1.2</v>
      </c>
      <c r="F878" s="347">
        <f>VLOOKUP(B878,[1]Dcu!$B$3:$E$511,4,0)</f>
        <v>121000</v>
      </c>
      <c r="G878" s="47">
        <f t="shared" si="30"/>
        <v>465.38461538461536</v>
      </c>
    </row>
    <row r="879" spans="1:7" ht="16.5" customHeight="1" x14ac:dyDescent="0.3">
      <c r="A879" s="16">
        <v>11</v>
      </c>
      <c r="B879" s="66" t="s">
        <v>55</v>
      </c>
      <c r="C879" s="50" t="s">
        <v>79</v>
      </c>
      <c r="D879" s="348">
        <f>VLOOKUP(B879,[1]Dcu!$B$3:$D$511,3,0)</f>
        <v>12</v>
      </c>
      <c r="E879" s="52">
        <v>1.2</v>
      </c>
      <c r="F879" s="347">
        <f>VLOOKUP(B879,[1]Dcu!$B$3:$E$511,4,0)</f>
        <v>150000</v>
      </c>
      <c r="G879" s="47">
        <f t="shared" si="30"/>
        <v>576.92307692307691</v>
      </c>
    </row>
    <row r="880" spans="1:7" ht="16.5" customHeight="1" x14ac:dyDescent="0.3">
      <c r="A880" s="16">
        <v>12</v>
      </c>
      <c r="B880" s="66" t="s">
        <v>39</v>
      </c>
      <c r="C880" s="50" t="s">
        <v>79</v>
      </c>
      <c r="D880" s="348">
        <f>VLOOKUP(B880,[1]Dcu!$B$3:$D$511,3,0)</f>
        <v>36</v>
      </c>
      <c r="E880" s="52">
        <v>1.2</v>
      </c>
      <c r="F880" s="347">
        <f>VLOOKUP(B880,[1]Dcu!$B$3:$E$511,4,0)</f>
        <v>340000</v>
      </c>
      <c r="G880" s="47">
        <f t="shared" si="30"/>
        <v>435.89743589743586</v>
      </c>
    </row>
    <row r="881" spans="1:7" ht="16.5" customHeight="1" x14ac:dyDescent="0.3">
      <c r="A881" s="16">
        <v>13</v>
      </c>
      <c r="B881" s="66" t="s">
        <v>40</v>
      </c>
      <c r="C881" s="50" t="s">
        <v>79</v>
      </c>
      <c r="D881" s="348">
        <f>VLOOKUP(B881,[1]Dcu!$B$3:$D$511,3,0)</f>
        <v>36</v>
      </c>
      <c r="E881" s="52">
        <v>1.2</v>
      </c>
      <c r="F881" s="347">
        <f>VLOOKUP(B881,[1]Dcu!$B$3:$E$511,4,0)</f>
        <v>700000</v>
      </c>
      <c r="G881" s="47">
        <f t="shared" si="30"/>
        <v>897.43589743589735</v>
      </c>
    </row>
    <row r="882" spans="1:7" ht="16.5" customHeight="1" x14ac:dyDescent="0.3">
      <c r="A882" s="16">
        <v>14</v>
      </c>
      <c r="B882" s="66" t="s">
        <v>41</v>
      </c>
      <c r="C882" s="50" t="s">
        <v>79</v>
      </c>
      <c r="D882" s="348">
        <f>VLOOKUP(B882,[1]Dcu!$B$3:$D$511,3,0)</f>
        <v>36</v>
      </c>
      <c r="E882" s="52">
        <v>1.2</v>
      </c>
      <c r="F882" s="347">
        <f>VLOOKUP(B882,[1]Dcu!$B$3:$E$511,4,0)</f>
        <v>60000</v>
      </c>
      <c r="G882" s="47">
        <f t="shared" si="30"/>
        <v>76.92307692307692</v>
      </c>
    </row>
    <row r="883" spans="1:7" ht="16.5" customHeight="1" x14ac:dyDescent="0.3">
      <c r="A883" s="16">
        <v>15</v>
      </c>
      <c r="B883" s="5" t="s">
        <v>639</v>
      </c>
      <c r="C883" s="50" t="s">
        <v>79</v>
      </c>
      <c r="D883" s="348">
        <f>VLOOKUP(B883,[1]Dcu!$B$3:$D$511,3,0)</f>
        <v>12</v>
      </c>
      <c r="E883" s="52">
        <v>1.2</v>
      </c>
      <c r="F883" s="347">
        <f>VLOOKUP(B883,[1]Dcu!$B$3:$E$511,4,0)</f>
        <v>30000</v>
      </c>
      <c r="G883" s="47">
        <f t="shared" si="30"/>
        <v>115.38461538461539</v>
      </c>
    </row>
    <row r="884" spans="1:7" ht="16.5" customHeight="1" x14ac:dyDescent="0.3">
      <c r="A884" s="16">
        <v>17</v>
      </c>
      <c r="B884" s="12" t="s">
        <v>621</v>
      </c>
      <c r="C884" s="10" t="s">
        <v>76</v>
      </c>
      <c r="D884" s="348">
        <f>VLOOKUP(B884,[1]Dcu!$B$3:$D$511,3,0)</f>
        <v>0.3</v>
      </c>
      <c r="E884" s="10">
        <v>0.02</v>
      </c>
      <c r="F884" s="347">
        <f>VLOOKUP(B884,[1]Dcu!$B$3:$E$511,4,0)</f>
        <v>200000</v>
      </c>
      <c r="G884" s="47">
        <f t="shared" si="30"/>
        <v>512.82051282051282</v>
      </c>
    </row>
    <row r="885" spans="1:7" ht="16.5" customHeight="1" x14ac:dyDescent="0.3">
      <c r="A885" s="16">
        <v>18</v>
      </c>
      <c r="B885" s="66" t="s">
        <v>43</v>
      </c>
      <c r="C885" s="10" t="s">
        <v>76</v>
      </c>
      <c r="D885" s="348">
        <f>VLOOKUP(B885,[1]Dcu!$B$3:$D$511,3,0)</f>
        <v>0.3</v>
      </c>
      <c r="E885" s="10">
        <v>0.02</v>
      </c>
      <c r="F885" s="347">
        <f>VLOOKUP(B885,[1]Dcu!$B$3:$E$511,4,0)</f>
        <v>400000</v>
      </c>
      <c r="G885" s="47">
        <f t="shared" si="30"/>
        <v>1025.6410256410256</v>
      </c>
    </row>
    <row r="886" spans="1:7" ht="16.5" customHeight="1" x14ac:dyDescent="0.3">
      <c r="A886" s="16">
        <v>19</v>
      </c>
      <c r="B886" s="66" t="s">
        <v>111</v>
      </c>
      <c r="C886" s="50" t="s">
        <v>79</v>
      </c>
      <c r="D886" s="348">
        <f>VLOOKUP(B886,[1]Dcu!$B$3:$D$511,3,0)</f>
        <v>6</v>
      </c>
      <c r="E886" s="52">
        <v>1.2</v>
      </c>
      <c r="F886" s="347">
        <f>VLOOKUP(B886,[1]Dcu!$B$3:$E$511,4,0)</f>
        <v>1600000</v>
      </c>
      <c r="G886" s="47">
        <f t="shared" si="30"/>
        <v>12307.692307692307</v>
      </c>
    </row>
    <row r="887" spans="1:7" ht="16.5" customHeight="1" x14ac:dyDescent="0.3">
      <c r="A887" s="16">
        <v>20</v>
      </c>
      <c r="B887" s="66" t="s">
        <v>44</v>
      </c>
      <c r="C887" s="50" t="s">
        <v>79</v>
      </c>
      <c r="D887" s="348">
        <f>VLOOKUP(B887,[1]Dcu!$B$3:$D$511,3,0)</f>
        <v>60</v>
      </c>
      <c r="E887" s="52">
        <v>0.4</v>
      </c>
      <c r="F887" s="347">
        <f>VLOOKUP(B887,[1]Dcu!$B$3:$E$511,4,0)</f>
        <v>500000</v>
      </c>
      <c r="G887" s="47">
        <f t="shared" ref="G887:G946" si="31">F887/(D887*26)*E887</f>
        <v>128.2051282051282</v>
      </c>
    </row>
    <row r="888" spans="1:7" ht="16.5" customHeight="1" x14ac:dyDescent="0.3">
      <c r="A888" s="16">
        <v>21</v>
      </c>
      <c r="B888" s="66" t="s">
        <v>45</v>
      </c>
      <c r="C888" s="50" t="s">
        <v>79</v>
      </c>
      <c r="D888" s="348">
        <f>VLOOKUP(B888,[1]Dcu!$B$3:$D$511,3,0)</f>
        <v>60</v>
      </c>
      <c r="E888" s="52">
        <v>0.4</v>
      </c>
      <c r="F888" s="347">
        <f>VLOOKUP(B888,[1]Dcu!$B$3:$E$511,4,0)</f>
        <v>250000</v>
      </c>
      <c r="G888" s="47">
        <f t="shared" si="31"/>
        <v>64.102564102564102</v>
      </c>
    </row>
    <row r="889" spans="1:7" ht="16.5" customHeight="1" x14ac:dyDescent="0.3">
      <c r="A889" s="16">
        <v>22</v>
      </c>
      <c r="B889" s="66" t="s">
        <v>46</v>
      </c>
      <c r="C889" s="50" t="s">
        <v>79</v>
      </c>
      <c r="D889" s="348">
        <f>VLOOKUP(B889,[1]Dcu!$B$3:$D$511,3,0)</f>
        <v>60</v>
      </c>
      <c r="E889" s="52">
        <v>1.9E-2</v>
      </c>
      <c r="F889" s="347">
        <f>VLOOKUP(B889,[1]Dcu!$B$3:$E$511,4,0)</f>
        <v>1600000</v>
      </c>
      <c r="G889" s="47">
        <f t="shared" si="31"/>
        <v>19.487179487179485</v>
      </c>
    </row>
    <row r="890" spans="1:7" ht="16.5" customHeight="1" x14ac:dyDescent="0.3">
      <c r="A890" s="16">
        <v>23</v>
      </c>
      <c r="B890" s="66" t="s">
        <v>47</v>
      </c>
      <c r="C890" s="50" t="s">
        <v>79</v>
      </c>
      <c r="D890" s="348">
        <f>VLOOKUP(B890,[1]Dcu!$B$3:$D$511,3,0)</f>
        <v>60</v>
      </c>
      <c r="E890" s="52">
        <v>0.15</v>
      </c>
      <c r="F890" s="347">
        <f>VLOOKUP(B890,[1]Dcu!$B$3:$E$511,4,0)</f>
        <v>1500000</v>
      </c>
      <c r="G890" s="47">
        <f t="shared" si="31"/>
        <v>144.23076923076923</v>
      </c>
    </row>
    <row r="891" spans="1:7" ht="16.5" customHeight="1" x14ac:dyDescent="0.3">
      <c r="A891" s="16">
        <v>25</v>
      </c>
      <c r="B891" s="66" t="s">
        <v>48</v>
      </c>
      <c r="C891" s="50" t="s">
        <v>36</v>
      </c>
      <c r="D891" s="348">
        <f>VLOOKUP(B891,[1]Dcu!$B$3:$D$511,3,0)</f>
        <v>36</v>
      </c>
      <c r="E891" s="52">
        <v>1.6</v>
      </c>
      <c r="F891" s="347">
        <f>VLOOKUP(B891,[1]Dcu!$B$3:$E$511,4,0)</f>
        <v>40000</v>
      </c>
      <c r="G891" s="47">
        <f t="shared" si="31"/>
        <v>68.376068376068375</v>
      </c>
    </row>
    <row r="892" spans="1:7" ht="16.5" customHeight="1" x14ac:dyDescent="0.3">
      <c r="A892" s="16">
        <v>26</v>
      </c>
      <c r="B892" s="66" t="s">
        <v>49</v>
      </c>
      <c r="C892" s="50" t="s">
        <v>79</v>
      </c>
      <c r="D892" s="348">
        <f>VLOOKUP(B892,[1]Dcu!$B$3:$D$511,3,0)</f>
        <v>96</v>
      </c>
      <c r="E892" s="52">
        <v>0.08</v>
      </c>
      <c r="F892" s="347">
        <f>VLOOKUP(B892,[1]Dcu!$B$3:$E$511,4,0)</f>
        <v>1000000</v>
      </c>
      <c r="G892" s="47">
        <f t="shared" si="31"/>
        <v>32.051282051282051</v>
      </c>
    </row>
    <row r="893" spans="1:7" ht="16.5" customHeight="1" x14ac:dyDescent="0.3">
      <c r="A893" s="16">
        <v>27</v>
      </c>
      <c r="B893" s="66" t="s">
        <v>50</v>
      </c>
      <c r="C893" s="50" t="s">
        <v>79</v>
      </c>
      <c r="D893" s="348">
        <f>VLOOKUP(B893,[1]Dcu!$B$3:$D$511,3,0)</f>
        <v>96</v>
      </c>
      <c r="E893" s="52">
        <v>1.2</v>
      </c>
      <c r="F893" s="347">
        <f>VLOOKUP(B893,[1]Dcu!$B$3:$E$511,4,0)</f>
        <v>300000</v>
      </c>
      <c r="G893" s="47">
        <f t="shared" si="31"/>
        <v>144.23076923076923</v>
      </c>
    </row>
    <row r="894" spans="1:7" ht="16.5" customHeight="1" x14ac:dyDescent="0.3">
      <c r="A894" s="16">
        <v>28</v>
      </c>
      <c r="B894" s="66" t="s">
        <v>51</v>
      </c>
      <c r="C894" s="50" t="s">
        <v>79</v>
      </c>
      <c r="D894" s="348">
        <f>VLOOKUP(B894,[1]Dcu!$B$3:$D$511,3,0)</f>
        <v>96</v>
      </c>
      <c r="E894" s="52">
        <v>1.2</v>
      </c>
      <c r="F894" s="347">
        <f>VLOOKUP(B894,[1]Dcu!$B$3:$E$511,4,0)</f>
        <v>80000</v>
      </c>
      <c r="G894" s="47">
        <f t="shared" si="31"/>
        <v>38.46153846153846</v>
      </c>
    </row>
    <row r="895" spans="1:7" ht="16.5" customHeight="1" x14ac:dyDescent="0.3">
      <c r="A895" s="16">
        <v>29</v>
      </c>
      <c r="B895" s="66" t="s">
        <v>52</v>
      </c>
      <c r="C895" s="50" t="s">
        <v>98</v>
      </c>
      <c r="D895" s="52"/>
      <c r="E895" s="52">
        <v>2.3210000000000002</v>
      </c>
      <c r="F895" s="347">
        <f>VLOOKUP(B895,[1]Dcu!$B$3:$E$511,4,0)</f>
        <v>1838</v>
      </c>
      <c r="G895" s="47">
        <f>F895*E895</f>
        <v>4265.9980000000005</v>
      </c>
    </row>
    <row r="896" spans="1:7" ht="16.5" customHeight="1" x14ac:dyDescent="0.3">
      <c r="A896" s="15" t="s">
        <v>15</v>
      </c>
      <c r="B896" s="65" t="s">
        <v>527</v>
      </c>
      <c r="C896" s="65"/>
      <c r="D896" s="65"/>
      <c r="E896" s="65"/>
      <c r="F896" s="46"/>
      <c r="G896" s="45">
        <f>SUM(G897:G922)*1.05+G923</f>
        <v>166970.94671794871</v>
      </c>
    </row>
    <row r="897" spans="1:7" ht="16.5" customHeight="1" x14ac:dyDescent="0.3">
      <c r="A897" s="16">
        <v>1</v>
      </c>
      <c r="B897" s="66" t="s">
        <v>27</v>
      </c>
      <c r="C897" s="50" t="s">
        <v>79</v>
      </c>
      <c r="D897" s="348">
        <f>VLOOKUP(B897,[1]Dcu!$B$3:$D$511,3,0)</f>
        <v>12</v>
      </c>
      <c r="E897" s="52">
        <v>1.2</v>
      </c>
      <c r="F897" s="347">
        <f>VLOOKUP(B897,[1]Dcu!$B$3:$E$511,4,0)</f>
        <v>100000</v>
      </c>
      <c r="G897" s="47">
        <f t="shared" si="31"/>
        <v>384.61538461538458</v>
      </c>
    </row>
    <row r="898" spans="1:7" ht="16.5" customHeight="1" x14ac:dyDescent="0.3">
      <c r="A898" s="16">
        <v>2</v>
      </c>
      <c r="B898" s="66" t="s">
        <v>107</v>
      </c>
      <c r="C898" s="50" t="s">
        <v>79</v>
      </c>
      <c r="D898" s="348">
        <f>VLOOKUP(B898,[1]Dcu!$B$3:$D$511,3,0)</f>
        <v>12</v>
      </c>
      <c r="E898" s="52">
        <v>1.2</v>
      </c>
      <c r="F898" s="347">
        <f>VLOOKUP(B898,[1]Dcu!$B$3:$E$511,4,0)</f>
        <v>1900000</v>
      </c>
      <c r="G898" s="47">
        <f t="shared" si="31"/>
        <v>7307.6923076923076</v>
      </c>
    </row>
    <row r="899" spans="1:7" ht="16.5" customHeight="1" x14ac:dyDescent="0.3">
      <c r="A899" s="16">
        <v>3</v>
      </c>
      <c r="B899" s="66" t="s">
        <v>108</v>
      </c>
      <c r="C899" s="50" t="s">
        <v>79</v>
      </c>
      <c r="D899" s="348">
        <f>VLOOKUP(B899,[1]Dcu!$B$3:$D$511,3,0)</f>
        <v>12</v>
      </c>
      <c r="E899" s="52">
        <v>1.2</v>
      </c>
      <c r="F899" s="347">
        <f>VLOOKUP(B899,[1]Dcu!$B$3:$E$511,4,0)</f>
        <v>27000000</v>
      </c>
      <c r="G899" s="47">
        <f t="shared" si="31"/>
        <v>103846.15384615383</v>
      </c>
    </row>
    <row r="900" spans="1:7" ht="16.5" customHeight="1" x14ac:dyDescent="0.3">
      <c r="A900" s="16">
        <v>4</v>
      </c>
      <c r="B900" s="66" t="s">
        <v>109</v>
      </c>
      <c r="C900" s="50" t="s">
        <v>79</v>
      </c>
      <c r="D900" s="348">
        <f>VLOOKUP(B900,[1]Dcu!$B$3:$D$511,3,0)</f>
        <v>12</v>
      </c>
      <c r="E900" s="52">
        <v>1.2</v>
      </c>
      <c r="F900" s="347">
        <f>VLOOKUP(B900,[1]Dcu!$B$3:$E$511,4,0)</f>
        <v>1350000</v>
      </c>
      <c r="G900" s="47">
        <f t="shared" si="31"/>
        <v>5192.3076923076924</v>
      </c>
    </row>
    <row r="901" spans="1:7" ht="16.5" customHeight="1" x14ac:dyDescent="0.3">
      <c r="A901" s="16">
        <v>5</v>
      </c>
      <c r="B901" s="66" t="s">
        <v>110</v>
      </c>
      <c r="C901" s="50" t="s">
        <v>79</v>
      </c>
      <c r="D901" s="348">
        <f>VLOOKUP(B901,[1]Dcu!$B$3:$D$511,3,0)</f>
        <v>12</v>
      </c>
      <c r="E901" s="52">
        <v>1.2</v>
      </c>
      <c r="F901" s="347">
        <f>VLOOKUP(B901,[1]Dcu!$B$3:$E$511,4,0)</f>
        <v>1750000</v>
      </c>
      <c r="G901" s="47">
        <f t="shared" si="31"/>
        <v>6730.7692307692314</v>
      </c>
    </row>
    <row r="902" spans="1:7" ht="16.5" customHeight="1" x14ac:dyDescent="0.3">
      <c r="A902" s="16">
        <v>6</v>
      </c>
      <c r="B902" s="66" t="s">
        <v>56</v>
      </c>
      <c r="C902" s="50" t="s">
        <v>79</v>
      </c>
      <c r="D902" s="348">
        <f>VLOOKUP(B902,[1]Dcu!$B$3:$D$511,3,0)</f>
        <v>12</v>
      </c>
      <c r="E902" s="52">
        <v>1.2</v>
      </c>
      <c r="F902" s="347">
        <f>VLOOKUP(B902,[1]Dcu!$B$3:$E$511,4,0)</f>
        <v>80000</v>
      </c>
      <c r="G902" s="47">
        <f t="shared" si="31"/>
        <v>307.69230769230768</v>
      </c>
    </row>
    <row r="903" spans="1:7" ht="16.5" customHeight="1" x14ac:dyDescent="0.3">
      <c r="A903" s="16">
        <v>7</v>
      </c>
      <c r="B903" s="66" t="s">
        <v>30</v>
      </c>
      <c r="C903" s="50" t="s">
        <v>79</v>
      </c>
      <c r="D903" s="348">
        <f>VLOOKUP(B903,[1]Dcu!$B$3:$D$511,3,0)</f>
        <v>12</v>
      </c>
      <c r="E903" s="52">
        <v>1.2</v>
      </c>
      <c r="F903" s="347">
        <f>VLOOKUP(B903,[1]Dcu!$B$3:$E$511,4,0)</f>
        <v>3500000</v>
      </c>
      <c r="G903" s="47">
        <f t="shared" si="31"/>
        <v>13461.538461538463</v>
      </c>
    </row>
    <row r="904" spans="1:7" ht="16.5" customHeight="1" x14ac:dyDescent="0.3">
      <c r="A904" s="16">
        <v>8</v>
      </c>
      <c r="B904" s="66" t="s">
        <v>84</v>
      </c>
      <c r="C904" s="50" t="s">
        <v>79</v>
      </c>
      <c r="D904" s="348">
        <f>VLOOKUP(B904,[1]Dcu!$B$3:$D$511,3,0)</f>
        <v>12</v>
      </c>
      <c r="E904" s="52">
        <v>1.2</v>
      </c>
      <c r="F904" s="347">
        <f>VLOOKUP(B904,[1]Dcu!$B$3:$E$511,4,0)</f>
        <v>90000</v>
      </c>
      <c r="G904" s="47">
        <f t="shared" si="31"/>
        <v>346.15384615384613</v>
      </c>
    </row>
    <row r="905" spans="1:7" ht="16.5" customHeight="1" x14ac:dyDescent="0.3">
      <c r="A905" s="16">
        <v>9</v>
      </c>
      <c r="B905" s="66" t="s">
        <v>32</v>
      </c>
      <c r="C905" s="50" t="s">
        <v>79</v>
      </c>
      <c r="D905" s="348">
        <f>VLOOKUP(B905,[1]Dcu!$B$3:$D$511,3,0)</f>
        <v>12</v>
      </c>
      <c r="E905" s="52">
        <v>1.2</v>
      </c>
      <c r="F905" s="347">
        <f>VLOOKUP(B905,[1]Dcu!$B$3:$E$511,4,0)</f>
        <v>85000</v>
      </c>
      <c r="G905" s="47">
        <f t="shared" si="31"/>
        <v>326.92307692307696</v>
      </c>
    </row>
    <row r="906" spans="1:7" ht="16.5" customHeight="1" x14ac:dyDescent="0.3">
      <c r="A906" s="16">
        <v>10</v>
      </c>
      <c r="B906" s="66" t="s">
        <v>90</v>
      </c>
      <c r="C906" s="50" t="s">
        <v>79</v>
      </c>
      <c r="D906" s="348">
        <f>VLOOKUP(B906,[1]Dcu!$B$3:$D$511,3,0)</f>
        <v>12</v>
      </c>
      <c r="E906" s="52">
        <v>1.2</v>
      </c>
      <c r="F906" s="347">
        <f>VLOOKUP(B906,[1]Dcu!$B$3:$E$511,4,0)</f>
        <v>121000</v>
      </c>
      <c r="G906" s="47">
        <f t="shared" si="31"/>
        <v>465.38461538461536</v>
      </c>
    </row>
    <row r="907" spans="1:7" ht="16.5" customHeight="1" x14ac:dyDescent="0.3">
      <c r="A907" s="16">
        <v>11</v>
      </c>
      <c r="B907" s="66" t="s">
        <v>55</v>
      </c>
      <c r="C907" s="50" t="s">
        <v>79</v>
      </c>
      <c r="D907" s="348">
        <f>VLOOKUP(B907,[1]Dcu!$B$3:$D$511,3,0)</f>
        <v>12</v>
      </c>
      <c r="E907" s="52">
        <v>1.2</v>
      </c>
      <c r="F907" s="347">
        <f>VLOOKUP(B907,[1]Dcu!$B$3:$E$511,4,0)</f>
        <v>150000</v>
      </c>
      <c r="G907" s="47">
        <f t="shared" si="31"/>
        <v>576.92307692307691</v>
      </c>
    </row>
    <row r="908" spans="1:7" ht="16.5" customHeight="1" x14ac:dyDescent="0.3">
      <c r="A908" s="16">
        <v>12</v>
      </c>
      <c r="B908" s="66" t="s">
        <v>39</v>
      </c>
      <c r="C908" s="50" t="s">
        <v>79</v>
      </c>
      <c r="D908" s="348">
        <f>VLOOKUP(B908,[1]Dcu!$B$3:$D$511,3,0)</f>
        <v>36</v>
      </c>
      <c r="E908" s="52">
        <v>1.2</v>
      </c>
      <c r="F908" s="347">
        <f>VLOOKUP(B908,[1]Dcu!$B$3:$E$511,4,0)</f>
        <v>340000</v>
      </c>
      <c r="G908" s="47">
        <f t="shared" si="31"/>
        <v>435.89743589743586</v>
      </c>
    </row>
    <row r="909" spans="1:7" ht="16.5" customHeight="1" x14ac:dyDescent="0.3">
      <c r="A909" s="16">
        <v>13</v>
      </c>
      <c r="B909" s="66" t="s">
        <v>40</v>
      </c>
      <c r="C909" s="50" t="s">
        <v>79</v>
      </c>
      <c r="D909" s="348">
        <f>VLOOKUP(B909,[1]Dcu!$B$3:$D$511,3,0)</f>
        <v>36</v>
      </c>
      <c r="E909" s="52">
        <v>1.2</v>
      </c>
      <c r="F909" s="347">
        <f>VLOOKUP(B909,[1]Dcu!$B$3:$E$511,4,0)</f>
        <v>700000</v>
      </c>
      <c r="G909" s="47">
        <f t="shared" si="31"/>
        <v>897.43589743589735</v>
      </c>
    </row>
    <row r="910" spans="1:7" ht="16.5" customHeight="1" x14ac:dyDescent="0.3">
      <c r="A910" s="16">
        <v>14</v>
      </c>
      <c r="B910" s="66" t="s">
        <v>41</v>
      </c>
      <c r="C910" s="50" t="s">
        <v>79</v>
      </c>
      <c r="D910" s="348">
        <f>VLOOKUP(B910,[1]Dcu!$B$3:$D$511,3,0)</f>
        <v>36</v>
      </c>
      <c r="E910" s="52">
        <v>1.2</v>
      </c>
      <c r="F910" s="347">
        <f>VLOOKUP(B910,[1]Dcu!$B$3:$E$511,4,0)</f>
        <v>60000</v>
      </c>
      <c r="G910" s="47">
        <f t="shared" si="31"/>
        <v>76.92307692307692</v>
      </c>
    </row>
    <row r="911" spans="1:7" ht="16.5" customHeight="1" x14ac:dyDescent="0.3">
      <c r="A911" s="16">
        <v>15</v>
      </c>
      <c r="B911" s="5" t="s">
        <v>639</v>
      </c>
      <c r="C911" s="50" t="s">
        <v>79</v>
      </c>
      <c r="D911" s="348">
        <f>VLOOKUP(B911,[1]Dcu!$B$3:$D$511,3,0)</f>
        <v>12</v>
      </c>
      <c r="E911" s="52">
        <v>1.2</v>
      </c>
      <c r="F911" s="347">
        <f>VLOOKUP(B911,[1]Dcu!$B$3:$E$511,4,0)</f>
        <v>30000</v>
      </c>
      <c r="G911" s="47">
        <f t="shared" si="31"/>
        <v>115.38461538461539</v>
      </c>
    </row>
    <row r="912" spans="1:7" ht="16.5" customHeight="1" x14ac:dyDescent="0.3">
      <c r="A912" s="16">
        <v>17</v>
      </c>
      <c r="B912" s="12" t="s">
        <v>621</v>
      </c>
      <c r="C912" s="10" t="s">
        <v>76</v>
      </c>
      <c r="D912" s="348">
        <f>VLOOKUP(B912,[1]Dcu!$B$3:$D$511,3,0)</f>
        <v>0.3</v>
      </c>
      <c r="E912" s="10">
        <v>0.02</v>
      </c>
      <c r="F912" s="347">
        <f>VLOOKUP(B912,[1]Dcu!$B$3:$E$511,4,0)</f>
        <v>200000</v>
      </c>
      <c r="G912" s="47">
        <f t="shared" si="31"/>
        <v>512.82051282051282</v>
      </c>
    </row>
    <row r="913" spans="1:7" ht="16.5" customHeight="1" x14ac:dyDescent="0.3">
      <c r="A913" s="16">
        <v>18</v>
      </c>
      <c r="B913" s="66" t="s">
        <v>43</v>
      </c>
      <c r="C913" s="10" t="s">
        <v>76</v>
      </c>
      <c r="D913" s="348">
        <f>VLOOKUP(B913,[1]Dcu!$B$3:$D$511,3,0)</f>
        <v>0.3</v>
      </c>
      <c r="E913" s="10">
        <v>0.02</v>
      </c>
      <c r="F913" s="347">
        <f>VLOOKUP(B913,[1]Dcu!$B$3:$E$511,4,0)</f>
        <v>400000</v>
      </c>
      <c r="G913" s="47">
        <f t="shared" si="31"/>
        <v>1025.6410256410256</v>
      </c>
    </row>
    <row r="914" spans="1:7" ht="16.5" customHeight="1" x14ac:dyDescent="0.3">
      <c r="A914" s="16">
        <v>19</v>
      </c>
      <c r="B914" s="66" t="s">
        <v>111</v>
      </c>
      <c r="C914" s="50" t="s">
        <v>79</v>
      </c>
      <c r="D914" s="348">
        <f>VLOOKUP(B914,[1]Dcu!$B$3:$D$511,3,0)</f>
        <v>6</v>
      </c>
      <c r="E914" s="52">
        <v>1.2</v>
      </c>
      <c r="F914" s="347">
        <f>VLOOKUP(B914,[1]Dcu!$B$3:$E$511,4,0)</f>
        <v>1600000</v>
      </c>
      <c r="G914" s="47">
        <f t="shared" si="31"/>
        <v>12307.692307692307</v>
      </c>
    </row>
    <row r="915" spans="1:7" ht="16.5" customHeight="1" x14ac:dyDescent="0.3">
      <c r="A915" s="16">
        <v>20</v>
      </c>
      <c r="B915" s="66" t="s">
        <v>44</v>
      </c>
      <c r="C915" s="50" t="s">
        <v>79</v>
      </c>
      <c r="D915" s="348">
        <f>VLOOKUP(B915,[1]Dcu!$B$3:$D$511,3,0)</f>
        <v>60</v>
      </c>
      <c r="E915" s="52">
        <v>0.4</v>
      </c>
      <c r="F915" s="347">
        <f>VLOOKUP(B915,[1]Dcu!$B$3:$E$511,4,0)</f>
        <v>500000</v>
      </c>
      <c r="G915" s="47">
        <f t="shared" si="31"/>
        <v>128.2051282051282</v>
      </c>
    </row>
    <row r="916" spans="1:7" ht="16.5" customHeight="1" x14ac:dyDescent="0.3">
      <c r="A916" s="16">
        <v>21</v>
      </c>
      <c r="B916" s="66" t="s">
        <v>45</v>
      </c>
      <c r="C916" s="50" t="s">
        <v>79</v>
      </c>
      <c r="D916" s="348">
        <f>VLOOKUP(B916,[1]Dcu!$B$3:$D$511,3,0)</f>
        <v>60</v>
      </c>
      <c r="E916" s="52">
        <v>0.4</v>
      </c>
      <c r="F916" s="347">
        <f>VLOOKUP(B916,[1]Dcu!$B$3:$E$511,4,0)</f>
        <v>250000</v>
      </c>
      <c r="G916" s="47">
        <f t="shared" si="31"/>
        <v>64.102564102564102</v>
      </c>
    </row>
    <row r="917" spans="1:7" ht="16.5" customHeight="1" x14ac:dyDescent="0.3">
      <c r="A917" s="16">
        <v>22</v>
      </c>
      <c r="B917" s="66" t="s">
        <v>46</v>
      </c>
      <c r="C917" s="50" t="s">
        <v>79</v>
      </c>
      <c r="D917" s="348">
        <f>VLOOKUP(B917,[1]Dcu!$B$3:$D$511,3,0)</f>
        <v>60</v>
      </c>
      <c r="E917" s="52">
        <v>1.9E-2</v>
      </c>
      <c r="F917" s="347">
        <f>VLOOKUP(B917,[1]Dcu!$B$3:$E$511,4,0)</f>
        <v>1600000</v>
      </c>
      <c r="G917" s="47">
        <f t="shared" si="31"/>
        <v>19.487179487179485</v>
      </c>
    </row>
    <row r="918" spans="1:7" ht="16.5" customHeight="1" x14ac:dyDescent="0.3">
      <c r="A918" s="16">
        <v>23</v>
      </c>
      <c r="B918" s="66" t="s">
        <v>47</v>
      </c>
      <c r="C918" s="50" t="s">
        <v>79</v>
      </c>
      <c r="D918" s="348">
        <f>VLOOKUP(B918,[1]Dcu!$B$3:$D$511,3,0)</f>
        <v>60</v>
      </c>
      <c r="E918" s="52">
        <v>0.15</v>
      </c>
      <c r="F918" s="347">
        <f>VLOOKUP(B918,[1]Dcu!$B$3:$E$511,4,0)</f>
        <v>1500000</v>
      </c>
      <c r="G918" s="47">
        <f t="shared" si="31"/>
        <v>144.23076923076923</v>
      </c>
    </row>
    <row r="919" spans="1:7" ht="16.5" customHeight="1" x14ac:dyDescent="0.3">
      <c r="A919" s="16">
        <v>25</v>
      </c>
      <c r="B919" s="66" t="s">
        <v>48</v>
      </c>
      <c r="C919" s="50" t="s">
        <v>36</v>
      </c>
      <c r="D919" s="348">
        <f>VLOOKUP(B919,[1]Dcu!$B$3:$D$511,3,0)</f>
        <v>36</v>
      </c>
      <c r="E919" s="52">
        <v>1.6</v>
      </c>
      <c r="F919" s="347">
        <f>VLOOKUP(B919,[1]Dcu!$B$3:$E$511,4,0)</f>
        <v>40000</v>
      </c>
      <c r="G919" s="47">
        <f t="shared" si="31"/>
        <v>68.376068376068375</v>
      </c>
    </row>
    <row r="920" spans="1:7" ht="16.5" customHeight="1" x14ac:dyDescent="0.3">
      <c r="A920" s="16">
        <v>26</v>
      </c>
      <c r="B920" s="66" t="s">
        <v>49</v>
      </c>
      <c r="C920" s="50" t="s">
        <v>79</v>
      </c>
      <c r="D920" s="348">
        <f>VLOOKUP(B920,[1]Dcu!$B$3:$D$511,3,0)</f>
        <v>96</v>
      </c>
      <c r="E920" s="52">
        <v>0.08</v>
      </c>
      <c r="F920" s="347">
        <f>VLOOKUP(B920,[1]Dcu!$B$3:$E$511,4,0)</f>
        <v>1000000</v>
      </c>
      <c r="G920" s="47">
        <f t="shared" si="31"/>
        <v>32.051282051282051</v>
      </c>
    </row>
    <row r="921" spans="1:7" ht="16.5" customHeight="1" x14ac:dyDescent="0.3">
      <c r="A921" s="16">
        <v>27</v>
      </c>
      <c r="B921" s="66" t="s">
        <v>50</v>
      </c>
      <c r="C921" s="50" t="s">
        <v>79</v>
      </c>
      <c r="D921" s="348">
        <f>VLOOKUP(B921,[1]Dcu!$B$3:$D$511,3,0)</f>
        <v>96</v>
      </c>
      <c r="E921" s="52">
        <v>1.2</v>
      </c>
      <c r="F921" s="347">
        <f>VLOOKUP(B921,[1]Dcu!$B$3:$E$511,4,0)</f>
        <v>300000</v>
      </c>
      <c r="G921" s="47">
        <f t="shared" si="31"/>
        <v>144.23076923076923</v>
      </c>
    </row>
    <row r="922" spans="1:7" ht="16.5" customHeight="1" x14ac:dyDescent="0.3">
      <c r="A922" s="16">
        <v>28</v>
      </c>
      <c r="B922" s="66" t="s">
        <v>51</v>
      </c>
      <c r="C922" s="50" t="s">
        <v>79</v>
      </c>
      <c r="D922" s="348">
        <f>VLOOKUP(B922,[1]Dcu!$B$3:$D$511,3,0)</f>
        <v>96</v>
      </c>
      <c r="E922" s="52">
        <v>1.2</v>
      </c>
      <c r="F922" s="347">
        <f>VLOOKUP(B922,[1]Dcu!$B$3:$E$511,4,0)</f>
        <v>80000</v>
      </c>
      <c r="G922" s="47">
        <f t="shared" si="31"/>
        <v>38.46153846153846</v>
      </c>
    </row>
    <row r="923" spans="1:7" ht="16.5" customHeight="1" x14ac:dyDescent="0.3">
      <c r="A923" s="16">
        <v>29</v>
      </c>
      <c r="B923" s="66" t="s">
        <v>52</v>
      </c>
      <c r="C923" s="50" t="s">
        <v>98</v>
      </c>
      <c r="D923" s="52"/>
      <c r="E923" s="52">
        <v>2.3210000000000002</v>
      </c>
      <c r="F923" s="347">
        <f>VLOOKUP(B923,[1]Dcu!$B$3:$E$511,4,0)</f>
        <v>1838</v>
      </c>
      <c r="G923" s="47">
        <f>F923*E923</f>
        <v>4265.9980000000005</v>
      </c>
    </row>
    <row r="924" spans="1:7" ht="16.5" customHeight="1" x14ac:dyDescent="0.3">
      <c r="A924" s="67" t="s">
        <v>468</v>
      </c>
      <c r="B924" s="499" t="s">
        <v>528</v>
      </c>
      <c r="C924" s="499"/>
      <c r="D924" s="499"/>
      <c r="E924" s="499"/>
      <c r="F924" s="46"/>
      <c r="G924" s="45">
        <f>SUM(G925:G950)*1.05+G951</f>
        <v>34297.288064102569</v>
      </c>
    </row>
    <row r="925" spans="1:7" ht="16.5" customHeight="1" x14ac:dyDescent="0.3">
      <c r="A925" s="68">
        <v>1</v>
      </c>
      <c r="B925" s="69" t="s">
        <v>27</v>
      </c>
      <c r="C925" s="52" t="s">
        <v>28</v>
      </c>
      <c r="D925" s="348">
        <f>VLOOKUP(B925,[1]Dcu!$B$3:$D$511,3,0)</f>
        <v>12</v>
      </c>
      <c r="E925" s="52">
        <v>0.5</v>
      </c>
      <c r="F925" s="347">
        <f>VLOOKUP(B925,[1]Dcu!$B$3:$E$511,4,0)</f>
        <v>100000</v>
      </c>
      <c r="G925" s="47">
        <f t="shared" si="31"/>
        <v>160.25641025641025</v>
      </c>
    </row>
    <row r="926" spans="1:7" ht="16.5" customHeight="1" x14ac:dyDescent="0.3">
      <c r="A926" s="68">
        <v>2</v>
      </c>
      <c r="B926" s="69" t="s">
        <v>206</v>
      </c>
      <c r="C926" s="52" t="s">
        <v>28</v>
      </c>
      <c r="D926" s="348">
        <f>VLOOKUP(B926,[1]Dcu!$B$3:$D$511,3,0)</f>
        <v>12</v>
      </c>
      <c r="E926" s="52">
        <v>0.5</v>
      </c>
      <c r="F926" s="347">
        <f>VLOOKUP(B926,[1]Dcu!$B$3:$E$511,4,0)</f>
        <v>12000000</v>
      </c>
      <c r="G926" s="47">
        <f t="shared" si="31"/>
        <v>19230.76923076923</v>
      </c>
    </row>
    <row r="927" spans="1:7" ht="16.5" customHeight="1" x14ac:dyDescent="0.3">
      <c r="A927" s="68">
        <v>3</v>
      </c>
      <c r="B927" s="69" t="s">
        <v>73</v>
      </c>
      <c r="C927" s="52" t="s">
        <v>28</v>
      </c>
      <c r="D927" s="348">
        <f>VLOOKUP(B927,[1]Dcu!$B$3:$D$511,3,0)</f>
        <v>12</v>
      </c>
      <c r="E927" s="52">
        <v>0.5</v>
      </c>
      <c r="F927" s="347">
        <f>VLOOKUP(B927,[1]Dcu!$B$3:$E$511,4,0)</f>
        <v>70000</v>
      </c>
      <c r="G927" s="47">
        <f t="shared" si="31"/>
        <v>112.17948717948718</v>
      </c>
    </row>
    <row r="928" spans="1:7" ht="16.5" customHeight="1" x14ac:dyDescent="0.3">
      <c r="A928" s="68">
        <v>4</v>
      </c>
      <c r="B928" s="69" t="s">
        <v>68</v>
      </c>
      <c r="C928" s="52" t="s">
        <v>28</v>
      </c>
      <c r="D928" s="348">
        <f>VLOOKUP(B928,[1]Dcu!$B$3:$D$511,3,0)</f>
        <v>12</v>
      </c>
      <c r="E928" s="52">
        <v>0.5</v>
      </c>
      <c r="F928" s="347">
        <f>VLOOKUP(B928,[1]Dcu!$B$3:$E$511,4,0)</f>
        <v>3500000</v>
      </c>
      <c r="G928" s="47">
        <f t="shared" si="31"/>
        <v>5608.9743589743593</v>
      </c>
    </row>
    <row r="929" spans="1:7" ht="16.5" customHeight="1" x14ac:dyDescent="0.3">
      <c r="A929" s="68">
        <v>5</v>
      </c>
      <c r="B929" s="69" t="s">
        <v>31</v>
      </c>
      <c r="C929" s="52" t="s">
        <v>28</v>
      </c>
      <c r="D929" s="348">
        <f>VLOOKUP(B929,[1]Dcu!$B$3:$D$511,3,0)</f>
        <v>1</v>
      </c>
      <c r="E929" s="52">
        <v>0.5</v>
      </c>
      <c r="F929" s="347">
        <f>VLOOKUP(B929,[1]Dcu!$B$3:$E$511,4,0)</f>
        <v>3000</v>
      </c>
      <c r="G929" s="47">
        <f t="shared" si="31"/>
        <v>57.692307692307693</v>
      </c>
    </row>
    <row r="930" spans="1:7" ht="16.5" customHeight="1" x14ac:dyDescent="0.3">
      <c r="A930" s="68">
        <v>6</v>
      </c>
      <c r="B930" s="69" t="s">
        <v>59</v>
      </c>
      <c r="C930" s="52" t="s">
        <v>28</v>
      </c>
      <c r="D930" s="348">
        <f>VLOOKUP(B930,[1]Dcu!$B$3:$D$511,3,0)</f>
        <v>36</v>
      </c>
      <c r="E930" s="52">
        <v>0.5</v>
      </c>
      <c r="F930" s="347">
        <f>VLOOKUP(B930,[1]Dcu!$B$3:$E$511,4,0)</f>
        <v>110000</v>
      </c>
      <c r="G930" s="47">
        <f t="shared" si="31"/>
        <v>58.760683760683762</v>
      </c>
    </row>
    <row r="931" spans="1:7" ht="16.5" customHeight="1" x14ac:dyDescent="0.3">
      <c r="A931" s="68">
        <v>7</v>
      </c>
      <c r="B931" s="69" t="s">
        <v>81</v>
      </c>
      <c r="C931" s="52" t="s">
        <v>28</v>
      </c>
      <c r="D931" s="348">
        <f>VLOOKUP(B931,[1]Dcu!$B$3:$D$511,3,0)</f>
        <v>12</v>
      </c>
      <c r="E931" s="52">
        <v>0.5</v>
      </c>
      <c r="F931" s="347">
        <f>VLOOKUP(B931,[1]Dcu!$B$3:$E$511,4,0)</f>
        <v>170000</v>
      </c>
      <c r="G931" s="47">
        <f t="shared" si="31"/>
        <v>272.43589743589746</v>
      </c>
    </row>
    <row r="932" spans="1:7" ht="16.5" customHeight="1" x14ac:dyDescent="0.3">
      <c r="A932" s="68">
        <v>8</v>
      </c>
      <c r="B932" s="69" t="s">
        <v>32</v>
      </c>
      <c r="C932" s="52" t="s">
        <v>28</v>
      </c>
      <c r="D932" s="348">
        <f>VLOOKUP(B932,[1]Dcu!$B$3:$D$511,3,0)</f>
        <v>12</v>
      </c>
      <c r="E932" s="52">
        <v>0.5</v>
      </c>
      <c r="F932" s="347">
        <f>VLOOKUP(B932,[1]Dcu!$B$3:$E$511,4,0)</f>
        <v>85000</v>
      </c>
      <c r="G932" s="47">
        <f t="shared" si="31"/>
        <v>136.21794871794873</v>
      </c>
    </row>
    <row r="933" spans="1:7" ht="16.5" customHeight="1" x14ac:dyDescent="0.3">
      <c r="A933" s="68">
        <v>9</v>
      </c>
      <c r="B933" s="69" t="s">
        <v>55</v>
      </c>
      <c r="C933" s="52" t="s">
        <v>28</v>
      </c>
      <c r="D933" s="348">
        <f>VLOOKUP(B933,[1]Dcu!$B$3:$D$511,3,0)</f>
        <v>12</v>
      </c>
      <c r="E933" s="52">
        <v>0.5</v>
      </c>
      <c r="F933" s="347">
        <f>VLOOKUP(B933,[1]Dcu!$B$3:$E$511,4,0)</f>
        <v>150000</v>
      </c>
      <c r="G933" s="47">
        <f t="shared" si="31"/>
        <v>240.38461538461539</v>
      </c>
    </row>
    <row r="934" spans="1:7" ht="16.5" customHeight="1" x14ac:dyDescent="0.3">
      <c r="A934" s="68">
        <v>10</v>
      </c>
      <c r="B934" s="69" t="s">
        <v>84</v>
      </c>
      <c r="C934" s="52" t="s">
        <v>28</v>
      </c>
      <c r="D934" s="348">
        <f>VLOOKUP(B934,[1]Dcu!$B$3:$D$511,3,0)</f>
        <v>12</v>
      </c>
      <c r="E934" s="52">
        <v>0.5</v>
      </c>
      <c r="F934" s="347">
        <f>VLOOKUP(B934,[1]Dcu!$B$3:$E$511,4,0)</f>
        <v>90000</v>
      </c>
      <c r="G934" s="47">
        <f t="shared" si="31"/>
        <v>144.23076923076923</v>
      </c>
    </row>
    <row r="935" spans="1:7" ht="16.5" customHeight="1" x14ac:dyDescent="0.3">
      <c r="A935" s="68">
        <v>11</v>
      </c>
      <c r="B935" s="69" t="s">
        <v>61</v>
      </c>
      <c r="C935" s="52" t="s">
        <v>28</v>
      </c>
      <c r="D935" s="348">
        <f>VLOOKUP(B935,[1]Dcu!$B$3:$D$511,3,0)</f>
        <v>12</v>
      </c>
      <c r="E935" s="52">
        <v>0.5</v>
      </c>
      <c r="F935" s="347">
        <f>VLOOKUP(B935,[1]Dcu!$B$3:$E$511,4,0)</f>
        <v>15000</v>
      </c>
      <c r="G935" s="47">
        <f t="shared" si="31"/>
        <v>24.03846153846154</v>
      </c>
    </row>
    <row r="936" spans="1:7" ht="16.5" customHeight="1" x14ac:dyDescent="0.3">
      <c r="A936" s="68">
        <v>12</v>
      </c>
      <c r="B936" s="69" t="s">
        <v>62</v>
      </c>
      <c r="C936" s="52" t="s">
        <v>28</v>
      </c>
      <c r="D936" s="348">
        <f>VLOOKUP(B936,[1]Dcu!$B$3:$D$511,3,0)</f>
        <v>12</v>
      </c>
      <c r="E936" s="52">
        <v>0.5</v>
      </c>
      <c r="F936" s="347">
        <f>VLOOKUP(B936,[1]Dcu!$B$3:$E$511,4,0)</f>
        <v>44000</v>
      </c>
      <c r="G936" s="47">
        <f t="shared" si="31"/>
        <v>70.512820512820511</v>
      </c>
    </row>
    <row r="937" spans="1:7" ht="16.5" customHeight="1" x14ac:dyDescent="0.3">
      <c r="A937" s="68">
        <v>13</v>
      </c>
      <c r="B937" s="69" t="s">
        <v>39</v>
      </c>
      <c r="C937" s="52" t="s">
        <v>28</v>
      </c>
      <c r="D937" s="348">
        <f>VLOOKUP(B937,[1]Dcu!$B$3:$D$511,3,0)</f>
        <v>36</v>
      </c>
      <c r="E937" s="52">
        <v>0.5</v>
      </c>
      <c r="F937" s="347">
        <f>VLOOKUP(B937,[1]Dcu!$B$3:$E$511,4,0)</f>
        <v>340000</v>
      </c>
      <c r="G937" s="47">
        <f t="shared" si="31"/>
        <v>181.62393162393161</v>
      </c>
    </row>
    <row r="938" spans="1:7" ht="16.5" customHeight="1" x14ac:dyDescent="0.3">
      <c r="A938" s="68">
        <v>14</v>
      </c>
      <c r="B938" s="69" t="s">
        <v>40</v>
      </c>
      <c r="C938" s="52" t="s">
        <v>28</v>
      </c>
      <c r="D938" s="348">
        <f>VLOOKUP(B938,[1]Dcu!$B$3:$D$511,3,0)</f>
        <v>36</v>
      </c>
      <c r="E938" s="52">
        <v>0.5</v>
      </c>
      <c r="F938" s="347">
        <f>VLOOKUP(B938,[1]Dcu!$B$3:$E$511,4,0)</f>
        <v>700000</v>
      </c>
      <c r="G938" s="47">
        <f t="shared" si="31"/>
        <v>373.9316239316239</v>
      </c>
    </row>
    <row r="939" spans="1:7" ht="16.5" customHeight="1" x14ac:dyDescent="0.3">
      <c r="A939" s="68">
        <v>15</v>
      </c>
      <c r="B939" s="69" t="s">
        <v>85</v>
      </c>
      <c r="C939" s="52" t="s">
        <v>28</v>
      </c>
      <c r="D939" s="348">
        <f>VLOOKUP(B939,[1]Dcu!$B$3:$D$511,3,0)</f>
        <v>36</v>
      </c>
      <c r="E939" s="52">
        <v>0.5</v>
      </c>
      <c r="F939" s="347">
        <f>VLOOKUP(B939,[1]Dcu!$B$3:$E$511,4,0)</f>
        <v>110000</v>
      </c>
      <c r="G939" s="47">
        <f t="shared" si="31"/>
        <v>58.760683760683762</v>
      </c>
    </row>
    <row r="940" spans="1:7" ht="16.5" customHeight="1" x14ac:dyDescent="0.3">
      <c r="A940" s="68">
        <v>16</v>
      </c>
      <c r="B940" s="5" t="s">
        <v>639</v>
      </c>
      <c r="C940" s="52" t="s">
        <v>28</v>
      </c>
      <c r="D940" s="348">
        <f>VLOOKUP(B940,[1]Dcu!$B$3:$D$511,3,0)</f>
        <v>12</v>
      </c>
      <c r="E940" s="52">
        <v>0.5</v>
      </c>
      <c r="F940" s="347">
        <f>VLOOKUP(B940,[1]Dcu!$B$3:$E$511,4,0)</f>
        <v>30000</v>
      </c>
      <c r="G940" s="47">
        <f t="shared" si="31"/>
        <v>48.07692307692308</v>
      </c>
    </row>
    <row r="941" spans="1:7" ht="16.5" customHeight="1" x14ac:dyDescent="0.3">
      <c r="A941" s="68">
        <v>18</v>
      </c>
      <c r="B941" s="12" t="s">
        <v>621</v>
      </c>
      <c r="C941" s="10" t="s">
        <v>76</v>
      </c>
      <c r="D941" s="348">
        <f>VLOOKUP(B941,[1]Dcu!$B$3:$D$511,3,0)</f>
        <v>0.3</v>
      </c>
      <c r="E941" s="10">
        <v>0.02</v>
      </c>
      <c r="F941" s="347">
        <f>VLOOKUP(B941,[1]Dcu!$B$3:$E$511,4,0)</f>
        <v>200000</v>
      </c>
      <c r="G941" s="47">
        <f t="shared" si="31"/>
        <v>512.82051282051282</v>
      </c>
    </row>
    <row r="942" spans="1:7" ht="16.5" customHeight="1" x14ac:dyDescent="0.3">
      <c r="A942" s="68">
        <v>19</v>
      </c>
      <c r="B942" s="69" t="s">
        <v>43</v>
      </c>
      <c r="C942" s="10" t="s">
        <v>76</v>
      </c>
      <c r="D942" s="348">
        <f>VLOOKUP(B942,[1]Dcu!$B$3:$D$511,3,0)</f>
        <v>0.3</v>
      </c>
      <c r="E942" s="10">
        <v>0.02</v>
      </c>
      <c r="F942" s="347">
        <f>VLOOKUP(B942,[1]Dcu!$B$3:$E$511,4,0)</f>
        <v>400000</v>
      </c>
      <c r="G942" s="47">
        <f t="shared" si="31"/>
        <v>1025.6410256410256</v>
      </c>
    </row>
    <row r="943" spans="1:7" ht="16.5" customHeight="1" x14ac:dyDescent="0.3">
      <c r="A943" s="68">
        <v>20</v>
      </c>
      <c r="B943" s="69" t="s">
        <v>44</v>
      </c>
      <c r="C943" s="52" t="s">
        <v>28</v>
      </c>
      <c r="D943" s="348">
        <f>VLOOKUP(B943,[1]Dcu!$B$3:$D$511,3,0)</f>
        <v>60</v>
      </c>
      <c r="E943" s="52">
        <v>0.107</v>
      </c>
      <c r="F943" s="347">
        <f>VLOOKUP(B943,[1]Dcu!$B$3:$E$511,4,0)</f>
        <v>500000</v>
      </c>
      <c r="G943" s="47">
        <f t="shared" si="31"/>
        <v>34.294871794871796</v>
      </c>
    </row>
    <row r="944" spans="1:7" ht="16.5" customHeight="1" x14ac:dyDescent="0.3">
      <c r="A944" s="68">
        <v>21</v>
      </c>
      <c r="B944" s="69" t="s">
        <v>45</v>
      </c>
      <c r="C944" s="52" t="s">
        <v>28</v>
      </c>
      <c r="D944" s="348">
        <f>VLOOKUP(B944,[1]Dcu!$B$3:$D$511,3,0)</f>
        <v>60</v>
      </c>
      <c r="E944" s="52">
        <v>0.107</v>
      </c>
      <c r="F944" s="347">
        <f>VLOOKUP(B944,[1]Dcu!$B$3:$E$511,4,0)</f>
        <v>250000</v>
      </c>
      <c r="G944" s="47">
        <f t="shared" si="31"/>
        <v>17.147435897435898</v>
      </c>
    </row>
    <row r="945" spans="1:7" ht="16.5" customHeight="1" x14ac:dyDescent="0.3">
      <c r="A945" s="68">
        <v>22</v>
      </c>
      <c r="B945" s="69" t="s">
        <v>46</v>
      </c>
      <c r="C945" s="52" t="s">
        <v>28</v>
      </c>
      <c r="D945" s="348">
        <f>VLOOKUP(B945,[1]Dcu!$B$3:$D$511,3,0)</f>
        <v>60</v>
      </c>
      <c r="E945" s="52">
        <v>5.0000000000000001E-3</v>
      </c>
      <c r="F945" s="347">
        <f>VLOOKUP(B945,[1]Dcu!$B$3:$E$511,4,0)</f>
        <v>1600000</v>
      </c>
      <c r="G945" s="47">
        <f t="shared" si="31"/>
        <v>5.1282051282051286</v>
      </c>
    </row>
    <row r="946" spans="1:7" ht="16.5" customHeight="1" x14ac:dyDescent="0.3">
      <c r="A946" s="68">
        <v>23</v>
      </c>
      <c r="B946" s="69" t="s">
        <v>47</v>
      </c>
      <c r="C946" s="52" t="s">
        <v>28</v>
      </c>
      <c r="D946" s="348">
        <f>VLOOKUP(B946,[1]Dcu!$B$3:$D$511,3,0)</f>
        <v>60</v>
      </c>
      <c r="E946" s="52">
        <v>0.04</v>
      </c>
      <c r="F946" s="347">
        <f>VLOOKUP(B946,[1]Dcu!$B$3:$E$511,4,0)</f>
        <v>1500000</v>
      </c>
      <c r="G946" s="47">
        <f t="shared" si="31"/>
        <v>38.46153846153846</v>
      </c>
    </row>
    <row r="947" spans="1:7" ht="16.5" customHeight="1" x14ac:dyDescent="0.3">
      <c r="A947" s="68">
        <v>24</v>
      </c>
      <c r="B947" s="69" t="s">
        <v>48</v>
      </c>
      <c r="C947" s="52" t="s">
        <v>36</v>
      </c>
      <c r="D947" s="348">
        <f>VLOOKUP(B947,[1]Dcu!$B$3:$D$511,3,0)</f>
        <v>36</v>
      </c>
      <c r="E947" s="52">
        <v>0.64</v>
      </c>
      <c r="F947" s="347">
        <f>VLOOKUP(B947,[1]Dcu!$B$3:$E$511,4,0)</f>
        <v>40000</v>
      </c>
      <c r="G947" s="47">
        <f t="shared" ref="G947:G950" si="32">F947/(D947*26)*E947</f>
        <v>27.350427350427349</v>
      </c>
    </row>
    <row r="948" spans="1:7" ht="16.5" customHeight="1" x14ac:dyDescent="0.3">
      <c r="A948" s="68">
        <v>25</v>
      </c>
      <c r="B948" s="69" t="s">
        <v>49</v>
      </c>
      <c r="C948" s="52" t="s">
        <v>28</v>
      </c>
      <c r="D948" s="348">
        <f>VLOOKUP(B948,[1]Dcu!$B$3:$D$511,3,0)</f>
        <v>96</v>
      </c>
      <c r="E948" s="52">
        <v>0.16</v>
      </c>
      <c r="F948" s="347">
        <f>VLOOKUP(B948,[1]Dcu!$B$3:$E$511,4,0)</f>
        <v>1000000</v>
      </c>
      <c r="G948" s="47">
        <f t="shared" si="32"/>
        <v>64.102564102564102</v>
      </c>
    </row>
    <row r="949" spans="1:7" ht="16.5" customHeight="1" x14ac:dyDescent="0.3">
      <c r="A949" s="68">
        <v>26</v>
      </c>
      <c r="B949" s="69" t="s">
        <v>50</v>
      </c>
      <c r="C949" s="52" t="s">
        <v>28</v>
      </c>
      <c r="D949" s="348">
        <f>VLOOKUP(B949,[1]Dcu!$B$3:$D$511,3,0)</f>
        <v>96</v>
      </c>
      <c r="E949" s="52">
        <v>0.64</v>
      </c>
      <c r="F949" s="347">
        <f>VLOOKUP(B949,[1]Dcu!$B$3:$E$511,4,0)</f>
        <v>300000</v>
      </c>
      <c r="G949" s="47">
        <f t="shared" si="32"/>
        <v>76.92307692307692</v>
      </c>
    </row>
    <row r="950" spans="1:7" ht="16.5" customHeight="1" x14ac:dyDescent="0.3">
      <c r="A950" s="429">
        <v>27</v>
      </c>
      <c r="B950" s="430" t="s">
        <v>51</v>
      </c>
      <c r="C950" s="426" t="s">
        <v>28</v>
      </c>
      <c r="D950" s="348">
        <f>VLOOKUP(B950,[1]Dcu!$B$3:$D$511,3,0)</f>
        <v>96</v>
      </c>
      <c r="E950" s="426">
        <v>0.64</v>
      </c>
      <c r="F950" s="347">
        <f>VLOOKUP(B950,[1]Dcu!$B$3:$E$511,4,0)</f>
        <v>80000</v>
      </c>
      <c r="G950" s="47">
        <f t="shared" si="32"/>
        <v>20.512820512820515</v>
      </c>
    </row>
    <row r="951" spans="1:7" ht="16.5" customHeight="1" x14ac:dyDescent="0.3">
      <c r="A951" s="427">
        <v>28</v>
      </c>
      <c r="B951" s="428" t="s">
        <v>52</v>
      </c>
      <c r="C951" s="63" t="s">
        <v>98</v>
      </c>
      <c r="D951" s="52"/>
      <c r="E951" s="64">
        <v>2.3210000000000002</v>
      </c>
      <c r="F951" s="424">
        <f>VLOOKUP(B951,[1]Dcu!$B$3:$E$511,4,0)</f>
        <v>1838</v>
      </c>
      <c r="G951" s="47">
        <f>F951*E951</f>
        <v>4265.9980000000005</v>
      </c>
    </row>
    <row r="952" spans="1:7" ht="16.5" customHeight="1" x14ac:dyDescent="0.3">
      <c r="F952" s="425"/>
    </row>
    <row r="953" spans="1:7" ht="16.5" customHeight="1" x14ac:dyDescent="0.3">
      <c r="F953" s="425"/>
    </row>
    <row r="954" spans="1:7" ht="16.5" customHeight="1" x14ac:dyDescent="0.3">
      <c r="F954" s="425"/>
    </row>
    <row r="955" spans="1:7" ht="16.5" customHeight="1" x14ac:dyDescent="0.3">
      <c r="F955" s="425"/>
    </row>
    <row r="956" spans="1:7" ht="16.5" customHeight="1" x14ac:dyDescent="0.3">
      <c r="F956" s="425"/>
    </row>
    <row r="957" spans="1:7" ht="16.5" customHeight="1" x14ac:dyDescent="0.3">
      <c r="F957" s="425"/>
    </row>
    <row r="958" spans="1:7" ht="16.5" customHeight="1" x14ac:dyDescent="0.3">
      <c r="F958" s="425"/>
    </row>
    <row r="959" spans="1:7" ht="16.5" customHeight="1" x14ac:dyDescent="0.3">
      <c r="F959" s="425"/>
    </row>
    <row r="960" spans="1:7" ht="16.5" customHeight="1" x14ac:dyDescent="0.3">
      <c r="F960" s="425"/>
    </row>
    <row r="961" spans="6:6" ht="16.5" customHeight="1" x14ac:dyDescent="0.3">
      <c r="F961" s="425"/>
    </row>
    <row r="962" spans="6:6" ht="16.5" customHeight="1" x14ac:dyDescent="0.3">
      <c r="F962" s="425"/>
    </row>
    <row r="963" spans="6:6" ht="16.5" customHeight="1" x14ac:dyDescent="0.3">
      <c r="F963" s="425"/>
    </row>
    <row r="964" spans="6:6" ht="16.5" customHeight="1" x14ac:dyDescent="0.3">
      <c r="F964" s="425"/>
    </row>
    <row r="965" spans="6:6" ht="16.5" customHeight="1" x14ac:dyDescent="0.3">
      <c r="F965" s="425"/>
    </row>
    <row r="966" spans="6:6" ht="16.5" customHeight="1" x14ac:dyDescent="0.3">
      <c r="F966" s="425"/>
    </row>
    <row r="967" spans="6:6" ht="16.5" customHeight="1" x14ac:dyDescent="0.3">
      <c r="F967" s="425"/>
    </row>
    <row r="968" spans="6:6" ht="16.5" customHeight="1" x14ac:dyDescent="0.3">
      <c r="F968" s="425"/>
    </row>
    <row r="969" spans="6:6" ht="16.5" customHeight="1" x14ac:dyDescent="0.3">
      <c r="F969" s="425"/>
    </row>
    <row r="970" spans="6:6" ht="16.5" customHeight="1" x14ac:dyDescent="0.3">
      <c r="F970" s="425"/>
    </row>
    <row r="971" spans="6:6" ht="16.5" customHeight="1" x14ac:dyDescent="0.3">
      <c r="F971" s="425"/>
    </row>
    <row r="972" spans="6:6" ht="16.5" customHeight="1" x14ac:dyDescent="0.3">
      <c r="F972" s="425"/>
    </row>
    <row r="973" spans="6:6" ht="16.5" customHeight="1" x14ac:dyDescent="0.3">
      <c r="F973" s="425"/>
    </row>
    <row r="974" spans="6:6" ht="16.5" customHeight="1" x14ac:dyDescent="0.3">
      <c r="F974" s="425"/>
    </row>
    <row r="975" spans="6:6" ht="16.5" customHeight="1" x14ac:dyDescent="0.3">
      <c r="F975" s="425"/>
    </row>
    <row r="976" spans="6:6" ht="16.5" customHeight="1" x14ac:dyDescent="0.3">
      <c r="F976" s="425"/>
    </row>
    <row r="977" spans="6:6" ht="16.5" customHeight="1" x14ac:dyDescent="0.3">
      <c r="F977" s="425"/>
    </row>
    <row r="978" spans="6:6" ht="16.5" customHeight="1" x14ac:dyDescent="0.3">
      <c r="F978" s="425"/>
    </row>
    <row r="979" spans="6:6" ht="16.5" customHeight="1" x14ac:dyDescent="0.3">
      <c r="F979" s="425"/>
    </row>
    <row r="980" spans="6:6" ht="16.5" customHeight="1" x14ac:dyDescent="0.3">
      <c r="F980" s="425"/>
    </row>
    <row r="981" spans="6:6" ht="16.5" customHeight="1" x14ac:dyDescent="0.3">
      <c r="F981" s="425"/>
    </row>
    <row r="982" spans="6:6" ht="16.5" customHeight="1" x14ac:dyDescent="0.3">
      <c r="F982" s="425"/>
    </row>
    <row r="983" spans="6:6" ht="16.5" customHeight="1" x14ac:dyDescent="0.3">
      <c r="F983" s="425"/>
    </row>
    <row r="984" spans="6:6" ht="16.5" customHeight="1" x14ac:dyDescent="0.3">
      <c r="F984" s="425"/>
    </row>
    <row r="985" spans="6:6" ht="16.5" customHeight="1" x14ac:dyDescent="0.3">
      <c r="F985" s="425"/>
    </row>
    <row r="986" spans="6:6" ht="16.5" customHeight="1" x14ac:dyDescent="0.3">
      <c r="F986" s="425"/>
    </row>
    <row r="987" spans="6:6" ht="16.5" customHeight="1" x14ac:dyDescent="0.3">
      <c r="F987" s="425"/>
    </row>
    <row r="988" spans="6:6" ht="16.5" customHeight="1" x14ac:dyDescent="0.3">
      <c r="F988" s="425"/>
    </row>
    <row r="989" spans="6:6" ht="16.5" customHeight="1" x14ac:dyDescent="0.3">
      <c r="F989" s="425"/>
    </row>
    <row r="990" spans="6:6" ht="16.5" customHeight="1" x14ac:dyDescent="0.3">
      <c r="F990" s="425"/>
    </row>
    <row r="991" spans="6:6" ht="16.5" customHeight="1" x14ac:dyDescent="0.3">
      <c r="F991" s="425"/>
    </row>
    <row r="992" spans="6:6" ht="16.5" customHeight="1" x14ac:dyDescent="0.3">
      <c r="F992" s="425"/>
    </row>
    <row r="993" spans="6:6" ht="16.5" customHeight="1" x14ac:dyDescent="0.3">
      <c r="F993" s="425"/>
    </row>
    <row r="994" spans="6:6" ht="16.5" customHeight="1" x14ac:dyDescent="0.3">
      <c r="F994" s="425"/>
    </row>
    <row r="995" spans="6:6" ht="16.5" customHeight="1" x14ac:dyDescent="0.3">
      <c r="F995" s="425"/>
    </row>
    <row r="996" spans="6:6" ht="16.5" customHeight="1" x14ac:dyDescent="0.3">
      <c r="F996" s="425"/>
    </row>
    <row r="997" spans="6:6" ht="16.5" customHeight="1" x14ac:dyDescent="0.3">
      <c r="F997" s="425"/>
    </row>
    <row r="998" spans="6:6" ht="16.5" customHeight="1" x14ac:dyDescent="0.3">
      <c r="F998" s="425"/>
    </row>
    <row r="999" spans="6:6" ht="16.5" customHeight="1" x14ac:dyDescent="0.3">
      <c r="F999" s="425"/>
    </row>
    <row r="1000" spans="6:6" ht="16.5" customHeight="1" x14ac:dyDescent="0.3">
      <c r="F1000" s="425"/>
    </row>
    <row r="1001" spans="6:6" ht="16.5" customHeight="1" x14ac:dyDescent="0.3">
      <c r="F1001" s="425"/>
    </row>
    <row r="1002" spans="6:6" ht="16.5" customHeight="1" x14ac:dyDescent="0.3">
      <c r="F1002" s="425"/>
    </row>
    <row r="1003" spans="6:6" ht="16.5" customHeight="1" x14ac:dyDescent="0.3">
      <c r="F1003" s="425"/>
    </row>
    <row r="1004" spans="6:6" ht="16.5" customHeight="1" x14ac:dyDescent="0.3">
      <c r="F1004" s="425"/>
    </row>
    <row r="1005" spans="6:6" ht="16.5" customHeight="1" x14ac:dyDescent="0.3">
      <c r="F1005" s="425"/>
    </row>
    <row r="1006" spans="6:6" ht="16.5" customHeight="1" x14ac:dyDescent="0.3">
      <c r="F1006" s="425"/>
    </row>
    <row r="1007" spans="6:6" ht="16.5" customHeight="1" x14ac:dyDescent="0.3">
      <c r="F1007" s="425"/>
    </row>
    <row r="1008" spans="6:6" ht="16.5" customHeight="1" x14ac:dyDescent="0.3">
      <c r="F1008" s="425"/>
    </row>
    <row r="1009" spans="6:6" ht="16.5" customHeight="1" x14ac:dyDescent="0.3">
      <c r="F1009" s="425"/>
    </row>
    <row r="1010" spans="6:6" ht="16.5" customHeight="1" x14ac:dyDescent="0.3">
      <c r="F1010" s="425"/>
    </row>
    <row r="1011" spans="6:6" ht="16.5" customHeight="1" x14ac:dyDescent="0.3">
      <c r="F1011" s="425"/>
    </row>
    <row r="1012" spans="6:6" ht="16.5" customHeight="1" x14ac:dyDescent="0.3">
      <c r="F1012" s="425"/>
    </row>
    <row r="1013" spans="6:6" ht="16.5" customHeight="1" x14ac:dyDescent="0.3">
      <c r="F1013" s="425"/>
    </row>
    <row r="1014" spans="6:6" ht="16.5" customHeight="1" x14ac:dyDescent="0.3">
      <c r="F1014" s="425"/>
    </row>
    <row r="1015" spans="6:6" ht="16.5" customHeight="1" x14ac:dyDescent="0.3">
      <c r="F1015" s="425"/>
    </row>
    <row r="1016" spans="6:6" ht="16.5" customHeight="1" x14ac:dyDescent="0.3">
      <c r="F1016" s="425"/>
    </row>
    <row r="1017" spans="6:6" ht="16.5" customHeight="1" x14ac:dyDescent="0.3">
      <c r="F1017" s="425"/>
    </row>
    <row r="1018" spans="6:6" ht="16.5" customHeight="1" x14ac:dyDescent="0.3">
      <c r="F1018" s="425"/>
    </row>
    <row r="1019" spans="6:6" ht="16.5" customHeight="1" x14ac:dyDescent="0.3">
      <c r="F1019" s="425"/>
    </row>
    <row r="1020" spans="6:6" ht="16.5" customHeight="1" x14ac:dyDescent="0.3">
      <c r="F1020" s="425"/>
    </row>
    <row r="1021" spans="6:6" ht="16.5" customHeight="1" x14ac:dyDescent="0.3">
      <c r="F1021" s="425"/>
    </row>
    <row r="1022" spans="6:6" ht="16.5" customHeight="1" x14ac:dyDescent="0.3">
      <c r="F1022" s="425"/>
    </row>
    <row r="1023" spans="6:6" ht="16.5" customHeight="1" x14ac:dyDescent="0.3">
      <c r="F1023" s="425"/>
    </row>
    <row r="1024" spans="6:6" ht="16.5" customHeight="1" x14ac:dyDescent="0.3">
      <c r="F1024" s="425"/>
    </row>
    <row r="1025" spans="6:6" ht="16.5" customHeight="1" x14ac:dyDescent="0.3">
      <c r="F1025" s="425"/>
    </row>
    <row r="1026" spans="6:6" ht="16.5" customHeight="1" x14ac:dyDescent="0.3">
      <c r="F1026" s="425"/>
    </row>
    <row r="1027" spans="6:6" ht="16.5" customHeight="1" x14ac:dyDescent="0.3">
      <c r="F1027" s="425"/>
    </row>
    <row r="1028" spans="6:6" ht="16.5" customHeight="1" x14ac:dyDescent="0.3">
      <c r="F1028" s="425"/>
    </row>
    <row r="1029" spans="6:6" ht="16.5" customHeight="1" x14ac:dyDescent="0.3">
      <c r="F1029" s="425"/>
    </row>
    <row r="1030" spans="6:6" ht="16.5" customHeight="1" x14ac:dyDescent="0.3">
      <c r="F1030" s="425"/>
    </row>
    <row r="1031" spans="6:6" ht="16.5" customHeight="1" x14ac:dyDescent="0.3">
      <c r="F1031" s="425"/>
    </row>
    <row r="1032" spans="6:6" ht="16.5" customHeight="1" x14ac:dyDescent="0.3">
      <c r="F1032" s="425"/>
    </row>
    <row r="1033" spans="6:6" ht="16.5" customHeight="1" x14ac:dyDescent="0.3">
      <c r="F1033" s="425"/>
    </row>
    <row r="1034" spans="6:6" ht="16.5" customHeight="1" x14ac:dyDescent="0.3">
      <c r="F1034" s="425"/>
    </row>
    <row r="1035" spans="6:6" ht="16.5" customHeight="1" x14ac:dyDescent="0.3">
      <c r="F1035" s="425"/>
    </row>
    <row r="1036" spans="6:6" ht="16.5" customHeight="1" x14ac:dyDescent="0.3">
      <c r="F1036" s="425"/>
    </row>
    <row r="1037" spans="6:6" ht="16.5" customHeight="1" x14ac:dyDescent="0.3">
      <c r="F1037" s="425"/>
    </row>
    <row r="1038" spans="6:6" ht="16.5" customHeight="1" x14ac:dyDescent="0.3">
      <c r="F1038" s="425"/>
    </row>
    <row r="1039" spans="6:6" ht="16.5" customHeight="1" x14ac:dyDescent="0.3">
      <c r="F1039" s="425"/>
    </row>
    <row r="1040" spans="6:6" ht="16.5" customHeight="1" x14ac:dyDescent="0.3">
      <c r="F1040" s="425"/>
    </row>
    <row r="1041" spans="6:6" ht="16.5" customHeight="1" x14ac:dyDescent="0.3">
      <c r="F1041" s="425"/>
    </row>
    <row r="1042" spans="6:6" ht="16.5" customHeight="1" x14ac:dyDescent="0.3">
      <c r="F1042" s="425"/>
    </row>
    <row r="1043" spans="6:6" ht="16.5" customHeight="1" x14ac:dyDescent="0.3">
      <c r="F1043" s="425"/>
    </row>
    <row r="1044" spans="6:6" ht="16.5" customHeight="1" x14ac:dyDescent="0.3">
      <c r="F1044" s="425"/>
    </row>
    <row r="1045" spans="6:6" ht="16.5" customHeight="1" x14ac:dyDescent="0.3">
      <c r="F1045" s="425"/>
    </row>
    <row r="1046" spans="6:6" ht="16.5" customHeight="1" x14ac:dyDescent="0.3">
      <c r="F1046" s="425"/>
    </row>
    <row r="1047" spans="6:6" ht="16.5" customHeight="1" x14ac:dyDescent="0.3">
      <c r="F1047" s="425"/>
    </row>
    <row r="1048" spans="6:6" ht="16.5" customHeight="1" x14ac:dyDescent="0.3">
      <c r="F1048" s="425"/>
    </row>
    <row r="1049" spans="6:6" ht="16.5" customHeight="1" x14ac:dyDescent="0.3">
      <c r="F1049" s="425"/>
    </row>
    <row r="1050" spans="6:6" ht="16.5" customHeight="1" x14ac:dyDescent="0.3">
      <c r="F1050" s="425"/>
    </row>
    <row r="1051" spans="6:6" ht="16.5" customHeight="1" x14ac:dyDescent="0.3">
      <c r="F1051" s="425"/>
    </row>
    <row r="1052" spans="6:6" ht="16.5" customHeight="1" x14ac:dyDescent="0.3">
      <c r="F1052" s="425"/>
    </row>
    <row r="1053" spans="6:6" ht="16.5" customHeight="1" x14ac:dyDescent="0.3">
      <c r="F1053" s="425"/>
    </row>
    <row r="1054" spans="6:6" ht="16.5" customHeight="1" x14ac:dyDescent="0.3">
      <c r="F1054" s="425"/>
    </row>
    <row r="1055" spans="6:6" ht="16.5" customHeight="1" x14ac:dyDescent="0.3">
      <c r="F1055" s="425"/>
    </row>
    <row r="1056" spans="6:6" ht="16.5" customHeight="1" x14ac:dyDescent="0.3">
      <c r="F1056" s="425"/>
    </row>
    <row r="1057" spans="6:6" ht="16.5" customHeight="1" x14ac:dyDescent="0.3">
      <c r="F1057" s="425"/>
    </row>
    <row r="1058" spans="6:6" ht="16.5" customHeight="1" x14ac:dyDescent="0.3">
      <c r="F1058" s="425"/>
    </row>
    <row r="1059" spans="6:6" ht="16.5" customHeight="1" x14ac:dyDescent="0.3">
      <c r="F1059" s="425"/>
    </row>
    <row r="1060" spans="6:6" ht="16.5" customHeight="1" x14ac:dyDescent="0.3">
      <c r="F1060" s="425"/>
    </row>
    <row r="1061" spans="6:6" ht="16.5" customHeight="1" x14ac:dyDescent="0.3">
      <c r="F1061" s="425"/>
    </row>
    <row r="1062" spans="6:6" ht="16.5" customHeight="1" x14ac:dyDescent="0.3">
      <c r="F1062" s="425"/>
    </row>
    <row r="1063" spans="6:6" ht="16.5" customHeight="1" x14ac:dyDescent="0.3">
      <c r="F1063" s="425"/>
    </row>
    <row r="1064" spans="6:6" ht="16.5" customHeight="1" x14ac:dyDescent="0.3">
      <c r="F1064" s="425"/>
    </row>
    <row r="1065" spans="6:6" ht="16.5" customHeight="1" x14ac:dyDescent="0.3">
      <c r="F1065" s="425"/>
    </row>
    <row r="1066" spans="6:6" ht="16.5" customHeight="1" x14ac:dyDescent="0.3">
      <c r="F1066" s="425"/>
    </row>
    <row r="1067" spans="6:6" ht="16.5" customHeight="1" x14ac:dyDescent="0.3">
      <c r="F1067" s="425"/>
    </row>
    <row r="1068" spans="6:6" ht="16.5" customHeight="1" x14ac:dyDescent="0.3">
      <c r="F1068" s="425"/>
    </row>
    <row r="1069" spans="6:6" ht="16.5" customHeight="1" x14ac:dyDescent="0.3">
      <c r="F1069" s="425"/>
    </row>
    <row r="1070" spans="6:6" ht="16.5" customHeight="1" x14ac:dyDescent="0.3">
      <c r="F1070" s="425"/>
    </row>
    <row r="1071" spans="6:6" ht="16.5" customHeight="1" x14ac:dyDescent="0.3">
      <c r="F1071" s="425"/>
    </row>
    <row r="1072" spans="6:6" ht="16.5" customHeight="1" x14ac:dyDescent="0.3">
      <c r="F1072" s="425"/>
    </row>
    <row r="1073" spans="6:6" ht="16.5" customHeight="1" x14ac:dyDescent="0.3">
      <c r="F1073" s="425"/>
    </row>
    <row r="1074" spans="6:6" ht="16.5" customHeight="1" x14ac:dyDescent="0.3">
      <c r="F1074" s="425"/>
    </row>
    <row r="1075" spans="6:6" ht="16.5" customHeight="1" x14ac:dyDescent="0.3">
      <c r="F1075" s="425"/>
    </row>
    <row r="1076" spans="6:6" ht="16.5" customHeight="1" x14ac:dyDescent="0.3">
      <c r="F1076" s="425"/>
    </row>
    <row r="1077" spans="6:6" ht="16.5" customHeight="1" x14ac:dyDescent="0.3">
      <c r="F1077" s="425"/>
    </row>
    <row r="1078" spans="6:6" ht="16.5" customHeight="1" x14ac:dyDescent="0.3">
      <c r="F1078" s="425"/>
    </row>
    <row r="1079" spans="6:6" ht="16.5" customHeight="1" x14ac:dyDescent="0.3">
      <c r="F1079" s="425"/>
    </row>
    <row r="1080" spans="6:6" ht="16.5" customHeight="1" x14ac:dyDescent="0.3">
      <c r="F1080" s="425"/>
    </row>
    <row r="1081" spans="6:6" ht="16.5" customHeight="1" x14ac:dyDescent="0.3">
      <c r="F1081" s="425"/>
    </row>
    <row r="1082" spans="6:6" ht="16.5" customHeight="1" x14ac:dyDescent="0.3">
      <c r="F1082" s="425"/>
    </row>
    <row r="1083" spans="6:6" ht="16.5" customHeight="1" x14ac:dyDescent="0.3">
      <c r="F1083" s="425"/>
    </row>
    <row r="1084" spans="6:6" ht="16.5" customHeight="1" x14ac:dyDescent="0.3">
      <c r="F1084" s="425"/>
    </row>
    <row r="1085" spans="6:6" ht="16.5" customHeight="1" x14ac:dyDescent="0.3">
      <c r="F1085" s="425"/>
    </row>
    <row r="1086" spans="6:6" ht="16.5" customHeight="1" x14ac:dyDescent="0.3">
      <c r="F1086" s="425"/>
    </row>
    <row r="1087" spans="6:6" ht="16.5" customHeight="1" x14ac:dyDescent="0.3">
      <c r="F1087" s="425"/>
    </row>
    <row r="1088" spans="6:6" ht="16.5" customHeight="1" x14ac:dyDescent="0.3">
      <c r="F1088" s="425"/>
    </row>
    <row r="1089" spans="6:6" ht="16.5" customHeight="1" x14ac:dyDescent="0.3">
      <c r="F1089" s="425"/>
    </row>
    <row r="1090" spans="6:6" ht="16.5" customHeight="1" x14ac:dyDescent="0.3">
      <c r="F1090" s="425"/>
    </row>
    <row r="1091" spans="6:6" ht="16.5" customHeight="1" x14ac:dyDescent="0.3">
      <c r="F1091" s="425"/>
    </row>
    <row r="1092" spans="6:6" ht="16.5" customHeight="1" x14ac:dyDescent="0.3">
      <c r="F1092" s="425"/>
    </row>
    <row r="1093" spans="6:6" ht="16.5" customHeight="1" x14ac:dyDescent="0.3">
      <c r="F1093" s="425"/>
    </row>
    <row r="1094" spans="6:6" ht="16.5" customHeight="1" x14ac:dyDescent="0.3">
      <c r="F1094" s="425"/>
    </row>
    <row r="1095" spans="6:6" ht="16.5" customHeight="1" x14ac:dyDescent="0.3">
      <c r="F1095" s="425"/>
    </row>
    <row r="1096" spans="6:6" ht="16.5" customHeight="1" x14ac:dyDescent="0.3">
      <c r="F1096" s="425"/>
    </row>
    <row r="1097" spans="6:6" ht="16.5" customHeight="1" x14ac:dyDescent="0.3">
      <c r="F1097" s="425"/>
    </row>
    <row r="1098" spans="6:6" ht="16.5" customHeight="1" x14ac:dyDescent="0.3">
      <c r="F1098" s="425"/>
    </row>
    <row r="1099" spans="6:6" ht="16.5" customHeight="1" x14ac:dyDescent="0.3">
      <c r="F1099" s="425"/>
    </row>
    <row r="1100" spans="6:6" ht="16.5" customHeight="1" x14ac:dyDescent="0.3">
      <c r="F1100" s="425"/>
    </row>
    <row r="1101" spans="6:6" ht="16.5" customHeight="1" x14ac:dyDescent="0.3">
      <c r="F1101" s="425"/>
    </row>
    <row r="1102" spans="6:6" ht="16.5" customHeight="1" x14ac:dyDescent="0.3">
      <c r="F1102" s="425"/>
    </row>
    <row r="1103" spans="6:6" ht="16.5" customHeight="1" x14ac:dyDescent="0.3">
      <c r="F1103" s="425"/>
    </row>
    <row r="1104" spans="6:6" ht="16.5" customHeight="1" x14ac:dyDescent="0.3">
      <c r="F1104" s="425"/>
    </row>
    <row r="1105" spans="6:6" ht="16.5" customHeight="1" x14ac:dyDescent="0.3">
      <c r="F1105" s="425"/>
    </row>
    <row r="1106" spans="6:6" ht="16.5" customHeight="1" x14ac:dyDescent="0.3">
      <c r="F1106" s="425"/>
    </row>
    <row r="1107" spans="6:6" ht="16.5" customHeight="1" x14ac:dyDescent="0.3">
      <c r="F1107" s="425"/>
    </row>
    <row r="1108" spans="6:6" ht="16.5" customHeight="1" x14ac:dyDescent="0.3">
      <c r="F1108" s="425"/>
    </row>
    <row r="1109" spans="6:6" ht="16.5" customHeight="1" x14ac:dyDescent="0.3">
      <c r="F1109" s="425"/>
    </row>
    <row r="1110" spans="6:6" ht="16.5" customHeight="1" x14ac:dyDescent="0.3">
      <c r="F1110" s="425"/>
    </row>
    <row r="1111" spans="6:6" ht="16.5" customHeight="1" x14ac:dyDescent="0.3">
      <c r="F1111" s="425"/>
    </row>
    <row r="1112" spans="6:6" ht="16.5" customHeight="1" x14ac:dyDescent="0.3">
      <c r="F1112" s="425"/>
    </row>
    <row r="1113" spans="6:6" ht="16.5" customHeight="1" x14ac:dyDescent="0.3">
      <c r="F1113" s="425"/>
    </row>
    <row r="1114" spans="6:6" ht="16.5" customHeight="1" x14ac:dyDescent="0.3">
      <c r="F1114" s="425"/>
    </row>
    <row r="1115" spans="6:6" ht="16.5" customHeight="1" x14ac:dyDescent="0.3">
      <c r="F1115" s="425"/>
    </row>
    <row r="1116" spans="6:6" ht="16.5" customHeight="1" x14ac:dyDescent="0.3">
      <c r="F1116" s="425"/>
    </row>
    <row r="1117" spans="6:6" ht="16.5" customHeight="1" x14ac:dyDescent="0.3">
      <c r="F1117" s="425"/>
    </row>
    <row r="1118" spans="6:6" ht="16.5" customHeight="1" x14ac:dyDescent="0.3">
      <c r="F1118" s="425"/>
    </row>
    <row r="1119" spans="6:6" ht="16.5" customHeight="1" x14ac:dyDescent="0.3">
      <c r="F1119" s="425"/>
    </row>
    <row r="1120" spans="6:6" ht="16.5" customHeight="1" x14ac:dyDescent="0.3">
      <c r="F1120" s="425"/>
    </row>
    <row r="1121" spans="6:6" ht="16.5" customHeight="1" x14ac:dyDescent="0.3">
      <c r="F1121" s="425"/>
    </row>
    <row r="1122" spans="6:6" ht="16.5" customHeight="1" x14ac:dyDescent="0.3">
      <c r="F1122" s="425"/>
    </row>
    <row r="1123" spans="6:6" ht="16.5" customHeight="1" x14ac:dyDescent="0.3">
      <c r="F1123" s="425"/>
    </row>
    <row r="1124" spans="6:6" ht="16.5" customHeight="1" x14ac:dyDescent="0.3">
      <c r="F1124" s="425"/>
    </row>
    <row r="1125" spans="6:6" ht="16.5" customHeight="1" x14ac:dyDescent="0.3">
      <c r="F1125" s="425"/>
    </row>
    <row r="1126" spans="6:6" ht="16.5" customHeight="1" x14ac:dyDescent="0.3">
      <c r="F1126" s="425"/>
    </row>
    <row r="1127" spans="6:6" ht="16.5" customHeight="1" x14ac:dyDescent="0.3">
      <c r="F1127" s="425"/>
    </row>
    <row r="1128" spans="6:6" ht="16.5" customHeight="1" x14ac:dyDescent="0.3">
      <c r="F1128" s="425"/>
    </row>
    <row r="1129" spans="6:6" ht="16.5" customHeight="1" x14ac:dyDescent="0.3">
      <c r="F1129" s="425"/>
    </row>
    <row r="1130" spans="6:6" ht="16.5" customHeight="1" x14ac:dyDescent="0.3">
      <c r="F1130" s="425"/>
    </row>
    <row r="1131" spans="6:6" ht="16.5" customHeight="1" x14ac:dyDescent="0.3">
      <c r="F1131" s="425"/>
    </row>
    <row r="1132" spans="6:6" ht="16.5" customHeight="1" x14ac:dyDescent="0.3">
      <c r="F1132" s="425"/>
    </row>
    <row r="1133" spans="6:6" ht="16.5" customHeight="1" x14ac:dyDescent="0.3">
      <c r="F1133" s="425"/>
    </row>
    <row r="1134" spans="6:6" ht="16.5" customHeight="1" x14ac:dyDescent="0.3">
      <c r="F1134" s="425"/>
    </row>
    <row r="1135" spans="6:6" ht="16.5" customHeight="1" x14ac:dyDescent="0.3">
      <c r="F1135" s="425"/>
    </row>
    <row r="1136" spans="6:6" ht="16.5" customHeight="1" x14ac:dyDescent="0.3">
      <c r="F1136" s="425"/>
    </row>
    <row r="1137" spans="6:6" ht="16.5" customHeight="1" x14ac:dyDescent="0.3">
      <c r="F1137" s="425"/>
    </row>
    <row r="1138" spans="6:6" ht="16.5" customHeight="1" x14ac:dyDescent="0.3">
      <c r="F1138" s="425"/>
    </row>
    <row r="1139" spans="6:6" ht="16.5" customHeight="1" x14ac:dyDescent="0.3">
      <c r="F1139" s="425"/>
    </row>
    <row r="1140" spans="6:6" ht="16.5" customHeight="1" x14ac:dyDescent="0.3">
      <c r="F1140" s="425"/>
    </row>
    <row r="1141" spans="6:6" ht="16.5" customHeight="1" x14ac:dyDescent="0.3">
      <c r="F1141" s="425"/>
    </row>
    <row r="1142" spans="6:6" ht="16.5" customHeight="1" x14ac:dyDescent="0.3">
      <c r="F1142" s="425"/>
    </row>
    <row r="1143" spans="6:6" ht="16.5" customHeight="1" x14ac:dyDescent="0.3">
      <c r="F1143" s="425"/>
    </row>
    <row r="1144" spans="6:6" ht="16.5" customHeight="1" x14ac:dyDescent="0.3">
      <c r="F1144" s="425"/>
    </row>
    <row r="1145" spans="6:6" ht="16.5" customHeight="1" x14ac:dyDescent="0.3">
      <c r="F1145" s="425"/>
    </row>
    <row r="1146" spans="6:6" ht="16.5" customHeight="1" x14ac:dyDescent="0.3">
      <c r="F1146" s="425"/>
    </row>
    <row r="1147" spans="6:6" ht="16.5" customHeight="1" x14ac:dyDescent="0.3">
      <c r="F1147" s="425"/>
    </row>
    <row r="1148" spans="6:6" ht="16.5" customHeight="1" x14ac:dyDescent="0.3">
      <c r="F1148" s="425"/>
    </row>
    <row r="1149" spans="6:6" ht="16.5" customHeight="1" x14ac:dyDescent="0.3">
      <c r="F1149" s="425"/>
    </row>
    <row r="1150" spans="6:6" ht="16.5" customHeight="1" x14ac:dyDescent="0.3">
      <c r="F1150" s="425"/>
    </row>
    <row r="1151" spans="6:6" ht="16.5" customHeight="1" x14ac:dyDescent="0.3">
      <c r="F1151" s="425"/>
    </row>
    <row r="1152" spans="6:6" ht="16.5" customHeight="1" x14ac:dyDescent="0.3">
      <c r="F1152" s="425"/>
    </row>
    <row r="1153" spans="6:6" ht="16.5" customHeight="1" x14ac:dyDescent="0.3">
      <c r="F1153" s="425"/>
    </row>
    <row r="1154" spans="6:6" ht="16.5" customHeight="1" x14ac:dyDescent="0.3">
      <c r="F1154" s="425"/>
    </row>
    <row r="1155" spans="6:6" ht="16.5" customHeight="1" x14ac:dyDescent="0.3">
      <c r="F1155" s="425"/>
    </row>
    <row r="1156" spans="6:6" ht="16.5" customHeight="1" x14ac:dyDescent="0.3">
      <c r="F1156" s="425"/>
    </row>
    <row r="1157" spans="6:6" ht="16.5" customHeight="1" x14ac:dyDescent="0.3">
      <c r="F1157" s="425"/>
    </row>
    <row r="1158" spans="6:6" ht="16.5" customHeight="1" x14ac:dyDescent="0.3">
      <c r="F1158" s="425"/>
    </row>
    <row r="1159" spans="6:6" ht="16.5" customHeight="1" x14ac:dyDescent="0.3">
      <c r="F1159" s="425"/>
    </row>
    <row r="1160" spans="6:6" ht="16.5" customHeight="1" x14ac:dyDescent="0.3">
      <c r="F1160" s="425"/>
    </row>
    <row r="1161" spans="6:6" ht="16.5" customHeight="1" x14ac:dyDescent="0.3">
      <c r="F1161" s="425"/>
    </row>
    <row r="1162" spans="6:6" ht="16.5" customHeight="1" x14ac:dyDescent="0.3">
      <c r="F1162" s="425"/>
    </row>
    <row r="1163" spans="6:6" ht="16.5" customHeight="1" x14ac:dyDescent="0.3">
      <c r="F1163" s="425"/>
    </row>
    <row r="1164" spans="6:6" ht="16.5" customHeight="1" x14ac:dyDescent="0.3">
      <c r="F1164" s="425"/>
    </row>
    <row r="1165" spans="6:6" ht="16.5" customHeight="1" x14ac:dyDescent="0.3">
      <c r="F1165" s="425"/>
    </row>
    <row r="1166" spans="6:6" ht="16.5" customHeight="1" x14ac:dyDescent="0.3">
      <c r="F1166" s="425"/>
    </row>
    <row r="1167" spans="6:6" ht="16.5" customHeight="1" x14ac:dyDescent="0.3">
      <c r="F1167" s="425"/>
    </row>
    <row r="1168" spans="6:6" ht="16.5" customHeight="1" x14ac:dyDescent="0.3">
      <c r="F1168" s="425"/>
    </row>
    <row r="1169" spans="6:6" ht="16.5" customHeight="1" x14ac:dyDescent="0.3">
      <c r="F1169" s="425"/>
    </row>
    <row r="1170" spans="6:6" ht="16.5" customHeight="1" x14ac:dyDescent="0.3">
      <c r="F1170" s="425"/>
    </row>
    <row r="1171" spans="6:6" ht="16.5" customHeight="1" x14ac:dyDescent="0.3">
      <c r="F1171" s="425"/>
    </row>
    <row r="1172" spans="6:6" ht="16.5" customHeight="1" x14ac:dyDescent="0.3">
      <c r="F1172" s="425"/>
    </row>
    <row r="1173" spans="6:6" ht="16.5" customHeight="1" x14ac:dyDescent="0.3">
      <c r="F1173" s="425"/>
    </row>
    <row r="1174" spans="6:6" ht="16.5" customHeight="1" x14ac:dyDescent="0.3">
      <c r="F1174" s="425"/>
    </row>
    <row r="1175" spans="6:6" ht="16.5" customHeight="1" x14ac:dyDescent="0.3">
      <c r="F1175" s="425"/>
    </row>
    <row r="1176" spans="6:6" ht="16.5" customHeight="1" x14ac:dyDescent="0.3">
      <c r="F1176" s="425"/>
    </row>
    <row r="1177" spans="6:6" ht="16.5" customHeight="1" x14ac:dyDescent="0.3">
      <c r="F1177" s="425"/>
    </row>
    <row r="1178" spans="6:6" ht="16.5" customHeight="1" x14ac:dyDescent="0.3">
      <c r="F1178" s="425"/>
    </row>
    <row r="1179" spans="6:6" ht="16.5" customHeight="1" x14ac:dyDescent="0.3">
      <c r="F1179" s="425"/>
    </row>
    <row r="1180" spans="6:6" ht="16.5" customHeight="1" x14ac:dyDescent="0.3">
      <c r="F1180" s="425"/>
    </row>
    <row r="1181" spans="6:6" ht="16.5" customHeight="1" x14ac:dyDescent="0.3">
      <c r="F1181" s="425"/>
    </row>
    <row r="1182" spans="6:6" ht="16.5" customHeight="1" x14ac:dyDescent="0.3">
      <c r="F1182" s="425"/>
    </row>
    <row r="1183" spans="6:6" ht="16.5" customHeight="1" x14ac:dyDescent="0.3">
      <c r="F1183" s="425"/>
    </row>
    <row r="1184" spans="6:6" ht="16.5" customHeight="1" x14ac:dyDescent="0.3">
      <c r="F1184" s="425"/>
    </row>
    <row r="1185" spans="6:6" ht="16.5" customHeight="1" x14ac:dyDescent="0.3">
      <c r="F1185" s="425"/>
    </row>
    <row r="1186" spans="6:6" ht="16.5" customHeight="1" x14ac:dyDescent="0.3">
      <c r="F1186" s="425"/>
    </row>
    <row r="1187" spans="6:6" ht="16.5" customHeight="1" x14ac:dyDescent="0.3">
      <c r="F1187" s="425"/>
    </row>
    <row r="1188" spans="6:6" ht="16.5" customHeight="1" x14ac:dyDescent="0.3">
      <c r="F1188" s="425"/>
    </row>
    <row r="1189" spans="6:6" ht="16.5" customHeight="1" x14ac:dyDescent="0.3">
      <c r="F1189" s="425"/>
    </row>
    <row r="1190" spans="6:6" ht="16.5" customHeight="1" x14ac:dyDescent="0.3">
      <c r="F1190" s="425"/>
    </row>
    <row r="1191" spans="6:6" ht="16.5" customHeight="1" x14ac:dyDescent="0.3">
      <c r="F1191" s="425"/>
    </row>
    <row r="1192" spans="6:6" ht="16.5" customHeight="1" x14ac:dyDescent="0.3">
      <c r="F1192" s="425"/>
    </row>
    <row r="1193" spans="6:6" ht="16.5" customHeight="1" x14ac:dyDescent="0.3">
      <c r="F1193" s="425"/>
    </row>
    <row r="1194" spans="6:6" ht="16.5" customHeight="1" x14ac:dyDescent="0.3">
      <c r="F1194" s="425"/>
    </row>
    <row r="1195" spans="6:6" ht="16.5" customHeight="1" x14ac:dyDescent="0.3">
      <c r="F1195" s="425"/>
    </row>
    <row r="1196" spans="6:6" ht="16.5" customHeight="1" x14ac:dyDescent="0.3">
      <c r="F1196" s="425"/>
    </row>
    <row r="1197" spans="6:6" ht="16.5" customHeight="1" x14ac:dyDescent="0.3">
      <c r="F1197" s="425"/>
    </row>
    <row r="1198" spans="6:6" ht="16.5" customHeight="1" x14ac:dyDescent="0.3">
      <c r="F1198" s="425"/>
    </row>
    <row r="1199" spans="6:6" ht="16.5" customHeight="1" x14ac:dyDescent="0.3">
      <c r="F1199" s="425"/>
    </row>
    <row r="1200" spans="6:6" ht="16.5" customHeight="1" x14ac:dyDescent="0.3">
      <c r="F1200" s="425"/>
    </row>
    <row r="1201" spans="6:6" ht="16.5" customHeight="1" x14ac:dyDescent="0.3">
      <c r="F1201" s="425"/>
    </row>
    <row r="1202" spans="6:6" ht="16.5" customHeight="1" x14ac:dyDescent="0.3">
      <c r="F1202" s="425"/>
    </row>
    <row r="1203" spans="6:6" ht="16.5" customHeight="1" x14ac:dyDescent="0.3">
      <c r="F1203" s="425"/>
    </row>
    <row r="1204" spans="6:6" ht="16.5" customHeight="1" x14ac:dyDescent="0.3">
      <c r="F1204" s="425"/>
    </row>
    <row r="1205" spans="6:6" ht="16.5" customHeight="1" x14ac:dyDescent="0.3">
      <c r="F1205" s="425"/>
    </row>
    <row r="1206" spans="6:6" ht="16.5" customHeight="1" x14ac:dyDescent="0.3">
      <c r="F1206" s="425"/>
    </row>
    <row r="1207" spans="6:6" ht="16.5" customHeight="1" x14ac:dyDescent="0.3">
      <c r="F1207" s="425"/>
    </row>
    <row r="1208" spans="6:6" ht="16.5" customHeight="1" x14ac:dyDescent="0.3">
      <c r="F1208" s="425"/>
    </row>
    <row r="1209" spans="6:6" ht="16.5" customHeight="1" x14ac:dyDescent="0.3">
      <c r="F1209" s="425"/>
    </row>
    <row r="1210" spans="6:6" ht="16.5" customHeight="1" x14ac:dyDescent="0.3">
      <c r="F1210" s="425"/>
    </row>
    <row r="1211" spans="6:6" ht="16.5" customHeight="1" x14ac:dyDescent="0.3">
      <c r="F1211" s="425"/>
    </row>
    <row r="1212" spans="6:6" ht="16.5" customHeight="1" x14ac:dyDescent="0.3">
      <c r="F1212" s="425"/>
    </row>
    <row r="1213" spans="6:6" ht="16.5" customHeight="1" x14ac:dyDescent="0.3">
      <c r="F1213" s="425"/>
    </row>
    <row r="1214" spans="6:6" ht="16.5" customHeight="1" x14ac:dyDescent="0.3">
      <c r="F1214" s="425"/>
    </row>
    <row r="1215" spans="6:6" ht="16.5" customHeight="1" x14ac:dyDescent="0.3">
      <c r="F1215" s="425"/>
    </row>
    <row r="1216" spans="6:6" ht="16.5" customHeight="1" x14ac:dyDescent="0.3">
      <c r="F1216" s="425"/>
    </row>
    <row r="1217" spans="6:6" ht="16.5" customHeight="1" x14ac:dyDescent="0.3">
      <c r="F1217" s="425"/>
    </row>
    <row r="1218" spans="6:6" ht="16.5" customHeight="1" x14ac:dyDescent="0.3">
      <c r="F1218" s="425"/>
    </row>
    <row r="1219" spans="6:6" ht="16.5" customHeight="1" x14ac:dyDescent="0.3">
      <c r="F1219" s="425"/>
    </row>
    <row r="1220" spans="6:6" ht="16.5" customHeight="1" x14ac:dyDescent="0.3">
      <c r="F1220" s="425"/>
    </row>
    <row r="1221" spans="6:6" ht="16.5" customHeight="1" x14ac:dyDescent="0.3">
      <c r="F1221" s="425"/>
    </row>
    <row r="1222" spans="6:6" ht="16.5" customHeight="1" x14ac:dyDescent="0.3">
      <c r="F1222" s="425"/>
    </row>
    <row r="1223" spans="6:6" ht="16.5" customHeight="1" x14ac:dyDescent="0.3">
      <c r="F1223" s="425"/>
    </row>
    <row r="1224" spans="6:6" ht="16.5" customHeight="1" x14ac:dyDescent="0.3">
      <c r="F1224" s="425"/>
    </row>
    <row r="1225" spans="6:6" ht="16.5" customHeight="1" x14ac:dyDescent="0.3">
      <c r="F1225" s="425"/>
    </row>
    <row r="1226" spans="6:6" ht="16.5" customHeight="1" x14ac:dyDescent="0.3">
      <c r="F1226" s="425"/>
    </row>
    <row r="1227" spans="6:6" ht="16.5" customHeight="1" x14ac:dyDescent="0.3">
      <c r="F1227" s="425"/>
    </row>
    <row r="1228" spans="6:6" ht="16.5" customHeight="1" x14ac:dyDescent="0.3">
      <c r="F1228" s="425"/>
    </row>
    <row r="1229" spans="6:6" ht="16.5" customHeight="1" x14ac:dyDescent="0.3">
      <c r="F1229" s="425"/>
    </row>
    <row r="1230" spans="6:6" ht="16.5" customHeight="1" x14ac:dyDescent="0.3">
      <c r="F1230" s="425"/>
    </row>
    <row r="1231" spans="6:6" ht="16.5" customHeight="1" x14ac:dyDescent="0.3">
      <c r="F1231" s="425"/>
    </row>
    <row r="1232" spans="6:6" ht="16.5" customHeight="1" x14ac:dyDescent="0.3">
      <c r="F1232" s="425"/>
    </row>
    <row r="1233" spans="6:6" ht="16.5" customHeight="1" x14ac:dyDescent="0.3">
      <c r="F1233" s="425"/>
    </row>
    <row r="1234" spans="6:6" ht="16.5" customHeight="1" x14ac:dyDescent="0.3">
      <c r="F1234" s="425"/>
    </row>
    <row r="1235" spans="6:6" ht="16.5" customHeight="1" x14ac:dyDescent="0.3">
      <c r="F1235" s="425"/>
    </row>
    <row r="1236" spans="6:6" ht="16.5" customHeight="1" x14ac:dyDescent="0.3">
      <c r="F1236" s="425"/>
    </row>
    <row r="1237" spans="6:6" ht="16.5" customHeight="1" x14ac:dyDescent="0.3">
      <c r="F1237" s="425"/>
    </row>
    <row r="1238" spans="6:6" ht="16.5" customHeight="1" x14ac:dyDescent="0.3">
      <c r="F1238" s="425"/>
    </row>
    <row r="1239" spans="6:6" ht="16.5" customHeight="1" x14ac:dyDescent="0.3">
      <c r="F1239" s="425"/>
    </row>
    <row r="1240" spans="6:6" ht="16.5" customHeight="1" x14ac:dyDescent="0.3">
      <c r="F1240" s="425"/>
    </row>
    <row r="1241" spans="6:6" ht="16.5" customHeight="1" x14ac:dyDescent="0.3">
      <c r="F1241" s="425"/>
    </row>
    <row r="1242" spans="6:6" ht="16.5" customHeight="1" x14ac:dyDescent="0.3">
      <c r="F1242" s="425"/>
    </row>
    <row r="1243" spans="6:6" ht="16.5" customHeight="1" x14ac:dyDescent="0.3">
      <c r="F1243" s="425"/>
    </row>
    <row r="1244" spans="6:6" ht="16.5" customHeight="1" x14ac:dyDescent="0.3">
      <c r="F1244" s="425"/>
    </row>
    <row r="1245" spans="6:6" ht="16.5" customHeight="1" x14ac:dyDescent="0.3">
      <c r="F1245" s="425"/>
    </row>
    <row r="1246" spans="6:6" ht="16.5" customHeight="1" x14ac:dyDescent="0.3">
      <c r="F1246" s="425"/>
    </row>
    <row r="1247" spans="6:6" ht="16.5" customHeight="1" x14ac:dyDescent="0.3">
      <c r="F1247" s="425"/>
    </row>
    <row r="1248" spans="6:6" ht="16.5" customHeight="1" x14ac:dyDescent="0.3">
      <c r="F1248" s="425"/>
    </row>
    <row r="1249" spans="6:6" ht="16.5" customHeight="1" x14ac:dyDescent="0.3">
      <c r="F1249" s="425"/>
    </row>
    <row r="1250" spans="6:6" ht="16.5" customHeight="1" x14ac:dyDescent="0.3">
      <c r="F1250" s="425"/>
    </row>
    <row r="1251" spans="6:6" ht="16.5" customHeight="1" x14ac:dyDescent="0.3">
      <c r="F1251" s="425"/>
    </row>
    <row r="1252" spans="6:6" ht="16.5" customHeight="1" x14ac:dyDescent="0.3">
      <c r="F1252" s="425"/>
    </row>
    <row r="1253" spans="6:6" ht="16.5" customHeight="1" x14ac:dyDescent="0.3">
      <c r="F1253" s="425"/>
    </row>
    <row r="1254" spans="6:6" ht="16.5" customHeight="1" x14ac:dyDescent="0.3">
      <c r="F1254" s="425"/>
    </row>
    <row r="1255" spans="6:6" ht="16.5" customHeight="1" x14ac:dyDescent="0.3">
      <c r="F1255" s="425"/>
    </row>
    <row r="1256" spans="6:6" ht="16.5" customHeight="1" x14ac:dyDescent="0.3">
      <c r="F1256" s="425"/>
    </row>
    <row r="1257" spans="6:6" ht="16.5" customHeight="1" x14ac:dyDescent="0.3">
      <c r="F1257" s="425"/>
    </row>
    <row r="1258" spans="6:6" ht="16.5" customHeight="1" x14ac:dyDescent="0.3">
      <c r="F1258" s="425"/>
    </row>
    <row r="1259" spans="6:6" ht="16.5" customHeight="1" x14ac:dyDescent="0.3">
      <c r="F1259" s="425"/>
    </row>
    <row r="1260" spans="6:6" ht="16.5" customHeight="1" x14ac:dyDescent="0.3">
      <c r="F1260" s="425"/>
    </row>
    <row r="1261" spans="6:6" ht="16.5" customHeight="1" x14ac:dyDescent="0.3">
      <c r="F1261" s="425"/>
    </row>
    <row r="1262" spans="6:6" ht="16.5" customHeight="1" x14ac:dyDescent="0.3">
      <c r="F1262" s="425"/>
    </row>
    <row r="1263" spans="6:6" ht="16.5" customHeight="1" x14ac:dyDescent="0.3">
      <c r="F1263" s="425"/>
    </row>
    <row r="1264" spans="6:6" ht="16.5" customHeight="1" x14ac:dyDescent="0.3">
      <c r="F1264" s="425"/>
    </row>
    <row r="1265" spans="6:6" ht="16.5" customHeight="1" x14ac:dyDescent="0.3">
      <c r="F1265" s="425"/>
    </row>
    <row r="1266" spans="6:6" ht="16.5" customHeight="1" x14ac:dyDescent="0.3">
      <c r="F1266" s="425"/>
    </row>
    <row r="1267" spans="6:6" ht="16.5" customHeight="1" x14ac:dyDescent="0.3">
      <c r="F1267" s="425"/>
    </row>
    <row r="1268" spans="6:6" ht="16.5" customHeight="1" x14ac:dyDescent="0.3">
      <c r="F1268" s="425"/>
    </row>
    <row r="1269" spans="6:6" ht="16.5" customHeight="1" x14ac:dyDescent="0.3">
      <c r="F1269" s="425"/>
    </row>
    <row r="1270" spans="6:6" ht="16.5" customHeight="1" x14ac:dyDescent="0.3">
      <c r="F1270" s="425"/>
    </row>
    <row r="1271" spans="6:6" ht="16.5" customHeight="1" x14ac:dyDescent="0.3">
      <c r="F1271" s="425"/>
    </row>
    <row r="1272" spans="6:6" ht="16.5" customHeight="1" x14ac:dyDescent="0.3">
      <c r="F1272" s="425"/>
    </row>
    <row r="1273" spans="6:6" ht="16.5" customHeight="1" x14ac:dyDescent="0.3">
      <c r="F1273" s="425"/>
    </row>
    <row r="1274" spans="6:6" ht="16.5" customHeight="1" x14ac:dyDescent="0.3">
      <c r="F1274" s="425"/>
    </row>
    <row r="1275" spans="6:6" ht="16.5" customHeight="1" x14ac:dyDescent="0.3">
      <c r="F1275" s="425"/>
    </row>
    <row r="1276" spans="6:6" ht="16.5" customHeight="1" x14ac:dyDescent="0.3">
      <c r="F1276" s="425"/>
    </row>
    <row r="1277" spans="6:6" ht="16.5" customHeight="1" x14ac:dyDescent="0.3">
      <c r="F1277" s="425"/>
    </row>
    <row r="1278" spans="6:6" ht="16.5" customHeight="1" x14ac:dyDescent="0.3">
      <c r="F1278" s="425"/>
    </row>
    <row r="1279" spans="6:6" ht="16.5" customHeight="1" x14ac:dyDescent="0.3">
      <c r="F1279" s="425"/>
    </row>
  </sheetData>
  <sheetProtection selectLockedCells="1"/>
  <autoFilter ref="A3:G951"/>
  <mergeCells count="84">
    <mergeCell ref="B924:E924"/>
    <mergeCell ref="B212:E212"/>
    <mergeCell ref="B414:E414"/>
    <mergeCell ref="B505:D505"/>
    <mergeCell ref="B539:C539"/>
    <mergeCell ref="B568:E568"/>
    <mergeCell ref="B240:E240"/>
    <mergeCell ref="B260:E260"/>
    <mergeCell ref="B868:E868"/>
    <mergeCell ref="B784:E784"/>
    <mergeCell ref="B840:E840"/>
    <mergeCell ref="B655:E655"/>
    <mergeCell ref="B812:E812"/>
    <mergeCell ref="B684:E684"/>
    <mergeCell ref="B749:E749"/>
    <mergeCell ref="C779:E779"/>
    <mergeCell ref="A3:A4"/>
    <mergeCell ref="B3:B4"/>
    <mergeCell ref="C3:C4"/>
    <mergeCell ref="E3:E4"/>
    <mergeCell ref="B185:E185"/>
    <mergeCell ref="D149:F149"/>
    <mergeCell ref="F3:F4"/>
    <mergeCell ref="D183:F183"/>
    <mergeCell ref="B182:C182"/>
    <mergeCell ref="B183:C183"/>
    <mergeCell ref="C47:E47"/>
    <mergeCell ref="D158:F158"/>
    <mergeCell ref="D160:F160"/>
    <mergeCell ref="D162:F162"/>
    <mergeCell ref="D163:F163"/>
    <mergeCell ref="D151:F151"/>
    <mergeCell ref="C780:E780"/>
    <mergeCell ref="C781:E781"/>
    <mergeCell ref="C782:E782"/>
    <mergeCell ref="C783:E783"/>
    <mergeCell ref="D748:F748"/>
    <mergeCell ref="D148:F148"/>
    <mergeCell ref="G3:G4"/>
    <mergeCell ref="C292:E292"/>
    <mergeCell ref="B350:E350"/>
    <mergeCell ref="B444:E444"/>
    <mergeCell ref="B5:G5"/>
    <mergeCell ref="B6:E6"/>
    <mergeCell ref="B7:D7"/>
    <mergeCell ref="B48:E48"/>
    <mergeCell ref="B33:E33"/>
    <mergeCell ref="B169:E169"/>
    <mergeCell ref="B19:D19"/>
    <mergeCell ref="E19:F19"/>
    <mergeCell ref="D105:F105"/>
    <mergeCell ref="D147:F147"/>
    <mergeCell ref="D150:F150"/>
    <mergeCell ref="C715:E715"/>
    <mergeCell ref="C291:E291"/>
    <mergeCell ref="C293:E293"/>
    <mergeCell ref="F2:G2"/>
    <mergeCell ref="A1:G1"/>
    <mergeCell ref="B382:C382"/>
    <mergeCell ref="B474:E474"/>
    <mergeCell ref="B599:E599"/>
    <mergeCell ref="B323:E323"/>
    <mergeCell ref="B294:E294"/>
    <mergeCell ref="B133:F133"/>
    <mergeCell ref="B91:F91"/>
    <mergeCell ref="B49:F49"/>
    <mergeCell ref="B76:F76"/>
    <mergeCell ref="B120:F120"/>
    <mergeCell ref="B106:F106"/>
    <mergeCell ref="D152:F152"/>
    <mergeCell ref="D153:F153"/>
    <mergeCell ref="D161:F161"/>
    <mergeCell ref="D154:F154"/>
    <mergeCell ref="B630:D630"/>
    <mergeCell ref="D164:F164"/>
    <mergeCell ref="D165:F165"/>
    <mergeCell ref="D166:F166"/>
    <mergeCell ref="C167:E167"/>
    <mergeCell ref="C168:E168"/>
    <mergeCell ref="D182:F182"/>
    <mergeCell ref="D155:F155"/>
    <mergeCell ref="D156:F156"/>
    <mergeCell ref="D157:F157"/>
    <mergeCell ref="D159:F159"/>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8"/>
  <sheetViews>
    <sheetView topLeftCell="B64" workbookViewId="0">
      <selection activeCell="G73" sqref="G73"/>
    </sheetView>
  </sheetViews>
  <sheetFormatPr defaultColWidth="9.1796875" defaultRowHeight="18" customHeight="1" x14ac:dyDescent="0.3"/>
  <cols>
    <col min="1" max="1" width="5" style="15" customWidth="1"/>
    <col min="2" max="2" width="11.7265625" style="16" customWidth="1"/>
    <col min="3" max="3" width="32.7265625" style="9" customWidth="1"/>
    <col min="4" max="4" width="9.26953125" style="9" customWidth="1"/>
    <col min="5" max="5" width="11.1796875" style="352" customWidth="1"/>
    <col min="6" max="6" width="11.1796875" style="9" customWidth="1"/>
    <col min="7" max="7" width="12.26953125" style="9" customWidth="1"/>
    <col min="8" max="16384" width="9.1796875" style="9"/>
  </cols>
  <sheetData>
    <row r="1" spans="1:7" ht="18" customHeight="1" x14ac:dyDescent="0.3">
      <c r="A1" s="519" t="s">
        <v>257</v>
      </c>
      <c r="B1" s="519"/>
      <c r="C1" s="519"/>
      <c r="D1" s="519"/>
      <c r="E1" s="520"/>
      <c r="F1" s="519"/>
      <c r="G1" s="519"/>
    </row>
    <row r="2" spans="1:7" ht="36" customHeight="1" x14ac:dyDescent="0.3">
      <c r="A2" s="521" t="s">
        <v>284</v>
      </c>
      <c r="B2" s="521"/>
      <c r="C2" s="521"/>
      <c r="D2" s="521"/>
      <c r="E2" s="522"/>
      <c r="F2" s="521"/>
      <c r="G2" s="521"/>
    </row>
    <row r="3" spans="1:7" ht="18" customHeight="1" x14ac:dyDescent="0.3">
      <c r="B3" s="314"/>
      <c r="C3" s="98"/>
      <c r="D3" s="98"/>
      <c r="E3" s="349"/>
      <c r="F3" s="461" t="s">
        <v>256</v>
      </c>
      <c r="G3" s="461"/>
    </row>
    <row r="4" spans="1:7" ht="34.5" customHeight="1" x14ac:dyDescent="0.3">
      <c r="A4" s="11"/>
      <c r="B4" s="310" t="s">
        <v>0</v>
      </c>
      <c r="C4" s="89" t="s">
        <v>112</v>
      </c>
      <c r="D4" s="89" t="s">
        <v>23</v>
      </c>
      <c r="E4" s="350" t="s">
        <v>113</v>
      </c>
      <c r="F4" s="99" t="s">
        <v>258</v>
      </c>
      <c r="G4" s="100" t="s">
        <v>259</v>
      </c>
    </row>
    <row r="5" spans="1:7" s="42" customFormat="1" ht="20.25" customHeight="1" x14ac:dyDescent="0.35">
      <c r="A5" s="100" t="s">
        <v>272</v>
      </c>
      <c r="B5" s="448" t="s">
        <v>486</v>
      </c>
      <c r="C5" s="448"/>
      <c r="D5" s="448"/>
      <c r="E5" s="448"/>
      <c r="F5" s="448"/>
      <c r="G5" s="448"/>
    </row>
    <row r="6" spans="1:7" s="42" customFormat="1" ht="21.75" customHeight="1" x14ac:dyDescent="0.35">
      <c r="A6" s="183" t="s">
        <v>275</v>
      </c>
      <c r="B6" s="476" t="s">
        <v>485</v>
      </c>
      <c r="C6" s="477"/>
      <c r="D6" s="477"/>
      <c r="E6" s="477"/>
      <c r="F6" s="478"/>
      <c r="G6" s="149"/>
    </row>
    <row r="7" spans="1:7" ht="15.5" x14ac:dyDescent="0.3">
      <c r="A7" s="182">
        <v>1</v>
      </c>
      <c r="B7" s="152" t="s">
        <v>377</v>
      </c>
      <c r="C7" s="539" t="s">
        <v>529</v>
      </c>
      <c r="D7" s="540"/>
      <c r="E7" s="540"/>
      <c r="F7" s="179"/>
      <c r="G7" s="180">
        <f>SUM(G8:G14)*1.08</f>
        <v>57834.000000000007</v>
      </c>
    </row>
    <row r="8" spans="1:7" ht="15.5" x14ac:dyDescent="0.3">
      <c r="A8" s="100"/>
      <c r="B8" s="10">
        <v>1</v>
      </c>
      <c r="C8" s="170" t="s">
        <v>430</v>
      </c>
      <c r="D8" s="10" t="s">
        <v>431</v>
      </c>
      <c r="E8" s="10">
        <v>0.1</v>
      </c>
      <c r="F8" s="256">
        <f>VLOOKUP(C8,[1]VL!$B$3:$E$524,4,0)</f>
        <v>5000</v>
      </c>
      <c r="G8" s="108">
        <f>F8*E8</f>
        <v>500</v>
      </c>
    </row>
    <row r="9" spans="1:7" ht="15.5" x14ac:dyDescent="0.3">
      <c r="A9" s="100"/>
      <c r="B9" s="10">
        <v>2</v>
      </c>
      <c r="C9" s="170" t="s">
        <v>432</v>
      </c>
      <c r="D9" s="10" t="s">
        <v>433</v>
      </c>
      <c r="E9" s="10">
        <v>0.5</v>
      </c>
      <c r="F9" s="256">
        <f>VLOOKUP(C9,[1]VL!$B$3:$E$524,4,0)</f>
        <v>25000</v>
      </c>
      <c r="G9" s="108">
        <f t="shared" ref="G9:G14" si="0">F9*E9</f>
        <v>12500</v>
      </c>
    </row>
    <row r="10" spans="1:7" ht="15.5" x14ac:dyDescent="0.3">
      <c r="A10" s="100"/>
      <c r="B10" s="10">
        <v>3</v>
      </c>
      <c r="C10" s="104" t="s">
        <v>117</v>
      </c>
      <c r="D10" s="105" t="s">
        <v>118</v>
      </c>
      <c r="E10" s="351">
        <v>10</v>
      </c>
      <c r="F10" s="256">
        <f>VLOOKUP(C10,[1]VL!$B$3:$E$524,4,0)</f>
        <v>35</v>
      </c>
      <c r="G10" s="108">
        <f t="shared" si="0"/>
        <v>350</v>
      </c>
    </row>
    <row r="11" spans="1:7" ht="15.5" x14ac:dyDescent="0.3">
      <c r="A11" s="100"/>
      <c r="B11" s="10">
        <v>4</v>
      </c>
      <c r="C11" s="170" t="s">
        <v>120</v>
      </c>
      <c r="D11" s="10" t="s">
        <v>121</v>
      </c>
      <c r="E11" s="10">
        <v>5.0000000000000001E-3</v>
      </c>
      <c r="F11" s="256">
        <f>VLOOKUP(C11,[1]VL!$B$3:$E$524,4,0)</f>
        <v>10000</v>
      </c>
      <c r="G11" s="108">
        <f t="shared" si="0"/>
        <v>50</v>
      </c>
    </row>
    <row r="12" spans="1:7" ht="16.5" x14ac:dyDescent="0.35">
      <c r="A12" s="100"/>
      <c r="B12" s="10">
        <v>5</v>
      </c>
      <c r="C12" s="173" t="s">
        <v>439</v>
      </c>
      <c r="D12" s="174" t="s">
        <v>440</v>
      </c>
      <c r="E12" s="10">
        <v>0.1</v>
      </c>
      <c r="F12" s="256">
        <f>VLOOKUP(C12,[1]VL!$B$3:$E$524,4,0)</f>
        <v>390000</v>
      </c>
      <c r="G12" s="108">
        <f t="shared" ref="G12:G13" si="1">F12*E12</f>
        <v>39000</v>
      </c>
    </row>
    <row r="13" spans="1:7" ht="15.5" x14ac:dyDescent="0.3">
      <c r="A13" s="100"/>
      <c r="B13" s="10">
        <v>6</v>
      </c>
      <c r="C13" s="104" t="s">
        <v>117</v>
      </c>
      <c r="D13" s="105" t="s">
        <v>118</v>
      </c>
      <c r="E13" s="351">
        <v>10</v>
      </c>
      <c r="F13" s="256">
        <f>VLOOKUP(C13,[1]VL!$B$3:$E$524,4,0)</f>
        <v>35</v>
      </c>
      <c r="G13" s="108">
        <f t="shared" si="1"/>
        <v>350</v>
      </c>
    </row>
    <row r="14" spans="1:7" ht="15.5" x14ac:dyDescent="0.3">
      <c r="A14" s="184"/>
      <c r="B14" s="10">
        <v>7</v>
      </c>
      <c r="C14" s="170" t="s">
        <v>129</v>
      </c>
      <c r="D14" s="10" t="s">
        <v>76</v>
      </c>
      <c r="E14" s="10">
        <v>0.02</v>
      </c>
      <c r="F14" s="256">
        <f>VLOOKUP(C14,[1]VL!$B$3:$E$524,4,0)</f>
        <v>40000</v>
      </c>
      <c r="G14" s="108">
        <f t="shared" si="0"/>
        <v>800</v>
      </c>
    </row>
    <row r="15" spans="1:7" ht="15" customHeight="1" x14ac:dyDescent="0.3">
      <c r="A15" s="182">
        <v>2</v>
      </c>
      <c r="B15" s="329" t="s">
        <v>378</v>
      </c>
      <c r="C15" s="537" t="s">
        <v>471</v>
      </c>
      <c r="D15" s="538"/>
      <c r="E15" s="538"/>
      <c r="F15" s="179"/>
      <c r="G15" s="180">
        <f>SUM(G16:G22)*1.08</f>
        <v>87156</v>
      </c>
    </row>
    <row r="16" spans="1:7" ht="15.5" x14ac:dyDescent="0.3">
      <c r="A16" s="100"/>
      <c r="B16" s="10">
        <v>1</v>
      </c>
      <c r="C16" s="170" t="s">
        <v>430</v>
      </c>
      <c r="D16" s="10" t="s">
        <v>431</v>
      </c>
      <c r="E16" s="10">
        <v>0.1</v>
      </c>
      <c r="F16" s="256">
        <f>VLOOKUP(C16,[1]VL!$B$3:$E$524,4,0)</f>
        <v>5000</v>
      </c>
      <c r="G16" s="108">
        <f t="shared" ref="G16" si="2">F16*E16</f>
        <v>500</v>
      </c>
    </row>
    <row r="17" spans="1:7" ht="31" x14ac:dyDescent="0.3">
      <c r="A17" s="100"/>
      <c r="B17" s="10">
        <v>2</v>
      </c>
      <c r="C17" s="176" t="s">
        <v>441</v>
      </c>
      <c r="D17" s="10" t="s">
        <v>118</v>
      </c>
      <c r="E17" s="10">
        <v>5</v>
      </c>
      <c r="F17" s="256">
        <f>VLOOKUP(C17,[1]VL!$B$3:$E$524,4,0)</f>
        <v>5500</v>
      </c>
      <c r="G17" s="108">
        <f t="shared" ref="G17:G21" si="3">F17*E17</f>
        <v>27500</v>
      </c>
    </row>
    <row r="18" spans="1:7" ht="15.5" x14ac:dyDescent="0.3">
      <c r="A18" s="100"/>
      <c r="B18" s="10">
        <v>3</v>
      </c>
      <c r="C18" s="170" t="s">
        <v>432</v>
      </c>
      <c r="D18" s="10" t="s">
        <v>433</v>
      </c>
      <c r="E18" s="10">
        <v>0.5</v>
      </c>
      <c r="F18" s="256">
        <f>VLOOKUP(C18,[1]VL!$B$3:$E$524,4,0)</f>
        <v>25000</v>
      </c>
      <c r="G18" s="108">
        <f t="shared" si="3"/>
        <v>12500</v>
      </c>
    </row>
    <row r="19" spans="1:7" ht="15.5" x14ac:dyDescent="0.3">
      <c r="A19" s="100"/>
      <c r="B19" s="10">
        <v>4</v>
      </c>
      <c r="C19" s="104" t="s">
        <v>117</v>
      </c>
      <c r="D19" s="105" t="s">
        <v>118</v>
      </c>
      <c r="E19" s="351">
        <v>10</v>
      </c>
      <c r="F19" s="256">
        <f>VLOOKUP(C19,[1]VL!$B$3:$E$524,4,0)</f>
        <v>35</v>
      </c>
      <c r="G19" s="108">
        <f t="shared" si="3"/>
        <v>350</v>
      </c>
    </row>
    <row r="20" spans="1:7" ht="15.5" x14ac:dyDescent="0.3">
      <c r="A20" s="100"/>
      <c r="B20" s="10">
        <v>5</v>
      </c>
      <c r="C20" s="170" t="s">
        <v>120</v>
      </c>
      <c r="D20" s="10" t="s">
        <v>121</v>
      </c>
      <c r="E20" s="10">
        <v>5.0000000000000001E-3</v>
      </c>
      <c r="F20" s="256">
        <f>VLOOKUP(C20,[1]VL!$B$3:$E$524,4,0)</f>
        <v>10000</v>
      </c>
      <c r="G20" s="108">
        <f t="shared" si="3"/>
        <v>50</v>
      </c>
    </row>
    <row r="21" spans="1:7" ht="15.5" x14ac:dyDescent="0.3">
      <c r="A21" s="100"/>
      <c r="B21" s="10">
        <v>6</v>
      </c>
      <c r="C21" s="170" t="s">
        <v>129</v>
      </c>
      <c r="D21" s="10" t="s">
        <v>76</v>
      </c>
      <c r="E21" s="10">
        <v>0.02</v>
      </c>
      <c r="F21" s="256">
        <f>VLOOKUP(C21,[1]VL!$B$3:$E$524,4,0)</f>
        <v>40000</v>
      </c>
      <c r="G21" s="108">
        <f t="shared" si="3"/>
        <v>800</v>
      </c>
    </row>
    <row r="22" spans="1:7" ht="16.5" x14ac:dyDescent="0.35">
      <c r="A22" s="100"/>
      <c r="B22" s="10">
        <v>7</v>
      </c>
      <c r="C22" s="173" t="s">
        <v>439</v>
      </c>
      <c r="D22" s="10" t="s">
        <v>431</v>
      </c>
      <c r="E22" s="10">
        <v>0.1</v>
      </c>
      <c r="F22" s="256">
        <f>VLOOKUP(C22,[1]VL!$B$3:$E$524,4,0)</f>
        <v>390000</v>
      </c>
      <c r="G22" s="108">
        <f t="shared" ref="G22" si="4">F22*E22</f>
        <v>39000</v>
      </c>
    </row>
    <row r="23" spans="1:7" ht="15" customHeight="1" x14ac:dyDescent="0.3">
      <c r="A23" s="182">
        <v>3</v>
      </c>
      <c r="B23" s="329" t="s">
        <v>379</v>
      </c>
      <c r="C23" s="177" t="s">
        <v>622</v>
      </c>
      <c r="D23" s="177"/>
      <c r="E23" s="177"/>
      <c r="F23" s="177"/>
      <c r="G23" s="178">
        <f>SUM(G24:G27)*1.08</f>
        <v>2646</v>
      </c>
    </row>
    <row r="24" spans="1:7" ht="15.5" x14ac:dyDescent="0.3">
      <c r="A24" s="100"/>
      <c r="B24" s="10">
        <v>1</v>
      </c>
      <c r="C24" s="170" t="s">
        <v>432</v>
      </c>
      <c r="D24" s="10" t="s">
        <v>433</v>
      </c>
      <c r="E24" s="10">
        <v>0.05</v>
      </c>
      <c r="F24" s="256">
        <f>VLOOKUP(C24,[1]VL!$B$3:$E$524,4,0)</f>
        <v>25000</v>
      </c>
      <c r="G24" s="108">
        <f t="shared" ref="G24" si="5">F24*E24</f>
        <v>1250</v>
      </c>
    </row>
    <row r="25" spans="1:7" ht="15.5" x14ac:dyDescent="0.3">
      <c r="A25" s="100"/>
      <c r="B25" s="10">
        <v>2</v>
      </c>
      <c r="C25" s="170" t="s">
        <v>120</v>
      </c>
      <c r="D25" s="10" t="s">
        <v>121</v>
      </c>
      <c r="E25" s="10">
        <v>5.0000000000000001E-3</v>
      </c>
      <c r="F25" s="256">
        <f>VLOOKUP(C25,[1]VL!$B$3:$E$524,4,0)</f>
        <v>10000</v>
      </c>
      <c r="G25" s="108">
        <f t="shared" ref="G25:G27" si="6">F25*E25</f>
        <v>50</v>
      </c>
    </row>
    <row r="26" spans="1:7" ht="15.5" x14ac:dyDescent="0.3">
      <c r="A26" s="100"/>
      <c r="B26" s="10">
        <v>3</v>
      </c>
      <c r="C26" s="104" t="s">
        <v>117</v>
      </c>
      <c r="D26" s="105" t="s">
        <v>118</v>
      </c>
      <c r="E26" s="351">
        <v>10</v>
      </c>
      <c r="F26" s="256">
        <f>VLOOKUP(C26,[1]VL!$B$3:$E$524,4,0)</f>
        <v>35</v>
      </c>
      <c r="G26" s="108">
        <f t="shared" si="6"/>
        <v>350</v>
      </c>
    </row>
    <row r="27" spans="1:7" ht="15.5" x14ac:dyDescent="0.3">
      <c r="A27" s="100"/>
      <c r="B27" s="10">
        <v>4</v>
      </c>
      <c r="C27" s="170" t="s">
        <v>129</v>
      </c>
      <c r="D27" s="10" t="s">
        <v>76</v>
      </c>
      <c r="E27" s="10">
        <v>0.02</v>
      </c>
      <c r="F27" s="256">
        <f>VLOOKUP(C27,[1]VL!$B$3:$E$524,4,0)</f>
        <v>40000</v>
      </c>
      <c r="G27" s="108">
        <f t="shared" si="6"/>
        <v>800</v>
      </c>
    </row>
    <row r="28" spans="1:7" ht="21" customHeight="1" x14ac:dyDescent="0.3">
      <c r="A28" s="182">
        <v>4</v>
      </c>
      <c r="B28" s="171" t="s">
        <v>694</v>
      </c>
      <c r="C28" s="529" t="s">
        <v>562</v>
      </c>
      <c r="D28" s="530"/>
      <c r="E28" s="531"/>
      <c r="F28" s="162"/>
      <c r="G28" s="188">
        <f>SUM(G29:G33)*1.08</f>
        <v>70416</v>
      </c>
    </row>
    <row r="29" spans="1:7" ht="15.5" x14ac:dyDescent="0.3">
      <c r="A29" s="105"/>
      <c r="B29" s="10">
        <v>1</v>
      </c>
      <c r="C29" s="170" t="s">
        <v>434</v>
      </c>
      <c r="D29" s="10" t="s">
        <v>118</v>
      </c>
      <c r="E29" s="10">
        <v>5</v>
      </c>
      <c r="F29" s="256">
        <f>VLOOKUP(C29,[1]VL!$B$3:$E$524,4,0)</f>
        <v>5000</v>
      </c>
      <c r="G29" s="108">
        <f t="shared" ref="G29" si="7">F29*E29</f>
        <v>25000</v>
      </c>
    </row>
    <row r="30" spans="1:7" ht="16.5" x14ac:dyDescent="0.3">
      <c r="A30" s="105"/>
      <c r="B30" s="10">
        <v>2</v>
      </c>
      <c r="C30" s="234" t="s">
        <v>439</v>
      </c>
      <c r="D30" s="235" t="s">
        <v>440</v>
      </c>
      <c r="E30" s="10">
        <v>0.1</v>
      </c>
      <c r="F30" s="256">
        <f>VLOOKUP(C30,[1]VL!$B$3:$E$524,4,0)</f>
        <v>390000</v>
      </c>
      <c r="G30" s="108">
        <f t="shared" ref="G30" si="8">F30*E30</f>
        <v>39000</v>
      </c>
    </row>
    <row r="31" spans="1:7" ht="15.5" x14ac:dyDescent="0.3">
      <c r="A31" s="105"/>
      <c r="B31" s="10">
        <v>3</v>
      </c>
      <c r="C31" s="170" t="s">
        <v>117</v>
      </c>
      <c r="D31" s="105" t="s">
        <v>118</v>
      </c>
      <c r="E31" s="351">
        <v>10</v>
      </c>
      <c r="F31" s="256">
        <f>VLOOKUP(C31,[1]VL!$B$3:$E$524,4,0)</f>
        <v>35</v>
      </c>
      <c r="G31" s="108">
        <f t="shared" ref="G31:G33" si="9">F31*E31</f>
        <v>350</v>
      </c>
    </row>
    <row r="32" spans="1:7" ht="15.5" x14ac:dyDescent="0.3">
      <c r="A32" s="105"/>
      <c r="B32" s="10">
        <v>4</v>
      </c>
      <c r="C32" s="170" t="s">
        <v>120</v>
      </c>
      <c r="D32" s="10" t="s">
        <v>121</v>
      </c>
      <c r="E32" s="10">
        <v>5.0000000000000001E-3</v>
      </c>
      <c r="F32" s="256">
        <f>VLOOKUP(C32,[1]VL!$B$3:$E$524,4,0)</f>
        <v>10000</v>
      </c>
      <c r="G32" s="108">
        <f t="shared" si="9"/>
        <v>50</v>
      </c>
    </row>
    <row r="33" spans="1:7" ht="15.5" x14ac:dyDescent="0.3">
      <c r="A33" s="105"/>
      <c r="B33" s="10">
        <v>5</v>
      </c>
      <c r="C33" s="170" t="s">
        <v>129</v>
      </c>
      <c r="D33" s="10" t="s">
        <v>76</v>
      </c>
      <c r="E33" s="10">
        <v>0.02</v>
      </c>
      <c r="F33" s="256">
        <f>VLOOKUP(C33,[1]VL!$B$3:$E$524,4,0)</f>
        <v>40000</v>
      </c>
      <c r="G33" s="108">
        <f t="shared" si="9"/>
        <v>800</v>
      </c>
    </row>
    <row r="34" spans="1:7" ht="15.5" x14ac:dyDescent="0.3">
      <c r="A34" s="182">
        <v>5</v>
      </c>
      <c r="B34" s="387" t="s">
        <v>695</v>
      </c>
      <c r="C34" s="389" t="s">
        <v>561</v>
      </c>
      <c r="D34" s="455" t="s">
        <v>734</v>
      </c>
      <c r="E34" s="450"/>
      <c r="F34" s="451"/>
      <c r="G34" s="186">
        <f>G28</f>
        <v>70416</v>
      </c>
    </row>
    <row r="35" spans="1:7" x14ac:dyDescent="0.4">
      <c r="A35" s="182">
        <v>6</v>
      </c>
      <c r="B35" s="171" t="s">
        <v>427</v>
      </c>
      <c r="C35" s="169" t="s">
        <v>438</v>
      </c>
      <c r="D35" s="155"/>
      <c r="E35" s="155"/>
      <c r="F35" s="147"/>
      <c r="G35" s="188">
        <f>SUM(G36:G39)*1.08</f>
        <v>28458.000000000004</v>
      </c>
    </row>
    <row r="36" spans="1:7" ht="15.5" x14ac:dyDescent="0.3">
      <c r="A36" s="182"/>
      <c r="B36" s="10">
        <v>1</v>
      </c>
      <c r="C36" s="237" t="s">
        <v>475</v>
      </c>
      <c r="D36" s="10" t="s">
        <v>476</v>
      </c>
      <c r="E36" s="10">
        <v>0.5</v>
      </c>
      <c r="F36" s="256">
        <f>VLOOKUP(C36,[1]VL!$B$3:$E$524,4,0)</f>
        <v>50000</v>
      </c>
      <c r="G36" s="108">
        <f t="shared" ref="G36" si="10">F36*E36</f>
        <v>25000</v>
      </c>
    </row>
    <row r="37" spans="1:7" ht="15.5" x14ac:dyDescent="0.3">
      <c r="A37" s="182"/>
      <c r="B37" s="10">
        <v>2</v>
      </c>
      <c r="C37" s="170" t="s">
        <v>120</v>
      </c>
      <c r="D37" s="10" t="s">
        <v>121</v>
      </c>
      <c r="E37" s="10">
        <v>5.0000000000000001E-3</v>
      </c>
      <c r="F37" s="256">
        <f>VLOOKUP(C37,[1]VL!$B$3:$E$524,4,0)</f>
        <v>10000</v>
      </c>
      <c r="G37" s="108">
        <f>F37*E37</f>
        <v>50</v>
      </c>
    </row>
    <row r="38" spans="1:7" ht="15.5" x14ac:dyDescent="0.3">
      <c r="A38" s="182"/>
      <c r="B38" s="10">
        <v>3</v>
      </c>
      <c r="C38" s="170" t="s">
        <v>442</v>
      </c>
      <c r="D38" s="10" t="s">
        <v>28</v>
      </c>
      <c r="E38" s="10">
        <v>0.05</v>
      </c>
      <c r="F38" s="256">
        <f>VLOOKUP(C38,[1]VL!$B$3:$E$524,4,0)</f>
        <v>10000</v>
      </c>
      <c r="G38" s="108">
        <f>F38*E38</f>
        <v>500</v>
      </c>
    </row>
    <row r="39" spans="1:7" ht="15.5" x14ac:dyDescent="0.3">
      <c r="A39" s="182"/>
      <c r="B39" s="10">
        <v>4</v>
      </c>
      <c r="C39" s="170" t="s">
        <v>129</v>
      </c>
      <c r="D39" s="10" t="s">
        <v>76</v>
      </c>
      <c r="E39" s="10">
        <v>0.02</v>
      </c>
      <c r="F39" s="256">
        <f>VLOOKUP(C39,[1]VL!$B$3:$E$524,4,0)</f>
        <v>40000</v>
      </c>
      <c r="G39" s="108">
        <f>F39*E39</f>
        <v>800</v>
      </c>
    </row>
    <row r="40" spans="1:7" ht="18.75" customHeight="1" x14ac:dyDescent="0.3">
      <c r="A40" s="182">
        <v>7</v>
      </c>
      <c r="B40" s="329" t="s">
        <v>428</v>
      </c>
      <c r="C40" s="532" t="s">
        <v>4</v>
      </c>
      <c r="D40" s="532"/>
      <c r="E40" s="169"/>
      <c r="F40" s="172"/>
      <c r="G40" s="188">
        <f>SUM(G41:G46)*1.08</f>
        <v>37638</v>
      </c>
    </row>
    <row r="41" spans="1:7" ht="15.5" x14ac:dyDescent="0.3">
      <c r="A41" s="105"/>
      <c r="B41" s="10">
        <v>1</v>
      </c>
      <c r="C41" s="237" t="s">
        <v>475</v>
      </c>
      <c r="D41" s="10" t="s">
        <v>476</v>
      </c>
      <c r="E41" s="10">
        <v>0.5</v>
      </c>
      <c r="F41" s="256">
        <f>VLOOKUP(C41,[1]VL!$B$3:$E$524,4,0)</f>
        <v>50000</v>
      </c>
      <c r="G41" s="108">
        <f t="shared" ref="G41" si="11">F41*E41</f>
        <v>25000</v>
      </c>
    </row>
    <row r="42" spans="1:7" ht="15.5" x14ac:dyDescent="0.3">
      <c r="A42" s="105"/>
      <c r="B42" s="10">
        <v>2</v>
      </c>
      <c r="C42" s="170" t="s">
        <v>430</v>
      </c>
      <c r="D42" s="10" t="s">
        <v>431</v>
      </c>
      <c r="E42" s="10">
        <v>0.1</v>
      </c>
      <c r="F42" s="256">
        <f>VLOOKUP(C42,[1]VL!$B$3:$E$524,4,0)</f>
        <v>5000</v>
      </c>
      <c r="G42" s="108">
        <f t="shared" ref="G42:G46" si="12">F42*E42</f>
        <v>500</v>
      </c>
    </row>
    <row r="43" spans="1:7" ht="15.5" x14ac:dyDescent="0.3">
      <c r="A43" s="105"/>
      <c r="B43" s="10">
        <v>3</v>
      </c>
      <c r="C43" s="170" t="s">
        <v>120</v>
      </c>
      <c r="D43" s="10" t="s">
        <v>121</v>
      </c>
      <c r="E43" s="10">
        <v>5.0000000000000001E-3</v>
      </c>
      <c r="F43" s="256">
        <f>VLOOKUP(C43,[1]VL!$B$3:$E$524,4,0)</f>
        <v>10000</v>
      </c>
      <c r="G43" s="108">
        <f t="shared" si="12"/>
        <v>50</v>
      </c>
    </row>
    <row r="44" spans="1:7" ht="15.5" x14ac:dyDescent="0.3">
      <c r="A44" s="105"/>
      <c r="B44" s="10">
        <v>4</v>
      </c>
      <c r="C44" s="170" t="s">
        <v>436</v>
      </c>
      <c r="D44" s="10" t="s">
        <v>118</v>
      </c>
      <c r="E44" s="10">
        <v>1</v>
      </c>
      <c r="F44" s="256">
        <f>VLOOKUP(C44,[1]VL!$B$3:$E$524,4,0)</f>
        <v>8000</v>
      </c>
      <c r="G44" s="108">
        <f t="shared" ref="G44" si="13">F44*E44</f>
        <v>8000</v>
      </c>
    </row>
    <row r="45" spans="1:7" ht="15.5" x14ac:dyDescent="0.3">
      <c r="A45" s="105"/>
      <c r="B45" s="10">
        <v>5</v>
      </c>
      <c r="C45" s="170" t="s">
        <v>442</v>
      </c>
      <c r="D45" s="10" t="s">
        <v>28</v>
      </c>
      <c r="E45" s="10">
        <v>0.05</v>
      </c>
      <c r="F45" s="256">
        <f>VLOOKUP(C45,[1]VL!$B$3:$E$524,4,0)</f>
        <v>10000</v>
      </c>
      <c r="G45" s="108">
        <f t="shared" si="12"/>
        <v>500</v>
      </c>
    </row>
    <row r="46" spans="1:7" ht="15.5" x14ac:dyDescent="0.3">
      <c r="A46" s="105"/>
      <c r="B46" s="10">
        <v>7</v>
      </c>
      <c r="C46" s="170" t="s">
        <v>129</v>
      </c>
      <c r="D46" s="10" t="s">
        <v>76</v>
      </c>
      <c r="E46" s="10">
        <v>0.02</v>
      </c>
      <c r="F46" s="256">
        <f>VLOOKUP(C46,[1]VL!$B$3:$E$524,4,0)</f>
        <v>40000</v>
      </c>
      <c r="G46" s="108">
        <f t="shared" si="12"/>
        <v>800</v>
      </c>
    </row>
    <row r="47" spans="1:7" ht="19.5" customHeight="1" x14ac:dyDescent="0.3">
      <c r="A47" s="182">
        <v>8</v>
      </c>
      <c r="B47" s="171" t="s">
        <v>380</v>
      </c>
      <c r="C47" s="529" t="s">
        <v>473</v>
      </c>
      <c r="D47" s="530"/>
      <c r="E47" s="531"/>
      <c r="F47" s="162"/>
      <c r="G47" s="188">
        <f>SUM(G48:G51)*1.08</f>
        <v>28296.000000000004</v>
      </c>
    </row>
    <row r="48" spans="1:7" ht="15.5" x14ac:dyDescent="0.3">
      <c r="A48" s="105"/>
      <c r="B48" s="10">
        <v>1</v>
      </c>
      <c r="C48" s="237" t="s">
        <v>475</v>
      </c>
      <c r="D48" s="10" t="s">
        <v>476</v>
      </c>
      <c r="E48" s="10">
        <v>0.5</v>
      </c>
      <c r="F48" s="256">
        <f>VLOOKUP(C48,[1]VL!$B$3:$E$524,4,0)</f>
        <v>50000</v>
      </c>
      <c r="G48" s="108">
        <f t="shared" ref="G48:G51" si="14">F48*E48</f>
        <v>25000</v>
      </c>
    </row>
    <row r="49" spans="1:7" ht="15.5" x14ac:dyDescent="0.3">
      <c r="A49" s="105"/>
      <c r="B49" s="10">
        <v>2</v>
      </c>
      <c r="C49" s="170" t="s">
        <v>117</v>
      </c>
      <c r="D49" s="105" t="s">
        <v>118</v>
      </c>
      <c r="E49" s="351">
        <v>10</v>
      </c>
      <c r="F49" s="256">
        <f>VLOOKUP(C49,[1]VL!$B$3:$E$524,4,0)</f>
        <v>35</v>
      </c>
      <c r="G49" s="108">
        <f t="shared" si="14"/>
        <v>350</v>
      </c>
    </row>
    <row r="50" spans="1:7" ht="15.5" x14ac:dyDescent="0.3">
      <c r="A50" s="105"/>
      <c r="B50" s="10">
        <v>3</v>
      </c>
      <c r="C50" s="170" t="s">
        <v>120</v>
      </c>
      <c r="D50" s="10" t="s">
        <v>121</v>
      </c>
      <c r="E50" s="10">
        <v>5.0000000000000001E-3</v>
      </c>
      <c r="F50" s="256">
        <f>VLOOKUP(C50,[1]VL!$B$3:$E$524,4,0)</f>
        <v>10000</v>
      </c>
      <c r="G50" s="108">
        <f t="shared" si="14"/>
        <v>50</v>
      </c>
    </row>
    <row r="51" spans="1:7" ht="15.5" x14ac:dyDescent="0.3">
      <c r="A51" s="105"/>
      <c r="B51" s="10">
        <v>4</v>
      </c>
      <c r="C51" s="170" t="s">
        <v>129</v>
      </c>
      <c r="D51" s="10" t="s">
        <v>76</v>
      </c>
      <c r="E51" s="10">
        <v>0.02</v>
      </c>
      <c r="F51" s="256">
        <f>VLOOKUP(C51,[1]VL!$B$3:$E$524,4,0)</f>
        <v>40000</v>
      </c>
      <c r="G51" s="108">
        <f t="shared" si="14"/>
        <v>800</v>
      </c>
    </row>
    <row r="52" spans="1:7" x14ac:dyDescent="0.3">
      <c r="A52" s="182">
        <v>9</v>
      </c>
      <c r="B52" s="329" t="s">
        <v>387</v>
      </c>
      <c r="C52" s="172" t="s">
        <v>7</v>
      </c>
      <c r="D52" s="155"/>
      <c r="E52" s="155"/>
      <c r="F52" s="147"/>
      <c r="G52" s="188">
        <f>SUM(G53:G57)*1.08</f>
        <v>45738</v>
      </c>
    </row>
    <row r="53" spans="1:7" ht="15.5" x14ac:dyDescent="0.3">
      <c r="A53" s="182"/>
      <c r="B53" s="10">
        <v>1</v>
      </c>
      <c r="C53" s="237" t="s">
        <v>475</v>
      </c>
      <c r="D53" s="10" t="s">
        <v>476</v>
      </c>
      <c r="E53" s="10">
        <v>0.5</v>
      </c>
      <c r="F53" s="256">
        <f>VLOOKUP(C53,[1]VL!$B$3:$E$524,4,0)</f>
        <v>50000</v>
      </c>
      <c r="G53" s="108">
        <f t="shared" ref="G53" si="15">F53*E53</f>
        <v>25000</v>
      </c>
    </row>
    <row r="54" spans="1:7" ht="15.5" x14ac:dyDescent="0.3">
      <c r="A54" s="182"/>
      <c r="B54" s="10">
        <v>2</v>
      </c>
      <c r="C54" s="170" t="s">
        <v>120</v>
      </c>
      <c r="D54" s="10" t="s">
        <v>121</v>
      </c>
      <c r="E54" s="10">
        <v>5.0000000000000001E-3</v>
      </c>
      <c r="F54" s="256">
        <f>VLOOKUP(C54,[1]VL!$B$3:$E$524,4,0)</f>
        <v>10000</v>
      </c>
      <c r="G54" s="108">
        <f t="shared" ref="G54:G57" si="16">F54*E54</f>
        <v>50</v>
      </c>
    </row>
    <row r="55" spans="1:7" ht="15.5" x14ac:dyDescent="0.3">
      <c r="A55" s="182"/>
      <c r="B55" s="10">
        <v>3</v>
      </c>
      <c r="C55" s="170" t="s">
        <v>436</v>
      </c>
      <c r="D55" s="10" t="s">
        <v>118</v>
      </c>
      <c r="E55" s="10">
        <v>2</v>
      </c>
      <c r="F55" s="256">
        <f>VLOOKUP(C55,[1]VL!$B$3:$E$524,4,0)</f>
        <v>8000</v>
      </c>
      <c r="G55" s="108">
        <f t="shared" ref="G55" si="17">F55*E55</f>
        <v>16000</v>
      </c>
    </row>
    <row r="56" spans="1:7" ht="15.5" x14ac:dyDescent="0.3">
      <c r="A56" s="182"/>
      <c r="B56" s="10">
        <v>4</v>
      </c>
      <c r="C56" s="170" t="s">
        <v>442</v>
      </c>
      <c r="D56" s="10" t="s">
        <v>28</v>
      </c>
      <c r="E56" s="10">
        <v>0.05</v>
      </c>
      <c r="F56" s="256">
        <f>VLOOKUP(C56,[1]VL!$B$3:$E$524,4,0)</f>
        <v>10000</v>
      </c>
      <c r="G56" s="108">
        <f t="shared" si="16"/>
        <v>500</v>
      </c>
    </row>
    <row r="57" spans="1:7" ht="15.5" x14ac:dyDescent="0.3">
      <c r="A57" s="182"/>
      <c r="B57" s="10">
        <v>5</v>
      </c>
      <c r="C57" s="170" t="s">
        <v>129</v>
      </c>
      <c r="D57" s="10" t="s">
        <v>76</v>
      </c>
      <c r="E57" s="10">
        <v>0.02</v>
      </c>
      <c r="F57" s="256">
        <f>VLOOKUP(C57,[1]VL!$B$3:$E$524,4,0)</f>
        <v>40000</v>
      </c>
      <c r="G57" s="108">
        <f t="shared" si="16"/>
        <v>800</v>
      </c>
    </row>
    <row r="58" spans="1:7" ht="16.5" x14ac:dyDescent="0.3">
      <c r="A58" s="182">
        <v>10</v>
      </c>
      <c r="B58" s="329" t="s">
        <v>388</v>
      </c>
      <c r="C58" s="315" t="s">
        <v>293</v>
      </c>
      <c r="D58" s="10"/>
      <c r="E58" s="455" t="s">
        <v>585</v>
      </c>
      <c r="F58" s="451"/>
      <c r="G58" s="186">
        <f>G52</f>
        <v>45738</v>
      </c>
    </row>
    <row r="59" spans="1:7" ht="18.75" customHeight="1" x14ac:dyDescent="0.3">
      <c r="A59" s="182">
        <v>11</v>
      </c>
      <c r="B59" s="329" t="s">
        <v>382</v>
      </c>
      <c r="C59" s="172" t="s">
        <v>479</v>
      </c>
      <c r="D59" s="169"/>
      <c r="E59" s="172"/>
      <c r="F59" s="147"/>
      <c r="G59" s="188">
        <f>SUM(G60:G64)*1.08</f>
        <v>45738</v>
      </c>
    </row>
    <row r="60" spans="1:7" ht="15.5" x14ac:dyDescent="0.3">
      <c r="A60" s="182"/>
      <c r="B60" s="10">
        <v>1</v>
      </c>
      <c r="C60" s="237" t="s">
        <v>475</v>
      </c>
      <c r="D60" s="10" t="s">
        <v>476</v>
      </c>
      <c r="E60" s="10">
        <v>0.5</v>
      </c>
      <c r="F60" s="256">
        <f>VLOOKUP(C60,[1]VL!$B$3:$E$524,4,0)</f>
        <v>50000</v>
      </c>
      <c r="G60" s="108">
        <f t="shared" ref="G60" si="18">F60*E60</f>
        <v>25000</v>
      </c>
    </row>
    <row r="61" spans="1:7" ht="15.5" x14ac:dyDescent="0.3">
      <c r="A61" s="182"/>
      <c r="B61" s="10">
        <v>2</v>
      </c>
      <c r="C61" s="170" t="s">
        <v>120</v>
      </c>
      <c r="D61" s="10" t="s">
        <v>121</v>
      </c>
      <c r="E61" s="10">
        <v>5.0000000000000001E-3</v>
      </c>
      <c r="F61" s="256">
        <f>VLOOKUP(C61,[1]VL!$B$3:$E$524,4,0)</f>
        <v>10000</v>
      </c>
      <c r="G61" s="108">
        <f t="shared" ref="G61:G64" si="19">F61*E61</f>
        <v>50</v>
      </c>
    </row>
    <row r="62" spans="1:7" ht="15.5" x14ac:dyDescent="0.3">
      <c r="A62" s="182"/>
      <c r="B62" s="10">
        <v>3</v>
      </c>
      <c r="C62" s="170" t="s">
        <v>436</v>
      </c>
      <c r="D62" s="10" t="s">
        <v>118</v>
      </c>
      <c r="E62" s="10">
        <v>2</v>
      </c>
      <c r="F62" s="256">
        <f>VLOOKUP(C62,[1]VL!$B$3:$E$524,4,0)</f>
        <v>8000</v>
      </c>
      <c r="G62" s="108">
        <f t="shared" ref="G62" si="20">F62*E62</f>
        <v>16000</v>
      </c>
    </row>
    <row r="63" spans="1:7" ht="15.5" x14ac:dyDescent="0.3">
      <c r="A63" s="182"/>
      <c r="B63" s="10">
        <v>4</v>
      </c>
      <c r="C63" s="170" t="s">
        <v>442</v>
      </c>
      <c r="D63" s="10" t="s">
        <v>28</v>
      </c>
      <c r="E63" s="10">
        <v>0.05</v>
      </c>
      <c r="F63" s="256">
        <f>VLOOKUP(C63,[1]VL!$B$3:$E$524,4,0)</f>
        <v>10000</v>
      </c>
      <c r="G63" s="108">
        <f t="shared" si="19"/>
        <v>500</v>
      </c>
    </row>
    <row r="64" spans="1:7" ht="15.5" x14ac:dyDescent="0.3">
      <c r="A64" s="182"/>
      <c r="B64" s="10">
        <v>5</v>
      </c>
      <c r="C64" s="170" t="s">
        <v>129</v>
      </c>
      <c r="D64" s="10" t="s">
        <v>76</v>
      </c>
      <c r="E64" s="10">
        <v>0.02</v>
      </c>
      <c r="F64" s="256">
        <f>VLOOKUP(C64,[1]VL!$B$3:$E$524,4,0)</f>
        <v>40000</v>
      </c>
      <c r="G64" s="108">
        <f t="shared" si="19"/>
        <v>800</v>
      </c>
    </row>
    <row r="65" spans="1:7" ht="16.5" customHeight="1" x14ac:dyDescent="0.3">
      <c r="A65" s="182">
        <v>12</v>
      </c>
      <c r="B65" s="329" t="s">
        <v>383</v>
      </c>
      <c r="C65" s="181" t="s">
        <v>445</v>
      </c>
      <c r="D65" s="169"/>
      <c r="E65" s="172"/>
      <c r="F65" s="147"/>
      <c r="G65" s="188">
        <f>SUM(G66:G72)*1.08</f>
        <v>53868.240000000005</v>
      </c>
    </row>
    <row r="66" spans="1:7" ht="15.5" x14ac:dyDescent="0.3">
      <c r="A66" s="182"/>
      <c r="B66" s="10">
        <v>1</v>
      </c>
      <c r="C66" s="237" t="s">
        <v>475</v>
      </c>
      <c r="D66" s="10" t="s">
        <v>476</v>
      </c>
      <c r="E66" s="10">
        <v>0.5</v>
      </c>
      <c r="F66" s="256">
        <f>VLOOKUP(C66,[1]VL!$B$3:$E$524,4,0)</f>
        <v>50000</v>
      </c>
      <c r="G66" s="108">
        <f t="shared" ref="G66" si="21">F66*E66</f>
        <v>25000</v>
      </c>
    </row>
    <row r="67" spans="1:7" ht="15.5" x14ac:dyDescent="0.3">
      <c r="A67" s="182"/>
      <c r="B67" s="10">
        <v>2</v>
      </c>
      <c r="C67" s="170" t="s">
        <v>436</v>
      </c>
      <c r="D67" s="10" t="s">
        <v>118</v>
      </c>
      <c r="E67" s="10">
        <v>2</v>
      </c>
      <c r="F67" s="256">
        <f>VLOOKUP(C67,[1]VL!$B$3:$E$524,4,0)</f>
        <v>8000</v>
      </c>
      <c r="G67" s="108">
        <f t="shared" ref="G67" si="22">F67*E67</f>
        <v>16000</v>
      </c>
    </row>
    <row r="68" spans="1:7" ht="15.5" x14ac:dyDescent="0.3">
      <c r="A68" s="182"/>
      <c r="B68" s="10">
        <v>3</v>
      </c>
      <c r="C68" s="170" t="s">
        <v>437</v>
      </c>
      <c r="D68" s="10" t="s">
        <v>431</v>
      </c>
      <c r="E68" s="10">
        <v>0.1</v>
      </c>
      <c r="F68" s="256">
        <f>VLOOKUP(C68,[1]VL!$B$3:$E$524,4,0)</f>
        <v>280</v>
      </c>
      <c r="G68" s="108">
        <f t="shared" ref="G68:G72" si="23">F68*E68</f>
        <v>28</v>
      </c>
    </row>
    <row r="69" spans="1:7" ht="15.5" x14ac:dyDescent="0.3">
      <c r="A69" s="182"/>
      <c r="B69" s="10">
        <v>4</v>
      </c>
      <c r="C69" s="170" t="s">
        <v>432</v>
      </c>
      <c r="D69" s="10" t="s">
        <v>433</v>
      </c>
      <c r="E69" s="10">
        <v>0.3</v>
      </c>
      <c r="F69" s="256">
        <f>VLOOKUP(C69,[1]VL!$B$3:$E$524,4,0)</f>
        <v>25000</v>
      </c>
      <c r="G69" s="108">
        <f t="shared" si="23"/>
        <v>7500</v>
      </c>
    </row>
    <row r="70" spans="1:7" ht="15.5" x14ac:dyDescent="0.3">
      <c r="A70" s="182"/>
      <c r="B70" s="10">
        <v>5</v>
      </c>
      <c r="C70" s="170" t="s">
        <v>120</v>
      </c>
      <c r="D70" s="10" t="s">
        <v>121</v>
      </c>
      <c r="E70" s="10">
        <v>5.0000000000000001E-3</v>
      </c>
      <c r="F70" s="256">
        <f>VLOOKUP(C70,[1]VL!$B$3:$E$524,4,0)</f>
        <v>10000</v>
      </c>
      <c r="G70" s="108">
        <f t="shared" si="23"/>
        <v>50</v>
      </c>
    </row>
    <row r="71" spans="1:7" ht="15.5" x14ac:dyDescent="0.3">
      <c r="A71" s="182"/>
      <c r="B71" s="10">
        <v>6</v>
      </c>
      <c r="C71" s="170" t="s">
        <v>442</v>
      </c>
      <c r="D71" s="10" t="s">
        <v>28</v>
      </c>
      <c r="E71" s="10">
        <v>0.05</v>
      </c>
      <c r="F71" s="256">
        <f>VLOOKUP(C71,[1]VL!$B$3:$E$524,4,0)</f>
        <v>10000</v>
      </c>
      <c r="G71" s="108">
        <f t="shared" si="23"/>
        <v>500</v>
      </c>
    </row>
    <row r="72" spans="1:7" ht="15.5" x14ac:dyDescent="0.3">
      <c r="A72" s="182"/>
      <c r="B72" s="10">
        <v>7</v>
      </c>
      <c r="C72" s="170" t="s">
        <v>129</v>
      </c>
      <c r="D72" s="10" t="s">
        <v>76</v>
      </c>
      <c r="E72" s="10">
        <v>0.02</v>
      </c>
      <c r="F72" s="256">
        <f>VLOOKUP(C72,[1]VL!$B$3:$E$524,4,0)</f>
        <v>40000</v>
      </c>
      <c r="G72" s="108">
        <f t="shared" si="23"/>
        <v>800</v>
      </c>
    </row>
    <row r="73" spans="1:7" ht="18" customHeight="1" x14ac:dyDescent="0.3">
      <c r="A73" s="182">
        <v>13</v>
      </c>
      <c r="B73" s="171" t="s">
        <v>389</v>
      </c>
      <c r="C73" s="467" t="s">
        <v>12</v>
      </c>
      <c r="D73" s="468"/>
      <c r="E73" s="533"/>
      <c r="F73" s="162"/>
      <c r="G73" s="187">
        <f>SUM(G74:G80)*1.08</f>
        <v>48664.800000000003</v>
      </c>
    </row>
    <row r="74" spans="1:7" ht="15.5" x14ac:dyDescent="0.3">
      <c r="A74" s="182"/>
      <c r="B74" s="10">
        <v>1</v>
      </c>
      <c r="C74" s="170" t="s">
        <v>436</v>
      </c>
      <c r="D74" s="10" t="s">
        <v>118</v>
      </c>
      <c r="E74" s="10">
        <v>2</v>
      </c>
      <c r="F74" s="256">
        <f>VLOOKUP(C74,[1]VL!$B$3:$E$524,4,0)</f>
        <v>8000</v>
      </c>
      <c r="G74" s="108">
        <f t="shared" ref="G74" si="24">F74*E74</f>
        <v>16000</v>
      </c>
    </row>
    <row r="75" spans="1:7" ht="15.5" x14ac:dyDescent="0.3">
      <c r="A75" s="182"/>
      <c r="B75" s="10">
        <v>2</v>
      </c>
      <c r="C75" s="170" t="s">
        <v>120</v>
      </c>
      <c r="D75" s="10" t="s">
        <v>121</v>
      </c>
      <c r="E75" s="10">
        <v>5.0000000000000001E-3</v>
      </c>
      <c r="F75" s="256">
        <f>VLOOKUP(C75,[1]VL!$B$3:$E$524,4,0)</f>
        <v>10000</v>
      </c>
      <c r="G75" s="108">
        <f t="shared" ref="G75:G78" si="25">F75*E75</f>
        <v>50</v>
      </c>
    </row>
    <row r="76" spans="1:7" ht="15.5" x14ac:dyDescent="0.3">
      <c r="A76" s="182"/>
      <c r="B76" s="10">
        <v>3</v>
      </c>
      <c r="C76" s="237" t="s">
        <v>475</v>
      </c>
      <c r="D76" s="10" t="s">
        <v>476</v>
      </c>
      <c r="E76" s="10">
        <v>0.5</v>
      </c>
      <c r="F76" s="256">
        <f>VLOOKUP(C76,[1]VL!$B$3:$E$524,4,0)</f>
        <v>50000</v>
      </c>
      <c r="G76" s="108">
        <f t="shared" ref="G76" si="26">F76*E76</f>
        <v>25000</v>
      </c>
    </row>
    <row r="77" spans="1:7" ht="15.5" x14ac:dyDescent="0.3">
      <c r="A77" s="182"/>
      <c r="B77" s="10">
        <v>4</v>
      </c>
      <c r="C77" s="170" t="s">
        <v>442</v>
      </c>
      <c r="D77" s="10" t="s">
        <v>28</v>
      </c>
      <c r="E77" s="10">
        <v>0.05</v>
      </c>
      <c r="F77" s="256">
        <f>VLOOKUP(C77,[1]VL!$B$3:$E$524,4,0)</f>
        <v>10000</v>
      </c>
      <c r="G77" s="108">
        <f t="shared" si="25"/>
        <v>500</v>
      </c>
    </row>
    <row r="78" spans="1:7" ht="15.5" x14ac:dyDescent="0.3">
      <c r="A78" s="182"/>
      <c r="B78" s="10">
        <v>5</v>
      </c>
      <c r="C78" s="170" t="s">
        <v>129</v>
      </c>
      <c r="D78" s="10" t="s">
        <v>76</v>
      </c>
      <c r="E78" s="10">
        <v>0.02</v>
      </c>
      <c r="F78" s="256">
        <f>VLOOKUP(C78,[1]VL!$B$3:$E$524,4,0)</f>
        <v>40000</v>
      </c>
      <c r="G78" s="108">
        <f t="shared" si="25"/>
        <v>800</v>
      </c>
    </row>
    <row r="79" spans="1:7" ht="19.5" x14ac:dyDescent="0.3">
      <c r="A79" s="182"/>
      <c r="B79" s="10">
        <v>6</v>
      </c>
      <c r="C79" s="240" t="s">
        <v>480</v>
      </c>
      <c r="D79" s="10" t="s">
        <v>118</v>
      </c>
      <c r="E79" s="10">
        <v>1</v>
      </c>
      <c r="F79" s="256">
        <f>VLOOKUP(C79,[1]VL!$B$3:$E$524,4,0)</f>
        <v>1310</v>
      </c>
      <c r="G79" s="108">
        <f t="shared" ref="G79" si="27">F79*E79</f>
        <v>1310</v>
      </c>
    </row>
    <row r="80" spans="1:7" ht="15.5" x14ac:dyDescent="0.3">
      <c r="A80" s="182"/>
      <c r="B80" s="10">
        <v>7</v>
      </c>
      <c r="C80" s="175" t="s">
        <v>426</v>
      </c>
      <c r="D80" s="241" t="s">
        <v>481</v>
      </c>
      <c r="E80" s="10">
        <v>0.02</v>
      </c>
      <c r="F80" s="256">
        <f>VLOOKUP(C80,[1]VL!$B$3:$E$524,4,0)</f>
        <v>70000</v>
      </c>
      <c r="G80" s="108">
        <f t="shared" ref="G80" si="28">F80*E80</f>
        <v>1400</v>
      </c>
    </row>
    <row r="81" spans="1:7" ht="15.5" x14ac:dyDescent="0.3">
      <c r="A81" s="182">
        <v>14</v>
      </c>
      <c r="B81" s="320" t="s">
        <v>390</v>
      </c>
      <c r="C81" s="326" t="s">
        <v>14</v>
      </c>
      <c r="D81" s="523" t="s">
        <v>596</v>
      </c>
      <c r="E81" s="524"/>
      <c r="F81" s="525"/>
      <c r="G81" s="186">
        <f>G73</f>
        <v>48664.800000000003</v>
      </c>
    </row>
    <row r="82" spans="1:7" ht="17" x14ac:dyDescent="0.3">
      <c r="A82" s="182">
        <v>15</v>
      </c>
      <c r="B82" s="320" t="s">
        <v>391</v>
      </c>
      <c r="C82" s="326" t="s">
        <v>600</v>
      </c>
      <c r="D82" s="523" t="s">
        <v>596</v>
      </c>
      <c r="E82" s="524"/>
      <c r="F82" s="525"/>
      <c r="G82" s="186">
        <f>G73</f>
        <v>48664.800000000003</v>
      </c>
    </row>
    <row r="83" spans="1:7" ht="16.5" x14ac:dyDescent="0.3">
      <c r="A83" s="182">
        <v>16</v>
      </c>
      <c r="B83" s="320" t="s">
        <v>392</v>
      </c>
      <c r="C83" s="326" t="s">
        <v>601</v>
      </c>
      <c r="D83" s="523" t="s">
        <v>596</v>
      </c>
      <c r="E83" s="524"/>
      <c r="F83" s="525"/>
      <c r="G83" s="186">
        <f>G73</f>
        <v>48664.800000000003</v>
      </c>
    </row>
    <row r="84" spans="1:7" ht="15.5" x14ac:dyDescent="0.3">
      <c r="A84" s="182">
        <v>17</v>
      </c>
      <c r="B84" s="320" t="s">
        <v>393</v>
      </c>
      <c r="C84" s="326" t="s">
        <v>16</v>
      </c>
      <c r="D84" s="523" t="s">
        <v>596</v>
      </c>
      <c r="E84" s="524"/>
      <c r="F84" s="525"/>
      <c r="G84" s="186">
        <f>G73</f>
        <v>48664.800000000003</v>
      </c>
    </row>
    <row r="85" spans="1:7" ht="17" x14ac:dyDescent="0.3">
      <c r="A85" s="182">
        <v>18</v>
      </c>
      <c r="B85" s="320" t="s">
        <v>394</v>
      </c>
      <c r="C85" s="326" t="s">
        <v>602</v>
      </c>
      <c r="D85" s="523" t="s">
        <v>596</v>
      </c>
      <c r="E85" s="524"/>
      <c r="F85" s="525"/>
      <c r="G85" s="186">
        <f>G73</f>
        <v>48664.800000000003</v>
      </c>
    </row>
    <row r="86" spans="1:7" ht="17" x14ac:dyDescent="0.3">
      <c r="A86" s="182">
        <v>19</v>
      </c>
      <c r="B86" s="320" t="s">
        <v>395</v>
      </c>
      <c r="C86" s="326" t="s">
        <v>603</v>
      </c>
      <c r="D86" s="523" t="s">
        <v>596</v>
      </c>
      <c r="E86" s="524"/>
      <c r="F86" s="525"/>
      <c r="G86" s="186">
        <f>G73</f>
        <v>48664.800000000003</v>
      </c>
    </row>
    <row r="87" spans="1:7" ht="17" x14ac:dyDescent="0.3">
      <c r="A87" s="182">
        <v>20</v>
      </c>
      <c r="B87" s="320" t="s">
        <v>396</v>
      </c>
      <c r="C87" s="326" t="s">
        <v>604</v>
      </c>
      <c r="D87" s="523" t="s">
        <v>596</v>
      </c>
      <c r="E87" s="524"/>
      <c r="F87" s="525"/>
      <c r="G87" s="186">
        <f>G73</f>
        <v>48664.800000000003</v>
      </c>
    </row>
    <row r="88" spans="1:7" ht="16.5" x14ac:dyDescent="0.3">
      <c r="A88" s="182">
        <v>21</v>
      </c>
      <c r="B88" s="320" t="s">
        <v>397</v>
      </c>
      <c r="C88" s="326" t="s">
        <v>605</v>
      </c>
      <c r="D88" s="523" t="s">
        <v>596</v>
      </c>
      <c r="E88" s="524"/>
      <c r="F88" s="525"/>
      <c r="G88" s="186">
        <f>G74</f>
        <v>16000</v>
      </c>
    </row>
    <row r="89" spans="1:7" ht="16.5" x14ac:dyDescent="0.3">
      <c r="A89" s="182">
        <v>22</v>
      </c>
      <c r="B89" s="320" t="s">
        <v>398</v>
      </c>
      <c r="C89" s="326" t="s">
        <v>606</v>
      </c>
      <c r="D89" s="523" t="s">
        <v>596</v>
      </c>
      <c r="E89" s="524"/>
      <c r="F89" s="525"/>
      <c r="G89" s="186">
        <f t="shared" ref="G89:G92" si="29">G81</f>
        <v>48664.800000000003</v>
      </c>
    </row>
    <row r="90" spans="1:7" ht="17" x14ac:dyDescent="0.3">
      <c r="A90" s="182">
        <v>23</v>
      </c>
      <c r="B90" s="320" t="s">
        <v>399</v>
      </c>
      <c r="C90" s="326" t="s">
        <v>607</v>
      </c>
      <c r="D90" s="523" t="s">
        <v>596</v>
      </c>
      <c r="E90" s="524"/>
      <c r="F90" s="525"/>
      <c r="G90" s="186">
        <f t="shared" si="29"/>
        <v>48664.800000000003</v>
      </c>
    </row>
    <row r="91" spans="1:7" ht="15.5" x14ac:dyDescent="0.3">
      <c r="A91" s="182">
        <v>24</v>
      </c>
      <c r="B91" s="154" t="s">
        <v>696</v>
      </c>
      <c r="C91" s="176" t="s">
        <v>698</v>
      </c>
      <c r="D91" s="523" t="s">
        <v>596</v>
      </c>
      <c r="E91" s="524"/>
      <c r="F91" s="525"/>
      <c r="G91" s="186">
        <f t="shared" si="29"/>
        <v>48664.800000000003</v>
      </c>
    </row>
    <row r="92" spans="1:7" ht="15.5" x14ac:dyDescent="0.3">
      <c r="A92" s="182">
        <v>25</v>
      </c>
      <c r="B92" s="154" t="s">
        <v>697</v>
      </c>
      <c r="C92" s="176" t="s">
        <v>699</v>
      </c>
      <c r="D92" s="523" t="s">
        <v>596</v>
      </c>
      <c r="E92" s="524"/>
      <c r="F92" s="525"/>
      <c r="G92" s="186">
        <f t="shared" si="29"/>
        <v>48664.800000000003</v>
      </c>
    </row>
    <row r="93" spans="1:7" ht="15.5" x14ac:dyDescent="0.3">
      <c r="A93" s="182">
        <v>26</v>
      </c>
      <c r="B93" s="150" t="s">
        <v>700</v>
      </c>
      <c r="C93" s="176" t="s">
        <v>492</v>
      </c>
      <c r="D93" s="523" t="s">
        <v>596</v>
      </c>
      <c r="E93" s="524"/>
      <c r="F93" s="525"/>
      <c r="G93" s="186">
        <f>G84</f>
        <v>48664.800000000003</v>
      </c>
    </row>
    <row r="94" spans="1:7" ht="15.5" x14ac:dyDescent="0.3">
      <c r="A94" s="182">
        <v>27</v>
      </c>
      <c r="B94" s="150" t="s">
        <v>701</v>
      </c>
      <c r="C94" s="176" t="s">
        <v>493</v>
      </c>
      <c r="D94" s="523" t="s">
        <v>596</v>
      </c>
      <c r="E94" s="524"/>
      <c r="F94" s="525"/>
      <c r="G94" s="186">
        <f>G73</f>
        <v>48664.800000000003</v>
      </c>
    </row>
    <row r="95" spans="1:7" ht="15.5" x14ac:dyDescent="0.3">
      <c r="A95" s="182">
        <v>28</v>
      </c>
      <c r="B95" s="150" t="s">
        <v>702</v>
      </c>
      <c r="C95" s="176" t="s">
        <v>708</v>
      </c>
      <c r="D95" s="523" t="s">
        <v>596</v>
      </c>
      <c r="E95" s="524"/>
      <c r="F95" s="525"/>
      <c r="G95" s="186">
        <f>G85</f>
        <v>48664.800000000003</v>
      </c>
    </row>
    <row r="96" spans="1:7" ht="15.5" x14ac:dyDescent="0.3">
      <c r="A96" s="182">
        <v>29</v>
      </c>
      <c r="B96" s="150" t="s">
        <v>703</v>
      </c>
      <c r="C96" s="176" t="s">
        <v>709</v>
      </c>
      <c r="D96" s="523" t="s">
        <v>596</v>
      </c>
      <c r="E96" s="524"/>
      <c r="F96" s="525"/>
      <c r="G96" s="186">
        <f>G73</f>
        <v>48664.800000000003</v>
      </c>
    </row>
    <row r="97" spans="1:7" ht="15.5" x14ac:dyDescent="0.3">
      <c r="A97" s="182">
        <v>30</v>
      </c>
      <c r="B97" s="150" t="s">
        <v>704</v>
      </c>
      <c r="C97" s="176" t="s">
        <v>710</v>
      </c>
      <c r="D97" s="523" t="s">
        <v>596</v>
      </c>
      <c r="E97" s="524"/>
      <c r="F97" s="525"/>
      <c r="G97" s="186">
        <f>G73</f>
        <v>48664.800000000003</v>
      </c>
    </row>
    <row r="98" spans="1:7" ht="15.5" x14ac:dyDescent="0.3">
      <c r="A98" s="182">
        <v>31</v>
      </c>
      <c r="B98" s="150" t="s">
        <v>705</v>
      </c>
      <c r="C98" s="176" t="s">
        <v>711</v>
      </c>
      <c r="D98" s="523" t="s">
        <v>596</v>
      </c>
      <c r="E98" s="524"/>
      <c r="F98" s="525"/>
      <c r="G98" s="186">
        <f>G73</f>
        <v>48664.800000000003</v>
      </c>
    </row>
    <row r="99" spans="1:7" ht="15.5" x14ac:dyDescent="0.3">
      <c r="A99" s="182">
        <v>32</v>
      </c>
      <c r="B99" s="150" t="s">
        <v>706</v>
      </c>
      <c r="C99" s="176" t="s">
        <v>712</v>
      </c>
      <c r="D99" s="523" t="s">
        <v>596</v>
      </c>
      <c r="E99" s="524"/>
      <c r="F99" s="525"/>
      <c r="G99" s="186">
        <f>G73</f>
        <v>48664.800000000003</v>
      </c>
    </row>
    <row r="100" spans="1:7" ht="15.5" x14ac:dyDescent="0.3">
      <c r="A100" s="182">
        <v>33</v>
      </c>
      <c r="B100" s="150" t="s">
        <v>707</v>
      </c>
      <c r="C100" s="176" t="s">
        <v>713</v>
      </c>
      <c r="D100" s="523" t="s">
        <v>596</v>
      </c>
      <c r="E100" s="524"/>
      <c r="F100" s="525"/>
      <c r="G100" s="186">
        <f>G73</f>
        <v>48664.800000000003</v>
      </c>
    </row>
    <row r="101" spans="1:7" ht="16.5" x14ac:dyDescent="0.3">
      <c r="A101" s="182">
        <v>34</v>
      </c>
      <c r="B101" s="329" t="s">
        <v>384</v>
      </c>
      <c r="C101" s="172" t="s">
        <v>138</v>
      </c>
      <c r="D101" s="147"/>
      <c r="E101" s="147"/>
      <c r="F101" s="162"/>
      <c r="G101" s="187">
        <f>SUM(G102:G106)*1.08</f>
        <v>45738</v>
      </c>
    </row>
    <row r="102" spans="1:7" ht="15.5" x14ac:dyDescent="0.3">
      <c r="A102" s="182"/>
      <c r="B102" s="10">
        <v>1</v>
      </c>
      <c r="C102" s="237" t="s">
        <v>475</v>
      </c>
      <c r="D102" s="10" t="s">
        <v>476</v>
      </c>
      <c r="E102" s="10">
        <v>0.5</v>
      </c>
      <c r="F102" s="256">
        <f>VLOOKUP(C102,[1]VL!$B$3:$E$524,4,0)</f>
        <v>50000</v>
      </c>
      <c r="G102" s="108">
        <f t="shared" ref="G102" si="30">F102*E102</f>
        <v>25000</v>
      </c>
    </row>
    <row r="103" spans="1:7" ht="15.5" x14ac:dyDescent="0.3">
      <c r="A103" s="182"/>
      <c r="B103" s="10">
        <v>2</v>
      </c>
      <c r="C103" s="170" t="s">
        <v>120</v>
      </c>
      <c r="D103" s="10" t="s">
        <v>121</v>
      </c>
      <c r="E103" s="10">
        <v>5.0000000000000001E-3</v>
      </c>
      <c r="F103" s="256">
        <f>VLOOKUP(C103,[1]VL!$B$3:$E$524,4,0)</f>
        <v>10000</v>
      </c>
      <c r="G103" s="108">
        <f t="shared" ref="G103:G105" si="31">F103*E103</f>
        <v>50</v>
      </c>
    </row>
    <row r="104" spans="1:7" ht="15.5" x14ac:dyDescent="0.3">
      <c r="A104" s="182"/>
      <c r="B104" s="10">
        <v>3</v>
      </c>
      <c r="C104" s="170" t="s">
        <v>436</v>
      </c>
      <c r="D104" s="10" t="s">
        <v>118</v>
      </c>
      <c r="E104" s="10">
        <v>2</v>
      </c>
      <c r="F104" s="256">
        <f>VLOOKUP(C104,[1]VL!$B$3:$E$524,4,0)</f>
        <v>8000</v>
      </c>
      <c r="G104" s="108">
        <f t="shared" ref="G104" si="32">F104*E104</f>
        <v>16000</v>
      </c>
    </row>
    <row r="105" spans="1:7" ht="15.5" x14ac:dyDescent="0.3">
      <c r="A105" s="182"/>
      <c r="B105" s="10">
        <v>4</v>
      </c>
      <c r="C105" s="170" t="s">
        <v>442</v>
      </c>
      <c r="D105" s="10" t="s">
        <v>28</v>
      </c>
      <c r="E105" s="10">
        <v>0.05</v>
      </c>
      <c r="F105" s="256">
        <f>VLOOKUP(C105,[1]VL!$B$3:$E$524,4,0)</f>
        <v>10000</v>
      </c>
      <c r="G105" s="108">
        <f t="shared" si="31"/>
        <v>500</v>
      </c>
    </row>
    <row r="106" spans="1:7" ht="15.5" x14ac:dyDescent="0.3">
      <c r="A106" s="182"/>
      <c r="B106" s="10">
        <v>5</v>
      </c>
      <c r="C106" s="170" t="s">
        <v>129</v>
      </c>
      <c r="D106" s="10" t="s">
        <v>76</v>
      </c>
      <c r="E106" s="10">
        <v>0.02</v>
      </c>
      <c r="F106" s="256">
        <f>VLOOKUP(C106,[1]VL!$B$3:$E$524,4,0)</f>
        <v>40000</v>
      </c>
      <c r="G106" s="108">
        <f>F106*E106</f>
        <v>800</v>
      </c>
    </row>
    <row r="107" spans="1:7" ht="16.5" x14ac:dyDescent="0.3">
      <c r="A107" s="182">
        <v>35</v>
      </c>
      <c r="B107" s="329" t="s">
        <v>385</v>
      </c>
      <c r="C107" s="172" t="s">
        <v>294</v>
      </c>
      <c r="D107" s="147"/>
      <c r="E107" s="147"/>
      <c r="F107" s="162"/>
      <c r="G107" s="187">
        <f>SUM(G108:G112)*1.08</f>
        <v>45738</v>
      </c>
    </row>
    <row r="108" spans="1:7" ht="15.5" x14ac:dyDescent="0.3">
      <c r="A108" s="182"/>
      <c r="B108" s="10">
        <v>1</v>
      </c>
      <c r="C108" s="237" t="s">
        <v>475</v>
      </c>
      <c r="D108" s="10" t="s">
        <v>476</v>
      </c>
      <c r="E108" s="10">
        <v>0.5</v>
      </c>
      <c r="F108" s="256">
        <f>VLOOKUP(C108,[1]VL!$B$3:$E$524,4,0)</f>
        <v>50000</v>
      </c>
      <c r="G108" s="108">
        <f t="shared" ref="G108:G112" si="33">F108*E108</f>
        <v>25000</v>
      </c>
    </row>
    <row r="109" spans="1:7" ht="15.5" x14ac:dyDescent="0.3">
      <c r="A109" s="182"/>
      <c r="B109" s="10">
        <v>2</v>
      </c>
      <c r="C109" s="170" t="s">
        <v>120</v>
      </c>
      <c r="D109" s="10" t="s">
        <v>121</v>
      </c>
      <c r="E109" s="10">
        <v>5.0000000000000001E-3</v>
      </c>
      <c r="F109" s="256">
        <f>VLOOKUP(C109,[1]VL!$B$3:$E$524,4,0)</f>
        <v>10000</v>
      </c>
      <c r="G109" s="108">
        <f t="shared" si="33"/>
        <v>50</v>
      </c>
    </row>
    <row r="110" spans="1:7" ht="15.5" x14ac:dyDescent="0.3">
      <c r="A110" s="182"/>
      <c r="B110" s="10">
        <v>3</v>
      </c>
      <c r="C110" s="170" t="s">
        <v>436</v>
      </c>
      <c r="D110" s="10" t="s">
        <v>118</v>
      </c>
      <c r="E110" s="10">
        <v>2</v>
      </c>
      <c r="F110" s="256">
        <f>VLOOKUP(C110,[1]VL!$B$3:$E$524,4,0)</f>
        <v>8000</v>
      </c>
      <c r="G110" s="108">
        <f t="shared" si="33"/>
        <v>16000</v>
      </c>
    </row>
    <row r="111" spans="1:7" ht="15.5" x14ac:dyDescent="0.3">
      <c r="A111" s="182"/>
      <c r="B111" s="10">
        <v>4</v>
      </c>
      <c r="C111" s="170" t="s">
        <v>442</v>
      </c>
      <c r="D111" s="10" t="s">
        <v>28</v>
      </c>
      <c r="E111" s="10">
        <v>0.05</v>
      </c>
      <c r="F111" s="256">
        <f>VLOOKUP(C111,[1]VL!$B$3:$E$524,4,0)</f>
        <v>10000</v>
      </c>
      <c r="G111" s="108">
        <f t="shared" si="33"/>
        <v>500</v>
      </c>
    </row>
    <row r="112" spans="1:7" ht="15.5" x14ac:dyDescent="0.3">
      <c r="A112" s="182"/>
      <c r="B112" s="10">
        <v>5</v>
      </c>
      <c r="C112" s="170" t="s">
        <v>129</v>
      </c>
      <c r="D112" s="10" t="s">
        <v>76</v>
      </c>
      <c r="E112" s="10">
        <v>0.02</v>
      </c>
      <c r="F112" s="256">
        <f>VLOOKUP(C112,[1]VL!$B$3:$E$524,4,0)</f>
        <v>40000</v>
      </c>
      <c r="G112" s="108">
        <f t="shared" si="33"/>
        <v>800</v>
      </c>
    </row>
    <row r="113" spans="1:7" ht="23.25" customHeight="1" x14ac:dyDescent="0.3">
      <c r="A113" s="182">
        <v>36</v>
      </c>
      <c r="B113" s="171" t="s">
        <v>400</v>
      </c>
      <c r="C113" s="534" t="s">
        <v>735</v>
      </c>
      <c r="D113" s="535"/>
      <c r="E113" s="536"/>
      <c r="F113" s="107"/>
      <c r="G113" s="186">
        <f>SUM(G114:G118)*1.08</f>
        <v>18740.7</v>
      </c>
    </row>
    <row r="114" spans="1:7" ht="15.5" x14ac:dyDescent="0.3">
      <c r="A114" s="182"/>
      <c r="B114" s="10">
        <v>1</v>
      </c>
      <c r="C114" s="237" t="s">
        <v>475</v>
      </c>
      <c r="D114" s="10" t="s">
        <v>476</v>
      </c>
      <c r="E114" s="10">
        <v>0.5</v>
      </c>
      <c r="F114" s="256">
        <v>5</v>
      </c>
      <c r="G114" s="108">
        <f t="shared" ref="G114:G118" si="34">F114*E114</f>
        <v>2.5</v>
      </c>
    </row>
    <row r="115" spans="1:7" ht="15.5" x14ac:dyDescent="0.3">
      <c r="A115" s="182"/>
      <c r="B115" s="10">
        <v>2</v>
      </c>
      <c r="C115" s="170" t="s">
        <v>120</v>
      </c>
      <c r="D115" s="10" t="s">
        <v>121</v>
      </c>
      <c r="E115" s="10">
        <v>5.0000000000000001E-3</v>
      </c>
      <c r="F115" s="256">
        <f>VLOOKUP(C115,[1]VL!$B$3:$E$524,4,0)</f>
        <v>10000</v>
      </c>
      <c r="G115" s="108">
        <f t="shared" si="34"/>
        <v>50</v>
      </c>
    </row>
    <row r="116" spans="1:7" ht="15.5" x14ac:dyDescent="0.3">
      <c r="A116" s="182"/>
      <c r="B116" s="10">
        <v>3</v>
      </c>
      <c r="C116" s="170" t="s">
        <v>436</v>
      </c>
      <c r="D116" s="10" t="s">
        <v>118</v>
      </c>
      <c r="E116" s="10">
        <v>2</v>
      </c>
      <c r="F116" s="256">
        <f>VLOOKUP(C116,[1]VL!$B$3:$E$524,4,0)</f>
        <v>8000</v>
      </c>
      <c r="G116" s="108">
        <f t="shared" ref="G116" si="35">F116*E116</f>
        <v>16000</v>
      </c>
    </row>
    <row r="117" spans="1:7" ht="15.5" x14ac:dyDescent="0.3">
      <c r="A117" s="182"/>
      <c r="B117" s="10">
        <v>4</v>
      </c>
      <c r="C117" s="170" t="s">
        <v>442</v>
      </c>
      <c r="D117" s="10" t="s">
        <v>28</v>
      </c>
      <c r="E117" s="10">
        <v>0.05</v>
      </c>
      <c r="F117" s="256">
        <f>VLOOKUP(C117,[1]VL!$B$3:$E$524,4,0)</f>
        <v>10000</v>
      </c>
      <c r="G117" s="108">
        <f t="shared" si="34"/>
        <v>500</v>
      </c>
    </row>
    <row r="118" spans="1:7" ht="15.5" x14ac:dyDescent="0.3">
      <c r="A118" s="182"/>
      <c r="B118" s="10">
        <v>5</v>
      </c>
      <c r="C118" s="170" t="s">
        <v>129</v>
      </c>
      <c r="D118" s="10" t="s">
        <v>76</v>
      </c>
      <c r="E118" s="10">
        <v>0.02</v>
      </c>
      <c r="F118" s="256">
        <f>VLOOKUP(C118,[1]VL!$B$3:$E$524,4,0)</f>
        <v>40000</v>
      </c>
      <c r="G118" s="108">
        <f t="shared" si="34"/>
        <v>800</v>
      </c>
    </row>
    <row r="119" spans="1:7" ht="14" x14ac:dyDescent="0.3">
      <c r="A119" s="182">
        <v>37</v>
      </c>
      <c r="B119" s="320" t="s">
        <v>401</v>
      </c>
      <c r="C119" s="330" t="s">
        <v>20</v>
      </c>
      <c r="D119" s="518" t="s">
        <v>597</v>
      </c>
      <c r="E119" s="518"/>
      <c r="F119" s="518"/>
      <c r="G119" s="115">
        <f>G113</f>
        <v>18740.7</v>
      </c>
    </row>
    <row r="120" spans="1:7" ht="14" x14ac:dyDescent="0.3">
      <c r="A120" s="182">
        <v>38</v>
      </c>
      <c r="B120" s="320" t="s">
        <v>402</v>
      </c>
      <c r="C120" s="326" t="s">
        <v>21</v>
      </c>
      <c r="D120" s="518" t="s">
        <v>597</v>
      </c>
      <c r="E120" s="518"/>
      <c r="F120" s="518"/>
      <c r="G120" s="115">
        <f>G113</f>
        <v>18740.7</v>
      </c>
    </row>
    <row r="121" spans="1:7" ht="18" customHeight="1" x14ac:dyDescent="0.3">
      <c r="A121" s="11" t="s">
        <v>276</v>
      </c>
      <c r="B121" s="545" t="s">
        <v>285</v>
      </c>
      <c r="C121" s="546"/>
      <c r="D121" s="546"/>
      <c r="E121" s="546"/>
      <c r="F121" s="546"/>
      <c r="G121" s="547"/>
    </row>
    <row r="122" spans="1:7" ht="18" customHeight="1" x14ac:dyDescent="0.3">
      <c r="A122" s="11">
        <v>1</v>
      </c>
      <c r="B122" s="11" t="s">
        <v>465</v>
      </c>
      <c r="C122" s="101" t="s">
        <v>309</v>
      </c>
      <c r="D122" s="10"/>
      <c r="E122" s="102"/>
      <c r="F122" s="97"/>
      <c r="G122" s="103">
        <f>SUM(G123:G136)*1.08</f>
        <v>17356.896000000001</v>
      </c>
    </row>
    <row r="123" spans="1:7" ht="18" customHeight="1" x14ac:dyDescent="0.3">
      <c r="A123" s="11"/>
      <c r="B123" s="10">
        <v>1</v>
      </c>
      <c r="C123" s="104" t="s">
        <v>310</v>
      </c>
      <c r="D123" s="105" t="s">
        <v>114</v>
      </c>
      <c r="E123" s="106">
        <v>0.06</v>
      </c>
      <c r="F123" s="256">
        <f>VLOOKUP(C123,[1]VL!$B$3:$E$524,4,0)</f>
        <v>1360</v>
      </c>
      <c r="G123" s="108">
        <f>F123*E123</f>
        <v>81.599999999999994</v>
      </c>
    </row>
    <row r="124" spans="1:7" ht="18" customHeight="1" x14ac:dyDescent="0.3">
      <c r="A124" s="11"/>
      <c r="B124" s="10">
        <v>2</v>
      </c>
      <c r="C124" s="104" t="s">
        <v>311</v>
      </c>
      <c r="D124" s="105" t="s">
        <v>114</v>
      </c>
      <c r="E124" s="106">
        <v>0.06</v>
      </c>
      <c r="F124" s="256">
        <f>VLOOKUP(C124,[1]VL!$B$3:$E$524,4,0)</f>
        <v>1200</v>
      </c>
      <c r="G124" s="108">
        <f t="shared" ref="G124:G225" si="36">F124*E124</f>
        <v>72</v>
      </c>
    </row>
    <row r="125" spans="1:7" ht="18" customHeight="1" x14ac:dyDescent="0.3">
      <c r="A125" s="11"/>
      <c r="B125" s="10">
        <v>3</v>
      </c>
      <c r="C125" s="104" t="s">
        <v>312</v>
      </c>
      <c r="D125" s="105" t="s">
        <v>114</v>
      </c>
      <c r="E125" s="106">
        <v>0.06</v>
      </c>
      <c r="F125" s="256">
        <f>VLOOKUP(C125,[1]VL!$B$3:$E$524,4,0)</f>
        <v>1400</v>
      </c>
      <c r="G125" s="108">
        <f t="shared" si="36"/>
        <v>84</v>
      </c>
    </row>
    <row r="126" spans="1:7" ht="18" customHeight="1" x14ac:dyDescent="0.3">
      <c r="A126" s="11"/>
      <c r="B126" s="10">
        <v>4</v>
      </c>
      <c r="C126" s="104" t="s">
        <v>313</v>
      </c>
      <c r="D126" s="105" t="s">
        <v>114</v>
      </c>
      <c r="E126" s="106">
        <v>0.02</v>
      </c>
      <c r="F126" s="256">
        <f>VLOOKUP(C126,[1]VL!$B$3:$E$524,4,0)</f>
        <v>1500</v>
      </c>
      <c r="G126" s="108">
        <f t="shared" si="36"/>
        <v>30</v>
      </c>
    </row>
    <row r="127" spans="1:7" ht="18" customHeight="1" x14ac:dyDescent="0.3">
      <c r="A127" s="11"/>
      <c r="B127" s="10">
        <v>5</v>
      </c>
      <c r="C127" s="104" t="s">
        <v>314</v>
      </c>
      <c r="D127" s="105" t="s">
        <v>114</v>
      </c>
      <c r="E127" s="106">
        <v>0.04</v>
      </c>
      <c r="F127" s="256">
        <f>VLOOKUP(C127,[1]VL!$B$3:$E$524,4,0)</f>
        <v>1600</v>
      </c>
      <c r="G127" s="108">
        <f t="shared" si="36"/>
        <v>64</v>
      </c>
    </row>
    <row r="128" spans="1:7" ht="18" customHeight="1" x14ac:dyDescent="0.3">
      <c r="A128" s="11"/>
      <c r="B128" s="10">
        <v>6</v>
      </c>
      <c r="C128" s="104" t="s">
        <v>315</v>
      </c>
      <c r="D128" s="105" t="s">
        <v>114</v>
      </c>
      <c r="E128" s="106">
        <v>7.0000000000000007E-2</v>
      </c>
      <c r="F128" s="256">
        <f>VLOOKUP(C128,[1]VL!$B$3:$E$524,4,0)</f>
        <v>1400</v>
      </c>
      <c r="G128" s="108">
        <f t="shared" si="36"/>
        <v>98.000000000000014</v>
      </c>
    </row>
    <row r="129" spans="1:10" ht="18" customHeight="1" x14ac:dyDescent="0.3">
      <c r="A129" s="11"/>
      <c r="B129" s="10">
        <v>7</v>
      </c>
      <c r="C129" s="104" t="s">
        <v>316</v>
      </c>
      <c r="D129" s="105" t="s">
        <v>114</v>
      </c>
      <c r="E129" s="106">
        <v>0.03</v>
      </c>
      <c r="F129" s="256">
        <f>VLOOKUP(C129,[1]VL!$B$3:$E$524,4,0)</f>
        <v>800</v>
      </c>
      <c r="G129" s="108">
        <f t="shared" si="36"/>
        <v>24</v>
      </c>
    </row>
    <row r="130" spans="1:10" ht="18" customHeight="1" x14ac:dyDescent="0.3">
      <c r="A130" s="11"/>
      <c r="B130" s="10">
        <v>8</v>
      </c>
      <c r="C130" s="104" t="s">
        <v>115</v>
      </c>
      <c r="D130" s="105" t="s">
        <v>114</v>
      </c>
      <c r="E130" s="106">
        <v>0.06</v>
      </c>
      <c r="F130" s="256">
        <f>VLOOKUP(C130,[1]VL!$B$3:$E$524,4,0)</f>
        <v>600</v>
      </c>
      <c r="G130" s="108">
        <f t="shared" si="36"/>
        <v>36</v>
      </c>
    </row>
    <row r="131" spans="1:10" ht="18" customHeight="1" x14ac:dyDescent="0.3">
      <c r="A131" s="11"/>
      <c r="B131" s="10">
        <v>9</v>
      </c>
      <c r="C131" s="104" t="s">
        <v>142</v>
      </c>
      <c r="D131" s="105" t="s">
        <v>143</v>
      </c>
      <c r="E131" s="106">
        <v>0.1</v>
      </c>
      <c r="F131" s="256">
        <f>VLOOKUP(C131,[1]VL!$B$3:$E$524,4,0)</f>
        <v>135000</v>
      </c>
      <c r="G131" s="108">
        <f t="shared" si="36"/>
        <v>13500</v>
      </c>
      <c r="J131" s="9">
        <f>135000*50</f>
        <v>6750000</v>
      </c>
    </row>
    <row r="132" spans="1:10" ht="18" customHeight="1" x14ac:dyDescent="0.3">
      <c r="A132" s="11"/>
      <c r="B132" s="10">
        <v>10</v>
      </c>
      <c r="C132" s="104" t="s">
        <v>116</v>
      </c>
      <c r="D132" s="105" t="s">
        <v>114</v>
      </c>
      <c r="E132" s="106">
        <v>0.06</v>
      </c>
      <c r="F132" s="256">
        <f>VLOOKUP(C132,[1]VL!$B$3:$E$524,4,0)</f>
        <v>1360</v>
      </c>
      <c r="G132" s="108">
        <f t="shared" si="36"/>
        <v>81.599999999999994</v>
      </c>
    </row>
    <row r="133" spans="1:10" ht="18" customHeight="1" x14ac:dyDescent="0.3">
      <c r="A133" s="11"/>
      <c r="B133" s="10">
        <v>11</v>
      </c>
      <c r="C133" s="104" t="s">
        <v>117</v>
      </c>
      <c r="D133" s="105" t="s">
        <v>118</v>
      </c>
      <c r="E133" s="351">
        <v>10</v>
      </c>
      <c r="F133" s="256">
        <f>VLOOKUP(C133,[1]VL!$B$3:$E$524,4,0)</f>
        <v>35</v>
      </c>
      <c r="G133" s="108">
        <f t="shared" si="36"/>
        <v>350</v>
      </c>
    </row>
    <row r="134" spans="1:10" ht="18" customHeight="1" x14ac:dyDescent="0.3">
      <c r="A134" s="11"/>
      <c r="B134" s="10">
        <v>12</v>
      </c>
      <c r="C134" s="104" t="s">
        <v>119</v>
      </c>
      <c r="D134" s="105" t="s">
        <v>76</v>
      </c>
      <c r="E134" s="106">
        <v>0.01</v>
      </c>
      <c r="F134" s="256">
        <f>VLOOKUP(C134,[1]VL!$B$3:$E$524,4,0)</f>
        <v>120000</v>
      </c>
      <c r="G134" s="108">
        <f t="shared" si="36"/>
        <v>1200</v>
      </c>
    </row>
    <row r="135" spans="1:10" ht="18" customHeight="1" x14ac:dyDescent="0.3">
      <c r="A135" s="11"/>
      <c r="B135" s="10">
        <v>13</v>
      </c>
      <c r="C135" s="104" t="s">
        <v>120</v>
      </c>
      <c r="D135" s="105" t="s">
        <v>121</v>
      </c>
      <c r="E135" s="106">
        <v>5.0000000000000001E-3</v>
      </c>
      <c r="F135" s="256">
        <f>VLOOKUP(C135,[1]VL!$B$3:$E$524,4,0)</f>
        <v>10000</v>
      </c>
      <c r="G135" s="108">
        <f t="shared" si="36"/>
        <v>50</v>
      </c>
    </row>
    <row r="136" spans="1:10" ht="18" customHeight="1" x14ac:dyDescent="0.3">
      <c r="A136" s="11"/>
      <c r="B136" s="10">
        <v>14</v>
      </c>
      <c r="C136" s="104" t="s">
        <v>129</v>
      </c>
      <c r="D136" s="10" t="s">
        <v>76</v>
      </c>
      <c r="E136" s="106">
        <v>0.01</v>
      </c>
      <c r="F136" s="256">
        <f>VLOOKUP(C136,[1]VL!$B$3:$E$524,4,0)</f>
        <v>40000</v>
      </c>
      <c r="G136" s="108">
        <f t="shared" si="36"/>
        <v>400</v>
      </c>
    </row>
    <row r="137" spans="1:10" ht="18" customHeight="1" x14ac:dyDescent="0.3">
      <c r="A137" s="11">
        <v>2</v>
      </c>
      <c r="B137" s="11" t="s">
        <v>466</v>
      </c>
      <c r="C137" s="87" t="s">
        <v>4</v>
      </c>
      <c r="D137" s="10"/>
      <c r="E137" s="102"/>
      <c r="F137" s="107"/>
      <c r="G137" s="103">
        <f>SUM(G138:G149)*1.08</f>
        <v>65399.4</v>
      </c>
    </row>
    <row r="138" spans="1:10" ht="18" customHeight="1" x14ac:dyDescent="0.3">
      <c r="A138" s="11"/>
      <c r="B138" s="10">
        <v>1</v>
      </c>
      <c r="C138" s="104" t="s">
        <v>317</v>
      </c>
      <c r="D138" s="105" t="s">
        <v>114</v>
      </c>
      <c r="E138" s="106">
        <v>0.3</v>
      </c>
      <c r="F138" s="256">
        <f>VLOOKUP(C138,[1]VL!$B$3:$E$524,4,0)</f>
        <v>1800</v>
      </c>
      <c r="G138" s="108">
        <f t="shared" si="36"/>
        <v>540</v>
      </c>
    </row>
    <row r="139" spans="1:10" ht="18" customHeight="1" x14ac:dyDescent="0.3">
      <c r="A139" s="11"/>
      <c r="B139" s="10">
        <v>2</v>
      </c>
      <c r="C139" s="5" t="s">
        <v>352</v>
      </c>
      <c r="D139" s="105" t="s">
        <v>118</v>
      </c>
      <c r="E139" s="106">
        <v>2</v>
      </c>
      <c r="F139" s="256">
        <f>VLOOKUP(C139,[1]VL!$B$3:$E$524,4,0)</f>
        <v>1310</v>
      </c>
      <c r="G139" s="108">
        <f t="shared" si="36"/>
        <v>2620</v>
      </c>
    </row>
    <row r="140" spans="1:10" ht="18" customHeight="1" x14ac:dyDescent="0.3">
      <c r="A140" s="11"/>
      <c r="B140" s="10">
        <v>3</v>
      </c>
      <c r="C140" s="104" t="s">
        <v>318</v>
      </c>
      <c r="D140" s="105" t="s">
        <v>114</v>
      </c>
      <c r="E140" s="106">
        <v>0.15</v>
      </c>
      <c r="F140" s="256">
        <f>VLOOKUP(C140,[1]VL!$B$3:$E$524,4,0)</f>
        <v>160000</v>
      </c>
      <c r="G140" s="108">
        <f t="shared" si="36"/>
        <v>24000</v>
      </c>
    </row>
    <row r="141" spans="1:10" ht="18" customHeight="1" x14ac:dyDescent="0.3">
      <c r="A141" s="11"/>
      <c r="B141" s="10">
        <v>4</v>
      </c>
      <c r="C141" s="104" t="s">
        <v>319</v>
      </c>
      <c r="D141" s="105" t="s">
        <v>114</v>
      </c>
      <c r="E141" s="106">
        <v>0.2</v>
      </c>
      <c r="F141" s="256">
        <f>VLOOKUP(C141,[1]VL!$B$3:$E$524,4,0)</f>
        <v>45000</v>
      </c>
      <c r="G141" s="108">
        <f t="shared" si="36"/>
        <v>9000</v>
      </c>
    </row>
    <row r="142" spans="1:10" ht="18" customHeight="1" x14ac:dyDescent="0.3">
      <c r="A142" s="11"/>
      <c r="B142" s="10">
        <v>5</v>
      </c>
      <c r="C142" s="104" t="s">
        <v>320</v>
      </c>
      <c r="D142" s="105" t="s">
        <v>114</v>
      </c>
      <c r="E142" s="106">
        <v>0.1</v>
      </c>
      <c r="F142" s="256">
        <f>VLOOKUP(C142,[1]VL!$B$3:$E$524,4,0)</f>
        <v>3000</v>
      </c>
      <c r="G142" s="108">
        <f t="shared" si="36"/>
        <v>300</v>
      </c>
    </row>
    <row r="143" spans="1:10" ht="18" customHeight="1" x14ac:dyDescent="0.3">
      <c r="A143" s="11"/>
      <c r="B143" s="10">
        <v>6</v>
      </c>
      <c r="C143" s="104" t="s">
        <v>321</v>
      </c>
      <c r="D143" s="105" t="s">
        <v>114</v>
      </c>
      <c r="E143" s="106">
        <v>0.01</v>
      </c>
      <c r="F143" s="256">
        <f>VLOOKUP(C143,[1]VL!$B$3:$E$524,4,0)</f>
        <v>40000</v>
      </c>
      <c r="G143" s="108">
        <f t="shared" si="36"/>
        <v>400</v>
      </c>
    </row>
    <row r="144" spans="1:10" ht="18" customHeight="1" x14ac:dyDescent="0.3">
      <c r="A144" s="11"/>
      <c r="B144" s="10">
        <v>7</v>
      </c>
      <c r="C144" s="104" t="s">
        <v>322</v>
      </c>
      <c r="D144" s="105" t="s">
        <v>114</v>
      </c>
      <c r="E144" s="106">
        <v>0.1</v>
      </c>
      <c r="F144" s="256">
        <f>VLOOKUP(C144,[1]VL!$B$3:$E$524,4,0)</f>
        <v>1450</v>
      </c>
      <c r="G144" s="108">
        <f t="shared" si="36"/>
        <v>145</v>
      </c>
    </row>
    <row r="145" spans="1:7" ht="18" customHeight="1" x14ac:dyDescent="0.3">
      <c r="A145" s="11"/>
      <c r="B145" s="10">
        <v>8</v>
      </c>
      <c r="C145" s="104" t="s">
        <v>323</v>
      </c>
      <c r="D145" s="105" t="s">
        <v>65</v>
      </c>
      <c r="E145" s="106">
        <v>0.01</v>
      </c>
      <c r="F145" s="256">
        <f>VLOOKUP(C145,[1]VL!$B$3:$E$524,4,0)</f>
        <v>2200000</v>
      </c>
      <c r="G145" s="108">
        <f t="shared" si="36"/>
        <v>22000</v>
      </c>
    </row>
    <row r="146" spans="1:7" ht="18" customHeight="1" x14ac:dyDescent="0.3">
      <c r="A146" s="11"/>
      <c r="B146" s="10">
        <v>9</v>
      </c>
      <c r="C146" s="104" t="s">
        <v>144</v>
      </c>
      <c r="D146" s="105" t="s">
        <v>114</v>
      </c>
      <c r="E146" s="106">
        <v>0.3</v>
      </c>
      <c r="F146" s="256">
        <f>VLOOKUP(C146,[1]VL!$B$3:$E$524,4,0)</f>
        <v>2500</v>
      </c>
      <c r="G146" s="108">
        <f t="shared" si="36"/>
        <v>750</v>
      </c>
    </row>
    <row r="147" spans="1:7" ht="18" customHeight="1" x14ac:dyDescent="0.3">
      <c r="A147" s="11"/>
      <c r="B147" s="10">
        <v>10</v>
      </c>
      <c r="C147" s="104" t="s">
        <v>117</v>
      </c>
      <c r="D147" s="105" t="s">
        <v>118</v>
      </c>
      <c r="E147" s="351">
        <v>10</v>
      </c>
      <c r="F147" s="256">
        <f>VLOOKUP(C147,[1]VL!$B$3:$E$524,4,0)</f>
        <v>35</v>
      </c>
      <c r="G147" s="108">
        <f t="shared" si="36"/>
        <v>350</v>
      </c>
    </row>
    <row r="148" spans="1:7" ht="18" customHeight="1" x14ac:dyDescent="0.3">
      <c r="A148" s="11"/>
      <c r="B148" s="10">
        <v>11</v>
      </c>
      <c r="C148" s="104" t="s">
        <v>120</v>
      </c>
      <c r="D148" s="105" t="s">
        <v>121</v>
      </c>
      <c r="E148" s="106">
        <v>5.0000000000000001E-3</v>
      </c>
      <c r="F148" s="256">
        <f>VLOOKUP(C148,[1]VL!$B$3:$E$524,4,0)</f>
        <v>10000</v>
      </c>
      <c r="G148" s="108">
        <f t="shared" si="36"/>
        <v>50</v>
      </c>
    </row>
    <row r="149" spans="1:7" ht="18" customHeight="1" x14ac:dyDescent="0.3">
      <c r="A149" s="11"/>
      <c r="B149" s="10">
        <v>12</v>
      </c>
      <c r="C149" s="104" t="s">
        <v>129</v>
      </c>
      <c r="D149" s="10" t="s">
        <v>76</v>
      </c>
      <c r="E149" s="106">
        <v>0.01</v>
      </c>
      <c r="F149" s="256">
        <f>VLOOKUP(C149,[1]VL!$B$3:$E$524,4,0)</f>
        <v>40000</v>
      </c>
      <c r="G149" s="108">
        <f t="shared" si="36"/>
        <v>400</v>
      </c>
    </row>
    <row r="150" spans="1:7" ht="18" customHeight="1" x14ac:dyDescent="0.3">
      <c r="A150" s="11">
        <v>3</v>
      </c>
      <c r="B150" s="11" t="s">
        <v>386</v>
      </c>
      <c r="C150" s="88" t="s">
        <v>625</v>
      </c>
      <c r="D150" s="4"/>
      <c r="E150" s="109"/>
      <c r="F150" s="107"/>
      <c r="G150" s="103">
        <f>SUM(G151:G155)*1.08</f>
        <v>20536.2</v>
      </c>
    </row>
    <row r="151" spans="1:7" ht="18" customHeight="1" x14ac:dyDescent="0.3">
      <c r="A151" s="11"/>
      <c r="B151" s="10">
        <v>1</v>
      </c>
      <c r="C151" s="60" t="s">
        <v>277</v>
      </c>
      <c r="D151" s="61" t="s">
        <v>114</v>
      </c>
      <c r="E151" s="61">
        <v>0.01</v>
      </c>
      <c r="F151" s="256">
        <f>VLOOKUP(C151,[1]VL!$B$3:$E$524,4,0)</f>
        <v>21500</v>
      </c>
      <c r="G151" s="108">
        <f t="shared" si="36"/>
        <v>215</v>
      </c>
    </row>
    <row r="152" spans="1:7" ht="18" customHeight="1" x14ac:dyDescent="0.3">
      <c r="A152" s="11"/>
      <c r="B152" s="10"/>
      <c r="C152" s="60" t="s">
        <v>129</v>
      </c>
      <c r="D152" s="10" t="s">
        <v>76</v>
      </c>
      <c r="E152" s="61">
        <v>0.01</v>
      </c>
      <c r="F152" s="256">
        <f>VLOOKUP(C152,[1]VL!$B$3:$E$524,4,0)</f>
        <v>40000</v>
      </c>
      <c r="G152" s="108">
        <f t="shared" si="36"/>
        <v>400</v>
      </c>
    </row>
    <row r="153" spans="1:7" ht="18" customHeight="1" x14ac:dyDescent="0.3">
      <c r="A153" s="11"/>
      <c r="B153" s="10">
        <v>2</v>
      </c>
      <c r="C153" s="60" t="s">
        <v>640</v>
      </c>
      <c r="D153" s="61" t="s">
        <v>76</v>
      </c>
      <c r="E153" s="61">
        <v>0.05</v>
      </c>
      <c r="F153" s="256">
        <f>VLOOKUP(C153,[1]VL!$B$3:$E$524,4,0)</f>
        <v>360000</v>
      </c>
      <c r="G153" s="108">
        <f t="shared" si="36"/>
        <v>18000</v>
      </c>
    </row>
    <row r="154" spans="1:7" ht="18" customHeight="1" x14ac:dyDescent="0.3">
      <c r="A154" s="11"/>
      <c r="B154" s="10">
        <v>3</v>
      </c>
      <c r="C154" s="60" t="s">
        <v>120</v>
      </c>
      <c r="D154" s="61" t="s">
        <v>121</v>
      </c>
      <c r="E154" s="106">
        <v>5.0000000000000001E-3</v>
      </c>
      <c r="F154" s="256">
        <f>VLOOKUP(C154,[1]VL!$B$3:$E$524,4,0)</f>
        <v>10000</v>
      </c>
      <c r="G154" s="108">
        <f t="shared" si="36"/>
        <v>50</v>
      </c>
    </row>
    <row r="155" spans="1:7" ht="18" customHeight="1" x14ac:dyDescent="0.3">
      <c r="A155" s="11"/>
      <c r="B155" s="10">
        <v>4</v>
      </c>
      <c r="C155" s="60" t="s">
        <v>117</v>
      </c>
      <c r="D155" s="105" t="s">
        <v>118</v>
      </c>
      <c r="E155" s="351">
        <v>10</v>
      </c>
      <c r="F155" s="256">
        <f>VLOOKUP(C155,[1]VL!$B$3:$E$524,4,0)</f>
        <v>35</v>
      </c>
      <c r="G155" s="108">
        <f t="shared" si="36"/>
        <v>350</v>
      </c>
    </row>
    <row r="156" spans="1:7" ht="18" customHeight="1" x14ac:dyDescent="0.3">
      <c r="A156" s="11">
        <v>4</v>
      </c>
      <c r="B156" s="11" t="s">
        <v>553</v>
      </c>
      <c r="C156" s="452" t="s">
        <v>633</v>
      </c>
      <c r="D156" s="454"/>
      <c r="E156" s="109"/>
      <c r="F156" s="107"/>
      <c r="G156" s="103">
        <f>SUM(G157:G173)*1.08</f>
        <v>218879.28000000003</v>
      </c>
    </row>
    <row r="157" spans="1:7" ht="18" customHeight="1" x14ac:dyDescent="0.3">
      <c r="A157" s="11"/>
      <c r="B157" s="105">
        <v>1</v>
      </c>
      <c r="C157" s="104" t="s">
        <v>122</v>
      </c>
      <c r="D157" s="105" t="s">
        <v>114</v>
      </c>
      <c r="E157" s="110">
        <v>10</v>
      </c>
      <c r="F157" s="256">
        <f>VLOOKUP(C157,[1]VL!$B$3:$E$524,4,0)</f>
        <v>3700</v>
      </c>
      <c r="G157" s="108">
        <f t="shared" si="36"/>
        <v>37000</v>
      </c>
    </row>
    <row r="158" spans="1:7" ht="18" customHeight="1" x14ac:dyDescent="0.3">
      <c r="A158" s="11"/>
      <c r="B158" s="105">
        <v>2</v>
      </c>
      <c r="C158" s="104" t="s">
        <v>123</v>
      </c>
      <c r="D158" s="105" t="s">
        <v>114</v>
      </c>
      <c r="E158" s="110">
        <v>20</v>
      </c>
      <c r="F158" s="256">
        <f>VLOOKUP(C158,[1]VL!$B$3:$E$524,4,0)</f>
        <v>1400</v>
      </c>
      <c r="G158" s="108">
        <f t="shared" ref="G158:G196" si="37">F158*E158</f>
        <v>28000</v>
      </c>
    </row>
    <row r="159" spans="1:7" ht="18" customHeight="1" x14ac:dyDescent="0.3">
      <c r="A159" s="11"/>
      <c r="B159" s="105">
        <v>3</v>
      </c>
      <c r="C159" s="104" t="s">
        <v>117</v>
      </c>
      <c r="D159" s="105" t="s">
        <v>118</v>
      </c>
      <c r="E159" s="351">
        <v>10</v>
      </c>
      <c r="F159" s="256">
        <f>VLOOKUP(C159,[1]VL!$B$3:$E$524,4,0)</f>
        <v>35</v>
      </c>
      <c r="G159" s="108">
        <f t="shared" si="37"/>
        <v>350</v>
      </c>
    </row>
    <row r="160" spans="1:7" ht="18" customHeight="1" x14ac:dyDescent="0.3">
      <c r="A160" s="11"/>
      <c r="B160" s="105">
        <v>4</v>
      </c>
      <c r="C160" s="264" t="s">
        <v>324</v>
      </c>
      <c r="D160" s="105" t="s">
        <v>114</v>
      </c>
      <c r="E160" s="110">
        <v>0.1</v>
      </c>
      <c r="F160" s="256">
        <f>VLOOKUP(C160,[1]VL!$B$3:$E$524,4,0)</f>
        <v>6960</v>
      </c>
      <c r="G160" s="108">
        <f t="shared" si="37"/>
        <v>696</v>
      </c>
    </row>
    <row r="161" spans="1:7" ht="18" customHeight="1" x14ac:dyDescent="0.3">
      <c r="A161" s="11"/>
      <c r="B161" s="105">
        <v>5</v>
      </c>
      <c r="C161" s="265" t="s">
        <v>300</v>
      </c>
      <c r="D161" s="105" t="s">
        <v>114</v>
      </c>
      <c r="E161" s="110">
        <v>0.1</v>
      </c>
      <c r="F161" s="256">
        <f>VLOOKUP(C161,[1]VL!$B$3:$E$524,4,0)</f>
        <v>197000</v>
      </c>
      <c r="G161" s="108">
        <f t="shared" si="37"/>
        <v>19700</v>
      </c>
    </row>
    <row r="162" spans="1:7" ht="18" customHeight="1" x14ac:dyDescent="0.3">
      <c r="A162" s="11"/>
      <c r="B162" s="105">
        <v>6</v>
      </c>
      <c r="C162" s="104" t="s">
        <v>761</v>
      </c>
      <c r="D162" s="105" t="s">
        <v>118</v>
      </c>
      <c r="E162" s="110">
        <v>50</v>
      </c>
      <c r="F162" s="256">
        <f>VLOOKUP(C162,[1]VL!$B$3:$E$524,4,0)</f>
        <v>550</v>
      </c>
      <c r="G162" s="108">
        <f t="shared" si="37"/>
        <v>27500</v>
      </c>
    </row>
    <row r="163" spans="1:7" ht="18" customHeight="1" x14ac:dyDescent="0.3">
      <c r="A163" s="11"/>
      <c r="B163" s="105">
        <v>7</v>
      </c>
      <c r="C163" s="266" t="s">
        <v>301</v>
      </c>
      <c r="D163" s="105" t="s">
        <v>118</v>
      </c>
      <c r="E163" s="110">
        <v>25</v>
      </c>
      <c r="F163" s="256">
        <f>VLOOKUP(C163,[1]VL!$B$3:$E$524,4,0)</f>
        <v>780</v>
      </c>
      <c r="G163" s="108">
        <f t="shared" si="37"/>
        <v>19500</v>
      </c>
    </row>
    <row r="164" spans="1:7" ht="18" customHeight="1" x14ac:dyDescent="0.3">
      <c r="A164" s="11"/>
      <c r="B164" s="105">
        <v>8</v>
      </c>
      <c r="C164" s="266" t="s">
        <v>302</v>
      </c>
      <c r="D164" s="105" t="s">
        <v>114</v>
      </c>
      <c r="E164" s="110">
        <v>10</v>
      </c>
      <c r="F164" s="256">
        <f>VLOOKUP(C164,[1]VL!$B$3:$E$524,4,0)</f>
        <v>728</v>
      </c>
      <c r="G164" s="108">
        <f t="shared" si="37"/>
        <v>7280</v>
      </c>
    </row>
    <row r="165" spans="1:7" ht="18" customHeight="1" x14ac:dyDescent="0.3">
      <c r="A165" s="11"/>
      <c r="B165" s="105">
        <v>9</v>
      </c>
      <c r="C165" s="266" t="s">
        <v>303</v>
      </c>
      <c r="D165" s="105" t="s">
        <v>114</v>
      </c>
      <c r="E165" s="110">
        <v>20</v>
      </c>
      <c r="F165" s="256">
        <f>VLOOKUP(C165,[1]VL!$B$3:$E$524,4,0)</f>
        <v>776</v>
      </c>
      <c r="G165" s="108">
        <f t="shared" si="37"/>
        <v>15520</v>
      </c>
    </row>
    <row r="166" spans="1:7" ht="18" customHeight="1" x14ac:dyDescent="0.3">
      <c r="A166" s="11"/>
      <c r="B166" s="105">
        <v>10</v>
      </c>
      <c r="C166" s="266" t="s">
        <v>304</v>
      </c>
      <c r="D166" s="105" t="s">
        <v>114</v>
      </c>
      <c r="E166" s="110">
        <v>6</v>
      </c>
      <c r="F166" s="256">
        <f>VLOOKUP(C166,[1]VL!$B$3:$E$524,4,0)</f>
        <v>330</v>
      </c>
      <c r="G166" s="108">
        <f t="shared" si="37"/>
        <v>1980</v>
      </c>
    </row>
    <row r="167" spans="1:7" ht="18" customHeight="1" x14ac:dyDescent="0.3">
      <c r="A167" s="11"/>
      <c r="B167" s="105">
        <v>11</v>
      </c>
      <c r="C167" s="266" t="s">
        <v>305</v>
      </c>
      <c r="D167" s="105" t="s">
        <v>114</v>
      </c>
      <c r="E167" s="110">
        <v>0.05</v>
      </c>
      <c r="F167" s="256">
        <f>VLOOKUP(C167,[1]VL!$B$3:$E$524,4,0)</f>
        <v>64000</v>
      </c>
      <c r="G167" s="108">
        <f t="shared" si="37"/>
        <v>3200</v>
      </c>
    </row>
    <row r="168" spans="1:7" ht="18" customHeight="1" x14ac:dyDescent="0.3">
      <c r="A168" s="11"/>
      <c r="B168" s="105">
        <v>12</v>
      </c>
      <c r="C168" s="266" t="s">
        <v>306</v>
      </c>
      <c r="D168" s="105" t="s">
        <v>114</v>
      </c>
      <c r="E168" s="110">
        <v>0.05</v>
      </c>
      <c r="F168" s="256">
        <f>VLOOKUP(C168,[1]VL!$B$3:$E$524,4,0)</f>
        <v>12000</v>
      </c>
      <c r="G168" s="108">
        <f t="shared" si="37"/>
        <v>600</v>
      </c>
    </row>
    <row r="169" spans="1:7" ht="18" customHeight="1" x14ac:dyDescent="0.3">
      <c r="A169" s="11"/>
      <c r="B169" s="105">
        <v>13</v>
      </c>
      <c r="C169" s="111" t="s">
        <v>307</v>
      </c>
      <c r="D169" s="105" t="s">
        <v>114</v>
      </c>
      <c r="E169" s="110">
        <v>0.2</v>
      </c>
      <c r="F169" s="256">
        <f>VLOOKUP(C169,[1]VL!$B$3:$E$524,4,0)</f>
        <v>10000</v>
      </c>
      <c r="G169" s="108">
        <f t="shared" si="37"/>
        <v>2000</v>
      </c>
    </row>
    <row r="170" spans="1:7" ht="18" customHeight="1" x14ac:dyDescent="0.3">
      <c r="A170" s="11"/>
      <c r="B170" s="105">
        <v>14</v>
      </c>
      <c r="C170" s="111" t="s">
        <v>308</v>
      </c>
      <c r="D170" s="105" t="s">
        <v>114</v>
      </c>
      <c r="E170" s="110">
        <v>10</v>
      </c>
      <c r="F170" s="256">
        <f>VLOOKUP(C170,[1]VL!$B$3:$E$524,4,0)</f>
        <v>3834</v>
      </c>
      <c r="G170" s="108">
        <f t="shared" si="37"/>
        <v>38340</v>
      </c>
    </row>
    <row r="171" spans="1:7" ht="18" customHeight="1" x14ac:dyDescent="0.3">
      <c r="A171" s="11"/>
      <c r="B171" s="105">
        <v>15</v>
      </c>
      <c r="C171" s="104" t="s">
        <v>124</v>
      </c>
      <c r="D171" s="105" t="s">
        <v>125</v>
      </c>
      <c r="E171" s="110">
        <v>0.01</v>
      </c>
      <c r="F171" s="256">
        <f>VLOOKUP(C171,[1]VL!$B$3:$E$524,4,0)</f>
        <v>55000</v>
      </c>
      <c r="G171" s="108">
        <f t="shared" si="37"/>
        <v>550</v>
      </c>
    </row>
    <row r="172" spans="1:7" ht="18" customHeight="1" x14ac:dyDescent="0.3">
      <c r="A172" s="11"/>
      <c r="B172" s="105">
        <v>16</v>
      </c>
      <c r="C172" s="104" t="s">
        <v>120</v>
      </c>
      <c r="D172" s="105" t="s">
        <v>121</v>
      </c>
      <c r="E172" s="112">
        <v>5.0000000000000001E-3</v>
      </c>
      <c r="F172" s="256">
        <f>VLOOKUP(C172,[1]VL!$B$3:$E$524,4,0)</f>
        <v>10000</v>
      </c>
      <c r="G172" s="108">
        <f t="shared" si="37"/>
        <v>50</v>
      </c>
    </row>
    <row r="173" spans="1:7" ht="18" customHeight="1" x14ac:dyDescent="0.3">
      <c r="A173" s="11"/>
      <c r="B173" s="105">
        <v>17</v>
      </c>
      <c r="C173" s="113" t="s">
        <v>129</v>
      </c>
      <c r="D173" s="10" t="s">
        <v>76</v>
      </c>
      <c r="E173" s="110">
        <v>0.01</v>
      </c>
      <c r="F173" s="256">
        <f>VLOOKUP(C173,[1]VL!$B$3:$E$524,4,0)</f>
        <v>40000</v>
      </c>
      <c r="G173" s="108">
        <f t="shared" si="37"/>
        <v>400</v>
      </c>
    </row>
    <row r="174" spans="1:7" ht="18" customHeight="1" x14ac:dyDescent="0.3">
      <c r="A174" s="11">
        <v>5</v>
      </c>
      <c r="B174" s="11" t="s">
        <v>554</v>
      </c>
      <c r="C174" s="452" t="s">
        <v>635</v>
      </c>
      <c r="D174" s="453"/>
      <c r="E174" s="253"/>
      <c r="F174" s="254"/>
      <c r="G174" s="103">
        <f>SUM(G175:G196)*1.08</f>
        <v>231285.24000000002</v>
      </c>
    </row>
    <row r="175" spans="1:7" ht="18" customHeight="1" x14ac:dyDescent="0.3">
      <c r="A175" s="11"/>
      <c r="B175" s="241">
        <v>1</v>
      </c>
      <c r="C175" s="255" t="s">
        <v>122</v>
      </c>
      <c r="D175" s="241" t="s">
        <v>114</v>
      </c>
      <c r="E175" s="257">
        <v>10</v>
      </c>
      <c r="F175" s="256">
        <f>VLOOKUP(C175,[1]VL!$B$3:$E$524,4,0)</f>
        <v>3700</v>
      </c>
      <c r="G175" s="108">
        <f t="shared" si="37"/>
        <v>37000</v>
      </c>
    </row>
    <row r="176" spans="1:7" ht="18" customHeight="1" x14ac:dyDescent="0.3">
      <c r="A176" s="11"/>
      <c r="B176" s="241">
        <v>2</v>
      </c>
      <c r="C176" s="255" t="s">
        <v>123</v>
      </c>
      <c r="D176" s="241" t="s">
        <v>114</v>
      </c>
      <c r="E176" s="257">
        <v>20</v>
      </c>
      <c r="F176" s="256">
        <f>VLOOKUP(C176,[1]VL!$B$3:$E$524,4,0)</f>
        <v>1400</v>
      </c>
      <c r="G176" s="108">
        <f t="shared" si="37"/>
        <v>28000</v>
      </c>
    </row>
    <row r="177" spans="1:7" ht="18" customHeight="1" x14ac:dyDescent="0.3">
      <c r="A177" s="11"/>
      <c r="B177" s="241">
        <v>3</v>
      </c>
      <c r="C177" s="255" t="s">
        <v>117</v>
      </c>
      <c r="D177" s="105" t="s">
        <v>118</v>
      </c>
      <c r="E177" s="351">
        <v>10</v>
      </c>
      <c r="F177" s="256">
        <f>VLOOKUP(C177,[1]VL!$B$3:$E$524,4,0)</f>
        <v>35</v>
      </c>
      <c r="G177" s="108">
        <f t="shared" si="37"/>
        <v>350</v>
      </c>
    </row>
    <row r="178" spans="1:7" ht="18" customHeight="1" x14ac:dyDescent="0.35">
      <c r="A178" s="11"/>
      <c r="B178" s="241">
        <v>4</v>
      </c>
      <c r="C178" s="259" t="s">
        <v>137</v>
      </c>
      <c r="D178" s="241" t="s">
        <v>114</v>
      </c>
      <c r="E178" s="258">
        <v>0.1</v>
      </c>
      <c r="F178" s="256">
        <f>VLOOKUP(C178,[1]VL!$B$3:$E$524,4,0)</f>
        <v>700</v>
      </c>
      <c r="G178" s="108">
        <f t="shared" si="37"/>
        <v>70</v>
      </c>
    </row>
    <row r="179" spans="1:7" ht="18" customHeight="1" x14ac:dyDescent="0.4">
      <c r="A179" s="11"/>
      <c r="B179" s="241">
        <v>5</v>
      </c>
      <c r="C179" s="344" t="s">
        <v>539</v>
      </c>
      <c r="D179" s="241" t="s">
        <v>114</v>
      </c>
      <c r="E179" s="258">
        <v>0.1</v>
      </c>
      <c r="F179" s="256">
        <f>VLOOKUP(C179,[1]VL!$B$3:$E$524,4,0)</f>
        <v>2400</v>
      </c>
      <c r="G179" s="108">
        <f t="shared" si="37"/>
        <v>240</v>
      </c>
    </row>
    <row r="180" spans="1:7" ht="18" customHeight="1" x14ac:dyDescent="0.3">
      <c r="A180" s="11"/>
      <c r="B180" s="241">
        <v>6</v>
      </c>
      <c r="C180" s="175" t="s">
        <v>540</v>
      </c>
      <c r="D180" s="241" t="s">
        <v>114</v>
      </c>
      <c r="E180" s="258">
        <v>2</v>
      </c>
      <c r="F180" s="256">
        <f>VLOOKUP(C180,[1]VL!$B$3:$E$524,4,0)</f>
        <v>1600</v>
      </c>
      <c r="G180" s="108">
        <f t="shared" si="37"/>
        <v>3200</v>
      </c>
    </row>
    <row r="181" spans="1:7" ht="18" customHeight="1" x14ac:dyDescent="0.35">
      <c r="A181" s="11"/>
      <c r="B181" s="241">
        <v>7</v>
      </c>
      <c r="C181" s="259" t="s">
        <v>301</v>
      </c>
      <c r="D181" s="241" t="s">
        <v>118</v>
      </c>
      <c r="E181" s="258">
        <v>25</v>
      </c>
      <c r="F181" s="256">
        <f>VLOOKUP(C181,[1]VL!$B$3:$E$524,4,0)</f>
        <v>780</v>
      </c>
      <c r="G181" s="108">
        <f t="shared" si="37"/>
        <v>19500</v>
      </c>
    </row>
    <row r="182" spans="1:7" ht="18" customHeight="1" x14ac:dyDescent="0.35">
      <c r="A182" s="11"/>
      <c r="B182" s="241">
        <v>8</v>
      </c>
      <c r="C182" s="259" t="s">
        <v>302</v>
      </c>
      <c r="D182" s="241" t="s">
        <v>114</v>
      </c>
      <c r="E182" s="258">
        <v>10</v>
      </c>
      <c r="F182" s="256">
        <f>VLOOKUP(C182,[1]VL!$B$3:$E$524,4,0)</f>
        <v>728</v>
      </c>
      <c r="G182" s="108">
        <f t="shared" si="37"/>
        <v>7280</v>
      </c>
    </row>
    <row r="183" spans="1:7" ht="18" customHeight="1" x14ac:dyDescent="0.35">
      <c r="A183" s="11"/>
      <c r="B183" s="241">
        <v>9</v>
      </c>
      <c r="C183" s="259" t="s">
        <v>303</v>
      </c>
      <c r="D183" s="241" t="s">
        <v>114</v>
      </c>
      <c r="E183" s="258">
        <v>20</v>
      </c>
      <c r="F183" s="256">
        <f>VLOOKUP(C183,[1]VL!$B$3:$E$524,4,0)</f>
        <v>776</v>
      </c>
      <c r="G183" s="108">
        <f t="shared" si="37"/>
        <v>15520</v>
      </c>
    </row>
    <row r="184" spans="1:7" ht="18" customHeight="1" x14ac:dyDescent="0.35">
      <c r="A184" s="11"/>
      <c r="B184" s="241">
        <v>10</v>
      </c>
      <c r="C184" s="259" t="s">
        <v>541</v>
      </c>
      <c r="D184" s="241" t="s">
        <v>118</v>
      </c>
      <c r="E184" s="258">
        <v>6</v>
      </c>
      <c r="F184" s="256">
        <f>VLOOKUP(C184,[1]VL!$B$3:$E$524,4,0)</f>
        <v>10000</v>
      </c>
      <c r="G184" s="108">
        <f t="shared" si="37"/>
        <v>60000</v>
      </c>
    </row>
    <row r="185" spans="1:7" ht="18" customHeight="1" x14ac:dyDescent="0.35">
      <c r="A185" s="11"/>
      <c r="B185" s="241">
        <v>11</v>
      </c>
      <c r="C185" s="414" t="s">
        <v>305</v>
      </c>
      <c r="D185" s="241" t="s">
        <v>114</v>
      </c>
      <c r="E185" s="258">
        <v>0.05</v>
      </c>
      <c r="F185" s="256">
        <f>VLOOKUP(C185,[1]VL!$B$3:$E$524,4,0)</f>
        <v>64000</v>
      </c>
      <c r="G185" s="108">
        <f t="shared" si="37"/>
        <v>3200</v>
      </c>
    </row>
    <row r="186" spans="1:7" ht="18" customHeight="1" x14ac:dyDescent="0.35">
      <c r="A186" s="11"/>
      <c r="B186" s="241">
        <v>12</v>
      </c>
      <c r="C186" s="259" t="s">
        <v>542</v>
      </c>
      <c r="D186" s="241" t="s">
        <v>114</v>
      </c>
      <c r="E186" s="258">
        <v>0.05</v>
      </c>
      <c r="F186" s="256">
        <f>VLOOKUP(C186,[1]VL!$B$3:$E$524,4,0)</f>
        <v>800</v>
      </c>
      <c r="G186" s="108">
        <f t="shared" si="37"/>
        <v>40</v>
      </c>
    </row>
    <row r="187" spans="1:7" ht="18" customHeight="1" x14ac:dyDescent="0.35">
      <c r="A187" s="11"/>
      <c r="B187" s="241">
        <v>13</v>
      </c>
      <c r="C187" s="259" t="s">
        <v>543</v>
      </c>
      <c r="D187" s="241" t="s">
        <v>114</v>
      </c>
      <c r="E187" s="258">
        <v>0.2</v>
      </c>
      <c r="F187" s="256">
        <f>VLOOKUP(C187,[1]VL!$B$3:$E$524,4,0)</f>
        <v>1200</v>
      </c>
      <c r="G187" s="108">
        <f t="shared" si="37"/>
        <v>240</v>
      </c>
    </row>
    <row r="188" spans="1:7" ht="18" customHeight="1" x14ac:dyDescent="0.35">
      <c r="A188" s="11"/>
      <c r="B188" s="241">
        <v>14</v>
      </c>
      <c r="C188" s="259" t="s">
        <v>308</v>
      </c>
      <c r="D188" s="241" t="s">
        <v>114</v>
      </c>
      <c r="E188" s="258">
        <v>10</v>
      </c>
      <c r="F188" s="256">
        <f>VLOOKUP(C188,[1]VL!$B$3:$E$524,4,0)</f>
        <v>3834</v>
      </c>
      <c r="G188" s="108">
        <f t="shared" si="37"/>
        <v>38340</v>
      </c>
    </row>
    <row r="189" spans="1:7" ht="18" customHeight="1" x14ac:dyDescent="0.3">
      <c r="A189" s="11"/>
      <c r="B189" s="241">
        <v>15</v>
      </c>
      <c r="C189" s="255" t="s">
        <v>124</v>
      </c>
      <c r="D189" s="241" t="s">
        <v>125</v>
      </c>
      <c r="E189" s="258">
        <v>0.01</v>
      </c>
      <c r="F189" s="256">
        <f>VLOOKUP(C189,[1]VL!$B$3:$E$524,4,0)</f>
        <v>55000</v>
      </c>
      <c r="G189" s="108">
        <f t="shared" si="37"/>
        <v>550</v>
      </c>
    </row>
    <row r="190" spans="1:7" ht="18" customHeight="1" x14ac:dyDescent="0.3">
      <c r="A190" s="11"/>
      <c r="B190" s="241">
        <v>16</v>
      </c>
      <c r="C190" s="255" t="s">
        <v>120</v>
      </c>
      <c r="D190" s="241" t="s">
        <v>121</v>
      </c>
      <c r="E190" s="260">
        <v>5.0000000000000001E-3</v>
      </c>
      <c r="F190" s="256">
        <f>VLOOKUP(C190,[1]VL!$B$3:$E$524,4,0)</f>
        <v>10000</v>
      </c>
      <c r="G190" s="108">
        <f t="shared" si="37"/>
        <v>50</v>
      </c>
    </row>
    <row r="191" spans="1:7" ht="18" customHeight="1" x14ac:dyDescent="0.3">
      <c r="A191" s="11"/>
      <c r="B191" s="241">
        <v>17</v>
      </c>
      <c r="C191" s="72" t="s">
        <v>129</v>
      </c>
      <c r="D191" s="18" t="s">
        <v>544</v>
      </c>
      <c r="E191" s="258">
        <v>0.01</v>
      </c>
      <c r="F191" s="256">
        <f>VLOOKUP(C191,[1]VL!$B$3:$E$524,4,0)</f>
        <v>40000</v>
      </c>
      <c r="G191" s="108">
        <f t="shared" si="37"/>
        <v>400</v>
      </c>
    </row>
    <row r="192" spans="1:7" ht="18" customHeight="1" x14ac:dyDescent="0.35">
      <c r="A192" s="11"/>
      <c r="B192" s="241">
        <v>18</v>
      </c>
      <c r="C192" s="261" t="s">
        <v>545</v>
      </c>
      <c r="D192" s="18" t="s">
        <v>114</v>
      </c>
      <c r="E192" s="258">
        <v>0.01</v>
      </c>
      <c r="F192" s="256">
        <f>VLOOKUP(C192,[1]VL!$B$3:$E$524,4,0)</f>
        <v>9000</v>
      </c>
      <c r="G192" s="108">
        <f t="shared" si="37"/>
        <v>90</v>
      </c>
    </row>
    <row r="193" spans="1:7" ht="18" customHeight="1" x14ac:dyDescent="0.3">
      <c r="A193" s="11"/>
      <c r="B193" s="241">
        <v>19</v>
      </c>
      <c r="C193" s="72" t="s">
        <v>546</v>
      </c>
      <c r="D193" s="18" t="s">
        <v>114</v>
      </c>
      <c r="E193" s="258">
        <v>0.01</v>
      </c>
      <c r="F193" s="256">
        <f>VLOOKUP(C193,[1]VL!$B$3:$E$524,4,0)</f>
        <v>1400</v>
      </c>
      <c r="G193" s="108">
        <f t="shared" si="37"/>
        <v>14</v>
      </c>
    </row>
    <row r="194" spans="1:7" ht="18" customHeight="1" x14ac:dyDescent="0.3">
      <c r="A194" s="11"/>
      <c r="B194" s="241">
        <v>20</v>
      </c>
      <c r="C194" s="72" t="s">
        <v>547</v>
      </c>
      <c r="D194" s="18" t="s">
        <v>114</v>
      </c>
      <c r="E194" s="258">
        <v>0.01</v>
      </c>
      <c r="F194" s="256">
        <f>VLOOKUP(C194,[1]VL!$B$3:$E$524,4,0)</f>
        <v>3000</v>
      </c>
      <c r="G194" s="108">
        <f t="shared" si="37"/>
        <v>30</v>
      </c>
    </row>
    <row r="195" spans="1:7" ht="18" customHeight="1" x14ac:dyDescent="0.3">
      <c r="A195" s="11"/>
      <c r="B195" s="241">
        <v>21</v>
      </c>
      <c r="C195" s="72" t="s">
        <v>548</v>
      </c>
      <c r="D195" s="18" t="s">
        <v>114</v>
      </c>
      <c r="E195" s="258">
        <v>0.01</v>
      </c>
      <c r="F195" s="256">
        <f>VLOOKUP(C195,[1]VL!$B$3:$E$524,4,0)</f>
        <v>1500</v>
      </c>
      <c r="G195" s="108">
        <f t="shared" si="37"/>
        <v>15</v>
      </c>
    </row>
    <row r="196" spans="1:7" ht="18" customHeight="1" x14ac:dyDescent="0.3">
      <c r="A196" s="11"/>
      <c r="B196" s="241">
        <v>22</v>
      </c>
      <c r="C196" s="262" t="s">
        <v>549</v>
      </c>
      <c r="D196" s="18" t="s">
        <v>114</v>
      </c>
      <c r="E196" s="258">
        <v>0.01</v>
      </c>
      <c r="F196" s="256">
        <f>VLOOKUP(C196,[1]VL!$B$3:$E$524,4,0)</f>
        <v>2400</v>
      </c>
      <c r="G196" s="108">
        <f t="shared" si="37"/>
        <v>24</v>
      </c>
    </row>
    <row r="197" spans="1:7" ht="18" customHeight="1" x14ac:dyDescent="0.3">
      <c r="A197" s="11">
        <v>6</v>
      </c>
      <c r="B197" s="100" t="s">
        <v>555</v>
      </c>
      <c r="C197" s="114" t="s">
        <v>636</v>
      </c>
      <c r="D197" s="526" t="s">
        <v>574</v>
      </c>
      <c r="E197" s="527"/>
      <c r="F197" s="528"/>
      <c r="G197" s="115">
        <f>G156</f>
        <v>218879.28000000003</v>
      </c>
    </row>
    <row r="198" spans="1:7" ht="18" customHeight="1" x14ac:dyDescent="0.3">
      <c r="A198" s="11">
        <v>7</v>
      </c>
      <c r="B198" s="100" t="s">
        <v>556</v>
      </c>
      <c r="C198" s="114" t="s">
        <v>637</v>
      </c>
      <c r="D198" s="526" t="s">
        <v>575</v>
      </c>
      <c r="E198" s="527"/>
      <c r="F198" s="528"/>
      <c r="G198" s="115">
        <f>G174</f>
        <v>231285.24000000002</v>
      </c>
    </row>
    <row r="199" spans="1:7" ht="18" customHeight="1" x14ac:dyDescent="0.3">
      <c r="A199" s="11">
        <v>8</v>
      </c>
      <c r="B199" s="11" t="s">
        <v>403</v>
      </c>
      <c r="C199" s="88" t="s">
        <v>477</v>
      </c>
      <c r="D199" s="4"/>
      <c r="E199" s="109"/>
      <c r="F199" s="107"/>
      <c r="G199" s="103">
        <f>SUM(G200:G210)*1.08</f>
        <v>213792.48</v>
      </c>
    </row>
    <row r="200" spans="1:7" ht="18" customHeight="1" x14ac:dyDescent="0.3">
      <c r="A200" s="11"/>
      <c r="B200" s="10">
        <v>1</v>
      </c>
      <c r="C200" s="104" t="s">
        <v>761</v>
      </c>
      <c r="D200" s="105" t="s">
        <v>118</v>
      </c>
      <c r="E200" s="112">
        <v>4</v>
      </c>
      <c r="F200" s="256">
        <f>VLOOKUP(C200,[1]VL!$B$3:$E$524,4,0)</f>
        <v>550</v>
      </c>
      <c r="G200" s="108">
        <f t="shared" si="36"/>
        <v>2200</v>
      </c>
    </row>
    <row r="201" spans="1:7" ht="18" customHeight="1" x14ac:dyDescent="0.3">
      <c r="A201" s="11"/>
      <c r="B201" s="10">
        <v>2</v>
      </c>
      <c r="C201" s="104" t="s">
        <v>126</v>
      </c>
      <c r="D201" s="105" t="s">
        <v>114</v>
      </c>
      <c r="E201" s="112">
        <v>0.2</v>
      </c>
      <c r="F201" s="256">
        <f>VLOOKUP(C201,[1]VL!$B$3:$E$524,4,0)</f>
        <v>980</v>
      </c>
      <c r="G201" s="108">
        <f t="shared" si="36"/>
        <v>196</v>
      </c>
    </row>
    <row r="202" spans="1:7" ht="18" customHeight="1" x14ac:dyDescent="0.3">
      <c r="A202" s="11"/>
      <c r="B202" s="10">
        <v>3</v>
      </c>
      <c r="C202" s="104" t="s">
        <v>127</v>
      </c>
      <c r="D202" s="105" t="s">
        <v>118</v>
      </c>
      <c r="E202" s="112">
        <v>150</v>
      </c>
      <c r="F202" s="256">
        <f>VLOOKUP(C202,[1]VL!$B$3:$E$524,4,0)</f>
        <v>700</v>
      </c>
      <c r="G202" s="108">
        <f t="shared" si="36"/>
        <v>105000</v>
      </c>
    </row>
    <row r="203" spans="1:7" ht="18" customHeight="1" x14ac:dyDescent="0.3">
      <c r="A203" s="11"/>
      <c r="B203" s="10">
        <v>4</v>
      </c>
      <c r="C203" s="72" t="s">
        <v>162</v>
      </c>
      <c r="D203" s="73" t="s">
        <v>146</v>
      </c>
      <c r="E203" s="112">
        <v>30</v>
      </c>
      <c r="F203" s="256">
        <f>VLOOKUP(C203,[1]VL!$B$3:$E$524,4,0)</f>
        <v>1600</v>
      </c>
      <c r="G203" s="108">
        <f t="shared" si="36"/>
        <v>48000</v>
      </c>
    </row>
    <row r="204" spans="1:7" ht="18" customHeight="1" x14ac:dyDescent="0.3">
      <c r="A204" s="11"/>
      <c r="B204" s="10">
        <v>5</v>
      </c>
      <c r="C204" s="104" t="s">
        <v>325</v>
      </c>
      <c r="D204" s="105" t="s">
        <v>114</v>
      </c>
      <c r="E204" s="112">
        <v>20</v>
      </c>
      <c r="F204" s="256">
        <f>VLOOKUP(C204,[1]VL!$B$3:$E$524,4,0)</f>
        <v>540</v>
      </c>
      <c r="G204" s="108">
        <f t="shared" si="36"/>
        <v>10800</v>
      </c>
    </row>
    <row r="205" spans="1:7" ht="18" customHeight="1" x14ac:dyDescent="0.3">
      <c r="A205" s="11"/>
      <c r="B205" s="10">
        <v>6</v>
      </c>
      <c r="C205" s="104" t="s">
        <v>128</v>
      </c>
      <c r="D205" s="105" t="s">
        <v>118</v>
      </c>
      <c r="E205" s="112">
        <v>0.4</v>
      </c>
      <c r="F205" s="256">
        <f>VLOOKUP(C205,[1]VL!$B$3:$E$524,4,0)</f>
        <v>2400</v>
      </c>
      <c r="G205" s="108">
        <f t="shared" si="36"/>
        <v>960</v>
      </c>
    </row>
    <row r="206" spans="1:7" ht="18" customHeight="1" x14ac:dyDescent="0.3">
      <c r="A206" s="11"/>
      <c r="B206" s="10">
        <v>7</v>
      </c>
      <c r="C206" s="104" t="s">
        <v>117</v>
      </c>
      <c r="D206" s="105" t="s">
        <v>118</v>
      </c>
      <c r="E206" s="351">
        <v>10</v>
      </c>
      <c r="F206" s="256">
        <f>VLOOKUP(C206,[1]VL!$B$3:$E$524,4,0)</f>
        <v>35</v>
      </c>
      <c r="G206" s="108">
        <f t="shared" si="36"/>
        <v>350</v>
      </c>
    </row>
    <row r="207" spans="1:7" ht="18" customHeight="1" x14ac:dyDescent="0.3">
      <c r="A207" s="11"/>
      <c r="B207" s="10">
        <v>8</v>
      </c>
      <c r="C207" s="104" t="s">
        <v>130</v>
      </c>
      <c r="D207" s="105" t="s">
        <v>76</v>
      </c>
      <c r="E207" s="112">
        <v>0.1</v>
      </c>
      <c r="F207" s="256">
        <f>VLOOKUP(C207,[1]VL!$B$3:$E$524,4,0)</f>
        <v>120000</v>
      </c>
      <c r="G207" s="108">
        <f t="shared" si="36"/>
        <v>12000</v>
      </c>
    </row>
    <row r="208" spans="1:7" ht="18" customHeight="1" x14ac:dyDescent="0.3">
      <c r="A208" s="11"/>
      <c r="B208" s="10">
        <v>9</v>
      </c>
      <c r="C208" s="60" t="s">
        <v>640</v>
      </c>
      <c r="D208" s="105" t="s">
        <v>76</v>
      </c>
      <c r="E208" s="61">
        <v>0.05</v>
      </c>
      <c r="F208" s="256">
        <f>VLOOKUP(C208,[1]VL!$B$3:$E$524,4,0)</f>
        <v>360000</v>
      </c>
      <c r="G208" s="108">
        <f t="shared" si="36"/>
        <v>18000</v>
      </c>
    </row>
    <row r="209" spans="1:7" ht="18" customHeight="1" x14ac:dyDescent="0.3">
      <c r="A209" s="11"/>
      <c r="B209" s="10">
        <v>10</v>
      </c>
      <c r="C209" s="104" t="s">
        <v>120</v>
      </c>
      <c r="D209" s="105" t="s">
        <v>121</v>
      </c>
      <c r="E209" s="106">
        <v>5.0000000000000001E-3</v>
      </c>
      <c r="F209" s="256">
        <f>VLOOKUP(C209,[1]VL!$B$3:$E$524,4,0)</f>
        <v>10000</v>
      </c>
      <c r="G209" s="108">
        <f t="shared" si="36"/>
        <v>50</v>
      </c>
    </row>
    <row r="210" spans="1:7" ht="18" customHeight="1" x14ac:dyDescent="0.3">
      <c r="A210" s="11"/>
      <c r="B210" s="10">
        <v>11</v>
      </c>
      <c r="C210" s="104" t="s">
        <v>129</v>
      </c>
      <c r="D210" s="10" t="s">
        <v>76</v>
      </c>
      <c r="E210" s="112">
        <v>0.01</v>
      </c>
      <c r="F210" s="256">
        <f>VLOOKUP(C210,[1]VL!$B$3:$E$524,4,0)</f>
        <v>40000</v>
      </c>
      <c r="G210" s="108">
        <f t="shared" si="36"/>
        <v>400</v>
      </c>
    </row>
    <row r="211" spans="1:7" ht="18" customHeight="1" x14ac:dyDescent="0.3">
      <c r="A211" s="11">
        <v>9</v>
      </c>
      <c r="B211" s="11" t="s">
        <v>5</v>
      </c>
      <c r="C211" s="12" t="s">
        <v>326</v>
      </c>
      <c r="D211" s="10"/>
      <c r="E211" s="102"/>
      <c r="F211" s="107"/>
      <c r="G211" s="103">
        <f>SUM(G212:G225)*1.08</f>
        <v>172352.88</v>
      </c>
    </row>
    <row r="212" spans="1:7" ht="18" customHeight="1" x14ac:dyDescent="0.3">
      <c r="A212" s="11"/>
      <c r="B212" s="10">
        <v>1</v>
      </c>
      <c r="C212" s="104" t="s">
        <v>126</v>
      </c>
      <c r="D212" s="105" t="s">
        <v>114</v>
      </c>
      <c r="E212" s="102">
        <v>0.3</v>
      </c>
      <c r="F212" s="256">
        <f>VLOOKUP(C212,[1]VL!$B$3:$E$524,4,0)</f>
        <v>980</v>
      </c>
      <c r="G212" s="108">
        <f t="shared" si="36"/>
        <v>294</v>
      </c>
    </row>
    <row r="213" spans="1:7" ht="18" customHeight="1" x14ac:dyDescent="0.3">
      <c r="A213" s="11"/>
      <c r="B213" s="10">
        <v>2</v>
      </c>
      <c r="C213" s="5" t="s">
        <v>352</v>
      </c>
      <c r="D213" s="116" t="s">
        <v>146</v>
      </c>
      <c r="E213" s="102">
        <v>25</v>
      </c>
      <c r="F213" s="256">
        <f>VLOOKUP(C213,[1]VL!$B$3:$E$524,4,0)</f>
        <v>1310</v>
      </c>
      <c r="G213" s="108">
        <f t="shared" si="36"/>
        <v>32750</v>
      </c>
    </row>
    <row r="214" spans="1:7" ht="18" customHeight="1" x14ac:dyDescent="0.3">
      <c r="A214" s="11"/>
      <c r="B214" s="10">
        <v>3</v>
      </c>
      <c r="C214" s="113" t="s">
        <v>327</v>
      </c>
      <c r="D214" s="116" t="s">
        <v>145</v>
      </c>
      <c r="E214" s="102">
        <v>10.199999999999999</v>
      </c>
      <c r="F214" s="256">
        <f>VLOOKUP(C214,[1]VL!$B$3:$E$524,4,0)</f>
        <v>750</v>
      </c>
      <c r="G214" s="108">
        <f t="shared" si="36"/>
        <v>7649.9999999999991</v>
      </c>
    </row>
    <row r="215" spans="1:7" ht="18" customHeight="1" x14ac:dyDescent="0.3">
      <c r="A215" s="11"/>
      <c r="B215" s="10">
        <v>4</v>
      </c>
      <c r="C215" s="113" t="s">
        <v>328</v>
      </c>
      <c r="D215" s="116" t="s">
        <v>145</v>
      </c>
      <c r="E215" s="102">
        <v>0.8</v>
      </c>
      <c r="F215" s="256">
        <f>VLOOKUP(C215,[1]VL!$B$3:$E$524,4,0)</f>
        <v>940</v>
      </c>
      <c r="G215" s="108">
        <f t="shared" si="36"/>
        <v>752</v>
      </c>
    </row>
    <row r="216" spans="1:7" ht="18" customHeight="1" x14ac:dyDescent="0.3">
      <c r="A216" s="11"/>
      <c r="B216" s="10">
        <v>5</v>
      </c>
      <c r="C216" s="113" t="s">
        <v>329</v>
      </c>
      <c r="D216" s="116" t="s">
        <v>146</v>
      </c>
      <c r="E216" s="102">
        <v>1</v>
      </c>
      <c r="F216" s="256">
        <f>VLOOKUP(C216,[1]VL!$B$3:$E$524,4,0)</f>
        <v>160</v>
      </c>
      <c r="G216" s="108">
        <f t="shared" si="36"/>
        <v>160</v>
      </c>
    </row>
    <row r="217" spans="1:7" ht="18" customHeight="1" x14ac:dyDescent="0.3">
      <c r="A217" s="11"/>
      <c r="B217" s="10">
        <v>6</v>
      </c>
      <c r="C217" s="113" t="s">
        <v>131</v>
      </c>
      <c r="D217" s="116" t="s">
        <v>145</v>
      </c>
      <c r="E217" s="102">
        <v>0.2</v>
      </c>
      <c r="F217" s="256">
        <f>VLOOKUP(C217,[1]VL!$B$3:$E$524,4,0)</f>
        <v>25000</v>
      </c>
      <c r="G217" s="108">
        <f t="shared" si="36"/>
        <v>5000</v>
      </c>
    </row>
    <row r="218" spans="1:7" ht="18" customHeight="1" x14ac:dyDescent="0.3">
      <c r="A218" s="11"/>
      <c r="B218" s="10">
        <v>7</v>
      </c>
      <c r="C218" s="113" t="s">
        <v>132</v>
      </c>
      <c r="D218" s="116" t="s">
        <v>145</v>
      </c>
      <c r="E218" s="102">
        <v>0.9</v>
      </c>
      <c r="F218" s="256">
        <f>VLOOKUP(C218,[1]VL!$B$3:$E$524,4,0)</f>
        <v>32000</v>
      </c>
      <c r="G218" s="108">
        <f t="shared" si="36"/>
        <v>28800</v>
      </c>
    </row>
    <row r="219" spans="1:7" ht="18" customHeight="1" x14ac:dyDescent="0.3">
      <c r="A219" s="11"/>
      <c r="B219" s="10">
        <v>8</v>
      </c>
      <c r="C219" s="104" t="s">
        <v>761</v>
      </c>
      <c r="D219" s="116" t="s">
        <v>146</v>
      </c>
      <c r="E219" s="102">
        <v>0.9</v>
      </c>
      <c r="F219" s="256">
        <f>VLOOKUP(C219,[1]VL!$B$3:$E$524,4,0)</f>
        <v>550</v>
      </c>
      <c r="G219" s="108">
        <f t="shared" si="36"/>
        <v>495</v>
      </c>
    </row>
    <row r="220" spans="1:7" ht="18" customHeight="1" x14ac:dyDescent="0.3">
      <c r="A220" s="11"/>
      <c r="B220" s="10">
        <v>9</v>
      </c>
      <c r="C220" s="113" t="s">
        <v>147</v>
      </c>
      <c r="D220" s="116" t="s">
        <v>145</v>
      </c>
      <c r="E220" s="102">
        <v>0.5</v>
      </c>
      <c r="F220" s="256">
        <f>VLOOKUP(C220,[1]VL!$B$3:$E$524,4,0)</f>
        <v>1770</v>
      </c>
      <c r="G220" s="108">
        <f t="shared" si="36"/>
        <v>885</v>
      </c>
    </row>
    <row r="221" spans="1:7" ht="18" customHeight="1" x14ac:dyDescent="0.3">
      <c r="A221" s="11"/>
      <c r="B221" s="10">
        <v>10</v>
      </c>
      <c r="C221" s="113" t="s">
        <v>330</v>
      </c>
      <c r="D221" s="116" t="s">
        <v>145</v>
      </c>
      <c r="E221" s="102">
        <v>0.5</v>
      </c>
      <c r="F221" s="256">
        <f>VLOOKUP(C221,[1]VL!$B$3:$E$524,4,0)</f>
        <v>128000</v>
      </c>
      <c r="G221" s="108">
        <f t="shared" si="36"/>
        <v>64000</v>
      </c>
    </row>
    <row r="222" spans="1:7" ht="18" customHeight="1" x14ac:dyDescent="0.3">
      <c r="A222" s="11"/>
      <c r="B222" s="10">
        <v>11</v>
      </c>
      <c r="C222" s="113" t="s">
        <v>117</v>
      </c>
      <c r="D222" s="105" t="s">
        <v>118</v>
      </c>
      <c r="E222" s="351">
        <v>10</v>
      </c>
      <c r="F222" s="256">
        <f>VLOOKUP(C222,[1]VL!$B$3:$E$524,4,0)</f>
        <v>35</v>
      </c>
      <c r="G222" s="108">
        <f t="shared" si="36"/>
        <v>350</v>
      </c>
    </row>
    <row r="223" spans="1:7" ht="18" customHeight="1" x14ac:dyDescent="0.3">
      <c r="A223" s="11"/>
      <c r="B223" s="10">
        <v>12</v>
      </c>
      <c r="C223" s="60" t="s">
        <v>640</v>
      </c>
      <c r="D223" s="116" t="s">
        <v>76</v>
      </c>
      <c r="E223" s="61">
        <v>0.05</v>
      </c>
      <c r="F223" s="256">
        <f>VLOOKUP(C223,[1]VL!$B$3:$E$524,4,0)</f>
        <v>360000</v>
      </c>
      <c r="G223" s="108">
        <f t="shared" si="36"/>
        <v>18000</v>
      </c>
    </row>
    <row r="224" spans="1:7" ht="18" customHeight="1" x14ac:dyDescent="0.3">
      <c r="A224" s="11"/>
      <c r="B224" s="10">
        <v>13</v>
      </c>
      <c r="C224" s="113" t="s">
        <v>129</v>
      </c>
      <c r="D224" s="10" t="s">
        <v>76</v>
      </c>
      <c r="E224" s="102">
        <v>0.01</v>
      </c>
      <c r="F224" s="256">
        <f>VLOOKUP(C224,[1]VL!$B$3:$E$524,4,0)</f>
        <v>40000</v>
      </c>
      <c r="G224" s="108">
        <f t="shared" si="36"/>
        <v>400</v>
      </c>
    </row>
    <row r="225" spans="1:7" ht="18" customHeight="1" x14ac:dyDescent="0.3">
      <c r="A225" s="11"/>
      <c r="B225" s="10">
        <v>14</v>
      </c>
      <c r="C225" s="113" t="s">
        <v>120</v>
      </c>
      <c r="D225" s="116" t="s">
        <v>121</v>
      </c>
      <c r="E225" s="106">
        <v>5.0000000000000001E-3</v>
      </c>
      <c r="F225" s="256">
        <f>VLOOKUP(C225,[1]VL!$B$3:$E$524,4,0)</f>
        <v>10000</v>
      </c>
      <c r="G225" s="108">
        <f t="shared" si="36"/>
        <v>50</v>
      </c>
    </row>
    <row r="226" spans="1:7" ht="18" customHeight="1" x14ac:dyDescent="0.3">
      <c r="A226" s="11">
        <v>10</v>
      </c>
      <c r="B226" s="11" t="s">
        <v>291</v>
      </c>
      <c r="C226" s="88" t="s">
        <v>12</v>
      </c>
      <c r="D226" s="4"/>
      <c r="E226" s="109"/>
      <c r="F226" s="107"/>
      <c r="G226" s="103">
        <f>SUM(G227:G239)*1.08</f>
        <v>33656.58</v>
      </c>
    </row>
    <row r="227" spans="1:7" ht="18" customHeight="1" x14ac:dyDescent="0.3">
      <c r="A227" s="11"/>
      <c r="B227" s="10">
        <v>1</v>
      </c>
      <c r="C227" s="5" t="s">
        <v>352</v>
      </c>
      <c r="D227" s="105" t="s">
        <v>118</v>
      </c>
      <c r="E227" s="106">
        <v>5</v>
      </c>
      <c r="F227" s="256">
        <f>VLOOKUP(C227,[1]VL!$B$3:$E$524,4,0)</f>
        <v>1310</v>
      </c>
      <c r="G227" s="108">
        <f t="shared" ref="G227:G290" si="38">F227*E227</f>
        <v>6550</v>
      </c>
    </row>
    <row r="228" spans="1:7" ht="18" customHeight="1" x14ac:dyDescent="0.3">
      <c r="A228" s="11"/>
      <c r="B228" s="10">
        <v>2</v>
      </c>
      <c r="C228" s="104" t="s">
        <v>133</v>
      </c>
      <c r="D228" s="105" t="s">
        <v>114</v>
      </c>
      <c r="E228" s="106">
        <v>0.2</v>
      </c>
      <c r="F228" s="256">
        <f>VLOOKUP(C228,[1]VL!$B$3:$E$524,4,0)</f>
        <v>5000</v>
      </c>
      <c r="G228" s="108">
        <f t="shared" si="38"/>
        <v>1000</v>
      </c>
    </row>
    <row r="229" spans="1:7" ht="18" customHeight="1" x14ac:dyDescent="0.3">
      <c r="A229" s="11"/>
      <c r="B229" s="10">
        <v>3</v>
      </c>
      <c r="C229" s="104" t="s">
        <v>331</v>
      </c>
      <c r="D229" s="105" t="s">
        <v>114</v>
      </c>
      <c r="E229" s="106">
        <v>0.2</v>
      </c>
      <c r="F229" s="256">
        <f>VLOOKUP(C229,[1]VL!$B$3:$E$524,4,0)</f>
        <v>2400</v>
      </c>
      <c r="G229" s="108">
        <f t="shared" si="38"/>
        <v>480</v>
      </c>
    </row>
    <row r="230" spans="1:7" ht="18" customHeight="1" x14ac:dyDescent="0.3">
      <c r="A230" s="11"/>
      <c r="B230" s="10">
        <v>4</v>
      </c>
      <c r="C230" s="104" t="s">
        <v>332</v>
      </c>
      <c r="D230" s="105" t="s">
        <v>114</v>
      </c>
      <c r="E230" s="106">
        <v>0.6</v>
      </c>
      <c r="F230" s="256">
        <f>VLOOKUP(C230,[1]VL!$B$3:$E$524,4,0)</f>
        <v>2920</v>
      </c>
      <c r="G230" s="108">
        <f t="shared" si="38"/>
        <v>1752</v>
      </c>
    </row>
    <row r="231" spans="1:7" ht="18" customHeight="1" x14ac:dyDescent="0.3">
      <c r="A231" s="11"/>
      <c r="B231" s="10">
        <v>5</v>
      </c>
      <c r="C231" s="104" t="s">
        <v>126</v>
      </c>
      <c r="D231" s="105" t="s">
        <v>114</v>
      </c>
      <c r="E231" s="106">
        <v>0.5</v>
      </c>
      <c r="F231" s="256">
        <f>VLOOKUP(C231,[1]VL!$B$3:$E$524,4,0)</f>
        <v>980</v>
      </c>
      <c r="G231" s="108">
        <f t="shared" si="38"/>
        <v>490</v>
      </c>
    </row>
    <row r="232" spans="1:7" ht="18" customHeight="1" x14ac:dyDescent="0.3">
      <c r="A232" s="11"/>
      <c r="B232" s="10">
        <v>6</v>
      </c>
      <c r="C232" s="104" t="s">
        <v>333</v>
      </c>
      <c r="D232" s="105" t="s">
        <v>114</v>
      </c>
      <c r="E232" s="106">
        <v>0.1</v>
      </c>
      <c r="F232" s="256">
        <f>VLOOKUP(C232,[1]VL!$B$3:$E$524,4,0)</f>
        <v>1900</v>
      </c>
      <c r="G232" s="108">
        <f t="shared" si="38"/>
        <v>190</v>
      </c>
    </row>
    <row r="233" spans="1:7" ht="18" customHeight="1" x14ac:dyDescent="0.3">
      <c r="A233" s="11"/>
      <c r="B233" s="10">
        <v>7</v>
      </c>
      <c r="C233" s="104" t="s">
        <v>134</v>
      </c>
      <c r="D233" s="105" t="s">
        <v>114</v>
      </c>
      <c r="E233" s="106">
        <v>0.4</v>
      </c>
      <c r="F233" s="256">
        <f>VLOOKUP(C233,[1]VL!$B$3:$E$524,4,0)</f>
        <v>2500</v>
      </c>
      <c r="G233" s="108">
        <f t="shared" si="38"/>
        <v>1000</v>
      </c>
    </row>
    <row r="234" spans="1:7" ht="18" customHeight="1" x14ac:dyDescent="0.3">
      <c r="A234" s="11"/>
      <c r="B234" s="10">
        <v>8</v>
      </c>
      <c r="C234" s="104" t="s">
        <v>135</v>
      </c>
      <c r="D234" s="105" t="s">
        <v>114</v>
      </c>
      <c r="E234" s="106">
        <v>0.3</v>
      </c>
      <c r="F234" s="256">
        <f>VLOOKUP(C234,[1]VL!$B$3:$E$524,4,0)</f>
        <v>405</v>
      </c>
      <c r="G234" s="108">
        <f t="shared" si="38"/>
        <v>121.5</v>
      </c>
    </row>
    <row r="235" spans="1:7" ht="18" customHeight="1" x14ac:dyDescent="0.3">
      <c r="A235" s="11"/>
      <c r="B235" s="10">
        <v>9</v>
      </c>
      <c r="C235" s="104" t="s">
        <v>334</v>
      </c>
      <c r="D235" s="105" t="s">
        <v>118</v>
      </c>
      <c r="E235" s="106">
        <v>0.5</v>
      </c>
      <c r="F235" s="256">
        <f>VLOOKUP(C235,[1]VL!$B$3:$E$524,4,0)</f>
        <v>1560</v>
      </c>
      <c r="G235" s="108">
        <f t="shared" si="38"/>
        <v>780</v>
      </c>
    </row>
    <row r="236" spans="1:7" ht="18" customHeight="1" x14ac:dyDescent="0.3">
      <c r="A236" s="11"/>
      <c r="B236" s="10">
        <v>10</v>
      </c>
      <c r="C236" s="104" t="s">
        <v>117</v>
      </c>
      <c r="D236" s="105" t="s">
        <v>118</v>
      </c>
      <c r="E236" s="351">
        <v>10</v>
      </c>
      <c r="F236" s="256">
        <f>VLOOKUP(C236,[1]VL!$B$3:$E$524,4,0)</f>
        <v>35</v>
      </c>
      <c r="G236" s="108">
        <f t="shared" si="38"/>
        <v>350</v>
      </c>
    </row>
    <row r="237" spans="1:7" ht="18" customHeight="1" x14ac:dyDescent="0.3">
      <c r="A237" s="11"/>
      <c r="B237" s="10">
        <v>11</v>
      </c>
      <c r="C237" s="60" t="s">
        <v>640</v>
      </c>
      <c r="D237" s="105" t="s">
        <v>76</v>
      </c>
      <c r="E237" s="61">
        <v>0.05</v>
      </c>
      <c r="F237" s="256">
        <f>VLOOKUP(C237,[1]VL!$B$3:$E$524,4,0)</f>
        <v>360000</v>
      </c>
      <c r="G237" s="108">
        <f t="shared" si="38"/>
        <v>18000</v>
      </c>
    </row>
    <row r="238" spans="1:7" ht="18" customHeight="1" x14ac:dyDescent="0.3">
      <c r="A238" s="11"/>
      <c r="B238" s="10">
        <v>12</v>
      </c>
      <c r="C238" s="104" t="s">
        <v>120</v>
      </c>
      <c r="D238" s="105" t="s">
        <v>121</v>
      </c>
      <c r="E238" s="106">
        <v>5.0000000000000001E-3</v>
      </c>
      <c r="F238" s="256">
        <f>VLOOKUP(C238,[1]VL!$B$3:$E$524,4,0)</f>
        <v>10000</v>
      </c>
      <c r="G238" s="108">
        <f t="shared" si="38"/>
        <v>50</v>
      </c>
    </row>
    <row r="239" spans="1:7" ht="18" customHeight="1" x14ac:dyDescent="0.3">
      <c r="A239" s="11"/>
      <c r="B239" s="10">
        <v>13</v>
      </c>
      <c r="C239" s="104" t="s">
        <v>129</v>
      </c>
      <c r="D239" s="10" t="s">
        <v>76</v>
      </c>
      <c r="E239" s="106">
        <v>0.01</v>
      </c>
      <c r="F239" s="256">
        <f>VLOOKUP(C239,[1]VL!$B$3:$E$524,4,0)</f>
        <v>40000</v>
      </c>
      <c r="G239" s="108">
        <f t="shared" si="38"/>
        <v>400</v>
      </c>
    </row>
    <row r="240" spans="1:7" ht="18" customHeight="1" x14ac:dyDescent="0.3">
      <c r="A240" s="11">
        <v>11</v>
      </c>
      <c r="B240" s="11" t="s">
        <v>292</v>
      </c>
      <c r="C240" s="88" t="s">
        <v>14</v>
      </c>
      <c r="D240" s="4"/>
      <c r="E240" s="109"/>
      <c r="F240" s="107"/>
      <c r="G240" s="103">
        <f>SUM(G241:G254)*1.08</f>
        <v>49011.48</v>
      </c>
    </row>
    <row r="241" spans="1:7" ht="18" customHeight="1" x14ac:dyDescent="0.3">
      <c r="A241" s="11"/>
      <c r="B241" s="10">
        <v>1</v>
      </c>
      <c r="C241" s="104" t="s">
        <v>126</v>
      </c>
      <c r="D241" s="105" t="s">
        <v>114</v>
      </c>
      <c r="E241" s="112">
        <v>2</v>
      </c>
      <c r="F241" s="256">
        <f>VLOOKUP(C241,[1]VL!$B$3:$E$524,4,0)</f>
        <v>980</v>
      </c>
      <c r="G241" s="108">
        <f t="shared" si="38"/>
        <v>1960</v>
      </c>
    </row>
    <row r="242" spans="1:7" ht="18" customHeight="1" x14ac:dyDescent="0.3">
      <c r="A242" s="11"/>
      <c r="B242" s="10">
        <v>2</v>
      </c>
      <c r="C242" s="104" t="s">
        <v>335</v>
      </c>
      <c r="D242" s="105" t="s">
        <v>114</v>
      </c>
      <c r="E242" s="112">
        <v>0.2</v>
      </c>
      <c r="F242" s="256">
        <f>VLOOKUP(C242,[1]VL!$B$3:$E$524,4,0)</f>
        <v>800</v>
      </c>
      <c r="G242" s="108">
        <f t="shared" si="38"/>
        <v>160</v>
      </c>
    </row>
    <row r="243" spans="1:7" ht="18" customHeight="1" x14ac:dyDescent="0.3">
      <c r="A243" s="11"/>
      <c r="B243" s="10">
        <v>3</v>
      </c>
      <c r="C243" s="104" t="s">
        <v>331</v>
      </c>
      <c r="D243" s="105" t="s">
        <v>114</v>
      </c>
      <c r="E243" s="112">
        <v>0.5</v>
      </c>
      <c r="F243" s="256">
        <f>VLOOKUP(C243,[1]VL!$B$3:$E$524,4,0)</f>
        <v>2400</v>
      </c>
      <c r="G243" s="108">
        <f t="shared" si="38"/>
        <v>1200</v>
      </c>
    </row>
    <row r="244" spans="1:7" ht="18" customHeight="1" x14ac:dyDescent="0.3">
      <c r="A244" s="11"/>
      <c r="B244" s="10">
        <v>4</v>
      </c>
      <c r="C244" s="104" t="s">
        <v>116</v>
      </c>
      <c r="D244" s="105" t="s">
        <v>114</v>
      </c>
      <c r="E244" s="112">
        <v>0.6</v>
      </c>
      <c r="F244" s="256">
        <f>VLOOKUP(C244,[1]VL!$B$3:$E$524,4,0)</f>
        <v>1360</v>
      </c>
      <c r="G244" s="108">
        <f t="shared" si="38"/>
        <v>816</v>
      </c>
    </row>
    <row r="245" spans="1:7" ht="18" customHeight="1" x14ac:dyDescent="0.3">
      <c r="A245" s="11"/>
      <c r="B245" s="10">
        <v>5</v>
      </c>
      <c r="C245" s="104" t="s">
        <v>336</v>
      </c>
      <c r="D245" s="105" t="s">
        <v>118</v>
      </c>
      <c r="E245" s="112">
        <v>0.5</v>
      </c>
      <c r="F245" s="256">
        <f>VLOOKUP(C245,[1]VL!$B$3:$E$524,4,0)</f>
        <v>2400</v>
      </c>
      <c r="G245" s="108">
        <f t="shared" si="38"/>
        <v>1200</v>
      </c>
    </row>
    <row r="246" spans="1:7" ht="18" customHeight="1" x14ac:dyDescent="0.3">
      <c r="A246" s="11"/>
      <c r="B246" s="10">
        <v>6</v>
      </c>
      <c r="C246" s="104" t="s">
        <v>337</v>
      </c>
      <c r="D246" s="105" t="s">
        <v>114</v>
      </c>
      <c r="E246" s="112">
        <v>0.5</v>
      </c>
      <c r="F246" s="256">
        <f>VLOOKUP(C246,[1]VL!$B$3:$E$524,4,0)</f>
        <v>4440</v>
      </c>
      <c r="G246" s="108">
        <f t="shared" si="38"/>
        <v>2220</v>
      </c>
    </row>
    <row r="247" spans="1:7" ht="18" customHeight="1" x14ac:dyDescent="0.3">
      <c r="A247" s="11"/>
      <c r="B247" s="10">
        <v>7</v>
      </c>
      <c r="C247" s="104" t="s">
        <v>338</v>
      </c>
      <c r="D247" s="105" t="s">
        <v>114</v>
      </c>
      <c r="E247" s="112">
        <v>2</v>
      </c>
      <c r="F247" s="256">
        <f>VLOOKUP(C247,[1]VL!$B$3:$E$524,4,0)</f>
        <v>600</v>
      </c>
      <c r="G247" s="108">
        <f t="shared" si="38"/>
        <v>1200</v>
      </c>
    </row>
    <row r="248" spans="1:7" ht="18" customHeight="1" x14ac:dyDescent="0.3">
      <c r="A248" s="11"/>
      <c r="B248" s="10">
        <v>8</v>
      </c>
      <c r="C248" s="104" t="s">
        <v>761</v>
      </c>
      <c r="D248" s="105" t="s">
        <v>118</v>
      </c>
      <c r="E248" s="112">
        <v>0.5</v>
      </c>
      <c r="F248" s="256">
        <f>VLOOKUP(C248,[1]VL!$B$3:$E$524,4,0)</f>
        <v>550</v>
      </c>
      <c r="G248" s="108">
        <f t="shared" si="38"/>
        <v>275</v>
      </c>
    </row>
    <row r="249" spans="1:7" ht="18" customHeight="1" x14ac:dyDescent="0.3">
      <c r="A249" s="11"/>
      <c r="B249" s="10">
        <v>9</v>
      </c>
      <c r="C249" s="5" t="s">
        <v>352</v>
      </c>
      <c r="D249" s="61" t="s">
        <v>118</v>
      </c>
      <c r="E249" s="112">
        <v>5</v>
      </c>
      <c r="F249" s="256">
        <f>VLOOKUP(C249,[1]VL!$B$3:$E$524,4,0)</f>
        <v>1310</v>
      </c>
      <c r="G249" s="108">
        <f t="shared" si="38"/>
        <v>6550</v>
      </c>
    </row>
    <row r="250" spans="1:7" ht="18" customHeight="1" x14ac:dyDescent="0.3">
      <c r="A250" s="11"/>
      <c r="B250" s="10">
        <v>10</v>
      </c>
      <c r="C250" s="60" t="s">
        <v>278</v>
      </c>
      <c r="D250" s="61" t="s">
        <v>114</v>
      </c>
      <c r="E250" s="112">
        <v>0.2</v>
      </c>
      <c r="F250" s="256">
        <f>VLOOKUP(C250,[1]VL!$B$3:$E$524,4,0)</f>
        <v>55000</v>
      </c>
      <c r="G250" s="108">
        <f t="shared" si="38"/>
        <v>11000</v>
      </c>
    </row>
    <row r="251" spans="1:7" ht="18" customHeight="1" x14ac:dyDescent="0.3">
      <c r="A251" s="11"/>
      <c r="B251" s="10">
        <v>11</v>
      </c>
      <c r="C251" s="104" t="s">
        <v>117</v>
      </c>
      <c r="D251" s="105" t="s">
        <v>118</v>
      </c>
      <c r="E251" s="351">
        <v>10</v>
      </c>
      <c r="F251" s="256">
        <f>VLOOKUP(C251,[1]VL!$B$3:$E$524,4,0)</f>
        <v>35</v>
      </c>
      <c r="G251" s="108">
        <f t="shared" si="38"/>
        <v>350</v>
      </c>
    </row>
    <row r="252" spans="1:7" ht="18" customHeight="1" x14ac:dyDescent="0.3">
      <c r="A252" s="11"/>
      <c r="B252" s="10">
        <v>12</v>
      </c>
      <c r="C252" s="60" t="s">
        <v>640</v>
      </c>
      <c r="D252" s="105" t="s">
        <v>76</v>
      </c>
      <c r="E252" s="61">
        <v>0.05</v>
      </c>
      <c r="F252" s="256">
        <f>VLOOKUP(C252,[1]VL!$B$3:$E$524,4,0)</f>
        <v>360000</v>
      </c>
      <c r="G252" s="108">
        <f t="shared" si="38"/>
        <v>18000</v>
      </c>
    </row>
    <row r="253" spans="1:7" ht="18" customHeight="1" x14ac:dyDescent="0.3">
      <c r="A253" s="11"/>
      <c r="B253" s="10">
        <v>13</v>
      </c>
      <c r="C253" s="104" t="s">
        <v>120</v>
      </c>
      <c r="D253" s="105" t="s">
        <v>121</v>
      </c>
      <c r="E253" s="106">
        <v>5.0000000000000001E-3</v>
      </c>
      <c r="F253" s="256">
        <f>VLOOKUP(C253,[1]VL!$B$3:$E$524,4,0)</f>
        <v>10000</v>
      </c>
      <c r="G253" s="108">
        <f t="shared" si="38"/>
        <v>50</v>
      </c>
    </row>
    <row r="254" spans="1:7" ht="18" customHeight="1" x14ac:dyDescent="0.3">
      <c r="A254" s="11"/>
      <c r="B254" s="10">
        <v>14</v>
      </c>
      <c r="C254" s="104" t="s">
        <v>129</v>
      </c>
      <c r="D254" s="10" t="s">
        <v>76</v>
      </c>
      <c r="E254" s="112">
        <v>0.01</v>
      </c>
      <c r="F254" s="256">
        <f>VLOOKUP(C254,[1]VL!$B$3:$E$524,4,0)</f>
        <v>40000</v>
      </c>
      <c r="G254" s="108">
        <f t="shared" si="38"/>
        <v>400</v>
      </c>
    </row>
    <row r="255" spans="1:7" ht="18" customHeight="1" x14ac:dyDescent="0.3">
      <c r="A255" s="11">
        <v>12</v>
      </c>
      <c r="B255" s="11" t="s">
        <v>404</v>
      </c>
      <c r="C255" s="88" t="s">
        <v>339</v>
      </c>
      <c r="D255" s="4"/>
      <c r="E255" s="109"/>
      <c r="F255" s="107"/>
      <c r="G255" s="103">
        <f>SUM(G256:G267)*1.08</f>
        <v>48587.040000000001</v>
      </c>
    </row>
    <row r="256" spans="1:7" ht="18" customHeight="1" x14ac:dyDescent="0.3">
      <c r="A256" s="11"/>
      <c r="B256" s="10">
        <v>1</v>
      </c>
      <c r="C256" s="104" t="s">
        <v>340</v>
      </c>
      <c r="D256" s="105" t="s">
        <v>118</v>
      </c>
      <c r="E256" s="106">
        <v>0.5</v>
      </c>
      <c r="F256" s="256">
        <f>VLOOKUP(C256,[1]VL!$B$3:$E$524,4,0)</f>
        <v>2400</v>
      </c>
      <c r="G256" s="108">
        <f t="shared" si="38"/>
        <v>1200</v>
      </c>
    </row>
    <row r="257" spans="1:7" ht="18" customHeight="1" x14ac:dyDescent="0.3">
      <c r="A257" s="11"/>
      <c r="B257" s="10">
        <v>2</v>
      </c>
      <c r="C257" s="104" t="s">
        <v>337</v>
      </c>
      <c r="D257" s="105" t="s">
        <v>114</v>
      </c>
      <c r="E257" s="106">
        <v>0.5</v>
      </c>
      <c r="F257" s="256">
        <f>VLOOKUP(C257,[1]VL!$B$3:$E$524,4,0)</f>
        <v>4440</v>
      </c>
      <c r="G257" s="108">
        <f t="shared" si="38"/>
        <v>2220</v>
      </c>
    </row>
    <row r="258" spans="1:7" ht="18" customHeight="1" x14ac:dyDescent="0.3">
      <c r="A258" s="11"/>
      <c r="B258" s="10">
        <v>3</v>
      </c>
      <c r="C258" s="104" t="s">
        <v>341</v>
      </c>
      <c r="D258" s="105" t="s">
        <v>114</v>
      </c>
      <c r="E258" s="106">
        <v>0.5</v>
      </c>
      <c r="F258" s="256">
        <f>VLOOKUP(C258,[1]VL!$B$3:$E$524,4,0)</f>
        <v>1830</v>
      </c>
      <c r="G258" s="108">
        <f t="shared" si="38"/>
        <v>915</v>
      </c>
    </row>
    <row r="259" spans="1:7" ht="18" customHeight="1" x14ac:dyDescent="0.3">
      <c r="A259" s="11"/>
      <c r="B259" s="10">
        <v>4</v>
      </c>
      <c r="C259" s="5" t="s">
        <v>352</v>
      </c>
      <c r="D259" s="105" t="s">
        <v>118</v>
      </c>
      <c r="E259" s="106">
        <v>0.8</v>
      </c>
      <c r="F259" s="256">
        <f>VLOOKUP(C259,[1]VL!$B$3:$E$524,4,0)</f>
        <v>1310</v>
      </c>
      <c r="G259" s="108">
        <f t="shared" si="38"/>
        <v>1048</v>
      </c>
    </row>
    <row r="260" spans="1:7" ht="18" customHeight="1" x14ac:dyDescent="0.3">
      <c r="A260" s="11"/>
      <c r="B260" s="10">
        <v>5</v>
      </c>
      <c r="C260" s="117" t="s">
        <v>148</v>
      </c>
      <c r="D260" s="105" t="s">
        <v>118</v>
      </c>
      <c r="E260" s="106">
        <v>0.5</v>
      </c>
      <c r="F260" s="256">
        <f>VLOOKUP(C260,[1]VL!$B$3:$E$524,4,0)</f>
        <v>2850</v>
      </c>
      <c r="G260" s="108">
        <f t="shared" si="38"/>
        <v>1425</v>
      </c>
    </row>
    <row r="261" spans="1:7" ht="18" customHeight="1" x14ac:dyDescent="0.3">
      <c r="A261" s="11"/>
      <c r="B261" s="10">
        <v>6</v>
      </c>
      <c r="C261" s="104" t="s">
        <v>126</v>
      </c>
      <c r="D261" s="105" t="s">
        <v>114</v>
      </c>
      <c r="E261" s="106">
        <v>1</v>
      </c>
      <c r="F261" s="256">
        <f>VLOOKUP(C261,[1]VL!$B$3:$E$524,4,0)</f>
        <v>980</v>
      </c>
      <c r="G261" s="108">
        <f t="shared" si="38"/>
        <v>980</v>
      </c>
    </row>
    <row r="262" spans="1:7" ht="18" customHeight="1" x14ac:dyDescent="0.45">
      <c r="A262" s="11"/>
      <c r="B262" s="10">
        <v>7</v>
      </c>
      <c r="C262" s="117" t="s">
        <v>342</v>
      </c>
      <c r="D262" s="105" t="s">
        <v>114</v>
      </c>
      <c r="E262" s="106">
        <v>0.1</v>
      </c>
      <c r="F262" s="256">
        <f>VLOOKUP(C262,[1]VL!$B$3:$E$524,4,0)</f>
        <v>92000</v>
      </c>
      <c r="G262" s="108">
        <f t="shared" si="38"/>
        <v>9200</v>
      </c>
    </row>
    <row r="263" spans="1:7" ht="18" customHeight="1" x14ac:dyDescent="0.45">
      <c r="A263" s="11"/>
      <c r="B263" s="10">
        <v>8</v>
      </c>
      <c r="C263" s="117" t="s">
        <v>343</v>
      </c>
      <c r="D263" s="105" t="s">
        <v>114</v>
      </c>
      <c r="E263" s="106">
        <v>0.2</v>
      </c>
      <c r="F263" s="256">
        <f>VLOOKUP(C263,[1]VL!$B$3:$E$524,4,0)</f>
        <v>130000</v>
      </c>
      <c r="G263" s="108">
        <f t="shared" si="38"/>
        <v>26000</v>
      </c>
    </row>
    <row r="264" spans="1:7" ht="18" customHeight="1" x14ac:dyDescent="0.3">
      <c r="A264" s="11"/>
      <c r="B264" s="10">
        <v>9</v>
      </c>
      <c r="C264" s="104" t="s">
        <v>117</v>
      </c>
      <c r="D264" s="105" t="s">
        <v>118</v>
      </c>
      <c r="E264" s="351">
        <v>10</v>
      </c>
      <c r="F264" s="256">
        <f>VLOOKUP(C264,[1]VL!$B$3:$E$524,4,0)</f>
        <v>35</v>
      </c>
      <c r="G264" s="108">
        <f t="shared" si="38"/>
        <v>350</v>
      </c>
    </row>
    <row r="265" spans="1:7" ht="18" customHeight="1" x14ac:dyDescent="0.3">
      <c r="A265" s="11"/>
      <c r="B265" s="10">
        <v>10</v>
      </c>
      <c r="C265" s="104" t="s">
        <v>130</v>
      </c>
      <c r="D265" s="105" t="s">
        <v>76</v>
      </c>
      <c r="E265" s="106">
        <v>0.01</v>
      </c>
      <c r="F265" s="256">
        <f>VLOOKUP(C265,[1]VL!$B$3:$E$524,4,0)</f>
        <v>120000</v>
      </c>
      <c r="G265" s="108">
        <f t="shared" si="38"/>
        <v>1200</v>
      </c>
    </row>
    <row r="266" spans="1:7" ht="18" customHeight="1" x14ac:dyDescent="0.3">
      <c r="A266" s="11"/>
      <c r="B266" s="10">
        <v>11</v>
      </c>
      <c r="C266" s="104" t="s">
        <v>120</v>
      </c>
      <c r="D266" s="105" t="s">
        <v>149</v>
      </c>
      <c r="E266" s="106">
        <v>5.0000000000000001E-3</v>
      </c>
      <c r="F266" s="256">
        <f>VLOOKUP(C266,[1]VL!$B$3:$E$524,4,0)</f>
        <v>10000</v>
      </c>
      <c r="G266" s="108">
        <f t="shared" si="38"/>
        <v>50</v>
      </c>
    </row>
    <row r="267" spans="1:7" ht="18" customHeight="1" x14ac:dyDescent="0.3">
      <c r="A267" s="11"/>
      <c r="B267" s="10">
        <v>12</v>
      </c>
      <c r="C267" s="104" t="s">
        <v>129</v>
      </c>
      <c r="D267" s="10" t="s">
        <v>76</v>
      </c>
      <c r="E267" s="106">
        <v>0.01</v>
      </c>
      <c r="F267" s="256">
        <f>VLOOKUP(C267,[1]VL!$B$3:$E$524,4,0)</f>
        <v>40000</v>
      </c>
      <c r="G267" s="108">
        <f t="shared" si="38"/>
        <v>400</v>
      </c>
    </row>
    <row r="268" spans="1:7" ht="18" customHeight="1" x14ac:dyDescent="0.3">
      <c r="A268" s="11">
        <v>13</v>
      </c>
      <c r="B268" s="11" t="s">
        <v>405</v>
      </c>
      <c r="C268" s="87" t="s">
        <v>218</v>
      </c>
      <c r="D268" s="10"/>
      <c r="E268" s="102"/>
      <c r="F268" s="107"/>
      <c r="G268" s="103">
        <f>SUM(G269:G278)*1.08</f>
        <v>43020.072000000007</v>
      </c>
    </row>
    <row r="269" spans="1:7" ht="18" customHeight="1" x14ac:dyDescent="0.3">
      <c r="A269" s="11"/>
      <c r="B269" s="10">
        <v>1</v>
      </c>
      <c r="C269" s="83" t="s">
        <v>344</v>
      </c>
      <c r="D269" s="10" t="s">
        <v>114</v>
      </c>
      <c r="E269" s="102">
        <v>0.05</v>
      </c>
      <c r="F269" s="256">
        <f>VLOOKUP(C269,[1]VL!$B$3:$E$524,4,0)</f>
        <v>4500</v>
      </c>
      <c r="G269" s="108">
        <f t="shared" si="38"/>
        <v>225</v>
      </c>
    </row>
    <row r="270" spans="1:7" ht="18" customHeight="1" x14ac:dyDescent="0.3">
      <c r="A270" s="11"/>
      <c r="B270" s="10">
        <v>2</v>
      </c>
      <c r="C270" s="5" t="s">
        <v>352</v>
      </c>
      <c r="D270" s="10" t="s">
        <v>118</v>
      </c>
      <c r="E270" s="102">
        <v>16</v>
      </c>
      <c r="F270" s="256">
        <f>VLOOKUP(C270,[1]VL!$B$3:$E$524,4,0)</f>
        <v>1310</v>
      </c>
      <c r="G270" s="108">
        <f t="shared" si="38"/>
        <v>20960</v>
      </c>
    </row>
    <row r="271" spans="1:7" ht="18" customHeight="1" x14ac:dyDescent="0.3">
      <c r="A271" s="11"/>
      <c r="B271" s="10">
        <v>3</v>
      </c>
      <c r="C271" s="83" t="s">
        <v>345</v>
      </c>
      <c r="D271" s="4" t="s">
        <v>114</v>
      </c>
      <c r="E271" s="109">
        <v>1</v>
      </c>
      <c r="F271" s="256">
        <f>VLOOKUP(C271,[1]VL!$B$3:$E$524,4,0)</f>
        <v>3100</v>
      </c>
      <c r="G271" s="108">
        <f t="shared" si="38"/>
        <v>3100</v>
      </c>
    </row>
    <row r="272" spans="1:7" ht="18" customHeight="1" x14ac:dyDescent="0.3">
      <c r="A272" s="11"/>
      <c r="B272" s="10">
        <v>4</v>
      </c>
      <c r="C272" s="97" t="s">
        <v>150</v>
      </c>
      <c r="D272" s="4" t="s">
        <v>114</v>
      </c>
      <c r="E272" s="109">
        <v>0.02</v>
      </c>
      <c r="F272" s="256">
        <f>VLOOKUP(C272,[1]VL!$B$3:$E$524,4,0)</f>
        <v>575000</v>
      </c>
      <c r="G272" s="108">
        <f t="shared" si="38"/>
        <v>11500</v>
      </c>
    </row>
    <row r="273" spans="1:7" ht="18" customHeight="1" x14ac:dyDescent="0.45">
      <c r="A273" s="11"/>
      <c r="B273" s="10">
        <v>5</v>
      </c>
      <c r="C273" s="97" t="s">
        <v>346</v>
      </c>
      <c r="D273" s="4" t="s">
        <v>114</v>
      </c>
      <c r="E273" s="109">
        <v>1.2E-2</v>
      </c>
      <c r="F273" s="256">
        <f>VLOOKUP(C273,[1]VL!$B$3:$E$524,4,0)</f>
        <v>3200</v>
      </c>
      <c r="G273" s="108">
        <f t="shared" si="38"/>
        <v>38.4</v>
      </c>
    </row>
    <row r="274" spans="1:7" ht="18" customHeight="1" x14ac:dyDescent="0.45">
      <c r="A274" s="11"/>
      <c r="B274" s="10">
        <v>6</v>
      </c>
      <c r="C274" s="97" t="s">
        <v>347</v>
      </c>
      <c r="D274" s="4" t="s">
        <v>114</v>
      </c>
      <c r="E274" s="109">
        <v>0.5</v>
      </c>
      <c r="F274" s="256">
        <f>VLOOKUP(C274,[1]VL!$B$3:$E$524,4,0)</f>
        <v>2500</v>
      </c>
      <c r="G274" s="108">
        <f t="shared" si="38"/>
        <v>1250</v>
      </c>
    </row>
    <row r="275" spans="1:7" ht="18" customHeight="1" x14ac:dyDescent="0.3">
      <c r="A275" s="11"/>
      <c r="B275" s="10">
        <v>7</v>
      </c>
      <c r="C275" s="104" t="s">
        <v>126</v>
      </c>
      <c r="D275" s="105" t="s">
        <v>114</v>
      </c>
      <c r="E275" s="109">
        <v>2</v>
      </c>
      <c r="F275" s="256">
        <f>VLOOKUP(C275,[1]VL!$B$3:$E$524,4,0)</f>
        <v>980</v>
      </c>
      <c r="G275" s="108">
        <f t="shared" si="38"/>
        <v>1960</v>
      </c>
    </row>
    <row r="276" spans="1:7" ht="18" customHeight="1" x14ac:dyDescent="0.3">
      <c r="A276" s="11"/>
      <c r="B276" s="10">
        <v>8</v>
      </c>
      <c r="C276" s="5" t="s">
        <v>117</v>
      </c>
      <c r="D276" s="105" t="s">
        <v>118</v>
      </c>
      <c r="E276" s="351">
        <v>10</v>
      </c>
      <c r="F276" s="256">
        <f>VLOOKUP(C276,[1]VL!$B$3:$E$524,4,0)</f>
        <v>35</v>
      </c>
      <c r="G276" s="108">
        <f t="shared" si="38"/>
        <v>350</v>
      </c>
    </row>
    <row r="277" spans="1:7" ht="18" customHeight="1" x14ac:dyDescent="0.3">
      <c r="A277" s="11"/>
      <c r="B277" s="10">
        <v>9</v>
      </c>
      <c r="C277" s="5" t="s">
        <v>120</v>
      </c>
      <c r="D277" s="4" t="s">
        <v>121</v>
      </c>
      <c r="E277" s="106">
        <v>5.0000000000000001E-3</v>
      </c>
      <c r="F277" s="256">
        <f>VLOOKUP(C277,[1]VL!$B$3:$E$524,4,0)</f>
        <v>10000</v>
      </c>
      <c r="G277" s="108">
        <f t="shared" si="38"/>
        <v>50</v>
      </c>
    </row>
    <row r="278" spans="1:7" ht="18" customHeight="1" x14ac:dyDescent="0.3">
      <c r="A278" s="11"/>
      <c r="B278" s="10">
        <v>10</v>
      </c>
      <c r="C278" s="104" t="s">
        <v>129</v>
      </c>
      <c r="D278" s="10" t="s">
        <v>76</v>
      </c>
      <c r="E278" s="109">
        <v>0.01</v>
      </c>
      <c r="F278" s="256">
        <f>VLOOKUP(C278,[1]VL!$B$3:$E$524,4,0)</f>
        <v>40000</v>
      </c>
      <c r="G278" s="108">
        <f t="shared" si="38"/>
        <v>400</v>
      </c>
    </row>
    <row r="279" spans="1:7" ht="18" customHeight="1" x14ac:dyDescent="0.3">
      <c r="A279" s="11">
        <v>14</v>
      </c>
      <c r="B279" s="11" t="s">
        <v>406</v>
      </c>
      <c r="C279" s="118" t="s">
        <v>16</v>
      </c>
      <c r="D279" s="4"/>
      <c r="E279" s="109"/>
      <c r="F279" s="107"/>
      <c r="G279" s="103">
        <f>SUM(G280:G287)*1.08</f>
        <v>52239.600000000006</v>
      </c>
    </row>
    <row r="280" spans="1:7" ht="18" customHeight="1" x14ac:dyDescent="0.3">
      <c r="A280" s="11"/>
      <c r="B280" s="10">
        <v>1</v>
      </c>
      <c r="C280" s="83" t="s">
        <v>128</v>
      </c>
      <c r="D280" s="84" t="s">
        <v>118</v>
      </c>
      <c r="E280" s="109">
        <v>1</v>
      </c>
      <c r="F280" s="256">
        <f>VLOOKUP(C280,[1]VL!$B$3:$E$524,4,0)</f>
        <v>2400</v>
      </c>
      <c r="G280" s="108">
        <f t="shared" si="38"/>
        <v>2400</v>
      </c>
    </row>
    <row r="281" spans="1:7" ht="28.5" customHeight="1" x14ac:dyDescent="0.3">
      <c r="A281" s="11"/>
      <c r="B281" s="10">
        <v>2</v>
      </c>
      <c r="C281" s="83" t="s">
        <v>279</v>
      </c>
      <c r="D281" s="84" t="s">
        <v>280</v>
      </c>
      <c r="E281" s="109">
        <v>0.2</v>
      </c>
      <c r="F281" s="256">
        <f>VLOOKUP(C281,[1]VL!$B$3:$E$524,4,0)</f>
        <v>25000</v>
      </c>
      <c r="G281" s="108">
        <f t="shared" si="38"/>
        <v>5000</v>
      </c>
    </row>
    <row r="282" spans="1:7" ht="18" customHeight="1" x14ac:dyDescent="0.3">
      <c r="A282" s="11"/>
      <c r="B282" s="10">
        <v>3</v>
      </c>
      <c r="C282" s="85" t="s">
        <v>281</v>
      </c>
      <c r="D282" s="84" t="s">
        <v>282</v>
      </c>
      <c r="E282" s="109">
        <v>2.5</v>
      </c>
      <c r="F282" s="256">
        <f>VLOOKUP(C282,[1]VL!$B$3:$E$524,4,0)</f>
        <v>440</v>
      </c>
      <c r="G282" s="108">
        <f t="shared" si="38"/>
        <v>1100</v>
      </c>
    </row>
    <row r="283" spans="1:7" ht="18" customHeight="1" x14ac:dyDescent="0.3">
      <c r="A283" s="11"/>
      <c r="B283" s="10">
        <v>4</v>
      </c>
      <c r="C283" s="83" t="s">
        <v>283</v>
      </c>
      <c r="D283" s="84" t="s">
        <v>280</v>
      </c>
      <c r="E283" s="109">
        <v>1</v>
      </c>
      <c r="F283" s="256">
        <f>VLOOKUP(C283,[1]VL!$B$3:$E$524,4,0)</f>
        <v>1800</v>
      </c>
      <c r="G283" s="108">
        <f t="shared" si="38"/>
        <v>1800</v>
      </c>
    </row>
    <row r="284" spans="1:7" ht="18" customHeight="1" x14ac:dyDescent="0.3">
      <c r="A284" s="11"/>
      <c r="B284" s="10">
        <v>5</v>
      </c>
      <c r="C284" s="5" t="s">
        <v>352</v>
      </c>
      <c r="D284" s="84" t="s">
        <v>118</v>
      </c>
      <c r="E284" s="109">
        <v>12</v>
      </c>
      <c r="F284" s="256">
        <f>VLOOKUP(C284,[1]VL!$B$3:$E$524,4,0)</f>
        <v>1310</v>
      </c>
      <c r="G284" s="108">
        <f t="shared" ref="G284" si="39">F284*E284</f>
        <v>15720</v>
      </c>
    </row>
    <row r="285" spans="1:7" ht="18" customHeight="1" x14ac:dyDescent="0.3">
      <c r="A285" s="11"/>
      <c r="B285" s="10">
        <v>6</v>
      </c>
      <c r="C285" s="83" t="s">
        <v>161</v>
      </c>
      <c r="D285" s="84" t="s">
        <v>118</v>
      </c>
      <c r="E285" s="109">
        <v>10</v>
      </c>
      <c r="F285" s="256">
        <f>VLOOKUP(C285,[1]VL!$B$3:$E$524,4,0)</f>
        <v>400</v>
      </c>
      <c r="G285" s="108">
        <f t="shared" si="38"/>
        <v>4000</v>
      </c>
    </row>
    <row r="286" spans="1:7" ht="18" customHeight="1" x14ac:dyDescent="0.3">
      <c r="A286" s="11"/>
      <c r="B286" s="10">
        <v>7</v>
      </c>
      <c r="C286" s="83" t="s">
        <v>117</v>
      </c>
      <c r="D286" s="105" t="s">
        <v>118</v>
      </c>
      <c r="E286" s="351">
        <v>10</v>
      </c>
      <c r="F286" s="256">
        <f>VLOOKUP(C286,[1]VL!$B$3:$E$524,4,0)</f>
        <v>35</v>
      </c>
      <c r="G286" s="108">
        <f t="shared" si="38"/>
        <v>350</v>
      </c>
    </row>
    <row r="287" spans="1:7" ht="18" customHeight="1" x14ac:dyDescent="0.3">
      <c r="A287" s="11"/>
      <c r="B287" s="10">
        <v>8</v>
      </c>
      <c r="C287" s="60" t="s">
        <v>640</v>
      </c>
      <c r="D287" s="84" t="s">
        <v>76</v>
      </c>
      <c r="E287" s="61">
        <v>0.05</v>
      </c>
      <c r="F287" s="256">
        <f>VLOOKUP(C287,[1]VL!$B$3:$E$524,4,0)</f>
        <v>360000</v>
      </c>
      <c r="G287" s="108">
        <f t="shared" si="38"/>
        <v>18000</v>
      </c>
    </row>
    <row r="288" spans="1:7" ht="18" customHeight="1" x14ac:dyDescent="0.3">
      <c r="A288" s="11">
        <v>15</v>
      </c>
      <c r="B288" s="11" t="s">
        <v>407</v>
      </c>
      <c r="C288" s="463" t="s">
        <v>348</v>
      </c>
      <c r="D288" s="463"/>
      <c r="E288" s="463"/>
      <c r="F288" s="107"/>
      <c r="G288" s="103">
        <f>SUM(G289:G305)*1.08</f>
        <v>139330.80000000002</v>
      </c>
    </row>
    <row r="289" spans="1:7" ht="18" customHeight="1" x14ac:dyDescent="0.3">
      <c r="A289" s="357"/>
      <c r="B289" s="241">
        <v>1</v>
      </c>
      <c r="C289" s="359" t="s">
        <v>646</v>
      </c>
      <c r="D289" s="81" t="s">
        <v>114</v>
      </c>
      <c r="E289" s="360">
        <v>0.5</v>
      </c>
      <c r="F289" s="256">
        <f>VLOOKUP(C289,[1]VL!$B$3:$E$524,4,0)</f>
        <v>30000</v>
      </c>
      <c r="G289" s="108">
        <f t="shared" si="38"/>
        <v>15000</v>
      </c>
    </row>
    <row r="290" spans="1:7" ht="18" customHeight="1" x14ac:dyDescent="0.3">
      <c r="A290" s="357"/>
      <c r="B290" s="241">
        <v>2</v>
      </c>
      <c r="C290" s="361" t="s">
        <v>647</v>
      </c>
      <c r="D290" s="81" t="s">
        <v>114</v>
      </c>
      <c r="E290" s="360">
        <v>5</v>
      </c>
      <c r="F290" s="256">
        <f>VLOOKUP(C290,[1]VL!$B$3:$E$524,4,0)</f>
        <v>2200</v>
      </c>
      <c r="G290" s="108">
        <f t="shared" si="38"/>
        <v>11000</v>
      </c>
    </row>
    <row r="291" spans="1:7" ht="18" customHeight="1" x14ac:dyDescent="0.3">
      <c r="A291" s="357"/>
      <c r="B291" s="241">
        <v>3</v>
      </c>
      <c r="C291" s="362" t="s">
        <v>542</v>
      </c>
      <c r="D291" s="81" t="s">
        <v>118</v>
      </c>
      <c r="E291" s="360">
        <v>0.4</v>
      </c>
      <c r="F291" s="256">
        <f>VLOOKUP(C291,[1]VL!$B$3:$E$524,4,0)</f>
        <v>800</v>
      </c>
      <c r="G291" s="108">
        <f t="shared" ref="G291:G305" si="40">F291*E291</f>
        <v>320</v>
      </c>
    </row>
    <row r="292" spans="1:7" ht="18" customHeight="1" x14ac:dyDescent="0.3">
      <c r="A292" s="357"/>
      <c r="B292" s="241">
        <v>4</v>
      </c>
      <c r="C292" s="362" t="s">
        <v>648</v>
      </c>
      <c r="D292" s="81" t="s">
        <v>118</v>
      </c>
      <c r="E292" s="360">
        <v>0.5</v>
      </c>
      <c r="F292" s="256">
        <f>VLOOKUP(C292,[1]VL!$B$3:$E$524,4,0)</f>
        <v>4350</v>
      </c>
      <c r="G292" s="108">
        <f t="shared" si="40"/>
        <v>2175</v>
      </c>
    </row>
    <row r="293" spans="1:7" ht="18" customHeight="1" x14ac:dyDescent="0.3">
      <c r="A293" s="357"/>
      <c r="B293" s="241">
        <v>5</v>
      </c>
      <c r="C293" s="362" t="s">
        <v>649</v>
      </c>
      <c r="D293" s="81"/>
      <c r="E293" s="360">
        <v>0.5</v>
      </c>
      <c r="F293" s="256">
        <f>VLOOKUP(C293,[1]VL!$B$3:$E$524,4,0)</f>
        <v>2400</v>
      </c>
      <c r="G293" s="108">
        <f t="shared" si="40"/>
        <v>1200</v>
      </c>
    </row>
    <row r="294" spans="1:7" ht="18" customHeight="1" x14ac:dyDescent="0.3">
      <c r="A294" s="357"/>
      <c r="B294" s="241">
        <v>6</v>
      </c>
      <c r="C294" s="362" t="s">
        <v>126</v>
      </c>
      <c r="D294" s="81" t="s">
        <v>114</v>
      </c>
      <c r="E294" s="360">
        <v>0.5</v>
      </c>
      <c r="F294" s="256">
        <f>VLOOKUP(C294,[1]VL!$B$3:$E$524,4,0)</f>
        <v>980</v>
      </c>
      <c r="G294" s="108">
        <f t="shared" si="40"/>
        <v>490</v>
      </c>
    </row>
    <row r="295" spans="1:7" ht="18" customHeight="1" x14ac:dyDescent="0.3">
      <c r="A295" s="357"/>
      <c r="B295" s="241">
        <v>7</v>
      </c>
      <c r="C295" s="17" t="s">
        <v>650</v>
      </c>
      <c r="D295" s="81" t="s">
        <v>118</v>
      </c>
      <c r="E295" s="360">
        <v>0.5</v>
      </c>
      <c r="F295" s="256">
        <f>VLOOKUP(C295,[1]VL!$B$3:$E$524,4,0)</f>
        <v>1310</v>
      </c>
      <c r="G295" s="108">
        <f t="shared" si="40"/>
        <v>655</v>
      </c>
    </row>
    <row r="296" spans="1:7" ht="18" customHeight="1" x14ac:dyDescent="0.3">
      <c r="A296" s="357"/>
      <c r="B296" s="241">
        <v>8</v>
      </c>
      <c r="C296" s="17" t="s">
        <v>651</v>
      </c>
      <c r="D296" s="81" t="s">
        <v>114</v>
      </c>
      <c r="E296" s="360">
        <v>0.5</v>
      </c>
      <c r="F296" s="256">
        <f>VLOOKUP(C296,[1]VL!$B$3:$E$524,4,0)</f>
        <v>2500</v>
      </c>
      <c r="G296" s="108">
        <f t="shared" si="40"/>
        <v>1250</v>
      </c>
    </row>
    <row r="297" spans="1:7" ht="18" customHeight="1" x14ac:dyDescent="0.3">
      <c r="A297" s="357"/>
      <c r="B297" s="241">
        <v>9</v>
      </c>
      <c r="C297" s="17" t="s">
        <v>652</v>
      </c>
      <c r="D297" s="81" t="s">
        <v>118</v>
      </c>
      <c r="E297" s="360">
        <v>0.5</v>
      </c>
      <c r="F297" s="256">
        <f>VLOOKUP(C297,[1]VL!$B$3:$E$524,4,0)</f>
        <v>250</v>
      </c>
      <c r="G297" s="108">
        <f t="shared" si="40"/>
        <v>125</v>
      </c>
    </row>
    <row r="298" spans="1:7" ht="18" customHeight="1" x14ac:dyDescent="0.3">
      <c r="A298" s="357"/>
      <c r="B298" s="241">
        <v>10</v>
      </c>
      <c r="C298" s="104" t="s">
        <v>761</v>
      </c>
      <c r="D298" s="81" t="s">
        <v>118</v>
      </c>
      <c r="E298" s="360">
        <v>0.5</v>
      </c>
      <c r="F298" s="256">
        <f>VLOOKUP(C298,[1]VL!$B$3:$E$524,4,0)</f>
        <v>550</v>
      </c>
      <c r="G298" s="108">
        <f t="shared" si="40"/>
        <v>275</v>
      </c>
    </row>
    <row r="299" spans="1:7" ht="18" customHeight="1" x14ac:dyDescent="0.3">
      <c r="A299" s="357"/>
      <c r="B299" s="241">
        <v>11</v>
      </c>
      <c r="C299" s="363" t="s">
        <v>653</v>
      </c>
      <c r="D299" s="81" t="s">
        <v>114</v>
      </c>
      <c r="E299" s="360">
        <v>0.5</v>
      </c>
      <c r="F299" s="256">
        <f>VLOOKUP(C299,[1]VL!$B$3:$E$524,4,0)</f>
        <v>24500</v>
      </c>
      <c r="G299" s="108">
        <f t="shared" si="40"/>
        <v>12250</v>
      </c>
    </row>
    <row r="300" spans="1:7" ht="18" customHeight="1" x14ac:dyDescent="0.3">
      <c r="A300" s="357"/>
      <c r="B300" s="241">
        <v>12</v>
      </c>
      <c r="C300" s="362" t="s">
        <v>654</v>
      </c>
      <c r="D300" s="81" t="s">
        <v>114</v>
      </c>
      <c r="E300" s="360">
        <v>0.5</v>
      </c>
      <c r="F300" s="256">
        <f>VLOOKUP(C300,[1]VL!$B$3:$E$524,4,0)</f>
        <v>125000</v>
      </c>
      <c r="G300" s="108">
        <f t="shared" si="40"/>
        <v>62500</v>
      </c>
    </row>
    <row r="301" spans="1:7" ht="18" customHeight="1" x14ac:dyDescent="0.3">
      <c r="A301" s="357"/>
      <c r="B301" s="241">
        <v>13</v>
      </c>
      <c r="C301" s="363" t="s">
        <v>653</v>
      </c>
      <c r="D301" s="81" t="s">
        <v>114</v>
      </c>
      <c r="E301" s="360">
        <v>0.5</v>
      </c>
      <c r="F301" s="256">
        <f>VLOOKUP(C301,[1]VL!$B$3:$E$524,4,0)</f>
        <v>24500</v>
      </c>
      <c r="G301" s="108">
        <f t="shared" si="40"/>
        <v>12250</v>
      </c>
    </row>
    <row r="302" spans="1:7" ht="18" customHeight="1" x14ac:dyDescent="0.3">
      <c r="A302" s="357"/>
      <c r="B302" s="241">
        <v>14</v>
      </c>
      <c r="C302" s="362" t="s">
        <v>117</v>
      </c>
      <c r="D302" s="81" t="s">
        <v>118</v>
      </c>
      <c r="E302" s="360">
        <v>2</v>
      </c>
      <c r="F302" s="256">
        <f>VLOOKUP(C302,[1]VL!$B$3:$E$524,4,0)</f>
        <v>35</v>
      </c>
      <c r="G302" s="108">
        <f t="shared" si="40"/>
        <v>70</v>
      </c>
    </row>
    <row r="303" spans="1:7" ht="18" customHeight="1" x14ac:dyDescent="0.3">
      <c r="A303" s="11"/>
      <c r="B303" s="241">
        <v>15</v>
      </c>
      <c r="C303" s="362" t="s">
        <v>640</v>
      </c>
      <c r="D303" s="81" t="s">
        <v>76</v>
      </c>
      <c r="E303" s="360">
        <v>2.5000000000000001E-2</v>
      </c>
      <c r="F303" s="256">
        <f>VLOOKUP(C303,[1]VL!$B$3:$E$524,4,0)</f>
        <v>360000</v>
      </c>
      <c r="G303" s="108">
        <f t="shared" si="40"/>
        <v>9000</v>
      </c>
    </row>
    <row r="304" spans="1:7" ht="18" customHeight="1" x14ac:dyDescent="0.3">
      <c r="A304" s="11"/>
      <c r="B304" s="241">
        <v>16</v>
      </c>
      <c r="C304" s="362" t="s">
        <v>120</v>
      </c>
      <c r="D304" s="81" t="s">
        <v>121</v>
      </c>
      <c r="E304" s="244">
        <v>5.0000000000000001E-3</v>
      </c>
      <c r="F304" s="256">
        <f>VLOOKUP(C304,[1]VL!$B$3:$E$524,4,0)</f>
        <v>10000</v>
      </c>
      <c r="G304" s="108">
        <f t="shared" si="40"/>
        <v>50</v>
      </c>
    </row>
    <row r="305" spans="1:7" ht="18" customHeight="1" x14ac:dyDescent="0.3">
      <c r="A305" s="11"/>
      <c r="B305" s="241">
        <v>17</v>
      </c>
      <c r="C305" s="362" t="s">
        <v>129</v>
      </c>
      <c r="D305" s="81" t="s">
        <v>76</v>
      </c>
      <c r="E305" s="360">
        <v>0.01</v>
      </c>
      <c r="F305" s="256">
        <f>VLOOKUP(C305,[1]VL!$B$3:$E$524,4,0)</f>
        <v>40000</v>
      </c>
      <c r="G305" s="108">
        <f t="shared" si="40"/>
        <v>400</v>
      </c>
    </row>
    <row r="306" spans="1:7" ht="18" customHeight="1" x14ac:dyDescent="0.3">
      <c r="A306" s="11">
        <v>16</v>
      </c>
      <c r="B306" s="11" t="s">
        <v>408</v>
      </c>
      <c r="C306" s="87" t="s">
        <v>349</v>
      </c>
      <c r="D306" s="10"/>
      <c r="E306" s="102"/>
      <c r="F306" s="107"/>
      <c r="G306" s="103">
        <f>SUM(G307:G316)*1.08</f>
        <v>79833.600000000006</v>
      </c>
    </row>
    <row r="307" spans="1:7" ht="18" customHeight="1" x14ac:dyDescent="0.3">
      <c r="A307" s="11"/>
      <c r="B307" s="10">
        <v>1</v>
      </c>
      <c r="C307" s="83" t="s">
        <v>128</v>
      </c>
      <c r="D307" s="84" t="s">
        <v>118</v>
      </c>
      <c r="E307" s="119">
        <v>0.5</v>
      </c>
      <c r="F307" s="256">
        <f>VLOOKUP(C307,[1]VL!$B$3:$E$524,4,0)</f>
        <v>2400</v>
      </c>
      <c r="G307" s="108">
        <f t="shared" ref="G307:G436" si="41">F307*E307</f>
        <v>1200</v>
      </c>
    </row>
    <row r="308" spans="1:7" ht="18" customHeight="1" x14ac:dyDescent="0.3">
      <c r="A308" s="11"/>
      <c r="B308" s="10">
        <v>2</v>
      </c>
      <c r="C308" s="111" t="s">
        <v>286</v>
      </c>
      <c r="D308" s="84" t="s">
        <v>114</v>
      </c>
      <c r="E308" s="119">
        <v>10</v>
      </c>
      <c r="F308" s="256">
        <f>VLOOKUP(C308,[1]VL!$B$3:$E$524,4,0)</f>
        <v>5000</v>
      </c>
      <c r="G308" s="108">
        <f t="shared" si="41"/>
        <v>50000</v>
      </c>
    </row>
    <row r="309" spans="1:7" ht="18" customHeight="1" x14ac:dyDescent="0.3">
      <c r="A309" s="11"/>
      <c r="B309" s="10">
        <v>3</v>
      </c>
      <c r="C309" s="104" t="s">
        <v>761</v>
      </c>
      <c r="D309" s="84" t="s">
        <v>118</v>
      </c>
      <c r="E309" s="119">
        <v>2</v>
      </c>
      <c r="F309" s="256">
        <f>VLOOKUP(C309,[1]VL!$B$3:$E$524,4,0)</f>
        <v>550</v>
      </c>
      <c r="G309" s="108">
        <f t="shared" si="41"/>
        <v>1100</v>
      </c>
    </row>
    <row r="310" spans="1:7" ht="18" customHeight="1" x14ac:dyDescent="0.3">
      <c r="A310" s="11"/>
      <c r="B310" s="10">
        <v>4</v>
      </c>
      <c r="C310" s="83" t="s">
        <v>350</v>
      </c>
      <c r="D310" s="84" t="s">
        <v>114</v>
      </c>
      <c r="E310" s="119">
        <v>1</v>
      </c>
      <c r="F310" s="256">
        <f>VLOOKUP(C310,[1]VL!$B$3:$E$524,4,0)</f>
        <v>120</v>
      </c>
      <c r="G310" s="108">
        <f t="shared" si="41"/>
        <v>120</v>
      </c>
    </row>
    <row r="311" spans="1:7" ht="18" customHeight="1" x14ac:dyDescent="0.3">
      <c r="A311" s="11"/>
      <c r="B311" s="10">
        <v>5</v>
      </c>
      <c r="C311" s="83" t="s">
        <v>287</v>
      </c>
      <c r="D311" s="84" t="s">
        <v>114</v>
      </c>
      <c r="E311" s="119">
        <v>10</v>
      </c>
      <c r="F311" s="256">
        <f>VLOOKUP(C311,[1]VL!$B$3:$E$524,4,0)</f>
        <v>200</v>
      </c>
      <c r="G311" s="108">
        <f t="shared" si="41"/>
        <v>2000</v>
      </c>
    </row>
    <row r="312" spans="1:7" ht="18" customHeight="1" x14ac:dyDescent="0.3">
      <c r="A312" s="11"/>
      <c r="B312" s="10">
        <v>6</v>
      </c>
      <c r="C312" s="83" t="s">
        <v>137</v>
      </c>
      <c r="D312" s="84" t="s">
        <v>114</v>
      </c>
      <c r="E312" s="119">
        <v>1</v>
      </c>
      <c r="F312" s="256">
        <f>VLOOKUP(C312,[1]VL!$B$3:$E$524,4,0)</f>
        <v>700</v>
      </c>
      <c r="G312" s="108">
        <f t="shared" si="41"/>
        <v>700</v>
      </c>
    </row>
    <row r="313" spans="1:7" ht="18" customHeight="1" x14ac:dyDescent="0.3">
      <c r="A313" s="11"/>
      <c r="B313" s="10">
        <v>7</v>
      </c>
      <c r="C313" s="83" t="s">
        <v>117</v>
      </c>
      <c r="D313" s="105" t="s">
        <v>118</v>
      </c>
      <c r="E313" s="351">
        <v>10</v>
      </c>
      <c r="F313" s="256">
        <f>VLOOKUP(C313,[1]VL!$B$3:$E$524,4,0)</f>
        <v>35</v>
      </c>
      <c r="G313" s="108">
        <f t="shared" si="41"/>
        <v>350</v>
      </c>
    </row>
    <row r="314" spans="1:7" ht="18" customHeight="1" x14ac:dyDescent="0.3">
      <c r="A314" s="11"/>
      <c r="B314" s="10">
        <v>8</v>
      </c>
      <c r="C314" s="60" t="s">
        <v>640</v>
      </c>
      <c r="D314" s="84" t="s">
        <v>118</v>
      </c>
      <c r="E314" s="61">
        <v>0.05</v>
      </c>
      <c r="F314" s="256">
        <f>VLOOKUP(C314,[1]VL!$B$3:$E$524,4,0)</f>
        <v>360000</v>
      </c>
      <c r="G314" s="108">
        <f t="shared" si="41"/>
        <v>18000</v>
      </c>
    </row>
    <row r="315" spans="1:7" ht="18" customHeight="1" x14ac:dyDescent="0.3">
      <c r="A315" s="11"/>
      <c r="B315" s="10">
        <v>9</v>
      </c>
      <c r="C315" s="83" t="s">
        <v>120</v>
      </c>
      <c r="D315" s="84" t="s">
        <v>76</v>
      </c>
      <c r="E315" s="112">
        <v>5.0000000000000001E-3</v>
      </c>
      <c r="F315" s="256">
        <f>VLOOKUP(C315,[1]VL!$B$3:$E$524,4,0)</f>
        <v>10000</v>
      </c>
      <c r="G315" s="108">
        <f t="shared" si="41"/>
        <v>50</v>
      </c>
    </row>
    <row r="316" spans="1:7" ht="18" customHeight="1" x14ac:dyDescent="0.3">
      <c r="A316" s="11"/>
      <c r="B316" s="10">
        <v>10</v>
      </c>
      <c r="C316" s="104" t="s">
        <v>129</v>
      </c>
      <c r="D316" s="10" t="s">
        <v>76</v>
      </c>
      <c r="E316" s="119">
        <v>0.01</v>
      </c>
      <c r="F316" s="256">
        <f>VLOOKUP(C316,[1]VL!$B$3:$E$524,4,0)</f>
        <v>40000</v>
      </c>
      <c r="G316" s="108">
        <f t="shared" si="41"/>
        <v>400</v>
      </c>
    </row>
    <row r="317" spans="1:7" ht="18" customHeight="1" x14ac:dyDescent="0.3">
      <c r="A317" s="11">
        <v>17</v>
      </c>
      <c r="B317" s="11" t="s">
        <v>409</v>
      </c>
      <c r="C317" s="87" t="s">
        <v>219</v>
      </c>
      <c r="D317" s="10"/>
      <c r="E317" s="102"/>
      <c r="F317" s="107"/>
      <c r="G317" s="103">
        <f>SUM(G318:G326)*1.08</f>
        <v>25360.560000000001</v>
      </c>
    </row>
    <row r="318" spans="1:7" ht="18" customHeight="1" x14ac:dyDescent="0.3">
      <c r="A318" s="11"/>
      <c r="B318" s="10">
        <v>1</v>
      </c>
      <c r="C318" s="5" t="s">
        <v>352</v>
      </c>
      <c r="D318" s="105" t="s">
        <v>118</v>
      </c>
      <c r="E318" s="112">
        <v>1</v>
      </c>
      <c r="F318" s="256">
        <f>VLOOKUP(C318,[1]VL!$B$3:$E$524,4,0)</f>
        <v>1310</v>
      </c>
      <c r="G318" s="108">
        <f t="shared" si="41"/>
        <v>1310</v>
      </c>
    </row>
    <row r="319" spans="1:7" ht="18" customHeight="1" x14ac:dyDescent="0.3">
      <c r="A319" s="11"/>
      <c r="B319" s="10">
        <v>2</v>
      </c>
      <c r="C319" s="104" t="s">
        <v>134</v>
      </c>
      <c r="D319" s="105" t="s">
        <v>114</v>
      </c>
      <c r="E319" s="112">
        <v>0.4</v>
      </c>
      <c r="F319" s="256">
        <f>VLOOKUP(C319,[1]VL!$B$3:$E$524,4,0)</f>
        <v>2500</v>
      </c>
      <c r="G319" s="108">
        <f t="shared" si="41"/>
        <v>1000</v>
      </c>
    </row>
    <row r="320" spans="1:7" ht="18" customHeight="1" x14ac:dyDescent="0.3">
      <c r="A320" s="11"/>
      <c r="B320" s="10">
        <v>3</v>
      </c>
      <c r="C320" s="104" t="s">
        <v>332</v>
      </c>
      <c r="D320" s="105" t="s">
        <v>114</v>
      </c>
      <c r="E320" s="112">
        <v>0.5</v>
      </c>
      <c r="F320" s="256">
        <f>VLOOKUP(C320,[1]VL!$B$3:$E$524,4,0)</f>
        <v>2920</v>
      </c>
      <c r="G320" s="108">
        <f t="shared" si="41"/>
        <v>1460</v>
      </c>
    </row>
    <row r="321" spans="1:7" ht="18" customHeight="1" x14ac:dyDescent="0.3">
      <c r="A321" s="11"/>
      <c r="B321" s="10">
        <v>4</v>
      </c>
      <c r="C321" s="104" t="s">
        <v>135</v>
      </c>
      <c r="D321" s="105" t="s">
        <v>114</v>
      </c>
      <c r="E321" s="112">
        <v>0.4</v>
      </c>
      <c r="F321" s="256">
        <f>VLOOKUP(C321,[1]VL!$B$3:$E$524,4,0)</f>
        <v>405</v>
      </c>
      <c r="G321" s="108">
        <f t="shared" si="41"/>
        <v>162</v>
      </c>
    </row>
    <row r="322" spans="1:7" ht="18" customHeight="1" x14ac:dyDescent="0.3">
      <c r="A322" s="11"/>
      <c r="B322" s="10">
        <v>5</v>
      </c>
      <c r="C322" s="104" t="s">
        <v>313</v>
      </c>
      <c r="D322" s="105" t="s">
        <v>114</v>
      </c>
      <c r="E322" s="112">
        <v>0.5</v>
      </c>
      <c r="F322" s="256">
        <f>VLOOKUP(C322,[1]VL!$B$3:$E$524,4,0)</f>
        <v>1500</v>
      </c>
      <c r="G322" s="108">
        <f t="shared" si="41"/>
        <v>750</v>
      </c>
    </row>
    <row r="323" spans="1:7" ht="18" customHeight="1" x14ac:dyDescent="0.3">
      <c r="A323" s="11"/>
      <c r="B323" s="10">
        <v>6</v>
      </c>
      <c r="C323" s="60" t="s">
        <v>640</v>
      </c>
      <c r="D323" s="105" t="s">
        <v>76</v>
      </c>
      <c r="E323" s="61">
        <v>0.05</v>
      </c>
      <c r="F323" s="256">
        <f>VLOOKUP(C323,[1]VL!$B$3:$E$524,4,0)</f>
        <v>360000</v>
      </c>
      <c r="G323" s="108">
        <f t="shared" si="41"/>
        <v>18000</v>
      </c>
    </row>
    <row r="324" spans="1:7" ht="18" customHeight="1" x14ac:dyDescent="0.3">
      <c r="A324" s="11"/>
      <c r="B324" s="10">
        <v>7</v>
      </c>
      <c r="C324" s="104" t="s">
        <v>117</v>
      </c>
      <c r="D324" s="105" t="s">
        <v>118</v>
      </c>
      <c r="E324" s="351">
        <v>10</v>
      </c>
      <c r="F324" s="256">
        <f>VLOOKUP(C324,[1]VL!$B$3:$E$524,4,0)</f>
        <v>35</v>
      </c>
      <c r="G324" s="108">
        <f t="shared" si="41"/>
        <v>350</v>
      </c>
    </row>
    <row r="325" spans="1:7" ht="18" customHeight="1" x14ac:dyDescent="0.3">
      <c r="A325" s="11"/>
      <c r="B325" s="10">
        <v>8</v>
      </c>
      <c r="C325" s="104" t="s">
        <v>120</v>
      </c>
      <c r="D325" s="105" t="s">
        <v>121</v>
      </c>
      <c r="E325" s="106">
        <v>5.0000000000000001E-3</v>
      </c>
      <c r="F325" s="256">
        <f>VLOOKUP(C325,[1]VL!$B$3:$E$524,4,0)</f>
        <v>10000</v>
      </c>
      <c r="G325" s="108">
        <f t="shared" si="41"/>
        <v>50</v>
      </c>
    </row>
    <row r="326" spans="1:7" ht="18" customHeight="1" x14ac:dyDescent="0.3">
      <c r="A326" s="11"/>
      <c r="B326" s="10">
        <v>9</v>
      </c>
      <c r="C326" s="104" t="s">
        <v>129</v>
      </c>
      <c r="D326" s="10" t="s">
        <v>76</v>
      </c>
      <c r="E326" s="112">
        <v>0.01</v>
      </c>
      <c r="F326" s="256">
        <f>VLOOKUP(C326,[1]VL!$B$3:$E$524,4,0)</f>
        <v>40000</v>
      </c>
      <c r="G326" s="108">
        <f t="shared" si="41"/>
        <v>400</v>
      </c>
    </row>
    <row r="327" spans="1:7" ht="18" customHeight="1" x14ac:dyDescent="0.3">
      <c r="A327" s="11">
        <v>18</v>
      </c>
      <c r="B327" s="11" t="s">
        <v>410</v>
      </c>
      <c r="C327" s="87" t="s">
        <v>530</v>
      </c>
      <c r="D327" s="10"/>
      <c r="E327" s="102"/>
      <c r="F327" s="107"/>
      <c r="G327" s="103">
        <f>SUM(G328:G341)*1.08</f>
        <v>134697.60000000001</v>
      </c>
    </row>
    <row r="328" spans="1:7" ht="18" customHeight="1" x14ac:dyDescent="0.3">
      <c r="A328" s="11"/>
      <c r="B328" s="10">
        <v>1</v>
      </c>
      <c r="C328" s="12" t="s">
        <v>172</v>
      </c>
      <c r="D328" s="10" t="s">
        <v>118</v>
      </c>
      <c r="E328" s="102">
        <v>1</v>
      </c>
      <c r="F328" s="256">
        <f>VLOOKUP(C328,[1]VL!$B$3:$E$524,4,0)</f>
        <v>160</v>
      </c>
      <c r="G328" s="108">
        <f t="shared" si="41"/>
        <v>160</v>
      </c>
    </row>
    <row r="329" spans="1:7" ht="18" customHeight="1" x14ac:dyDescent="0.3">
      <c r="A329" s="11"/>
      <c r="B329" s="10">
        <v>2</v>
      </c>
      <c r="C329" s="104" t="s">
        <v>126</v>
      </c>
      <c r="D329" s="105" t="s">
        <v>114</v>
      </c>
      <c r="E329" s="102">
        <v>2</v>
      </c>
      <c r="F329" s="256">
        <f>VLOOKUP(C329,[1]VL!$B$3:$E$524,4,0)</f>
        <v>980</v>
      </c>
      <c r="G329" s="108">
        <f t="shared" si="41"/>
        <v>1960</v>
      </c>
    </row>
    <row r="330" spans="1:7" ht="18" customHeight="1" x14ac:dyDescent="0.3">
      <c r="A330" s="11"/>
      <c r="B330" s="10">
        <v>3</v>
      </c>
      <c r="C330" s="5" t="s">
        <v>260</v>
      </c>
      <c r="D330" s="10" t="s">
        <v>114</v>
      </c>
      <c r="E330" s="102">
        <v>0.5</v>
      </c>
      <c r="F330" s="256">
        <f>VLOOKUP(C330,[1]VL!$B$3:$E$524,4,0)</f>
        <v>25000</v>
      </c>
      <c r="G330" s="108">
        <f t="shared" si="41"/>
        <v>12500</v>
      </c>
    </row>
    <row r="331" spans="1:7" ht="18" customHeight="1" x14ac:dyDescent="0.45">
      <c r="A331" s="11"/>
      <c r="B331" s="10">
        <v>4</v>
      </c>
      <c r="C331" s="74" t="s">
        <v>261</v>
      </c>
      <c r="D331" s="4" t="s">
        <v>114</v>
      </c>
      <c r="E331" s="109">
        <v>0.2</v>
      </c>
      <c r="F331" s="256">
        <f>VLOOKUP(C331,[1]VL!$B$3:$E$524,4,0)</f>
        <v>115000</v>
      </c>
      <c r="G331" s="108">
        <f t="shared" si="41"/>
        <v>23000</v>
      </c>
    </row>
    <row r="332" spans="1:7" ht="18" customHeight="1" x14ac:dyDescent="0.3">
      <c r="A332" s="11"/>
      <c r="B332" s="10">
        <v>5</v>
      </c>
      <c r="C332" s="104" t="s">
        <v>761</v>
      </c>
      <c r="D332" s="4" t="s">
        <v>118</v>
      </c>
      <c r="E332" s="109">
        <v>25</v>
      </c>
      <c r="F332" s="256">
        <f>VLOOKUP(C332,[1]VL!$B$3:$E$524,4,0)</f>
        <v>550</v>
      </c>
      <c r="G332" s="108">
        <f t="shared" si="41"/>
        <v>13750</v>
      </c>
    </row>
    <row r="333" spans="1:7" ht="18" customHeight="1" x14ac:dyDescent="0.45">
      <c r="A333" s="11"/>
      <c r="B333" s="10">
        <v>6</v>
      </c>
      <c r="C333" s="120" t="s">
        <v>351</v>
      </c>
      <c r="D333" s="4" t="s">
        <v>114</v>
      </c>
      <c r="E333" s="109">
        <v>0.5</v>
      </c>
      <c r="F333" s="256">
        <f>VLOOKUP(C333,[1]VL!$B$3:$E$524,4,0)</f>
        <v>56000</v>
      </c>
      <c r="G333" s="108">
        <f t="shared" si="41"/>
        <v>28000</v>
      </c>
    </row>
    <row r="334" spans="1:7" ht="18" customHeight="1" x14ac:dyDescent="0.3">
      <c r="A334" s="11"/>
      <c r="B334" s="10">
        <v>7</v>
      </c>
      <c r="C334" s="5" t="s">
        <v>352</v>
      </c>
      <c r="D334" s="4" t="s">
        <v>118</v>
      </c>
      <c r="E334" s="109">
        <v>5</v>
      </c>
      <c r="F334" s="256">
        <f>VLOOKUP(C334,[1]VL!$B$3:$E$524,4,0)</f>
        <v>1310</v>
      </c>
      <c r="G334" s="108">
        <f t="shared" si="41"/>
        <v>6550</v>
      </c>
    </row>
    <row r="335" spans="1:7" ht="18" customHeight="1" x14ac:dyDescent="0.3">
      <c r="A335" s="11"/>
      <c r="B335" s="10">
        <v>8</v>
      </c>
      <c r="C335" s="5" t="s">
        <v>353</v>
      </c>
      <c r="D335" s="4" t="s">
        <v>114</v>
      </c>
      <c r="E335" s="109">
        <v>0.1</v>
      </c>
      <c r="F335" s="256">
        <f>VLOOKUP(C335,[1]VL!$B$3:$E$524,4,0)</f>
        <v>45000</v>
      </c>
      <c r="G335" s="108">
        <f t="shared" si="41"/>
        <v>4500</v>
      </c>
    </row>
    <row r="336" spans="1:7" ht="18" customHeight="1" x14ac:dyDescent="0.3">
      <c r="A336" s="11"/>
      <c r="B336" s="10">
        <v>9</v>
      </c>
      <c r="C336" s="5" t="s">
        <v>137</v>
      </c>
      <c r="D336" s="4" t="s">
        <v>114</v>
      </c>
      <c r="E336" s="109">
        <v>5</v>
      </c>
      <c r="F336" s="256">
        <f>VLOOKUP(C336,[1]VL!$B$3:$E$524,4,0)</f>
        <v>700</v>
      </c>
      <c r="G336" s="108">
        <f t="shared" si="41"/>
        <v>3500</v>
      </c>
    </row>
    <row r="337" spans="1:7" ht="18" customHeight="1" x14ac:dyDescent="0.3">
      <c r="A337" s="11"/>
      <c r="B337" s="10">
        <v>10</v>
      </c>
      <c r="C337" s="5" t="s">
        <v>117</v>
      </c>
      <c r="D337" s="105" t="s">
        <v>118</v>
      </c>
      <c r="E337" s="351">
        <v>10</v>
      </c>
      <c r="F337" s="256">
        <f>VLOOKUP(C337,[1]VL!$B$3:$E$524,4,0)</f>
        <v>35</v>
      </c>
      <c r="G337" s="108">
        <f t="shared" si="41"/>
        <v>350</v>
      </c>
    </row>
    <row r="338" spans="1:7" ht="18" customHeight="1" x14ac:dyDescent="0.3">
      <c r="A338" s="11"/>
      <c r="B338" s="10">
        <v>11</v>
      </c>
      <c r="C338" s="5" t="s">
        <v>130</v>
      </c>
      <c r="D338" s="4" t="s">
        <v>76</v>
      </c>
      <c r="E338" s="109">
        <v>0.1</v>
      </c>
      <c r="F338" s="256">
        <f>VLOOKUP(C338,[1]VL!$B$3:$E$524,4,0)</f>
        <v>120000</v>
      </c>
      <c r="G338" s="108">
        <f t="shared" si="41"/>
        <v>12000</v>
      </c>
    </row>
    <row r="339" spans="1:7" ht="18" customHeight="1" x14ac:dyDescent="0.3">
      <c r="A339" s="11"/>
      <c r="B339" s="10">
        <v>12</v>
      </c>
      <c r="C339" s="60" t="s">
        <v>640</v>
      </c>
      <c r="D339" s="4" t="s">
        <v>76</v>
      </c>
      <c r="E339" s="61">
        <v>0.05</v>
      </c>
      <c r="F339" s="256">
        <f>VLOOKUP(C339,[1]VL!$B$3:$E$524,4,0)</f>
        <v>360000</v>
      </c>
      <c r="G339" s="108">
        <f t="shared" si="41"/>
        <v>18000</v>
      </c>
    </row>
    <row r="340" spans="1:7" ht="18" customHeight="1" x14ac:dyDescent="0.3">
      <c r="A340" s="11"/>
      <c r="B340" s="10">
        <v>13</v>
      </c>
      <c r="C340" s="5" t="s">
        <v>120</v>
      </c>
      <c r="D340" s="4" t="s">
        <v>121</v>
      </c>
      <c r="E340" s="106">
        <v>5.0000000000000001E-3</v>
      </c>
      <c r="F340" s="256">
        <f>VLOOKUP(C340,[1]VL!$B$3:$E$524,4,0)</f>
        <v>10000</v>
      </c>
      <c r="G340" s="108">
        <f t="shared" si="41"/>
        <v>50</v>
      </c>
    </row>
    <row r="341" spans="1:7" ht="18" customHeight="1" x14ac:dyDescent="0.3">
      <c r="A341" s="11"/>
      <c r="B341" s="10">
        <v>14</v>
      </c>
      <c r="C341" s="104" t="s">
        <v>129</v>
      </c>
      <c r="D341" s="10" t="s">
        <v>76</v>
      </c>
      <c r="E341" s="109">
        <v>0.01</v>
      </c>
      <c r="F341" s="256">
        <f>VLOOKUP(C341,[1]VL!$B$3:$E$524,4,0)</f>
        <v>40000</v>
      </c>
      <c r="G341" s="108">
        <f t="shared" si="41"/>
        <v>400</v>
      </c>
    </row>
    <row r="342" spans="1:7" ht="18" customHeight="1" x14ac:dyDescent="0.3">
      <c r="A342" s="11">
        <v>19</v>
      </c>
      <c r="B342" s="11" t="s">
        <v>411</v>
      </c>
      <c r="C342" s="88" t="s">
        <v>220</v>
      </c>
      <c r="D342" s="4"/>
      <c r="E342" s="109"/>
      <c r="F342" s="107"/>
      <c r="G342" s="103">
        <f>SUM(G343:G354)*1.08</f>
        <v>89158.32</v>
      </c>
    </row>
    <row r="343" spans="1:7" ht="18" customHeight="1" x14ac:dyDescent="0.3">
      <c r="A343" s="11"/>
      <c r="B343" s="10">
        <v>1</v>
      </c>
      <c r="C343" s="104" t="s">
        <v>354</v>
      </c>
      <c r="D343" s="105" t="s">
        <v>114</v>
      </c>
      <c r="E343" s="112">
        <v>0.5</v>
      </c>
      <c r="F343" s="256">
        <f>VLOOKUP(C343,[1]VL!$B$3:$E$524,4,0)</f>
        <v>1600</v>
      </c>
      <c r="G343" s="108">
        <f t="shared" si="41"/>
        <v>800</v>
      </c>
    </row>
    <row r="344" spans="1:7" ht="18" customHeight="1" x14ac:dyDescent="0.3">
      <c r="A344" s="11"/>
      <c r="B344" s="10">
        <v>2</v>
      </c>
      <c r="C344" s="104" t="s">
        <v>126</v>
      </c>
      <c r="D344" s="105" t="s">
        <v>114</v>
      </c>
      <c r="E344" s="112">
        <v>0.8</v>
      </c>
      <c r="F344" s="256">
        <f>VLOOKUP(C344,[1]VL!$B$3:$E$524,4,0)</f>
        <v>980</v>
      </c>
      <c r="G344" s="108">
        <f t="shared" si="41"/>
        <v>784</v>
      </c>
    </row>
    <row r="345" spans="1:7" ht="18" customHeight="1" x14ac:dyDescent="0.3">
      <c r="A345" s="11"/>
      <c r="B345" s="10">
        <v>3</v>
      </c>
      <c r="C345" s="104" t="s">
        <v>151</v>
      </c>
      <c r="D345" s="105" t="s">
        <v>114</v>
      </c>
      <c r="E345" s="112">
        <v>0.2</v>
      </c>
      <c r="F345" s="256">
        <f>VLOOKUP(C345,[1]VL!$B$3:$E$524,4,0)</f>
        <v>1900</v>
      </c>
      <c r="G345" s="108">
        <f t="shared" si="41"/>
        <v>380</v>
      </c>
    </row>
    <row r="346" spans="1:7" ht="18" customHeight="1" x14ac:dyDescent="0.3">
      <c r="A346" s="11"/>
      <c r="B346" s="10">
        <v>4</v>
      </c>
      <c r="C346" s="104" t="s">
        <v>355</v>
      </c>
      <c r="D346" s="105" t="s">
        <v>65</v>
      </c>
      <c r="E346" s="112">
        <v>1.4999999999999999E-2</v>
      </c>
      <c r="F346" s="256">
        <f>VLOOKUP(C346,[1]VL!$B$3:$E$524,4,0)</f>
        <v>4000000</v>
      </c>
      <c r="G346" s="108">
        <f t="shared" si="41"/>
        <v>60000</v>
      </c>
    </row>
    <row r="347" spans="1:7" ht="18" customHeight="1" x14ac:dyDescent="0.3">
      <c r="A347" s="11"/>
      <c r="B347" s="10">
        <v>5</v>
      </c>
      <c r="C347" s="104" t="s">
        <v>137</v>
      </c>
      <c r="D347" s="105" t="s">
        <v>114</v>
      </c>
      <c r="E347" s="112">
        <v>0.2</v>
      </c>
      <c r="F347" s="256">
        <f>VLOOKUP(C347,[1]VL!$B$3:$E$524,4,0)</f>
        <v>700</v>
      </c>
      <c r="G347" s="108">
        <f t="shared" si="41"/>
        <v>140</v>
      </c>
    </row>
    <row r="348" spans="1:7" ht="18" customHeight="1" x14ac:dyDescent="0.3">
      <c r="A348" s="11"/>
      <c r="B348" s="10">
        <v>6</v>
      </c>
      <c r="C348" s="104" t="s">
        <v>117</v>
      </c>
      <c r="D348" s="105" t="s">
        <v>118</v>
      </c>
      <c r="E348" s="351">
        <v>10</v>
      </c>
      <c r="F348" s="256">
        <f>VLOOKUP(C348,[1]VL!$B$3:$E$524,4,0)</f>
        <v>35</v>
      </c>
      <c r="G348" s="108">
        <f t="shared" si="41"/>
        <v>350</v>
      </c>
    </row>
    <row r="349" spans="1:7" ht="18" customHeight="1" x14ac:dyDescent="0.3">
      <c r="A349" s="11"/>
      <c r="B349" s="10">
        <v>7</v>
      </c>
      <c r="C349" s="104" t="s">
        <v>130</v>
      </c>
      <c r="D349" s="105" t="s">
        <v>76</v>
      </c>
      <c r="E349" s="112">
        <v>0.01</v>
      </c>
      <c r="F349" s="256">
        <f>VLOOKUP(C349,[1]VL!$B$3:$E$524,4,0)</f>
        <v>120000</v>
      </c>
      <c r="G349" s="108">
        <f t="shared" si="41"/>
        <v>1200</v>
      </c>
    </row>
    <row r="350" spans="1:7" ht="18" customHeight="1" x14ac:dyDescent="0.3">
      <c r="A350" s="11"/>
      <c r="B350" s="10">
        <v>8</v>
      </c>
      <c r="C350" s="60" t="s">
        <v>640</v>
      </c>
      <c r="D350" s="105" t="s">
        <v>76</v>
      </c>
      <c r="E350" s="61">
        <v>0.05</v>
      </c>
      <c r="F350" s="256">
        <f>VLOOKUP(C350,[1]VL!$B$3:$E$524,4,0)</f>
        <v>360000</v>
      </c>
      <c r="G350" s="108">
        <f t="shared" si="41"/>
        <v>18000</v>
      </c>
    </row>
    <row r="351" spans="1:7" ht="18" customHeight="1" x14ac:dyDescent="0.3">
      <c r="A351" s="11"/>
      <c r="B351" s="10">
        <v>9</v>
      </c>
      <c r="C351" s="104" t="s">
        <v>120</v>
      </c>
      <c r="D351" s="105" t="s">
        <v>121</v>
      </c>
      <c r="E351" s="106">
        <v>5.0000000000000001E-3</v>
      </c>
      <c r="F351" s="256">
        <f>VLOOKUP(C351,[1]VL!$B$3:$E$524,4,0)</f>
        <v>10000</v>
      </c>
      <c r="G351" s="108">
        <f t="shared" si="41"/>
        <v>50</v>
      </c>
    </row>
    <row r="352" spans="1:7" ht="18" customHeight="1" x14ac:dyDescent="0.3">
      <c r="A352" s="11"/>
      <c r="B352" s="10">
        <v>10</v>
      </c>
      <c r="C352" s="104" t="s">
        <v>129</v>
      </c>
      <c r="D352" s="10" t="s">
        <v>76</v>
      </c>
      <c r="E352" s="112">
        <v>0.01</v>
      </c>
      <c r="F352" s="256">
        <f>VLOOKUP(C352,[1]VL!$B$3:$E$524,4,0)</f>
        <v>40000</v>
      </c>
      <c r="G352" s="108">
        <f t="shared" si="41"/>
        <v>400</v>
      </c>
    </row>
    <row r="353" spans="1:7" ht="18" customHeight="1" x14ac:dyDescent="0.3">
      <c r="A353" s="11"/>
      <c r="B353" s="10">
        <v>11</v>
      </c>
      <c r="C353" s="5" t="s">
        <v>120</v>
      </c>
      <c r="D353" s="4" t="s">
        <v>121</v>
      </c>
      <c r="E353" s="106">
        <v>5.0000000000000001E-3</v>
      </c>
      <c r="F353" s="256">
        <f>VLOOKUP(C353,[1]VL!$B$3:$E$524,4,0)</f>
        <v>10000</v>
      </c>
      <c r="G353" s="108">
        <f t="shared" si="41"/>
        <v>50</v>
      </c>
    </row>
    <row r="354" spans="1:7" ht="18" customHeight="1" x14ac:dyDescent="0.3">
      <c r="A354" s="11"/>
      <c r="B354" s="10">
        <v>12</v>
      </c>
      <c r="C354" s="104" t="s">
        <v>129</v>
      </c>
      <c r="D354" s="10" t="s">
        <v>76</v>
      </c>
      <c r="E354" s="109">
        <v>0.01</v>
      </c>
      <c r="F354" s="256">
        <f>VLOOKUP(C354,[1]VL!$B$3:$E$524,4,0)</f>
        <v>40000</v>
      </c>
      <c r="G354" s="108">
        <f t="shared" si="41"/>
        <v>400</v>
      </c>
    </row>
    <row r="355" spans="1:7" ht="18" customHeight="1" x14ac:dyDescent="0.3">
      <c r="A355" s="11">
        <v>20</v>
      </c>
      <c r="B355" s="11" t="s">
        <v>412</v>
      </c>
      <c r="C355" s="114" t="s">
        <v>367</v>
      </c>
      <c r="D355" s="116"/>
      <c r="E355" s="131"/>
      <c r="F355" s="107"/>
      <c r="G355" s="103">
        <f>SUM(G356:G367)*1.08</f>
        <v>33021</v>
      </c>
    </row>
    <row r="356" spans="1:7" ht="18" customHeight="1" x14ac:dyDescent="0.3">
      <c r="A356" s="11"/>
      <c r="B356" s="10">
        <v>1</v>
      </c>
      <c r="C356" s="132" t="s">
        <v>136</v>
      </c>
      <c r="D356" s="116" t="s">
        <v>114</v>
      </c>
      <c r="E356" s="131">
        <v>1</v>
      </c>
      <c r="F356" s="256">
        <f>VLOOKUP(C356,[1]VL!$B$3:$E$524,4,0)</f>
        <v>6000</v>
      </c>
      <c r="G356" s="108">
        <f t="shared" ref="G356:G367" si="42">F356*E356</f>
        <v>6000</v>
      </c>
    </row>
    <row r="357" spans="1:7" ht="18" customHeight="1" x14ac:dyDescent="0.3">
      <c r="A357" s="11"/>
      <c r="B357" s="10">
        <v>2</v>
      </c>
      <c r="C357" s="113" t="s">
        <v>288</v>
      </c>
      <c r="D357" s="116" t="s">
        <v>114</v>
      </c>
      <c r="E357" s="131">
        <v>2</v>
      </c>
      <c r="F357" s="256">
        <f>VLOOKUP(C357,[1]VL!$B$3:$E$524,4,0)</f>
        <v>440</v>
      </c>
      <c r="G357" s="108">
        <f t="shared" si="42"/>
        <v>880</v>
      </c>
    </row>
    <row r="358" spans="1:7" ht="18" customHeight="1" x14ac:dyDescent="0.3">
      <c r="A358" s="11"/>
      <c r="B358" s="10">
        <v>3</v>
      </c>
      <c r="C358" s="133" t="s">
        <v>289</v>
      </c>
      <c r="D358" s="116" t="s">
        <v>114</v>
      </c>
      <c r="E358" s="131">
        <v>0.5</v>
      </c>
      <c r="F358" s="256">
        <f>VLOOKUP(C358,[1]VL!$B$3:$E$524,4,0)</f>
        <v>600</v>
      </c>
      <c r="G358" s="108">
        <f t="shared" si="42"/>
        <v>300</v>
      </c>
    </row>
    <row r="359" spans="1:7" ht="18" customHeight="1" x14ac:dyDescent="0.3">
      <c r="A359" s="11"/>
      <c r="B359" s="10">
        <v>4</v>
      </c>
      <c r="C359" s="133" t="s">
        <v>290</v>
      </c>
      <c r="D359" s="116" t="s">
        <v>114</v>
      </c>
      <c r="E359" s="131">
        <v>0.1</v>
      </c>
      <c r="F359" s="256">
        <f>VLOOKUP(C359,[1]VL!$B$3:$E$524,4,0)</f>
        <v>2240</v>
      </c>
      <c r="G359" s="108">
        <f t="shared" si="42"/>
        <v>224</v>
      </c>
    </row>
    <row r="360" spans="1:7" ht="18" customHeight="1" x14ac:dyDescent="0.3">
      <c r="A360" s="11"/>
      <c r="B360" s="10">
        <v>5</v>
      </c>
      <c r="C360" s="5" t="s">
        <v>352</v>
      </c>
      <c r="D360" s="116" t="s">
        <v>118</v>
      </c>
      <c r="E360" s="131">
        <v>0.2</v>
      </c>
      <c r="F360" s="256">
        <f>VLOOKUP(C360,[1]VL!$B$3:$E$524,4,0)</f>
        <v>1310</v>
      </c>
      <c r="G360" s="108">
        <f t="shared" si="42"/>
        <v>262</v>
      </c>
    </row>
    <row r="361" spans="1:7" ht="18" customHeight="1" x14ac:dyDescent="0.3">
      <c r="A361" s="11"/>
      <c r="B361" s="10">
        <v>6</v>
      </c>
      <c r="C361" s="104" t="s">
        <v>126</v>
      </c>
      <c r="D361" s="105" t="s">
        <v>114</v>
      </c>
      <c r="E361" s="131">
        <v>0.8</v>
      </c>
      <c r="F361" s="256">
        <f>VLOOKUP(C361,[1]VL!$B$3:$E$524,4,0)</f>
        <v>980</v>
      </c>
      <c r="G361" s="108">
        <f t="shared" si="42"/>
        <v>784</v>
      </c>
    </row>
    <row r="362" spans="1:7" ht="18" customHeight="1" x14ac:dyDescent="0.3">
      <c r="A362" s="11"/>
      <c r="B362" s="10">
        <v>7</v>
      </c>
      <c r="C362" s="113" t="s">
        <v>148</v>
      </c>
      <c r="D362" s="116" t="s">
        <v>118</v>
      </c>
      <c r="E362" s="131">
        <v>0.5</v>
      </c>
      <c r="F362" s="256">
        <f>VLOOKUP(C362,[1]VL!$B$3:$E$524,4,0)</f>
        <v>2850</v>
      </c>
      <c r="G362" s="108">
        <f t="shared" si="42"/>
        <v>1425</v>
      </c>
    </row>
    <row r="363" spans="1:7" ht="18" customHeight="1" x14ac:dyDescent="0.3">
      <c r="A363" s="11"/>
      <c r="B363" s="10">
        <v>8</v>
      </c>
      <c r="C363" s="113" t="s">
        <v>217</v>
      </c>
      <c r="D363" s="116" t="s">
        <v>114</v>
      </c>
      <c r="E363" s="131">
        <v>0.1</v>
      </c>
      <c r="F363" s="256">
        <f>VLOOKUP(C363,[1]VL!$B$3:$E$524,4,0)</f>
        <v>19000</v>
      </c>
      <c r="G363" s="108">
        <f t="shared" si="42"/>
        <v>1900</v>
      </c>
    </row>
    <row r="364" spans="1:7" ht="18" customHeight="1" x14ac:dyDescent="0.3">
      <c r="A364" s="11"/>
      <c r="B364" s="10">
        <v>9</v>
      </c>
      <c r="C364" s="113" t="s">
        <v>117</v>
      </c>
      <c r="D364" s="105" t="s">
        <v>118</v>
      </c>
      <c r="E364" s="351">
        <v>10</v>
      </c>
      <c r="F364" s="256">
        <f>VLOOKUP(C364,[1]VL!$B$3:$E$524,4,0)</f>
        <v>35</v>
      </c>
      <c r="G364" s="108">
        <f t="shared" si="42"/>
        <v>350</v>
      </c>
    </row>
    <row r="365" spans="1:7" ht="18" customHeight="1" x14ac:dyDescent="0.3">
      <c r="A365" s="11"/>
      <c r="B365" s="10">
        <v>10</v>
      </c>
      <c r="C365" s="60" t="s">
        <v>640</v>
      </c>
      <c r="D365" s="116" t="s">
        <v>76</v>
      </c>
      <c r="E365" s="61">
        <v>0.05</v>
      </c>
      <c r="F365" s="256">
        <f>VLOOKUP(C365,[1]VL!$B$3:$E$524,4,0)</f>
        <v>360000</v>
      </c>
      <c r="G365" s="108">
        <f t="shared" si="42"/>
        <v>18000</v>
      </c>
    </row>
    <row r="366" spans="1:7" ht="18" customHeight="1" x14ac:dyDescent="0.3">
      <c r="A366" s="11"/>
      <c r="B366" s="10">
        <v>11</v>
      </c>
      <c r="C366" s="104" t="s">
        <v>129</v>
      </c>
      <c r="D366" s="10" t="s">
        <v>76</v>
      </c>
      <c r="E366" s="121">
        <v>0.01</v>
      </c>
      <c r="F366" s="256">
        <f>VLOOKUP(C366,[1]VL!$B$3:$E$524,4,0)</f>
        <v>40000</v>
      </c>
      <c r="G366" s="108">
        <f t="shared" si="42"/>
        <v>400</v>
      </c>
    </row>
    <row r="367" spans="1:7" ht="18" customHeight="1" x14ac:dyDescent="0.3">
      <c r="A367" s="11"/>
      <c r="B367" s="10">
        <v>12</v>
      </c>
      <c r="C367" s="113" t="s">
        <v>120</v>
      </c>
      <c r="D367" s="116" t="s">
        <v>121</v>
      </c>
      <c r="E367" s="106">
        <v>5.0000000000000001E-3</v>
      </c>
      <c r="F367" s="256">
        <f>VLOOKUP(C367,[1]VL!$B$3:$E$524,4,0)</f>
        <v>10000</v>
      </c>
      <c r="G367" s="108">
        <f t="shared" si="42"/>
        <v>50</v>
      </c>
    </row>
    <row r="368" spans="1:7" ht="18" customHeight="1" x14ac:dyDescent="0.3">
      <c r="A368" s="11">
        <v>21</v>
      </c>
      <c r="B368" s="383" t="s">
        <v>714</v>
      </c>
      <c r="C368" s="463" t="s">
        <v>736</v>
      </c>
      <c r="D368" s="463"/>
      <c r="E368" s="463"/>
      <c r="F368" s="107"/>
      <c r="G368" s="103">
        <f>SUM(G369:G379)*1.08</f>
        <v>70416</v>
      </c>
    </row>
    <row r="369" spans="1:7" ht="18" customHeight="1" x14ac:dyDescent="0.3">
      <c r="A369" s="11"/>
      <c r="B369" s="10">
        <v>1</v>
      </c>
      <c r="C369" s="104" t="s">
        <v>128</v>
      </c>
      <c r="D369" s="105" t="s">
        <v>118</v>
      </c>
      <c r="E369" s="112">
        <v>1</v>
      </c>
      <c r="F369" s="256">
        <f>VLOOKUP(C369,[1]VL!$B$3:$E$524,4,0)</f>
        <v>2400</v>
      </c>
      <c r="G369" s="108">
        <f t="shared" ref="G369:G379" si="43">F369*E369</f>
        <v>2400</v>
      </c>
    </row>
    <row r="370" spans="1:7" ht="18" customHeight="1" x14ac:dyDescent="0.3">
      <c r="A370" s="11"/>
      <c r="B370" s="10">
        <v>2</v>
      </c>
      <c r="C370" s="104" t="s">
        <v>368</v>
      </c>
      <c r="D370" s="105" t="s">
        <v>118</v>
      </c>
      <c r="E370" s="112">
        <v>10</v>
      </c>
      <c r="F370" s="256">
        <f>VLOOKUP(C370,[1]VL!$B$3:$E$524,4,0)</f>
        <v>660</v>
      </c>
      <c r="G370" s="108">
        <f t="shared" si="43"/>
        <v>6600</v>
      </c>
    </row>
    <row r="371" spans="1:7" ht="18" customHeight="1" x14ac:dyDescent="0.3">
      <c r="A371" s="11"/>
      <c r="B371" s="10">
        <v>3</v>
      </c>
      <c r="C371" s="104" t="s">
        <v>369</v>
      </c>
      <c r="D371" s="105" t="s">
        <v>118</v>
      </c>
      <c r="E371" s="112">
        <v>10</v>
      </c>
      <c r="F371" s="256">
        <f>VLOOKUP(C371,[1]VL!$B$3:$E$524,4,0)</f>
        <v>1100</v>
      </c>
      <c r="G371" s="108">
        <f t="shared" si="43"/>
        <v>11000</v>
      </c>
    </row>
    <row r="372" spans="1:7" ht="18" customHeight="1" x14ac:dyDescent="0.3">
      <c r="A372" s="11"/>
      <c r="B372" s="10">
        <v>4</v>
      </c>
      <c r="C372" s="104" t="s">
        <v>126</v>
      </c>
      <c r="D372" s="105" t="s">
        <v>114</v>
      </c>
      <c r="E372" s="112">
        <v>10</v>
      </c>
      <c r="F372" s="256">
        <f>VLOOKUP(C372,[1]VL!$B$3:$E$524,4,0)</f>
        <v>980</v>
      </c>
      <c r="G372" s="108">
        <f t="shared" si="43"/>
        <v>9800</v>
      </c>
    </row>
    <row r="373" spans="1:7" ht="18" customHeight="1" x14ac:dyDescent="0.3">
      <c r="A373" s="11"/>
      <c r="B373" s="10">
        <v>5</v>
      </c>
      <c r="C373" s="104" t="s">
        <v>152</v>
      </c>
      <c r="D373" s="105" t="s">
        <v>114</v>
      </c>
      <c r="E373" s="112">
        <v>10</v>
      </c>
      <c r="F373" s="256">
        <f>VLOOKUP(C373,[1]VL!$B$3:$E$524,4,0)</f>
        <v>980</v>
      </c>
      <c r="G373" s="108">
        <f t="shared" si="43"/>
        <v>9800</v>
      </c>
    </row>
    <row r="374" spans="1:7" ht="18" customHeight="1" x14ac:dyDescent="0.3">
      <c r="A374" s="11"/>
      <c r="B374" s="10">
        <v>6</v>
      </c>
      <c r="C374" s="104" t="s">
        <v>153</v>
      </c>
      <c r="D374" s="105" t="s">
        <v>114</v>
      </c>
      <c r="E374" s="112">
        <v>1E-3</v>
      </c>
      <c r="F374" s="256">
        <f>VLOOKUP(C374,[1]VL!$B$3:$E$524,4,0)</f>
        <v>5500000</v>
      </c>
      <c r="G374" s="108">
        <f t="shared" si="43"/>
        <v>5500</v>
      </c>
    </row>
    <row r="375" spans="1:7" ht="18" customHeight="1" x14ac:dyDescent="0.3">
      <c r="A375" s="11"/>
      <c r="B375" s="10">
        <v>7</v>
      </c>
      <c r="C375" s="104" t="s">
        <v>117</v>
      </c>
      <c r="D375" s="105" t="s">
        <v>118</v>
      </c>
      <c r="E375" s="351">
        <v>10</v>
      </c>
      <c r="F375" s="256">
        <f>VLOOKUP(C375,[1]VL!$B$3:$E$524,4,0)</f>
        <v>35</v>
      </c>
      <c r="G375" s="108">
        <f t="shared" si="43"/>
        <v>350</v>
      </c>
    </row>
    <row r="376" spans="1:7" ht="18" customHeight="1" x14ac:dyDescent="0.3">
      <c r="A376" s="11"/>
      <c r="B376" s="10">
        <v>8</v>
      </c>
      <c r="C376" s="60" t="s">
        <v>640</v>
      </c>
      <c r="D376" s="105" t="s">
        <v>76</v>
      </c>
      <c r="E376" s="61">
        <v>0.05</v>
      </c>
      <c r="F376" s="256">
        <f>VLOOKUP(C376,[1]VL!$B$3:$E$524,4,0)</f>
        <v>360000</v>
      </c>
      <c r="G376" s="108">
        <f t="shared" si="43"/>
        <v>18000</v>
      </c>
    </row>
    <row r="377" spans="1:7" ht="18" customHeight="1" x14ac:dyDescent="0.3">
      <c r="A377" s="11"/>
      <c r="B377" s="10">
        <v>9</v>
      </c>
      <c r="C377" s="104" t="s">
        <v>120</v>
      </c>
      <c r="D377" s="105" t="s">
        <v>121</v>
      </c>
      <c r="E377" s="106">
        <v>5.0000000000000001E-3</v>
      </c>
      <c r="F377" s="256">
        <f>VLOOKUP(C377,[1]VL!$B$3:$E$524,4,0)</f>
        <v>10000</v>
      </c>
      <c r="G377" s="108">
        <f t="shared" si="43"/>
        <v>50</v>
      </c>
    </row>
    <row r="378" spans="1:7" ht="18" customHeight="1" x14ac:dyDescent="0.3">
      <c r="A378" s="11"/>
      <c r="B378" s="10">
        <v>10</v>
      </c>
      <c r="C378" s="104" t="s">
        <v>129</v>
      </c>
      <c r="D378" s="10" t="s">
        <v>76</v>
      </c>
      <c r="E378" s="112">
        <v>0.01</v>
      </c>
      <c r="F378" s="256">
        <f>VLOOKUP(C378,[1]VL!$B$3:$E$524,4,0)</f>
        <v>40000</v>
      </c>
      <c r="G378" s="108">
        <f t="shared" si="43"/>
        <v>400</v>
      </c>
    </row>
    <row r="379" spans="1:7" ht="18" customHeight="1" x14ac:dyDescent="0.3">
      <c r="A379" s="11"/>
      <c r="B379" s="10">
        <v>11</v>
      </c>
      <c r="C379" s="104" t="s">
        <v>154</v>
      </c>
      <c r="D379" s="105" t="s">
        <v>70</v>
      </c>
      <c r="E379" s="112">
        <v>2E-3</v>
      </c>
      <c r="F379" s="256">
        <f>VLOOKUP(C379,[1]VL!$B$3:$E$524,4,0)</f>
        <v>650000</v>
      </c>
      <c r="G379" s="108">
        <f t="shared" si="43"/>
        <v>1300</v>
      </c>
    </row>
    <row r="380" spans="1:7" ht="18" customHeight="1" x14ac:dyDescent="0.3">
      <c r="A380" s="390">
        <v>22</v>
      </c>
      <c r="B380" s="367" t="s">
        <v>715</v>
      </c>
      <c r="C380" s="367" t="s">
        <v>699</v>
      </c>
      <c r="D380" s="515" t="s">
        <v>727</v>
      </c>
      <c r="E380" s="516"/>
      <c r="F380" s="517"/>
      <c r="G380" s="186">
        <f>G368</f>
        <v>70416</v>
      </c>
    </row>
    <row r="381" spans="1:7" ht="18" customHeight="1" x14ac:dyDescent="0.3">
      <c r="A381" s="391">
        <v>23</v>
      </c>
      <c r="B381" s="392" t="s">
        <v>557</v>
      </c>
      <c r="C381" s="367" t="s">
        <v>492</v>
      </c>
      <c r="D381" s="515" t="s">
        <v>742</v>
      </c>
      <c r="E381" s="516"/>
      <c r="F381" s="517"/>
      <c r="G381" s="103">
        <f>SUM(G382:G395)*1.08</f>
        <v>76944.600000000006</v>
      </c>
    </row>
    <row r="382" spans="1:7" ht="18" customHeight="1" x14ac:dyDescent="0.3">
      <c r="A382" s="11"/>
      <c r="B382" s="10">
        <v>1</v>
      </c>
      <c r="C382" s="104" t="s">
        <v>128</v>
      </c>
      <c r="D382" s="105" t="s">
        <v>118</v>
      </c>
      <c r="E382" s="112">
        <v>1</v>
      </c>
      <c r="F382" s="256">
        <f>VLOOKUP(C382,[1]VL!$B$3:$E$524,4,0)</f>
        <v>2400</v>
      </c>
      <c r="G382" s="108">
        <f t="shared" ref="G382:G395" si="44">F382*E382</f>
        <v>2400</v>
      </c>
    </row>
    <row r="383" spans="1:7" ht="18" customHeight="1" x14ac:dyDescent="0.3">
      <c r="A383" s="11"/>
      <c r="B383" s="10">
        <v>2</v>
      </c>
      <c r="C383" s="104" t="s">
        <v>156</v>
      </c>
      <c r="D383" s="105" t="s">
        <v>118</v>
      </c>
      <c r="E383" s="112">
        <v>10</v>
      </c>
      <c r="F383" s="256">
        <f>VLOOKUP(C383,[1]VL!$B$3:$E$524,4,0)</f>
        <v>660</v>
      </c>
      <c r="G383" s="108">
        <f t="shared" si="44"/>
        <v>6600</v>
      </c>
    </row>
    <row r="384" spans="1:7" ht="18" customHeight="1" x14ac:dyDescent="0.3">
      <c r="A384" s="11"/>
      <c r="B384" s="10">
        <v>3</v>
      </c>
      <c r="C384" s="104" t="s">
        <v>157</v>
      </c>
      <c r="D384" s="105" t="s">
        <v>118</v>
      </c>
      <c r="E384" s="112">
        <v>10</v>
      </c>
      <c r="F384" s="256">
        <f>VLOOKUP(C384,[1]VL!$B$3:$E$524,4,0)</f>
        <v>1100</v>
      </c>
      <c r="G384" s="108">
        <f t="shared" si="44"/>
        <v>11000</v>
      </c>
    </row>
    <row r="385" spans="1:7" ht="18" customHeight="1" x14ac:dyDescent="0.3">
      <c r="A385" s="11"/>
      <c r="B385" s="10">
        <v>4</v>
      </c>
      <c r="C385" s="5" t="s">
        <v>352</v>
      </c>
      <c r="D385" s="105" t="s">
        <v>118</v>
      </c>
      <c r="E385" s="112">
        <v>2.5</v>
      </c>
      <c r="F385" s="256">
        <f>VLOOKUP(C385,[1]VL!$B$3:$E$524,4,0)</f>
        <v>1310</v>
      </c>
      <c r="G385" s="108">
        <f t="shared" si="44"/>
        <v>3275</v>
      </c>
    </row>
    <row r="386" spans="1:7" ht="18" customHeight="1" x14ac:dyDescent="0.3">
      <c r="A386" s="11"/>
      <c r="B386" s="10">
        <v>5</v>
      </c>
      <c r="C386" s="104" t="s">
        <v>761</v>
      </c>
      <c r="D386" s="105" t="s">
        <v>118</v>
      </c>
      <c r="E386" s="112">
        <v>5</v>
      </c>
      <c r="F386" s="256">
        <f>VLOOKUP(C386,[1]VL!$B$3:$E$524,4,0)</f>
        <v>550</v>
      </c>
      <c r="G386" s="108">
        <f t="shared" si="44"/>
        <v>2750</v>
      </c>
    </row>
    <row r="387" spans="1:7" ht="18" customHeight="1" x14ac:dyDescent="0.3">
      <c r="A387" s="11"/>
      <c r="B387" s="10">
        <v>6</v>
      </c>
      <c r="C387" s="104" t="s">
        <v>136</v>
      </c>
      <c r="D387" s="105" t="s">
        <v>114</v>
      </c>
      <c r="E387" s="112">
        <v>2</v>
      </c>
      <c r="F387" s="256">
        <f>VLOOKUP(C387,[1]VL!$B$3:$E$524,4,0)</f>
        <v>6000</v>
      </c>
      <c r="G387" s="108">
        <f t="shared" si="44"/>
        <v>12000</v>
      </c>
    </row>
    <row r="388" spans="1:7" ht="18" customHeight="1" x14ac:dyDescent="0.3">
      <c r="A388" s="11"/>
      <c r="B388" s="10">
        <v>7</v>
      </c>
      <c r="C388" s="104" t="s">
        <v>126</v>
      </c>
      <c r="D388" s="105" t="s">
        <v>114</v>
      </c>
      <c r="E388" s="112">
        <v>10</v>
      </c>
      <c r="F388" s="256">
        <f>VLOOKUP(C388,[1]VL!$B$3:$E$524,4,0)</f>
        <v>980</v>
      </c>
      <c r="G388" s="108">
        <f t="shared" si="44"/>
        <v>9800</v>
      </c>
    </row>
    <row r="389" spans="1:7" ht="18" customHeight="1" x14ac:dyDescent="0.3">
      <c r="A389" s="11"/>
      <c r="B389" s="10">
        <v>8</v>
      </c>
      <c r="C389" s="104" t="s">
        <v>158</v>
      </c>
      <c r="D389" s="105" t="s">
        <v>114</v>
      </c>
      <c r="E389" s="112">
        <v>0.3</v>
      </c>
      <c r="F389" s="256">
        <f>VLOOKUP(C389,[1]VL!$B$3:$E$524,4,0)</f>
        <v>52400</v>
      </c>
      <c r="G389" s="108">
        <f t="shared" si="44"/>
        <v>15720</v>
      </c>
    </row>
    <row r="390" spans="1:7" ht="18" customHeight="1" x14ac:dyDescent="0.3">
      <c r="A390" s="11"/>
      <c r="B390" s="10">
        <v>9</v>
      </c>
      <c r="C390" s="104" t="s">
        <v>117</v>
      </c>
      <c r="D390" s="105" t="s">
        <v>118</v>
      </c>
      <c r="E390" s="351">
        <v>10</v>
      </c>
      <c r="F390" s="256">
        <f>VLOOKUP(C390,[1]VL!$B$3:$E$524,4,0)</f>
        <v>35</v>
      </c>
      <c r="G390" s="108">
        <f t="shared" si="44"/>
        <v>350</v>
      </c>
    </row>
    <row r="391" spans="1:7" ht="18" customHeight="1" x14ac:dyDescent="0.3">
      <c r="A391" s="11"/>
      <c r="B391" s="10">
        <v>10</v>
      </c>
      <c r="C391" s="104" t="s">
        <v>120</v>
      </c>
      <c r="D391" s="105" t="s">
        <v>121</v>
      </c>
      <c r="E391" s="106">
        <v>5.0000000000000001E-3</v>
      </c>
      <c r="F391" s="256">
        <f>VLOOKUP(C391,[1]VL!$B$3:$E$524,4,0)</f>
        <v>10000</v>
      </c>
      <c r="G391" s="108">
        <f t="shared" si="44"/>
        <v>50</v>
      </c>
    </row>
    <row r="392" spans="1:7" ht="18" customHeight="1" x14ac:dyDescent="0.3">
      <c r="A392" s="11"/>
      <c r="B392" s="10">
        <v>11</v>
      </c>
      <c r="C392" s="104" t="s">
        <v>129</v>
      </c>
      <c r="D392" s="10" t="s">
        <v>76</v>
      </c>
      <c r="E392" s="112">
        <v>0.01</v>
      </c>
      <c r="F392" s="256">
        <f>VLOOKUP(C392,[1]VL!$B$3:$E$524,4,0)</f>
        <v>40000</v>
      </c>
      <c r="G392" s="108">
        <f t="shared" si="44"/>
        <v>400</v>
      </c>
    </row>
    <row r="393" spans="1:7" ht="18" customHeight="1" x14ac:dyDescent="0.3">
      <c r="A393" s="383"/>
      <c r="B393" s="10">
        <v>12</v>
      </c>
      <c r="C393" s="60" t="s">
        <v>640</v>
      </c>
      <c r="D393" s="105" t="s">
        <v>76</v>
      </c>
      <c r="E393" s="61">
        <v>0.01</v>
      </c>
      <c r="F393" s="256">
        <f>VLOOKUP(C393,[1]VL!$B$3:$E$524,4,0)</f>
        <v>360000</v>
      </c>
      <c r="G393" s="108">
        <f t="shared" si="44"/>
        <v>3600</v>
      </c>
    </row>
    <row r="394" spans="1:7" ht="18" customHeight="1" x14ac:dyDescent="0.3">
      <c r="A394" s="11"/>
      <c r="B394" s="10">
        <v>13</v>
      </c>
      <c r="C394" s="104" t="s">
        <v>154</v>
      </c>
      <c r="D394" s="105" t="s">
        <v>70</v>
      </c>
      <c r="E394" s="112">
        <v>2E-3</v>
      </c>
      <c r="F394" s="256">
        <f>VLOOKUP(C394,[1]VL!$B$3:$E$524,4,0)</f>
        <v>650000</v>
      </c>
      <c r="G394" s="108">
        <f t="shared" si="44"/>
        <v>1300</v>
      </c>
    </row>
    <row r="395" spans="1:7" ht="18" customHeight="1" x14ac:dyDescent="0.3">
      <c r="A395" s="11"/>
      <c r="B395" s="10">
        <v>14</v>
      </c>
      <c r="C395" s="104" t="s">
        <v>155</v>
      </c>
      <c r="D395" s="105" t="s">
        <v>70</v>
      </c>
      <c r="E395" s="112">
        <v>2E-3</v>
      </c>
      <c r="F395" s="256">
        <f>VLOOKUP(C395,[1]VL!$B$3:$E$524,4,0)</f>
        <v>1000000</v>
      </c>
      <c r="G395" s="108">
        <f t="shared" si="44"/>
        <v>2000</v>
      </c>
    </row>
    <row r="396" spans="1:7" ht="18" customHeight="1" x14ac:dyDescent="0.3">
      <c r="A396" s="11">
        <v>24</v>
      </c>
      <c r="B396" s="11" t="s">
        <v>558</v>
      </c>
      <c r="C396" s="134" t="s">
        <v>531</v>
      </c>
      <c r="D396" s="134"/>
      <c r="E396" s="135"/>
      <c r="F396" s="107"/>
      <c r="G396" s="103">
        <f>SUM(G397:G411)*1.08</f>
        <v>63045.000000000007</v>
      </c>
    </row>
    <row r="397" spans="1:7" ht="18" customHeight="1" x14ac:dyDescent="0.3">
      <c r="A397" s="11"/>
      <c r="B397" s="10">
        <v>1</v>
      </c>
      <c r="C397" s="104" t="s">
        <v>128</v>
      </c>
      <c r="D397" s="105" t="s">
        <v>118</v>
      </c>
      <c r="E397" s="112">
        <v>1</v>
      </c>
      <c r="F397" s="256">
        <f>VLOOKUP(C397,[1]VL!$B$3:$E$524,4,0)</f>
        <v>2400</v>
      </c>
      <c r="G397" s="108">
        <f t="shared" ref="G397:G411" si="45">F397*E397</f>
        <v>2400</v>
      </c>
    </row>
    <row r="398" spans="1:7" ht="18" customHeight="1" x14ac:dyDescent="0.3">
      <c r="A398" s="11"/>
      <c r="B398" s="10">
        <v>2</v>
      </c>
      <c r="C398" s="104" t="s">
        <v>369</v>
      </c>
      <c r="D398" s="105" t="s">
        <v>118</v>
      </c>
      <c r="E398" s="112">
        <v>10</v>
      </c>
      <c r="F398" s="256">
        <f>VLOOKUP(C398,[1]VL!$B$3:$E$524,4,0)</f>
        <v>1100</v>
      </c>
      <c r="G398" s="108">
        <f t="shared" si="45"/>
        <v>11000</v>
      </c>
    </row>
    <row r="399" spans="1:7" ht="18" customHeight="1" x14ac:dyDescent="0.3">
      <c r="A399" s="11"/>
      <c r="B399" s="10">
        <v>3</v>
      </c>
      <c r="C399" s="104" t="s">
        <v>368</v>
      </c>
      <c r="D399" s="105" t="s">
        <v>118</v>
      </c>
      <c r="E399" s="112">
        <v>10</v>
      </c>
      <c r="F399" s="256">
        <f>VLOOKUP(C399,[1]VL!$B$3:$E$524,4,0)</f>
        <v>660</v>
      </c>
      <c r="G399" s="108">
        <f t="shared" si="45"/>
        <v>6600</v>
      </c>
    </row>
    <row r="400" spans="1:7" ht="18" customHeight="1" x14ac:dyDescent="0.3">
      <c r="A400" s="11"/>
      <c r="B400" s="10">
        <v>4</v>
      </c>
      <c r="C400" s="5" t="s">
        <v>352</v>
      </c>
      <c r="D400" s="105" t="s">
        <v>118</v>
      </c>
      <c r="E400" s="112">
        <v>2.5</v>
      </c>
      <c r="F400" s="256">
        <f>VLOOKUP(C400,[1]VL!$B$3:$E$524,4,0)</f>
        <v>1310</v>
      </c>
      <c r="G400" s="108">
        <f t="shared" si="45"/>
        <v>3275</v>
      </c>
    </row>
    <row r="401" spans="1:7" ht="18" customHeight="1" x14ac:dyDescent="0.3">
      <c r="A401" s="11"/>
      <c r="B401" s="10">
        <v>5</v>
      </c>
      <c r="C401" s="104" t="s">
        <v>761</v>
      </c>
      <c r="D401" s="105" t="s">
        <v>118</v>
      </c>
      <c r="E401" s="112">
        <v>5</v>
      </c>
      <c r="F401" s="256">
        <f>VLOOKUP(C401,[1]VL!$B$3:$E$524,4,0)</f>
        <v>550</v>
      </c>
      <c r="G401" s="108">
        <f t="shared" si="45"/>
        <v>2750</v>
      </c>
    </row>
    <row r="402" spans="1:7" ht="18" customHeight="1" x14ac:dyDescent="0.3">
      <c r="A402" s="11"/>
      <c r="B402" s="10">
        <v>6</v>
      </c>
      <c r="C402" s="104" t="s">
        <v>370</v>
      </c>
      <c r="D402" s="105" t="s">
        <v>114</v>
      </c>
      <c r="E402" s="112">
        <v>1</v>
      </c>
      <c r="F402" s="256">
        <f>VLOOKUP(C402,[1]VL!$B$3:$E$524,4,0)</f>
        <v>2250</v>
      </c>
      <c r="G402" s="108">
        <f t="shared" si="45"/>
        <v>2250</v>
      </c>
    </row>
    <row r="403" spans="1:7" ht="18" customHeight="1" x14ac:dyDescent="0.3">
      <c r="A403" s="11"/>
      <c r="B403" s="10">
        <v>7</v>
      </c>
      <c r="C403" s="104" t="s">
        <v>331</v>
      </c>
      <c r="D403" s="105" t="s">
        <v>114</v>
      </c>
      <c r="E403" s="112">
        <v>1</v>
      </c>
      <c r="F403" s="256">
        <f>VLOOKUP(C403,[1]VL!$B$3:$E$524,4,0)</f>
        <v>2400</v>
      </c>
      <c r="G403" s="108">
        <f t="shared" si="45"/>
        <v>2400</v>
      </c>
    </row>
    <row r="404" spans="1:7" ht="18" customHeight="1" x14ac:dyDescent="0.3">
      <c r="A404" s="11"/>
      <c r="B404" s="10">
        <v>8</v>
      </c>
      <c r="C404" s="104" t="s">
        <v>371</v>
      </c>
      <c r="D404" s="105" t="s">
        <v>114</v>
      </c>
      <c r="E404" s="112">
        <v>1</v>
      </c>
      <c r="F404" s="256">
        <f>VLOOKUP(C404,[1]VL!$B$3:$E$524,4,0)</f>
        <v>12000</v>
      </c>
      <c r="G404" s="108">
        <f t="shared" si="45"/>
        <v>12000</v>
      </c>
    </row>
    <row r="405" spans="1:7" ht="18" customHeight="1" x14ac:dyDescent="0.3">
      <c r="A405" s="11"/>
      <c r="B405" s="10">
        <v>9</v>
      </c>
      <c r="C405" s="104" t="s">
        <v>372</v>
      </c>
      <c r="D405" s="105" t="s">
        <v>114</v>
      </c>
      <c r="E405" s="112">
        <v>0.5</v>
      </c>
      <c r="F405" s="256">
        <f>VLOOKUP(C405,[1]VL!$B$3:$E$524,4,0)</f>
        <v>16000</v>
      </c>
      <c r="G405" s="108">
        <f t="shared" si="45"/>
        <v>8000</v>
      </c>
    </row>
    <row r="406" spans="1:7" ht="18" customHeight="1" x14ac:dyDescent="0.3">
      <c r="A406" s="11"/>
      <c r="B406" s="10">
        <v>10</v>
      </c>
      <c r="C406" s="104" t="s">
        <v>117</v>
      </c>
      <c r="D406" s="105" t="s">
        <v>118</v>
      </c>
      <c r="E406" s="351">
        <v>10</v>
      </c>
      <c r="F406" s="256">
        <f>VLOOKUP(C406,[1]VL!$B$3:$E$524,4,0)</f>
        <v>35</v>
      </c>
      <c r="G406" s="108">
        <f t="shared" si="45"/>
        <v>350</v>
      </c>
    </row>
    <row r="407" spans="1:7" ht="18" customHeight="1" x14ac:dyDescent="0.3">
      <c r="A407" s="11"/>
      <c r="B407" s="10">
        <v>11</v>
      </c>
      <c r="C407" s="60" t="s">
        <v>640</v>
      </c>
      <c r="D407" s="105" t="s">
        <v>76</v>
      </c>
      <c r="E407" s="61">
        <v>0.01</v>
      </c>
      <c r="F407" s="256">
        <f>VLOOKUP(C407,[1]VL!$B$3:$E$524,4,0)</f>
        <v>360000</v>
      </c>
      <c r="G407" s="108">
        <f t="shared" si="45"/>
        <v>3600</v>
      </c>
    </row>
    <row r="408" spans="1:7" ht="18" customHeight="1" x14ac:dyDescent="0.3">
      <c r="A408" s="11"/>
      <c r="B408" s="10">
        <v>12</v>
      </c>
      <c r="C408" s="104" t="s">
        <v>120</v>
      </c>
      <c r="D408" s="105" t="s">
        <v>121</v>
      </c>
      <c r="E408" s="106">
        <v>5.0000000000000001E-3</v>
      </c>
      <c r="F408" s="256">
        <f>VLOOKUP(C408,[1]VL!$B$3:$E$524,4,0)</f>
        <v>10000</v>
      </c>
      <c r="G408" s="108">
        <f t="shared" si="45"/>
        <v>50</v>
      </c>
    </row>
    <row r="409" spans="1:7" ht="18" customHeight="1" x14ac:dyDescent="0.3">
      <c r="A409" s="11"/>
      <c r="B409" s="10">
        <v>13</v>
      </c>
      <c r="C409" s="104" t="s">
        <v>129</v>
      </c>
      <c r="D409" s="10" t="s">
        <v>76</v>
      </c>
      <c r="E409" s="112">
        <v>0.01</v>
      </c>
      <c r="F409" s="256">
        <f>VLOOKUP(C409,[1]VL!$B$3:$E$524,4,0)</f>
        <v>40000</v>
      </c>
      <c r="G409" s="108">
        <f t="shared" si="45"/>
        <v>400</v>
      </c>
    </row>
    <row r="410" spans="1:7" ht="18" customHeight="1" x14ac:dyDescent="0.3">
      <c r="A410" s="11"/>
      <c r="B410" s="10">
        <v>14</v>
      </c>
      <c r="C410" s="104" t="s">
        <v>154</v>
      </c>
      <c r="D410" s="105" t="s">
        <v>70</v>
      </c>
      <c r="E410" s="112">
        <v>2E-3</v>
      </c>
      <c r="F410" s="256">
        <f>VLOOKUP(C410,[1]VL!$B$3:$E$524,4,0)</f>
        <v>650000</v>
      </c>
      <c r="G410" s="108">
        <f t="shared" si="45"/>
        <v>1300</v>
      </c>
    </row>
    <row r="411" spans="1:7" ht="18" customHeight="1" x14ac:dyDescent="0.3">
      <c r="A411" s="11"/>
      <c r="B411" s="10">
        <v>15</v>
      </c>
      <c r="C411" s="104" t="s">
        <v>155</v>
      </c>
      <c r="D411" s="105" t="s">
        <v>70</v>
      </c>
      <c r="E411" s="112">
        <v>2E-3</v>
      </c>
      <c r="F411" s="256">
        <f>VLOOKUP(C411,[1]VL!$B$3:$E$524,4,0)</f>
        <v>1000000</v>
      </c>
      <c r="G411" s="108">
        <f t="shared" si="45"/>
        <v>2000</v>
      </c>
    </row>
    <row r="412" spans="1:7" ht="18" customHeight="1" x14ac:dyDescent="0.3">
      <c r="A412" s="11">
        <v>25</v>
      </c>
      <c r="B412" s="150" t="s">
        <v>717</v>
      </c>
      <c r="C412" s="176" t="s">
        <v>708</v>
      </c>
      <c r="D412" s="87"/>
      <c r="E412" s="136"/>
      <c r="F412" s="107"/>
      <c r="G412" s="103">
        <f>SUM(G413:G422)*1.08</f>
        <v>40500</v>
      </c>
    </row>
    <row r="413" spans="1:7" ht="18" customHeight="1" x14ac:dyDescent="0.3">
      <c r="A413" s="11"/>
      <c r="B413" s="10">
        <v>1</v>
      </c>
      <c r="C413" s="104" t="s">
        <v>128</v>
      </c>
      <c r="D413" s="105" t="s">
        <v>118</v>
      </c>
      <c r="E413" s="112">
        <v>1</v>
      </c>
      <c r="F413" s="256">
        <f>VLOOKUP(C413,[1]VL!$B$3:$E$524,4,0)</f>
        <v>2400</v>
      </c>
      <c r="G413" s="108">
        <f t="shared" ref="G413:G422" si="46">F413*E413</f>
        <v>2400</v>
      </c>
    </row>
    <row r="414" spans="1:7" ht="18" customHeight="1" x14ac:dyDescent="0.3">
      <c r="A414" s="11"/>
      <c r="B414" s="10">
        <v>2</v>
      </c>
      <c r="C414" s="104" t="s">
        <v>368</v>
      </c>
      <c r="D414" s="105" t="s">
        <v>118</v>
      </c>
      <c r="E414" s="112">
        <v>10</v>
      </c>
      <c r="F414" s="256">
        <f>VLOOKUP(C414,[1]VL!$B$3:$E$524,4,0)</f>
        <v>660</v>
      </c>
      <c r="G414" s="108">
        <f t="shared" si="46"/>
        <v>6600</v>
      </c>
    </row>
    <row r="415" spans="1:7" ht="18" customHeight="1" x14ac:dyDescent="0.3">
      <c r="A415" s="11"/>
      <c r="B415" s="10">
        <v>3</v>
      </c>
      <c r="C415" s="104" t="s">
        <v>126</v>
      </c>
      <c r="D415" s="105" t="s">
        <v>114</v>
      </c>
      <c r="E415" s="112">
        <v>10</v>
      </c>
      <c r="F415" s="256">
        <f>VLOOKUP(C415,[1]VL!$B$3:$E$524,4,0)</f>
        <v>980</v>
      </c>
      <c r="G415" s="108">
        <f t="shared" si="46"/>
        <v>9800</v>
      </c>
    </row>
    <row r="416" spans="1:7" ht="18" customHeight="1" x14ac:dyDescent="0.3">
      <c r="A416" s="11"/>
      <c r="B416" s="10">
        <v>4</v>
      </c>
      <c r="C416" s="104" t="s">
        <v>369</v>
      </c>
      <c r="D416" s="105" t="s">
        <v>118</v>
      </c>
      <c r="E416" s="112">
        <v>10</v>
      </c>
      <c r="F416" s="256">
        <f>VLOOKUP(C416,[1]VL!$B$3:$E$524,4,0)</f>
        <v>1100</v>
      </c>
      <c r="G416" s="108">
        <f t="shared" si="46"/>
        <v>11000</v>
      </c>
    </row>
    <row r="417" spans="1:7" ht="18" customHeight="1" x14ac:dyDescent="0.3">
      <c r="A417" s="11"/>
      <c r="B417" s="10">
        <v>5</v>
      </c>
      <c r="C417" s="104" t="s">
        <v>117</v>
      </c>
      <c r="D417" s="105" t="s">
        <v>118</v>
      </c>
      <c r="E417" s="351">
        <v>10</v>
      </c>
      <c r="F417" s="256">
        <f>VLOOKUP(C417,[1]VL!$B$3:$E$524,4,0)</f>
        <v>35</v>
      </c>
      <c r="G417" s="108">
        <f t="shared" si="46"/>
        <v>350</v>
      </c>
    </row>
    <row r="418" spans="1:7" ht="18" customHeight="1" x14ac:dyDescent="0.3">
      <c r="A418" s="11"/>
      <c r="B418" s="10">
        <v>6</v>
      </c>
      <c r="C418" s="60" t="s">
        <v>640</v>
      </c>
      <c r="D418" s="105" t="s">
        <v>76</v>
      </c>
      <c r="E418" s="61">
        <v>0.01</v>
      </c>
      <c r="F418" s="256">
        <f>VLOOKUP(C418,[1]VL!$B$3:$E$524,4,0)</f>
        <v>360000</v>
      </c>
      <c r="G418" s="108">
        <f t="shared" si="46"/>
        <v>3600</v>
      </c>
    </row>
    <row r="419" spans="1:7" ht="18" customHeight="1" x14ac:dyDescent="0.3">
      <c r="A419" s="11"/>
      <c r="B419" s="10">
        <v>7</v>
      </c>
      <c r="C419" s="104" t="s">
        <v>120</v>
      </c>
      <c r="D419" s="105" t="s">
        <v>121</v>
      </c>
      <c r="E419" s="106">
        <v>5.0000000000000001E-3</v>
      </c>
      <c r="F419" s="256">
        <f>VLOOKUP(C419,[1]VL!$B$3:$E$524,4,0)</f>
        <v>10000</v>
      </c>
      <c r="G419" s="108">
        <f t="shared" si="46"/>
        <v>50</v>
      </c>
    </row>
    <row r="420" spans="1:7" ht="18" customHeight="1" x14ac:dyDescent="0.3">
      <c r="A420" s="11"/>
      <c r="B420" s="10">
        <v>8</v>
      </c>
      <c r="C420" s="104" t="s">
        <v>129</v>
      </c>
      <c r="D420" s="10" t="s">
        <v>76</v>
      </c>
      <c r="E420" s="112">
        <v>0.01</v>
      </c>
      <c r="F420" s="256">
        <f>VLOOKUP(C420,[1]VL!$B$3:$E$524,4,0)</f>
        <v>40000</v>
      </c>
      <c r="G420" s="108">
        <f t="shared" si="46"/>
        <v>400</v>
      </c>
    </row>
    <row r="421" spans="1:7" ht="18" customHeight="1" x14ac:dyDescent="0.3">
      <c r="A421" s="11"/>
      <c r="B421" s="10">
        <v>9</v>
      </c>
      <c r="C421" s="104" t="s">
        <v>154</v>
      </c>
      <c r="D421" s="105" t="s">
        <v>70</v>
      </c>
      <c r="E421" s="112">
        <v>2E-3</v>
      </c>
      <c r="F421" s="256">
        <f>VLOOKUP(C421,[1]VL!$B$3:$E$524,4,0)</f>
        <v>650000</v>
      </c>
      <c r="G421" s="108">
        <f t="shared" si="46"/>
        <v>1300</v>
      </c>
    </row>
    <row r="422" spans="1:7" ht="18" customHeight="1" x14ac:dyDescent="0.3">
      <c r="A422" s="11"/>
      <c r="B422" s="10">
        <v>10</v>
      </c>
      <c r="C422" s="104" t="s">
        <v>155</v>
      </c>
      <c r="D422" s="105" t="s">
        <v>70</v>
      </c>
      <c r="E422" s="112">
        <v>2E-3</v>
      </c>
      <c r="F422" s="256">
        <f>VLOOKUP(C422,[1]VL!$B$3:$E$524,4,0)</f>
        <v>1000000</v>
      </c>
      <c r="G422" s="108">
        <f t="shared" si="46"/>
        <v>2000</v>
      </c>
    </row>
    <row r="423" spans="1:7" ht="18" customHeight="1" x14ac:dyDescent="0.3">
      <c r="A423" s="159">
        <v>26</v>
      </c>
      <c r="B423" s="387" t="s">
        <v>718</v>
      </c>
      <c r="C423" s="387" t="s">
        <v>709</v>
      </c>
      <c r="D423" s="491" t="s">
        <v>729</v>
      </c>
      <c r="E423" s="492"/>
      <c r="F423" s="493"/>
      <c r="G423" s="186">
        <f>G412</f>
        <v>40500</v>
      </c>
    </row>
    <row r="424" spans="1:7" ht="18" customHeight="1" x14ac:dyDescent="0.3">
      <c r="A424" s="159">
        <v>27</v>
      </c>
      <c r="B424" s="387" t="s">
        <v>719</v>
      </c>
      <c r="C424" s="387" t="s">
        <v>710</v>
      </c>
      <c r="D424" s="491" t="s">
        <v>729</v>
      </c>
      <c r="E424" s="492"/>
      <c r="F424" s="493"/>
      <c r="G424" s="186">
        <f>G412</f>
        <v>40500</v>
      </c>
    </row>
    <row r="425" spans="1:7" ht="18" customHeight="1" x14ac:dyDescent="0.3">
      <c r="A425" s="159">
        <v>28</v>
      </c>
      <c r="B425" s="387" t="s">
        <v>720</v>
      </c>
      <c r="C425" s="387" t="s">
        <v>711</v>
      </c>
      <c r="D425" s="491" t="s">
        <v>729</v>
      </c>
      <c r="E425" s="492"/>
      <c r="F425" s="493"/>
      <c r="G425" s="186">
        <f>G412</f>
        <v>40500</v>
      </c>
    </row>
    <row r="426" spans="1:7" ht="18" customHeight="1" x14ac:dyDescent="0.3">
      <c r="A426" s="159">
        <v>29</v>
      </c>
      <c r="B426" s="387" t="s">
        <v>721</v>
      </c>
      <c r="C426" s="387" t="s">
        <v>712</v>
      </c>
      <c r="D426" s="491" t="s">
        <v>729</v>
      </c>
      <c r="E426" s="492"/>
      <c r="F426" s="493"/>
      <c r="G426" s="186">
        <f>G412</f>
        <v>40500</v>
      </c>
    </row>
    <row r="427" spans="1:7" ht="18" customHeight="1" x14ac:dyDescent="0.3">
      <c r="A427" s="159">
        <v>30</v>
      </c>
      <c r="B427" s="387" t="s">
        <v>722</v>
      </c>
      <c r="C427" s="387" t="s">
        <v>713</v>
      </c>
      <c r="D427" s="491" t="s">
        <v>729</v>
      </c>
      <c r="E427" s="492"/>
      <c r="F427" s="493"/>
      <c r="G427" s="186">
        <f>G412</f>
        <v>40500</v>
      </c>
    </row>
    <row r="428" spans="1:7" ht="18" customHeight="1" x14ac:dyDescent="0.3">
      <c r="A428" s="159">
        <v>31</v>
      </c>
      <c r="B428" s="159" t="s">
        <v>8</v>
      </c>
      <c r="C428" s="393" t="s">
        <v>138</v>
      </c>
      <c r="D428" s="394"/>
      <c r="E428" s="395"/>
      <c r="F428" s="364"/>
      <c r="G428" s="103">
        <f>SUM(G429:G446)*1.08</f>
        <v>162939.6</v>
      </c>
    </row>
    <row r="429" spans="1:7" ht="18" customHeight="1" x14ac:dyDescent="0.3">
      <c r="A429" s="11"/>
      <c r="B429" s="10">
        <v>1</v>
      </c>
      <c r="C429" s="113" t="s">
        <v>356</v>
      </c>
      <c r="D429" s="116" t="s">
        <v>145</v>
      </c>
      <c r="E429" s="121">
        <v>0.3</v>
      </c>
      <c r="F429" s="256">
        <f>VLOOKUP(C429,[1]VL!$B$3:$E$524,4,0)</f>
        <v>8400</v>
      </c>
      <c r="G429" s="108">
        <f t="shared" si="41"/>
        <v>2520</v>
      </c>
    </row>
    <row r="430" spans="1:7" ht="18" customHeight="1" x14ac:dyDescent="0.3">
      <c r="A430" s="11"/>
      <c r="B430" s="10">
        <v>2</v>
      </c>
      <c r="C430" s="113" t="s">
        <v>375</v>
      </c>
      <c r="D430" s="116" t="s">
        <v>118</v>
      </c>
      <c r="E430" s="121">
        <v>100</v>
      </c>
      <c r="F430" s="256">
        <f>VLOOKUP(C430,[1]VL!$B$3:$E$524,4,0)</f>
        <v>750</v>
      </c>
      <c r="G430" s="108">
        <f t="shared" si="41"/>
        <v>75000</v>
      </c>
    </row>
    <row r="431" spans="1:7" ht="18" customHeight="1" x14ac:dyDescent="0.3">
      <c r="A431" s="11"/>
      <c r="B431" s="10">
        <v>3</v>
      </c>
      <c r="C431" s="113" t="s">
        <v>139</v>
      </c>
      <c r="D431" s="116" t="s">
        <v>145</v>
      </c>
      <c r="E431" s="121">
        <v>0.8</v>
      </c>
      <c r="F431" s="256">
        <f>VLOOKUP(C431,[1]VL!$B$3:$E$524,4,0)</f>
        <v>24000</v>
      </c>
      <c r="G431" s="108">
        <f t="shared" si="41"/>
        <v>19200</v>
      </c>
    </row>
    <row r="432" spans="1:7" ht="18" customHeight="1" x14ac:dyDescent="0.3">
      <c r="A432" s="11"/>
      <c r="B432" s="10">
        <v>4</v>
      </c>
      <c r="C432" s="113" t="s">
        <v>316</v>
      </c>
      <c r="D432" s="116" t="s">
        <v>145</v>
      </c>
      <c r="E432" s="121">
        <v>0.3</v>
      </c>
      <c r="F432" s="256">
        <f>VLOOKUP(C432,[1]VL!$B$3:$E$524,4,0)</f>
        <v>800</v>
      </c>
      <c r="G432" s="108">
        <f t="shared" si="41"/>
        <v>240</v>
      </c>
    </row>
    <row r="433" spans="1:7" ht="18" customHeight="1" x14ac:dyDescent="0.3">
      <c r="A433" s="11"/>
      <c r="B433" s="10">
        <v>5</v>
      </c>
      <c r="C433" s="122" t="s">
        <v>357</v>
      </c>
      <c r="D433" s="116" t="s">
        <v>145</v>
      </c>
      <c r="E433" s="121">
        <v>2</v>
      </c>
      <c r="F433" s="256">
        <f>VLOOKUP(C433,[1]VL!$B$3:$E$524,4,0)</f>
        <v>2800</v>
      </c>
      <c r="G433" s="108">
        <f t="shared" si="41"/>
        <v>5600</v>
      </c>
    </row>
    <row r="434" spans="1:7" ht="18" customHeight="1" x14ac:dyDescent="0.3">
      <c r="A434" s="11"/>
      <c r="B434" s="10">
        <v>6</v>
      </c>
      <c r="C434" s="113" t="s">
        <v>358</v>
      </c>
      <c r="D434" s="116" t="s">
        <v>146</v>
      </c>
      <c r="E434" s="121">
        <v>4</v>
      </c>
      <c r="F434" s="256">
        <f>VLOOKUP(C434,[1]VL!$B$3:$E$524,4,0)</f>
        <v>250</v>
      </c>
      <c r="G434" s="108">
        <f t="shared" si="41"/>
        <v>1000</v>
      </c>
    </row>
    <row r="435" spans="1:7" ht="18" customHeight="1" x14ac:dyDescent="0.3">
      <c r="A435" s="11"/>
      <c r="B435" s="10">
        <v>7</v>
      </c>
      <c r="C435" s="122" t="s">
        <v>140</v>
      </c>
      <c r="D435" s="116" t="s">
        <v>145</v>
      </c>
      <c r="E435" s="121">
        <v>0.15</v>
      </c>
      <c r="F435" s="256">
        <f>VLOOKUP(C435,[1]VL!$B$3:$E$524,4,0)</f>
        <v>2200</v>
      </c>
      <c r="G435" s="108">
        <f t="shared" si="41"/>
        <v>330</v>
      </c>
    </row>
    <row r="436" spans="1:7" ht="18" customHeight="1" x14ac:dyDescent="0.3">
      <c r="A436" s="11"/>
      <c r="B436" s="10">
        <v>8</v>
      </c>
      <c r="C436" s="104" t="s">
        <v>761</v>
      </c>
      <c r="D436" s="116" t="s">
        <v>146</v>
      </c>
      <c r="E436" s="121">
        <v>10</v>
      </c>
      <c r="F436" s="256">
        <f>VLOOKUP(C436,[1]VL!$B$3:$E$524,4,0)</f>
        <v>550</v>
      </c>
      <c r="G436" s="108">
        <f t="shared" si="41"/>
        <v>5500</v>
      </c>
    </row>
    <row r="437" spans="1:7" ht="18" customHeight="1" x14ac:dyDescent="0.3">
      <c r="A437" s="11"/>
      <c r="B437" s="10">
        <v>9</v>
      </c>
      <c r="C437" s="113" t="s">
        <v>136</v>
      </c>
      <c r="D437" s="116" t="s">
        <v>145</v>
      </c>
      <c r="E437" s="121">
        <v>2</v>
      </c>
      <c r="F437" s="256">
        <f>VLOOKUP(C437,[1]VL!$B$3:$E$524,4,0)</f>
        <v>6000</v>
      </c>
      <c r="G437" s="108">
        <f t="shared" ref="G437:G446" si="47">F437*E437</f>
        <v>12000</v>
      </c>
    </row>
    <row r="438" spans="1:7" ht="18" customHeight="1" x14ac:dyDescent="0.3">
      <c r="A438" s="11"/>
      <c r="B438" s="10">
        <v>10</v>
      </c>
      <c r="C438" s="113" t="s">
        <v>359</v>
      </c>
      <c r="D438" s="116" t="s">
        <v>145</v>
      </c>
      <c r="E438" s="121">
        <v>2</v>
      </c>
      <c r="F438" s="256">
        <f>VLOOKUP(C438,[1]VL!$B$3:$E$524,4,0)</f>
        <v>600</v>
      </c>
      <c r="G438" s="108">
        <f t="shared" si="47"/>
        <v>1200</v>
      </c>
    </row>
    <row r="439" spans="1:7" ht="18" customHeight="1" x14ac:dyDescent="0.3">
      <c r="A439" s="11"/>
      <c r="B439" s="10">
        <v>11</v>
      </c>
      <c r="C439" s="113" t="s">
        <v>360</v>
      </c>
      <c r="D439" s="116" t="s">
        <v>145</v>
      </c>
      <c r="E439" s="121">
        <v>1.9</v>
      </c>
      <c r="F439" s="256">
        <f>VLOOKUP(C439,[1]VL!$B$3:$E$524,4,0)</f>
        <v>2200</v>
      </c>
      <c r="G439" s="108">
        <f t="shared" si="47"/>
        <v>4180</v>
      </c>
    </row>
    <row r="440" spans="1:7" ht="18" customHeight="1" x14ac:dyDescent="0.3">
      <c r="A440" s="11"/>
      <c r="B440" s="10">
        <v>12</v>
      </c>
      <c r="C440" s="113" t="s">
        <v>361</v>
      </c>
      <c r="D440" s="116" t="s">
        <v>146</v>
      </c>
      <c r="E440" s="121">
        <v>2</v>
      </c>
      <c r="F440" s="256">
        <f>VLOOKUP(C440,[1]VL!$B$3:$E$524,4,0)</f>
        <v>440</v>
      </c>
      <c r="G440" s="108">
        <f t="shared" si="47"/>
        <v>880</v>
      </c>
    </row>
    <row r="441" spans="1:7" ht="18" customHeight="1" x14ac:dyDescent="0.3">
      <c r="A441" s="11"/>
      <c r="B441" s="10">
        <v>13</v>
      </c>
      <c r="C441" s="104" t="s">
        <v>126</v>
      </c>
      <c r="D441" s="105" t="s">
        <v>114</v>
      </c>
      <c r="E441" s="121">
        <v>4</v>
      </c>
      <c r="F441" s="256">
        <f>VLOOKUP(C441,[1]VL!$B$3:$E$524,4,0)</f>
        <v>980</v>
      </c>
      <c r="G441" s="108">
        <f t="shared" si="47"/>
        <v>3920</v>
      </c>
    </row>
    <row r="442" spans="1:7" ht="18" customHeight="1" x14ac:dyDescent="0.3">
      <c r="A442" s="11"/>
      <c r="B442" s="10">
        <v>14</v>
      </c>
      <c r="C442" s="113" t="s">
        <v>141</v>
      </c>
      <c r="D442" s="116" t="s">
        <v>145</v>
      </c>
      <c r="E442" s="121">
        <v>0.2</v>
      </c>
      <c r="F442" s="256">
        <f>VLOOKUP(C442,[1]VL!$B$3:$E$524,4,0)</f>
        <v>2500</v>
      </c>
      <c r="G442" s="108">
        <f t="shared" si="47"/>
        <v>500</v>
      </c>
    </row>
    <row r="443" spans="1:7" ht="18" customHeight="1" x14ac:dyDescent="0.3">
      <c r="A443" s="11"/>
      <c r="B443" s="10">
        <v>15</v>
      </c>
      <c r="C443" s="113" t="s">
        <v>117</v>
      </c>
      <c r="D443" s="105" t="s">
        <v>118</v>
      </c>
      <c r="E443" s="351">
        <v>10</v>
      </c>
      <c r="F443" s="256">
        <f>VLOOKUP(C443,[1]VL!$B$3:$E$524,4,0)</f>
        <v>35</v>
      </c>
      <c r="G443" s="108">
        <f t="shared" si="47"/>
        <v>350</v>
      </c>
    </row>
    <row r="444" spans="1:7" ht="18" customHeight="1" x14ac:dyDescent="0.3">
      <c r="A444" s="11"/>
      <c r="B444" s="10">
        <v>16</v>
      </c>
      <c r="C444" s="60" t="s">
        <v>640</v>
      </c>
      <c r="D444" s="116" t="s">
        <v>76</v>
      </c>
      <c r="E444" s="61">
        <v>0.05</v>
      </c>
      <c r="F444" s="256">
        <f>VLOOKUP(C444,[1]VL!$B$3:$E$524,4,0)</f>
        <v>360000</v>
      </c>
      <c r="G444" s="108">
        <f t="shared" si="47"/>
        <v>18000</v>
      </c>
    </row>
    <row r="445" spans="1:7" ht="18" customHeight="1" x14ac:dyDescent="0.3">
      <c r="A445" s="11"/>
      <c r="B445" s="10">
        <v>17</v>
      </c>
      <c r="C445" s="104" t="s">
        <v>129</v>
      </c>
      <c r="D445" s="10" t="s">
        <v>76</v>
      </c>
      <c r="E445" s="121">
        <v>0.01</v>
      </c>
      <c r="F445" s="256">
        <f>VLOOKUP(C445,[1]VL!$B$3:$E$524,4,0)</f>
        <v>40000</v>
      </c>
      <c r="G445" s="108">
        <f t="shared" si="47"/>
        <v>400</v>
      </c>
    </row>
    <row r="446" spans="1:7" ht="18" customHeight="1" x14ac:dyDescent="0.3">
      <c r="A446" s="11"/>
      <c r="B446" s="10">
        <v>18</v>
      </c>
      <c r="C446" s="113" t="s">
        <v>120</v>
      </c>
      <c r="D446" s="116" t="s">
        <v>121</v>
      </c>
      <c r="E446" s="106">
        <v>5.0000000000000001E-3</v>
      </c>
      <c r="F446" s="256">
        <f>VLOOKUP(C446,[1]VL!$B$3:$E$524,4,0)</f>
        <v>10000</v>
      </c>
      <c r="G446" s="108">
        <f t="shared" si="47"/>
        <v>50</v>
      </c>
    </row>
    <row r="447" spans="1:7" s="126" customFormat="1" ht="20.25" customHeight="1" x14ac:dyDescent="0.3">
      <c r="A447" s="185">
        <v>32</v>
      </c>
      <c r="B447" s="123" t="s">
        <v>10</v>
      </c>
      <c r="C447" s="544" t="s">
        <v>296</v>
      </c>
      <c r="D447" s="544"/>
      <c r="E447" s="544"/>
      <c r="F447" s="124"/>
      <c r="G447" s="125">
        <f>SUM(G448:G458)*1.08</f>
        <v>183787.92</v>
      </c>
    </row>
    <row r="448" spans="1:7" s="130" customFormat="1" ht="19.5" customHeight="1" x14ac:dyDescent="0.3">
      <c r="A448" s="183"/>
      <c r="B448" s="127">
        <v>1</v>
      </c>
      <c r="C448" s="128" t="s">
        <v>137</v>
      </c>
      <c r="D448" s="127" t="s">
        <v>114</v>
      </c>
      <c r="E448" s="129">
        <v>5</v>
      </c>
      <c r="F448" s="256">
        <f>VLOOKUP(C448,[1]VL!$B$3:$E$524,4,0)</f>
        <v>700</v>
      </c>
      <c r="G448" s="47">
        <f>F448*E448</f>
        <v>3500</v>
      </c>
    </row>
    <row r="449" spans="1:7" s="130" customFormat="1" ht="19.5" customHeight="1" x14ac:dyDescent="0.3">
      <c r="A449" s="183"/>
      <c r="B449" s="127">
        <v>2</v>
      </c>
      <c r="C449" s="128" t="s">
        <v>297</v>
      </c>
      <c r="D449" s="127" t="s">
        <v>118</v>
      </c>
      <c r="E449" s="129">
        <v>10</v>
      </c>
      <c r="F449" s="256">
        <f>VLOOKUP(C449,[1]VL!$B$3:$E$524,4,0)</f>
        <v>3500</v>
      </c>
      <c r="G449" s="47">
        <f t="shared" ref="G449:G464" si="48">F449*E449</f>
        <v>35000</v>
      </c>
    </row>
    <row r="450" spans="1:7" s="130" customFormat="1" ht="19.5" customHeight="1" x14ac:dyDescent="0.3">
      <c r="A450" s="183"/>
      <c r="B450" s="127">
        <v>3</v>
      </c>
      <c r="C450" s="128" t="s">
        <v>362</v>
      </c>
      <c r="D450" s="127" t="s">
        <v>118</v>
      </c>
      <c r="E450" s="129">
        <v>100</v>
      </c>
      <c r="F450" s="256">
        <f>VLOOKUP(C450,[1]VL!$B$3:$E$524,4,0)</f>
        <v>750</v>
      </c>
      <c r="G450" s="47">
        <f t="shared" si="48"/>
        <v>75000</v>
      </c>
    </row>
    <row r="451" spans="1:7" s="130" customFormat="1" ht="19.5" customHeight="1" x14ac:dyDescent="0.3">
      <c r="A451" s="183"/>
      <c r="B451" s="127">
        <v>4</v>
      </c>
      <c r="C451" s="113" t="s">
        <v>117</v>
      </c>
      <c r="D451" s="105" t="s">
        <v>118</v>
      </c>
      <c r="E451" s="351">
        <v>10</v>
      </c>
      <c r="F451" s="256">
        <f>VLOOKUP(C451,[1]VL!$B$3:$E$524,4,0)</f>
        <v>35</v>
      </c>
      <c r="G451" s="47">
        <f t="shared" si="48"/>
        <v>350</v>
      </c>
    </row>
    <row r="452" spans="1:7" s="130" customFormat="1" ht="19.5" customHeight="1" x14ac:dyDescent="0.3">
      <c r="A452" s="183"/>
      <c r="B452" s="127">
        <v>5</v>
      </c>
      <c r="C452" s="122" t="s">
        <v>298</v>
      </c>
      <c r="D452" s="127" t="s">
        <v>118</v>
      </c>
      <c r="E452" s="129">
        <v>1</v>
      </c>
      <c r="F452" s="256">
        <f>VLOOKUP(C452,[1]VL!$B$3:$E$524,4,0)</f>
        <v>600</v>
      </c>
      <c r="G452" s="47">
        <f t="shared" si="48"/>
        <v>600</v>
      </c>
    </row>
    <row r="453" spans="1:7" s="130" customFormat="1" ht="19.5" customHeight="1" x14ac:dyDescent="0.3">
      <c r="A453" s="183"/>
      <c r="B453" s="127">
        <v>6</v>
      </c>
      <c r="C453" s="5" t="s">
        <v>352</v>
      </c>
      <c r="D453" s="127" t="s">
        <v>118</v>
      </c>
      <c r="E453" s="129">
        <v>10</v>
      </c>
      <c r="F453" s="256">
        <f>VLOOKUP(C453,[1]VL!$B$3:$E$524,4,0)</f>
        <v>1310</v>
      </c>
      <c r="G453" s="47">
        <f t="shared" si="48"/>
        <v>13100</v>
      </c>
    </row>
    <row r="454" spans="1:7" s="130" customFormat="1" ht="19.5" customHeight="1" x14ac:dyDescent="0.3">
      <c r="A454" s="183"/>
      <c r="B454" s="127">
        <v>7</v>
      </c>
      <c r="C454" s="104" t="s">
        <v>126</v>
      </c>
      <c r="D454" s="105" t="s">
        <v>114</v>
      </c>
      <c r="E454" s="129">
        <v>1</v>
      </c>
      <c r="F454" s="256">
        <f>VLOOKUP(C454,[1]VL!$B$3:$E$524,4,0)</f>
        <v>980</v>
      </c>
      <c r="G454" s="47">
        <f t="shared" si="48"/>
        <v>980</v>
      </c>
    </row>
    <row r="455" spans="1:7" s="130" customFormat="1" ht="19.5" customHeight="1" x14ac:dyDescent="0.3">
      <c r="A455" s="183"/>
      <c r="B455" s="127">
        <v>8</v>
      </c>
      <c r="C455" s="128" t="s">
        <v>363</v>
      </c>
      <c r="D455" s="127" t="s">
        <v>114</v>
      </c>
      <c r="E455" s="129">
        <v>2.4</v>
      </c>
      <c r="F455" s="256">
        <f>VLOOKUP(C455,[1]VL!$B$3:$E$524,4,0)</f>
        <v>835</v>
      </c>
      <c r="G455" s="47">
        <f t="shared" si="48"/>
        <v>2004</v>
      </c>
    </row>
    <row r="456" spans="1:7" s="130" customFormat="1" ht="19.5" customHeight="1" x14ac:dyDescent="0.3">
      <c r="A456" s="183"/>
      <c r="B456" s="127">
        <v>9</v>
      </c>
      <c r="C456" s="128" t="s">
        <v>364</v>
      </c>
      <c r="D456" s="127" t="s">
        <v>114</v>
      </c>
      <c r="E456" s="129">
        <v>1.5</v>
      </c>
      <c r="F456" s="256">
        <f>VLOOKUP(C456,[1]VL!$B$3:$E$524,4,0)</f>
        <v>560</v>
      </c>
      <c r="G456" s="47">
        <f t="shared" si="48"/>
        <v>840</v>
      </c>
    </row>
    <row r="457" spans="1:7" s="130" customFormat="1" ht="19.5" customHeight="1" x14ac:dyDescent="0.3">
      <c r="A457" s="183"/>
      <c r="B457" s="127">
        <v>10</v>
      </c>
      <c r="C457" s="128" t="s">
        <v>299</v>
      </c>
      <c r="D457" s="127" t="s">
        <v>114</v>
      </c>
      <c r="E457" s="129">
        <v>0.2</v>
      </c>
      <c r="F457" s="256">
        <f>VLOOKUP(C457,[1]VL!$B$3:$E$524,4,0)</f>
        <v>105000</v>
      </c>
      <c r="G457" s="47">
        <f t="shared" si="48"/>
        <v>21000</v>
      </c>
    </row>
    <row r="458" spans="1:7" s="130" customFormat="1" ht="19.5" customHeight="1" x14ac:dyDescent="0.3">
      <c r="A458" s="183"/>
      <c r="B458" s="127">
        <v>11</v>
      </c>
      <c r="C458" s="128" t="s">
        <v>365</v>
      </c>
      <c r="D458" s="127" t="s">
        <v>114</v>
      </c>
      <c r="E458" s="129">
        <v>2</v>
      </c>
      <c r="F458" s="256">
        <f>VLOOKUP(C458,[1]VL!$B$3:$E$524,4,0)</f>
        <v>8900</v>
      </c>
      <c r="G458" s="47">
        <f t="shared" si="48"/>
        <v>17800</v>
      </c>
    </row>
    <row r="459" spans="1:7" s="130" customFormat="1" ht="19.5" customHeight="1" x14ac:dyDescent="0.3">
      <c r="A459" s="183"/>
      <c r="B459" s="127">
        <v>12</v>
      </c>
      <c r="C459" s="128" t="s">
        <v>133</v>
      </c>
      <c r="D459" s="127" t="s">
        <v>114</v>
      </c>
      <c r="E459" s="129">
        <v>0.2</v>
      </c>
      <c r="F459" s="256">
        <f>VLOOKUP(C459,[1]VL!$B$3:$E$524,4,0)</f>
        <v>5000</v>
      </c>
      <c r="G459" s="47">
        <f t="shared" si="48"/>
        <v>1000</v>
      </c>
    </row>
    <row r="460" spans="1:7" s="130" customFormat="1" ht="19.5" customHeight="1" x14ac:dyDescent="0.3">
      <c r="A460" s="183"/>
      <c r="B460" s="127">
        <v>13</v>
      </c>
      <c r="C460" s="128" t="s">
        <v>366</v>
      </c>
      <c r="D460" s="127" t="s">
        <v>118</v>
      </c>
      <c r="E460" s="129">
        <v>1</v>
      </c>
      <c r="F460" s="256">
        <f>VLOOKUP(C460,[1]VL!$B$3:$E$524,4,0)</f>
        <v>55000</v>
      </c>
      <c r="G460" s="47">
        <f t="shared" si="48"/>
        <v>55000</v>
      </c>
    </row>
    <row r="461" spans="1:7" s="130" customFormat="1" ht="19.5" customHeight="1" x14ac:dyDescent="0.3">
      <c r="A461" s="183"/>
      <c r="B461" s="127">
        <v>14</v>
      </c>
      <c r="C461" s="83" t="s">
        <v>130</v>
      </c>
      <c r="D461" s="84" t="s">
        <v>76</v>
      </c>
      <c r="E461" s="119">
        <v>0.1</v>
      </c>
      <c r="F461" s="256">
        <f>VLOOKUP(C461,[1]VL!$B$3:$E$524,4,0)</f>
        <v>120000</v>
      </c>
      <c r="G461" s="47">
        <f t="shared" si="48"/>
        <v>12000</v>
      </c>
    </row>
    <row r="462" spans="1:7" s="130" customFormat="1" ht="19.5" customHeight="1" x14ac:dyDescent="0.3">
      <c r="A462" s="183"/>
      <c r="B462" s="127">
        <v>15</v>
      </c>
      <c r="C462" s="60" t="s">
        <v>640</v>
      </c>
      <c r="D462" s="84" t="s">
        <v>76</v>
      </c>
      <c r="E462" s="61">
        <v>0.05</v>
      </c>
      <c r="F462" s="256">
        <f>VLOOKUP(C462,[1]VL!$B$3:$E$524,4,0)</f>
        <v>360000</v>
      </c>
      <c r="G462" s="47">
        <f t="shared" si="48"/>
        <v>18000</v>
      </c>
    </row>
    <row r="463" spans="1:7" s="130" customFormat="1" ht="19.5" customHeight="1" x14ac:dyDescent="0.3">
      <c r="A463" s="183"/>
      <c r="B463" s="127">
        <v>16</v>
      </c>
      <c r="C463" s="83" t="s">
        <v>120</v>
      </c>
      <c r="D463" s="84" t="s">
        <v>121</v>
      </c>
      <c r="E463" s="112">
        <v>5.0000000000000001E-3</v>
      </c>
      <c r="F463" s="256">
        <f>VLOOKUP(C463,[1]VL!$B$3:$E$524,4,0)</f>
        <v>10000</v>
      </c>
      <c r="G463" s="47">
        <f t="shared" si="48"/>
        <v>50</v>
      </c>
    </row>
    <row r="464" spans="1:7" s="130" customFormat="1" ht="19.5" customHeight="1" x14ac:dyDescent="0.3">
      <c r="A464" s="183"/>
      <c r="B464" s="127">
        <v>17</v>
      </c>
      <c r="C464" s="104" t="s">
        <v>129</v>
      </c>
      <c r="D464" s="10" t="s">
        <v>76</v>
      </c>
      <c r="E464" s="119">
        <v>0.01</v>
      </c>
      <c r="F464" s="256">
        <f>VLOOKUP(C464,[1]VL!$B$3:$E$524,4,0)</f>
        <v>40000</v>
      </c>
      <c r="G464" s="47">
        <f t="shared" si="48"/>
        <v>400</v>
      </c>
    </row>
    <row r="465" spans="1:7" ht="18" customHeight="1" x14ac:dyDescent="0.3">
      <c r="A465" s="11">
        <v>33</v>
      </c>
      <c r="B465" s="11" t="s">
        <v>11</v>
      </c>
      <c r="C465" s="134" t="s">
        <v>745</v>
      </c>
      <c r="D465" s="134"/>
      <c r="E465" s="124"/>
      <c r="F465" s="107"/>
      <c r="G465" s="103">
        <f>SUM(G466:G481)*1.08</f>
        <v>1363284</v>
      </c>
    </row>
    <row r="466" spans="1:7" ht="18" customHeight="1" x14ac:dyDescent="0.3">
      <c r="A466" s="11"/>
      <c r="B466" s="149">
        <v>1</v>
      </c>
      <c r="C466" s="72" t="s">
        <v>159</v>
      </c>
      <c r="D466" s="73" t="s">
        <v>146</v>
      </c>
      <c r="E466" s="244">
        <v>0.02</v>
      </c>
      <c r="F466" s="256">
        <f>VLOOKUP(C466,[1]VL!$B$3:$E$524,4,0)</f>
        <v>17000000</v>
      </c>
      <c r="G466" s="108">
        <f t="shared" ref="G466:G515" si="49">F466*E466</f>
        <v>340000</v>
      </c>
    </row>
    <row r="467" spans="1:7" ht="18" customHeight="1" x14ac:dyDescent="0.3">
      <c r="A467" s="11"/>
      <c r="B467" s="149">
        <v>2</v>
      </c>
      <c r="C467" s="72" t="s">
        <v>160</v>
      </c>
      <c r="D467" s="73" t="s">
        <v>146</v>
      </c>
      <c r="E467" s="244">
        <v>5.0000000000000001E-3</v>
      </c>
      <c r="F467" s="256">
        <f>VLOOKUP(C467,[1]VL!$B$3:$E$524,4,0)</f>
        <v>14500000</v>
      </c>
      <c r="G467" s="108">
        <f t="shared" si="49"/>
        <v>72500</v>
      </c>
    </row>
    <row r="468" spans="1:7" ht="18" customHeight="1" x14ac:dyDescent="0.3">
      <c r="A468" s="11"/>
      <c r="B468" s="149">
        <v>3</v>
      </c>
      <c r="C468" s="72" t="s">
        <v>482</v>
      </c>
      <c r="D468" s="73" t="s">
        <v>146</v>
      </c>
      <c r="E468" s="244">
        <v>150</v>
      </c>
      <c r="F468" s="256">
        <f>VLOOKUP(C468,[1]VL!$B$3:$E$524,4,0)</f>
        <v>450</v>
      </c>
      <c r="G468" s="108">
        <f t="shared" si="49"/>
        <v>67500</v>
      </c>
    </row>
    <row r="469" spans="1:7" ht="18" customHeight="1" x14ac:dyDescent="0.3">
      <c r="A469" s="11"/>
      <c r="B469" s="149">
        <v>4</v>
      </c>
      <c r="C469" s="72" t="s">
        <v>161</v>
      </c>
      <c r="D469" s="73" t="s">
        <v>146</v>
      </c>
      <c r="E469" s="244">
        <v>150</v>
      </c>
      <c r="F469" s="256">
        <f>VLOOKUP(C469,[1]VL!$B$3:$E$524,4,0)</f>
        <v>400</v>
      </c>
      <c r="G469" s="108">
        <f t="shared" si="49"/>
        <v>60000</v>
      </c>
    </row>
    <row r="470" spans="1:7" ht="18" customHeight="1" x14ac:dyDescent="0.3">
      <c r="A470" s="11"/>
      <c r="B470" s="149">
        <v>5</v>
      </c>
      <c r="C470" s="72" t="s">
        <v>162</v>
      </c>
      <c r="D470" s="73" t="s">
        <v>146</v>
      </c>
      <c r="E470" s="244">
        <v>300</v>
      </c>
      <c r="F470" s="256">
        <f>VLOOKUP(C470,[1]VL!$B$3:$E$524,4,0)</f>
        <v>1600</v>
      </c>
      <c r="G470" s="108">
        <f t="shared" si="49"/>
        <v>480000</v>
      </c>
    </row>
    <row r="471" spans="1:7" ht="18" customHeight="1" x14ac:dyDescent="0.3">
      <c r="A471" s="11"/>
      <c r="B471" s="149">
        <v>6</v>
      </c>
      <c r="C471" s="72" t="s">
        <v>483</v>
      </c>
      <c r="D471" s="73" t="s">
        <v>145</v>
      </c>
      <c r="E471" s="244">
        <v>50</v>
      </c>
      <c r="F471" s="256">
        <f>VLOOKUP(C471,[1]VL!$B$3:$E$524,4,0)</f>
        <v>540</v>
      </c>
      <c r="G471" s="108">
        <f t="shared" si="49"/>
        <v>27000</v>
      </c>
    </row>
    <row r="472" spans="1:7" ht="18" customHeight="1" x14ac:dyDescent="0.3">
      <c r="A472" s="11"/>
      <c r="B472" s="149">
        <v>7</v>
      </c>
      <c r="C472" s="72" t="s">
        <v>638</v>
      </c>
      <c r="D472" s="73" t="s">
        <v>79</v>
      </c>
      <c r="E472" s="244">
        <v>1</v>
      </c>
      <c r="F472" s="256">
        <f>VLOOKUP(C472,[1]VL!$B$3:$E$524,4,0)</f>
        <v>120000</v>
      </c>
      <c r="G472" s="108">
        <f t="shared" si="49"/>
        <v>120000</v>
      </c>
    </row>
    <row r="473" spans="1:7" ht="18" customHeight="1" x14ac:dyDescent="0.3">
      <c r="A473" s="11"/>
      <c r="B473" s="149">
        <v>8</v>
      </c>
      <c r="C473" s="72" t="s">
        <v>163</v>
      </c>
      <c r="D473" s="73" t="s">
        <v>79</v>
      </c>
      <c r="E473" s="244">
        <v>1</v>
      </c>
      <c r="F473" s="256">
        <f>VLOOKUP(C473,[1]VL!$B$3:$E$524,4,0)</f>
        <v>7500</v>
      </c>
      <c r="G473" s="108">
        <f t="shared" si="49"/>
        <v>7500</v>
      </c>
    </row>
    <row r="474" spans="1:7" ht="18" customHeight="1" x14ac:dyDescent="0.3">
      <c r="A474" s="11"/>
      <c r="B474" s="149">
        <v>9</v>
      </c>
      <c r="C474" s="72" t="s">
        <v>164</v>
      </c>
      <c r="D474" s="73" t="s">
        <v>79</v>
      </c>
      <c r="E474" s="244">
        <v>1</v>
      </c>
      <c r="F474" s="256">
        <f>VLOOKUP(C474,[1]VL!$B$3:$E$524,4,0)</f>
        <v>45000</v>
      </c>
      <c r="G474" s="108">
        <f t="shared" si="49"/>
        <v>45000</v>
      </c>
    </row>
    <row r="475" spans="1:7" ht="18" customHeight="1" x14ac:dyDescent="0.3">
      <c r="A475" s="11"/>
      <c r="B475" s="149">
        <v>10</v>
      </c>
      <c r="C475" s="72" t="s">
        <v>165</v>
      </c>
      <c r="D475" s="73" t="s">
        <v>114</v>
      </c>
      <c r="E475" s="244">
        <v>10</v>
      </c>
      <c r="F475" s="256">
        <f>VLOOKUP(C475,[1]VL!$B$3:$E$524,4,0)</f>
        <v>1200</v>
      </c>
      <c r="G475" s="108">
        <f t="shared" si="49"/>
        <v>12000</v>
      </c>
    </row>
    <row r="476" spans="1:7" ht="18" customHeight="1" x14ac:dyDescent="0.3">
      <c r="A476" s="11"/>
      <c r="B476" s="149">
        <v>11</v>
      </c>
      <c r="C476" s="72" t="s">
        <v>166</v>
      </c>
      <c r="D476" s="73" t="s">
        <v>28</v>
      </c>
      <c r="E476" s="244">
        <v>1</v>
      </c>
      <c r="F476" s="256">
        <f>VLOOKUP(C476,[1]VL!$B$3:$E$524,4,0)</f>
        <v>500</v>
      </c>
      <c r="G476" s="108">
        <f t="shared" ref="G476" si="50">F476*E476</f>
        <v>500</v>
      </c>
    </row>
    <row r="477" spans="1:7" ht="18" customHeight="1" x14ac:dyDescent="0.3">
      <c r="A477" s="11"/>
      <c r="B477" s="149">
        <v>12</v>
      </c>
      <c r="C477" s="72" t="s">
        <v>117</v>
      </c>
      <c r="D477" s="105" t="s">
        <v>118</v>
      </c>
      <c r="E477" s="351">
        <v>10</v>
      </c>
      <c r="F477" s="256">
        <f>VLOOKUP(C477,[1]VL!$B$3:$E$524,4,0)</f>
        <v>35</v>
      </c>
      <c r="G477" s="108">
        <f t="shared" si="49"/>
        <v>350</v>
      </c>
    </row>
    <row r="478" spans="1:7" ht="18" customHeight="1" x14ac:dyDescent="0.3">
      <c r="A478" s="11"/>
      <c r="B478" s="149">
        <v>13</v>
      </c>
      <c r="C478" s="104" t="s">
        <v>129</v>
      </c>
      <c r="D478" s="10" t="s">
        <v>76</v>
      </c>
      <c r="E478" s="244">
        <v>0.01</v>
      </c>
      <c r="F478" s="256">
        <f>VLOOKUP(C478,[1]VL!$B$3:$E$524,4,0)</f>
        <v>40000</v>
      </c>
      <c r="G478" s="108">
        <f t="shared" si="49"/>
        <v>400</v>
      </c>
    </row>
    <row r="479" spans="1:7" ht="18" customHeight="1" x14ac:dyDescent="0.3">
      <c r="A479" s="11"/>
      <c r="B479" s="149">
        <v>14</v>
      </c>
      <c r="C479" s="72" t="s">
        <v>120</v>
      </c>
      <c r="D479" s="73" t="s">
        <v>121</v>
      </c>
      <c r="E479" s="245">
        <v>5.0000000000000001E-3</v>
      </c>
      <c r="F479" s="256">
        <f>VLOOKUP(C479,[1]VL!$B$3:$E$524,4,0)</f>
        <v>10000</v>
      </c>
      <c r="G479" s="108">
        <f t="shared" si="49"/>
        <v>50</v>
      </c>
    </row>
    <row r="480" spans="1:7" ht="18" customHeight="1" x14ac:dyDescent="0.3">
      <c r="A480" s="11"/>
      <c r="B480" s="149">
        <v>15</v>
      </c>
      <c r="C480" s="72" t="s">
        <v>167</v>
      </c>
      <c r="D480" s="73" t="s">
        <v>70</v>
      </c>
      <c r="E480" s="244">
        <v>5.0000000000000001E-3</v>
      </c>
      <c r="F480" s="256">
        <f>VLOOKUP(C480,[1]VL!$B$3:$E$524,4,0)</f>
        <v>1200000</v>
      </c>
      <c r="G480" s="108">
        <f t="shared" si="49"/>
        <v>6000</v>
      </c>
    </row>
    <row r="481" spans="1:7" ht="18" customHeight="1" x14ac:dyDescent="0.3">
      <c r="A481" s="11"/>
      <c r="B481" s="149">
        <v>16</v>
      </c>
      <c r="C481" s="72" t="s">
        <v>168</v>
      </c>
      <c r="D481" s="73" t="s">
        <v>70</v>
      </c>
      <c r="E481" s="244">
        <v>5.0000000000000001E-3</v>
      </c>
      <c r="F481" s="256">
        <f>VLOOKUP(C481,[1]VL!$B$3:$E$524,4,0)</f>
        <v>4700000</v>
      </c>
      <c r="G481" s="108">
        <f t="shared" si="49"/>
        <v>23500</v>
      </c>
    </row>
    <row r="482" spans="1:7" ht="27" customHeight="1" x14ac:dyDescent="0.3">
      <c r="A482" s="11">
        <v>34</v>
      </c>
      <c r="B482" s="11" t="s">
        <v>13</v>
      </c>
      <c r="C482" s="541" t="s">
        <v>169</v>
      </c>
      <c r="D482" s="542"/>
      <c r="E482" s="543"/>
      <c r="F482" s="107"/>
      <c r="G482" s="103">
        <f>SUM(G483:G498)*1.08</f>
        <v>1448280</v>
      </c>
    </row>
    <row r="483" spans="1:7" ht="18" customHeight="1" x14ac:dyDescent="0.3">
      <c r="A483" s="11"/>
      <c r="B483" s="10">
        <v>1</v>
      </c>
      <c r="C483" s="72" t="s">
        <v>159</v>
      </c>
      <c r="D483" s="116" t="s">
        <v>146</v>
      </c>
      <c r="E483" s="121">
        <v>0.02</v>
      </c>
      <c r="F483" s="256">
        <f>VLOOKUP(C483,[1]VL!$B$3:$E$524,4,0)</f>
        <v>17000000</v>
      </c>
      <c r="G483" s="108">
        <f t="shared" si="49"/>
        <v>340000</v>
      </c>
    </row>
    <row r="484" spans="1:7" ht="18" customHeight="1" x14ac:dyDescent="0.3">
      <c r="A484" s="11"/>
      <c r="B484" s="10">
        <v>2</v>
      </c>
      <c r="C484" s="113" t="s">
        <v>160</v>
      </c>
      <c r="D484" s="116" t="s">
        <v>146</v>
      </c>
      <c r="E484" s="121">
        <v>0.01</v>
      </c>
      <c r="F484" s="256">
        <f>VLOOKUP(C484,[1]VL!$B$3:$E$524,4,0)</f>
        <v>14500000</v>
      </c>
      <c r="G484" s="108">
        <f t="shared" si="49"/>
        <v>145000</v>
      </c>
    </row>
    <row r="485" spans="1:7" ht="18" customHeight="1" x14ac:dyDescent="0.3">
      <c r="A485" s="11"/>
      <c r="B485" s="10">
        <v>3</v>
      </c>
      <c r="C485" s="113" t="s">
        <v>373</v>
      </c>
      <c r="D485" s="116" t="s">
        <v>146</v>
      </c>
      <c r="E485" s="121">
        <v>150</v>
      </c>
      <c r="F485" s="256">
        <f>VLOOKUP(C485,[1]VL!$B$3:$E$524,4,0)</f>
        <v>450</v>
      </c>
      <c r="G485" s="108">
        <f t="shared" si="49"/>
        <v>67500</v>
      </c>
    </row>
    <row r="486" spans="1:7" ht="18" customHeight="1" x14ac:dyDescent="0.3">
      <c r="A486" s="11"/>
      <c r="B486" s="10">
        <v>4</v>
      </c>
      <c r="C486" s="113" t="s">
        <v>161</v>
      </c>
      <c r="D486" s="116" t="s">
        <v>146</v>
      </c>
      <c r="E486" s="121">
        <v>150</v>
      </c>
      <c r="F486" s="256">
        <f>VLOOKUP(C486,[1]VL!$B$3:$E$524,4,0)</f>
        <v>400</v>
      </c>
      <c r="G486" s="108">
        <f t="shared" si="49"/>
        <v>60000</v>
      </c>
    </row>
    <row r="487" spans="1:7" ht="18" customHeight="1" x14ac:dyDescent="0.3">
      <c r="A487" s="11"/>
      <c r="B487" s="10">
        <v>5</v>
      </c>
      <c r="C487" s="113" t="s">
        <v>162</v>
      </c>
      <c r="D487" s="116" t="s">
        <v>146</v>
      </c>
      <c r="E487" s="121">
        <v>300</v>
      </c>
      <c r="F487" s="256">
        <f>VLOOKUP(C487,[1]VL!$B$3:$E$524,4,0)</f>
        <v>1600</v>
      </c>
      <c r="G487" s="108">
        <f t="shared" si="49"/>
        <v>480000</v>
      </c>
    </row>
    <row r="488" spans="1:7" ht="18" customHeight="1" x14ac:dyDescent="0.3">
      <c r="A488" s="11"/>
      <c r="B488" s="10"/>
      <c r="C488" s="5" t="s">
        <v>352</v>
      </c>
      <c r="D488" s="84" t="s">
        <v>118</v>
      </c>
      <c r="E488" s="121">
        <v>5</v>
      </c>
      <c r="F488" s="256">
        <f>VLOOKUP(C488,[1]VL!$B$3:$E$524,4,0)</f>
        <v>1310</v>
      </c>
      <c r="G488" s="108">
        <f t="shared" ref="G488" si="51">F488*E488</f>
        <v>6550</v>
      </c>
    </row>
    <row r="489" spans="1:7" ht="18" customHeight="1" x14ac:dyDescent="0.3">
      <c r="A489" s="11"/>
      <c r="B489" s="10">
        <v>6</v>
      </c>
      <c r="C489" s="113" t="s">
        <v>325</v>
      </c>
      <c r="D489" s="116" t="s">
        <v>145</v>
      </c>
      <c r="E489" s="121">
        <v>50</v>
      </c>
      <c r="F489" s="256">
        <f>VLOOKUP(C489,[1]VL!$B$3:$E$524,4,0)</f>
        <v>540</v>
      </c>
      <c r="G489" s="108">
        <f t="shared" si="49"/>
        <v>27000</v>
      </c>
    </row>
    <row r="490" spans="1:7" ht="18" customHeight="1" x14ac:dyDescent="0.3">
      <c r="A490" s="11"/>
      <c r="B490" s="10">
        <v>7</v>
      </c>
      <c r="C490" s="72" t="s">
        <v>638</v>
      </c>
      <c r="D490" s="116" t="s">
        <v>79</v>
      </c>
      <c r="E490" s="121">
        <v>1</v>
      </c>
      <c r="F490" s="256">
        <f>VLOOKUP(C490,[1]VL!$B$3:$E$524,4,0)</f>
        <v>120000</v>
      </c>
      <c r="G490" s="108">
        <f t="shared" si="49"/>
        <v>120000</v>
      </c>
    </row>
    <row r="491" spans="1:7" ht="18" customHeight="1" x14ac:dyDescent="0.3">
      <c r="A491" s="11"/>
      <c r="B491" s="10">
        <v>8</v>
      </c>
      <c r="C491" s="113" t="s">
        <v>163</v>
      </c>
      <c r="D491" s="116" t="s">
        <v>79</v>
      </c>
      <c r="E491" s="121">
        <v>1</v>
      </c>
      <c r="F491" s="256">
        <f>VLOOKUP(C491,[1]VL!$B$3:$E$524,4,0)</f>
        <v>7500</v>
      </c>
      <c r="G491" s="108">
        <f t="shared" si="49"/>
        <v>7500</v>
      </c>
    </row>
    <row r="492" spans="1:7" ht="18" customHeight="1" x14ac:dyDescent="0.3">
      <c r="A492" s="11"/>
      <c r="B492" s="10">
        <v>9</v>
      </c>
      <c r="C492" s="113" t="s">
        <v>164</v>
      </c>
      <c r="D492" s="116" t="s">
        <v>79</v>
      </c>
      <c r="E492" s="121">
        <v>1</v>
      </c>
      <c r="F492" s="256">
        <f>VLOOKUP(C492,[1]VL!$B$3:$E$524,4,0)</f>
        <v>45000</v>
      </c>
      <c r="G492" s="108">
        <f t="shared" si="49"/>
        <v>45000</v>
      </c>
    </row>
    <row r="493" spans="1:7" ht="18" customHeight="1" x14ac:dyDescent="0.3">
      <c r="A493" s="11"/>
      <c r="B493" s="10">
        <v>10</v>
      </c>
      <c r="C493" s="113" t="s">
        <v>165</v>
      </c>
      <c r="D493" s="116" t="s">
        <v>114</v>
      </c>
      <c r="E493" s="121">
        <v>10</v>
      </c>
      <c r="F493" s="256">
        <f>VLOOKUP(C493,[1]VL!$B$3:$E$524,4,0)</f>
        <v>1200</v>
      </c>
      <c r="G493" s="108">
        <f t="shared" si="49"/>
        <v>12000</v>
      </c>
    </row>
    <row r="494" spans="1:7" ht="18" customHeight="1" x14ac:dyDescent="0.3">
      <c r="A494" s="11"/>
      <c r="B494" s="10">
        <v>11</v>
      </c>
      <c r="C494" s="113" t="s">
        <v>166</v>
      </c>
      <c r="D494" s="116" t="s">
        <v>28</v>
      </c>
      <c r="E494" s="121">
        <v>1</v>
      </c>
      <c r="F494" s="256">
        <f>VLOOKUP(C494,[1]VL!$B$3:$E$524,4,0)</f>
        <v>500</v>
      </c>
      <c r="G494" s="108">
        <f t="shared" si="49"/>
        <v>500</v>
      </c>
    </row>
    <row r="495" spans="1:7" ht="18" customHeight="1" x14ac:dyDescent="0.3">
      <c r="A495" s="11"/>
      <c r="B495" s="10">
        <v>12</v>
      </c>
      <c r="C495" s="104" t="s">
        <v>129</v>
      </c>
      <c r="D495" s="10" t="s">
        <v>76</v>
      </c>
      <c r="E495" s="121">
        <v>0.01</v>
      </c>
      <c r="F495" s="256">
        <f>VLOOKUP(C495,[1]VL!$B$3:$E$524,4,0)</f>
        <v>40000</v>
      </c>
      <c r="G495" s="108">
        <f t="shared" si="49"/>
        <v>400</v>
      </c>
    </row>
    <row r="496" spans="1:7" ht="18" customHeight="1" x14ac:dyDescent="0.3">
      <c r="A496" s="11"/>
      <c r="B496" s="10">
        <v>13</v>
      </c>
      <c r="C496" s="113" t="s">
        <v>120</v>
      </c>
      <c r="D496" s="116" t="s">
        <v>121</v>
      </c>
      <c r="E496" s="106">
        <v>5.0000000000000001E-3</v>
      </c>
      <c r="F496" s="256">
        <f>VLOOKUP(C496,[1]VL!$B$3:$E$524,4,0)</f>
        <v>10000</v>
      </c>
      <c r="G496" s="108">
        <f t="shared" si="49"/>
        <v>50</v>
      </c>
    </row>
    <row r="497" spans="1:7" ht="18" customHeight="1" x14ac:dyDescent="0.3">
      <c r="A497" s="11"/>
      <c r="B497" s="10">
        <v>14</v>
      </c>
      <c r="C497" s="113" t="s">
        <v>167</v>
      </c>
      <c r="D497" s="116" t="s">
        <v>70</v>
      </c>
      <c r="E497" s="121">
        <v>5.0000000000000001E-3</v>
      </c>
      <c r="F497" s="256">
        <f>VLOOKUP(C497,[1]VL!$B$3:$E$524,4,0)</f>
        <v>1200000</v>
      </c>
      <c r="G497" s="108">
        <f t="shared" si="49"/>
        <v>6000</v>
      </c>
    </row>
    <row r="498" spans="1:7" ht="18" customHeight="1" x14ac:dyDescent="0.3">
      <c r="A498" s="11"/>
      <c r="B498" s="10">
        <v>15</v>
      </c>
      <c r="C498" s="113" t="s">
        <v>168</v>
      </c>
      <c r="D498" s="116" t="s">
        <v>70</v>
      </c>
      <c r="E498" s="121">
        <v>5.0000000000000001E-3</v>
      </c>
      <c r="F498" s="256">
        <f>VLOOKUP(C498,[1]VL!$B$3:$E$524,4,0)</f>
        <v>4700000</v>
      </c>
      <c r="G498" s="108">
        <f t="shared" si="49"/>
        <v>23500</v>
      </c>
    </row>
    <row r="499" spans="1:7" ht="18" customHeight="1" x14ac:dyDescent="0.3">
      <c r="A499" s="11">
        <v>35</v>
      </c>
      <c r="B499" s="11" t="s">
        <v>15</v>
      </c>
      <c r="C499" s="114" t="s">
        <v>21</v>
      </c>
      <c r="D499" s="116"/>
      <c r="E499" s="121"/>
      <c r="F499" s="107"/>
      <c r="G499" s="103">
        <f>SUM(G500:G515)*1.08</f>
        <v>1448280</v>
      </c>
    </row>
    <row r="500" spans="1:7" ht="18" customHeight="1" x14ac:dyDescent="0.3">
      <c r="A500" s="11"/>
      <c r="B500" s="10">
        <v>1</v>
      </c>
      <c r="C500" s="72" t="s">
        <v>159</v>
      </c>
      <c r="D500" s="116" t="s">
        <v>146</v>
      </c>
      <c r="E500" s="121">
        <v>0.02</v>
      </c>
      <c r="F500" s="256">
        <f>VLOOKUP(C500,[1]VL!$B$3:$E$524,4,0)</f>
        <v>17000000</v>
      </c>
      <c r="G500" s="108">
        <f t="shared" si="49"/>
        <v>340000</v>
      </c>
    </row>
    <row r="501" spans="1:7" ht="18" customHeight="1" x14ac:dyDescent="0.3">
      <c r="A501" s="11"/>
      <c r="B501" s="10">
        <v>2</v>
      </c>
      <c r="C501" s="113" t="s">
        <v>160</v>
      </c>
      <c r="D501" s="116" t="s">
        <v>146</v>
      </c>
      <c r="E501" s="121">
        <v>0.01</v>
      </c>
      <c r="F501" s="256">
        <f>VLOOKUP(C501,[1]VL!$B$3:$E$524,4,0)</f>
        <v>14500000</v>
      </c>
      <c r="G501" s="108">
        <f t="shared" si="49"/>
        <v>145000</v>
      </c>
    </row>
    <row r="502" spans="1:7" ht="18" customHeight="1" x14ac:dyDescent="0.3">
      <c r="A502" s="11"/>
      <c r="B502" s="10">
        <v>3</v>
      </c>
      <c r="C502" s="113" t="s">
        <v>373</v>
      </c>
      <c r="D502" s="116" t="s">
        <v>146</v>
      </c>
      <c r="E502" s="121">
        <v>150</v>
      </c>
      <c r="F502" s="256">
        <f>VLOOKUP(C502,[1]VL!$B$3:$E$524,4,0)</f>
        <v>450</v>
      </c>
      <c r="G502" s="108">
        <f t="shared" si="49"/>
        <v>67500</v>
      </c>
    </row>
    <row r="503" spans="1:7" ht="18" customHeight="1" x14ac:dyDescent="0.3">
      <c r="A503" s="11"/>
      <c r="B503" s="10">
        <v>4</v>
      </c>
      <c r="C503" s="113" t="s">
        <v>161</v>
      </c>
      <c r="D503" s="116" t="s">
        <v>146</v>
      </c>
      <c r="E503" s="121">
        <v>150</v>
      </c>
      <c r="F503" s="256">
        <f>VLOOKUP(C503,[1]VL!$B$3:$E$524,4,0)</f>
        <v>400</v>
      </c>
      <c r="G503" s="108">
        <f t="shared" si="49"/>
        <v>60000</v>
      </c>
    </row>
    <row r="504" spans="1:7" ht="18" customHeight="1" x14ac:dyDescent="0.3">
      <c r="A504" s="11"/>
      <c r="B504" s="10">
        <v>5</v>
      </c>
      <c r="C504" s="113" t="s">
        <v>162</v>
      </c>
      <c r="D504" s="116" t="s">
        <v>146</v>
      </c>
      <c r="E504" s="121">
        <v>300</v>
      </c>
      <c r="F504" s="256">
        <f>VLOOKUP(C504,[1]VL!$B$3:$E$524,4,0)</f>
        <v>1600</v>
      </c>
      <c r="G504" s="108">
        <f t="shared" si="49"/>
        <v>480000</v>
      </c>
    </row>
    <row r="505" spans="1:7" ht="18" customHeight="1" x14ac:dyDescent="0.3">
      <c r="A505" s="11"/>
      <c r="B505" s="10"/>
      <c r="C505" s="5" t="s">
        <v>352</v>
      </c>
      <c r="D505" s="84" t="s">
        <v>118</v>
      </c>
      <c r="E505" s="121">
        <v>5</v>
      </c>
      <c r="F505" s="256">
        <f>VLOOKUP(C505,[1]VL!$B$3:$E$524,4,0)</f>
        <v>1310</v>
      </c>
      <c r="G505" s="108">
        <f t="shared" ref="G505" si="52">F505*E505</f>
        <v>6550</v>
      </c>
    </row>
    <row r="506" spans="1:7" ht="18" customHeight="1" x14ac:dyDescent="0.3">
      <c r="A506" s="11"/>
      <c r="B506" s="10">
        <v>6</v>
      </c>
      <c r="C506" s="113" t="s">
        <v>325</v>
      </c>
      <c r="D506" s="116" t="s">
        <v>145</v>
      </c>
      <c r="E506" s="121">
        <v>50</v>
      </c>
      <c r="F506" s="256">
        <f>VLOOKUP(C506,[1]VL!$B$3:$E$524,4,0)</f>
        <v>540</v>
      </c>
      <c r="G506" s="108">
        <f t="shared" si="49"/>
        <v>27000</v>
      </c>
    </row>
    <row r="507" spans="1:7" ht="18" customHeight="1" x14ac:dyDescent="0.3">
      <c r="A507" s="11"/>
      <c r="B507" s="10">
        <v>7</v>
      </c>
      <c r="C507" s="72" t="s">
        <v>638</v>
      </c>
      <c r="D507" s="116" t="s">
        <v>79</v>
      </c>
      <c r="E507" s="121">
        <v>1</v>
      </c>
      <c r="F507" s="256">
        <f>VLOOKUP(C507,[1]VL!$B$3:$E$524,4,0)</f>
        <v>120000</v>
      </c>
      <c r="G507" s="108">
        <f t="shared" si="49"/>
        <v>120000</v>
      </c>
    </row>
    <row r="508" spans="1:7" ht="18" customHeight="1" x14ac:dyDescent="0.3">
      <c r="A508" s="11"/>
      <c r="B508" s="10">
        <v>8</v>
      </c>
      <c r="C508" s="113" t="s">
        <v>163</v>
      </c>
      <c r="D508" s="116" t="s">
        <v>79</v>
      </c>
      <c r="E508" s="121">
        <v>1</v>
      </c>
      <c r="F508" s="256">
        <f>VLOOKUP(C508,[1]VL!$B$3:$E$524,4,0)</f>
        <v>7500</v>
      </c>
      <c r="G508" s="108">
        <f t="shared" si="49"/>
        <v>7500</v>
      </c>
    </row>
    <row r="509" spans="1:7" ht="18" customHeight="1" x14ac:dyDescent="0.3">
      <c r="A509" s="11"/>
      <c r="B509" s="10">
        <v>9</v>
      </c>
      <c r="C509" s="113" t="s">
        <v>164</v>
      </c>
      <c r="D509" s="116" t="s">
        <v>79</v>
      </c>
      <c r="E509" s="121">
        <v>1</v>
      </c>
      <c r="F509" s="256">
        <f>VLOOKUP(C509,[1]VL!$B$3:$E$524,4,0)</f>
        <v>45000</v>
      </c>
      <c r="G509" s="108">
        <f t="shared" si="49"/>
        <v>45000</v>
      </c>
    </row>
    <row r="510" spans="1:7" ht="18" customHeight="1" x14ac:dyDescent="0.3">
      <c r="A510" s="11"/>
      <c r="B510" s="10">
        <v>10</v>
      </c>
      <c r="C510" s="113" t="s">
        <v>165</v>
      </c>
      <c r="D510" s="116" t="s">
        <v>114</v>
      </c>
      <c r="E510" s="121">
        <v>10</v>
      </c>
      <c r="F510" s="256">
        <f>VLOOKUP(C510,[1]VL!$B$3:$E$524,4,0)</f>
        <v>1200</v>
      </c>
      <c r="G510" s="108">
        <f t="shared" si="49"/>
        <v>12000</v>
      </c>
    </row>
    <row r="511" spans="1:7" ht="18" customHeight="1" x14ac:dyDescent="0.3">
      <c r="A511" s="11"/>
      <c r="B511" s="10">
        <v>11</v>
      </c>
      <c r="C511" s="113" t="s">
        <v>166</v>
      </c>
      <c r="D511" s="116" t="s">
        <v>28</v>
      </c>
      <c r="E511" s="121">
        <v>1</v>
      </c>
      <c r="F511" s="256">
        <f>VLOOKUP(C511,[1]VL!$B$3:$E$524,4,0)</f>
        <v>500</v>
      </c>
      <c r="G511" s="108">
        <f t="shared" si="49"/>
        <v>500</v>
      </c>
    </row>
    <row r="512" spans="1:7" ht="18" customHeight="1" x14ac:dyDescent="0.3">
      <c r="A512" s="11"/>
      <c r="B512" s="10">
        <v>13</v>
      </c>
      <c r="C512" s="104" t="s">
        <v>129</v>
      </c>
      <c r="D512" s="10" t="s">
        <v>76</v>
      </c>
      <c r="E512" s="121">
        <v>0.01</v>
      </c>
      <c r="F512" s="256">
        <f>VLOOKUP(C512,[1]VL!$B$3:$E$524,4,0)</f>
        <v>40000</v>
      </c>
      <c r="G512" s="108">
        <f t="shared" si="49"/>
        <v>400</v>
      </c>
    </row>
    <row r="513" spans="1:7" ht="18" customHeight="1" x14ac:dyDescent="0.3">
      <c r="A513" s="11"/>
      <c r="B513" s="10">
        <v>14</v>
      </c>
      <c r="C513" s="113" t="s">
        <v>120</v>
      </c>
      <c r="D513" s="116" t="s">
        <v>121</v>
      </c>
      <c r="E513" s="106">
        <v>5.0000000000000001E-3</v>
      </c>
      <c r="F513" s="256">
        <f>VLOOKUP(C513,[1]VL!$B$3:$E$524,4,0)</f>
        <v>10000</v>
      </c>
      <c r="G513" s="108">
        <f t="shared" si="49"/>
        <v>50</v>
      </c>
    </row>
    <row r="514" spans="1:7" ht="18" customHeight="1" x14ac:dyDescent="0.3">
      <c r="A514" s="11"/>
      <c r="B514" s="10">
        <v>15</v>
      </c>
      <c r="C514" s="113" t="s">
        <v>167</v>
      </c>
      <c r="D514" s="116" t="s">
        <v>70</v>
      </c>
      <c r="E514" s="121">
        <v>5.0000000000000001E-3</v>
      </c>
      <c r="F514" s="256">
        <f>VLOOKUP(C514,[1]VL!$B$3:$E$524,4,0)</f>
        <v>1200000</v>
      </c>
      <c r="G514" s="108">
        <f t="shared" si="49"/>
        <v>6000</v>
      </c>
    </row>
    <row r="515" spans="1:7" ht="18" customHeight="1" x14ac:dyDescent="0.3">
      <c r="A515" s="11"/>
      <c r="B515" s="10">
        <v>16</v>
      </c>
      <c r="C515" s="113" t="s">
        <v>168</v>
      </c>
      <c r="D515" s="116" t="s">
        <v>70</v>
      </c>
      <c r="E515" s="121">
        <v>5.0000000000000001E-3</v>
      </c>
      <c r="F515" s="256">
        <f>VLOOKUP(C515,[1]VL!$B$3:$E$524,4,0)</f>
        <v>4700000</v>
      </c>
      <c r="G515" s="108">
        <f t="shared" si="49"/>
        <v>23500</v>
      </c>
    </row>
    <row r="516" spans="1:7" ht="18" customHeight="1" x14ac:dyDescent="0.3">
      <c r="A516" s="11">
        <v>36</v>
      </c>
      <c r="B516" s="11" t="s">
        <v>468</v>
      </c>
      <c r="C516" s="137" t="s">
        <v>497</v>
      </c>
      <c r="D516" s="137"/>
      <c r="E516" s="138"/>
      <c r="F516" s="107"/>
      <c r="G516" s="103">
        <f>SUM(G517:G528)*1.08</f>
        <v>812268</v>
      </c>
    </row>
    <row r="517" spans="1:7" ht="18" customHeight="1" x14ac:dyDescent="0.3">
      <c r="A517" s="11"/>
      <c r="B517" s="10">
        <v>1</v>
      </c>
      <c r="C517" s="113" t="s">
        <v>170</v>
      </c>
      <c r="D517" s="116" t="s">
        <v>118</v>
      </c>
      <c r="E517" s="121">
        <v>5</v>
      </c>
      <c r="F517" s="256">
        <f>VLOOKUP(C517,[1]VL!$B$3:$E$524,4,0)</f>
        <v>55000</v>
      </c>
      <c r="G517" s="108">
        <f t="shared" ref="G517:G528" si="53">F517*E517</f>
        <v>275000</v>
      </c>
    </row>
    <row r="518" spans="1:7" ht="18" customHeight="1" x14ac:dyDescent="0.3">
      <c r="A518" s="11"/>
      <c r="B518" s="10">
        <v>2</v>
      </c>
      <c r="C518" s="113" t="s">
        <v>171</v>
      </c>
      <c r="D518" s="116" t="s">
        <v>118</v>
      </c>
      <c r="E518" s="121">
        <v>1</v>
      </c>
      <c r="F518" s="256">
        <f>VLOOKUP(C518,[1]VL!$B$3:$E$524,4,0)</f>
        <v>100000</v>
      </c>
      <c r="G518" s="108">
        <f t="shared" si="53"/>
        <v>100000</v>
      </c>
    </row>
    <row r="519" spans="1:7" ht="18" customHeight="1" x14ac:dyDescent="0.3">
      <c r="A519" s="11"/>
      <c r="B519" s="10">
        <v>3</v>
      </c>
      <c r="C519" s="113" t="s">
        <v>368</v>
      </c>
      <c r="D519" s="116" t="s">
        <v>118</v>
      </c>
      <c r="E519" s="121">
        <v>10</v>
      </c>
      <c r="F519" s="256">
        <f>VLOOKUP(C519,[1]VL!$B$3:$E$524,4,0)</f>
        <v>660</v>
      </c>
      <c r="G519" s="108">
        <f t="shared" si="53"/>
        <v>6600</v>
      </c>
    </row>
    <row r="520" spans="1:7" ht="18" customHeight="1" x14ac:dyDescent="0.3">
      <c r="A520" s="11"/>
      <c r="B520" s="10">
        <v>4</v>
      </c>
      <c r="C520" s="113" t="s">
        <v>369</v>
      </c>
      <c r="D520" s="116" t="s">
        <v>118</v>
      </c>
      <c r="E520" s="121">
        <v>10</v>
      </c>
      <c r="F520" s="256">
        <f>VLOOKUP(C520,[1]VL!$B$3:$E$524,4,0)</f>
        <v>1100</v>
      </c>
      <c r="G520" s="108">
        <f t="shared" si="53"/>
        <v>11000</v>
      </c>
    </row>
    <row r="521" spans="1:7" ht="18" customHeight="1" x14ac:dyDescent="0.3">
      <c r="A521" s="11"/>
      <c r="B521" s="10">
        <v>5</v>
      </c>
      <c r="C521" s="104" t="s">
        <v>761</v>
      </c>
      <c r="D521" s="116" t="s">
        <v>114</v>
      </c>
      <c r="E521" s="121">
        <v>10</v>
      </c>
      <c r="F521" s="256">
        <f>VLOOKUP(C521,[1]VL!$B$3:$E$524,4,0)</f>
        <v>550</v>
      </c>
      <c r="G521" s="108">
        <f t="shared" si="53"/>
        <v>5500</v>
      </c>
    </row>
    <row r="522" spans="1:7" ht="18" customHeight="1" x14ac:dyDescent="0.3">
      <c r="A522" s="11"/>
      <c r="B522" s="10">
        <v>6</v>
      </c>
      <c r="C522" s="113" t="s">
        <v>374</v>
      </c>
      <c r="D522" s="116" t="s">
        <v>114</v>
      </c>
      <c r="E522" s="121">
        <v>10</v>
      </c>
      <c r="F522" s="256">
        <f>VLOOKUP(C522,[1]VL!$B$3:$E$524,4,0)</f>
        <v>520</v>
      </c>
      <c r="G522" s="108">
        <f t="shared" si="53"/>
        <v>5200</v>
      </c>
    </row>
    <row r="523" spans="1:7" ht="18" customHeight="1" x14ac:dyDescent="0.3">
      <c r="A523" s="11"/>
      <c r="B523" s="10">
        <v>7</v>
      </c>
      <c r="C523" s="113" t="s">
        <v>117</v>
      </c>
      <c r="D523" s="105" t="s">
        <v>118</v>
      </c>
      <c r="E523" s="351">
        <v>10</v>
      </c>
      <c r="F523" s="256">
        <f>VLOOKUP(C523,[1]VL!$B$3:$E$524,4,0)</f>
        <v>35</v>
      </c>
      <c r="G523" s="108">
        <f t="shared" si="53"/>
        <v>350</v>
      </c>
    </row>
    <row r="524" spans="1:7" ht="18" customHeight="1" x14ac:dyDescent="0.3">
      <c r="A524" s="11"/>
      <c r="B524" s="10">
        <v>8</v>
      </c>
      <c r="C524" s="60" t="s">
        <v>640</v>
      </c>
      <c r="D524" s="116" t="s">
        <v>76</v>
      </c>
      <c r="E524" s="61">
        <v>0.05</v>
      </c>
      <c r="F524" s="256">
        <f>VLOOKUP(C524,[1]VL!$B$3:$E$524,4,0)</f>
        <v>360000</v>
      </c>
      <c r="G524" s="108">
        <f t="shared" si="53"/>
        <v>18000</v>
      </c>
    </row>
    <row r="525" spans="1:7" ht="18" customHeight="1" x14ac:dyDescent="0.3">
      <c r="A525" s="11"/>
      <c r="B525" s="10">
        <v>9</v>
      </c>
      <c r="C525" s="113" t="s">
        <v>120</v>
      </c>
      <c r="D525" s="116" t="s">
        <v>121</v>
      </c>
      <c r="E525" s="106">
        <v>5.0000000000000001E-3</v>
      </c>
      <c r="F525" s="256">
        <f>VLOOKUP(C525,[1]VL!$B$3:$E$524,4,0)</f>
        <v>10000</v>
      </c>
      <c r="G525" s="108">
        <f t="shared" si="53"/>
        <v>50</v>
      </c>
    </row>
    <row r="526" spans="1:7" ht="18" customHeight="1" x14ac:dyDescent="0.3">
      <c r="A526" s="11"/>
      <c r="B526" s="10">
        <v>10</v>
      </c>
      <c r="C526" s="104" t="s">
        <v>129</v>
      </c>
      <c r="D526" s="10" t="s">
        <v>76</v>
      </c>
      <c r="E526" s="121">
        <v>0.01</v>
      </c>
      <c r="F526" s="256">
        <f>VLOOKUP(C526,[1]VL!$B$3:$E$524,4,0)</f>
        <v>40000</v>
      </c>
      <c r="G526" s="108">
        <f t="shared" si="53"/>
        <v>400</v>
      </c>
    </row>
    <row r="527" spans="1:7" ht="18" customHeight="1" x14ac:dyDescent="0.3">
      <c r="A527" s="345"/>
      <c r="B527" s="10">
        <v>11</v>
      </c>
      <c r="C527" s="104" t="s">
        <v>155</v>
      </c>
      <c r="D527" s="10" t="s">
        <v>70</v>
      </c>
      <c r="E527" s="121">
        <v>0.2</v>
      </c>
      <c r="F527" s="256">
        <f>VLOOKUP(C527,[1]VL!$B$3:$E$524,4,0)</f>
        <v>1000000</v>
      </c>
      <c r="G527" s="108">
        <f t="shared" si="53"/>
        <v>200000</v>
      </c>
    </row>
    <row r="528" spans="1:7" ht="18" customHeight="1" x14ac:dyDescent="0.3">
      <c r="A528" s="11"/>
      <c r="B528" s="10">
        <v>12</v>
      </c>
      <c r="C528" s="113" t="s">
        <v>154</v>
      </c>
      <c r="D528" s="116" t="s">
        <v>70</v>
      </c>
      <c r="E528" s="121">
        <v>0.2</v>
      </c>
      <c r="F528" s="256">
        <f>VLOOKUP(C528,[1]VL!$B$3:$E$524,4,0)</f>
        <v>650000</v>
      </c>
      <c r="G528" s="108">
        <f t="shared" si="53"/>
        <v>130000</v>
      </c>
    </row>
  </sheetData>
  <sheetProtection selectLockedCells="1"/>
  <autoFilter ref="A4:G528"/>
  <mergeCells count="52">
    <mergeCell ref="C288:E288"/>
    <mergeCell ref="C482:E482"/>
    <mergeCell ref="C447:E447"/>
    <mergeCell ref="B6:F6"/>
    <mergeCell ref="C368:E368"/>
    <mergeCell ref="D198:F198"/>
    <mergeCell ref="D83:F83"/>
    <mergeCell ref="D84:F84"/>
    <mergeCell ref="D85:F85"/>
    <mergeCell ref="D86:F86"/>
    <mergeCell ref="D87:F87"/>
    <mergeCell ref="D88:F88"/>
    <mergeCell ref="D89:F89"/>
    <mergeCell ref="D90:F90"/>
    <mergeCell ref="D91:F91"/>
    <mergeCell ref="B121:G121"/>
    <mergeCell ref="D197:F197"/>
    <mergeCell ref="B5:G5"/>
    <mergeCell ref="C28:E28"/>
    <mergeCell ref="C40:D40"/>
    <mergeCell ref="C73:E73"/>
    <mergeCell ref="C113:E113"/>
    <mergeCell ref="C15:E15"/>
    <mergeCell ref="C7:E7"/>
    <mergeCell ref="C47:E47"/>
    <mergeCell ref="E58:F58"/>
    <mergeCell ref="D81:F81"/>
    <mergeCell ref="D82:F82"/>
    <mergeCell ref="C156:D156"/>
    <mergeCell ref="C174:D174"/>
    <mergeCell ref="D93:F93"/>
    <mergeCell ref="D95:F95"/>
    <mergeCell ref="D119:F119"/>
    <mergeCell ref="D120:F120"/>
    <mergeCell ref="A1:G1"/>
    <mergeCell ref="A2:G2"/>
    <mergeCell ref="F3:G3"/>
    <mergeCell ref="D34:F34"/>
    <mergeCell ref="D92:F92"/>
    <mergeCell ref="D94:F94"/>
    <mergeCell ref="D96:F96"/>
    <mergeCell ref="D97:F97"/>
    <mergeCell ref="D98:F98"/>
    <mergeCell ref="D99:F99"/>
    <mergeCell ref="D100:F100"/>
    <mergeCell ref="D426:F426"/>
    <mergeCell ref="D427:F427"/>
    <mergeCell ref="D380:F380"/>
    <mergeCell ref="D381:F381"/>
    <mergeCell ref="D423:F423"/>
    <mergeCell ref="D424:F424"/>
    <mergeCell ref="D425:F42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8"/>
  <sheetViews>
    <sheetView topLeftCell="A76" zoomScale="69" zoomScaleNormal="69" workbookViewId="0">
      <selection activeCell="F89" sqref="F89"/>
    </sheetView>
  </sheetViews>
  <sheetFormatPr defaultColWidth="9.1796875" defaultRowHeight="19.5" customHeight="1" x14ac:dyDescent="0.35"/>
  <cols>
    <col min="1" max="1" width="5.81640625" style="233" customWidth="1"/>
    <col min="2" max="2" width="11" style="221" customWidth="1"/>
    <col min="3" max="3" width="36.7265625" style="222" customWidth="1"/>
    <col min="4" max="4" width="11.1796875" style="193" customWidth="1"/>
    <col min="5" max="5" width="12.7265625" style="193" customWidth="1"/>
    <col min="6" max="6" width="11.1796875" style="193" customWidth="1"/>
    <col min="7" max="7" width="16.1796875" style="193" customWidth="1"/>
    <col min="8" max="8" width="17" style="193" customWidth="1"/>
    <col min="9" max="9" width="11.81640625" style="193" customWidth="1"/>
    <col min="10" max="16384" width="9.1796875" style="193"/>
  </cols>
  <sheetData>
    <row r="1" spans="1:10" ht="33" customHeight="1" x14ac:dyDescent="0.35">
      <c r="A1" s="231" t="s">
        <v>203</v>
      </c>
      <c r="B1" s="189" t="s">
        <v>1</v>
      </c>
      <c r="C1" s="190" t="s">
        <v>204</v>
      </c>
      <c r="D1" s="190" t="s">
        <v>23</v>
      </c>
      <c r="E1" s="270" t="s">
        <v>565</v>
      </c>
      <c r="F1" s="191" t="s">
        <v>205</v>
      </c>
      <c r="G1" s="190" t="s">
        <v>263</v>
      </c>
      <c r="H1" s="192" t="s">
        <v>262</v>
      </c>
      <c r="I1" s="190" t="s">
        <v>253</v>
      </c>
    </row>
    <row r="2" spans="1:10" s="194" customFormat="1" ht="25.5" customHeight="1" x14ac:dyDescent="0.35">
      <c r="A2" s="232" t="s">
        <v>272</v>
      </c>
      <c r="B2" s="560" t="s">
        <v>484</v>
      </c>
      <c r="C2" s="560"/>
      <c r="D2" s="560"/>
      <c r="E2" s="560"/>
      <c r="F2" s="560"/>
      <c r="G2" s="560"/>
      <c r="H2" s="560"/>
      <c r="I2" s="228"/>
    </row>
    <row r="3" spans="1:10" s="194" customFormat="1" ht="32.25" customHeight="1" x14ac:dyDescent="0.35">
      <c r="A3" s="231" t="s">
        <v>275</v>
      </c>
      <c r="B3" s="561" t="s">
        <v>485</v>
      </c>
      <c r="C3" s="562"/>
      <c r="D3" s="562"/>
      <c r="E3" s="562"/>
      <c r="F3" s="562"/>
      <c r="G3" s="562"/>
      <c r="H3" s="563"/>
      <c r="I3" s="228"/>
      <c r="J3" s="194">
        <v>250</v>
      </c>
    </row>
    <row r="4" spans="1:10" ht="16.5" x14ac:dyDescent="0.35">
      <c r="A4" s="231">
        <v>1</v>
      </c>
      <c r="B4" s="321" t="s">
        <v>377</v>
      </c>
      <c r="C4" s="223" t="s">
        <v>532</v>
      </c>
      <c r="D4" s="223"/>
      <c r="E4" s="223"/>
      <c r="F4" s="223"/>
      <c r="G4" s="223"/>
      <c r="H4" s="223"/>
      <c r="I4" s="227">
        <f>SUM(I5:I9)</f>
        <v>2672.5023999999999</v>
      </c>
      <c r="J4" s="229"/>
    </row>
    <row r="5" spans="1:10" ht="16.5" x14ac:dyDescent="0.35">
      <c r="A5" s="231"/>
      <c r="B5" s="196">
        <v>1</v>
      </c>
      <c r="C5" s="197" t="s">
        <v>446</v>
      </c>
      <c r="D5" s="196" t="s">
        <v>36</v>
      </c>
      <c r="E5" s="196"/>
      <c r="F5" s="196">
        <v>3.5999999999999997E-2</v>
      </c>
      <c r="G5" s="198">
        <f>H5/(J5*$J$3)</f>
        <v>41160</v>
      </c>
      <c r="H5" s="353">
        <f>VLOOKUP(C5,[1]TB!$B$3:$D$503,3,0)</f>
        <v>51450000</v>
      </c>
      <c r="I5" s="198">
        <f>F5*G5</f>
        <v>1481.76</v>
      </c>
      <c r="J5" s="354">
        <f>VLOOKUP(C5,[1]TB!$B$3:$E$205,4,0)</f>
        <v>5</v>
      </c>
    </row>
    <row r="6" spans="1:10" ht="16.5" x14ac:dyDescent="0.35">
      <c r="A6" s="231"/>
      <c r="B6" s="196">
        <v>2</v>
      </c>
      <c r="C6" s="224" t="s">
        <v>462</v>
      </c>
      <c r="D6" s="196" t="s">
        <v>36</v>
      </c>
      <c r="E6" s="196" t="s">
        <v>566</v>
      </c>
      <c r="F6" s="196">
        <v>3.5999999999999997E-2</v>
      </c>
      <c r="G6" s="198">
        <f t="shared" ref="G6:G23" si="0">H6/(J6*$J$3)</f>
        <v>13538.4</v>
      </c>
      <c r="H6" s="353">
        <f>VLOOKUP(C6,[1]TB!$B$3:$D$503,3,0)</f>
        <v>16923000</v>
      </c>
      <c r="I6" s="198">
        <f t="shared" ref="I6:I23" si="1">F6*G6</f>
        <v>487.38239999999996</v>
      </c>
      <c r="J6" s="354">
        <f>VLOOKUP(C6,[1]TB!$B$3:$E$205,4,0)</f>
        <v>5</v>
      </c>
    </row>
    <row r="7" spans="1:10" ht="16.5" x14ac:dyDescent="0.35">
      <c r="A7" s="231"/>
      <c r="B7" s="196">
        <v>3</v>
      </c>
      <c r="C7" s="197" t="s">
        <v>448</v>
      </c>
      <c r="D7" s="196" t="s">
        <v>36</v>
      </c>
      <c r="E7" s="196" t="s">
        <v>566</v>
      </c>
      <c r="F7" s="196">
        <v>3.5999999999999997E-2</v>
      </c>
      <c r="G7" s="198">
        <f t="shared" si="0"/>
        <v>8360</v>
      </c>
      <c r="H7" s="353">
        <f>VLOOKUP(C7,[1]TB!$B$3:$D$503,3,0)</f>
        <v>10450000</v>
      </c>
      <c r="I7" s="198">
        <f t="shared" si="1"/>
        <v>300.95999999999998</v>
      </c>
      <c r="J7" s="354">
        <f>VLOOKUP(C7,[1]TB!$B$3:$E$205,4,0)</f>
        <v>5</v>
      </c>
    </row>
    <row r="8" spans="1:10" ht="16.5" x14ac:dyDescent="0.35">
      <c r="A8" s="231"/>
      <c r="B8" s="196">
        <v>4</v>
      </c>
      <c r="C8" s="197" t="s">
        <v>447</v>
      </c>
      <c r="D8" s="196" t="s">
        <v>28</v>
      </c>
      <c r="E8" s="196" t="s">
        <v>566</v>
      </c>
      <c r="F8" s="196">
        <v>0.02</v>
      </c>
      <c r="G8" s="198">
        <f t="shared" si="0"/>
        <v>2520</v>
      </c>
      <c r="H8" s="353">
        <f>VLOOKUP(C8,[1]TB!$B$3:$D$503,3,0)</f>
        <v>3150000</v>
      </c>
      <c r="I8" s="198">
        <f t="shared" si="1"/>
        <v>50.4</v>
      </c>
      <c r="J8" s="354">
        <f>VLOOKUP(C8,[1]TB!$B$3:$E$205,4,0)</f>
        <v>5</v>
      </c>
    </row>
    <row r="9" spans="1:10" ht="16.5" x14ac:dyDescent="0.35">
      <c r="A9" s="231"/>
      <c r="B9" s="196">
        <v>5</v>
      </c>
      <c r="C9" s="225" t="s">
        <v>463</v>
      </c>
      <c r="D9" s="196" t="s">
        <v>28</v>
      </c>
      <c r="E9" s="196"/>
      <c r="F9" s="196">
        <v>0.02</v>
      </c>
      <c r="G9" s="198">
        <f t="shared" si="0"/>
        <v>17600</v>
      </c>
      <c r="H9" s="353">
        <f>VLOOKUP(C9,[1]TB!$B$3:$D$503,3,0)</f>
        <v>22000000</v>
      </c>
      <c r="I9" s="198">
        <f t="shared" si="1"/>
        <v>352</v>
      </c>
      <c r="J9" s="354">
        <f>VLOOKUP(C9,[1]TB!$B$3:$E$205,4,0)</f>
        <v>5</v>
      </c>
    </row>
    <row r="10" spans="1:10" ht="16.5" x14ac:dyDescent="0.35">
      <c r="A10" s="231">
        <v>2</v>
      </c>
      <c r="B10" s="195" t="s">
        <v>378</v>
      </c>
      <c r="C10" s="223" t="s">
        <v>533</v>
      </c>
      <c r="D10" s="223"/>
      <c r="E10" s="223"/>
      <c r="F10" s="223"/>
      <c r="G10" s="198"/>
      <c r="H10" s="208"/>
      <c r="I10" s="227">
        <f>SUM(I11:I15)</f>
        <v>2672.5023999999999</v>
      </c>
      <c r="J10" s="354"/>
    </row>
    <row r="11" spans="1:10" ht="16.5" x14ac:dyDescent="0.35">
      <c r="A11" s="231"/>
      <c r="B11" s="196">
        <v>1</v>
      </c>
      <c r="C11" s="197" t="s">
        <v>446</v>
      </c>
      <c r="D11" s="196" t="s">
        <v>36</v>
      </c>
      <c r="E11" s="196"/>
      <c r="F11" s="196">
        <v>3.5999999999999997E-2</v>
      </c>
      <c r="G11" s="198">
        <f t="shared" si="0"/>
        <v>41160</v>
      </c>
      <c r="H11" s="353">
        <f>VLOOKUP(C11,[1]TB!$B$3:$D$503,3,0)</f>
        <v>51450000</v>
      </c>
      <c r="I11" s="198">
        <f t="shared" si="1"/>
        <v>1481.76</v>
      </c>
      <c r="J11" s="354">
        <f>VLOOKUP(C11,[1]TB!$B$3:$E$205,4,0)</f>
        <v>5</v>
      </c>
    </row>
    <row r="12" spans="1:10" ht="16.5" x14ac:dyDescent="0.35">
      <c r="A12" s="231"/>
      <c r="B12" s="196">
        <v>2</v>
      </c>
      <c r="C12" s="224" t="s">
        <v>462</v>
      </c>
      <c r="D12" s="196" t="s">
        <v>36</v>
      </c>
      <c r="E12" s="196" t="s">
        <v>566</v>
      </c>
      <c r="F12" s="196">
        <v>3.5999999999999997E-2</v>
      </c>
      <c r="G12" s="198">
        <f t="shared" si="0"/>
        <v>13538.4</v>
      </c>
      <c r="H12" s="353">
        <f>VLOOKUP(C12,[1]TB!$B$3:$D$503,3,0)</f>
        <v>16923000</v>
      </c>
      <c r="I12" s="198">
        <f t="shared" si="1"/>
        <v>487.38239999999996</v>
      </c>
      <c r="J12" s="354">
        <f>VLOOKUP(C12,[1]TB!$B$3:$E$205,4,0)</f>
        <v>5</v>
      </c>
    </row>
    <row r="13" spans="1:10" ht="16.5" x14ac:dyDescent="0.35">
      <c r="A13" s="231"/>
      <c r="B13" s="196">
        <v>3</v>
      </c>
      <c r="C13" s="197" t="s">
        <v>448</v>
      </c>
      <c r="D13" s="196" t="s">
        <v>36</v>
      </c>
      <c r="E13" s="196" t="s">
        <v>566</v>
      </c>
      <c r="F13" s="196">
        <v>3.5999999999999997E-2</v>
      </c>
      <c r="G13" s="198">
        <f t="shared" si="0"/>
        <v>8360</v>
      </c>
      <c r="H13" s="353">
        <f>VLOOKUP(C13,[1]TB!$B$3:$D$503,3,0)</f>
        <v>10450000</v>
      </c>
      <c r="I13" s="198">
        <f t="shared" si="1"/>
        <v>300.95999999999998</v>
      </c>
      <c r="J13" s="354">
        <f>VLOOKUP(C13,[1]TB!$B$3:$E$205,4,0)</f>
        <v>5</v>
      </c>
    </row>
    <row r="14" spans="1:10" ht="16.5" x14ac:dyDescent="0.35">
      <c r="A14" s="231"/>
      <c r="B14" s="196">
        <v>4</v>
      </c>
      <c r="C14" s="225" t="s">
        <v>463</v>
      </c>
      <c r="D14" s="196" t="s">
        <v>28</v>
      </c>
      <c r="E14" s="196"/>
      <c r="F14" s="196">
        <v>0.02</v>
      </c>
      <c r="G14" s="198">
        <f t="shared" si="0"/>
        <v>17600</v>
      </c>
      <c r="H14" s="353">
        <f>VLOOKUP(C14,[1]TB!$B$3:$D$503,3,0)</f>
        <v>22000000</v>
      </c>
      <c r="I14" s="198">
        <f t="shared" si="1"/>
        <v>352</v>
      </c>
      <c r="J14" s="354">
        <f>VLOOKUP(C14,[1]TB!$B$3:$E$205,4,0)</f>
        <v>5</v>
      </c>
    </row>
    <row r="15" spans="1:10" ht="16.5" x14ac:dyDescent="0.35">
      <c r="A15" s="231"/>
      <c r="B15" s="196">
        <v>5</v>
      </c>
      <c r="C15" s="197" t="s">
        <v>447</v>
      </c>
      <c r="D15" s="196" t="s">
        <v>28</v>
      </c>
      <c r="E15" s="196" t="s">
        <v>566</v>
      </c>
      <c r="F15" s="196">
        <v>0.02</v>
      </c>
      <c r="G15" s="198">
        <f t="shared" si="0"/>
        <v>2520</v>
      </c>
      <c r="H15" s="353">
        <f>VLOOKUP(C15,[1]TB!$B$3:$D$503,3,0)</f>
        <v>3150000</v>
      </c>
      <c r="I15" s="198">
        <f t="shared" si="1"/>
        <v>50.4</v>
      </c>
      <c r="J15" s="354">
        <f>VLOOKUP(C15,[1]TB!$B$3:$E$205,4,0)</f>
        <v>5</v>
      </c>
    </row>
    <row r="16" spans="1:10" ht="16.5" x14ac:dyDescent="0.35">
      <c r="A16" s="231">
        <v>3</v>
      </c>
      <c r="B16" s="195" t="s">
        <v>379</v>
      </c>
      <c r="C16" s="223" t="s">
        <v>622</v>
      </c>
      <c r="D16" s="223"/>
      <c r="E16" s="223"/>
      <c r="F16" s="223"/>
      <c r="G16" s="198"/>
      <c r="H16" s="208"/>
      <c r="I16" s="227">
        <f>SUM(I17:I19)</f>
        <v>838.74239999999998</v>
      </c>
      <c r="J16" s="354"/>
    </row>
    <row r="17" spans="1:10" ht="16.5" x14ac:dyDescent="0.35">
      <c r="A17" s="231"/>
      <c r="B17" s="196">
        <v>1</v>
      </c>
      <c r="C17" s="224" t="s">
        <v>462</v>
      </c>
      <c r="D17" s="196" t="s">
        <v>36</v>
      </c>
      <c r="E17" s="196" t="s">
        <v>566</v>
      </c>
      <c r="F17" s="196">
        <v>3.5999999999999997E-2</v>
      </c>
      <c r="G17" s="198">
        <f t="shared" si="0"/>
        <v>13538.4</v>
      </c>
      <c r="H17" s="353">
        <f>VLOOKUP(C17,[1]TB!$B$3:$D$503,3,0)</f>
        <v>16923000</v>
      </c>
      <c r="I17" s="198">
        <f t="shared" si="1"/>
        <v>487.38239999999996</v>
      </c>
      <c r="J17" s="354">
        <f>VLOOKUP(C17,[1]TB!$B$3:$E$205,4,0)</f>
        <v>5</v>
      </c>
    </row>
    <row r="18" spans="1:10" ht="16.5" x14ac:dyDescent="0.35">
      <c r="A18" s="231"/>
      <c r="B18" s="196">
        <v>2</v>
      </c>
      <c r="C18" s="197" t="s">
        <v>448</v>
      </c>
      <c r="D18" s="196" t="s">
        <v>36</v>
      </c>
      <c r="E18" s="196" t="s">
        <v>566</v>
      </c>
      <c r="F18" s="196">
        <v>3.5999999999999997E-2</v>
      </c>
      <c r="G18" s="198">
        <f t="shared" si="0"/>
        <v>8360</v>
      </c>
      <c r="H18" s="353">
        <f>VLOOKUP(C18,[1]TB!$B$3:$D$503,3,0)</f>
        <v>10450000</v>
      </c>
      <c r="I18" s="198">
        <f t="shared" si="1"/>
        <v>300.95999999999998</v>
      </c>
      <c r="J18" s="354">
        <f>VLOOKUP(C18,[1]TB!$B$3:$E$205,4,0)</f>
        <v>5</v>
      </c>
    </row>
    <row r="19" spans="1:10" ht="16.5" x14ac:dyDescent="0.35">
      <c r="A19" s="231"/>
      <c r="B19" s="196">
        <v>3</v>
      </c>
      <c r="C19" s="197" t="s">
        <v>447</v>
      </c>
      <c r="D19" s="196" t="s">
        <v>28</v>
      </c>
      <c r="E19" s="196" t="s">
        <v>566</v>
      </c>
      <c r="F19" s="196">
        <v>0.02</v>
      </c>
      <c r="G19" s="198">
        <f t="shared" si="0"/>
        <v>2520</v>
      </c>
      <c r="H19" s="353">
        <f>VLOOKUP(C19,[1]TB!$B$3:$D$503,3,0)</f>
        <v>3150000</v>
      </c>
      <c r="I19" s="198">
        <f t="shared" si="1"/>
        <v>50.4</v>
      </c>
      <c r="J19" s="354">
        <f>VLOOKUP(C19,[1]TB!$B$3:$E$205,4,0)</f>
        <v>5</v>
      </c>
    </row>
    <row r="20" spans="1:10" ht="18.75" customHeight="1" x14ac:dyDescent="0.35">
      <c r="A20" s="231">
        <v>4</v>
      </c>
      <c r="B20" s="384" t="s">
        <v>694</v>
      </c>
      <c r="C20" s="223" t="s">
        <v>738</v>
      </c>
      <c r="D20" s="223"/>
      <c r="E20" s="223"/>
      <c r="F20" s="223"/>
      <c r="G20" s="198"/>
      <c r="H20" s="208"/>
      <c r="I20" s="227">
        <f>SUM(I21:I23)</f>
        <v>838.74239999999998</v>
      </c>
      <c r="J20" s="354"/>
    </row>
    <row r="21" spans="1:10" ht="16.5" x14ac:dyDescent="0.35">
      <c r="A21" s="231"/>
      <c r="B21" s="196">
        <v>1</v>
      </c>
      <c r="C21" s="224" t="s">
        <v>462</v>
      </c>
      <c r="D21" s="196" t="s">
        <v>36</v>
      </c>
      <c r="E21" s="196" t="s">
        <v>566</v>
      </c>
      <c r="F21" s="196">
        <v>3.5999999999999997E-2</v>
      </c>
      <c r="G21" s="198">
        <f t="shared" si="0"/>
        <v>13538.4</v>
      </c>
      <c r="H21" s="353">
        <f>VLOOKUP(C21,[1]TB!$B$3:$D$503,3,0)</f>
        <v>16923000</v>
      </c>
      <c r="I21" s="198">
        <f t="shared" si="1"/>
        <v>487.38239999999996</v>
      </c>
      <c r="J21" s="354">
        <f>VLOOKUP(C21,[1]TB!$B$3:$E$205,4,0)</f>
        <v>5</v>
      </c>
    </row>
    <row r="22" spans="1:10" ht="16.5" x14ac:dyDescent="0.35">
      <c r="A22" s="231"/>
      <c r="B22" s="196">
        <v>2</v>
      </c>
      <c r="C22" s="197" t="s">
        <v>448</v>
      </c>
      <c r="D22" s="196" t="s">
        <v>36</v>
      </c>
      <c r="E22" s="196" t="s">
        <v>566</v>
      </c>
      <c r="F22" s="196">
        <v>3.5999999999999997E-2</v>
      </c>
      <c r="G22" s="198">
        <f t="shared" si="0"/>
        <v>8360</v>
      </c>
      <c r="H22" s="353">
        <f>VLOOKUP(C22,[1]TB!$B$3:$D$503,3,0)</f>
        <v>10450000</v>
      </c>
      <c r="I22" s="198">
        <f t="shared" si="1"/>
        <v>300.95999999999998</v>
      </c>
      <c r="J22" s="354">
        <f>VLOOKUP(C22,[1]TB!$B$3:$E$205,4,0)</f>
        <v>5</v>
      </c>
    </row>
    <row r="23" spans="1:10" ht="16.5" x14ac:dyDescent="0.35">
      <c r="A23" s="231"/>
      <c r="B23" s="196">
        <v>3</v>
      </c>
      <c r="C23" s="197" t="s">
        <v>447</v>
      </c>
      <c r="D23" s="196" t="s">
        <v>28</v>
      </c>
      <c r="E23" s="196" t="s">
        <v>566</v>
      </c>
      <c r="F23" s="196">
        <v>0.02</v>
      </c>
      <c r="G23" s="198">
        <f t="shared" si="0"/>
        <v>2520</v>
      </c>
      <c r="H23" s="353">
        <f>VLOOKUP(C23,[1]TB!$B$3:$D$503,3,0)</f>
        <v>3150000</v>
      </c>
      <c r="I23" s="198">
        <f t="shared" si="1"/>
        <v>50.4</v>
      </c>
      <c r="J23" s="354">
        <f>VLOOKUP(C23,[1]TB!$B$3:$E$205,4,0)</f>
        <v>5</v>
      </c>
    </row>
    <row r="24" spans="1:10" ht="17.5" x14ac:dyDescent="0.35">
      <c r="A24" s="231">
        <v>5</v>
      </c>
      <c r="B24" s="396" t="s">
        <v>695</v>
      </c>
      <c r="C24" s="397" t="s">
        <v>561</v>
      </c>
      <c r="D24" s="564" t="s">
        <v>734</v>
      </c>
      <c r="E24" s="565"/>
      <c r="F24" s="566"/>
      <c r="G24" s="198"/>
      <c r="H24" s="353"/>
      <c r="I24" s="198">
        <f>I20</f>
        <v>838.74239999999998</v>
      </c>
      <c r="J24" s="354"/>
    </row>
    <row r="25" spans="1:10" x14ac:dyDescent="0.5">
      <c r="A25" s="398">
        <v>6</v>
      </c>
      <c r="B25" s="195" t="s">
        <v>427</v>
      </c>
      <c r="C25" s="223" t="s">
        <v>450</v>
      </c>
      <c r="D25" s="223"/>
      <c r="E25" s="223"/>
      <c r="F25" s="223"/>
      <c r="G25" s="198"/>
      <c r="H25" s="208"/>
      <c r="I25" s="227">
        <f>SUM(I26:I28)</f>
        <v>1833.1200000000001</v>
      </c>
      <c r="J25" s="354"/>
    </row>
    <row r="26" spans="1:10" ht="16.5" x14ac:dyDescent="0.35">
      <c r="A26" s="231"/>
      <c r="B26" s="196">
        <v>1</v>
      </c>
      <c r="C26" s="197" t="s">
        <v>446</v>
      </c>
      <c r="D26" s="196" t="s">
        <v>36</v>
      </c>
      <c r="E26" s="196"/>
      <c r="F26" s="196">
        <v>3.5999999999999997E-2</v>
      </c>
      <c r="G26" s="198">
        <f>H26/(J26*$J$3)</f>
        <v>41160</v>
      </c>
      <c r="H26" s="353">
        <f>VLOOKUP(C26,[1]TB!$B$3:$D$503,3,0)</f>
        <v>51450000</v>
      </c>
      <c r="I26" s="198">
        <f>F26*G26</f>
        <v>1481.76</v>
      </c>
      <c r="J26" s="354">
        <f>VLOOKUP(C26,[1]TB!$B$3:$E$205,4,0)</f>
        <v>5</v>
      </c>
    </row>
    <row r="27" spans="1:10" ht="16.5" x14ac:dyDescent="0.35">
      <c r="A27" s="231"/>
      <c r="B27" s="196">
        <v>2</v>
      </c>
      <c r="C27" s="197" t="s">
        <v>448</v>
      </c>
      <c r="D27" s="196" t="s">
        <v>36</v>
      </c>
      <c r="E27" s="196" t="s">
        <v>566</v>
      </c>
      <c r="F27" s="196">
        <v>3.5999999999999997E-2</v>
      </c>
      <c r="G27" s="198">
        <f>H27/(J27*$J$3)</f>
        <v>8360</v>
      </c>
      <c r="H27" s="353">
        <f>VLOOKUP(C27,[1]TB!$B$3:$D$503,3,0)</f>
        <v>10450000</v>
      </c>
      <c r="I27" s="198">
        <f>F27*G27</f>
        <v>300.95999999999998</v>
      </c>
      <c r="J27" s="354">
        <f>VLOOKUP(C27,[1]TB!$B$3:$E$205,4,0)</f>
        <v>5</v>
      </c>
    </row>
    <row r="28" spans="1:10" ht="16.5" x14ac:dyDescent="0.35">
      <c r="A28" s="231"/>
      <c r="B28" s="196">
        <v>3</v>
      </c>
      <c r="C28" s="197" t="s">
        <v>447</v>
      </c>
      <c r="D28" s="196" t="s">
        <v>28</v>
      </c>
      <c r="E28" s="196" t="s">
        <v>566</v>
      </c>
      <c r="F28" s="196">
        <v>0.02</v>
      </c>
      <c r="G28" s="198">
        <f>H28/(J28*$J$3)</f>
        <v>2520</v>
      </c>
      <c r="H28" s="353">
        <f>VLOOKUP(C28,[1]TB!$B$3:$D$503,3,0)</f>
        <v>3150000</v>
      </c>
      <c r="I28" s="198">
        <f>F28*G28</f>
        <v>50.4</v>
      </c>
      <c r="J28" s="354">
        <f>VLOOKUP(C28,[1]TB!$B$3:$E$205,4,0)</f>
        <v>5</v>
      </c>
    </row>
    <row r="29" spans="1:10" ht="16.5" x14ac:dyDescent="0.35">
      <c r="A29" s="231">
        <v>7</v>
      </c>
      <c r="B29" s="195" t="s">
        <v>428</v>
      </c>
      <c r="C29" s="223" t="s">
        <v>4</v>
      </c>
      <c r="D29" s="223"/>
      <c r="E29" s="223"/>
      <c r="F29" s="223"/>
      <c r="G29" s="198"/>
      <c r="H29" s="208"/>
      <c r="I29" s="227">
        <f>SUM(I30:I32)</f>
        <v>1833.1200000000001</v>
      </c>
      <c r="J29" s="354"/>
    </row>
    <row r="30" spans="1:10" ht="16.5" x14ac:dyDescent="0.35">
      <c r="A30" s="231"/>
      <c r="B30" s="196">
        <v>1</v>
      </c>
      <c r="C30" s="197" t="s">
        <v>446</v>
      </c>
      <c r="D30" s="196" t="s">
        <v>36</v>
      </c>
      <c r="E30" s="196"/>
      <c r="F30" s="196">
        <v>3.5999999999999997E-2</v>
      </c>
      <c r="G30" s="198">
        <f t="shared" ref="G30:G49" si="2">H30/(J30*$J$3)</f>
        <v>41160</v>
      </c>
      <c r="H30" s="353">
        <f>VLOOKUP(C30,[1]TB!$B$3:$D$503,3,0)</f>
        <v>51450000</v>
      </c>
      <c r="I30" s="198">
        <f t="shared" ref="I30:I49" si="3">F30*G30</f>
        <v>1481.76</v>
      </c>
      <c r="J30" s="354">
        <f>VLOOKUP(C30,[1]TB!$B$3:$E$205,4,0)</f>
        <v>5</v>
      </c>
    </row>
    <row r="31" spans="1:10" ht="16.5" x14ac:dyDescent="0.35">
      <c r="A31" s="231"/>
      <c r="B31" s="196">
        <v>2</v>
      </c>
      <c r="C31" s="197" t="s">
        <v>448</v>
      </c>
      <c r="D31" s="196" t="s">
        <v>36</v>
      </c>
      <c r="E31" s="196" t="s">
        <v>566</v>
      </c>
      <c r="F31" s="196">
        <v>3.5999999999999997E-2</v>
      </c>
      <c r="G31" s="198">
        <f t="shared" si="2"/>
        <v>8360</v>
      </c>
      <c r="H31" s="353">
        <f>VLOOKUP(C31,[1]TB!$B$3:$D$503,3,0)</f>
        <v>10450000</v>
      </c>
      <c r="I31" s="198">
        <f t="shared" si="3"/>
        <v>300.95999999999998</v>
      </c>
      <c r="J31" s="354">
        <f>VLOOKUP(C31,[1]TB!$B$3:$E$205,4,0)</f>
        <v>5</v>
      </c>
    </row>
    <row r="32" spans="1:10" ht="16.5" x14ac:dyDescent="0.35">
      <c r="A32" s="231"/>
      <c r="B32" s="196">
        <v>3</v>
      </c>
      <c r="C32" s="197" t="s">
        <v>447</v>
      </c>
      <c r="D32" s="196" t="s">
        <v>28</v>
      </c>
      <c r="E32" s="196" t="s">
        <v>566</v>
      </c>
      <c r="F32" s="196">
        <v>0.02</v>
      </c>
      <c r="G32" s="198">
        <f t="shared" si="2"/>
        <v>2520</v>
      </c>
      <c r="H32" s="353">
        <f>VLOOKUP(C32,[1]TB!$B$3:$D$503,3,0)</f>
        <v>3150000</v>
      </c>
      <c r="I32" s="198">
        <f t="shared" si="3"/>
        <v>50.4</v>
      </c>
      <c r="J32" s="354">
        <f>VLOOKUP(C32,[1]TB!$B$3:$E$205,4,0)</f>
        <v>5</v>
      </c>
    </row>
    <row r="33" spans="1:10" ht="16.5" x14ac:dyDescent="0.35">
      <c r="A33" s="231">
        <v>8</v>
      </c>
      <c r="B33" s="195" t="s">
        <v>380</v>
      </c>
      <c r="C33" s="223" t="s">
        <v>6</v>
      </c>
      <c r="D33" s="223"/>
      <c r="E33" s="223"/>
      <c r="F33" s="223"/>
      <c r="G33" s="198"/>
      <c r="H33" s="208"/>
      <c r="I33" s="227">
        <f>SUM(I34:I36)</f>
        <v>1833.1200000000001</v>
      </c>
      <c r="J33" s="354"/>
    </row>
    <row r="34" spans="1:10" ht="16.5" x14ac:dyDescent="0.35">
      <c r="A34" s="231"/>
      <c r="B34" s="196">
        <v>1</v>
      </c>
      <c r="C34" s="197" t="s">
        <v>446</v>
      </c>
      <c r="D34" s="196" t="s">
        <v>36</v>
      </c>
      <c r="E34" s="196"/>
      <c r="F34" s="196">
        <v>3.5999999999999997E-2</v>
      </c>
      <c r="G34" s="198">
        <f t="shared" si="2"/>
        <v>41160</v>
      </c>
      <c r="H34" s="353">
        <f>VLOOKUP(C34,[1]TB!$B$3:$D$503,3,0)</f>
        <v>51450000</v>
      </c>
      <c r="I34" s="198">
        <f t="shared" si="3"/>
        <v>1481.76</v>
      </c>
      <c r="J34" s="354">
        <f>VLOOKUP(C34,[1]TB!$B$3:$E$205,4,0)</f>
        <v>5</v>
      </c>
    </row>
    <row r="35" spans="1:10" ht="16.5" x14ac:dyDescent="0.35">
      <c r="A35" s="231"/>
      <c r="B35" s="196">
        <v>2</v>
      </c>
      <c r="C35" s="197" t="s">
        <v>449</v>
      </c>
      <c r="D35" s="196" t="s">
        <v>36</v>
      </c>
      <c r="E35" s="196" t="s">
        <v>566</v>
      </c>
      <c r="F35" s="196">
        <v>3.5999999999999997E-2</v>
      </c>
      <c r="G35" s="198">
        <f t="shared" si="2"/>
        <v>8360</v>
      </c>
      <c r="H35" s="353">
        <f>VLOOKUP(C35,[1]TB!$B$3:$D$503,3,0)</f>
        <v>10450000</v>
      </c>
      <c r="I35" s="198">
        <f t="shared" si="3"/>
        <v>300.95999999999998</v>
      </c>
      <c r="J35" s="354">
        <f>VLOOKUP(C35,[1]TB!$B$3:$E$205,4,0)</f>
        <v>5</v>
      </c>
    </row>
    <row r="36" spans="1:10" ht="16.5" x14ac:dyDescent="0.35">
      <c r="A36" s="231"/>
      <c r="B36" s="196">
        <v>3</v>
      </c>
      <c r="C36" s="197" t="s">
        <v>447</v>
      </c>
      <c r="D36" s="196" t="s">
        <v>28</v>
      </c>
      <c r="E36" s="196" t="s">
        <v>566</v>
      </c>
      <c r="F36" s="196">
        <v>0.02</v>
      </c>
      <c r="G36" s="198">
        <f t="shared" si="2"/>
        <v>2520</v>
      </c>
      <c r="H36" s="353">
        <f>VLOOKUP(C36,[1]TB!$B$3:$D$503,3,0)</f>
        <v>3150000</v>
      </c>
      <c r="I36" s="198">
        <f t="shared" si="3"/>
        <v>50.4</v>
      </c>
      <c r="J36" s="354">
        <f>VLOOKUP(C36,[1]TB!$B$3:$E$205,4,0)</f>
        <v>5</v>
      </c>
    </row>
    <row r="37" spans="1:10" ht="16.5" x14ac:dyDescent="0.35">
      <c r="A37" s="231">
        <v>9</v>
      </c>
      <c r="B37" s="195" t="s">
        <v>387</v>
      </c>
      <c r="C37" s="223" t="s">
        <v>7</v>
      </c>
      <c r="D37" s="223"/>
      <c r="E37" s="223"/>
      <c r="F37" s="223"/>
      <c r="G37" s="198"/>
      <c r="H37" s="208"/>
      <c r="I37" s="212">
        <f>SUM(I38:I40)</f>
        <v>1833.1200000000001</v>
      </c>
      <c r="J37" s="354"/>
    </row>
    <row r="38" spans="1:10" ht="16.5" x14ac:dyDescent="0.35">
      <c r="A38" s="231"/>
      <c r="B38" s="196">
        <v>1</v>
      </c>
      <c r="C38" s="197" t="s">
        <v>446</v>
      </c>
      <c r="D38" s="196" t="s">
        <v>36</v>
      </c>
      <c r="E38" s="196"/>
      <c r="F38" s="196">
        <v>3.5999999999999997E-2</v>
      </c>
      <c r="G38" s="198">
        <f t="shared" si="2"/>
        <v>41160</v>
      </c>
      <c r="H38" s="353">
        <f>VLOOKUP(C38,[1]TB!$B$3:$D$503,3,0)</f>
        <v>51450000</v>
      </c>
      <c r="I38" s="198">
        <f t="shared" si="3"/>
        <v>1481.76</v>
      </c>
      <c r="J38" s="354">
        <f>VLOOKUP(C38,[1]TB!$B$3:$E$205,4,0)</f>
        <v>5</v>
      </c>
    </row>
    <row r="39" spans="1:10" ht="16.5" x14ac:dyDescent="0.35">
      <c r="A39" s="231"/>
      <c r="B39" s="196">
        <v>2</v>
      </c>
      <c r="C39" s="197" t="s">
        <v>448</v>
      </c>
      <c r="D39" s="196" t="s">
        <v>36</v>
      </c>
      <c r="E39" s="196" t="s">
        <v>566</v>
      </c>
      <c r="F39" s="196">
        <v>3.5999999999999997E-2</v>
      </c>
      <c r="G39" s="198">
        <f t="shared" si="2"/>
        <v>8360</v>
      </c>
      <c r="H39" s="353">
        <f>VLOOKUP(C39,[1]TB!$B$3:$D$503,3,0)</f>
        <v>10450000</v>
      </c>
      <c r="I39" s="198">
        <f t="shared" si="3"/>
        <v>300.95999999999998</v>
      </c>
      <c r="J39" s="354">
        <f>VLOOKUP(C39,[1]TB!$B$3:$E$205,4,0)</f>
        <v>5</v>
      </c>
    </row>
    <row r="40" spans="1:10" ht="16.5" x14ac:dyDescent="0.35">
      <c r="A40" s="231"/>
      <c r="B40" s="196">
        <v>3</v>
      </c>
      <c r="C40" s="197" t="s">
        <v>447</v>
      </c>
      <c r="D40" s="196" t="s">
        <v>28</v>
      </c>
      <c r="E40" s="196" t="s">
        <v>566</v>
      </c>
      <c r="F40" s="196">
        <v>0.02</v>
      </c>
      <c r="G40" s="198">
        <f t="shared" si="2"/>
        <v>2520</v>
      </c>
      <c r="H40" s="353">
        <f>VLOOKUP(C40,[1]TB!$B$3:$D$503,3,0)</f>
        <v>3150000</v>
      </c>
      <c r="I40" s="198">
        <f t="shared" si="3"/>
        <v>50.4</v>
      </c>
      <c r="J40" s="354">
        <f>VLOOKUP(C40,[1]TB!$B$3:$E$205,4,0)</f>
        <v>5</v>
      </c>
    </row>
    <row r="41" spans="1:10" ht="16.5" x14ac:dyDescent="0.35">
      <c r="A41" s="231">
        <v>10</v>
      </c>
      <c r="B41" s="316" t="s">
        <v>388</v>
      </c>
      <c r="C41" s="223" t="s">
        <v>598</v>
      </c>
      <c r="D41" s="196"/>
      <c r="E41" s="196"/>
      <c r="F41" s="551" t="s">
        <v>585</v>
      </c>
      <c r="G41" s="552"/>
      <c r="H41" s="553"/>
      <c r="I41" s="227">
        <f>I37</f>
        <v>1833.1200000000001</v>
      </c>
      <c r="J41" s="354"/>
    </row>
    <row r="42" spans="1:10" ht="16.5" x14ac:dyDescent="0.35">
      <c r="A42" s="231">
        <v>11</v>
      </c>
      <c r="B42" s="195" t="s">
        <v>382</v>
      </c>
      <c r="C42" s="223" t="s">
        <v>444</v>
      </c>
      <c r="D42" s="223"/>
      <c r="E42" s="223"/>
      <c r="F42" s="223"/>
      <c r="G42" s="198"/>
      <c r="H42" s="208"/>
      <c r="I42" s="227">
        <f>SUM(I43:I45)</f>
        <v>1833.1200000000001</v>
      </c>
      <c r="J42" s="354"/>
    </row>
    <row r="43" spans="1:10" ht="16.5" x14ac:dyDescent="0.35">
      <c r="A43" s="231"/>
      <c r="B43" s="196">
        <v>1</v>
      </c>
      <c r="C43" s="197" t="s">
        <v>446</v>
      </c>
      <c r="D43" s="196" t="s">
        <v>36</v>
      </c>
      <c r="E43" s="196"/>
      <c r="F43" s="196">
        <v>3.5999999999999997E-2</v>
      </c>
      <c r="G43" s="198">
        <f t="shared" si="2"/>
        <v>41160</v>
      </c>
      <c r="H43" s="353">
        <f>VLOOKUP(C43,[1]TB!$B$3:$D$503,3,0)</f>
        <v>51450000</v>
      </c>
      <c r="I43" s="198">
        <f t="shared" si="3"/>
        <v>1481.76</v>
      </c>
      <c r="J43" s="354">
        <f>VLOOKUP(C43,[1]TB!$B$3:$E$205,4,0)</f>
        <v>5</v>
      </c>
    </row>
    <row r="44" spans="1:10" ht="16.5" x14ac:dyDescent="0.35">
      <c r="A44" s="231"/>
      <c r="B44" s="196">
        <v>2</v>
      </c>
      <c r="C44" s="197" t="s">
        <v>448</v>
      </c>
      <c r="D44" s="196" t="s">
        <v>36</v>
      </c>
      <c r="E44" s="196" t="s">
        <v>566</v>
      </c>
      <c r="F44" s="196">
        <v>3.5999999999999997E-2</v>
      </c>
      <c r="G44" s="198">
        <f t="shared" si="2"/>
        <v>8360</v>
      </c>
      <c r="H44" s="353">
        <f>VLOOKUP(C44,[1]TB!$B$3:$D$503,3,0)</f>
        <v>10450000</v>
      </c>
      <c r="I44" s="198">
        <f t="shared" si="3"/>
        <v>300.95999999999998</v>
      </c>
      <c r="J44" s="354">
        <f>VLOOKUP(C44,[1]TB!$B$3:$E$205,4,0)</f>
        <v>5</v>
      </c>
    </row>
    <row r="45" spans="1:10" ht="16.5" x14ac:dyDescent="0.35">
      <c r="A45" s="231"/>
      <c r="B45" s="196">
        <v>3</v>
      </c>
      <c r="C45" s="197" t="s">
        <v>447</v>
      </c>
      <c r="D45" s="196" t="s">
        <v>28</v>
      </c>
      <c r="E45" s="196" t="s">
        <v>566</v>
      </c>
      <c r="F45" s="196">
        <v>0.02</v>
      </c>
      <c r="G45" s="198">
        <f t="shared" si="2"/>
        <v>2520</v>
      </c>
      <c r="H45" s="353">
        <f>VLOOKUP(C45,[1]TB!$B$3:$D$503,3,0)</f>
        <v>3150000</v>
      </c>
      <c r="I45" s="198">
        <f t="shared" si="3"/>
        <v>50.4</v>
      </c>
      <c r="J45" s="354">
        <f>VLOOKUP(C45,[1]TB!$B$3:$E$205,4,0)</f>
        <v>5</v>
      </c>
    </row>
    <row r="46" spans="1:10" ht="18" x14ac:dyDescent="0.35">
      <c r="A46" s="231">
        <v>12</v>
      </c>
      <c r="B46" s="195" t="s">
        <v>383</v>
      </c>
      <c r="C46" s="181" t="s">
        <v>445</v>
      </c>
      <c r="D46" s="223"/>
      <c r="E46" s="223"/>
      <c r="F46" s="223"/>
      <c r="G46" s="198"/>
      <c r="H46" s="208"/>
      <c r="I46" s="212">
        <f>SUM(I47:I49)</f>
        <v>1833.1200000000001</v>
      </c>
      <c r="J46" s="354"/>
    </row>
    <row r="47" spans="1:10" ht="16.5" x14ac:dyDescent="0.35">
      <c r="A47" s="231"/>
      <c r="B47" s="196">
        <v>1</v>
      </c>
      <c r="C47" s="197" t="s">
        <v>446</v>
      </c>
      <c r="D47" s="196" t="s">
        <v>36</v>
      </c>
      <c r="E47" s="196"/>
      <c r="F47" s="196">
        <v>3.5999999999999997E-2</v>
      </c>
      <c r="G47" s="198">
        <f t="shared" si="2"/>
        <v>41160</v>
      </c>
      <c r="H47" s="353">
        <f>VLOOKUP(C47,[1]TB!$B$3:$D$503,3,0)</f>
        <v>51450000</v>
      </c>
      <c r="I47" s="198">
        <f t="shared" si="3"/>
        <v>1481.76</v>
      </c>
      <c r="J47" s="354">
        <f>VLOOKUP(C47,[1]TB!$B$3:$E$205,4,0)</f>
        <v>5</v>
      </c>
    </row>
    <row r="48" spans="1:10" ht="16.5" x14ac:dyDescent="0.35">
      <c r="A48" s="231"/>
      <c r="B48" s="196">
        <v>2</v>
      </c>
      <c r="C48" s="197" t="s">
        <v>448</v>
      </c>
      <c r="D48" s="196" t="s">
        <v>36</v>
      </c>
      <c r="E48" s="196" t="s">
        <v>566</v>
      </c>
      <c r="F48" s="196">
        <v>3.5999999999999997E-2</v>
      </c>
      <c r="G48" s="198">
        <f t="shared" si="2"/>
        <v>8360</v>
      </c>
      <c r="H48" s="353">
        <f>VLOOKUP(C48,[1]TB!$B$3:$D$503,3,0)</f>
        <v>10450000</v>
      </c>
      <c r="I48" s="198">
        <f t="shared" si="3"/>
        <v>300.95999999999998</v>
      </c>
      <c r="J48" s="354">
        <f>VLOOKUP(C48,[1]TB!$B$3:$E$205,4,0)</f>
        <v>5</v>
      </c>
    </row>
    <row r="49" spans="1:10" ht="16.5" x14ac:dyDescent="0.35">
      <c r="A49" s="231"/>
      <c r="B49" s="196">
        <v>3</v>
      </c>
      <c r="C49" s="197" t="s">
        <v>447</v>
      </c>
      <c r="D49" s="196" t="s">
        <v>28</v>
      </c>
      <c r="E49" s="196" t="s">
        <v>566</v>
      </c>
      <c r="F49" s="196">
        <v>0.02</v>
      </c>
      <c r="G49" s="198">
        <f t="shared" si="2"/>
        <v>2520</v>
      </c>
      <c r="H49" s="353">
        <f>VLOOKUP(C49,[1]TB!$B$3:$D$503,3,0)</f>
        <v>3150000</v>
      </c>
      <c r="I49" s="198">
        <f t="shared" si="3"/>
        <v>50.4</v>
      </c>
      <c r="J49" s="354">
        <f>VLOOKUP(C49,[1]TB!$B$3:$E$205,4,0)</f>
        <v>5</v>
      </c>
    </row>
    <row r="50" spans="1:10" ht="21" customHeight="1" x14ac:dyDescent="0.35">
      <c r="A50" s="231">
        <v>13</v>
      </c>
      <c r="B50" s="195" t="s">
        <v>389</v>
      </c>
      <c r="C50" s="467" t="s">
        <v>617</v>
      </c>
      <c r="D50" s="468"/>
      <c r="E50" s="468"/>
      <c r="F50" s="468"/>
      <c r="G50" s="533"/>
      <c r="H50" s="162"/>
      <c r="I50" s="227">
        <f>SUM(I51:I53)</f>
        <v>1833.1200000000001</v>
      </c>
      <c r="J50" s="354"/>
    </row>
    <row r="51" spans="1:10" ht="16.5" x14ac:dyDescent="0.35">
      <c r="A51" s="231"/>
      <c r="B51" s="196">
        <v>1</v>
      </c>
      <c r="C51" s="197" t="s">
        <v>446</v>
      </c>
      <c r="D51" s="196" t="s">
        <v>36</v>
      </c>
      <c r="E51" s="196"/>
      <c r="F51" s="196">
        <v>3.5999999999999997E-2</v>
      </c>
      <c r="G51" s="198">
        <f t="shared" ref="G51:G53" si="4">H51/(J51*$J$3)</f>
        <v>41160</v>
      </c>
      <c r="H51" s="353">
        <f>VLOOKUP(C51,[1]TB!$B$3:$D$503,3,0)</f>
        <v>51450000</v>
      </c>
      <c r="I51" s="198">
        <f t="shared" ref="I51:I53" si="5">F51*G51</f>
        <v>1481.76</v>
      </c>
      <c r="J51" s="354">
        <f>VLOOKUP(C51,[1]TB!$B$3:$E$205,4,0)</f>
        <v>5</v>
      </c>
    </row>
    <row r="52" spans="1:10" ht="16.5" x14ac:dyDescent="0.35">
      <c r="A52" s="231"/>
      <c r="B52" s="196">
        <v>2</v>
      </c>
      <c r="C52" s="197" t="s">
        <v>448</v>
      </c>
      <c r="D52" s="196" t="s">
        <v>36</v>
      </c>
      <c r="E52" s="196" t="s">
        <v>566</v>
      </c>
      <c r="F52" s="196">
        <v>3.5999999999999997E-2</v>
      </c>
      <c r="G52" s="198">
        <f t="shared" si="4"/>
        <v>8360</v>
      </c>
      <c r="H52" s="353">
        <f>VLOOKUP(C52,[1]TB!$B$3:$D$503,3,0)</f>
        <v>10450000</v>
      </c>
      <c r="I52" s="198">
        <f t="shared" si="5"/>
        <v>300.95999999999998</v>
      </c>
      <c r="J52" s="354">
        <f>VLOOKUP(C52,[1]TB!$B$3:$E$205,4,0)</f>
        <v>5</v>
      </c>
    </row>
    <row r="53" spans="1:10" ht="16.5" x14ac:dyDescent="0.35">
      <c r="A53" s="231"/>
      <c r="B53" s="196">
        <v>3</v>
      </c>
      <c r="C53" s="197" t="s">
        <v>447</v>
      </c>
      <c r="D53" s="196" t="s">
        <v>28</v>
      </c>
      <c r="E53" s="196" t="s">
        <v>566</v>
      </c>
      <c r="F53" s="196">
        <v>0.02</v>
      </c>
      <c r="G53" s="198">
        <f t="shared" si="4"/>
        <v>2520</v>
      </c>
      <c r="H53" s="353">
        <f>VLOOKUP(C53,[1]TB!$B$3:$D$503,3,0)</f>
        <v>3150000</v>
      </c>
      <c r="I53" s="198">
        <f t="shared" si="5"/>
        <v>50.4</v>
      </c>
      <c r="J53" s="354">
        <f>VLOOKUP(C53,[1]TB!$B$3:$E$205,4,0)</f>
        <v>5</v>
      </c>
    </row>
    <row r="54" spans="1:10" ht="16.5" x14ac:dyDescent="0.35">
      <c r="A54" s="231">
        <v>14</v>
      </c>
      <c r="B54" s="334" t="s">
        <v>390</v>
      </c>
      <c r="C54" s="335" t="s">
        <v>14</v>
      </c>
      <c r="D54" s="332"/>
      <c r="E54" s="333"/>
      <c r="F54" s="551" t="s">
        <v>596</v>
      </c>
      <c r="G54" s="552"/>
      <c r="H54" s="553"/>
      <c r="I54" s="227">
        <f>I50</f>
        <v>1833.1200000000001</v>
      </c>
      <c r="J54" s="354"/>
    </row>
    <row r="55" spans="1:10" ht="18" x14ac:dyDescent="0.35">
      <c r="A55" s="231">
        <v>15</v>
      </c>
      <c r="B55" s="336" t="s">
        <v>391</v>
      </c>
      <c r="C55" s="335" t="s">
        <v>609</v>
      </c>
      <c r="D55" s="332"/>
      <c r="E55" s="333"/>
      <c r="F55" s="551" t="s">
        <v>596</v>
      </c>
      <c r="G55" s="552"/>
      <c r="H55" s="553"/>
      <c r="I55" s="227">
        <f>I50</f>
        <v>1833.1200000000001</v>
      </c>
      <c r="J55" s="354"/>
    </row>
    <row r="56" spans="1:10" ht="18" x14ac:dyDescent="0.35">
      <c r="A56" s="231">
        <v>16</v>
      </c>
      <c r="B56" s="336" t="s">
        <v>392</v>
      </c>
      <c r="C56" s="335" t="s">
        <v>610</v>
      </c>
      <c r="D56" s="332"/>
      <c r="E56" s="333"/>
      <c r="F56" s="551" t="s">
        <v>596</v>
      </c>
      <c r="G56" s="552"/>
      <c r="H56" s="553"/>
      <c r="I56" s="227">
        <f>I50</f>
        <v>1833.1200000000001</v>
      </c>
      <c r="J56" s="354"/>
    </row>
    <row r="57" spans="1:10" ht="16.5" x14ac:dyDescent="0.35">
      <c r="A57" s="231">
        <v>17</v>
      </c>
      <c r="B57" s="334" t="s">
        <v>393</v>
      </c>
      <c r="C57" s="335" t="s">
        <v>16</v>
      </c>
      <c r="D57" s="332"/>
      <c r="E57" s="333"/>
      <c r="F57" s="551" t="s">
        <v>596</v>
      </c>
      <c r="G57" s="552"/>
      <c r="H57" s="553"/>
      <c r="I57" s="227">
        <f>I50</f>
        <v>1833.1200000000001</v>
      </c>
      <c r="J57" s="354"/>
    </row>
    <row r="58" spans="1:10" ht="17.5" x14ac:dyDescent="0.35">
      <c r="A58" s="231">
        <v>18</v>
      </c>
      <c r="B58" s="336" t="s">
        <v>394</v>
      </c>
      <c r="C58" s="335" t="s">
        <v>611</v>
      </c>
      <c r="D58" s="332"/>
      <c r="E58" s="333"/>
      <c r="F58" s="551" t="s">
        <v>596</v>
      </c>
      <c r="G58" s="552"/>
      <c r="H58" s="553"/>
      <c r="I58" s="227">
        <f>I50</f>
        <v>1833.1200000000001</v>
      </c>
      <c r="J58" s="354"/>
    </row>
    <row r="59" spans="1:10" ht="18" x14ac:dyDescent="0.35">
      <c r="A59" s="231">
        <v>19</v>
      </c>
      <c r="B59" s="336" t="s">
        <v>395</v>
      </c>
      <c r="C59" s="335" t="s">
        <v>612</v>
      </c>
      <c r="D59" s="332"/>
      <c r="E59" s="333"/>
      <c r="F59" s="551" t="s">
        <v>596</v>
      </c>
      <c r="G59" s="552"/>
      <c r="H59" s="553"/>
      <c r="I59" s="227">
        <f>I50</f>
        <v>1833.1200000000001</v>
      </c>
      <c r="J59" s="354"/>
    </row>
    <row r="60" spans="1:10" ht="18" x14ac:dyDescent="0.35">
      <c r="A60" s="231">
        <v>20</v>
      </c>
      <c r="B60" s="334" t="s">
        <v>396</v>
      </c>
      <c r="C60" s="335" t="s">
        <v>613</v>
      </c>
      <c r="D60" s="332"/>
      <c r="E60" s="333"/>
      <c r="F60" s="551" t="s">
        <v>596</v>
      </c>
      <c r="G60" s="552"/>
      <c r="H60" s="553"/>
      <c r="I60" s="227">
        <f>I50</f>
        <v>1833.1200000000001</v>
      </c>
      <c r="J60" s="354"/>
    </row>
    <row r="61" spans="1:10" ht="18" x14ac:dyDescent="0.35">
      <c r="A61" s="231">
        <v>21</v>
      </c>
      <c r="B61" s="336" t="s">
        <v>397</v>
      </c>
      <c r="C61" s="335" t="s">
        <v>614</v>
      </c>
      <c r="D61" s="332"/>
      <c r="E61" s="333"/>
      <c r="F61" s="551" t="s">
        <v>596</v>
      </c>
      <c r="G61" s="552"/>
      <c r="H61" s="553"/>
      <c r="I61" s="227">
        <f>I50</f>
        <v>1833.1200000000001</v>
      </c>
      <c r="J61" s="354"/>
    </row>
    <row r="62" spans="1:10" ht="18" x14ac:dyDescent="0.35">
      <c r="A62" s="231">
        <v>22</v>
      </c>
      <c r="B62" s="336" t="s">
        <v>398</v>
      </c>
      <c r="C62" s="335" t="s">
        <v>615</v>
      </c>
      <c r="D62" s="332"/>
      <c r="E62" s="333"/>
      <c r="F62" s="551" t="s">
        <v>596</v>
      </c>
      <c r="G62" s="552"/>
      <c r="H62" s="553"/>
      <c r="I62" s="227">
        <f>I50</f>
        <v>1833.1200000000001</v>
      </c>
      <c r="J62" s="354"/>
    </row>
    <row r="63" spans="1:10" ht="17.5" x14ac:dyDescent="0.35">
      <c r="A63" s="231">
        <v>23</v>
      </c>
      <c r="B63" s="336" t="s">
        <v>399</v>
      </c>
      <c r="C63" s="335" t="s">
        <v>616</v>
      </c>
      <c r="D63" s="332"/>
      <c r="E63" s="333"/>
      <c r="F63" s="551" t="s">
        <v>596</v>
      </c>
      <c r="G63" s="552"/>
      <c r="H63" s="553"/>
      <c r="I63" s="227">
        <f>I50</f>
        <v>1833.1200000000001</v>
      </c>
      <c r="J63" s="354"/>
    </row>
    <row r="64" spans="1:10" s="194" customFormat="1" ht="17.25" customHeight="1" x14ac:dyDescent="0.35">
      <c r="A64" s="231">
        <v>24</v>
      </c>
      <c r="B64" s="367" t="s">
        <v>696</v>
      </c>
      <c r="C64" s="367" t="s">
        <v>739</v>
      </c>
      <c r="D64" s="399"/>
      <c r="E64" s="400"/>
      <c r="F64" s="557" t="s">
        <v>596</v>
      </c>
      <c r="G64" s="558"/>
      <c r="H64" s="559"/>
      <c r="I64" s="212">
        <f>I50</f>
        <v>1833.1200000000001</v>
      </c>
      <c r="J64" s="354"/>
    </row>
    <row r="65" spans="1:10" s="194" customFormat="1" ht="17.25" customHeight="1" x14ac:dyDescent="0.35">
      <c r="A65" s="231">
        <v>25</v>
      </c>
      <c r="B65" s="367" t="s">
        <v>697</v>
      </c>
      <c r="C65" s="367" t="s">
        <v>699</v>
      </c>
      <c r="D65" s="399"/>
      <c r="E65" s="400"/>
      <c r="F65" s="557" t="s">
        <v>596</v>
      </c>
      <c r="G65" s="558"/>
      <c r="H65" s="559"/>
      <c r="I65" s="212">
        <f>I64</f>
        <v>1833.1200000000001</v>
      </c>
      <c r="J65" s="354"/>
    </row>
    <row r="66" spans="1:10" s="194" customFormat="1" ht="17.25" customHeight="1" x14ac:dyDescent="0.35">
      <c r="A66" s="231">
        <v>26</v>
      </c>
      <c r="B66" s="392" t="s">
        <v>700</v>
      </c>
      <c r="C66" s="367" t="s">
        <v>492</v>
      </c>
      <c r="D66" s="399"/>
      <c r="E66" s="400"/>
      <c r="F66" s="557" t="s">
        <v>596</v>
      </c>
      <c r="G66" s="558"/>
      <c r="H66" s="559"/>
      <c r="I66" s="212">
        <f>I50</f>
        <v>1833.1200000000001</v>
      </c>
      <c r="J66" s="354"/>
    </row>
    <row r="67" spans="1:10" s="194" customFormat="1" ht="17.25" customHeight="1" x14ac:dyDescent="0.35">
      <c r="A67" s="231">
        <v>27</v>
      </c>
      <c r="B67" s="392" t="s">
        <v>701</v>
      </c>
      <c r="C67" s="367" t="s">
        <v>493</v>
      </c>
      <c r="D67" s="399"/>
      <c r="E67" s="400"/>
      <c r="F67" s="557" t="s">
        <v>596</v>
      </c>
      <c r="G67" s="558"/>
      <c r="H67" s="559"/>
      <c r="I67" s="212">
        <f>I66</f>
        <v>1833.1200000000001</v>
      </c>
      <c r="J67" s="354"/>
    </row>
    <row r="68" spans="1:10" s="194" customFormat="1" ht="17.25" customHeight="1" x14ac:dyDescent="0.35">
      <c r="A68" s="231">
        <v>28</v>
      </c>
      <c r="B68" s="392" t="s">
        <v>702</v>
      </c>
      <c r="C68" s="367" t="s">
        <v>708</v>
      </c>
      <c r="D68" s="399"/>
      <c r="E68" s="400"/>
      <c r="F68" s="557" t="s">
        <v>596</v>
      </c>
      <c r="G68" s="558"/>
      <c r="H68" s="559"/>
      <c r="I68" s="212">
        <f>I50</f>
        <v>1833.1200000000001</v>
      </c>
      <c r="J68" s="354"/>
    </row>
    <row r="69" spans="1:10" s="194" customFormat="1" ht="17.25" customHeight="1" x14ac:dyDescent="0.35">
      <c r="A69" s="231">
        <v>29</v>
      </c>
      <c r="B69" s="392" t="s">
        <v>703</v>
      </c>
      <c r="C69" s="367" t="s">
        <v>709</v>
      </c>
      <c r="D69" s="399"/>
      <c r="E69" s="400"/>
      <c r="F69" s="557" t="s">
        <v>596</v>
      </c>
      <c r="G69" s="558"/>
      <c r="H69" s="559"/>
      <c r="I69" s="212">
        <f>I68</f>
        <v>1833.1200000000001</v>
      </c>
      <c r="J69" s="354"/>
    </row>
    <row r="70" spans="1:10" s="194" customFormat="1" ht="17.25" customHeight="1" x14ac:dyDescent="0.35">
      <c r="A70" s="231">
        <v>30</v>
      </c>
      <c r="B70" s="392" t="s">
        <v>704</v>
      </c>
      <c r="C70" s="367" t="s">
        <v>710</v>
      </c>
      <c r="D70" s="399"/>
      <c r="E70" s="400"/>
      <c r="F70" s="557" t="s">
        <v>596</v>
      </c>
      <c r="G70" s="558"/>
      <c r="H70" s="559"/>
      <c r="I70" s="212">
        <f>I69</f>
        <v>1833.1200000000001</v>
      </c>
      <c r="J70" s="354"/>
    </row>
    <row r="71" spans="1:10" s="194" customFormat="1" ht="17.25" customHeight="1" x14ac:dyDescent="0.35">
      <c r="A71" s="231">
        <v>31</v>
      </c>
      <c r="B71" s="392" t="s">
        <v>705</v>
      </c>
      <c r="C71" s="367" t="s">
        <v>711</v>
      </c>
      <c r="D71" s="399"/>
      <c r="E71" s="400"/>
      <c r="F71" s="557" t="s">
        <v>596</v>
      </c>
      <c r="G71" s="558"/>
      <c r="H71" s="559"/>
      <c r="I71" s="212">
        <f>I69</f>
        <v>1833.1200000000001</v>
      </c>
      <c r="J71" s="354"/>
    </row>
    <row r="72" spans="1:10" s="194" customFormat="1" ht="17.25" customHeight="1" x14ac:dyDescent="0.35">
      <c r="A72" s="231">
        <v>32</v>
      </c>
      <c r="B72" s="392" t="s">
        <v>706</v>
      </c>
      <c r="C72" s="367" t="s">
        <v>712</v>
      </c>
      <c r="D72" s="399"/>
      <c r="E72" s="400"/>
      <c r="F72" s="557" t="s">
        <v>596</v>
      </c>
      <c r="G72" s="558"/>
      <c r="H72" s="559"/>
      <c r="I72" s="212">
        <f>I69</f>
        <v>1833.1200000000001</v>
      </c>
      <c r="J72" s="354"/>
    </row>
    <row r="73" spans="1:10" s="194" customFormat="1" ht="17.25" customHeight="1" x14ac:dyDescent="0.35">
      <c r="A73" s="231">
        <v>33</v>
      </c>
      <c r="B73" s="392" t="s">
        <v>707</v>
      </c>
      <c r="C73" s="367" t="s">
        <v>713</v>
      </c>
      <c r="D73" s="399"/>
      <c r="E73" s="400"/>
      <c r="F73" s="557" t="s">
        <v>596</v>
      </c>
      <c r="G73" s="558"/>
      <c r="H73" s="559"/>
      <c r="I73" s="212">
        <f>I69</f>
        <v>1833.1200000000001</v>
      </c>
      <c r="J73" s="354"/>
    </row>
    <row r="74" spans="1:10" ht="16.5" x14ac:dyDescent="0.35">
      <c r="A74" s="231">
        <v>34</v>
      </c>
      <c r="B74" s="226" t="s">
        <v>384</v>
      </c>
      <c r="C74" s="569" t="s">
        <v>138</v>
      </c>
      <c r="D74" s="570"/>
      <c r="E74" s="268"/>
      <c r="F74" s="551" t="s">
        <v>429</v>
      </c>
      <c r="G74" s="552"/>
      <c r="H74" s="553"/>
      <c r="I74" s="227">
        <f>I46</f>
        <v>1833.1200000000001</v>
      </c>
      <c r="J74" s="354"/>
    </row>
    <row r="75" spans="1:10" ht="16.5" x14ac:dyDescent="0.35">
      <c r="A75" s="231">
        <v>35</v>
      </c>
      <c r="B75" s="226" t="s">
        <v>385</v>
      </c>
      <c r="C75" s="569" t="s">
        <v>294</v>
      </c>
      <c r="D75" s="570"/>
      <c r="E75" s="268"/>
      <c r="F75" s="551" t="s">
        <v>464</v>
      </c>
      <c r="G75" s="552"/>
      <c r="H75" s="553"/>
      <c r="I75" s="227">
        <f>I46</f>
        <v>1833.1200000000001</v>
      </c>
      <c r="J75" s="354"/>
    </row>
    <row r="76" spans="1:10" ht="29.25" customHeight="1" x14ac:dyDescent="0.35">
      <c r="A76" s="231">
        <v>36</v>
      </c>
      <c r="B76" s="195" t="s">
        <v>400</v>
      </c>
      <c r="C76" s="554" t="s">
        <v>618</v>
      </c>
      <c r="D76" s="555"/>
      <c r="E76" s="555"/>
      <c r="F76" s="556"/>
      <c r="G76" s="198"/>
      <c r="H76" s="208"/>
      <c r="I76" s="212">
        <f>SUM(I77:I79)</f>
        <v>1833.1200000000001</v>
      </c>
      <c r="J76" s="354"/>
    </row>
    <row r="77" spans="1:10" ht="16.5" x14ac:dyDescent="0.35">
      <c r="A77" s="231"/>
      <c r="B77" s="196">
        <v>1</v>
      </c>
      <c r="C77" s="197" t="s">
        <v>446</v>
      </c>
      <c r="D77" s="196" t="s">
        <v>36</v>
      </c>
      <c r="E77" s="196"/>
      <c r="F77" s="196">
        <v>3.5999999999999997E-2</v>
      </c>
      <c r="G77" s="198">
        <f t="shared" ref="G77:G79" si="6">H77/(J77*$J$3)</f>
        <v>41160</v>
      </c>
      <c r="H77" s="353">
        <f>VLOOKUP(C77,[1]TB!$B$3:$D$503,3,0)</f>
        <v>51450000</v>
      </c>
      <c r="I77" s="198">
        <f t="shared" ref="I77:I79" si="7">F77*G77</f>
        <v>1481.76</v>
      </c>
      <c r="J77" s="354">
        <f>VLOOKUP(C77,[1]TB!$B$3:$E$205,4,0)</f>
        <v>5</v>
      </c>
    </row>
    <row r="78" spans="1:10" ht="16.5" x14ac:dyDescent="0.35">
      <c r="A78" s="231"/>
      <c r="B78" s="196">
        <v>2</v>
      </c>
      <c r="C78" s="197" t="s">
        <v>448</v>
      </c>
      <c r="D78" s="196" t="s">
        <v>36</v>
      </c>
      <c r="E78" s="196" t="s">
        <v>566</v>
      </c>
      <c r="F78" s="196">
        <v>3.5999999999999997E-2</v>
      </c>
      <c r="G78" s="198">
        <f t="shared" si="6"/>
        <v>8360</v>
      </c>
      <c r="H78" s="353">
        <f>VLOOKUP(C78,[1]TB!$B$3:$D$503,3,0)</f>
        <v>10450000</v>
      </c>
      <c r="I78" s="198">
        <f t="shared" si="7"/>
        <v>300.95999999999998</v>
      </c>
      <c r="J78" s="354">
        <f>VLOOKUP(C78,[1]TB!$B$3:$E$205,4,0)</f>
        <v>5</v>
      </c>
    </row>
    <row r="79" spans="1:10" ht="16.5" x14ac:dyDescent="0.35">
      <c r="A79" s="231"/>
      <c r="B79" s="196">
        <v>3</v>
      </c>
      <c r="C79" s="197" t="s">
        <v>447</v>
      </c>
      <c r="D79" s="196" t="s">
        <v>28</v>
      </c>
      <c r="E79" s="196" t="s">
        <v>566</v>
      </c>
      <c r="F79" s="196">
        <v>0.02</v>
      </c>
      <c r="G79" s="198">
        <f t="shared" si="6"/>
        <v>2520</v>
      </c>
      <c r="H79" s="353">
        <f>VLOOKUP(C79,[1]TB!$B$3:$D$503,3,0)</f>
        <v>3150000</v>
      </c>
      <c r="I79" s="198">
        <f t="shared" si="7"/>
        <v>50.4</v>
      </c>
      <c r="J79" s="354">
        <f>VLOOKUP(C79,[1]TB!$B$3:$E$205,4,0)</f>
        <v>5</v>
      </c>
    </row>
    <row r="80" spans="1:10" ht="17.5" x14ac:dyDescent="0.35">
      <c r="A80" s="231">
        <v>37</v>
      </c>
      <c r="B80" s="401" t="s">
        <v>401</v>
      </c>
      <c r="C80" s="337" t="s">
        <v>20</v>
      </c>
      <c r="D80" s="196"/>
      <c r="E80" s="196"/>
      <c r="F80" s="551" t="s">
        <v>597</v>
      </c>
      <c r="G80" s="552"/>
      <c r="H80" s="553"/>
      <c r="I80" s="227">
        <f>I76</f>
        <v>1833.1200000000001</v>
      </c>
      <c r="J80" s="209"/>
    </row>
    <row r="81" spans="1:10" ht="17.5" x14ac:dyDescent="0.35">
      <c r="A81" s="231">
        <v>38</v>
      </c>
      <c r="B81" s="402" t="s">
        <v>402</v>
      </c>
      <c r="C81" s="338" t="s">
        <v>21</v>
      </c>
      <c r="D81" s="196"/>
      <c r="E81" s="196"/>
      <c r="F81" s="551" t="s">
        <v>597</v>
      </c>
      <c r="G81" s="552"/>
      <c r="H81" s="553"/>
      <c r="I81" s="227">
        <f>I76</f>
        <v>1833.1200000000001</v>
      </c>
      <c r="J81" s="209"/>
    </row>
    <row r="82" spans="1:10" ht="21.75" customHeight="1" x14ac:dyDescent="0.35">
      <c r="A82" s="231" t="s">
        <v>276</v>
      </c>
      <c r="B82" s="567" t="s">
        <v>264</v>
      </c>
      <c r="C82" s="567"/>
      <c r="D82" s="567"/>
      <c r="E82" s="567"/>
      <c r="F82" s="567"/>
      <c r="G82" s="567"/>
      <c r="H82" s="567"/>
      <c r="I82" s="567"/>
      <c r="J82" s="201">
        <v>500</v>
      </c>
    </row>
    <row r="83" spans="1:10" ht="19.5" customHeight="1" x14ac:dyDescent="0.35">
      <c r="A83" s="226">
        <v>1</v>
      </c>
      <c r="B83" s="202" t="s">
        <v>465</v>
      </c>
      <c r="C83" s="568" t="s">
        <v>451</v>
      </c>
      <c r="D83" s="568"/>
      <c r="E83" s="263"/>
      <c r="F83" s="203"/>
      <c r="G83" s="204"/>
      <c r="H83" s="204"/>
      <c r="I83" s="230">
        <f>SUM(I84:I88)</f>
        <v>22790.6</v>
      </c>
    </row>
    <row r="84" spans="1:10" ht="19.5" customHeight="1" x14ac:dyDescent="0.35">
      <c r="A84" s="226"/>
      <c r="B84" s="196">
        <v>1</v>
      </c>
      <c r="C84" s="206" t="s">
        <v>176</v>
      </c>
      <c r="D84" s="207" t="s">
        <v>28</v>
      </c>
      <c r="E84" s="207">
        <v>0.8</v>
      </c>
      <c r="F84" s="18">
        <v>0.2</v>
      </c>
      <c r="G84" s="198">
        <f>H84/(J84*$J$82)</f>
        <v>23100</v>
      </c>
      <c r="H84" s="353">
        <f>VLOOKUP(C84,[1]TB!$B$3:$D$503,3,0)</f>
        <v>57750000</v>
      </c>
      <c r="I84" s="198">
        <f>F84*G84</f>
        <v>4620</v>
      </c>
      <c r="J84" s="354">
        <f>VLOOKUP(C84,[1]TB!$B$3:$E$205,4,0)</f>
        <v>5</v>
      </c>
    </row>
    <row r="85" spans="1:10" ht="19.5" customHeight="1" x14ac:dyDescent="0.35">
      <c r="A85" s="226"/>
      <c r="B85" s="196">
        <v>2</v>
      </c>
      <c r="C85" s="206" t="s">
        <v>632</v>
      </c>
      <c r="D85" s="18" t="s">
        <v>28</v>
      </c>
      <c r="E85" s="207">
        <v>0.16</v>
      </c>
      <c r="F85" s="18">
        <v>0.04</v>
      </c>
      <c r="G85" s="198">
        <f t="shared" ref="G85:G86" si="8">H85/(J85*$J$82)</f>
        <v>14700</v>
      </c>
      <c r="H85" s="353">
        <f>VLOOKUP(C85,[1]TB!$B$3:$D$503,3,0)</f>
        <v>58800000</v>
      </c>
      <c r="I85" s="198">
        <f>G85*F85</f>
        <v>588</v>
      </c>
      <c r="J85" s="354">
        <f>VLOOKUP(C85,[1]TB!$B$3:$E$205,4,0)</f>
        <v>8</v>
      </c>
    </row>
    <row r="86" spans="1:10" ht="19.5" customHeight="1" x14ac:dyDescent="0.35">
      <c r="A86" s="226"/>
      <c r="B86" s="196">
        <v>3</v>
      </c>
      <c r="C86" s="17" t="s">
        <v>190</v>
      </c>
      <c r="D86" s="18" t="s">
        <v>28</v>
      </c>
      <c r="E86" s="207">
        <v>0.16</v>
      </c>
      <c r="F86" s="18">
        <v>0.4</v>
      </c>
      <c r="G86" s="198">
        <f t="shared" si="8"/>
        <v>23520</v>
      </c>
      <c r="H86" s="353">
        <f>VLOOKUP(C86,[1]TB!$B$3:$D$503,3,0)</f>
        <v>58800000</v>
      </c>
      <c r="I86" s="198">
        <f>G86*F86</f>
        <v>9408</v>
      </c>
      <c r="J86" s="354">
        <f>VLOOKUP(C86,[1]TB!$B$3:$E$205,4,0)</f>
        <v>5</v>
      </c>
    </row>
    <row r="87" spans="1:10" ht="19.5" customHeight="1" x14ac:dyDescent="0.35">
      <c r="A87" s="226"/>
      <c r="B87" s="196">
        <v>4</v>
      </c>
      <c r="C87" s="206" t="s">
        <v>644</v>
      </c>
      <c r="D87" s="207" t="s">
        <v>36</v>
      </c>
      <c r="E87" s="196">
        <v>0.18</v>
      </c>
      <c r="F87" s="18">
        <v>0.2</v>
      </c>
      <c r="G87" s="198">
        <f t="shared" ref="G87:G157" si="9">H87/(J87*$J$82)</f>
        <v>39600</v>
      </c>
      <c r="H87" s="353">
        <f>VLOOKUP(C87,[1]TB!$B$3:$D$503,3,0)</f>
        <v>99000000</v>
      </c>
      <c r="I87" s="198">
        <f t="shared" ref="I87:I88" si="10">F87*G87</f>
        <v>7920</v>
      </c>
      <c r="J87" s="354">
        <f>VLOOKUP(C87,[1]TB!$B$3:$E$205,4,0)</f>
        <v>5</v>
      </c>
    </row>
    <row r="88" spans="1:10" ht="19.5" customHeight="1" x14ac:dyDescent="0.35">
      <c r="A88" s="226"/>
      <c r="B88" s="196">
        <v>5</v>
      </c>
      <c r="C88" s="206" t="s">
        <v>175</v>
      </c>
      <c r="D88" s="207" t="s">
        <v>28</v>
      </c>
      <c r="E88" s="207">
        <v>2.2000000000000002</v>
      </c>
      <c r="F88" s="18">
        <v>6.7000000000000004E-2</v>
      </c>
      <c r="G88" s="198">
        <f t="shared" si="9"/>
        <v>3800</v>
      </c>
      <c r="H88" s="353">
        <f>VLOOKUP(C88,[1]TB!$B$3:$D$503,3,0)</f>
        <v>9500000</v>
      </c>
      <c r="I88" s="198">
        <f t="shared" si="10"/>
        <v>254.60000000000002</v>
      </c>
      <c r="J88" s="354">
        <f>VLOOKUP(C88,[1]TB!$B$3:$E$205,4,0)</f>
        <v>5</v>
      </c>
    </row>
    <row r="89" spans="1:10" ht="19.5" customHeight="1" x14ac:dyDescent="0.35">
      <c r="A89" s="226"/>
      <c r="B89" s="196">
        <v>6</v>
      </c>
      <c r="C89" s="206" t="s">
        <v>52</v>
      </c>
      <c r="D89" s="207" t="s">
        <v>53</v>
      </c>
      <c r="E89" s="207"/>
      <c r="F89" s="94">
        <v>4.0449999999999999</v>
      </c>
      <c r="G89" s="198"/>
      <c r="H89" s="353">
        <f>VLOOKUP(C89,[1]TB!$B$3:$D$503,3,0)</f>
        <v>1838</v>
      </c>
      <c r="I89" s="198">
        <f>H89*F89</f>
        <v>7434.71</v>
      </c>
      <c r="J89" s="354">
        <f>VLOOKUP(C89,[1]TB!$B$3:$E$205,4,0)</f>
        <v>0</v>
      </c>
    </row>
    <row r="90" spans="1:10" ht="19.5" customHeight="1" x14ac:dyDescent="0.35">
      <c r="A90" s="226">
        <v>2</v>
      </c>
      <c r="B90" s="202" t="s">
        <v>466</v>
      </c>
      <c r="C90" s="568" t="s">
        <v>178</v>
      </c>
      <c r="D90" s="568"/>
      <c r="E90" s="263"/>
      <c r="F90" s="203"/>
      <c r="G90" s="198"/>
      <c r="H90" s="208"/>
      <c r="I90" s="230">
        <f>SUM(I91:I98)</f>
        <v>40558.6</v>
      </c>
      <c r="J90" s="354"/>
    </row>
    <row r="91" spans="1:10" ht="19.5" customHeight="1" x14ac:dyDescent="0.35">
      <c r="A91" s="226"/>
      <c r="B91" s="196">
        <v>1</v>
      </c>
      <c r="C91" s="206" t="s">
        <v>179</v>
      </c>
      <c r="D91" s="207" t="s">
        <v>28</v>
      </c>
      <c r="E91" s="207">
        <v>0.1</v>
      </c>
      <c r="F91" s="18">
        <v>0.2</v>
      </c>
      <c r="G91" s="198">
        <f t="shared" si="9"/>
        <v>57960</v>
      </c>
      <c r="H91" s="353">
        <f>VLOOKUP(C91,[1]TB!$B$3:$D$503,3,0)</f>
        <v>144900000</v>
      </c>
      <c r="I91" s="198">
        <f>G91*F91</f>
        <v>11592</v>
      </c>
      <c r="J91" s="354">
        <f>VLOOKUP(C91,[1]TB!$B$3:$E$205,4,0)</f>
        <v>5</v>
      </c>
    </row>
    <row r="92" spans="1:10" ht="19.5" customHeight="1" x14ac:dyDescent="0.35">
      <c r="A92" s="226"/>
      <c r="B92" s="196">
        <v>2</v>
      </c>
      <c r="C92" s="206" t="s">
        <v>173</v>
      </c>
      <c r="D92" s="207" t="s">
        <v>28</v>
      </c>
      <c r="E92" s="207">
        <v>0.3</v>
      </c>
      <c r="F92" s="18">
        <v>0.35</v>
      </c>
      <c r="G92" s="198">
        <f t="shared" si="9"/>
        <v>6208</v>
      </c>
      <c r="H92" s="353">
        <f>VLOOKUP(C92,[1]TB!$B$3:$D$503,3,0)</f>
        <v>31040000</v>
      </c>
      <c r="I92" s="198">
        <f t="shared" ref="I92:I165" si="11">G92*F92</f>
        <v>2172.7999999999997</v>
      </c>
      <c r="J92" s="354">
        <f>VLOOKUP(C92,[1]TB!$B$3:$E$205,4,0)</f>
        <v>10</v>
      </c>
    </row>
    <row r="93" spans="1:10" ht="19.5" customHeight="1" x14ac:dyDescent="0.35">
      <c r="A93" s="226"/>
      <c r="B93" s="196">
        <v>3</v>
      </c>
      <c r="C93" s="206" t="s">
        <v>632</v>
      </c>
      <c r="D93" s="18" t="s">
        <v>28</v>
      </c>
      <c r="E93" s="207">
        <v>0.16</v>
      </c>
      <c r="F93" s="18">
        <v>0.04</v>
      </c>
      <c r="G93" s="198">
        <f t="shared" si="9"/>
        <v>14700</v>
      </c>
      <c r="H93" s="353">
        <f>VLOOKUP(C93,[1]TB!$B$3:$D$503,3,0)</f>
        <v>58800000</v>
      </c>
      <c r="I93" s="198">
        <f>G93*F93</f>
        <v>588</v>
      </c>
      <c r="J93" s="354">
        <f>VLOOKUP(C93,[1]TB!$B$3:$E$205,4,0)</f>
        <v>8</v>
      </c>
    </row>
    <row r="94" spans="1:10" ht="19.5" customHeight="1" x14ac:dyDescent="0.35">
      <c r="A94" s="226"/>
      <c r="B94" s="196">
        <v>4</v>
      </c>
      <c r="C94" s="17" t="s">
        <v>190</v>
      </c>
      <c r="D94" s="18" t="s">
        <v>28</v>
      </c>
      <c r="E94" s="207">
        <v>0.16</v>
      </c>
      <c r="F94" s="18">
        <v>0.4</v>
      </c>
      <c r="G94" s="198">
        <f t="shared" si="9"/>
        <v>23520</v>
      </c>
      <c r="H94" s="353">
        <f>VLOOKUP(C94,[1]TB!$B$3:$D$503,3,0)</f>
        <v>58800000</v>
      </c>
      <c r="I94" s="198">
        <f>G94*F94</f>
        <v>9408</v>
      </c>
      <c r="J94" s="354">
        <f>VLOOKUP(C94,[1]TB!$B$3:$E$205,4,0)</f>
        <v>5</v>
      </c>
    </row>
    <row r="95" spans="1:10" ht="19.5" customHeight="1" x14ac:dyDescent="0.35">
      <c r="A95" s="226"/>
      <c r="B95" s="196">
        <v>5</v>
      </c>
      <c r="C95" s="206" t="s">
        <v>180</v>
      </c>
      <c r="D95" s="207" t="s">
        <v>36</v>
      </c>
      <c r="E95" s="207">
        <v>0.45</v>
      </c>
      <c r="F95" s="18">
        <v>0.32</v>
      </c>
      <c r="G95" s="198">
        <f t="shared" si="9"/>
        <v>22260</v>
      </c>
      <c r="H95" s="353">
        <f>VLOOKUP(C95,[1]TB!$B$3:$D$503,3,0)</f>
        <v>55650000</v>
      </c>
      <c r="I95" s="198">
        <f t="shared" si="11"/>
        <v>7123.2</v>
      </c>
      <c r="J95" s="354">
        <f>VLOOKUP(C95,[1]TB!$B$3:$E$205,4,0)</f>
        <v>5</v>
      </c>
    </row>
    <row r="96" spans="1:10" ht="19.5" customHeight="1" x14ac:dyDescent="0.35">
      <c r="A96" s="226"/>
      <c r="B96" s="196">
        <v>6</v>
      </c>
      <c r="C96" s="206" t="s">
        <v>631</v>
      </c>
      <c r="D96" s="207" t="s">
        <v>28</v>
      </c>
      <c r="E96" s="207">
        <v>0.06</v>
      </c>
      <c r="F96" s="18">
        <v>0.2</v>
      </c>
      <c r="G96" s="198">
        <f t="shared" si="9"/>
        <v>7500</v>
      </c>
      <c r="H96" s="353">
        <f>VLOOKUP(C96,[1]TB!$B$3:$D$503,3,0)</f>
        <v>30000000</v>
      </c>
      <c r="I96" s="198">
        <f t="shared" si="11"/>
        <v>1500</v>
      </c>
      <c r="J96" s="354">
        <f>VLOOKUP(C96,[1]TB!$B$3:$E$205,4,0)</f>
        <v>8</v>
      </c>
    </row>
    <row r="97" spans="1:10" ht="19.5" customHeight="1" x14ac:dyDescent="0.35">
      <c r="A97" s="226"/>
      <c r="B97" s="196">
        <v>7</v>
      </c>
      <c r="C97" s="206" t="s">
        <v>644</v>
      </c>
      <c r="D97" s="207" t="s">
        <v>36</v>
      </c>
      <c r="E97" s="196">
        <v>0.18</v>
      </c>
      <c r="F97" s="18">
        <v>0.2</v>
      </c>
      <c r="G97" s="198">
        <f t="shared" si="9"/>
        <v>39600</v>
      </c>
      <c r="H97" s="353">
        <f>VLOOKUP(C97,[1]TB!$B$3:$D$503,3,0)</f>
        <v>99000000</v>
      </c>
      <c r="I97" s="198">
        <f t="shared" si="11"/>
        <v>7920</v>
      </c>
      <c r="J97" s="354">
        <f>VLOOKUP(C97,[1]TB!$B$3:$E$205,4,0)</f>
        <v>5</v>
      </c>
    </row>
    <row r="98" spans="1:10" ht="19.5" customHeight="1" x14ac:dyDescent="0.35">
      <c r="A98" s="226"/>
      <c r="B98" s="196">
        <v>8</v>
      </c>
      <c r="C98" s="206" t="s">
        <v>175</v>
      </c>
      <c r="D98" s="207" t="s">
        <v>28</v>
      </c>
      <c r="E98" s="207">
        <v>2.2000000000000002</v>
      </c>
      <c r="F98" s="18">
        <v>6.7000000000000004E-2</v>
      </c>
      <c r="G98" s="198">
        <f t="shared" si="9"/>
        <v>3800</v>
      </c>
      <c r="H98" s="353">
        <f>VLOOKUP(C98,[1]TB!$B$3:$D$503,3,0)</f>
        <v>9500000</v>
      </c>
      <c r="I98" s="198">
        <f t="shared" si="11"/>
        <v>254.60000000000002</v>
      </c>
      <c r="J98" s="354">
        <f>VLOOKUP(C98,[1]TB!$B$3:$E$205,4,0)</f>
        <v>5</v>
      </c>
    </row>
    <row r="99" spans="1:10" ht="19.5" customHeight="1" x14ac:dyDescent="0.35">
      <c r="A99" s="226"/>
      <c r="B99" s="196">
        <v>9</v>
      </c>
      <c r="C99" s="206" t="s">
        <v>52</v>
      </c>
      <c r="D99" s="207" t="s">
        <v>53</v>
      </c>
      <c r="E99" s="207"/>
      <c r="F99" s="94">
        <v>5.9969999999999999</v>
      </c>
      <c r="G99" s="198"/>
      <c r="H99" s="353">
        <f>VLOOKUP(C99,[1]TB!$B$3:$D$503,3,0)</f>
        <v>1838</v>
      </c>
      <c r="I99" s="198">
        <f>H99*F99</f>
        <v>11022.485999999999</v>
      </c>
      <c r="J99" s="354">
        <f>VLOOKUP(C99,[1]TB!$B$3:$E$205,4,0)</f>
        <v>0</v>
      </c>
    </row>
    <row r="100" spans="1:10" ht="19.5" customHeight="1" x14ac:dyDescent="0.35">
      <c r="A100" s="226">
        <v>3</v>
      </c>
      <c r="B100" s="202" t="s">
        <v>386</v>
      </c>
      <c r="C100" s="568" t="s">
        <v>6</v>
      </c>
      <c r="D100" s="568"/>
      <c r="E100" s="263"/>
      <c r="F100" s="204"/>
      <c r="G100" s="198"/>
      <c r="H100" s="208"/>
      <c r="I100" s="230">
        <f>SUM(I101:I106)</f>
        <v>14053.4</v>
      </c>
      <c r="J100" s="354"/>
    </row>
    <row r="101" spans="1:10" ht="19.5" customHeight="1" x14ac:dyDescent="0.35">
      <c r="A101" s="226"/>
      <c r="B101" s="196">
        <v>1</v>
      </c>
      <c r="C101" s="206" t="s">
        <v>173</v>
      </c>
      <c r="D101" s="207" t="s">
        <v>28</v>
      </c>
      <c r="E101" s="207">
        <v>0.3</v>
      </c>
      <c r="F101" s="18">
        <v>0.35</v>
      </c>
      <c r="G101" s="198">
        <f t="shared" si="9"/>
        <v>6208</v>
      </c>
      <c r="H101" s="353">
        <f>VLOOKUP(C101,[1]TB!$B$3:$D$503,3,0)</f>
        <v>31040000</v>
      </c>
      <c r="I101" s="198">
        <f t="shared" si="11"/>
        <v>2172.7999999999997</v>
      </c>
      <c r="J101" s="354">
        <f>VLOOKUP(C101,[1]TB!$B$3:$E$205,4,0)</f>
        <v>10</v>
      </c>
    </row>
    <row r="102" spans="1:10" ht="19.5" customHeight="1" x14ac:dyDescent="0.35">
      <c r="A102" s="226"/>
      <c r="B102" s="196">
        <v>2</v>
      </c>
      <c r="C102" s="206" t="s">
        <v>632</v>
      </c>
      <c r="D102" s="18" t="s">
        <v>28</v>
      </c>
      <c r="E102" s="207">
        <v>0.16</v>
      </c>
      <c r="F102" s="18">
        <v>0.04</v>
      </c>
      <c r="G102" s="198">
        <f t="shared" si="9"/>
        <v>14700</v>
      </c>
      <c r="H102" s="353">
        <f>VLOOKUP(C102,[1]TB!$B$3:$D$503,3,0)</f>
        <v>58800000</v>
      </c>
      <c r="I102" s="198">
        <f>G102*F102</f>
        <v>588</v>
      </c>
      <c r="J102" s="354">
        <f>VLOOKUP(C102,[1]TB!$B$3:$E$205,4,0)</f>
        <v>8</v>
      </c>
    </row>
    <row r="103" spans="1:10" ht="19.5" customHeight="1" x14ac:dyDescent="0.35">
      <c r="A103" s="226"/>
      <c r="B103" s="196">
        <v>3</v>
      </c>
      <c r="C103" s="17" t="s">
        <v>190</v>
      </c>
      <c r="D103" s="18" t="s">
        <v>28</v>
      </c>
      <c r="E103" s="207">
        <v>0.16</v>
      </c>
      <c r="F103" s="18">
        <v>0.4</v>
      </c>
      <c r="G103" s="198">
        <f t="shared" si="9"/>
        <v>23520</v>
      </c>
      <c r="H103" s="353">
        <f>VLOOKUP(C103,[1]TB!$B$3:$D$503,3,0)</f>
        <v>58800000</v>
      </c>
      <c r="I103" s="198">
        <f>G103*F103</f>
        <v>9408</v>
      </c>
      <c r="J103" s="354">
        <f>VLOOKUP(C103,[1]TB!$B$3:$E$205,4,0)</f>
        <v>5</v>
      </c>
    </row>
    <row r="104" spans="1:10" ht="19.5" customHeight="1" x14ac:dyDescent="0.35">
      <c r="A104" s="226"/>
      <c r="B104" s="196">
        <v>4</v>
      </c>
      <c r="C104" s="206" t="s">
        <v>174</v>
      </c>
      <c r="D104" s="207" t="s">
        <v>36</v>
      </c>
      <c r="E104" s="207">
        <v>0.45</v>
      </c>
      <c r="F104" s="18">
        <v>0.05</v>
      </c>
      <c r="G104" s="198">
        <f t="shared" si="9"/>
        <v>2600</v>
      </c>
      <c r="H104" s="353">
        <f>VLOOKUP(C104,[1]TB!$B$3:$D$503,3,0)</f>
        <v>6500000</v>
      </c>
      <c r="I104" s="198">
        <f t="shared" si="11"/>
        <v>130</v>
      </c>
      <c r="J104" s="354">
        <f>VLOOKUP(C104,[1]TB!$B$3:$E$205,4,0)</f>
        <v>5</v>
      </c>
    </row>
    <row r="105" spans="1:10" ht="19.5" customHeight="1" x14ac:dyDescent="0.35">
      <c r="A105" s="226"/>
      <c r="B105" s="196">
        <v>5</v>
      </c>
      <c r="C105" s="206" t="s">
        <v>631</v>
      </c>
      <c r="D105" s="207" t="s">
        <v>28</v>
      </c>
      <c r="E105" s="207">
        <v>0.06</v>
      </c>
      <c r="F105" s="18">
        <v>0.2</v>
      </c>
      <c r="G105" s="198">
        <f t="shared" si="9"/>
        <v>7500</v>
      </c>
      <c r="H105" s="353">
        <f>VLOOKUP(C105,[1]TB!$B$3:$D$503,3,0)</f>
        <v>30000000</v>
      </c>
      <c r="I105" s="198">
        <f t="shared" si="11"/>
        <v>1500</v>
      </c>
      <c r="J105" s="354">
        <f>VLOOKUP(C105,[1]TB!$B$3:$E$205,4,0)</f>
        <v>8</v>
      </c>
    </row>
    <row r="106" spans="1:10" ht="19.5" customHeight="1" x14ac:dyDescent="0.35">
      <c r="A106" s="226"/>
      <c r="B106" s="196">
        <v>6</v>
      </c>
      <c r="C106" s="206" t="s">
        <v>175</v>
      </c>
      <c r="D106" s="207" t="s">
        <v>28</v>
      </c>
      <c r="E106" s="207">
        <v>2.2000000000000002</v>
      </c>
      <c r="F106" s="18">
        <v>6.7000000000000004E-2</v>
      </c>
      <c r="G106" s="198">
        <f t="shared" si="9"/>
        <v>3800</v>
      </c>
      <c r="H106" s="353">
        <f>VLOOKUP(C106,[1]TB!$B$3:$D$503,3,0)</f>
        <v>9500000</v>
      </c>
      <c r="I106" s="198">
        <f t="shared" si="11"/>
        <v>254.60000000000002</v>
      </c>
      <c r="J106" s="354">
        <f>VLOOKUP(C106,[1]TB!$B$3:$E$205,4,0)</f>
        <v>5</v>
      </c>
    </row>
    <row r="107" spans="1:10" ht="19.5" customHeight="1" x14ac:dyDescent="0.35">
      <c r="A107" s="226"/>
      <c r="B107" s="196">
        <v>7</v>
      </c>
      <c r="C107" s="206" t="s">
        <v>52</v>
      </c>
      <c r="D107" s="207" t="s">
        <v>53</v>
      </c>
      <c r="E107" s="207"/>
      <c r="F107" s="94">
        <v>5.7469999999999999</v>
      </c>
      <c r="G107" s="198"/>
      <c r="H107" s="353">
        <f>VLOOKUP(C107,[1]TB!$B$3:$D$503,3,0)</f>
        <v>1838</v>
      </c>
      <c r="I107" s="198">
        <f>H107*F107</f>
        <v>10562.985999999999</v>
      </c>
      <c r="J107" s="354">
        <f>VLOOKUP(C107,[1]TB!$B$3:$E$205,4,0)</f>
        <v>0</v>
      </c>
    </row>
    <row r="108" spans="1:10" ht="19.5" customHeight="1" x14ac:dyDescent="0.35">
      <c r="A108" s="226">
        <v>4</v>
      </c>
      <c r="B108" s="202" t="s">
        <v>553</v>
      </c>
      <c r="C108" s="210" t="s">
        <v>633</v>
      </c>
      <c r="D108" s="199"/>
      <c r="E108" s="199"/>
      <c r="F108" s="203"/>
      <c r="G108" s="198"/>
      <c r="H108" s="208"/>
      <c r="I108" s="230">
        <f>SUM(I109:I116)</f>
        <v>41153.799999999996</v>
      </c>
      <c r="J108" s="354"/>
    </row>
    <row r="109" spans="1:10" ht="19.5" customHeight="1" x14ac:dyDescent="0.35">
      <c r="A109" s="226"/>
      <c r="B109" s="196">
        <v>1</v>
      </c>
      <c r="C109" s="206" t="s">
        <v>191</v>
      </c>
      <c r="D109" s="207" t="s">
        <v>28</v>
      </c>
      <c r="E109" s="207">
        <v>0.3</v>
      </c>
      <c r="F109" s="18">
        <v>0.2</v>
      </c>
      <c r="G109" s="198">
        <f t="shared" si="9"/>
        <v>9240</v>
      </c>
      <c r="H109" s="353">
        <f>VLOOKUP(C109,[1]TB!$B$3:$D$503,3,0)</f>
        <v>46200000</v>
      </c>
      <c r="I109" s="198">
        <f t="shared" si="11"/>
        <v>1848</v>
      </c>
      <c r="J109" s="354">
        <f>VLOOKUP(C109,[1]TB!$B$3:$E$205,4,0)</f>
        <v>10</v>
      </c>
    </row>
    <row r="110" spans="1:10" ht="19.5" customHeight="1" x14ac:dyDescent="0.35">
      <c r="A110" s="226"/>
      <c r="B110" s="196">
        <v>2</v>
      </c>
      <c r="C110" s="206" t="s">
        <v>632</v>
      </c>
      <c r="D110" s="18" t="s">
        <v>28</v>
      </c>
      <c r="E110" s="207">
        <v>0.16</v>
      </c>
      <c r="F110" s="18">
        <v>0.04</v>
      </c>
      <c r="G110" s="198">
        <f t="shared" si="9"/>
        <v>14700</v>
      </c>
      <c r="H110" s="353">
        <f>VLOOKUP(C110,[1]TB!$B$3:$D$503,3,0)</f>
        <v>58800000</v>
      </c>
      <c r="I110" s="198">
        <f>G110*F110</f>
        <v>588</v>
      </c>
      <c r="J110" s="354">
        <f>VLOOKUP(C110,[1]TB!$B$3:$E$205,4,0)</f>
        <v>8</v>
      </c>
    </row>
    <row r="111" spans="1:10" ht="19.5" customHeight="1" x14ac:dyDescent="0.35">
      <c r="A111" s="226"/>
      <c r="B111" s="196">
        <v>3</v>
      </c>
      <c r="C111" s="17" t="s">
        <v>190</v>
      </c>
      <c r="D111" s="18" t="s">
        <v>28</v>
      </c>
      <c r="E111" s="207">
        <v>0.16</v>
      </c>
      <c r="F111" s="18">
        <v>0.4</v>
      </c>
      <c r="G111" s="198">
        <f t="shared" si="9"/>
        <v>23520</v>
      </c>
      <c r="H111" s="353">
        <f>VLOOKUP(C111,[1]TB!$B$3:$D$503,3,0)</f>
        <v>58800000</v>
      </c>
      <c r="I111" s="198">
        <f>G111*F111</f>
        <v>9408</v>
      </c>
      <c r="J111" s="354">
        <f>VLOOKUP(C111,[1]TB!$B$3:$E$205,4,0)</f>
        <v>5</v>
      </c>
    </row>
    <row r="112" spans="1:10" ht="19.5" customHeight="1" x14ac:dyDescent="0.35">
      <c r="A112" s="226"/>
      <c r="B112" s="196">
        <v>4</v>
      </c>
      <c r="C112" s="206" t="s">
        <v>192</v>
      </c>
      <c r="D112" s="207" t="s">
        <v>28</v>
      </c>
      <c r="E112" s="207">
        <v>0.45</v>
      </c>
      <c r="F112" s="18">
        <v>0.1</v>
      </c>
      <c r="G112" s="198">
        <f t="shared" si="9"/>
        <v>167832</v>
      </c>
      <c r="H112" s="353">
        <f>VLOOKUP(C112,[1]TB!$B$3:$D$503,3,0)</f>
        <v>419580000</v>
      </c>
      <c r="I112" s="198">
        <f t="shared" si="11"/>
        <v>16783.2</v>
      </c>
      <c r="J112" s="354">
        <f>VLOOKUP(C112,[1]TB!$B$3:$E$205,4,0)</f>
        <v>5</v>
      </c>
    </row>
    <row r="113" spans="1:10" ht="19.5" customHeight="1" x14ac:dyDescent="0.35">
      <c r="A113" s="226"/>
      <c r="B113" s="196">
        <v>5</v>
      </c>
      <c r="C113" s="206" t="s">
        <v>193</v>
      </c>
      <c r="D113" s="207" t="s">
        <v>36</v>
      </c>
      <c r="E113" s="207">
        <v>0.45</v>
      </c>
      <c r="F113" s="18">
        <v>0.1</v>
      </c>
      <c r="G113" s="198">
        <f t="shared" si="9"/>
        <v>26880</v>
      </c>
      <c r="H113" s="353">
        <f>VLOOKUP(C113,[1]TB!$B$3:$D$503,3,0)</f>
        <v>67200000</v>
      </c>
      <c r="I113" s="198">
        <f t="shared" si="11"/>
        <v>2688</v>
      </c>
      <c r="J113" s="354">
        <f>VLOOKUP(C113,[1]TB!$B$3:$E$205,4,0)</f>
        <v>5</v>
      </c>
    </row>
    <row r="114" spans="1:10" ht="19.5" customHeight="1" x14ac:dyDescent="0.35">
      <c r="A114" s="226"/>
      <c r="B114" s="196">
        <v>6</v>
      </c>
      <c r="C114" s="206" t="s">
        <v>194</v>
      </c>
      <c r="D114" s="207" t="s">
        <v>28</v>
      </c>
      <c r="E114" s="207"/>
      <c r="F114" s="18">
        <v>0.1</v>
      </c>
      <c r="G114" s="198">
        <f t="shared" si="9"/>
        <v>16640</v>
      </c>
      <c r="H114" s="353">
        <f>VLOOKUP(C114,[1]TB!$B$3:$D$503,3,0)</f>
        <v>41600000</v>
      </c>
      <c r="I114" s="198">
        <f t="shared" si="11"/>
        <v>1664</v>
      </c>
      <c r="J114" s="354">
        <f>VLOOKUP(C114,[1]TB!$B$3:$E$205,4,0)</f>
        <v>5</v>
      </c>
    </row>
    <row r="115" spans="1:10" ht="19.5" customHeight="1" x14ac:dyDescent="0.35">
      <c r="A115" s="226"/>
      <c r="B115" s="196">
        <v>7</v>
      </c>
      <c r="C115" s="206" t="s">
        <v>644</v>
      </c>
      <c r="D115" s="207" t="s">
        <v>36</v>
      </c>
      <c r="E115" s="196">
        <v>0.18</v>
      </c>
      <c r="F115" s="18">
        <v>0.2</v>
      </c>
      <c r="G115" s="198">
        <f t="shared" si="9"/>
        <v>39600</v>
      </c>
      <c r="H115" s="353">
        <f>VLOOKUP(C115,[1]TB!$B$3:$D$503,3,0)</f>
        <v>99000000</v>
      </c>
      <c r="I115" s="198">
        <f t="shared" si="11"/>
        <v>7920</v>
      </c>
      <c r="J115" s="354">
        <f>VLOOKUP(C115,[1]TB!$B$3:$E$205,4,0)</f>
        <v>5</v>
      </c>
    </row>
    <row r="116" spans="1:10" ht="19.5" customHeight="1" x14ac:dyDescent="0.35">
      <c r="A116" s="226"/>
      <c r="B116" s="196">
        <v>8</v>
      </c>
      <c r="C116" s="206" t="s">
        <v>175</v>
      </c>
      <c r="D116" s="207" t="s">
        <v>28</v>
      </c>
      <c r="E116" s="207">
        <v>2.2000000000000002</v>
      </c>
      <c r="F116" s="18">
        <v>6.7000000000000004E-2</v>
      </c>
      <c r="G116" s="198">
        <f t="shared" si="9"/>
        <v>3800</v>
      </c>
      <c r="H116" s="353">
        <f>VLOOKUP(C116,[1]TB!$B$3:$D$503,3,0)</f>
        <v>9500000</v>
      </c>
      <c r="I116" s="198">
        <f t="shared" si="11"/>
        <v>254.60000000000002</v>
      </c>
      <c r="J116" s="354">
        <f>VLOOKUP(C116,[1]TB!$B$3:$E$205,4,0)</f>
        <v>5</v>
      </c>
    </row>
    <row r="117" spans="1:10" ht="19.5" customHeight="1" x14ac:dyDescent="0.35">
      <c r="A117" s="226"/>
      <c r="B117" s="196">
        <v>9</v>
      </c>
      <c r="C117" s="206" t="s">
        <v>52</v>
      </c>
      <c r="D117" s="207" t="s">
        <v>53</v>
      </c>
      <c r="E117" s="207"/>
      <c r="F117" s="211">
        <v>18.43</v>
      </c>
      <c r="G117" s="198"/>
      <c r="H117" s="353">
        <f>VLOOKUP(C117,[1]TB!$B$3:$D$503,3,0)</f>
        <v>1838</v>
      </c>
      <c r="I117" s="198">
        <f>H117*F117</f>
        <v>33874.339999999997</v>
      </c>
      <c r="J117" s="354">
        <f>VLOOKUP(C117,[1]TB!$B$3:$E$205,4,0)</f>
        <v>0</v>
      </c>
    </row>
    <row r="118" spans="1:10" ht="19.5" customHeight="1" x14ac:dyDescent="0.35">
      <c r="A118" s="226">
        <v>5</v>
      </c>
      <c r="B118" s="202" t="s">
        <v>554</v>
      </c>
      <c r="C118" s="317" t="s">
        <v>635</v>
      </c>
      <c r="D118" s="207"/>
      <c r="E118" s="207"/>
      <c r="F118" s="577" t="s">
        <v>574</v>
      </c>
      <c r="G118" s="577"/>
      <c r="H118" s="577"/>
      <c r="I118" s="227">
        <f>I108</f>
        <v>41153.799999999996</v>
      </c>
      <c r="J118" s="354"/>
    </row>
    <row r="119" spans="1:10" ht="19.5" customHeight="1" x14ac:dyDescent="0.35">
      <c r="A119" s="226">
        <v>6</v>
      </c>
      <c r="B119" s="202" t="s">
        <v>555</v>
      </c>
      <c r="C119" s="317" t="s">
        <v>633</v>
      </c>
      <c r="D119" s="207"/>
      <c r="E119" s="207"/>
      <c r="F119" s="577" t="s">
        <v>575</v>
      </c>
      <c r="G119" s="577"/>
      <c r="H119" s="577"/>
      <c r="I119" s="227">
        <f>I108</f>
        <v>41153.799999999996</v>
      </c>
      <c r="J119" s="354"/>
    </row>
    <row r="120" spans="1:10" ht="19.5" customHeight="1" x14ac:dyDescent="0.35">
      <c r="A120" s="226">
        <v>7</v>
      </c>
      <c r="B120" s="202" t="s">
        <v>556</v>
      </c>
      <c r="C120" s="195" t="s">
        <v>634</v>
      </c>
      <c r="D120" s="190"/>
      <c r="E120" s="190"/>
      <c r="F120" s="577" t="s">
        <v>619</v>
      </c>
      <c r="G120" s="577"/>
      <c r="H120" s="577"/>
      <c r="I120" s="212">
        <f>I108</f>
        <v>41153.799999999996</v>
      </c>
      <c r="J120" s="354"/>
    </row>
    <row r="121" spans="1:10" ht="19.5" customHeight="1" x14ac:dyDescent="0.35">
      <c r="A121" s="226">
        <v>8</v>
      </c>
      <c r="B121" s="202" t="s">
        <v>403</v>
      </c>
      <c r="C121" s="210" t="s">
        <v>9</v>
      </c>
      <c r="D121" s="199"/>
      <c r="E121" s="199"/>
      <c r="F121" s="339"/>
      <c r="G121" s="340"/>
      <c r="H121" s="341"/>
      <c r="I121" s="230">
        <f>SUM(I122:I128)</f>
        <v>25732.6</v>
      </c>
      <c r="J121" s="354"/>
    </row>
    <row r="122" spans="1:10" ht="19.5" customHeight="1" x14ac:dyDescent="0.35">
      <c r="A122" s="226"/>
      <c r="B122" s="196">
        <v>1</v>
      </c>
      <c r="C122" s="206" t="s">
        <v>173</v>
      </c>
      <c r="D122" s="207" t="s">
        <v>28</v>
      </c>
      <c r="E122" s="207">
        <v>0.3</v>
      </c>
      <c r="F122" s="18">
        <v>0.35</v>
      </c>
      <c r="G122" s="198">
        <f t="shared" si="9"/>
        <v>6208</v>
      </c>
      <c r="H122" s="353">
        <f>VLOOKUP(C122,[1]TB!$B$3:$D$503,3,0)</f>
        <v>31040000</v>
      </c>
      <c r="I122" s="198">
        <f t="shared" si="11"/>
        <v>2172.7999999999997</v>
      </c>
      <c r="J122" s="354">
        <f>VLOOKUP(C122,[1]TB!$B$3:$E$205,4,0)</f>
        <v>10</v>
      </c>
    </row>
    <row r="123" spans="1:10" ht="19.5" customHeight="1" x14ac:dyDescent="0.35">
      <c r="A123" s="226"/>
      <c r="B123" s="196">
        <v>2</v>
      </c>
      <c r="C123" s="206" t="s">
        <v>632</v>
      </c>
      <c r="D123" s="207" t="s">
        <v>28</v>
      </c>
      <c r="E123" s="207">
        <v>0.16</v>
      </c>
      <c r="F123" s="18">
        <v>0.04</v>
      </c>
      <c r="G123" s="198">
        <f t="shared" si="9"/>
        <v>14700</v>
      </c>
      <c r="H123" s="353">
        <f>VLOOKUP(C123,[1]TB!$B$3:$D$503,3,0)</f>
        <v>58800000</v>
      </c>
      <c r="I123" s="198">
        <f t="shared" si="11"/>
        <v>588</v>
      </c>
      <c r="J123" s="354">
        <f>VLOOKUP(C123,[1]TB!$B$3:$E$205,4,0)</f>
        <v>8</v>
      </c>
    </row>
    <row r="124" spans="1:10" ht="19.5" customHeight="1" x14ac:dyDescent="0.35">
      <c r="A124" s="226"/>
      <c r="B124" s="196">
        <v>3</v>
      </c>
      <c r="C124" s="206" t="s">
        <v>190</v>
      </c>
      <c r="D124" s="207" t="s">
        <v>28</v>
      </c>
      <c r="E124" s="207">
        <v>0.16</v>
      </c>
      <c r="F124" s="18">
        <v>0.4</v>
      </c>
      <c r="G124" s="198">
        <f t="shared" si="9"/>
        <v>23520</v>
      </c>
      <c r="H124" s="353">
        <f>VLOOKUP(C124,[1]TB!$B$3:$D$503,3,0)</f>
        <v>58800000</v>
      </c>
      <c r="I124" s="198">
        <f t="shared" si="11"/>
        <v>9408</v>
      </c>
      <c r="J124" s="354">
        <f>VLOOKUP(C124,[1]TB!$B$3:$E$205,4,0)</f>
        <v>5</v>
      </c>
    </row>
    <row r="125" spans="1:10" ht="19.5" customHeight="1" x14ac:dyDescent="0.35">
      <c r="A125" s="226"/>
      <c r="B125" s="196">
        <v>4</v>
      </c>
      <c r="C125" s="206" t="s">
        <v>631</v>
      </c>
      <c r="D125" s="207" t="s">
        <v>28</v>
      </c>
      <c r="E125" s="207">
        <v>0.06</v>
      </c>
      <c r="F125" s="18">
        <v>0.2</v>
      </c>
      <c r="G125" s="198">
        <f t="shared" si="9"/>
        <v>7500</v>
      </c>
      <c r="H125" s="353">
        <f>VLOOKUP(C125,[1]TB!$B$3:$D$503,3,0)</f>
        <v>30000000</v>
      </c>
      <c r="I125" s="198">
        <f t="shared" si="11"/>
        <v>1500</v>
      </c>
      <c r="J125" s="354">
        <f>VLOOKUP(C125,[1]TB!$B$3:$E$205,4,0)</f>
        <v>8</v>
      </c>
    </row>
    <row r="126" spans="1:10" ht="19.5" customHeight="1" x14ac:dyDescent="0.35">
      <c r="A126" s="226"/>
      <c r="B126" s="196">
        <v>5</v>
      </c>
      <c r="C126" s="206" t="s">
        <v>196</v>
      </c>
      <c r="D126" s="207" t="s">
        <v>36</v>
      </c>
      <c r="E126" s="207">
        <v>0.65</v>
      </c>
      <c r="F126" s="18">
        <v>0.1</v>
      </c>
      <c r="G126" s="198">
        <f t="shared" si="9"/>
        <v>38892</v>
      </c>
      <c r="H126" s="353">
        <f>VLOOKUP(C126,[1]TB!$B$3:$D$503,3,0)</f>
        <v>97230000</v>
      </c>
      <c r="I126" s="198">
        <f t="shared" si="11"/>
        <v>3889.2000000000003</v>
      </c>
      <c r="J126" s="354">
        <f>VLOOKUP(C126,[1]TB!$B$3:$E$205,4,0)</f>
        <v>5</v>
      </c>
    </row>
    <row r="127" spans="1:10" ht="19.5" customHeight="1" x14ac:dyDescent="0.35">
      <c r="A127" s="226"/>
      <c r="B127" s="196">
        <v>6</v>
      </c>
      <c r="C127" s="206" t="s">
        <v>644</v>
      </c>
      <c r="D127" s="207" t="s">
        <v>36</v>
      </c>
      <c r="E127" s="196">
        <v>0.18</v>
      </c>
      <c r="F127" s="18">
        <v>0.2</v>
      </c>
      <c r="G127" s="198">
        <f t="shared" si="9"/>
        <v>39600</v>
      </c>
      <c r="H127" s="353">
        <f>VLOOKUP(C127,[1]TB!$B$3:$D$503,3,0)</f>
        <v>99000000</v>
      </c>
      <c r="I127" s="198">
        <f t="shared" si="11"/>
        <v>7920</v>
      </c>
      <c r="J127" s="354">
        <f>VLOOKUP(C127,[1]TB!$B$3:$E$205,4,0)</f>
        <v>5</v>
      </c>
    </row>
    <row r="128" spans="1:10" ht="19.5" customHeight="1" x14ac:dyDescent="0.35">
      <c r="A128" s="226"/>
      <c r="B128" s="196">
        <v>7</v>
      </c>
      <c r="C128" s="206" t="s">
        <v>175</v>
      </c>
      <c r="D128" s="207" t="s">
        <v>28</v>
      </c>
      <c r="E128" s="207">
        <v>2.2000000000000002</v>
      </c>
      <c r="F128" s="18">
        <v>6.7000000000000004E-2</v>
      </c>
      <c r="G128" s="198">
        <f t="shared" si="9"/>
        <v>3800</v>
      </c>
      <c r="H128" s="353">
        <f>VLOOKUP(C128,[1]TB!$B$3:$D$503,3,0)</f>
        <v>9500000</v>
      </c>
      <c r="I128" s="198">
        <f t="shared" si="11"/>
        <v>254.60000000000002</v>
      </c>
      <c r="J128" s="354">
        <f>VLOOKUP(C128,[1]TB!$B$3:$E$205,4,0)</f>
        <v>5</v>
      </c>
    </row>
    <row r="129" spans="1:10" ht="19.5" customHeight="1" x14ac:dyDescent="0.35">
      <c r="A129" s="226"/>
      <c r="B129" s="196">
        <v>8</v>
      </c>
      <c r="C129" s="206" t="s">
        <v>52</v>
      </c>
      <c r="D129" s="207" t="s">
        <v>53</v>
      </c>
      <c r="E129" s="207"/>
      <c r="F129" s="211">
        <v>27.25</v>
      </c>
      <c r="G129" s="198"/>
      <c r="H129" s="353">
        <f>VLOOKUP(C129,[1]TB!$B$3:$D$503,3,0)</f>
        <v>1838</v>
      </c>
      <c r="I129" s="198">
        <f>H129*F129</f>
        <v>50085.5</v>
      </c>
      <c r="J129" s="354">
        <f>VLOOKUP(C129,[1]TB!$B$3:$E$205,4,0)</f>
        <v>0</v>
      </c>
    </row>
    <row r="130" spans="1:10" ht="19.5" customHeight="1" x14ac:dyDescent="0.35">
      <c r="A130" s="226">
        <v>9</v>
      </c>
      <c r="B130" s="202" t="s">
        <v>5</v>
      </c>
      <c r="C130" s="575" t="s">
        <v>452</v>
      </c>
      <c r="D130" s="575"/>
      <c r="E130" s="575"/>
      <c r="F130" s="575"/>
      <c r="G130" s="198"/>
      <c r="H130" s="208"/>
      <c r="I130" s="230">
        <f>SUM(I131:I137)</f>
        <v>23858.399999999998</v>
      </c>
      <c r="J130" s="354"/>
    </row>
    <row r="131" spans="1:10" ht="19.5" customHeight="1" x14ac:dyDescent="0.35">
      <c r="A131" s="226"/>
      <c r="B131" s="196">
        <v>1</v>
      </c>
      <c r="C131" s="213" t="s">
        <v>173</v>
      </c>
      <c r="D131" s="207" t="s">
        <v>79</v>
      </c>
      <c r="E131" s="207">
        <v>0.3</v>
      </c>
      <c r="F131" s="18">
        <v>0.35</v>
      </c>
      <c r="G131" s="198">
        <f t="shared" si="9"/>
        <v>6208</v>
      </c>
      <c r="H131" s="353">
        <f>VLOOKUP(C131,[1]TB!$B$3:$D$503,3,0)</f>
        <v>31040000</v>
      </c>
      <c r="I131" s="198">
        <f t="shared" si="11"/>
        <v>2172.7999999999997</v>
      </c>
      <c r="J131" s="354">
        <f>VLOOKUP(C131,[1]TB!$B$3:$E$205,4,0)</f>
        <v>10</v>
      </c>
    </row>
    <row r="132" spans="1:10" ht="19.5" customHeight="1" x14ac:dyDescent="0.35">
      <c r="A132" s="226"/>
      <c r="B132" s="196">
        <v>2</v>
      </c>
      <c r="C132" s="206" t="s">
        <v>632</v>
      </c>
      <c r="D132" s="207" t="s">
        <v>79</v>
      </c>
      <c r="E132" s="207">
        <v>0.16</v>
      </c>
      <c r="F132" s="18">
        <v>0.04</v>
      </c>
      <c r="G132" s="198">
        <f t="shared" si="9"/>
        <v>14700</v>
      </c>
      <c r="H132" s="353">
        <f>VLOOKUP(C132,[1]TB!$B$3:$D$503,3,0)</f>
        <v>58800000</v>
      </c>
      <c r="I132" s="198">
        <f t="shared" si="11"/>
        <v>588</v>
      </c>
      <c r="J132" s="354">
        <f>VLOOKUP(C132,[1]TB!$B$3:$E$205,4,0)</f>
        <v>8</v>
      </c>
    </row>
    <row r="133" spans="1:10" ht="19.5" customHeight="1" x14ac:dyDescent="0.35">
      <c r="A133" s="226"/>
      <c r="B133" s="196">
        <v>3</v>
      </c>
      <c r="C133" s="213" t="s">
        <v>190</v>
      </c>
      <c r="D133" s="207" t="s">
        <v>79</v>
      </c>
      <c r="E133" s="207">
        <v>0.16</v>
      </c>
      <c r="F133" s="18">
        <v>0.4</v>
      </c>
      <c r="G133" s="198">
        <f t="shared" si="9"/>
        <v>23520</v>
      </c>
      <c r="H133" s="353">
        <f>VLOOKUP(C133,[1]TB!$B$3:$D$503,3,0)</f>
        <v>58800000</v>
      </c>
      <c r="I133" s="198">
        <f t="shared" si="11"/>
        <v>9408</v>
      </c>
      <c r="J133" s="354">
        <f>VLOOKUP(C133,[1]TB!$B$3:$E$205,4,0)</f>
        <v>5</v>
      </c>
    </row>
    <row r="134" spans="1:10" ht="19.5" customHeight="1" x14ac:dyDescent="0.35">
      <c r="A134" s="226"/>
      <c r="B134" s="196">
        <v>4</v>
      </c>
      <c r="C134" s="206" t="s">
        <v>631</v>
      </c>
      <c r="D134" s="207" t="s">
        <v>28</v>
      </c>
      <c r="E134" s="207">
        <v>0.06</v>
      </c>
      <c r="F134" s="18">
        <v>0.2</v>
      </c>
      <c r="G134" s="198">
        <f t="shared" si="9"/>
        <v>7500</v>
      </c>
      <c r="H134" s="353">
        <f>VLOOKUP(C134,[1]TB!$B$3:$D$503,3,0)</f>
        <v>30000000</v>
      </c>
      <c r="I134" s="198">
        <f t="shared" si="11"/>
        <v>1500</v>
      </c>
      <c r="J134" s="354">
        <f>VLOOKUP(C134,[1]TB!$B$3:$E$205,4,0)</f>
        <v>8</v>
      </c>
    </row>
    <row r="135" spans="1:10" ht="19.5" customHeight="1" x14ac:dyDescent="0.35">
      <c r="A135" s="226"/>
      <c r="B135" s="196">
        <v>5</v>
      </c>
      <c r="C135" s="206" t="s">
        <v>181</v>
      </c>
      <c r="D135" s="207" t="s">
        <v>36</v>
      </c>
      <c r="E135" s="207">
        <v>3</v>
      </c>
      <c r="F135" s="18">
        <v>0.1</v>
      </c>
      <c r="G135" s="198">
        <f t="shared" si="9"/>
        <v>20150</v>
      </c>
      <c r="H135" s="353">
        <f>VLOOKUP(C135,[1]TB!$B$3:$D$503,3,0)</f>
        <v>100750000</v>
      </c>
      <c r="I135" s="198">
        <f t="shared" si="11"/>
        <v>2015</v>
      </c>
      <c r="J135" s="354">
        <f>VLOOKUP(C135,[1]TB!$B$3:$E$205,4,0)</f>
        <v>10</v>
      </c>
    </row>
    <row r="136" spans="1:10" ht="19.5" customHeight="1" x14ac:dyDescent="0.35">
      <c r="A136" s="226"/>
      <c r="B136" s="196">
        <v>6</v>
      </c>
      <c r="C136" s="206" t="s">
        <v>644</v>
      </c>
      <c r="D136" s="207" t="s">
        <v>36</v>
      </c>
      <c r="E136" s="196">
        <v>0.18</v>
      </c>
      <c r="F136" s="18">
        <v>0.2</v>
      </c>
      <c r="G136" s="198">
        <f t="shared" si="9"/>
        <v>39600</v>
      </c>
      <c r="H136" s="353">
        <f>VLOOKUP(C136,[1]TB!$B$3:$D$503,3,0)</f>
        <v>99000000</v>
      </c>
      <c r="I136" s="198">
        <f t="shared" si="11"/>
        <v>7920</v>
      </c>
      <c r="J136" s="354">
        <f>VLOOKUP(C136,[1]TB!$B$3:$E$205,4,0)</f>
        <v>5</v>
      </c>
    </row>
    <row r="137" spans="1:10" ht="19.5" customHeight="1" x14ac:dyDescent="0.35">
      <c r="A137" s="226"/>
      <c r="B137" s="196">
        <v>7</v>
      </c>
      <c r="C137" s="213" t="s">
        <v>175</v>
      </c>
      <c r="D137" s="207" t="s">
        <v>79</v>
      </c>
      <c r="E137" s="207">
        <v>2.2000000000000002</v>
      </c>
      <c r="F137" s="18">
        <v>6.7000000000000004E-2</v>
      </c>
      <c r="G137" s="198">
        <f t="shared" si="9"/>
        <v>3800</v>
      </c>
      <c r="H137" s="353">
        <f>VLOOKUP(C137,[1]TB!$B$3:$D$503,3,0)</f>
        <v>9500000</v>
      </c>
      <c r="I137" s="198">
        <f t="shared" si="11"/>
        <v>254.60000000000002</v>
      </c>
      <c r="J137" s="354">
        <f>VLOOKUP(C137,[1]TB!$B$3:$E$205,4,0)</f>
        <v>5</v>
      </c>
    </row>
    <row r="138" spans="1:10" ht="19.5" customHeight="1" x14ac:dyDescent="0.35">
      <c r="A138" s="226"/>
      <c r="B138" s="196">
        <v>8</v>
      </c>
      <c r="C138" s="213" t="s">
        <v>52</v>
      </c>
      <c r="D138" s="207" t="s">
        <v>98</v>
      </c>
      <c r="E138" s="207"/>
      <c r="F138" s="200">
        <v>8.27</v>
      </c>
      <c r="G138" s="198"/>
      <c r="H138" s="353">
        <f>VLOOKUP(C138,[1]TB!$B$3:$D$503,3,0)</f>
        <v>1838</v>
      </c>
      <c r="I138" s="198">
        <f>H138*F138</f>
        <v>15200.259999999998</v>
      </c>
      <c r="J138" s="354">
        <f>VLOOKUP(C138,[1]TB!$B$3:$E$205,4,0)</f>
        <v>0</v>
      </c>
    </row>
    <row r="139" spans="1:10" ht="19.5" customHeight="1" x14ac:dyDescent="0.35">
      <c r="A139" s="226">
        <v>10</v>
      </c>
      <c r="B139" s="202" t="s">
        <v>291</v>
      </c>
      <c r="C139" s="210" t="s">
        <v>182</v>
      </c>
      <c r="D139" s="199"/>
      <c r="E139" s="199"/>
      <c r="F139" s="203"/>
      <c r="G139" s="198"/>
      <c r="H139" s="208"/>
      <c r="I139" s="230">
        <f>SUM(I140:I147)</f>
        <v>35450.400000000001</v>
      </c>
      <c r="J139" s="354"/>
    </row>
    <row r="140" spans="1:10" ht="19.5" customHeight="1" x14ac:dyDescent="0.35">
      <c r="A140" s="226"/>
      <c r="B140" s="196">
        <v>1</v>
      </c>
      <c r="C140" s="206" t="s">
        <v>179</v>
      </c>
      <c r="D140" s="207" t="s">
        <v>28</v>
      </c>
      <c r="E140" s="207">
        <v>0.1</v>
      </c>
      <c r="F140" s="18">
        <v>0.2</v>
      </c>
      <c r="G140" s="198">
        <f t="shared" si="9"/>
        <v>57960</v>
      </c>
      <c r="H140" s="353">
        <f>VLOOKUP(C140,[1]TB!$B$3:$D$503,3,0)</f>
        <v>144900000</v>
      </c>
      <c r="I140" s="198">
        <f t="shared" si="11"/>
        <v>11592</v>
      </c>
      <c r="J140" s="354">
        <f>VLOOKUP(C140,[1]TB!$B$3:$E$205,4,0)</f>
        <v>5</v>
      </c>
    </row>
    <row r="141" spans="1:10" ht="19.5" customHeight="1" x14ac:dyDescent="0.35">
      <c r="A141" s="226"/>
      <c r="B141" s="196">
        <v>2</v>
      </c>
      <c r="C141" s="206" t="s">
        <v>173</v>
      </c>
      <c r="D141" s="207" t="s">
        <v>28</v>
      </c>
      <c r="E141" s="207">
        <v>0.3</v>
      </c>
      <c r="F141" s="18">
        <v>0.35</v>
      </c>
      <c r="G141" s="198">
        <f t="shared" si="9"/>
        <v>6208</v>
      </c>
      <c r="H141" s="353">
        <f>VLOOKUP(C141,[1]TB!$B$3:$D$503,3,0)</f>
        <v>31040000</v>
      </c>
      <c r="I141" s="198">
        <f t="shared" si="11"/>
        <v>2172.7999999999997</v>
      </c>
      <c r="J141" s="354">
        <f>VLOOKUP(C141,[1]TB!$B$3:$E$205,4,0)</f>
        <v>10</v>
      </c>
    </row>
    <row r="142" spans="1:10" ht="19.5" customHeight="1" x14ac:dyDescent="0.35">
      <c r="A142" s="226"/>
      <c r="B142" s="196">
        <v>3</v>
      </c>
      <c r="C142" s="206" t="s">
        <v>632</v>
      </c>
      <c r="D142" s="18" t="s">
        <v>28</v>
      </c>
      <c r="E142" s="207">
        <v>0.16</v>
      </c>
      <c r="F142" s="18">
        <v>0.04</v>
      </c>
      <c r="G142" s="198">
        <f t="shared" si="9"/>
        <v>14700</v>
      </c>
      <c r="H142" s="353">
        <f>VLOOKUP(C142,[1]TB!$B$3:$D$503,3,0)</f>
        <v>58800000</v>
      </c>
      <c r="I142" s="198">
        <f>G142*F142</f>
        <v>588</v>
      </c>
      <c r="J142" s="354">
        <f>VLOOKUP(C142,[1]TB!$B$3:$E$205,4,0)</f>
        <v>8</v>
      </c>
    </row>
    <row r="143" spans="1:10" ht="19.5" customHeight="1" x14ac:dyDescent="0.35">
      <c r="A143" s="226"/>
      <c r="B143" s="196">
        <v>4</v>
      </c>
      <c r="C143" s="17" t="s">
        <v>190</v>
      </c>
      <c r="D143" s="18" t="s">
        <v>28</v>
      </c>
      <c r="E143" s="207">
        <v>0.16</v>
      </c>
      <c r="F143" s="18">
        <v>0.4</v>
      </c>
      <c r="G143" s="198">
        <f t="shared" si="9"/>
        <v>23520</v>
      </c>
      <c r="H143" s="353">
        <f>VLOOKUP(C143,[1]TB!$B$3:$D$503,3,0)</f>
        <v>58800000</v>
      </c>
      <c r="I143" s="198">
        <f>G143*F143</f>
        <v>9408</v>
      </c>
      <c r="J143" s="354">
        <f>VLOOKUP(C143,[1]TB!$B$3:$E$205,4,0)</f>
        <v>5</v>
      </c>
    </row>
    <row r="144" spans="1:10" ht="19.5" customHeight="1" x14ac:dyDescent="0.35">
      <c r="A144" s="226"/>
      <c r="B144" s="196">
        <v>5</v>
      </c>
      <c r="C144" s="206" t="s">
        <v>631</v>
      </c>
      <c r="D144" s="207" t="s">
        <v>28</v>
      </c>
      <c r="E144" s="207">
        <v>0.06</v>
      </c>
      <c r="F144" s="18">
        <v>0.2</v>
      </c>
      <c r="G144" s="198">
        <f t="shared" si="9"/>
        <v>7500</v>
      </c>
      <c r="H144" s="353">
        <f>VLOOKUP(C144,[1]TB!$B$3:$D$503,3,0)</f>
        <v>30000000</v>
      </c>
      <c r="I144" s="198">
        <f t="shared" si="11"/>
        <v>1500</v>
      </c>
      <c r="J144" s="354">
        <f>VLOOKUP(C144,[1]TB!$B$3:$E$205,4,0)</f>
        <v>8</v>
      </c>
    </row>
    <row r="145" spans="1:10" ht="19.5" customHeight="1" x14ac:dyDescent="0.35">
      <c r="A145" s="226"/>
      <c r="B145" s="196">
        <v>6</v>
      </c>
      <c r="C145" s="206" t="s">
        <v>181</v>
      </c>
      <c r="D145" s="207" t="s">
        <v>36</v>
      </c>
      <c r="E145" s="207">
        <v>0.55000000000000004</v>
      </c>
      <c r="F145" s="18">
        <v>0.1</v>
      </c>
      <c r="G145" s="198">
        <f t="shared" si="9"/>
        <v>20150</v>
      </c>
      <c r="H145" s="353">
        <f>VLOOKUP(C145,[1]TB!$B$3:$D$503,3,0)</f>
        <v>100750000</v>
      </c>
      <c r="I145" s="198">
        <f t="shared" si="11"/>
        <v>2015</v>
      </c>
      <c r="J145" s="354">
        <f>VLOOKUP(C145,[1]TB!$B$3:$E$205,4,0)</f>
        <v>10</v>
      </c>
    </row>
    <row r="146" spans="1:10" ht="19.5" customHeight="1" x14ac:dyDescent="0.35">
      <c r="A146" s="226"/>
      <c r="B146" s="196">
        <v>7</v>
      </c>
      <c r="C146" s="206" t="s">
        <v>644</v>
      </c>
      <c r="D146" s="207" t="s">
        <v>36</v>
      </c>
      <c r="E146" s="196">
        <v>0.18</v>
      </c>
      <c r="F146" s="18">
        <v>0.2</v>
      </c>
      <c r="G146" s="198">
        <f t="shared" si="9"/>
        <v>39600</v>
      </c>
      <c r="H146" s="353">
        <f>VLOOKUP(C146,[1]TB!$B$3:$D$503,3,0)</f>
        <v>99000000</v>
      </c>
      <c r="I146" s="198">
        <f t="shared" si="11"/>
        <v>7920</v>
      </c>
      <c r="J146" s="354">
        <f>VLOOKUP(C146,[1]TB!$B$3:$E$205,4,0)</f>
        <v>5</v>
      </c>
    </row>
    <row r="147" spans="1:10" ht="19.5" customHeight="1" x14ac:dyDescent="0.35">
      <c r="A147" s="226"/>
      <c r="B147" s="196">
        <v>8</v>
      </c>
      <c r="C147" s="206" t="s">
        <v>175</v>
      </c>
      <c r="D147" s="207" t="s">
        <v>28</v>
      </c>
      <c r="E147" s="207">
        <v>2.2000000000000002</v>
      </c>
      <c r="F147" s="18">
        <v>6.7000000000000004E-2</v>
      </c>
      <c r="G147" s="198">
        <f t="shared" si="9"/>
        <v>3800</v>
      </c>
      <c r="H147" s="353">
        <f>VLOOKUP(C147,[1]TB!$B$3:$D$503,3,0)</f>
        <v>9500000</v>
      </c>
      <c r="I147" s="198">
        <f t="shared" si="11"/>
        <v>254.60000000000002</v>
      </c>
      <c r="J147" s="354">
        <f>VLOOKUP(C147,[1]TB!$B$3:$E$205,4,0)</f>
        <v>5</v>
      </c>
    </row>
    <row r="148" spans="1:10" ht="19.5" customHeight="1" x14ac:dyDescent="0.35">
      <c r="A148" s="226"/>
      <c r="B148" s="196">
        <v>9</v>
      </c>
      <c r="C148" s="206" t="s">
        <v>52</v>
      </c>
      <c r="D148" s="207" t="s">
        <v>53</v>
      </c>
      <c r="E148" s="207"/>
      <c r="F148" s="94">
        <v>10.32</v>
      </c>
      <c r="G148" s="198"/>
      <c r="H148" s="353">
        <f>VLOOKUP(C148,[1]TB!$B$3:$D$503,3,0)</f>
        <v>1838</v>
      </c>
      <c r="I148" s="198">
        <f>H148*F148</f>
        <v>18968.16</v>
      </c>
      <c r="J148" s="354">
        <f>VLOOKUP(C148,[1]TB!$B$3:$E$205,4,0)</f>
        <v>0</v>
      </c>
    </row>
    <row r="149" spans="1:10" ht="19.5" customHeight="1" x14ac:dyDescent="0.35">
      <c r="A149" s="226">
        <v>11</v>
      </c>
      <c r="B149" s="202" t="s">
        <v>292</v>
      </c>
      <c r="C149" s="210" t="s">
        <v>183</v>
      </c>
      <c r="D149" s="199"/>
      <c r="E149" s="199"/>
      <c r="F149" s="203"/>
      <c r="G149" s="198"/>
      <c r="H149" s="208"/>
      <c r="I149" s="230">
        <f>SUM(I150:I157)</f>
        <v>37324.6</v>
      </c>
      <c r="J149" s="354"/>
    </row>
    <row r="150" spans="1:10" ht="19.5" customHeight="1" x14ac:dyDescent="0.35">
      <c r="A150" s="226"/>
      <c r="B150" s="196">
        <v>1</v>
      </c>
      <c r="C150" s="206" t="s">
        <v>179</v>
      </c>
      <c r="D150" s="207" t="s">
        <v>28</v>
      </c>
      <c r="E150" s="207">
        <v>0.1</v>
      </c>
      <c r="F150" s="18">
        <v>0.2</v>
      </c>
      <c r="G150" s="198">
        <f t="shared" si="9"/>
        <v>57960</v>
      </c>
      <c r="H150" s="353">
        <f>VLOOKUP(C150,[1]TB!$B$3:$D$503,3,0)</f>
        <v>144900000</v>
      </c>
      <c r="I150" s="198">
        <f t="shared" si="11"/>
        <v>11592</v>
      </c>
      <c r="J150" s="354">
        <f>VLOOKUP(C150,[1]TB!$B$3:$E$205,4,0)</f>
        <v>5</v>
      </c>
    </row>
    <row r="151" spans="1:10" ht="19.5" customHeight="1" x14ac:dyDescent="0.35">
      <c r="A151" s="226"/>
      <c r="B151" s="196">
        <v>2</v>
      </c>
      <c r="C151" s="206" t="s">
        <v>173</v>
      </c>
      <c r="D151" s="207" t="s">
        <v>28</v>
      </c>
      <c r="E151" s="207">
        <v>0.3</v>
      </c>
      <c r="F151" s="18">
        <v>0.35</v>
      </c>
      <c r="G151" s="198">
        <f t="shared" si="9"/>
        <v>6208</v>
      </c>
      <c r="H151" s="353">
        <f>VLOOKUP(C151,[1]TB!$B$3:$D$503,3,0)</f>
        <v>31040000</v>
      </c>
      <c r="I151" s="198">
        <f t="shared" si="11"/>
        <v>2172.7999999999997</v>
      </c>
      <c r="J151" s="354">
        <f>VLOOKUP(C151,[1]TB!$B$3:$E$205,4,0)</f>
        <v>10</v>
      </c>
    </row>
    <row r="152" spans="1:10" ht="19.5" customHeight="1" x14ac:dyDescent="0.35">
      <c r="A152" s="226"/>
      <c r="B152" s="196">
        <v>3</v>
      </c>
      <c r="C152" s="206" t="s">
        <v>632</v>
      </c>
      <c r="D152" s="18" t="s">
        <v>28</v>
      </c>
      <c r="E152" s="207">
        <v>0.16</v>
      </c>
      <c r="F152" s="18">
        <v>0.04</v>
      </c>
      <c r="G152" s="198">
        <f t="shared" si="9"/>
        <v>14700</v>
      </c>
      <c r="H152" s="353">
        <f>VLOOKUP(C152,[1]TB!$B$3:$D$503,3,0)</f>
        <v>58800000</v>
      </c>
      <c r="I152" s="198">
        <f>G152*F152</f>
        <v>588</v>
      </c>
      <c r="J152" s="354">
        <f>VLOOKUP(C152,[1]TB!$B$3:$E$205,4,0)</f>
        <v>8</v>
      </c>
    </row>
    <row r="153" spans="1:10" ht="19.5" customHeight="1" x14ac:dyDescent="0.35">
      <c r="A153" s="226"/>
      <c r="B153" s="196">
        <v>4</v>
      </c>
      <c r="C153" s="17" t="s">
        <v>190</v>
      </c>
      <c r="D153" s="18" t="s">
        <v>28</v>
      </c>
      <c r="E153" s="207">
        <v>0.16</v>
      </c>
      <c r="F153" s="18">
        <v>0.4</v>
      </c>
      <c r="G153" s="198">
        <f t="shared" si="9"/>
        <v>23520</v>
      </c>
      <c r="H153" s="353">
        <f>VLOOKUP(C153,[1]TB!$B$3:$D$503,3,0)</f>
        <v>58800000</v>
      </c>
      <c r="I153" s="198">
        <f>G153*F153</f>
        <v>9408</v>
      </c>
      <c r="J153" s="354">
        <f>VLOOKUP(C153,[1]TB!$B$3:$E$205,4,0)</f>
        <v>5</v>
      </c>
    </row>
    <row r="154" spans="1:10" ht="19.5" customHeight="1" x14ac:dyDescent="0.35">
      <c r="A154" s="226"/>
      <c r="B154" s="196">
        <v>5</v>
      </c>
      <c r="C154" s="206" t="s">
        <v>631</v>
      </c>
      <c r="D154" s="207" t="s">
        <v>28</v>
      </c>
      <c r="E154" s="207">
        <v>0.06</v>
      </c>
      <c r="F154" s="18">
        <v>0.2</v>
      </c>
      <c r="G154" s="198">
        <f t="shared" si="9"/>
        <v>7500</v>
      </c>
      <c r="H154" s="353">
        <f>VLOOKUP(C154,[1]TB!$B$3:$D$503,3,0)</f>
        <v>30000000</v>
      </c>
      <c r="I154" s="198">
        <f t="shared" si="11"/>
        <v>1500</v>
      </c>
      <c r="J154" s="354">
        <f>VLOOKUP(C154,[1]TB!$B$3:$E$205,4,0)</f>
        <v>8</v>
      </c>
    </row>
    <row r="155" spans="1:10" ht="19.5" customHeight="1" x14ac:dyDescent="0.35">
      <c r="A155" s="226"/>
      <c r="B155" s="196">
        <v>6</v>
      </c>
      <c r="C155" s="206" t="s">
        <v>691</v>
      </c>
      <c r="D155" s="207" t="s">
        <v>36</v>
      </c>
      <c r="E155" s="207">
        <v>0.55000000000000004</v>
      </c>
      <c r="F155" s="18">
        <v>0.1</v>
      </c>
      <c r="G155" s="198">
        <f t="shared" si="9"/>
        <v>38892</v>
      </c>
      <c r="H155" s="353">
        <f>VLOOKUP(C155,[1]TB!$B$3:$D$503,3,0)</f>
        <v>97230000</v>
      </c>
      <c r="I155" s="198">
        <f t="shared" si="11"/>
        <v>3889.2000000000003</v>
      </c>
      <c r="J155" s="354">
        <f>VLOOKUP(C155,[1]TB!$B$3:$E$205,4,0)</f>
        <v>5</v>
      </c>
    </row>
    <row r="156" spans="1:10" ht="19.5" customHeight="1" x14ac:dyDescent="0.35">
      <c r="A156" s="226"/>
      <c r="B156" s="196">
        <v>7</v>
      </c>
      <c r="C156" s="206" t="s">
        <v>644</v>
      </c>
      <c r="D156" s="207" t="s">
        <v>36</v>
      </c>
      <c r="E156" s="196">
        <v>0.18</v>
      </c>
      <c r="F156" s="18">
        <v>0.2</v>
      </c>
      <c r="G156" s="198">
        <f t="shared" si="9"/>
        <v>39600</v>
      </c>
      <c r="H156" s="353">
        <f>VLOOKUP(C156,[1]TB!$B$3:$D$503,3,0)</f>
        <v>99000000</v>
      </c>
      <c r="I156" s="198">
        <f t="shared" si="11"/>
        <v>7920</v>
      </c>
      <c r="J156" s="354">
        <f>VLOOKUP(C156,[1]TB!$B$3:$E$205,4,0)</f>
        <v>5</v>
      </c>
    </row>
    <row r="157" spans="1:10" s="194" customFormat="1" ht="19.5" customHeight="1" x14ac:dyDescent="0.35">
      <c r="A157" s="226"/>
      <c r="B157" s="196">
        <v>8</v>
      </c>
      <c r="C157" s="206" t="s">
        <v>175</v>
      </c>
      <c r="D157" s="207" t="s">
        <v>28</v>
      </c>
      <c r="E157" s="207">
        <v>2.2000000000000002</v>
      </c>
      <c r="F157" s="18">
        <v>6.7000000000000004E-2</v>
      </c>
      <c r="G157" s="198">
        <f t="shared" si="9"/>
        <v>3800</v>
      </c>
      <c r="H157" s="353">
        <f>VLOOKUP(C157,[1]TB!$B$3:$D$503,3,0)</f>
        <v>9500000</v>
      </c>
      <c r="I157" s="198">
        <f t="shared" si="11"/>
        <v>254.60000000000002</v>
      </c>
      <c r="J157" s="354">
        <f>VLOOKUP(C157,[1]TB!$B$3:$E$205,4,0)</f>
        <v>5</v>
      </c>
    </row>
    <row r="158" spans="1:10" ht="19.5" customHeight="1" x14ac:dyDescent="0.35">
      <c r="A158" s="226"/>
      <c r="B158" s="196">
        <v>9</v>
      </c>
      <c r="C158" s="206" t="s">
        <v>52</v>
      </c>
      <c r="D158" s="207" t="s">
        <v>53</v>
      </c>
      <c r="E158" s="207"/>
      <c r="F158" s="96">
        <v>12.8</v>
      </c>
      <c r="G158" s="198"/>
      <c r="H158" s="353">
        <f>VLOOKUP(C158,[1]TB!$B$3:$D$503,3,0)</f>
        <v>1838</v>
      </c>
      <c r="I158" s="198">
        <f>H158*F158</f>
        <v>23526.400000000001</v>
      </c>
      <c r="J158" s="354">
        <f>VLOOKUP(C158,[1]TB!$B$3:$E$205,4,0)</f>
        <v>0</v>
      </c>
    </row>
    <row r="159" spans="1:10" ht="19.5" customHeight="1" x14ac:dyDescent="0.35">
      <c r="A159" s="226">
        <v>12</v>
      </c>
      <c r="B159" s="202" t="s">
        <v>404</v>
      </c>
      <c r="C159" s="210" t="s">
        <v>453</v>
      </c>
      <c r="D159" s="199"/>
      <c r="E159" s="199"/>
      <c r="F159" s="203"/>
      <c r="G159" s="198"/>
      <c r="H159" s="208"/>
      <c r="I159" s="230">
        <f>SUM(I160:I165)</f>
        <v>20895.899999999998</v>
      </c>
      <c r="J159" s="354"/>
    </row>
    <row r="160" spans="1:10" ht="19.5" customHeight="1" x14ac:dyDescent="0.35">
      <c r="A160" s="226"/>
      <c r="B160" s="196">
        <v>1</v>
      </c>
      <c r="C160" s="206" t="s">
        <v>173</v>
      </c>
      <c r="D160" s="207" t="s">
        <v>28</v>
      </c>
      <c r="E160" s="207">
        <v>0.3</v>
      </c>
      <c r="F160" s="18">
        <v>0.35</v>
      </c>
      <c r="G160" s="198">
        <f t="shared" ref="G160:G219" si="12">H160/(J160*$J$82)</f>
        <v>6208</v>
      </c>
      <c r="H160" s="353">
        <f>VLOOKUP(C160,[1]TB!$B$3:$D$503,3,0)</f>
        <v>31040000</v>
      </c>
      <c r="I160" s="198">
        <f t="shared" si="11"/>
        <v>2172.7999999999997</v>
      </c>
      <c r="J160" s="354">
        <f>VLOOKUP(C160,[1]TB!$B$3:$E$205,4,0)</f>
        <v>10</v>
      </c>
    </row>
    <row r="161" spans="1:10" ht="19.5" customHeight="1" x14ac:dyDescent="0.35">
      <c r="A161" s="226"/>
      <c r="B161" s="196">
        <v>2</v>
      </c>
      <c r="C161" s="206" t="s">
        <v>632</v>
      </c>
      <c r="D161" s="18" t="s">
        <v>28</v>
      </c>
      <c r="E161" s="207">
        <v>0.16</v>
      </c>
      <c r="F161" s="18">
        <v>0.04</v>
      </c>
      <c r="G161" s="198">
        <f t="shared" si="12"/>
        <v>14700</v>
      </c>
      <c r="H161" s="353">
        <f>VLOOKUP(C161,[1]TB!$B$3:$D$503,3,0)</f>
        <v>58800000</v>
      </c>
      <c r="I161" s="198">
        <f>G161*F161</f>
        <v>588</v>
      </c>
      <c r="J161" s="354">
        <f>VLOOKUP(C161,[1]TB!$B$3:$E$205,4,0)</f>
        <v>8</v>
      </c>
    </row>
    <row r="162" spans="1:10" ht="19.5" customHeight="1" x14ac:dyDescent="0.35">
      <c r="A162" s="226"/>
      <c r="B162" s="196">
        <v>3</v>
      </c>
      <c r="C162" s="17" t="s">
        <v>190</v>
      </c>
      <c r="D162" s="18" t="s">
        <v>28</v>
      </c>
      <c r="E162" s="207">
        <v>0.16</v>
      </c>
      <c r="F162" s="18">
        <v>0.4</v>
      </c>
      <c r="G162" s="198">
        <f t="shared" si="12"/>
        <v>23520</v>
      </c>
      <c r="H162" s="353">
        <f>VLOOKUP(C162,[1]TB!$B$3:$D$503,3,0)</f>
        <v>58800000</v>
      </c>
      <c r="I162" s="198">
        <f>G162*F162</f>
        <v>9408</v>
      </c>
      <c r="J162" s="354">
        <f>VLOOKUP(C162,[1]TB!$B$3:$E$205,4,0)</f>
        <v>5</v>
      </c>
    </row>
    <row r="163" spans="1:10" ht="19.5" customHeight="1" x14ac:dyDescent="0.35">
      <c r="A163" s="226"/>
      <c r="B163" s="196">
        <v>4</v>
      </c>
      <c r="C163" s="206" t="s">
        <v>177</v>
      </c>
      <c r="D163" s="207" t="s">
        <v>36</v>
      </c>
      <c r="E163" s="196">
        <v>0.18</v>
      </c>
      <c r="F163" s="18">
        <v>0.2</v>
      </c>
      <c r="G163" s="198">
        <f t="shared" si="12"/>
        <v>32287.5</v>
      </c>
      <c r="H163" s="353">
        <f>VLOOKUP(C163,[1]TB!$B$3:$D$503,3,0)</f>
        <v>129150000</v>
      </c>
      <c r="I163" s="198">
        <f t="shared" si="11"/>
        <v>6457.5</v>
      </c>
      <c r="J163" s="354">
        <f>VLOOKUP(C163,[1]TB!$B$3:$E$205,4,0)</f>
        <v>8</v>
      </c>
    </row>
    <row r="164" spans="1:10" ht="19.5" customHeight="1" x14ac:dyDescent="0.35">
      <c r="A164" s="226"/>
      <c r="B164" s="196">
        <v>5</v>
      </c>
      <c r="C164" s="206" t="s">
        <v>181</v>
      </c>
      <c r="D164" s="207" t="s">
        <v>36</v>
      </c>
      <c r="E164" s="207">
        <v>0.55000000000000004</v>
      </c>
      <c r="F164" s="18">
        <v>0.1</v>
      </c>
      <c r="G164" s="198">
        <f t="shared" si="12"/>
        <v>20150</v>
      </c>
      <c r="H164" s="353">
        <f>VLOOKUP(C164,[1]TB!$B$3:$D$503,3,0)</f>
        <v>100750000</v>
      </c>
      <c r="I164" s="198">
        <f t="shared" si="11"/>
        <v>2015</v>
      </c>
      <c r="J164" s="354">
        <f>VLOOKUP(C164,[1]TB!$B$3:$E$205,4,0)</f>
        <v>10</v>
      </c>
    </row>
    <row r="165" spans="1:10" ht="19.5" customHeight="1" x14ac:dyDescent="0.35">
      <c r="A165" s="226"/>
      <c r="B165" s="196">
        <v>6</v>
      </c>
      <c r="C165" s="206" t="s">
        <v>175</v>
      </c>
      <c r="D165" s="207" t="s">
        <v>28</v>
      </c>
      <c r="E165" s="207">
        <v>2.2000000000000002</v>
      </c>
      <c r="F165" s="18">
        <v>6.7000000000000004E-2</v>
      </c>
      <c r="G165" s="198">
        <f t="shared" si="12"/>
        <v>3800</v>
      </c>
      <c r="H165" s="353">
        <f>VLOOKUP(C165,[1]TB!$B$3:$D$503,3,0)</f>
        <v>9500000</v>
      </c>
      <c r="I165" s="198">
        <f t="shared" si="11"/>
        <v>254.60000000000002</v>
      </c>
      <c r="J165" s="354">
        <f>VLOOKUP(C165,[1]TB!$B$3:$E$205,4,0)</f>
        <v>5</v>
      </c>
    </row>
    <row r="166" spans="1:10" ht="19.5" customHeight="1" x14ac:dyDescent="0.35">
      <c r="A166" s="226"/>
      <c r="B166" s="196">
        <v>7</v>
      </c>
      <c r="C166" s="206" t="s">
        <v>52</v>
      </c>
      <c r="D166" s="207" t="s">
        <v>53</v>
      </c>
      <c r="E166" s="207"/>
      <c r="F166" s="94">
        <v>6.7169999999999996</v>
      </c>
      <c r="G166" s="198"/>
      <c r="H166" s="353">
        <f>VLOOKUP(C166,[1]TB!$B$3:$D$503,3,0)</f>
        <v>1838</v>
      </c>
      <c r="I166" s="198">
        <f>H166*F166</f>
        <v>12345.846</v>
      </c>
      <c r="J166" s="354">
        <f>VLOOKUP(C166,[1]TB!$B$3:$E$205,4,0)</f>
        <v>0</v>
      </c>
    </row>
    <row r="167" spans="1:10" ht="19.5" customHeight="1" x14ac:dyDescent="0.35">
      <c r="A167" s="226">
        <v>13</v>
      </c>
      <c r="B167" s="202" t="s">
        <v>405</v>
      </c>
      <c r="C167" s="210" t="s">
        <v>454</v>
      </c>
      <c r="D167" s="199"/>
      <c r="E167" s="199"/>
      <c r="F167" s="203"/>
      <c r="G167" s="198"/>
      <c r="H167" s="208"/>
      <c r="I167" s="230">
        <f>SUM(I168:I174)</f>
        <v>23858.399999999998</v>
      </c>
      <c r="J167" s="354"/>
    </row>
    <row r="168" spans="1:10" ht="19.5" customHeight="1" x14ac:dyDescent="0.35">
      <c r="A168" s="226"/>
      <c r="B168" s="196">
        <v>1</v>
      </c>
      <c r="C168" s="206" t="s">
        <v>173</v>
      </c>
      <c r="D168" s="207" t="s">
        <v>28</v>
      </c>
      <c r="E168" s="207">
        <v>0.3</v>
      </c>
      <c r="F168" s="18">
        <v>0.35</v>
      </c>
      <c r="G168" s="198">
        <f t="shared" si="12"/>
        <v>6208</v>
      </c>
      <c r="H168" s="353">
        <f>VLOOKUP(C168,[1]TB!$B$3:$D$503,3,0)</f>
        <v>31040000</v>
      </c>
      <c r="I168" s="198">
        <f t="shared" ref="I168:I226" si="13">G168*F168</f>
        <v>2172.7999999999997</v>
      </c>
      <c r="J168" s="354">
        <f>VLOOKUP(C168,[1]TB!$B$3:$E$205,4,0)</f>
        <v>10</v>
      </c>
    </row>
    <row r="169" spans="1:10" ht="19.5" customHeight="1" x14ac:dyDescent="0.35">
      <c r="A169" s="226"/>
      <c r="B169" s="196">
        <v>2</v>
      </c>
      <c r="C169" s="206" t="s">
        <v>632</v>
      </c>
      <c r="D169" s="18" t="s">
        <v>28</v>
      </c>
      <c r="E169" s="207">
        <v>0.16</v>
      </c>
      <c r="F169" s="18">
        <v>0.04</v>
      </c>
      <c r="G169" s="198">
        <f t="shared" si="12"/>
        <v>14700</v>
      </c>
      <c r="H169" s="353">
        <f>VLOOKUP(C169,[1]TB!$B$3:$D$503,3,0)</f>
        <v>58800000</v>
      </c>
      <c r="I169" s="198">
        <f>G169*F169</f>
        <v>588</v>
      </c>
      <c r="J169" s="354">
        <f>VLOOKUP(C169,[1]TB!$B$3:$E$205,4,0)</f>
        <v>8</v>
      </c>
    </row>
    <row r="170" spans="1:10" ht="19.5" customHeight="1" x14ac:dyDescent="0.35">
      <c r="A170" s="226"/>
      <c r="B170" s="196">
        <v>3</v>
      </c>
      <c r="C170" s="17" t="s">
        <v>190</v>
      </c>
      <c r="D170" s="18" t="s">
        <v>28</v>
      </c>
      <c r="E170" s="207">
        <v>0.16</v>
      </c>
      <c r="F170" s="18">
        <v>0.4</v>
      </c>
      <c r="G170" s="198">
        <f t="shared" si="12"/>
        <v>23520</v>
      </c>
      <c r="H170" s="353">
        <f>VLOOKUP(C170,[1]TB!$B$3:$D$503,3,0)</f>
        <v>58800000</v>
      </c>
      <c r="I170" s="198">
        <f>G170*F170</f>
        <v>9408</v>
      </c>
      <c r="J170" s="354">
        <f>VLOOKUP(C170,[1]TB!$B$3:$E$205,4,0)</f>
        <v>5</v>
      </c>
    </row>
    <row r="171" spans="1:10" ht="19.5" customHeight="1" x14ac:dyDescent="0.35">
      <c r="A171" s="226"/>
      <c r="B171" s="196">
        <v>4</v>
      </c>
      <c r="C171" s="206" t="s">
        <v>631</v>
      </c>
      <c r="D171" s="207" t="s">
        <v>28</v>
      </c>
      <c r="E171" s="207">
        <v>0.06</v>
      </c>
      <c r="F171" s="18">
        <v>0.2</v>
      </c>
      <c r="G171" s="198">
        <f t="shared" si="12"/>
        <v>7500</v>
      </c>
      <c r="H171" s="353">
        <f>VLOOKUP(C171,[1]TB!$B$3:$D$503,3,0)</f>
        <v>30000000</v>
      </c>
      <c r="I171" s="198">
        <f t="shared" si="13"/>
        <v>1500</v>
      </c>
      <c r="J171" s="354">
        <f>VLOOKUP(C171,[1]TB!$B$3:$E$205,4,0)</f>
        <v>8</v>
      </c>
    </row>
    <row r="172" spans="1:10" ht="19.5" customHeight="1" x14ac:dyDescent="0.35">
      <c r="A172" s="226"/>
      <c r="B172" s="196">
        <v>5</v>
      </c>
      <c r="C172" s="206" t="s">
        <v>181</v>
      </c>
      <c r="D172" s="207" t="s">
        <v>36</v>
      </c>
      <c r="E172" s="207">
        <v>0.55000000000000004</v>
      </c>
      <c r="F172" s="18">
        <v>0.1</v>
      </c>
      <c r="G172" s="198">
        <f t="shared" si="12"/>
        <v>20150</v>
      </c>
      <c r="H172" s="353">
        <f>VLOOKUP(C172,[1]TB!$B$3:$D$503,3,0)</f>
        <v>100750000</v>
      </c>
      <c r="I172" s="198">
        <f t="shared" si="13"/>
        <v>2015</v>
      </c>
      <c r="J172" s="354">
        <f>VLOOKUP(C172,[1]TB!$B$3:$E$205,4,0)</f>
        <v>10</v>
      </c>
    </row>
    <row r="173" spans="1:10" ht="19.5" customHeight="1" x14ac:dyDescent="0.35">
      <c r="A173" s="226"/>
      <c r="B173" s="196">
        <v>6</v>
      </c>
      <c r="C173" s="206" t="s">
        <v>644</v>
      </c>
      <c r="D173" s="207" t="s">
        <v>36</v>
      </c>
      <c r="E173" s="196">
        <v>0.18</v>
      </c>
      <c r="F173" s="18">
        <v>0.2</v>
      </c>
      <c r="G173" s="198">
        <f t="shared" si="12"/>
        <v>39600</v>
      </c>
      <c r="H173" s="353">
        <f>VLOOKUP(C173,[1]TB!$B$3:$D$503,3,0)</f>
        <v>99000000</v>
      </c>
      <c r="I173" s="198">
        <f t="shared" si="13"/>
        <v>7920</v>
      </c>
      <c r="J173" s="354">
        <f>VLOOKUP(C173,[1]TB!$B$3:$E$205,4,0)</f>
        <v>5</v>
      </c>
    </row>
    <row r="174" spans="1:10" ht="19.5" customHeight="1" x14ac:dyDescent="0.35">
      <c r="A174" s="226"/>
      <c r="B174" s="196">
        <v>7</v>
      </c>
      <c r="C174" s="206" t="s">
        <v>175</v>
      </c>
      <c r="D174" s="207" t="s">
        <v>28</v>
      </c>
      <c r="E174" s="207">
        <v>2.2000000000000002</v>
      </c>
      <c r="F174" s="18">
        <v>6.7000000000000004E-2</v>
      </c>
      <c r="G174" s="198">
        <f t="shared" si="12"/>
        <v>3800</v>
      </c>
      <c r="H174" s="353">
        <f>VLOOKUP(C174,[1]TB!$B$3:$D$503,3,0)</f>
        <v>9500000</v>
      </c>
      <c r="I174" s="198">
        <f t="shared" si="13"/>
        <v>254.60000000000002</v>
      </c>
      <c r="J174" s="354">
        <f>VLOOKUP(C174,[1]TB!$B$3:$E$205,4,0)</f>
        <v>5</v>
      </c>
    </row>
    <row r="175" spans="1:10" ht="19.5" customHeight="1" x14ac:dyDescent="0.35">
      <c r="A175" s="226"/>
      <c r="B175" s="196">
        <v>8</v>
      </c>
      <c r="C175" s="206" t="s">
        <v>52</v>
      </c>
      <c r="D175" s="207" t="s">
        <v>53</v>
      </c>
      <c r="E175" s="207"/>
      <c r="F175" s="94">
        <v>6.1680000000000001</v>
      </c>
      <c r="G175" s="198"/>
      <c r="H175" s="353">
        <f>VLOOKUP(C175,[1]TB!$B$3:$D$503,3,0)</f>
        <v>1838</v>
      </c>
      <c r="I175" s="198">
        <f>H175*F175</f>
        <v>11336.784</v>
      </c>
      <c r="J175" s="354">
        <f>VLOOKUP(C175,[1]TB!$B$3:$E$205,4,0)</f>
        <v>0</v>
      </c>
    </row>
    <row r="176" spans="1:10" ht="19.5" customHeight="1" x14ac:dyDescent="0.35">
      <c r="A176" s="226">
        <v>14</v>
      </c>
      <c r="B176" s="202" t="s">
        <v>406</v>
      </c>
      <c r="C176" s="195" t="s">
        <v>455</v>
      </c>
      <c r="D176" s="190"/>
      <c r="E176" s="269"/>
      <c r="F176" s="578" t="s">
        <v>467</v>
      </c>
      <c r="G176" s="579"/>
      <c r="H176" s="208"/>
      <c r="I176" s="227">
        <f>I159</f>
        <v>20895.899999999998</v>
      </c>
      <c r="J176" s="354"/>
    </row>
    <row r="177" spans="1:10" ht="19.5" customHeight="1" x14ac:dyDescent="0.35">
      <c r="A177" s="226">
        <v>15</v>
      </c>
      <c r="B177" s="202" t="s">
        <v>407</v>
      </c>
      <c r="C177" s="210" t="s">
        <v>456</v>
      </c>
      <c r="D177" s="199"/>
      <c r="E177" s="199"/>
      <c r="F177" s="203"/>
      <c r="G177" s="198"/>
      <c r="H177" s="208"/>
      <c r="I177" s="230">
        <f>SUM(I178:I184)</f>
        <v>22395.899999999998</v>
      </c>
      <c r="J177" s="354"/>
    </row>
    <row r="178" spans="1:10" ht="19.5" customHeight="1" x14ac:dyDescent="0.35">
      <c r="A178" s="226"/>
      <c r="B178" s="196">
        <v>1</v>
      </c>
      <c r="C178" s="206" t="s">
        <v>173</v>
      </c>
      <c r="D178" s="207" t="s">
        <v>28</v>
      </c>
      <c r="E178" s="207">
        <v>0.3</v>
      </c>
      <c r="F178" s="18">
        <v>0.35</v>
      </c>
      <c r="G178" s="198">
        <f t="shared" si="12"/>
        <v>6208</v>
      </c>
      <c r="H178" s="353">
        <f>VLOOKUP(C178,[1]TB!$B$3:$D$503,3,0)</f>
        <v>31040000</v>
      </c>
      <c r="I178" s="198">
        <f t="shared" si="13"/>
        <v>2172.7999999999997</v>
      </c>
      <c r="J178" s="354">
        <f>VLOOKUP(C178,[1]TB!$B$3:$E$205,4,0)</f>
        <v>10</v>
      </c>
    </row>
    <row r="179" spans="1:10" ht="19.5" customHeight="1" x14ac:dyDescent="0.35">
      <c r="A179" s="226"/>
      <c r="B179" s="196">
        <v>2</v>
      </c>
      <c r="C179" s="206" t="s">
        <v>632</v>
      </c>
      <c r="D179" s="18" t="s">
        <v>28</v>
      </c>
      <c r="E179" s="207">
        <v>0.16</v>
      </c>
      <c r="F179" s="18">
        <v>0.04</v>
      </c>
      <c r="G179" s="198">
        <f t="shared" si="12"/>
        <v>14700</v>
      </c>
      <c r="H179" s="353">
        <f>VLOOKUP(C179,[1]TB!$B$3:$D$503,3,0)</f>
        <v>58800000</v>
      </c>
      <c r="I179" s="198">
        <f>G179*F179</f>
        <v>588</v>
      </c>
      <c r="J179" s="354">
        <f>VLOOKUP(C179,[1]TB!$B$3:$E$205,4,0)</f>
        <v>8</v>
      </c>
    </row>
    <row r="180" spans="1:10" ht="19.5" customHeight="1" x14ac:dyDescent="0.35">
      <c r="A180" s="226"/>
      <c r="B180" s="196">
        <v>3</v>
      </c>
      <c r="C180" s="17" t="s">
        <v>190</v>
      </c>
      <c r="D180" s="18" t="s">
        <v>28</v>
      </c>
      <c r="E180" s="207">
        <v>0.16</v>
      </c>
      <c r="F180" s="18">
        <v>0.4</v>
      </c>
      <c r="G180" s="198">
        <f t="shared" si="12"/>
        <v>23520</v>
      </c>
      <c r="H180" s="353">
        <f>VLOOKUP(C180,[1]TB!$B$3:$D$503,3,0)</f>
        <v>58800000</v>
      </c>
      <c r="I180" s="198">
        <f>G180*F180</f>
        <v>9408</v>
      </c>
      <c r="J180" s="354">
        <f>VLOOKUP(C180,[1]TB!$B$3:$E$205,4,0)</f>
        <v>5</v>
      </c>
    </row>
    <row r="181" spans="1:10" ht="19.5" customHeight="1" x14ac:dyDescent="0.35">
      <c r="A181" s="226"/>
      <c r="B181" s="196">
        <v>4</v>
      </c>
      <c r="C181" s="206" t="s">
        <v>631</v>
      </c>
      <c r="D181" s="207" t="s">
        <v>28</v>
      </c>
      <c r="E181" s="207">
        <v>0.06</v>
      </c>
      <c r="F181" s="18">
        <v>0.2</v>
      </c>
      <c r="G181" s="198">
        <f t="shared" si="12"/>
        <v>7500</v>
      </c>
      <c r="H181" s="353">
        <f>VLOOKUP(C181,[1]TB!$B$3:$D$503,3,0)</f>
        <v>30000000</v>
      </c>
      <c r="I181" s="198">
        <f t="shared" si="13"/>
        <v>1500</v>
      </c>
      <c r="J181" s="354">
        <f>VLOOKUP(C181,[1]TB!$B$3:$E$205,4,0)</f>
        <v>8</v>
      </c>
    </row>
    <row r="182" spans="1:10" ht="19.5" customHeight="1" x14ac:dyDescent="0.35">
      <c r="A182" s="226"/>
      <c r="B182" s="196">
        <v>5</v>
      </c>
      <c r="C182" s="206" t="s">
        <v>181</v>
      </c>
      <c r="D182" s="207" t="s">
        <v>36</v>
      </c>
      <c r="E182" s="207"/>
      <c r="F182" s="18">
        <v>0.1</v>
      </c>
      <c r="G182" s="198">
        <f t="shared" si="12"/>
        <v>20150</v>
      </c>
      <c r="H182" s="353">
        <f>VLOOKUP(C182,[1]TB!$B$3:$D$503,3,0)</f>
        <v>100750000</v>
      </c>
      <c r="I182" s="198">
        <f t="shared" si="13"/>
        <v>2015</v>
      </c>
      <c r="J182" s="354">
        <f>VLOOKUP(C182,[1]TB!$B$3:$E$205,4,0)</f>
        <v>10</v>
      </c>
    </row>
    <row r="183" spans="1:10" ht="19.5" customHeight="1" x14ac:dyDescent="0.35">
      <c r="A183" s="226"/>
      <c r="B183" s="196">
        <v>6</v>
      </c>
      <c r="C183" s="206" t="s">
        <v>177</v>
      </c>
      <c r="D183" s="207" t="s">
        <v>36</v>
      </c>
      <c r="E183" s="196">
        <v>0.18</v>
      </c>
      <c r="F183" s="18">
        <v>0.2</v>
      </c>
      <c r="G183" s="198">
        <f t="shared" si="12"/>
        <v>32287.5</v>
      </c>
      <c r="H183" s="353">
        <f>VLOOKUP(C183,[1]TB!$B$3:$D$503,3,0)</f>
        <v>129150000</v>
      </c>
      <c r="I183" s="198">
        <f t="shared" si="13"/>
        <v>6457.5</v>
      </c>
      <c r="J183" s="354">
        <f>VLOOKUP(C183,[1]TB!$B$3:$E$205,4,0)</f>
        <v>8</v>
      </c>
    </row>
    <row r="184" spans="1:10" ht="19.5" customHeight="1" x14ac:dyDescent="0.35">
      <c r="A184" s="226"/>
      <c r="B184" s="196">
        <v>7</v>
      </c>
      <c r="C184" s="206" t="s">
        <v>175</v>
      </c>
      <c r="D184" s="207" t="s">
        <v>28</v>
      </c>
      <c r="E184" s="207">
        <v>2.2000000000000002</v>
      </c>
      <c r="F184" s="18">
        <v>6.7000000000000004E-2</v>
      </c>
      <c r="G184" s="198">
        <f t="shared" si="12"/>
        <v>3800</v>
      </c>
      <c r="H184" s="353">
        <f>VLOOKUP(C184,[1]TB!$B$3:$D$503,3,0)</f>
        <v>9500000</v>
      </c>
      <c r="I184" s="198">
        <f t="shared" si="13"/>
        <v>254.60000000000002</v>
      </c>
      <c r="J184" s="354">
        <f>VLOOKUP(C184,[1]TB!$B$3:$E$205,4,0)</f>
        <v>5</v>
      </c>
    </row>
    <row r="185" spans="1:10" ht="19.5" customHeight="1" x14ac:dyDescent="0.35">
      <c r="A185" s="226"/>
      <c r="B185" s="196">
        <v>8</v>
      </c>
      <c r="C185" s="206" t="s">
        <v>52</v>
      </c>
      <c r="D185" s="207" t="s">
        <v>53</v>
      </c>
      <c r="E185" s="207"/>
      <c r="F185" s="94">
        <v>6.1680000000000001</v>
      </c>
      <c r="G185" s="198"/>
      <c r="H185" s="353">
        <f>VLOOKUP(C185,[1]TB!$B$3:$D$503,3,0)</f>
        <v>1838</v>
      </c>
      <c r="I185" s="198">
        <f>H185*F185</f>
        <v>11336.784</v>
      </c>
      <c r="J185" s="354">
        <f>VLOOKUP(C185,[1]TB!$B$3:$E$205,4,0)</f>
        <v>0</v>
      </c>
    </row>
    <row r="186" spans="1:10" ht="19.5" customHeight="1" x14ac:dyDescent="0.35">
      <c r="A186" s="226">
        <v>16</v>
      </c>
      <c r="B186" s="202" t="s">
        <v>408</v>
      </c>
      <c r="C186" s="210" t="s">
        <v>457</v>
      </c>
      <c r="D186" s="199"/>
      <c r="E186" s="199"/>
      <c r="F186" s="203"/>
      <c r="G186" s="198"/>
      <c r="H186" s="208"/>
      <c r="I186" s="230">
        <f>SUM(I187:I193)</f>
        <v>22473.399999999998</v>
      </c>
      <c r="J186" s="354"/>
    </row>
    <row r="187" spans="1:10" ht="19.5" customHeight="1" x14ac:dyDescent="0.35">
      <c r="A187" s="226"/>
      <c r="B187" s="196">
        <v>1</v>
      </c>
      <c r="C187" s="206" t="s">
        <v>173</v>
      </c>
      <c r="D187" s="207" t="s">
        <v>28</v>
      </c>
      <c r="E187" s="207">
        <v>0.3</v>
      </c>
      <c r="F187" s="18">
        <v>0.35</v>
      </c>
      <c r="G187" s="198">
        <f t="shared" si="12"/>
        <v>6208</v>
      </c>
      <c r="H187" s="353">
        <f>VLOOKUP(C187,[1]TB!$B$3:$D$503,3,0)</f>
        <v>31040000</v>
      </c>
      <c r="I187" s="198">
        <f t="shared" si="13"/>
        <v>2172.7999999999997</v>
      </c>
      <c r="J187" s="354">
        <f>VLOOKUP(C187,[1]TB!$B$3:$E$205,4,0)</f>
        <v>10</v>
      </c>
    </row>
    <row r="188" spans="1:10" ht="19.5" customHeight="1" x14ac:dyDescent="0.35">
      <c r="A188" s="226"/>
      <c r="B188" s="196">
        <v>2</v>
      </c>
      <c r="C188" s="206" t="s">
        <v>632</v>
      </c>
      <c r="D188" s="18" t="s">
        <v>28</v>
      </c>
      <c r="E188" s="207">
        <v>0.16</v>
      </c>
      <c r="F188" s="18">
        <v>0.04</v>
      </c>
      <c r="G188" s="198">
        <f t="shared" si="12"/>
        <v>14700</v>
      </c>
      <c r="H188" s="353">
        <f>VLOOKUP(C188,[1]TB!$B$3:$D$503,3,0)</f>
        <v>58800000</v>
      </c>
      <c r="I188" s="198">
        <f>G188*F188</f>
        <v>588</v>
      </c>
      <c r="J188" s="354">
        <f>VLOOKUP(C188,[1]TB!$B$3:$E$205,4,0)</f>
        <v>8</v>
      </c>
    </row>
    <row r="189" spans="1:10" ht="19.5" customHeight="1" x14ac:dyDescent="0.35">
      <c r="A189" s="226"/>
      <c r="B189" s="196">
        <v>3</v>
      </c>
      <c r="C189" s="17" t="s">
        <v>190</v>
      </c>
      <c r="D189" s="18" t="s">
        <v>28</v>
      </c>
      <c r="E189" s="207">
        <v>0.16</v>
      </c>
      <c r="F189" s="18">
        <v>0.4</v>
      </c>
      <c r="G189" s="198">
        <f t="shared" si="12"/>
        <v>23520</v>
      </c>
      <c r="H189" s="353">
        <f>VLOOKUP(C189,[1]TB!$B$3:$D$503,3,0)</f>
        <v>58800000</v>
      </c>
      <c r="I189" s="198">
        <f>G189*F189</f>
        <v>9408</v>
      </c>
      <c r="J189" s="354">
        <f>VLOOKUP(C189,[1]TB!$B$3:$E$205,4,0)</f>
        <v>5</v>
      </c>
    </row>
    <row r="190" spans="1:10" ht="19.5" customHeight="1" x14ac:dyDescent="0.35">
      <c r="A190" s="226"/>
      <c r="B190" s="196">
        <v>4</v>
      </c>
      <c r="C190" s="206" t="s">
        <v>631</v>
      </c>
      <c r="D190" s="207" t="s">
        <v>28</v>
      </c>
      <c r="E190" s="207">
        <v>0.06</v>
      </c>
      <c r="F190" s="18">
        <v>0.2</v>
      </c>
      <c r="G190" s="198">
        <f t="shared" si="12"/>
        <v>7500</v>
      </c>
      <c r="H190" s="353">
        <f>VLOOKUP(C190,[1]TB!$B$3:$D$503,3,0)</f>
        <v>30000000</v>
      </c>
      <c r="I190" s="198">
        <f t="shared" si="13"/>
        <v>1500</v>
      </c>
      <c r="J190" s="354">
        <f>VLOOKUP(C190,[1]TB!$B$3:$E$205,4,0)</f>
        <v>8</v>
      </c>
    </row>
    <row r="191" spans="1:10" ht="19.5" customHeight="1" x14ac:dyDescent="0.35">
      <c r="A191" s="226"/>
      <c r="B191" s="196">
        <v>5</v>
      </c>
      <c r="C191" s="206" t="s">
        <v>189</v>
      </c>
      <c r="D191" s="207" t="s">
        <v>36</v>
      </c>
      <c r="E191" s="207">
        <v>0.45</v>
      </c>
      <c r="F191" s="18">
        <v>0.03</v>
      </c>
      <c r="G191" s="198">
        <f t="shared" si="12"/>
        <v>21000</v>
      </c>
      <c r="H191" s="353">
        <f>VLOOKUP(C191,[1]TB!$B$3:$D$503,3,0)</f>
        <v>52500000</v>
      </c>
      <c r="I191" s="198">
        <f t="shared" si="13"/>
        <v>630</v>
      </c>
      <c r="J191" s="354">
        <f>VLOOKUP(C191,[1]TB!$B$3:$E$205,4,0)</f>
        <v>5</v>
      </c>
    </row>
    <row r="192" spans="1:10" ht="19.5" customHeight="1" x14ac:dyDescent="0.35">
      <c r="A192" s="226"/>
      <c r="B192" s="196">
        <v>6</v>
      </c>
      <c r="C192" s="206" t="s">
        <v>644</v>
      </c>
      <c r="D192" s="207" t="s">
        <v>36</v>
      </c>
      <c r="E192" s="196">
        <v>0.18</v>
      </c>
      <c r="F192" s="18">
        <v>0.2</v>
      </c>
      <c r="G192" s="198">
        <f t="shared" si="12"/>
        <v>39600</v>
      </c>
      <c r="H192" s="353">
        <f>VLOOKUP(C192,[1]TB!$B$3:$D$503,3,0)</f>
        <v>99000000</v>
      </c>
      <c r="I192" s="198">
        <f t="shared" si="13"/>
        <v>7920</v>
      </c>
      <c r="J192" s="354">
        <f>VLOOKUP(C192,[1]TB!$B$3:$E$205,4,0)</f>
        <v>5</v>
      </c>
    </row>
    <row r="193" spans="1:10" ht="19.5" customHeight="1" x14ac:dyDescent="0.35">
      <c r="A193" s="226"/>
      <c r="B193" s="196">
        <v>7</v>
      </c>
      <c r="C193" s="206" t="s">
        <v>175</v>
      </c>
      <c r="D193" s="207" t="s">
        <v>28</v>
      </c>
      <c r="E193" s="207">
        <v>2.2000000000000002</v>
      </c>
      <c r="F193" s="18">
        <v>6.7000000000000004E-2</v>
      </c>
      <c r="G193" s="198">
        <f t="shared" si="12"/>
        <v>3800</v>
      </c>
      <c r="H193" s="353">
        <f>VLOOKUP(C193,[1]TB!$B$3:$D$503,3,0)</f>
        <v>9500000</v>
      </c>
      <c r="I193" s="198">
        <f t="shared" si="13"/>
        <v>254.60000000000002</v>
      </c>
      <c r="J193" s="354">
        <f>VLOOKUP(C193,[1]TB!$B$3:$E$205,4,0)</f>
        <v>5</v>
      </c>
    </row>
    <row r="194" spans="1:10" ht="19.5" customHeight="1" x14ac:dyDescent="0.35">
      <c r="A194" s="226"/>
      <c r="B194" s="196">
        <v>8</v>
      </c>
      <c r="C194" s="206" t="s">
        <v>52</v>
      </c>
      <c r="D194" s="207" t="s">
        <v>53</v>
      </c>
      <c r="E194" s="207"/>
      <c r="F194" s="211">
        <v>7.2789999999999999</v>
      </c>
      <c r="G194" s="198"/>
      <c r="H194" s="353">
        <f>VLOOKUP(C194,[1]TB!$B$3:$D$503,3,0)</f>
        <v>1838</v>
      </c>
      <c r="I194" s="198">
        <f>H194*F194</f>
        <v>13378.802</v>
      </c>
      <c r="J194" s="354">
        <f>VLOOKUP(C194,[1]TB!$B$3:$E$205,4,0)</f>
        <v>0</v>
      </c>
    </row>
    <row r="195" spans="1:10" ht="19.5" customHeight="1" x14ac:dyDescent="0.35">
      <c r="A195" s="226">
        <v>17</v>
      </c>
      <c r="B195" s="202" t="s">
        <v>409</v>
      </c>
      <c r="C195" s="210" t="s">
        <v>458</v>
      </c>
      <c r="D195" s="199"/>
      <c r="E195" s="199"/>
      <c r="F195" s="203"/>
      <c r="G195" s="198"/>
      <c r="H195" s="208"/>
      <c r="I195" s="230">
        <f>SUM(I196:I202)</f>
        <v>43003.4</v>
      </c>
      <c r="J195" s="354"/>
    </row>
    <row r="196" spans="1:10" ht="19.5" customHeight="1" x14ac:dyDescent="0.35">
      <c r="A196" s="226"/>
      <c r="B196" s="196">
        <v>1</v>
      </c>
      <c r="C196" s="206" t="s">
        <v>173</v>
      </c>
      <c r="D196" s="207" t="s">
        <v>28</v>
      </c>
      <c r="E196" s="207">
        <v>0.3</v>
      </c>
      <c r="F196" s="18">
        <v>0.35</v>
      </c>
      <c r="G196" s="198">
        <f t="shared" si="12"/>
        <v>6208</v>
      </c>
      <c r="H196" s="353">
        <f>VLOOKUP(C196,[1]TB!$B$3:$D$503,3,0)</f>
        <v>31040000</v>
      </c>
      <c r="I196" s="198">
        <f t="shared" si="13"/>
        <v>2172.7999999999997</v>
      </c>
      <c r="J196" s="354">
        <f>VLOOKUP(C196,[1]TB!$B$3:$E$205,4,0)</f>
        <v>10</v>
      </c>
    </row>
    <row r="197" spans="1:10" ht="19.5" customHeight="1" x14ac:dyDescent="0.35">
      <c r="A197" s="226"/>
      <c r="B197" s="196">
        <v>2</v>
      </c>
      <c r="C197" s="206" t="s">
        <v>632</v>
      </c>
      <c r="D197" s="18" t="s">
        <v>28</v>
      </c>
      <c r="E197" s="207">
        <v>0.16</v>
      </c>
      <c r="F197" s="18">
        <v>0.04</v>
      </c>
      <c r="G197" s="198">
        <f t="shared" si="12"/>
        <v>14700</v>
      </c>
      <c r="H197" s="353">
        <f>VLOOKUP(C197,[1]TB!$B$3:$D$503,3,0)</f>
        <v>58800000</v>
      </c>
      <c r="I197" s="198">
        <f>G197*F197</f>
        <v>588</v>
      </c>
      <c r="J197" s="354">
        <f>VLOOKUP(C197,[1]TB!$B$3:$E$205,4,0)</f>
        <v>8</v>
      </c>
    </row>
    <row r="198" spans="1:10" ht="19.5" customHeight="1" x14ac:dyDescent="0.35">
      <c r="A198" s="226"/>
      <c r="B198" s="196">
        <v>3</v>
      </c>
      <c r="C198" s="17" t="s">
        <v>190</v>
      </c>
      <c r="D198" s="18" t="s">
        <v>28</v>
      </c>
      <c r="E198" s="207">
        <v>0.16</v>
      </c>
      <c r="F198" s="18">
        <v>0.4</v>
      </c>
      <c r="G198" s="198">
        <f t="shared" si="12"/>
        <v>23520</v>
      </c>
      <c r="H198" s="353">
        <f>VLOOKUP(C198,[1]TB!$B$3:$D$503,3,0)</f>
        <v>58800000</v>
      </c>
      <c r="I198" s="198">
        <f>G198*F198</f>
        <v>9408</v>
      </c>
      <c r="J198" s="354">
        <f>VLOOKUP(C198,[1]TB!$B$3:$E$205,4,0)</f>
        <v>5</v>
      </c>
    </row>
    <row r="199" spans="1:10" ht="19.5" customHeight="1" x14ac:dyDescent="0.35">
      <c r="A199" s="226"/>
      <c r="B199" s="196">
        <v>4</v>
      </c>
      <c r="C199" s="206" t="s">
        <v>631</v>
      </c>
      <c r="D199" s="207" t="s">
        <v>28</v>
      </c>
      <c r="E199" s="207">
        <v>0.06</v>
      </c>
      <c r="F199" s="18">
        <v>0.2</v>
      </c>
      <c r="G199" s="198">
        <f t="shared" si="12"/>
        <v>7500</v>
      </c>
      <c r="H199" s="353">
        <f>VLOOKUP(C199,[1]TB!$B$3:$D$503,3,0)</f>
        <v>30000000</v>
      </c>
      <c r="I199" s="198">
        <f t="shared" si="13"/>
        <v>1500</v>
      </c>
      <c r="J199" s="354">
        <f>VLOOKUP(C199,[1]TB!$B$3:$E$205,4,0)</f>
        <v>8</v>
      </c>
    </row>
    <row r="200" spans="1:10" ht="19.5" customHeight="1" x14ac:dyDescent="0.35">
      <c r="A200" s="226"/>
      <c r="B200" s="196">
        <v>5</v>
      </c>
      <c r="C200" s="206" t="s">
        <v>186</v>
      </c>
      <c r="D200" s="207" t="s">
        <v>36</v>
      </c>
      <c r="E200" s="207">
        <v>3</v>
      </c>
      <c r="F200" s="18">
        <v>0.1</v>
      </c>
      <c r="G200" s="198">
        <f t="shared" si="12"/>
        <v>211600</v>
      </c>
      <c r="H200" s="353">
        <f>VLOOKUP(C200,[1]TB!$B$3:$D$503,3,0)</f>
        <v>1058000000</v>
      </c>
      <c r="I200" s="198">
        <f t="shared" si="13"/>
        <v>21160</v>
      </c>
      <c r="J200" s="354">
        <f>VLOOKUP(C200,[1]TB!$B$3:$E$205,4,0)</f>
        <v>10</v>
      </c>
    </row>
    <row r="201" spans="1:10" ht="19.5" customHeight="1" x14ac:dyDescent="0.35">
      <c r="A201" s="226"/>
      <c r="B201" s="196">
        <v>6</v>
      </c>
      <c r="C201" s="206" t="s">
        <v>644</v>
      </c>
      <c r="D201" s="207" t="s">
        <v>36</v>
      </c>
      <c r="E201" s="196">
        <v>0.18</v>
      </c>
      <c r="F201" s="18">
        <v>0.2</v>
      </c>
      <c r="G201" s="198">
        <f t="shared" si="12"/>
        <v>39600</v>
      </c>
      <c r="H201" s="353">
        <f>VLOOKUP(C201,[1]TB!$B$3:$D$503,3,0)</f>
        <v>99000000</v>
      </c>
      <c r="I201" s="198">
        <f t="shared" si="13"/>
        <v>7920</v>
      </c>
      <c r="J201" s="354">
        <f>VLOOKUP(C201,[1]TB!$B$3:$E$205,4,0)</f>
        <v>5</v>
      </c>
    </row>
    <row r="202" spans="1:10" ht="19.5" customHeight="1" x14ac:dyDescent="0.35">
      <c r="A202" s="226"/>
      <c r="B202" s="196">
        <v>7</v>
      </c>
      <c r="C202" s="206" t="s">
        <v>175</v>
      </c>
      <c r="D202" s="207" t="s">
        <v>28</v>
      </c>
      <c r="E202" s="207">
        <v>2.2000000000000002</v>
      </c>
      <c r="F202" s="18">
        <v>6.7000000000000004E-2</v>
      </c>
      <c r="G202" s="198">
        <f t="shared" si="12"/>
        <v>3800</v>
      </c>
      <c r="H202" s="353">
        <f>VLOOKUP(C202,[1]TB!$B$3:$D$503,3,0)</f>
        <v>9500000</v>
      </c>
      <c r="I202" s="198">
        <f t="shared" si="13"/>
        <v>254.60000000000002</v>
      </c>
      <c r="J202" s="354">
        <f>VLOOKUP(C202,[1]TB!$B$3:$E$205,4,0)</f>
        <v>5</v>
      </c>
    </row>
    <row r="203" spans="1:10" ht="19.5" customHeight="1" x14ac:dyDescent="0.35">
      <c r="A203" s="226"/>
      <c r="B203" s="196">
        <v>8</v>
      </c>
      <c r="C203" s="206" t="s">
        <v>52</v>
      </c>
      <c r="D203" s="207" t="s">
        <v>53</v>
      </c>
      <c r="E203" s="207"/>
      <c r="F203" s="211">
        <v>8.7010000000000005</v>
      </c>
      <c r="G203" s="198"/>
      <c r="H203" s="353">
        <f>VLOOKUP(C203,[1]TB!$B$3:$D$503,3,0)</f>
        <v>1838</v>
      </c>
      <c r="I203" s="198">
        <f>H203*F203</f>
        <v>15992.438</v>
      </c>
      <c r="J203" s="354">
        <f>VLOOKUP(C203,[1]TB!$B$3:$E$205,4,0)</f>
        <v>0</v>
      </c>
    </row>
    <row r="204" spans="1:10" ht="19.5" customHeight="1" x14ac:dyDescent="0.35">
      <c r="A204" s="226">
        <v>18</v>
      </c>
      <c r="B204" s="202" t="s">
        <v>410</v>
      </c>
      <c r="C204" s="195" t="s">
        <v>221</v>
      </c>
      <c r="D204" s="190"/>
      <c r="E204" s="190"/>
      <c r="F204" s="214"/>
      <c r="G204" s="198"/>
      <c r="H204" s="208"/>
      <c r="I204" s="230">
        <f>SUM(I205:I211)</f>
        <v>23858.399999999998</v>
      </c>
      <c r="J204" s="354"/>
    </row>
    <row r="205" spans="1:10" ht="19.5" customHeight="1" x14ac:dyDescent="0.35">
      <c r="A205" s="226"/>
      <c r="B205" s="196">
        <v>1</v>
      </c>
      <c r="C205" s="206" t="s">
        <v>173</v>
      </c>
      <c r="D205" s="207" t="s">
        <v>28</v>
      </c>
      <c r="E205" s="207">
        <v>0.3</v>
      </c>
      <c r="F205" s="18">
        <v>0.35</v>
      </c>
      <c r="G205" s="198">
        <f t="shared" si="12"/>
        <v>6208</v>
      </c>
      <c r="H205" s="353">
        <f>VLOOKUP(C205,[1]TB!$B$3:$D$503,3,0)</f>
        <v>31040000</v>
      </c>
      <c r="I205" s="198">
        <f t="shared" si="13"/>
        <v>2172.7999999999997</v>
      </c>
      <c r="J205" s="354">
        <f>VLOOKUP(C205,[1]TB!$B$3:$E$205,4,0)</f>
        <v>10</v>
      </c>
    </row>
    <row r="206" spans="1:10" ht="19.5" customHeight="1" x14ac:dyDescent="0.35">
      <c r="A206" s="226"/>
      <c r="B206" s="196">
        <v>2</v>
      </c>
      <c r="C206" s="206" t="s">
        <v>632</v>
      </c>
      <c r="D206" s="18" t="s">
        <v>28</v>
      </c>
      <c r="E206" s="207">
        <v>0.16</v>
      </c>
      <c r="F206" s="18">
        <v>0.04</v>
      </c>
      <c r="G206" s="198">
        <f t="shared" si="12"/>
        <v>14700</v>
      </c>
      <c r="H206" s="353">
        <f>VLOOKUP(C206,[1]TB!$B$3:$D$503,3,0)</f>
        <v>58800000</v>
      </c>
      <c r="I206" s="198">
        <f>G206*F206</f>
        <v>588</v>
      </c>
      <c r="J206" s="354">
        <f>VLOOKUP(C206,[1]TB!$B$3:$E$205,4,0)</f>
        <v>8</v>
      </c>
    </row>
    <row r="207" spans="1:10" ht="19.5" customHeight="1" x14ac:dyDescent="0.35">
      <c r="A207" s="226"/>
      <c r="B207" s="196">
        <v>3</v>
      </c>
      <c r="C207" s="17" t="s">
        <v>190</v>
      </c>
      <c r="D207" s="18" t="s">
        <v>28</v>
      </c>
      <c r="E207" s="207">
        <v>0.16</v>
      </c>
      <c r="F207" s="18">
        <v>0.4</v>
      </c>
      <c r="G207" s="198">
        <f t="shared" si="12"/>
        <v>23520</v>
      </c>
      <c r="H207" s="353">
        <f>VLOOKUP(C207,[1]TB!$B$3:$D$503,3,0)</f>
        <v>58800000</v>
      </c>
      <c r="I207" s="198">
        <f>G207*F207</f>
        <v>9408</v>
      </c>
      <c r="J207" s="354">
        <f>VLOOKUP(C207,[1]TB!$B$3:$E$205,4,0)</f>
        <v>5</v>
      </c>
    </row>
    <row r="208" spans="1:10" ht="19.5" customHeight="1" x14ac:dyDescent="0.35">
      <c r="A208" s="226"/>
      <c r="B208" s="196">
        <v>4</v>
      </c>
      <c r="C208" s="206" t="s">
        <v>631</v>
      </c>
      <c r="D208" s="207" t="s">
        <v>28</v>
      </c>
      <c r="E208" s="207">
        <v>0.06</v>
      </c>
      <c r="F208" s="18">
        <v>0.2</v>
      </c>
      <c r="G208" s="198">
        <f t="shared" si="12"/>
        <v>7500</v>
      </c>
      <c r="H208" s="353">
        <f>VLOOKUP(C208,[1]TB!$B$3:$D$503,3,0)</f>
        <v>30000000</v>
      </c>
      <c r="I208" s="198">
        <f t="shared" si="13"/>
        <v>1500</v>
      </c>
      <c r="J208" s="354">
        <f>VLOOKUP(C208,[1]TB!$B$3:$E$205,4,0)</f>
        <v>8</v>
      </c>
    </row>
    <row r="209" spans="1:10" ht="19.5" customHeight="1" x14ac:dyDescent="0.35">
      <c r="A209" s="226"/>
      <c r="B209" s="196">
        <v>5</v>
      </c>
      <c r="C209" s="206" t="s">
        <v>181</v>
      </c>
      <c r="D209" s="207" t="s">
        <v>36</v>
      </c>
      <c r="E209" s="207">
        <v>0.55000000000000004</v>
      </c>
      <c r="F209" s="18">
        <v>0.1</v>
      </c>
      <c r="G209" s="198">
        <f t="shared" si="12"/>
        <v>20150</v>
      </c>
      <c r="H209" s="353">
        <f>VLOOKUP(C209,[1]TB!$B$3:$D$503,3,0)</f>
        <v>100750000</v>
      </c>
      <c r="I209" s="198">
        <f t="shared" si="13"/>
        <v>2015</v>
      </c>
      <c r="J209" s="354">
        <f>VLOOKUP(C209,[1]TB!$B$3:$E$205,4,0)</f>
        <v>10</v>
      </c>
    </row>
    <row r="210" spans="1:10" ht="19.5" customHeight="1" x14ac:dyDescent="0.35">
      <c r="A210" s="226"/>
      <c r="B210" s="196">
        <v>6</v>
      </c>
      <c r="C210" s="206" t="s">
        <v>644</v>
      </c>
      <c r="D210" s="207" t="s">
        <v>36</v>
      </c>
      <c r="E210" s="196">
        <v>0.18</v>
      </c>
      <c r="F210" s="18">
        <v>0.2</v>
      </c>
      <c r="G210" s="198">
        <f t="shared" si="12"/>
        <v>39600</v>
      </c>
      <c r="H210" s="353">
        <f>VLOOKUP(C210,[1]TB!$B$3:$D$503,3,0)</f>
        <v>99000000</v>
      </c>
      <c r="I210" s="198">
        <f t="shared" si="13"/>
        <v>7920</v>
      </c>
      <c r="J210" s="354">
        <f>VLOOKUP(C210,[1]TB!$B$3:$E$205,4,0)</f>
        <v>5</v>
      </c>
    </row>
    <row r="211" spans="1:10" ht="19.5" customHeight="1" x14ac:dyDescent="0.35">
      <c r="A211" s="226"/>
      <c r="B211" s="196">
        <v>7</v>
      </c>
      <c r="C211" s="206" t="s">
        <v>175</v>
      </c>
      <c r="D211" s="207" t="s">
        <v>28</v>
      </c>
      <c r="E211" s="207">
        <v>2.2000000000000002</v>
      </c>
      <c r="F211" s="18">
        <v>6.7000000000000004E-2</v>
      </c>
      <c r="G211" s="198">
        <f t="shared" si="12"/>
        <v>3800</v>
      </c>
      <c r="H211" s="353">
        <f>VLOOKUP(C211,[1]TB!$B$3:$D$503,3,0)</f>
        <v>9500000</v>
      </c>
      <c r="I211" s="198">
        <f t="shared" si="13"/>
        <v>254.60000000000002</v>
      </c>
      <c r="J211" s="354">
        <f>VLOOKUP(C211,[1]TB!$B$3:$E$205,4,0)</f>
        <v>5</v>
      </c>
    </row>
    <row r="212" spans="1:10" ht="19.5" customHeight="1" x14ac:dyDescent="0.35">
      <c r="A212" s="226"/>
      <c r="B212" s="196">
        <v>8</v>
      </c>
      <c r="C212" s="206" t="s">
        <v>52</v>
      </c>
      <c r="D212" s="207" t="s">
        <v>53</v>
      </c>
      <c r="E212" s="207"/>
      <c r="F212" s="94">
        <v>6.1680000000000001</v>
      </c>
      <c r="G212" s="198"/>
      <c r="H212" s="353">
        <f>VLOOKUP(C212,[1]TB!$B$3:$D$503,3,0)</f>
        <v>1838</v>
      </c>
      <c r="I212" s="198">
        <f>H212*F212</f>
        <v>11336.784</v>
      </c>
      <c r="J212" s="354">
        <f>VLOOKUP(C212,[1]TB!$B$3:$E$205,4,0)</f>
        <v>0</v>
      </c>
    </row>
    <row r="213" spans="1:10" ht="19.5" customHeight="1" x14ac:dyDescent="0.35">
      <c r="A213" s="226">
        <v>19</v>
      </c>
      <c r="B213" s="202" t="s">
        <v>411</v>
      </c>
      <c r="C213" s="210" t="s">
        <v>459</v>
      </c>
      <c r="D213" s="199"/>
      <c r="E213" s="199"/>
      <c r="F213" s="203"/>
      <c r="G213" s="198"/>
      <c r="H213" s="208"/>
      <c r="I213" s="230">
        <f>SUM(I214:I219)</f>
        <v>21843.399999999998</v>
      </c>
      <c r="J213" s="354"/>
    </row>
    <row r="214" spans="1:10" ht="19.5" customHeight="1" x14ac:dyDescent="0.35">
      <c r="A214" s="226"/>
      <c r="B214" s="196">
        <v>1</v>
      </c>
      <c r="C214" s="206" t="s">
        <v>173</v>
      </c>
      <c r="D214" s="207" t="s">
        <v>28</v>
      </c>
      <c r="E214" s="207">
        <v>0.3</v>
      </c>
      <c r="F214" s="18">
        <v>0.35</v>
      </c>
      <c r="G214" s="198">
        <f t="shared" si="12"/>
        <v>6208</v>
      </c>
      <c r="H214" s="353">
        <f>VLOOKUP(C214,[1]TB!$B$3:$D$503,3,0)</f>
        <v>31040000</v>
      </c>
      <c r="I214" s="198">
        <f t="shared" si="13"/>
        <v>2172.7999999999997</v>
      </c>
      <c r="J214" s="354">
        <f>VLOOKUP(C214,[1]TB!$B$3:$E$205,4,0)</f>
        <v>10</v>
      </c>
    </row>
    <row r="215" spans="1:10" ht="19.5" customHeight="1" x14ac:dyDescent="0.35">
      <c r="A215" s="226"/>
      <c r="B215" s="196">
        <v>2</v>
      </c>
      <c r="C215" s="206" t="s">
        <v>632</v>
      </c>
      <c r="D215" s="207" t="s">
        <v>28</v>
      </c>
      <c r="E215" s="207">
        <v>0.16</v>
      </c>
      <c r="F215" s="18">
        <v>0.04</v>
      </c>
      <c r="G215" s="198">
        <f t="shared" si="12"/>
        <v>14700</v>
      </c>
      <c r="H215" s="353">
        <f>VLOOKUP(C215,[1]TB!$B$3:$D$503,3,0)</f>
        <v>58800000</v>
      </c>
      <c r="I215" s="198">
        <f t="shared" si="13"/>
        <v>588</v>
      </c>
      <c r="J215" s="354">
        <f>VLOOKUP(C215,[1]TB!$B$3:$E$205,4,0)</f>
        <v>8</v>
      </c>
    </row>
    <row r="216" spans="1:10" ht="19.5" customHeight="1" x14ac:dyDescent="0.35">
      <c r="A216" s="226"/>
      <c r="B216" s="196">
        <v>3</v>
      </c>
      <c r="C216" s="206" t="s">
        <v>190</v>
      </c>
      <c r="D216" s="207" t="s">
        <v>28</v>
      </c>
      <c r="E216" s="207">
        <v>0.16</v>
      </c>
      <c r="F216" s="18">
        <v>0.4</v>
      </c>
      <c r="G216" s="198">
        <f t="shared" si="12"/>
        <v>23520</v>
      </c>
      <c r="H216" s="353">
        <f>VLOOKUP(C216,[1]TB!$B$3:$D$503,3,0)</f>
        <v>58800000</v>
      </c>
      <c r="I216" s="198">
        <f t="shared" si="13"/>
        <v>9408</v>
      </c>
      <c r="J216" s="354">
        <f>VLOOKUP(C216,[1]TB!$B$3:$E$205,4,0)</f>
        <v>5</v>
      </c>
    </row>
    <row r="217" spans="1:10" ht="19.5" customHeight="1" x14ac:dyDescent="0.35">
      <c r="A217" s="226"/>
      <c r="B217" s="196">
        <v>4</v>
      </c>
      <c r="C217" s="206" t="s">
        <v>631</v>
      </c>
      <c r="D217" s="207" t="s">
        <v>28</v>
      </c>
      <c r="E217" s="207">
        <v>0.06</v>
      </c>
      <c r="F217" s="18">
        <v>0.2</v>
      </c>
      <c r="G217" s="198">
        <f t="shared" si="12"/>
        <v>7500</v>
      </c>
      <c r="H217" s="353">
        <f>VLOOKUP(C217,[1]TB!$B$3:$D$503,3,0)</f>
        <v>30000000</v>
      </c>
      <c r="I217" s="198">
        <f t="shared" si="13"/>
        <v>1500</v>
      </c>
      <c r="J217" s="354">
        <f>VLOOKUP(C217,[1]TB!$B$3:$E$205,4,0)</f>
        <v>8</v>
      </c>
    </row>
    <row r="218" spans="1:10" ht="19.5" customHeight="1" x14ac:dyDescent="0.35">
      <c r="A218" s="226"/>
      <c r="B218" s="196">
        <v>6</v>
      </c>
      <c r="C218" s="206" t="s">
        <v>644</v>
      </c>
      <c r="D218" s="207" t="s">
        <v>36</v>
      </c>
      <c r="E218" s="196">
        <v>0.18</v>
      </c>
      <c r="F218" s="18">
        <v>0.2</v>
      </c>
      <c r="G218" s="198">
        <f t="shared" si="12"/>
        <v>39600</v>
      </c>
      <c r="H218" s="353">
        <f>VLOOKUP(C218,[1]TB!$B$3:$D$503,3,0)</f>
        <v>99000000</v>
      </c>
      <c r="I218" s="198">
        <f t="shared" si="13"/>
        <v>7920</v>
      </c>
      <c r="J218" s="354">
        <f>VLOOKUP(C218,[1]TB!$B$3:$E$205,4,0)</f>
        <v>5</v>
      </c>
    </row>
    <row r="219" spans="1:10" ht="19.5" customHeight="1" x14ac:dyDescent="0.35">
      <c r="A219" s="226"/>
      <c r="B219" s="196">
        <v>7</v>
      </c>
      <c r="C219" s="206" t="s">
        <v>175</v>
      </c>
      <c r="D219" s="207" t="s">
        <v>28</v>
      </c>
      <c r="E219" s="207">
        <v>2.2000000000000002</v>
      </c>
      <c r="F219" s="18">
        <v>6.7000000000000004E-2</v>
      </c>
      <c r="G219" s="198">
        <f t="shared" si="12"/>
        <v>3800</v>
      </c>
      <c r="H219" s="353">
        <f>VLOOKUP(C219,[1]TB!$B$3:$D$503,3,0)</f>
        <v>9500000</v>
      </c>
      <c r="I219" s="198">
        <f t="shared" si="13"/>
        <v>254.60000000000002</v>
      </c>
      <c r="J219" s="354">
        <f>VLOOKUP(C219,[1]TB!$B$3:$E$205,4,0)</f>
        <v>5</v>
      </c>
    </row>
    <row r="220" spans="1:10" ht="19.5" customHeight="1" x14ac:dyDescent="0.35">
      <c r="A220" s="226"/>
      <c r="B220" s="196">
        <v>8</v>
      </c>
      <c r="C220" s="206" t="s">
        <v>52</v>
      </c>
      <c r="D220" s="207" t="s">
        <v>53</v>
      </c>
      <c r="E220" s="207"/>
      <c r="F220" s="211">
        <v>5.2569999999999997</v>
      </c>
      <c r="G220" s="198"/>
      <c r="H220" s="353">
        <f>VLOOKUP(C220,[1]TB!$B$3:$D$503,3,0)</f>
        <v>1838</v>
      </c>
      <c r="I220" s="198">
        <f>H220*F220</f>
        <v>9662.366</v>
      </c>
      <c r="J220" s="354">
        <f>VLOOKUP(C220,[1]TB!$B$3:$E$205,4,0)</f>
        <v>0</v>
      </c>
    </row>
    <row r="221" spans="1:10" ht="19.5" customHeight="1" x14ac:dyDescent="0.35">
      <c r="A221" s="226">
        <v>20</v>
      </c>
      <c r="B221" s="202" t="s">
        <v>412</v>
      </c>
      <c r="C221" s="210" t="s">
        <v>460</v>
      </c>
      <c r="D221" s="199"/>
      <c r="E221" s="199"/>
      <c r="F221" s="203"/>
      <c r="G221" s="198"/>
      <c r="H221" s="208"/>
      <c r="I221" s="217">
        <f>SUM(I222:I227)</f>
        <v>28311.399999999998</v>
      </c>
      <c r="J221" s="354"/>
    </row>
    <row r="222" spans="1:10" ht="19.5" customHeight="1" x14ac:dyDescent="0.35">
      <c r="A222" s="226"/>
      <c r="B222" s="196">
        <v>1</v>
      </c>
      <c r="C222" s="206" t="s">
        <v>173</v>
      </c>
      <c r="D222" s="207" t="s">
        <v>28</v>
      </c>
      <c r="E222" s="207">
        <v>0.3</v>
      </c>
      <c r="F222" s="18">
        <v>0.35</v>
      </c>
      <c r="G222" s="198">
        <f>H222/(J222*$J$82)</f>
        <v>6208</v>
      </c>
      <c r="H222" s="353">
        <f>VLOOKUP(C222,[1]TB!$B$3:$D$503,3,0)</f>
        <v>31040000</v>
      </c>
      <c r="I222" s="198">
        <f t="shared" si="13"/>
        <v>2172.7999999999997</v>
      </c>
      <c r="J222" s="354">
        <f>VLOOKUP(C222,[1]TB!$B$3:$E$205,4,0)</f>
        <v>10</v>
      </c>
    </row>
    <row r="223" spans="1:10" ht="19.5" customHeight="1" x14ac:dyDescent="0.35">
      <c r="A223" s="226"/>
      <c r="B223" s="196">
        <v>2</v>
      </c>
      <c r="C223" s="206" t="s">
        <v>632</v>
      </c>
      <c r="D223" s="207" t="s">
        <v>28</v>
      </c>
      <c r="E223" s="207">
        <v>0.16</v>
      </c>
      <c r="F223" s="211">
        <v>0.48</v>
      </c>
      <c r="G223" s="198">
        <f t="shared" ref="G223:G227" si="14">H223/(J223*$J$82)</f>
        <v>14700</v>
      </c>
      <c r="H223" s="353">
        <f>VLOOKUP(C223,[1]TB!$B$3:$D$503,3,0)</f>
        <v>58800000</v>
      </c>
      <c r="I223" s="198">
        <f t="shared" si="13"/>
        <v>7056</v>
      </c>
      <c r="J223" s="354">
        <f>VLOOKUP(C223,[1]TB!$B$3:$E$205,4,0)</f>
        <v>8</v>
      </c>
    </row>
    <row r="224" spans="1:10" ht="19.5" customHeight="1" x14ac:dyDescent="0.35">
      <c r="A224" s="226"/>
      <c r="B224" s="196">
        <v>3</v>
      </c>
      <c r="C224" s="206" t="s">
        <v>190</v>
      </c>
      <c r="D224" s="207" t="s">
        <v>28</v>
      </c>
      <c r="E224" s="207">
        <v>0.16</v>
      </c>
      <c r="F224" s="18">
        <v>0.4</v>
      </c>
      <c r="G224" s="198">
        <f t="shared" si="14"/>
        <v>23520</v>
      </c>
      <c r="H224" s="353">
        <f>VLOOKUP(C224,[1]TB!$B$3:$D$503,3,0)</f>
        <v>58800000</v>
      </c>
      <c r="I224" s="198">
        <f t="shared" si="13"/>
        <v>9408</v>
      </c>
      <c r="J224" s="354">
        <f>VLOOKUP(C224,[1]TB!$B$3:$E$205,4,0)</f>
        <v>5</v>
      </c>
    </row>
    <row r="225" spans="1:11" ht="19.5" customHeight="1" x14ac:dyDescent="0.35">
      <c r="A225" s="226"/>
      <c r="B225" s="196">
        <v>4</v>
      </c>
      <c r="C225" s="206" t="s">
        <v>631</v>
      </c>
      <c r="D225" s="207" t="s">
        <v>28</v>
      </c>
      <c r="E225" s="207">
        <v>0.06</v>
      </c>
      <c r="F225" s="18">
        <v>0.2</v>
      </c>
      <c r="G225" s="198">
        <f t="shared" si="14"/>
        <v>7500</v>
      </c>
      <c r="H225" s="353">
        <f>VLOOKUP(C225,[1]TB!$B$3:$D$503,3,0)</f>
        <v>30000000</v>
      </c>
      <c r="I225" s="198">
        <f t="shared" si="13"/>
        <v>1500</v>
      </c>
      <c r="J225" s="354">
        <f>VLOOKUP(C225,[1]TB!$B$3:$E$205,4,0)</f>
        <v>8</v>
      </c>
    </row>
    <row r="226" spans="1:11" ht="19.5" customHeight="1" x14ac:dyDescent="0.35">
      <c r="A226" s="226"/>
      <c r="B226" s="196">
        <v>5</v>
      </c>
      <c r="C226" s="206" t="s">
        <v>644</v>
      </c>
      <c r="D226" s="207" t="s">
        <v>36</v>
      </c>
      <c r="E226" s="196">
        <v>0.18</v>
      </c>
      <c r="F226" s="18">
        <v>0.2</v>
      </c>
      <c r="G226" s="198">
        <f t="shared" si="14"/>
        <v>39600</v>
      </c>
      <c r="H226" s="353">
        <f>VLOOKUP(C226,[1]TB!$B$3:$D$503,3,0)</f>
        <v>99000000</v>
      </c>
      <c r="I226" s="198">
        <f t="shared" si="13"/>
        <v>7920</v>
      </c>
      <c r="J226" s="354">
        <f>VLOOKUP(C226,[1]TB!$B$3:$E$205,4,0)</f>
        <v>5</v>
      </c>
    </row>
    <row r="227" spans="1:11" ht="19.5" customHeight="1" x14ac:dyDescent="0.35">
      <c r="A227" s="226"/>
      <c r="B227" s="196">
        <v>6</v>
      </c>
      <c r="C227" s="206" t="s">
        <v>175</v>
      </c>
      <c r="D227" s="207" t="s">
        <v>28</v>
      </c>
      <c r="E227" s="207">
        <v>2.2000000000000002</v>
      </c>
      <c r="F227" s="18">
        <v>6.7000000000000004E-2</v>
      </c>
      <c r="G227" s="198">
        <f t="shared" si="14"/>
        <v>3800</v>
      </c>
      <c r="H227" s="353">
        <f>VLOOKUP(C227,[1]TB!$B$3:$D$503,3,0)</f>
        <v>9500000</v>
      </c>
      <c r="I227" s="198">
        <f t="shared" ref="I227:I317" si="15">G227*F227</f>
        <v>254.60000000000002</v>
      </c>
      <c r="J227" s="354">
        <f>VLOOKUP(C227,[1]TB!$B$3:$E$205,4,0)</f>
        <v>5</v>
      </c>
    </row>
    <row r="228" spans="1:11" s="219" customFormat="1" ht="26.25" customHeight="1" x14ac:dyDescent="0.35">
      <c r="A228" s="226"/>
      <c r="B228" s="196">
        <v>7</v>
      </c>
      <c r="C228" s="206" t="s">
        <v>52</v>
      </c>
      <c r="D228" s="207" t="s">
        <v>53</v>
      </c>
      <c r="E228" s="207"/>
      <c r="F228" s="211">
        <v>3.2570000000000001</v>
      </c>
      <c r="G228" s="198"/>
      <c r="H228" s="353">
        <f>VLOOKUP(C228,[1]TB!$B$3:$D$503,3,0)</f>
        <v>1838</v>
      </c>
      <c r="I228" s="198">
        <f>H228*F228</f>
        <v>5986.366</v>
      </c>
      <c r="J228" s="354">
        <f>VLOOKUP(C228,[1]TB!$B$3:$E$205,4,0)</f>
        <v>0</v>
      </c>
      <c r="K228" s="218"/>
    </row>
    <row r="229" spans="1:11" s="219" customFormat="1" ht="21.75" customHeight="1" x14ac:dyDescent="0.35">
      <c r="A229" s="226">
        <v>21</v>
      </c>
      <c r="B229" s="202" t="s">
        <v>714</v>
      </c>
      <c r="C229" s="385" t="s">
        <v>740</v>
      </c>
      <c r="D229" s="199"/>
      <c r="E229" s="199"/>
      <c r="F229" s="203"/>
      <c r="G229" s="198"/>
      <c r="H229" s="208"/>
      <c r="I229" s="230">
        <f>SUM(I230:I239)</f>
        <v>63505.279999999999</v>
      </c>
      <c r="J229" s="354"/>
    </row>
    <row r="230" spans="1:11" s="219" customFormat="1" ht="21.75" customHeight="1" x14ac:dyDescent="0.35">
      <c r="A230" s="226"/>
      <c r="B230" s="196">
        <v>1</v>
      </c>
      <c r="C230" s="206" t="s">
        <v>179</v>
      </c>
      <c r="D230" s="207" t="s">
        <v>28</v>
      </c>
      <c r="E230" s="207">
        <v>0.1</v>
      </c>
      <c r="F230" s="18">
        <v>0.2</v>
      </c>
      <c r="G230" s="198">
        <f>H230/(J230*$J$82)</f>
        <v>57960</v>
      </c>
      <c r="H230" s="353">
        <f>VLOOKUP(C230,[1]TB!$B$3:$D$503,3,0)</f>
        <v>144900000</v>
      </c>
      <c r="I230" s="198">
        <f t="shared" si="15"/>
        <v>11592</v>
      </c>
      <c r="J230" s="354">
        <f>VLOOKUP(C230,[1]TB!$B$3:$E$205,4,0)</f>
        <v>5</v>
      </c>
    </row>
    <row r="231" spans="1:11" s="219" customFormat="1" ht="21.75" customHeight="1" x14ac:dyDescent="0.35">
      <c r="A231" s="226"/>
      <c r="B231" s="196">
        <v>2</v>
      </c>
      <c r="C231" s="206" t="s">
        <v>173</v>
      </c>
      <c r="D231" s="207" t="s">
        <v>28</v>
      </c>
      <c r="E231" s="207">
        <v>0.3</v>
      </c>
      <c r="F231" s="18">
        <v>0.35</v>
      </c>
      <c r="G231" s="198">
        <f t="shared" ref="G231:G239" si="16">H231/(J231*$J$82)</f>
        <v>6208</v>
      </c>
      <c r="H231" s="353">
        <f>VLOOKUP(C231,[1]TB!$B$3:$D$503,3,0)</f>
        <v>31040000</v>
      </c>
      <c r="I231" s="198">
        <f t="shared" si="15"/>
        <v>2172.7999999999997</v>
      </c>
      <c r="J231" s="354">
        <f>VLOOKUP(C231,[1]TB!$B$3:$E$205,4,0)</f>
        <v>10</v>
      </c>
    </row>
    <row r="232" spans="1:11" s="219" customFormat="1" ht="21.75" customHeight="1" x14ac:dyDescent="0.35">
      <c r="A232" s="226"/>
      <c r="B232" s="196">
        <v>3</v>
      </c>
      <c r="C232" s="206" t="s">
        <v>632</v>
      </c>
      <c r="D232" s="18" t="s">
        <v>28</v>
      </c>
      <c r="E232" s="207">
        <v>0.16</v>
      </c>
      <c r="F232" s="18">
        <v>0.04</v>
      </c>
      <c r="G232" s="198">
        <f t="shared" si="16"/>
        <v>14700</v>
      </c>
      <c r="H232" s="353">
        <f>VLOOKUP(C232,[1]TB!$B$3:$D$503,3,0)</f>
        <v>58800000</v>
      </c>
      <c r="I232" s="198">
        <f>G232*F232</f>
        <v>588</v>
      </c>
      <c r="J232" s="354">
        <f>VLOOKUP(C232,[1]TB!$B$3:$E$205,4,0)</f>
        <v>8</v>
      </c>
    </row>
    <row r="233" spans="1:11" s="219" customFormat="1" ht="21.75" customHeight="1" x14ac:dyDescent="0.35">
      <c r="A233" s="226"/>
      <c r="B233" s="196">
        <v>4</v>
      </c>
      <c r="C233" s="17" t="s">
        <v>190</v>
      </c>
      <c r="D233" s="18" t="s">
        <v>28</v>
      </c>
      <c r="E233" s="207">
        <v>0.16</v>
      </c>
      <c r="F233" s="18">
        <v>0.4</v>
      </c>
      <c r="G233" s="198">
        <f t="shared" si="16"/>
        <v>23520</v>
      </c>
      <c r="H233" s="353">
        <f>VLOOKUP(C233,[1]TB!$B$3:$D$503,3,0)</f>
        <v>58800000</v>
      </c>
      <c r="I233" s="198">
        <f>G233*F233</f>
        <v>9408</v>
      </c>
      <c r="J233" s="354">
        <f>VLOOKUP(C233,[1]TB!$B$3:$E$205,4,0)</f>
        <v>5</v>
      </c>
    </row>
    <row r="234" spans="1:11" s="219" customFormat="1" ht="24" customHeight="1" x14ac:dyDescent="0.35">
      <c r="A234" s="226"/>
      <c r="B234" s="196">
        <v>5</v>
      </c>
      <c r="C234" s="206" t="s">
        <v>184</v>
      </c>
      <c r="D234" s="207" t="s">
        <v>28</v>
      </c>
      <c r="E234" s="207">
        <v>0.1</v>
      </c>
      <c r="F234" s="18">
        <v>0.03</v>
      </c>
      <c r="G234" s="198">
        <f t="shared" si="16"/>
        <v>126896</v>
      </c>
      <c r="H234" s="353">
        <f>VLOOKUP(C234,[1]TB!$B$3:$D$503,3,0)</f>
        <v>317240000</v>
      </c>
      <c r="I234" s="198">
        <f t="shared" si="15"/>
        <v>3806.8799999999997</v>
      </c>
      <c r="J234" s="354">
        <f>VLOOKUP(C234,[1]TB!$B$3:$E$205,4,0)</f>
        <v>5</v>
      </c>
    </row>
    <row r="235" spans="1:11" s="219" customFormat="1" ht="24" customHeight="1" x14ac:dyDescent="0.35">
      <c r="A235" s="226"/>
      <c r="B235" s="196">
        <v>6</v>
      </c>
      <c r="C235" s="206" t="s">
        <v>185</v>
      </c>
      <c r="D235" s="207" t="s">
        <v>36</v>
      </c>
      <c r="E235" s="207">
        <v>2.2999999999999998</v>
      </c>
      <c r="F235" s="18">
        <v>0.45</v>
      </c>
      <c r="G235" s="198">
        <f t="shared" si="16"/>
        <v>11340</v>
      </c>
      <c r="H235" s="353">
        <f>VLOOKUP(C235,[1]TB!$B$3:$D$503,3,0)</f>
        <v>28350000</v>
      </c>
      <c r="I235" s="198">
        <f t="shared" si="15"/>
        <v>5103</v>
      </c>
      <c r="J235" s="354">
        <f>VLOOKUP(C235,[1]TB!$B$3:$E$205,4,0)</f>
        <v>5</v>
      </c>
    </row>
    <row r="236" spans="1:11" s="219" customFormat="1" ht="23.25" customHeight="1" x14ac:dyDescent="0.35">
      <c r="A236" s="226"/>
      <c r="B236" s="196">
        <v>7</v>
      </c>
      <c r="C236" s="206" t="s">
        <v>631</v>
      </c>
      <c r="D236" s="207" t="s">
        <v>28</v>
      </c>
      <c r="E236" s="207">
        <v>0.06</v>
      </c>
      <c r="F236" s="18">
        <v>0.2</v>
      </c>
      <c r="G236" s="198">
        <f t="shared" si="16"/>
        <v>7500</v>
      </c>
      <c r="H236" s="353">
        <f>VLOOKUP(C236,[1]TB!$B$3:$D$503,3,0)</f>
        <v>30000000</v>
      </c>
      <c r="I236" s="198">
        <f t="shared" si="15"/>
        <v>1500</v>
      </c>
      <c r="J236" s="354">
        <f>VLOOKUP(C236,[1]TB!$B$3:$E$205,4,0)</f>
        <v>8</v>
      </c>
    </row>
    <row r="237" spans="1:11" s="219" customFormat="1" ht="23.25" customHeight="1" x14ac:dyDescent="0.35">
      <c r="A237" s="226"/>
      <c r="B237" s="196">
        <v>8</v>
      </c>
      <c r="C237" s="206" t="s">
        <v>186</v>
      </c>
      <c r="D237" s="207" t="s">
        <v>36</v>
      </c>
      <c r="E237" s="207">
        <v>3</v>
      </c>
      <c r="F237" s="18">
        <v>0.1</v>
      </c>
      <c r="G237" s="198">
        <f t="shared" si="16"/>
        <v>211600</v>
      </c>
      <c r="H237" s="353">
        <f>VLOOKUP(C237,[1]TB!$B$3:$D$503,3,0)</f>
        <v>1058000000</v>
      </c>
      <c r="I237" s="198">
        <f t="shared" si="15"/>
        <v>21160</v>
      </c>
      <c r="J237" s="354">
        <f>VLOOKUP(C237,[1]TB!$B$3:$E$205,4,0)</f>
        <v>10</v>
      </c>
    </row>
    <row r="238" spans="1:11" s="219" customFormat="1" ht="21.75" customHeight="1" x14ac:dyDescent="0.35">
      <c r="A238" s="226"/>
      <c r="B238" s="196">
        <v>9</v>
      </c>
      <c r="C238" s="206" t="s">
        <v>644</v>
      </c>
      <c r="D238" s="207" t="s">
        <v>36</v>
      </c>
      <c r="E238" s="196">
        <v>0.18</v>
      </c>
      <c r="F238" s="18">
        <v>0.2</v>
      </c>
      <c r="G238" s="198">
        <f t="shared" si="16"/>
        <v>39600</v>
      </c>
      <c r="H238" s="353">
        <f>VLOOKUP(C238,[1]TB!$B$3:$D$503,3,0)</f>
        <v>99000000</v>
      </c>
      <c r="I238" s="198">
        <f t="shared" si="15"/>
        <v>7920</v>
      </c>
      <c r="J238" s="354">
        <f>VLOOKUP(C238,[1]TB!$B$3:$E$205,4,0)</f>
        <v>5</v>
      </c>
    </row>
    <row r="239" spans="1:11" ht="19.5" customHeight="1" x14ac:dyDescent="0.35">
      <c r="A239" s="226"/>
      <c r="B239" s="196">
        <v>10</v>
      </c>
      <c r="C239" s="206" t="s">
        <v>175</v>
      </c>
      <c r="D239" s="207" t="s">
        <v>28</v>
      </c>
      <c r="E239" s="207">
        <v>2.2000000000000002</v>
      </c>
      <c r="F239" s="18">
        <v>6.7000000000000004E-2</v>
      </c>
      <c r="G239" s="198">
        <f t="shared" si="16"/>
        <v>3800</v>
      </c>
      <c r="H239" s="353">
        <f>VLOOKUP(C239,[1]TB!$B$3:$D$503,3,0)</f>
        <v>9500000</v>
      </c>
      <c r="I239" s="198">
        <f t="shared" si="15"/>
        <v>254.60000000000002</v>
      </c>
      <c r="J239" s="354">
        <f>VLOOKUP(C239,[1]TB!$B$3:$E$205,4,0)</f>
        <v>5</v>
      </c>
    </row>
    <row r="240" spans="1:11" ht="19.5" customHeight="1" x14ac:dyDescent="0.35">
      <c r="A240" s="226"/>
      <c r="B240" s="196">
        <v>11</v>
      </c>
      <c r="C240" s="206" t="s">
        <v>52</v>
      </c>
      <c r="D240" s="207" t="s">
        <v>53</v>
      </c>
      <c r="E240" s="207"/>
      <c r="F240" s="211">
        <v>20.100000000000001</v>
      </c>
      <c r="G240" s="198"/>
      <c r="H240" s="353">
        <f>VLOOKUP(C240,[1]TB!$B$3:$D$503,3,0)</f>
        <v>1838</v>
      </c>
      <c r="I240" s="198">
        <f>H240*F240</f>
        <v>36943.800000000003</v>
      </c>
      <c r="J240" s="354">
        <f>VLOOKUP(C240,[1]TB!$B$3:$E$205,4,0)</f>
        <v>0</v>
      </c>
    </row>
    <row r="241" spans="1:10" ht="19.5" customHeight="1" x14ac:dyDescent="0.35">
      <c r="A241" s="226">
        <v>22</v>
      </c>
      <c r="B241" s="367" t="s">
        <v>715</v>
      </c>
      <c r="C241" s="367" t="s">
        <v>699</v>
      </c>
      <c r="D241" s="204"/>
      <c r="E241" s="404"/>
      <c r="F241" s="580" t="s">
        <v>737</v>
      </c>
      <c r="G241" s="581"/>
      <c r="H241" s="582"/>
      <c r="I241" s="227">
        <f>I229</f>
        <v>63505.279999999999</v>
      </c>
      <c r="J241" s="354"/>
    </row>
    <row r="242" spans="1:10" ht="19.5" customHeight="1" x14ac:dyDescent="0.35">
      <c r="A242" s="226">
        <v>23</v>
      </c>
      <c r="B242" s="392" t="s">
        <v>557</v>
      </c>
      <c r="C242" s="367" t="s">
        <v>492</v>
      </c>
      <c r="D242" s="404"/>
      <c r="E242" s="404"/>
      <c r="F242" s="403"/>
      <c r="G242" s="198"/>
      <c r="H242" s="208"/>
      <c r="I242" s="230">
        <f>SUM(I243:I253)</f>
        <v>90985.279999999999</v>
      </c>
      <c r="J242" s="354"/>
    </row>
    <row r="243" spans="1:10" ht="19.5" customHeight="1" x14ac:dyDescent="0.35">
      <c r="A243" s="226"/>
      <c r="B243" s="196">
        <v>1</v>
      </c>
      <c r="C243" s="206" t="s">
        <v>179</v>
      </c>
      <c r="D243" s="207" t="s">
        <v>28</v>
      </c>
      <c r="E243" s="207">
        <v>0.1</v>
      </c>
      <c r="F243" s="18">
        <v>0.2</v>
      </c>
      <c r="G243" s="198">
        <f>H243/(J243*$J$82)</f>
        <v>57960</v>
      </c>
      <c r="H243" s="353">
        <f>VLOOKUP(C243,[1]TB!$B$3:$D$503,3,0)</f>
        <v>144900000</v>
      </c>
      <c r="I243" s="198">
        <f t="shared" si="15"/>
        <v>11592</v>
      </c>
      <c r="J243" s="354">
        <f>VLOOKUP(C243,[1]TB!$B$3:$E$205,4,0)</f>
        <v>5</v>
      </c>
    </row>
    <row r="244" spans="1:10" ht="19.5" customHeight="1" x14ac:dyDescent="0.35">
      <c r="A244" s="226"/>
      <c r="B244" s="196">
        <v>2</v>
      </c>
      <c r="C244" s="206" t="s">
        <v>173</v>
      </c>
      <c r="D244" s="207" t="s">
        <v>28</v>
      </c>
      <c r="E244" s="207">
        <v>0.3</v>
      </c>
      <c r="F244" s="18">
        <v>0.35</v>
      </c>
      <c r="G244" s="198">
        <f t="shared" ref="G244:G253" si="17">H244/(J244*$J$82)</f>
        <v>6208</v>
      </c>
      <c r="H244" s="353">
        <f>VLOOKUP(C244,[1]TB!$B$3:$D$503,3,0)</f>
        <v>31040000</v>
      </c>
      <c r="I244" s="198">
        <f t="shared" si="15"/>
        <v>2172.7999999999997</v>
      </c>
      <c r="J244" s="354">
        <f>VLOOKUP(C244,[1]TB!$B$3:$E$205,4,0)</f>
        <v>10</v>
      </c>
    </row>
    <row r="245" spans="1:10" ht="19.5" customHeight="1" x14ac:dyDescent="0.35">
      <c r="A245" s="226"/>
      <c r="B245" s="196">
        <v>3</v>
      </c>
      <c r="C245" s="206" t="s">
        <v>184</v>
      </c>
      <c r="D245" s="207" t="s">
        <v>28</v>
      </c>
      <c r="E245" s="207">
        <v>0.1</v>
      </c>
      <c r="F245" s="18">
        <v>0.03</v>
      </c>
      <c r="G245" s="198">
        <f t="shared" si="17"/>
        <v>126896</v>
      </c>
      <c r="H245" s="353">
        <f>VLOOKUP(C245,[1]TB!$B$3:$D$503,3,0)</f>
        <v>317240000</v>
      </c>
      <c r="I245" s="198">
        <f t="shared" si="15"/>
        <v>3806.8799999999997</v>
      </c>
      <c r="J245" s="354">
        <f>VLOOKUP(C245,[1]TB!$B$3:$E$205,4,0)</f>
        <v>5</v>
      </c>
    </row>
    <row r="246" spans="1:10" ht="19.5" customHeight="1" x14ac:dyDescent="0.35">
      <c r="A246" s="226"/>
      <c r="B246" s="196">
        <v>4</v>
      </c>
      <c r="C246" s="206" t="s">
        <v>632</v>
      </c>
      <c r="D246" s="18" t="s">
        <v>28</v>
      </c>
      <c r="E246" s="207">
        <v>0.16</v>
      </c>
      <c r="F246" s="18">
        <v>0.04</v>
      </c>
      <c r="G246" s="198">
        <f t="shared" si="17"/>
        <v>14700</v>
      </c>
      <c r="H246" s="353">
        <f>VLOOKUP(C246,[1]TB!$B$3:$D$503,3,0)</f>
        <v>58800000</v>
      </c>
      <c r="I246" s="198">
        <f>G246*F246</f>
        <v>588</v>
      </c>
      <c r="J246" s="354">
        <f>VLOOKUP(C246,[1]TB!$B$3:$E$205,4,0)</f>
        <v>8</v>
      </c>
    </row>
    <row r="247" spans="1:10" ht="19.5" customHeight="1" x14ac:dyDescent="0.35">
      <c r="A247" s="226"/>
      <c r="B247" s="196">
        <v>5</v>
      </c>
      <c r="C247" s="17" t="s">
        <v>190</v>
      </c>
      <c r="D247" s="18" t="s">
        <v>28</v>
      </c>
      <c r="E247" s="207">
        <v>0.16</v>
      </c>
      <c r="F247" s="18">
        <v>0.4</v>
      </c>
      <c r="G247" s="198">
        <f t="shared" si="17"/>
        <v>23520</v>
      </c>
      <c r="H247" s="353">
        <f>VLOOKUP(C247,[1]TB!$B$3:$D$503,3,0)</f>
        <v>58800000</v>
      </c>
      <c r="I247" s="198">
        <f>G247*F247</f>
        <v>9408</v>
      </c>
      <c r="J247" s="354">
        <f>VLOOKUP(C247,[1]TB!$B$3:$E$205,4,0)</f>
        <v>5</v>
      </c>
    </row>
    <row r="248" spans="1:10" ht="19.5" customHeight="1" x14ac:dyDescent="0.35">
      <c r="A248" s="226"/>
      <c r="B248" s="196">
        <v>6</v>
      </c>
      <c r="C248" s="206" t="s">
        <v>185</v>
      </c>
      <c r="D248" s="207" t="s">
        <v>36</v>
      </c>
      <c r="E248" s="207">
        <v>2.2999999999999998</v>
      </c>
      <c r="F248" s="18">
        <v>0.45</v>
      </c>
      <c r="G248" s="198">
        <f t="shared" si="17"/>
        <v>11340</v>
      </c>
      <c r="H248" s="353">
        <f>VLOOKUP(C248,[1]TB!$B$3:$D$503,3,0)</f>
        <v>28350000</v>
      </c>
      <c r="I248" s="198">
        <f t="shared" si="15"/>
        <v>5103</v>
      </c>
      <c r="J248" s="354">
        <f>VLOOKUP(C248,[1]TB!$B$3:$E$205,4,0)</f>
        <v>5</v>
      </c>
    </row>
    <row r="249" spans="1:10" ht="19.5" customHeight="1" x14ac:dyDescent="0.35">
      <c r="A249" s="226"/>
      <c r="B249" s="196">
        <v>7</v>
      </c>
      <c r="C249" s="206" t="s">
        <v>631</v>
      </c>
      <c r="D249" s="207" t="s">
        <v>28</v>
      </c>
      <c r="E249" s="207">
        <v>0.06</v>
      </c>
      <c r="F249" s="18">
        <v>0.2</v>
      </c>
      <c r="G249" s="198">
        <f t="shared" si="17"/>
        <v>7500</v>
      </c>
      <c r="H249" s="353">
        <f>VLOOKUP(C249,[1]TB!$B$3:$D$503,3,0)</f>
        <v>30000000</v>
      </c>
      <c r="I249" s="198">
        <f t="shared" si="15"/>
        <v>1500</v>
      </c>
      <c r="J249" s="354">
        <f>VLOOKUP(C249,[1]TB!$B$3:$E$205,4,0)</f>
        <v>8</v>
      </c>
    </row>
    <row r="250" spans="1:10" ht="19.5" customHeight="1" x14ac:dyDescent="0.35">
      <c r="A250" s="226"/>
      <c r="B250" s="196">
        <v>8</v>
      </c>
      <c r="C250" s="206" t="s">
        <v>187</v>
      </c>
      <c r="D250" s="207" t="s">
        <v>36</v>
      </c>
      <c r="E250" s="207">
        <v>3</v>
      </c>
      <c r="F250" s="18">
        <v>0.1</v>
      </c>
      <c r="G250" s="198">
        <f t="shared" si="17"/>
        <v>211600</v>
      </c>
      <c r="H250" s="353">
        <f>VLOOKUP(C250,[1]TB!$B$3:$D$503,3,0)</f>
        <v>1058000000</v>
      </c>
      <c r="I250" s="198">
        <f t="shared" si="15"/>
        <v>21160</v>
      </c>
      <c r="J250" s="354">
        <f>VLOOKUP(C250,[1]TB!$B$3:$E$205,4,0)</f>
        <v>10</v>
      </c>
    </row>
    <row r="251" spans="1:10" ht="19.5" customHeight="1" x14ac:dyDescent="0.35">
      <c r="A251" s="226"/>
      <c r="B251" s="196">
        <v>9</v>
      </c>
      <c r="C251" s="206" t="s">
        <v>188</v>
      </c>
      <c r="D251" s="207" t="s">
        <v>36</v>
      </c>
      <c r="E251" s="207">
        <v>0.6</v>
      </c>
      <c r="F251" s="18">
        <v>0.6</v>
      </c>
      <c r="G251" s="198">
        <f t="shared" si="17"/>
        <v>45800</v>
      </c>
      <c r="H251" s="353">
        <f>VLOOKUP(C251,[1]TB!$B$3:$D$503,3,0)</f>
        <v>229000000</v>
      </c>
      <c r="I251" s="198">
        <f t="shared" si="15"/>
        <v>27480</v>
      </c>
      <c r="J251" s="354">
        <f>VLOOKUP(C251,[1]TB!$B$3:$E$205,4,0)</f>
        <v>10</v>
      </c>
    </row>
    <row r="252" spans="1:10" ht="19.5" customHeight="1" x14ac:dyDescent="0.35">
      <c r="A252" s="226"/>
      <c r="B252" s="196">
        <v>10</v>
      </c>
      <c r="C252" s="206" t="s">
        <v>644</v>
      </c>
      <c r="D252" s="207" t="s">
        <v>36</v>
      </c>
      <c r="E252" s="196">
        <v>0.18</v>
      </c>
      <c r="F252" s="18">
        <v>0.2</v>
      </c>
      <c r="G252" s="198">
        <f t="shared" si="17"/>
        <v>39600</v>
      </c>
      <c r="H252" s="353">
        <f>VLOOKUP(C252,[1]TB!$B$3:$D$503,3,0)</f>
        <v>99000000</v>
      </c>
      <c r="I252" s="198">
        <f t="shared" si="15"/>
        <v>7920</v>
      </c>
      <c r="J252" s="354">
        <f>VLOOKUP(C252,[1]TB!$B$3:$E$205,4,0)</f>
        <v>5</v>
      </c>
    </row>
    <row r="253" spans="1:10" ht="19.5" customHeight="1" x14ac:dyDescent="0.35">
      <c r="A253" s="226"/>
      <c r="B253" s="196">
        <v>11</v>
      </c>
      <c r="C253" s="206" t="s">
        <v>175</v>
      </c>
      <c r="D253" s="207" t="s">
        <v>28</v>
      </c>
      <c r="E253" s="207">
        <v>2.2000000000000002</v>
      </c>
      <c r="F253" s="18">
        <v>6.7000000000000004E-2</v>
      </c>
      <c r="G253" s="198">
        <f t="shared" si="17"/>
        <v>3800</v>
      </c>
      <c r="H253" s="353">
        <f>VLOOKUP(C253,[1]TB!$B$3:$D$503,3,0)</f>
        <v>9500000</v>
      </c>
      <c r="I253" s="198">
        <f t="shared" si="15"/>
        <v>254.60000000000002</v>
      </c>
      <c r="J253" s="354">
        <f>VLOOKUP(C253,[1]TB!$B$3:$E$205,4,0)</f>
        <v>5</v>
      </c>
    </row>
    <row r="254" spans="1:10" ht="19.5" customHeight="1" x14ac:dyDescent="0.35">
      <c r="A254" s="226"/>
      <c r="B254" s="196">
        <v>12</v>
      </c>
      <c r="C254" s="206" t="s">
        <v>52</v>
      </c>
      <c r="D254" s="207" t="s">
        <v>53</v>
      </c>
      <c r="E254" s="207"/>
      <c r="F254" s="18">
        <v>29.16</v>
      </c>
      <c r="G254" s="198"/>
      <c r="H254" s="353">
        <f>VLOOKUP(C254,[1]TB!$B$3:$D$503,3,0)</f>
        <v>1838</v>
      </c>
      <c r="I254" s="198">
        <f>H254*F254</f>
        <v>53596.08</v>
      </c>
      <c r="J254" s="354">
        <f>VLOOKUP(C254,[1]TB!$B$3:$E$205,4,0)</f>
        <v>0</v>
      </c>
    </row>
    <row r="255" spans="1:10" ht="19.5" customHeight="1" x14ac:dyDescent="0.35">
      <c r="A255" s="226">
        <v>24</v>
      </c>
      <c r="B255" s="202" t="s">
        <v>558</v>
      </c>
      <c r="C255" s="317" t="s">
        <v>493</v>
      </c>
      <c r="D255" s="207"/>
      <c r="E255" s="207"/>
      <c r="F255" s="571" t="s">
        <v>608</v>
      </c>
      <c r="G255" s="572"/>
      <c r="H255" s="573"/>
      <c r="I255" s="227">
        <f>I242</f>
        <v>90985.279999999999</v>
      </c>
      <c r="J255" s="354"/>
    </row>
    <row r="256" spans="1:10" ht="19.5" customHeight="1" x14ac:dyDescent="0.35">
      <c r="A256" s="226">
        <v>25</v>
      </c>
      <c r="B256" s="202" t="s">
        <v>717</v>
      </c>
      <c r="C256" s="568" t="s">
        <v>741</v>
      </c>
      <c r="D256" s="568"/>
      <c r="E256" s="263"/>
      <c r="F256" s="203"/>
      <c r="G256" s="198"/>
      <c r="H256" s="208"/>
      <c r="I256" s="205">
        <f>SUM(I257:I266)</f>
        <v>63505.279999999999</v>
      </c>
      <c r="J256" s="354"/>
    </row>
    <row r="257" spans="1:10" ht="19.5" customHeight="1" x14ac:dyDescent="0.35">
      <c r="A257" s="226"/>
      <c r="B257" s="196">
        <v>1</v>
      </c>
      <c r="C257" s="206" t="s">
        <v>179</v>
      </c>
      <c r="D257" s="207" t="s">
        <v>28</v>
      </c>
      <c r="E257" s="207">
        <v>0.1</v>
      </c>
      <c r="F257" s="18">
        <v>0.2</v>
      </c>
      <c r="G257" s="198">
        <f>H257/(J257*$J$82)</f>
        <v>57960</v>
      </c>
      <c r="H257" s="353">
        <f>VLOOKUP(C257,[1]TB!$B$3:$D$503,3,0)</f>
        <v>144900000</v>
      </c>
      <c r="I257" s="198">
        <f t="shared" si="15"/>
        <v>11592</v>
      </c>
      <c r="J257" s="354">
        <f>VLOOKUP(C257,[1]TB!$B$3:$E$205,4,0)</f>
        <v>5</v>
      </c>
    </row>
    <row r="258" spans="1:10" ht="19.5" customHeight="1" x14ac:dyDescent="0.35">
      <c r="A258" s="226"/>
      <c r="B258" s="196">
        <v>2</v>
      </c>
      <c r="C258" s="206" t="s">
        <v>173</v>
      </c>
      <c r="D258" s="207" t="s">
        <v>28</v>
      </c>
      <c r="E258" s="207">
        <v>0.3</v>
      </c>
      <c r="F258" s="18">
        <v>0.35</v>
      </c>
      <c r="G258" s="198">
        <f t="shared" ref="G258:G266" si="18">H258/(J258*$J$82)</f>
        <v>6208</v>
      </c>
      <c r="H258" s="353">
        <f>VLOOKUP(C258,[1]TB!$B$3:$D$503,3,0)</f>
        <v>31040000</v>
      </c>
      <c r="I258" s="198">
        <f t="shared" si="15"/>
        <v>2172.7999999999997</v>
      </c>
      <c r="J258" s="354">
        <f>VLOOKUP(C258,[1]TB!$B$3:$E$205,4,0)</f>
        <v>10</v>
      </c>
    </row>
    <row r="259" spans="1:10" ht="19.5" customHeight="1" x14ac:dyDescent="0.35">
      <c r="A259" s="226"/>
      <c r="B259" s="196">
        <v>3</v>
      </c>
      <c r="C259" s="206" t="s">
        <v>184</v>
      </c>
      <c r="D259" s="207" t="s">
        <v>28</v>
      </c>
      <c r="E259" s="207">
        <v>0.1</v>
      </c>
      <c r="F259" s="18">
        <v>0.03</v>
      </c>
      <c r="G259" s="198">
        <f t="shared" si="18"/>
        <v>126896</v>
      </c>
      <c r="H259" s="353">
        <f>VLOOKUP(C259,[1]TB!$B$3:$D$503,3,0)</f>
        <v>317240000</v>
      </c>
      <c r="I259" s="198">
        <f t="shared" si="15"/>
        <v>3806.8799999999997</v>
      </c>
      <c r="J259" s="354">
        <f>VLOOKUP(C259,[1]TB!$B$3:$E$205,4,0)</f>
        <v>5</v>
      </c>
    </row>
    <row r="260" spans="1:10" ht="19.5" customHeight="1" x14ac:dyDescent="0.35">
      <c r="A260" s="226"/>
      <c r="B260" s="196">
        <v>4</v>
      </c>
      <c r="C260" s="206" t="s">
        <v>632</v>
      </c>
      <c r="D260" s="18" t="s">
        <v>28</v>
      </c>
      <c r="E260" s="207">
        <v>0.16</v>
      </c>
      <c r="F260" s="18">
        <v>0.04</v>
      </c>
      <c r="G260" s="198">
        <f t="shared" si="18"/>
        <v>14700</v>
      </c>
      <c r="H260" s="353">
        <f>VLOOKUP(C260,[1]TB!$B$3:$D$503,3,0)</f>
        <v>58800000</v>
      </c>
      <c r="I260" s="198">
        <f>G260*F260</f>
        <v>588</v>
      </c>
      <c r="J260" s="354">
        <f>VLOOKUP(C260,[1]TB!$B$3:$E$205,4,0)</f>
        <v>8</v>
      </c>
    </row>
    <row r="261" spans="1:10" ht="19.5" customHeight="1" x14ac:dyDescent="0.35">
      <c r="A261" s="226"/>
      <c r="B261" s="196">
        <v>5</v>
      </c>
      <c r="C261" s="17" t="s">
        <v>190</v>
      </c>
      <c r="D261" s="18" t="s">
        <v>28</v>
      </c>
      <c r="E261" s="207">
        <v>0.16</v>
      </c>
      <c r="F261" s="18">
        <v>0.4</v>
      </c>
      <c r="G261" s="198">
        <f t="shared" si="18"/>
        <v>23520</v>
      </c>
      <c r="H261" s="353">
        <f>VLOOKUP(C261,[1]TB!$B$3:$D$503,3,0)</f>
        <v>58800000</v>
      </c>
      <c r="I261" s="198">
        <f>G261*F261</f>
        <v>9408</v>
      </c>
      <c r="J261" s="354">
        <f>VLOOKUP(C261,[1]TB!$B$3:$E$205,4,0)</f>
        <v>5</v>
      </c>
    </row>
    <row r="262" spans="1:10" ht="19.5" customHeight="1" x14ac:dyDescent="0.35">
      <c r="A262" s="226"/>
      <c r="B262" s="196">
        <v>6</v>
      </c>
      <c r="C262" s="206" t="s">
        <v>185</v>
      </c>
      <c r="D262" s="207" t="s">
        <v>36</v>
      </c>
      <c r="E262" s="207">
        <v>2.2999999999999998</v>
      </c>
      <c r="F262" s="18">
        <v>0.45</v>
      </c>
      <c r="G262" s="198">
        <f t="shared" si="18"/>
        <v>11340</v>
      </c>
      <c r="H262" s="353">
        <f>VLOOKUP(C262,[1]TB!$B$3:$D$503,3,0)</f>
        <v>28350000</v>
      </c>
      <c r="I262" s="198">
        <f t="shared" si="15"/>
        <v>5103</v>
      </c>
      <c r="J262" s="354">
        <f>VLOOKUP(C262,[1]TB!$B$3:$E$205,4,0)</f>
        <v>5</v>
      </c>
    </row>
    <row r="263" spans="1:10" ht="19.5" customHeight="1" x14ac:dyDescent="0.35">
      <c r="A263" s="226"/>
      <c r="B263" s="196">
        <v>7</v>
      </c>
      <c r="C263" s="206" t="s">
        <v>631</v>
      </c>
      <c r="D263" s="207" t="s">
        <v>28</v>
      </c>
      <c r="E263" s="207">
        <v>0.06</v>
      </c>
      <c r="F263" s="18">
        <v>0.2</v>
      </c>
      <c r="G263" s="198">
        <f t="shared" si="18"/>
        <v>7500</v>
      </c>
      <c r="H263" s="353">
        <f>VLOOKUP(C263,[1]TB!$B$3:$D$503,3,0)</f>
        <v>30000000</v>
      </c>
      <c r="I263" s="198">
        <f t="shared" si="15"/>
        <v>1500</v>
      </c>
      <c r="J263" s="354">
        <f>VLOOKUP(C263,[1]TB!$B$3:$E$205,4,0)</f>
        <v>8</v>
      </c>
    </row>
    <row r="264" spans="1:10" ht="19.5" customHeight="1" x14ac:dyDescent="0.35">
      <c r="A264" s="226"/>
      <c r="B264" s="196">
        <v>8</v>
      </c>
      <c r="C264" s="206" t="s">
        <v>187</v>
      </c>
      <c r="D264" s="207" t="s">
        <v>36</v>
      </c>
      <c r="E264" s="207">
        <v>3</v>
      </c>
      <c r="F264" s="18">
        <v>0.1</v>
      </c>
      <c r="G264" s="198">
        <f t="shared" si="18"/>
        <v>211600</v>
      </c>
      <c r="H264" s="353">
        <f>VLOOKUP(C264,[1]TB!$B$3:$D$503,3,0)</f>
        <v>1058000000</v>
      </c>
      <c r="I264" s="198">
        <f t="shared" si="15"/>
        <v>21160</v>
      </c>
      <c r="J264" s="354">
        <f>VLOOKUP(C264,[1]TB!$B$3:$E$205,4,0)</f>
        <v>10</v>
      </c>
    </row>
    <row r="265" spans="1:10" ht="19.5" customHeight="1" x14ac:dyDescent="0.35">
      <c r="A265" s="226"/>
      <c r="B265" s="196">
        <v>9</v>
      </c>
      <c r="C265" s="206" t="s">
        <v>644</v>
      </c>
      <c r="D265" s="207" t="s">
        <v>36</v>
      </c>
      <c r="E265" s="196">
        <v>0.18</v>
      </c>
      <c r="F265" s="18">
        <v>0.2</v>
      </c>
      <c r="G265" s="198">
        <f t="shared" si="18"/>
        <v>39600</v>
      </c>
      <c r="H265" s="353">
        <f>VLOOKUP(C265,[1]TB!$B$3:$D$503,3,0)</f>
        <v>99000000</v>
      </c>
      <c r="I265" s="198">
        <f t="shared" si="15"/>
        <v>7920</v>
      </c>
      <c r="J265" s="354">
        <f>VLOOKUP(C265,[1]TB!$B$3:$E$205,4,0)</f>
        <v>5</v>
      </c>
    </row>
    <row r="266" spans="1:10" ht="19.5" customHeight="1" x14ac:dyDescent="0.35">
      <c r="A266" s="226"/>
      <c r="B266" s="196">
        <v>10</v>
      </c>
      <c r="C266" s="206" t="s">
        <v>175</v>
      </c>
      <c r="D266" s="207" t="s">
        <v>28</v>
      </c>
      <c r="E266" s="207">
        <v>2.2000000000000002</v>
      </c>
      <c r="F266" s="18">
        <v>6.7000000000000004E-2</v>
      </c>
      <c r="G266" s="198">
        <f t="shared" si="18"/>
        <v>3800</v>
      </c>
      <c r="H266" s="353">
        <f>VLOOKUP(C266,[1]TB!$B$3:$D$503,3,0)</f>
        <v>9500000</v>
      </c>
      <c r="I266" s="198">
        <f t="shared" si="15"/>
        <v>254.60000000000002</v>
      </c>
      <c r="J266" s="354">
        <f>VLOOKUP(C266,[1]TB!$B$3:$E$205,4,0)</f>
        <v>5</v>
      </c>
    </row>
    <row r="267" spans="1:10" ht="19.5" customHeight="1" x14ac:dyDescent="0.35">
      <c r="A267" s="226"/>
      <c r="B267" s="196">
        <v>11</v>
      </c>
      <c r="C267" s="206" t="s">
        <v>52</v>
      </c>
      <c r="D267" s="207" t="s">
        <v>53</v>
      </c>
      <c r="E267" s="207"/>
      <c r="F267" s="211">
        <v>18.86</v>
      </c>
      <c r="G267" s="198"/>
      <c r="H267" s="353">
        <f>VLOOKUP(C267,[1]TB!$B$3:$D$503,3,0)</f>
        <v>1838</v>
      </c>
      <c r="I267" s="198">
        <f>H267*F267</f>
        <v>34664.68</v>
      </c>
      <c r="J267" s="354">
        <f>VLOOKUP(C267,[1]TB!$B$3:$E$205,4,0)</f>
        <v>0</v>
      </c>
    </row>
    <row r="268" spans="1:10" ht="19.5" customHeight="1" x14ac:dyDescent="0.35">
      <c r="A268" s="226">
        <v>26</v>
      </c>
      <c r="B268" s="387" t="s">
        <v>718</v>
      </c>
      <c r="C268" s="387" t="s">
        <v>709</v>
      </c>
      <c r="E268" s="405"/>
      <c r="F268" s="548" t="s">
        <v>729</v>
      </c>
      <c r="G268" s="549"/>
      <c r="H268" s="550"/>
      <c r="I268" s="198">
        <f>I256</f>
        <v>63505.279999999999</v>
      </c>
      <c r="J268" s="354"/>
    </row>
    <row r="269" spans="1:10" ht="19.5" customHeight="1" x14ac:dyDescent="0.35">
      <c r="A269" s="226">
        <v>27</v>
      </c>
      <c r="B269" s="387" t="s">
        <v>719</v>
      </c>
      <c r="C269" s="387" t="s">
        <v>710</v>
      </c>
      <c r="D269" s="406"/>
      <c r="E269" s="407"/>
      <c r="F269" s="548" t="s">
        <v>730</v>
      </c>
      <c r="G269" s="549"/>
      <c r="H269" s="550"/>
      <c r="I269" s="198">
        <f>I256</f>
        <v>63505.279999999999</v>
      </c>
      <c r="J269" s="354"/>
    </row>
    <row r="270" spans="1:10" ht="19.5" customHeight="1" x14ac:dyDescent="0.35">
      <c r="A270" s="226">
        <v>28</v>
      </c>
      <c r="B270" s="387" t="s">
        <v>720</v>
      </c>
      <c r="C270" s="387" t="s">
        <v>711</v>
      </c>
      <c r="D270" s="406"/>
      <c r="E270" s="407"/>
      <c r="F270" s="548" t="s">
        <v>731</v>
      </c>
      <c r="G270" s="549"/>
      <c r="H270" s="550"/>
      <c r="I270" s="198">
        <f>I256</f>
        <v>63505.279999999999</v>
      </c>
      <c r="J270" s="354"/>
    </row>
    <row r="271" spans="1:10" ht="19.5" customHeight="1" x14ac:dyDescent="0.35">
      <c r="A271" s="226">
        <v>29</v>
      </c>
      <c r="B271" s="387" t="s">
        <v>721</v>
      </c>
      <c r="C271" s="387" t="s">
        <v>712</v>
      </c>
      <c r="D271" s="406"/>
      <c r="E271" s="407"/>
      <c r="F271" s="548" t="s">
        <v>732</v>
      </c>
      <c r="G271" s="549"/>
      <c r="H271" s="550"/>
      <c r="I271" s="198">
        <f>I256</f>
        <v>63505.279999999999</v>
      </c>
      <c r="J271" s="354"/>
    </row>
    <row r="272" spans="1:10" ht="19.5" customHeight="1" x14ac:dyDescent="0.35">
      <c r="A272" s="226">
        <v>30</v>
      </c>
      <c r="B272" s="387" t="s">
        <v>722</v>
      </c>
      <c r="C272" s="387" t="s">
        <v>713</v>
      </c>
      <c r="D272" s="408"/>
      <c r="E272" s="409"/>
      <c r="F272" s="548" t="s">
        <v>733</v>
      </c>
      <c r="G272" s="549"/>
      <c r="H272" s="550"/>
      <c r="I272" s="198">
        <f>I256</f>
        <v>63505.279999999999</v>
      </c>
      <c r="J272" s="354"/>
    </row>
    <row r="273" spans="1:10" ht="19.5" customHeight="1" x14ac:dyDescent="0.35">
      <c r="A273" s="226">
        <v>31</v>
      </c>
      <c r="B273" s="202" t="s">
        <v>8</v>
      </c>
      <c r="C273" s="575" t="s">
        <v>17</v>
      </c>
      <c r="D273" s="575"/>
      <c r="E273" s="575"/>
      <c r="F273" s="575"/>
      <c r="G273" s="198"/>
      <c r="H273" s="208"/>
      <c r="I273" s="205">
        <f>SUM(I274:I280)</f>
        <v>23858.399999999998</v>
      </c>
      <c r="J273" s="354"/>
    </row>
    <row r="274" spans="1:10" ht="19.5" customHeight="1" x14ac:dyDescent="0.35">
      <c r="A274" s="226"/>
      <c r="B274" s="196">
        <v>1</v>
      </c>
      <c r="C274" s="213" t="s">
        <v>173</v>
      </c>
      <c r="D274" s="207" t="s">
        <v>79</v>
      </c>
      <c r="E274" s="207">
        <v>0.3</v>
      </c>
      <c r="F274" s="18">
        <v>0.35</v>
      </c>
      <c r="G274" s="198">
        <f>H274/(J274*$J$82)</f>
        <v>6208</v>
      </c>
      <c r="H274" s="353">
        <f>VLOOKUP(C274,[1]TB!$B$3:$D$503,3,0)</f>
        <v>31040000</v>
      </c>
      <c r="I274" s="198">
        <f t="shared" ref="I274:I280" si="19">G274*F274</f>
        <v>2172.7999999999997</v>
      </c>
      <c r="J274" s="354">
        <f>VLOOKUP(C274,[1]TB!$B$3:$E$205,4,0)</f>
        <v>10</v>
      </c>
    </row>
    <row r="275" spans="1:10" ht="19.5" customHeight="1" x14ac:dyDescent="0.35">
      <c r="A275" s="226"/>
      <c r="B275" s="196">
        <v>2</v>
      </c>
      <c r="C275" s="206" t="s">
        <v>631</v>
      </c>
      <c r="D275" s="207" t="s">
        <v>28</v>
      </c>
      <c r="E275" s="207">
        <v>0.06</v>
      </c>
      <c r="F275" s="18">
        <v>0.2</v>
      </c>
      <c r="G275" s="198">
        <f t="shared" ref="G275:G280" si="20">H275/(J275*$J$82)</f>
        <v>7500</v>
      </c>
      <c r="H275" s="353">
        <f>VLOOKUP(C275,[1]TB!$B$3:$D$503,3,0)</f>
        <v>30000000</v>
      </c>
      <c r="I275" s="198">
        <f t="shared" si="19"/>
        <v>1500</v>
      </c>
      <c r="J275" s="354">
        <f>VLOOKUP(C275,[1]TB!$B$3:$E$205,4,0)</f>
        <v>8</v>
      </c>
    </row>
    <row r="276" spans="1:10" ht="19.5" customHeight="1" x14ac:dyDescent="0.35">
      <c r="A276" s="226"/>
      <c r="B276" s="196">
        <v>3</v>
      </c>
      <c r="C276" s="206" t="s">
        <v>632</v>
      </c>
      <c r="D276" s="18" t="s">
        <v>28</v>
      </c>
      <c r="E276" s="207">
        <v>0.16</v>
      </c>
      <c r="F276" s="18">
        <v>0.04</v>
      </c>
      <c r="G276" s="198">
        <f t="shared" si="20"/>
        <v>14700</v>
      </c>
      <c r="H276" s="353">
        <f>VLOOKUP(C276,[1]TB!$B$3:$D$503,3,0)</f>
        <v>58800000</v>
      </c>
      <c r="I276" s="198">
        <f t="shared" si="19"/>
        <v>588</v>
      </c>
      <c r="J276" s="354">
        <f>VLOOKUP(C276,[1]TB!$B$3:$E$205,4,0)</f>
        <v>8</v>
      </c>
    </row>
    <row r="277" spans="1:10" ht="19.5" customHeight="1" x14ac:dyDescent="0.35">
      <c r="A277" s="226"/>
      <c r="B277" s="196">
        <v>4</v>
      </c>
      <c r="C277" s="17" t="s">
        <v>190</v>
      </c>
      <c r="D277" s="18" t="s">
        <v>28</v>
      </c>
      <c r="E277" s="207">
        <v>0.16</v>
      </c>
      <c r="F277" s="18">
        <v>0.4</v>
      </c>
      <c r="G277" s="198">
        <f t="shared" si="20"/>
        <v>23520</v>
      </c>
      <c r="H277" s="353">
        <f>VLOOKUP(C277,[1]TB!$B$3:$D$503,3,0)</f>
        <v>58800000</v>
      </c>
      <c r="I277" s="198">
        <f t="shared" si="19"/>
        <v>9408</v>
      </c>
      <c r="J277" s="354">
        <f>VLOOKUP(C277,[1]TB!$B$3:$E$205,4,0)</f>
        <v>5</v>
      </c>
    </row>
    <row r="278" spans="1:10" ht="19.5" customHeight="1" x14ac:dyDescent="0.35">
      <c r="A278" s="226"/>
      <c r="B278" s="196">
        <v>5</v>
      </c>
      <c r="C278" s="206" t="s">
        <v>181</v>
      </c>
      <c r="D278" s="207" t="s">
        <v>36</v>
      </c>
      <c r="E278" s="207">
        <v>0.55000000000000004</v>
      </c>
      <c r="F278" s="18">
        <v>0.1</v>
      </c>
      <c r="G278" s="198">
        <f t="shared" si="20"/>
        <v>20150</v>
      </c>
      <c r="H278" s="353">
        <f>VLOOKUP(C278,[1]TB!$B$3:$D$503,3,0)</f>
        <v>100750000</v>
      </c>
      <c r="I278" s="198">
        <f t="shared" si="19"/>
        <v>2015</v>
      </c>
      <c r="J278" s="354">
        <f>VLOOKUP(C278,[1]TB!$B$3:$E$205,4,0)</f>
        <v>10</v>
      </c>
    </row>
    <row r="279" spans="1:10" ht="19.5" customHeight="1" x14ac:dyDescent="0.35">
      <c r="A279" s="226"/>
      <c r="B279" s="196">
        <v>6</v>
      </c>
      <c r="C279" s="206" t="s">
        <v>644</v>
      </c>
      <c r="D279" s="207" t="s">
        <v>36</v>
      </c>
      <c r="E279" s="196">
        <v>0.18</v>
      </c>
      <c r="F279" s="18">
        <v>0.2</v>
      </c>
      <c r="G279" s="198">
        <f t="shared" si="20"/>
        <v>39600</v>
      </c>
      <c r="H279" s="353">
        <f>VLOOKUP(C279,[1]TB!$B$3:$D$503,3,0)</f>
        <v>99000000</v>
      </c>
      <c r="I279" s="198">
        <f t="shared" si="19"/>
        <v>7920</v>
      </c>
      <c r="J279" s="354">
        <f>VLOOKUP(C279,[1]TB!$B$3:$E$205,4,0)</f>
        <v>5</v>
      </c>
    </row>
    <row r="280" spans="1:10" ht="19.5" customHeight="1" x14ac:dyDescent="0.35">
      <c r="A280" s="226"/>
      <c r="B280" s="196">
        <v>7</v>
      </c>
      <c r="C280" s="213" t="s">
        <v>175</v>
      </c>
      <c r="D280" s="207" t="s">
        <v>79</v>
      </c>
      <c r="E280" s="207">
        <v>2.2000000000000002</v>
      </c>
      <c r="F280" s="18">
        <v>6.7000000000000004E-2</v>
      </c>
      <c r="G280" s="198">
        <f t="shared" si="20"/>
        <v>3800</v>
      </c>
      <c r="H280" s="353">
        <f>VLOOKUP(C280,[1]TB!$B$3:$D$503,3,0)</f>
        <v>9500000</v>
      </c>
      <c r="I280" s="198">
        <f t="shared" si="19"/>
        <v>254.60000000000002</v>
      </c>
      <c r="J280" s="354">
        <f>VLOOKUP(C280,[1]TB!$B$3:$E$205,4,0)</f>
        <v>5</v>
      </c>
    </row>
    <row r="281" spans="1:10" ht="19.5" customHeight="1" x14ac:dyDescent="0.35">
      <c r="A281" s="226"/>
      <c r="B281" s="196">
        <v>8</v>
      </c>
      <c r="C281" s="213" t="s">
        <v>52</v>
      </c>
      <c r="D281" s="207" t="s">
        <v>98</v>
      </c>
      <c r="E281" s="207"/>
      <c r="F281" s="200">
        <v>15.1</v>
      </c>
      <c r="G281" s="198"/>
      <c r="H281" s="353">
        <f>VLOOKUP(C281,[1]TB!$B$3:$D$503,3,0)</f>
        <v>1838</v>
      </c>
      <c r="I281" s="198">
        <f>H281*F281</f>
        <v>27753.8</v>
      </c>
      <c r="J281" s="354">
        <f>VLOOKUP(C281,[1]TB!$B$3:$E$205,4,0)</f>
        <v>0</v>
      </c>
    </row>
    <row r="282" spans="1:10" ht="19.5" customHeight="1" x14ac:dyDescent="0.35">
      <c r="A282" s="231">
        <v>32</v>
      </c>
      <c r="B282" s="215" t="s">
        <v>10</v>
      </c>
      <c r="C282" s="576" t="s">
        <v>294</v>
      </c>
      <c r="D282" s="576"/>
      <c r="E282" s="576"/>
      <c r="F282" s="576"/>
      <c r="G282" s="199"/>
      <c r="H282" s="216"/>
      <c r="I282" s="217">
        <f>SUM(I283:I289)</f>
        <v>23858.399999999998</v>
      </c>
      <c r="J282" s="354"/>
    </row>
    <row r="283" spans="1:10" ht="19.5" customHeight="1" x14ac:dyDescent="0.35">
      <c r="A283" s="231"/>
      <c r="B283" s="215">
        <v>1</v>
      </c>
      <c r="C283" s="17" t="s">
        <v>173</v>
      </c>
      <c r="D283" s="18" t="s">
        <v>28</v>
      </c>
      <c r="E283" s="207">
        <v>0.3</v>
      </c>
      <c r="F283" s="18">
        <v>0.35</v>
      </c>
      <c r="G283" s="198">
        <f>H283/(J283*$J$82)</f>
        <v>6208</v>
      </c>
      <c r="H283" s="353">
        <f>VLOOKUP(C283,[1]TB!$B$3:$D$503,3,0)</f>
        <v>31040000</v>
      </c>
      <c r="I283" s="198">
        <f>G283*F283</f>
        <v>2172.7999999999997</v>
      </c>
      <c r="J283" s="354">
        <f>VLOOKUP(C283,[1]TB!$B$3:$E$205,4,0)</f>
        <v>10</v>
      </c>
    </row>
    <row r="284" spans="1:10" ht="19.5" customHeight="1" x14ac:dyDescent="0.35">
      <c r="A284" s="231"/>
      <c r="B284" s="215">
        <v>2</v>
      </c>
      <c r="C284" s="206" t="s">
        <v>632</v>
      </c>
      <c r="D284" s="18" t="s">
        <v>28</v>
      </c>
      <c r="E284" s="207">
        <v>0.16</v>
      </c>
      <c r="F284" s="18">
        <v>0.04</v>
      </c>
      <c r="G284" s="198">
        <f t="shared" ref="G284:G289" si="21">H284/(J284*$J$82)</f>
        <v>14700</v>
      </c>
      <c r="H284" s="353">
        <f>VLOOKUP(C284,[1]TB!$B$3:$D$503,3,0)</f>
        <v>58800000</v>
      </c>
      <c r="I284" s="198">
        <f>G284*F284</f>
        <v>588</v>
      </c>
      <c r="J284" s="354">
        <f>VLOOKUP(C284,[1]TB!$B$3:$E$205,4,0)</f>
        <v>8</v>
      </c>
    </row>
    <row r="285" spans="1:10" ht="19.5" customHeight="1" x14ac:dyDescent="0.35">
      <c r="A285" s="231"/>
      <c r="B285" s="215">
        <v>3</v>
      </c>
      <c r="C285" s="17" t="s">
        <v>190</v>
      </c>
      <c r="D285" s="18" t="s">
        <v>28</v>
      </c>
      <c r="E285" s="207">
        <v>0.16</v>
      </c>
      <c r="F285" s="18">
        <v>0.4</v>
      </c>
      <c r="G285" s="198">
        <f t="shared" si="21"/>
        <v>23520</v>
      </c>
      <c r="H285" s="353">
        <f>VLOOKUP(C285,[1]TB!$B$3:$D$503,3,0)</f>
        <v>58800000</v>
      </c>
      <c r="I285" s="198">
        <f>G285*F285</f>
        <v>9408</v>
      </c>
      <c r="J285" s="354">
        <f>VLOOKUP(C285,[1]TB!$B$3:$E$205,4,0)</f>
        <v>5</v>
      </c>
    </row>
    <row r="286" spans="1:10" ht="19.5" customHeight="1" x14ac:dyDescent="0.35">
      <c r="A286" s="231"/>
      <c r="B286" s="215">
        <v>4</v>
      </c>
      <c r="C286" s="206" t="s">
        <v>631</v>
      </c>
      <c r="D286" s="207" t="s">
        <v>28</v>
      </c>
      <c r="E286" s="207">
        <v>0.06</v>
      </c>
      <c r="F286" s="18">
        <v>0.2</v>
      </c>
      <c r="G286" s="198">
        <f t="shared" si="21"/>
        <v>7500</v>
      </c>
      <c r="H286" s="353">
        <f>VLOOKUP(C286,[1]TB!$B$3:$D$503,3,0)</f>
        <v>30000000</v>
      </c>
      <c r="I286" s="198">
        <f>G286*F286</f>
        <v>1500</v>
      </c>
      <c r="J286" s="354">
        <f>VLOOKUP(C286,[1]TB!$B$3:$E$205,4,0)</f>
        <v>8</v>
      </c>
    </row>
    <row r="287" spans="1:10" ht="19.5" customHeight="1" x14ac:dyDescent="0.35">
      <c r="A287" s="231"/>
      <c r="B287" s="215">
        <v>5</v>
      </c>
      <c r="C287" s="206" t="s">
        <v>181</v>
      </c>
      <c r="D287" s="207" t="s">
        <v>36</v>
      </c>
      <c r="E287" s="207">
        <v>0.55000000000000004</v>
      </c>
      <c r="F287" s="18">
        <v>0.1</v>
      </c>
      <c r="G287" s="198">
        <f t="shared" si="21"/>
        <v>20150</v>
      </c>
      <c r="H287" s="353">
        <f>VLOOKUP(C287,[1]TB!$B$3:$D$503,3,0)</f>
        <v>100750000</v>
      </c>
      <c r="I287" s="198">
        <f t="shared" ref="I287" si="22">G287*F287</f>
        <v>2015</v>
      </c>
      <c r="J287" s="354">
        <f>VLOOKUP(C287,[1]TB!$B$3:$E$205,4,0)</f>
        <v>10</v>
      </c>
    </row>
    <row r="288" spans="1:10" ht="19.5" customHeight="1" x14ac:dyDescent="0.35">
      <c r="A288" s="231"/>
      <c r="B288" s="215">
        <v>6</v>
      </c>
      <c r="C288" s="206" t="s">
        <v>644</v>
      </c>
      <c r="D288" s="18" t="s">
        <v>36</v>
      </c>
      <c r="E288" s="196">
        <v>0.18</v>
      </c>
      <c r="F288" s="18">
        <v>0.2</v>
      </c>
      <c r="G288" s="198">
        <f t="shared" si="21"/>
        <v>39600</v>
      </c>
      <c r="H288" s="353">
        <f>VLOOKUP(C288,[1]TB!$B$3:$D$503,3,0)</f>
        <v>99000000</v>
      </c>
      <c r="I288" s="198">
        <f>G288*F288</f>
        <v>7920</v>
      </c>
      <c r="J288" s="354">
        <f>VLOOKUP(C288,[1]TB!$B$3:$E$205,4,0)</f>
        <v>5</v>
      </c>
    </row>
    <row r="289" spans="1:10" ht="19.5" customHeight="1" x14ac:dyDescent="0.35">
      <c r="A289" s="231"/>
      <c r="B289" s="215">
        <v>7</v>
      </c>
      <c r="C289" s="17" t="s">
        <v>175</v>
      </c>
      <c r="D289" s="18" t="s">
        <v>28</v>
      </c>
      <c r="E289" s="207">
        <v>2.2000000000000002</v>
      </c>
      <c r="F289" s="18">
        <v>6.7000000000000004E-2</v>
      </c>
      <c r="G289" s="198">
        <f t="shared" si="21"/>
        <v>3800</v>
      </c>
      <c r="H289" s="353">
        <f>VLOOKUP(C289,[1]TB!$B$3:$D$503,3,0)</f>
        <v>9500000</v>
      </c>
      <c r="I289" s="198">
        <f>G289*F289</f>
        <v>254.60000000000002</v>
      </c>
      <c r="J289" s="354">
        <f>VLOOKUP(C289,[1]TB!$B$3:$E$205,4,0)</f>
        <v>5</v>
      </c>
    </row>
    <row r="290" spans="1:10" ht="19.5" customHeight="1" x14ac:dyDescent="0.35">
      <c r="A290" s="231"/>
      <c r="B290" s="215">
        <v>8</v>
      </c>
      <c r="C290" s="17" t="s">
        <v>52</v>
      </c>
      <c r="D290" s="18" t="s">
        <v>53</v>
      </c>
      <c r="E290" s="18"/>
      <c r="F290" s="18">
        <v>17.25</v>
      </c>
      <c r="G290" s="198"/>
      <c r="H290" s="353">
        <f>VLOOKUP(C290,[1]TB!$B$3:$D$503,3,0)</f>
        <v>1838</v>
      </c>
      <c r="I290" s="198">
        <f>H290*F290</f>
        <v>31705.5</v>
      </c>
      <c r="J290" s="354">
        <f>VLOOKUP(C290,[1]TB!$B$3:$E$205,4,0)</f>
        <v>0</v>
      </c>
    </row>
    <row r="291" spans="1:10" ht="19.5" customHeight="1" x14ac:dyDescent="0.35">
      <c r="A291" s="226">
        <v>33</v>
      </c>
      <c r="B291" s="202" t="s">
        <v>11</v>
      </c>
      <c r="C291" s="210" t="s">
        <v>461</v>
      </c>
      <c r="D291" s="199"/>
      <c r="E291" s="199"/>
      <c r="F291" s="220"/>
      <c r="G291" s="198"/>
      <c r="H291" s="208"/>
      <c r="I291" s="230">
        <f>SUM(I292:I303)</f>
        <v>83267.680000000008</v>
      </c>
      <c r="J291" s="354"/>
    </row>
    <row r="292" spans="1:10" ht="19.5" customHeight="1" x14ac:dyDescent="0.35">
      <c r="A292" s="226"/>
      <c r="B292" s="196">
        <v>1</v>
      </c>
      <c r="C292" s="206" t="s">
        <v>173</v>
      </c>
      <c r="D292" s="207" t="s">
        <v>79</v>
      </c>
      <c r="E292" s="207">
        <v>0.3</v>
      </c>
      <c r="F292" s="18">
        <v>0.35</v>
      </c>
      <c r="G292" s="198">
        <f t="shared" ref="G292:G303" si="23">H292/(J292*$J$82)</f>
        <v>6208</v>
      </c>
      <c r="H292" s="353">
        <f>VLOOKUP(C292,[1]TB!$B$3:$D$503,3,0)</f>
        <v>31040000</v>
      </c>
      <c r="I292" s="198">
        <f t="shared" si="15"/>
        <v>2172.7999999999997</v>
      </c>
      <c r="J292" s="354">
        <f>VLOOKUP(C292,[1]TB!$B$3:$E$205,4,0)</f>
        <v>10</v>
      </c>
    </row>
    <row r="293" spans="1:10" ht="19.5" customHeight="1" x14ac:dyDescent="0.35">
      <c r="A293" s="226"/>
      <c r="B293" s="196">
        <v>2</v>
      </c>
      <c r="C293" s="206" t="s">
        <v>631</v>
      </c>
      <c r="D293" s="207" t="s">
        <v>28</v>
      </c>
      <c r="E293" s="207">
        <v>0.06</v>
      </c>
      <c r="F293" s="18">
        <v>0.2</v>
      </c>
      <c r="G293" s="198">
        <f t="shared" si="23"/>
        <v>7500</v>
      </c>
      <c r="H293" s="353">
        <f>VLOOKUP(C293,[1]TB!$B$3:$D$503,3,0)</f>
        <v>30000000</v>
      </c>
      <c r="I293" s="198">
        <f t="shared" si="15"/>
        <v>1500</v>
      </c>
      <c r="J293" s="354">
        <f>VLOOKUP(C293,[1]TB!$B$3:$E$205,4,0)</f>
        <v>8</v>
      </c>
    </row>
    <row r="294" spans="1:10" ht="19.5" customHeight="1" x14ac:dyDescent="0.35">
      <c r="A294" s="226"/>
      <c r="B294" s="196">
        <v>3</v>
      </c>
      <c r="C294" s="206" t="s">
        <v>632</v>
      </c>
      <c r="D294" s="18" t="s">
        <v>28</v>
      </c>
      <c r="E294" s="207">
        <v>0.16</v>
      </c>
      <c r="F294" s="18">
        <v>0.04</v>
      </c>
      <c r="G294" s="198">
        <f t="shared" si="23"/>
        <v>14700</v>
      </c>
      <c r="H294" s="353">
        <f>VLOOKUP(C294,[1]TB!$B$3:$D$503,3,0)</f>
        <v>58800000</v>
      </c>
      <c r="I294" s="198">
        <f>G294*F294</f>
        <v>588</v>
      </c>
      <c r="J294" s="354">
        <f>VLOOKUP(C294,[1]TB!$B$3:$E$205,4,0)</f>
        <v>8</v>
      </c>
    </row>
    <row r="295" spans="1:10" ht="19.5" customHeight="1" x14ac:dyDescent="0.35">
      <c r="A295" s="226"/>
      <c r="B295" s="196">
        <v>4</v>
      </c>
      <c r="C295" s="17" t="s">
        <v>190</v>
      </c>
      <c r="D295" s="18" t="s">
        <v>28</v>
      </c>
      <c r="E295" s="207">
        <v>0.16</v>
      </c>
      <c r="F295" s="18">
        <v>0.4</v>
      </c>
      <c r="G295" s="198">
        <f t="shared" si="23"/>
        <v>23520</v>
      </c>
      <c r="H295" s="353">
        <f>VLOOKUP(C295,[1]TB!$B$3:$D$503,3,0)</f>
        <v>58800000</v>
      </c>
      <c r="I295" s="198">
        <f>G295*F295</f>
        <v>9408</v>
      </c>
      <c r="J295" s="354">
        <f>VLOOKUP(C295,[1]TB!$B$3:$E$205,4,0)</f>
        <v>5</v>
      </c>
    </row>
    <row r="296" spans="1:10" ht="19.5" customHeight="1" x14ac:dyDescent="0.35">
      <c r="A296" s="226"/>
      <c r="B296" s="196">
        <v>5</v>
      </c>
      <c r="C296" s="206" t="s">
        <v>195</v>
      </c>
      <c r="D296" s="207" t="s">
        <v>36</v>
      </c>
      <c r="E296" s="207">
        <v>0.3</v>
      </c>
      <c r="F296" s="18">
        <v>0.1</v>
      </c>
      <c r="G296" s="198">
        <f t="shared" si="23"/>
        <v>47384.800000000003</v>
      </c>
      <c r="H296" s="353">
        <f>VLOOKUP(C296,[1]TB!$B$3:$D$503,3,0)</f>
        <v>118462000</v>
      </c>
      <c r="I296" s="198">
        <f t="shared" si="15"/>
        <v>4738.4800000000005</v>
      </c>
      <c r="J296" s="354">
        <f>VLOOKUP(C296,[1]TB!$B$3:$E$205,4,0)</f>
        <v>5</v>
      </c>
    </row>
    <row r="297" spans="1:10" ht="19.5" customHeight="1" x14ac:dyDescent="0.35">
      <c r="A297" s="226"/>
      <c r="B297" s="196">
        <v>6</v>
      </c>
      <c r="C297" s="206" t="s">
        <v>196</v>
      </c>
      <c r="D297" s="207" t="s">
        <v>36</v>
      </c>
      <c r="E297" s="207">
        <v>0.65</v>
      </c>
      <c r="F297" s="18">
        <v>0.1</v>
      </c>
      <c r="G297" s="198">
        <f t="shared" si="23"/>
        <v>38892</v>
      </c>
      <c r="H297" s="353">
        <f>VLOOKUP(C297,[1]TB!$B$3:$D$503,3,0)</f>
        <v>97230000</v>
      </c>
      <c r="I297" s="198">
        <f t="shared" si="15"/>
        <v>3889.2000000000003</v>
      </c>
      <c r="J297" s="354">
        <f>VLOOKUP(C297,[1]TB!$B$3:$E$205,4,0)</f>
        <v>5</v>
      </c>
    </row>
    <row r="298" spans="1:10" ht="19.5" customHeight="1" x14ac:dyDescent="0.35">
      <c r="A298" s="226"/>
      <c r="B298" s="196">
        <v>7</v>
      </c>
      <c r="C298" s="206" t="s">
        <v>197</v>
      </c>
      <c r="D298" s="207" t="s">
        <v>79</v>
      </c>
      <c r="E298" s="207">
        <v>0.1</v>
      </c>
      <c r="F298" s="18">
        <v>0.2</v>
      </c>
      <c r="G298" s="198">
        <f t="shared" si="23"/>
        <v>52500</v>
      </c>
      <c r="H298" s="353">
        <f>VLOOKUP(C298,[1]TB!$B$3:$D$503,3,0)</f>
        <v>131250000</v>
      </c>
      <c r="I298" s="198">
        <f t="shared" si="15"/>
        <v>10500</v>
      </c>
      <c r="J298" s="354">
        <f>VLOOKUP(C298,[1]TB!$B$3:$E$205,4,0)</f>
        <v>5</v>
      </c>
    </row>
    <row r="299" spans="1:10" ht="19.5" customHeight="1" x14ac:dyDescent="0.35">
      <c r="A299" s="226"/>
      <c r="B299" s="196">
        <v>8</v>
      </c>
      <c r="C299" s="206" t="s">
        <v>198</v>
      </c>
      <c r="D299" s="207" t="s">
        <v>79</v>
      </c>
      <c r="E299" s="207">
        <v>0.1</v>
      </c>
      <c r="F299" s="18">
        <v>0.3</v>
      </c>
      <c r="G299" s="198">
        <f t="shared" si="23"/>
        <v>19740</v>
      </c>
      <c r="H299" s="353">
        <f>VLOOKUP(C299,[1]TB!$B$3:$D$503,3,0)</f>
        <v>49350000</v>
      </c>
      <c r="I299" s="198">
        <f t="shared" si="15"/>
        <v>5922</v>
      </c>
      <c r="J299" s="354">
        <f>VLOOKUP(C299,[1]TB!$B$3:$E$205,4,0)</f>
        <v>5</v>
      </c>
    </row>
    <row r="300" spans="1:10" ht="19.5" customHeight="1" x14ac:dyDescent="0.35">
      <c r="A300" s="226"/>
      <c r="B300" s="196">
        <v>9</v>
      </c>
      <c r="C300" s="206" t="s">
        <v>199</v>
      </c>
      <c r="D300" s="207" t="s">
        <v>36</v>
      </c>
      <c r="E300" s="207">
        <v>0.37</v>
      </c>
      <c r="F300" s="18">
        <v>0.3</v>
      </c>
      <c r="G300" s="198">
        <f t="shared" si="23"/>
        <v>12936</v>
      </c>
      <c r="H300" s="353">
        <f>VLOOKUP(C300,[1]TB!$B$3:$D$503,3,0)</f>
        <v>32340000</v>
      </c>
      <c r="I300" s="198">
        <f t="shared" si="15"/>
        <v>3880.7999999999997</v>
      </c>
      <c r="J300" s="354">
        <f>VLOOKUP(C300,[1]TB!$B$3:$E$205,4,0)</f>
        <v>5</v>
      </c>
    </row>
    <row r="301" spans="1:10" ht="19.5" customHeight="1" x14ac:dyDescent="0.35">
      <c r="A301" s="226"/>
      <c r="B301" s="196">
        <v>10</v>
      </c>
      <c r="C301" s="206" t="s">
        <v>200</v>
      </c>
      <c r="D301" s="207" t="s">
        <v>36</v>
      </c>
      <c r="E301" s="207">
        <v>3</v>
      </c>
      <c r="F301" s="18">
        <v>0.1</v>
      </c>
      <c r="G301" s="198">
        <f t="shared" si="23"/>
        <v>240938</v>
      </c>
      <c r="H301" s="353">
        <f>VLOOKUP(C301,[1]TB!$B$3:$D$503,3,0)</f>
        <v>1204690000</v>
      </c>
      <c r="I301" s="198">
        <f t="shared" si="15"/>
        <v>24093.800000000003</v>
      </c>
      <c r="J301" s="354">
        <f>VLOOKUP(C301,[1]TB!$B$3:$E$205,4,0)</f>
        <v>10</v>
      </c>
    </row>
    <row r="302" spans="1:10" ht="19.5" customHeight="1" x14ac:dyDescent="0.35">
      <c r="A302" s="226"/>
      <c r="B302" s="196">
        <v>11</v>
      </c>
      <c r="C302" s="206" t="s">
        <v>175</v>
      </c>
      <c r="D302" s="207" t="s">
        <v>79</v>
      </c>
      <c r="E302" s="207">
        <v>2.2000000000000002</v>
      </c>
      <c r="F302" s="18">
        <v>6.7000000000000004E-2</v>
      </c>
      <c r="G302" s="198">
        <f t="shared" si="23"/>
        <v>3800</v>
      </c>
      <c r="H302" s="353">
        <f>VLOOKUP(C302,[1]TB!$B$3:$D$503,3,0)</f>
        <v>9500000</v>
      </c>
      <c r="I302" s="198">
        <f t="shared" si="15"/>
        <v>254.60000000000002</v>
      </c>
      <c r="J302" s="354">
        <f>VLOOKUP(C302,[1]TB!$B$3:$E$205,4,0)</f>
        <v>5</v>
      </c>
    </row>
    <row r="303" spans="1:10" ht="19.5" customHeight="1" x14ac:dyDescent="0.35">
      <c r="A303" s="226"/>
      <c r="B303" s="196">
        <v>12</v>
      </c>
      <c r="C303" s="206" t="s">
        <v>201</v>
      </c>
      <c r="D303" s="207" t="s">
        <v>36</v>
      </c>
      <c r="E303" s="207">
        <v>0.2</v>
      </c>
      <c r="F303" s="18">
        <v>0.4</v>
      </c>
      <c r="G303" s="198">
        <f t="shared" si="23"/>
        <v>40800</v>
      </c>
      <c r="H303" s="353">
        <f>VLOOKUP(C303,[1]TB!$B$3:$D$503,3,0)</f>
        <v>102000000</v>
      </c>
      <c r="I303" s="198">
        <f t="shared" si="15"/>
        <v>16320</v>
      </c>
      <c r="J303" s="354">
        <f>VLOOKUP(C303,[1]TB!$B$3:$E$205,4,0)</f>
        <v>5</v>
      </c>
    </row>
    <row r="304" spans="1:10" ht="19.5" customHeight="1" x14ac:dyDescent="0.35">
      <c r="A304" s="226"/>
      <c r="B304" s="196">
        <v>13</v>
      </c>
      <c r="C304" s="206" t="s">
        <v>52</v>
      </c>
      <c r="D304" s="207" t="s">
        <v>53</v>
      </c>
      <c r="E304" s="207"/>
      <c r="F304" s="211">
        <v>40.479999999999997</v>
      </c>
      <c r="G304" s="198"/>
      <c r="H304" s="353">
        <f>VLOOKUP(C304,[1]TB!$B$3:$D$503,3,0)</f>
        <v>1838</v>
      </c>
      <c r="I304" s="198">
        <f>H304*F304</f>
        <v>74402.239999999991</v>
      </c>
      <c r="J304" s="354">
        <f>VLOOKUP(C304,[1]TB!$B$3:$E$205,4,0)</f>
        <v>0</v>
      </c>
    </row>
    <row r="305" spans="1:10" ht="19.5" customHeight="1" x14ac:dyDescent="0.35">
      <c r="A305" s="226">
        <v>34</v>
      </c>
      <c r="B305" s="202" t="s">
        <v>13</v>
      </c>
      <c r="C305" s="568" t="s">
        <v>169</v>
      </c>
      <c r="D305" s="568"/>
      <c r="E305" s="568"/>
      <c r="F305" s="568"/>
      <c r="G305" s="574" t="s">
        <v>469</v>
      </c>
      <c r="H305" s="574"/>
      <c r="I305" s="227">
        <f>I291</f>
        <v>83267.680000000008</v>
      </c>
      <c r="J305" s="354"/>
    </row>
    <row r="306" spans="1:10" ht="19.5" customHeight="1" x14ac:dyDescent="0.35">
      <c r="A306" s="226">
        <v>35</v>
      </c>
      <c r="B306" s="202" t="s">
        <v>15</v>
      </c>
      <c r="C306" s="568" t="s">
        <v>21</v>
      </c>
      <c r="D306" s="568"/>
      <c r="E306" s="568"/>
      <c r="F306" s="568"/>
      <c r="G306" s="574" t="s">
        <v>469</v>
      </c>
      <c r="H306" s="574"/>
      <c r="I306" s="227">
        <f>I291</f>
        <v>83267.680000000008</v>
      </c>
      <c r="J306" s="354"/>
    </row>
    <row r="307" spans="1:10" ht="19.5" customHeight="1" x14ac:dyDescent="0.35">
      <c r="A307" s="233">
        <v>36</v>
      </c>
      <c r="B307" s="202" t="s">
        <v>468</v>
      </c>
      <c r="C307" s="568" t="s">
        <v>528</v>
      </c>
      <c r="D307" s="568"/>
      <c r="E307" s="568"/>
      <c r="F307" s="568"/>
      <c r="G307" s="198"/>
      <c r="H307" s="208"/>
      <c r="I307" s="230">
        <f>SUM(I308:I317)</f>
        <v>75825.279999999999</v>
      </c>
      <c r="J307" s="354"/>
    </row>
    <row r="308" spans="1:10" ht="19.5" customHeight="1" x14ac:dyDescent="0.35">
      <c r="A308" s="226"/>
      <c r="B308" s="196">
        <v>1</v>
      </c>
      <c r="C308" s="206" t="s">
        <v>179</v>
      </c>
      <c r="D308" s="207" t="s">
        <v>28</v>
      </c>
      <c r="E308" s="207">
        <v>0.1</v>
      </c>
      <c r="F308" s="18">
        <v>0.2</v>
      </c>
      <c r="G308" s="198">
        <f t="shared" ref="G308:G317" si="24">H308/(J308*$J$82)</f>
        <v>57960</v>
      </c>
      <c r="H308" s="353">
        <f>VLOOKUP(C308,[1]TB!$B$3:$D$503,3,0)</f>
        <v>144900000</v>
      </c>
      <c r="I308" s="198">
        <f t="shared" si="15"/>
        <v>11592</v>
      </c>
      <c r="J308" s="354">
        <f>VLOOKUP(C308,[1]TB!$B$3:$E$205,4,0)</f>
        <v>5</v>
      </c>
    </row>
    <row r="309" spans="1:10" ht="19.5" customHeight="1" x14ac:dyDescent="0.35">
      <c r="A309" s="226"/>
      <c r="B309" s="196">
        <v>2</v>
      </c>
      <c r="C309" s="206" t="s">
        <v>173</v>
      </c>
      <c r="D309" s="207" t="s">
        <v>28</v>
      </c>
      <c r="E309" s="207">
        <v>0.3</v>
      </c>
      <c r="F309" s="18">
        <v>0.35</v>
      </c>
      <c r="G309" s="198">
        <f t="shared" si="24"/>
        <v>6208</v>
      </c>
      <c r="H309" s="353">
        <f>VLOOKUP(C309,[1]TB!$B$3:$D$503,3,0)</f>
        <v>31040000</v>
      </c>
      <c r="I309" s="198">
        <f t="shared" si="15"/>
        <v>2172.7999999999997</v>
      </c>
      <c r="J309" s="354">
        <f>VLOOKUP(C309,[1]TB!$B$3:$E$205,4,0)</f>
        <v>10</v>
      </c>
    </row>
    <row r="310" spans="1:10" ht="19.5" customHeight="1" x14ac:dyDescent="0.35">
      <c r="A310" s="226"/>
      <c r="B310" s="196">
        <v>3</v>
      </c>
      <c r="C310" s="206" t="s">
        <v>632</v>
      </c>
      <c r="D310" s="18" t="s">
        <v>28</v>
      </c>
      <c r="E310" s="207">
        <v>0.16</v>
      </c>
      <c r="F310" s="18">
        <v>0.04</v>
      </c>
      <c r="G310" s="198">
        <f t="shared" si="24"/>
        <v>14700</v>
      </c>
      <c r="H310" s="353">
        <f>VLOOKUP(C310,[1]TB!$B$3:$D$503,3,0)</f>
        <v>58800000</v>
      </c>
      <c r="I310" s="198">
        <f>G310*F310</f>
        <v>588</v>
      </c>
      <c r="J310" s="354">
        <f>VLOOKUP(C310,[1]TB!$B$3:$E$205,4,0)</f>
        <v>8</v>
      </c>
    </row>
    <row r="311" spans="1:10" ht="19.5" customHeight="1" x14ac:dyDescent="0.35">
      <c r="A311" s="226"/>
      <c r="B311" s="196">
        <v>4</v>
      </c>
      <c r="C311" s="17" t="s">
        <v>190</v>
      </c>
      <c r="D311" s="18" t="s">
        <v>28</v>
      </c>
      <c r="E311" s="207">
        <v>0.16</v>
      </c>
      <c r="F311" s="18">
        <v>0.4</v>
      </c>
      <c r="G311" s="198">
        <f t="shared" si="24"/>
        <v>23520</v>
      </c>
      <c r="H311" s="353">
        <f>VLOOKUP(C311,[1]TB!$B$3:$D$503,3,0)</f>
        <v>58800000</v>
      </c>
      <c r="I311" s="198">
        <f>G311*F311</f>
        <v>9408</v>
      </c>
      <c r="J311" s="354">
        <f>VLOOKUP(C311,[1]TB!$B$3:$E$205,4,0)</f>
        <v>5</v>
      </c>
    </row>
    <row r="312" spans="1:10" ht="19.5" customHeight="1" x14ac:dyDescent="0.35">
      <c r="A312" s="226"/>
      <c r="B312" s="196">
        <v>5</v>
      </c>
      <c r="C312" s="206" t="s">
        <v>184</v>
      </c>
      <c r="D312" s="207" t="s">
        <v>28</v>
      </c>
      <c r="E312" s="207">
        <v>0.1</v>
      </c>
      <c r="F312" s="86">
        <v>0.03</v>
      </c>
      <c r="G312" s="198">
        <f t="shared" si="24"/>
        <v>126896</v>
      </c>
      <c r="H312" s="353">
        <f>VLOOKUP(C312,[1]TB!$B$3:$D$503,3,0)</f>
        <v>317240000</v>
      </c>
      <c r="I312" s="198">
        <f t="shared" si="15"/>
        <v>3806.8799999999997</v>
      </c>
      <c r="J312" s="354">
        <f>VLOOKUP(C312,[1]TB!$B$3:$E$205,4,0)</f>
        <v>5</v>
      </c>
    </row>
    <row r="313" spans="1:10" ht="19.5" customHeight="1" x14ac:dyDescent="0.35">
      <c r="A313" s="226"/>
      <c r="B313" s="196">
        <v>6</v>
      </c>
      <c r="C313" s="206" t="s">
        <v>185</v>
      </c>
      <c r="D313" s="207" t="s">
        <v>36</v>
      </c>
      <c r="E313" s="207">
        <v>2.2999999999999998</v>
      </c>
      <c r="F313" s="18">
        <v>0.45</v>
      </c>
      <c r="G313" s="198">
        <f t="shared" si="24"/>
        <v>11340</v>
      </c>
      <c r="H313" s="353">
        <f>VLOOKUP(C313,[1]TB!$B$3:$D$503,3,0)</f>
        <v>28350000</v>
      </c>
      <c r="I313" s="198">
        <f t="shared" si="15"/>
        <v>5103</v>
      </c>
      <c r="J313" s="354">
        <f>VLOOKUP(C313,[1]TB!$B$3:$E$205,4,0)</f>
        <v>5</v>
      </c>
    </row>
    <row r="314" spans="1:10" ht="19.5" customHeight="1" x14ac:dyDescent="0.35">
      <c r="A314" s="226"/>
      <c r="B314" s="196">
        <v>7</v>
      </c>
      <c r="C314" s="206" t="s">
        <v>631</v>
      </c>
      <c r="D314" s="207" t="s">
        <v>28</v>
      </c>
      <c r="E314" s="207">
        <v>0.06</v>
      </c>
      <c r="F314" s="86">
        <v>0.2</v>
      </c>
      <c r="G314" s="198">
        <f t="shared" si="24"/>
        <v>7500</v>
      </c>
      <c r="H314" s="353">
        <f>VLOOKUP(C314,[1]TB!$B$3:$D$503,3,0)</f>
        <v>30000000</v>
      </c>
      <c r="I314" s="198">
        <f t="shared" si="15"/>
        <v>1500</v>
      </c>
      <c r="J314" s="354">
        <f>VLOOKUP(C314,[1]TB!$B$3:$E$205,4,0)</f>
        <v>8</v>
      </c>
    </row>
    <row r="315" spans="1:10" ht="19.5" customHeight="1" x14ac:dyDescent="0.35">
      <c r="A315" s="226"/>
      <c r="B315" s="196">
        <v>8</v>
      </c>
      <c r="C315" s="206" t="s">
        <v>202</v>
      </c>
      <c r="D315" s="207" t="s">
        <v>36</v>
      </c>
      <c r="E315" s="207">
        <v>3</v>
      </c>
      <c r="F315" s="86">
        <v>0.03</v>
      </c>
      <c r="G315" s="198">
        <f t="shared" si="24"/>
        <v>1116000</v>
      </c>
      <c r="H315" s="353">
        <f>VLOOKUP(C315,[1]TB!$B$3:$D$503,3,0)</f>
        <v>5580000000</v>
      </c>
      <c r="I315" s="198">
        <f t="shared" si="15"/>
        <v>33480</v>
      </c>
      <c r="J315" s="354">
        <f>VLOOKUP(C315,[1]TB!$B$3:$E$205,4,0)</f>
        <v>10</v>
      </c>
    </row>
    <row r="316" spans="1:10" ht="19.5" customHeight="1" x14ac:dyDescent="0.35">
      <c r="A316" s="226"/>
      <c r="B316" s="196">
        <v>9</v>
      </c>
      <c r="C316" s="206" t="s">
        <v>644</v>
      </c>
      <c r="D316" s="207" t="s">
        <v>36</v>
      </c>
      <c r="E316" s="196">
        <v>0.18</v>
      </c>
      <c r="F316" s="18">
        <v>0.2</v>
      </c>
      <c r="G316" s="198">
        <f t="shared" si="24"/>
        <v>39600</v>
      </c>
      <c r="H316" s="353">
        <f>VLOOKUP(C316,[1]TB!$B$3:$D$503,3,0)</f>
        <v>99000000</v>
      </c>
      <c r="I316" s="198">
        <f t="shared" si="15"/>
        <v>7920</v>
      </c>
      <c r="J316" s="354">
        <f>VLOOKUP(C316,[1]TB!$B$3:$E$205,4,0)</f>
        <v>5</v>
      </c>
    </row>
    <row r="317" spans="1:10" ht="19.5" customHeight="1" x14ac:dyDescent="0.35">
      <c r="A317" s="226"/>
      <c r="B317" s="196">
        <v>10</v>
      </c>
      <c r="C317" s="206" t="s">
        <v>175</v>
      </c>
      <c r="D317" s="207" t="s">
        <v>28</v>
      </c>
      <c r="E317" s="207">
        <v>2.2000000000000002</v>
      </c>
      <c r="F317" s="18">
        <v>6.7000000000000004E-2</v>
      </c>
      <c r="G317" s="198">
        <f t="shared" si="24"/>
        <v>3800</v>
      </c>
      <c r="H317" s="353">
        <f>VLOOKUP(C317,[1]TB!$B$3:$D$503,3,0)</f>
        <v>9500000</v>
      </c>
      <c r="I317" s="198">
        <f t="shared" si="15"/>
        <v>254.60000000000002</v>
      </c>
      <c r="J317" s="354">
        <f>VLOOKUP(C317,[1]TB!$B$3:$E$205,4,0)</f>
        <v>5</v>
      </c>
    </row>
    <row r="318" spans="1:10" ht="19.5" customHeight="1" x14ac:dyDescent="0.35">
      <c r="A318" s="226"/>
      <c r="B318" s="196">
        <v>11</v>
      </c>
      <c r="C318" s="206" t="s">
        <v>52</v>
      </c>
      <c r="D318" s="207" t="s">
        <v>53</v>
      </c>
      <c r="E318" s="207"/>
      <c r="F318" s="200">
        <v>55.75</v>
      </c>
      <c r="G318" s="198"/>
      <c r="H318" s="353">
        <f>VLOOKUP(C318,[1]TB!$B$3:$D$503,3,0)</f>
        <v>1838</v>
      </c>
      <c r="I318" s="198">
        <f>H318*F318</f>
        <v>102468.5</v>
      </c>
      <c r="J318" s="354">
        <f>VLOOKUP(C318,[1]TB!$B$3:$E$205,4,0)</f>
        <v>0</v>
      </c>
    </row>
  </sheetData>
  <sheetProtection selectLockedCells="1"/>
  <autoFilter ref="A1:J318"/>
  <mergeCells count="56">
    <mergeCell ref="C306:F306"/>
    <mergeCell ref="C307:F307"/>
    <mergeCell ref="G306:H306"/>
    <mergeCell ref="C83:D83"/>
    <mergeCell ref="C100:D100"/>
    <mergeCell ref="C90:D90"/>
    <mergeCell ref="C256:D256"/>
    <mergeCell ref="G305:H305"/>
    <mergeCell ref="C273:F273"/>
    <mergeCell ref="C130:F130"/>
    <mergeCell ref="C282:F282"/>
    <mergeCell ref="F118:H118"/>
    <mergeCell ref="F176:G176"/>
    <mergeCell ref="F119:H119"/>
    <mergeCell ref="F120:H120"/>
    <mergeCell ref="F241:H241"/>
    <mergeCell ref="B82:I82"/>
    <mergeCell ref="C305:F305"/>
    <mergeCell ref="C50:G50"/>
    <mergeCell ref="C74:D74"/>
    <mergeCell ref="C75:D75"/>
    <mergeCell ref="F255:H255"/>
    <mergeCell ref="F54:H54"/>
    <mergeCell ref="F55:H55"/>
    <mergeCell ref="F56:H56"/>
    <mergeCell ref="F57:H57"/>
    <mergeCell ref="F58:H58"/>
    <mergeCell ref="F59:H59"/>
    <mergeCell ref="F60:H60"/>
    <mergeCell ref="F62:H62"/>
    <mergeCell ref="F63:H63"/>
    <mergeCell ref="F64:H64"/>
    <mergeCell ref="F66:H66"/>
    <mergeCell ref="B2:H2"/>
    <mergeCell ref="B3:H3"/>
    <mergeCell ref="F41:H41"/>
    <mergeCell ref="F73:H73"/>
    <mergeCell ref="D24:F24"/>
    <mergeCell ref="F65:H65"/>
    <mergeCell ref="F67:H67"/>
    <mergeCell ref="F68:H68"/>
    <mergeCell ref="F69:H69"/>
    <mergeCell ref="F70:H70"/>
    <mergeCell ref="F71:H71"/>
    <mergeCell ref="F72:H72"/>
    <mergeCell ref="F61:H61"/>
    <mergeCell ref="F74:H74"/>
    <mergeCell ref="F75:H75"/>
    <mergeCell ref="F80:H80"/>
    <mergeCell ref="F81:H81"/>
    <mergeCell ref="C76:F76"/>
    <mergeCell ref="F268:H268"/>
    <mergeCell ref="F269:H269"/>
    <mergeCell ref="F270:H270"/>
    <mergeCell ref="F271:H271"/>
    <mergeCell ref="F272:H27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O85"/>
  <sheetViews>
    <sheetView tabSelected="1" topLeftCell="A61" workbookViewId="0">
      <pane xSplit="1" topLeftCell="B1" activePane="topRight" state="frozen"/>
      <selection pane="topRight" activeCell="K10" sqref="K10"/>
    </sheetView>
  </sheetViews>
  <sheetFormatPr defaultColWidth="9.1796875" defaultRowHeight="17.149999999999999" customHeight="1" x14ac:dyDescent="0.3"/>
  <cols>
    <col min="1" max="1" width="3.54296875" style="281" customWidth="1"/>
    <col min="2" max="2" width="10.54296875" style="275" customWidth="1"/>
    <col min="3" max="3" width="30" style="276" customWidth="1"/>
    <col min="4" max="4" width="10" style="277" customWidth="1" collapsed="1"/>
    <col min="5" max="5" width="13.453125" style="278" customWidth="1" collapsed="1"/>
    <col min="6" max="6" width="12.453125" style="279" customWidth="1" collapsed="1"/>
    <col min="7" max="7" width="8.1796875" style="277" customWidth="1" collapsed="1"/>
    <col min="8" max="8" width="10" style="279" customWidth="1" collapsed="1"/>
    <col min="9" max="9" width="11.26953125" style="279" customWidth="1"/>
    <col min="10" max="10" width="11" style="308" customWidth="1"/>
    <col min="11" max="11" width="13.453125" style="413" customWidth="1"/>
    <col min="12" max="16384" width="9.1796875" style="280"/>
  </cols>
  <sheetData>
    <row r="1" spans="1:11" ht="17.149999999999999" customHeight="1" x14ac:dyDescent="0.3">
      <c r="A1" s="586" t="s">
        <v>567</v>
      </c>
      <c r="B1" s="586"/>
      <c r="C1" s="586"/>
      <c r="D1" s="586"/>
      <c r="E1" s="586"/>
      <c r="F1" s="586"/>
      <c r="G1" s="586"/>
      <c r="H1" s="586"/>
      <c r="I1" s="586"/>
      <c r="J1" s="586"/>
      <c r="K1" s="586"/>
    </row>
    <row r="2" spans="1:11" ht="33" customHeight="1" x14ac:dyDescent="0.3">
      <c r="A2" s="584" t="s">
        <v>568</v>
      </c>
      <c r="B2" s="585"/>
      <c r="C2" s="585"/>
      <c r="D2" s="585"/>
      <c r="E2" s="585"/>
      <c r="F2" s="585"/>
      <c r="G2" s="585"/>
      <c r="H2" s="585"/>
      <c r="I2" s="585"/>
      <c r="J2" s="585"/>
      <c r="K2" s="585"/>
    </row>
    <row r="3" spans="1:11" ht="25.5" customHeight="1" x14ac:dyDescent="0.3">
      <c r="B3" s="590" t="s">
        <v>746</v>
      </c>
      <c r="C3" s="590"/>
      <c r="D3" s="282"/>
      <c r="F3" s="278"/>
      <c r="G3" s="282"/>
      <c r="H3" s="278"/>
      <c r="I3" s="587" t="s">
        <v>569</v>
      </c>
      <c r="J3" s="587"/>
      <c r="K3" s="587"/>
    </row>
    <row r="4" spans="1:11" s="289" customFormat="1" ht="48" customHeight="1" x14ac:dyDescent="0.3">
      <c r="A4" s="283" t="s">
        <v>223</v>
      </c>
      <c r="B4" s="284" t="s">
        <v>1</v>
      </c>
      <c r="C4" s="285" t="s">
        <v>2</v>
      </c>
      <c r="D4" s="286" t="s">
        <v>265</v>
      </c>
      <c r="E4" s="287" t="s">
        <v>266</v>
      </c>
      <c r="F4" s="287" t="s">
        <v>267</v>
      </c>
      <c r="G4" s="286" t="s">
        <v>268</v>
      </c>
      <c r="H4" s="287" t="s">
        <v>269</v>
      </c>
      <c r="I4" s="287" t="s">
        <v>270</v>
      </c>
      <c r="J4" s="288" t="s">
        <v>271</v>
      </c>
      <c r="K4" s="411" t="s">
        <v>693</v>
      </c>
    </row>
    <row r="5" spans="1:11" s="291" customFormat="1" ht="23.25" customHeight="1" x14ac:dyDescent="0.35">
      <c r="A5" s="271" t="s">
        <v>272</v>
      </c>
      <c r="B5" s="290" t="s">
        <v>273</v>
      </c>
      <c r="C5" s="272" t="s">
        <v>274</v>
      </c>
      <c r="D5" s="433">
        <v>1</v>
      </c>
      <c r="E5" s="433">
        <v>2</v>
      </c>
      <c r="F5" s="433">
        <v>3</v>
      </c>
      <c r="G5" s="433">
        <v>4</v>
      </c>
      <c r="H5" s="433">
        <v>5</v>
      </c>
      <c r="I5" s="433" t="s">
        <v>757</v>
      </c>
      <c r="J5" s="433" t="s">
        <v>758</v>
      </c>
      <c r="K5" s="434" t="s">
        <v>759</v>
      </c>
    </row>
    <row r="6" spans="1:11" ht="24.75" customHeight="1" x14ac:dyDescent="0.3">
      <c r="A6" s="292" t="s">
        <v>272</v>
      </c>
      <c r="B6" s="285" t="s">
        <v>570</v>
      </c>
      <c r="C6" s="285"/>
      <c r="D6" s="293"/>
      <c r="E6" s="293"/>
      <c r="F6" s="293"/>
      <c r="G6" s="293"/>
      <c r="H6" s="293"/>
      <c r="I6" s="274"/>
      <c r="J6" s="274"/>
      <c r="K6" s="410"/>
    </row>
    <row r="7" spans="1:11" s="297" customFormat="1" ht="24" customHeight="1" x14ac:dyDescent="0.3">
      <c r="A7" s="294" t="s">
        <v>275</v>
      </c>
      <c r="B7" s="295" t="s">
        <v>571</v>
      </c>
      <c r="C7" s="295"/>
      <c r="D7" s="295"/>
      <c r="E7" s="295"/>
      <c r="F7" s="295"/>
      <c r="G7" s="295"/>
      <c r="H7" s="295"/>
      <c r="I7" s="295"/>
      <c r="J7" s="296"/>
      <c r="K7" s="412"/>
    </row>
    <row r="8" spans="1:11" s="297" customFormat="1" ht="21" customHeight="1" x14ac:dyDescent="0.3">
      <c r="A8" s="298">
        <v>1</v>
      </c>
      <c r="B8" s="299" t="s">
        <v>377</v>
      </c>
      <c r="C8" s="378" t="s">
        <v>472</v>
      </c>
      <c r="D8" s="318">
        <f>VLOOKUP(B8,LDKT!$B$6:$G$1236,6,0)</f>
        <v>43767.6</v>
      </c>
      <c r="E8" s="318">
        <f>VLOOKUP(B8,Dcu!$A$7:$G$1960,7,0)</f>
        <v>2850.3461538461543</v>
      </c>
      <c r="F8" s="318">
        <f>VLOOKUP(B8,VL!$B$7:$G$1005,6,0)</f>
        <v>57834.000000000007</v>
      </c>
      <c r="G8" s="342">
        <v>0</v>
      </c>
      <c r="H8" s="319">
        <f>VLOOKUP(B8,TB!$B$4:$I$2042,8,0)</f>
        <v>2672.5023999999999</v>
      </c>
      <c r="I8" s="300">
        <f>D8+E8+F8+G8</f>
        <v>104451.94615384616</v>
      </c>
      <c r="J8" s="296">
        <f>I8*20%</f>
        <v>20890.389230769233</v>
      </c>
      <c r="K8" s="412">
        <f>ROUND((J8+I8),-2)</f>
        <v>125300</v>
      </c>
    </row>
    <row r="9" spans="1:11" s="297" customFormat="1" ht="22.5" customHeight="1" x14ac:dyDescent="0.3">
      <c r="A9" s="298">
        <v>2</v>
      </c>
      <c r="B9" s="299" t="s">
        <v>378</v>
      </c>
      <c r="C9" s="378" t="s">
        <v>471</v>
      </c>
      <c r="D9" s="318">
        <f>VLOOKUP(B9,LDKT!$B$6:$G$1236,6,0)</f>
        <v>43767.6</v>
      </c>
      <c r="E9" s="318">
        <f>VLOOKUP(B9,Dcu!$A$7:$G$1960,7,0)</f>
        <v>2850.3461538461543</v>
      </c>
      <c r="F9" s="318">
        <f>VLOOKUP(B9,VL!$B$7:$G$1005,6,0)</f>
        <v>87156</v>
      </c>
      <c r="G9" s="301">
        <v>0</v>
      </c>
      <c r="H9" s="319">
        <f>VLOOKUP(B9,TB!$B$4:$I$2042,8,0)</f>
        <v>2672.5023999999999</v>
      </c>
      <c r="I9" s="300">
        <f t="shared" ref="I9:I19" si="0">D9+E9+F9+G9</f>
        <v>133773.94615384616</v>
      </c>
      <c r="J9" s="296">
        <f>I9*20%</f>
        <v>26754.789230769235</v>
      </c>
      <c r="K9" s="412">
        <f t="shared" ref="K9:K82" si="1">ROUND((J9+I9),-2)</f>
        <v>160500</v>
      </c>
    </row>
    <row r="10" spans="1:11" s="297" customFormat="1" ht="24" customHeight="1" x14ac:dyDescent="0.3">
      <c r="A10" s="298">
        <v>3</v>
      </c>
      <c r="B10" s="302" t="s">
        <v>379</v>
      </c>
      <c r="C10" s="378" t="s">
        <v>622</v>
      </c>
      <c r="D10" s="318">
        <f>VLOOKUP(B10,LDKT!$B$6:$G$1236,6,0)</f>
        <v>98187.599999999991</v>
      </c>
      <c r="E10" s="318">
        <f>VLOOKUP(B10,Dcu!$A$7:$G$1960,7,0)</f>
        <v>3102.5076923076931</v>
      </c>
      <c r="F10" s="318">
        <f>VLOOKUP(B10,VL!$B$7:$G$1005,6,0)</f>
        <v>2646</v>
      </c>
      <c r="G10" s="301">
        <v>0</v>
      </c>
      <c r="H10" s="319">
        <f>VLOOKUP(B10,TB!$B$4:$I$2042,8,0)</f>
        <v>838.74239999999998</v>
      </c>
      <c r="I10" s="300">
        <f t="shared" si="0"/>
        <v>103936.10769230769</v>
      </c>
      <c r="J10" s="296">
        <f>I10*20%</f>
        <v>20787.221538461541</v>
      </c>
      <c r="K10" s="412">
        <f t="shared" si="1"/>
        <v>124700</v>
      </c>
    </row>
    <row r="11" spans="1:11" s="297" customFormat="1" ht="15.5" x14ac:dyDescent="0.3">
      <c r="A11" s="298">
        <v>4</v>
      </c>
      <c r="B11" s="302" t="s">
        <v>695</v>
      </c>
      <c r="C11" s="378" t="s">
        <v>562</v>
      </c>
      <c r="D11" s="318">
        <f>VLOOKUP(B11,LDKT!$B$6:$G$1236,6,0)</f>
        <v>43767.6</v>
      </c>
      <c r="E11" s="318">
        <f>VLOOKUP(B11,Dcu!$A$7:$G$1960,7,0)</f>
        <v>4655.4846153846156</v>
      </c>
      <c r="F11" s="318">
        <f>VLOOKUP(B11,VL!$B$7:$G$1005,6,0)</f>
        <v>70416</v>
      </c>
      <c r="G11" s="301">
        <v>0</v>
      </c>
      <c r="H11" s="319">
        <f>VLOOKUP(B11,TB!$B$4:$I$2042,8,0)</f>
        <v>838.74239999999998</v>
      </c>
      <c r="I11" s="296">
        <f t="shared" si="0"/>
        <v>118839.08461538461</v>
      </c>
      <c r="J11" s="296">
        <f t="shared" ref="J11:J65" si="2">I11*20%</f>
        <v>23767.816923076924</v>
      </c>
      <c r="K11" s="412">
        <f t="shared" si="1"/>
        <v>142600</v>
      </c>
    </row>
    <row r="12" spans="1:11" s="297" customFormat="1" ht="15.5" x14ac:dyDescent="0.3">
      <c r="A12" s="298">
        <v>5</v>
      </c>
      <c r="B12" s="302" t="s">
        <v>694</v>
      </c>
      <c r="C12" s="378" t="s">
        <v>723</v>
      </c>
      <c r="D12" s="318">
        <f>VLOOKUP(B12,LDKT!$B$6:$G$1236,6,0)</f>
        <v>43767.6</v>
      </c>
      <c r="E12" s="318">
        <f>VLOOKUP(B12,Dcu!$A$7:$G$1960,7,0)</f>
        <v>4655.4846153846156</v>
      </c>
      <c r="F12" s="318">
        <f>VLOOKUP(B12,VL!$B$7:$G$1005,6,0)</f>
        <v>70416</v>
      </c>
      <c r="G12" s="301">
        <v>0</v>
      </c>
      <c r="H12" s="319">
        <f>VLOOKUP(B12,TB!$B$4:$I$2042,8,0)</f>
        <v>838.74239999999998</v>
      </c>
      <c r="I12" s="296">
        <f t="shared" ref="I12" si="3">D12+E12+F12+G12</f>
        <v>118839.08461538461</v>
      </c>
      <c r="J12" s="296">
        <f t="shared" ref="J12" si="4">I12*20%</f>
        <v>23767.816923076924</v>
      </c>
      <c r="K12" s="412">
        <f t="shared" ref="K12" si="5">ROUND((J12+I12),-2)</f>
        <v>142600</v>
      </c>
    </row>
    <row r="13" spans="1:11" s="297" customFormat="1" ht="18.75" customHeight="1" x14ac:dyDescent="0.3">
      <c r="A13" s="298">
        <v>6</v>
      </c>
      <c r="B13" s="299" t="s">
        <v>427</v>
      </c>
      <c r="C13" s="379" t="s">
        <v>666</v>
      </c>
      <c r="D13" s="318">
        <f>VLOOKUP(B13,LDKT!$B$6:$G$1236,6,0)</f>
        <v>43767.6</v>
      </c>
      <c r="E13" s="318">
        <f>VLOOKUP(B13,Dcu!$A$7:$G$1960,7,0)</f>
        <v>4639.3307692307699</v>
      </c>
      <c r="F13" s="318">
        <f>VLOOKUP(B13,VL!$B$7:$G$1005,6,0)</f>
        <v>28458.000000000004</v>
      </c>
      <c r="G13" s="301">
        <v>0</v>
      </c>
      <c r="H13" s="319">
        <f>VLOOKUP(B13,TB!$B$4:$I$2042,8,0)</f>
        <v>1833.1200000000001</v>
      </c>
      <c r="I13" s="296">
        <f t="shared" si="0"/>
        <v>76864.930769230778</v>
      </c>
      <c r="J13" s="296">
        <f t="shared" si="2"/>
        <v>15372.986153846156</v>
      </c>
      <c r="K13" s="412">
        <f t="shared" si="1"/>
        <v>92200</v>
      </c>
    </row>
    <row r="14" spans="1:11" s="297" customFormat="1" ht="33.75" customHeight="1" x14ac:dyDescent="0.3">
      <c r="A14" s="298">
        <v>7</v>
      </c>
      <c r="B14" s="299" t="s">
        <v>428</v>
      </c>
      <c r="C14" s="380" t="s">
        <v>4</v>
      </c>
      <c r="D14" s="318">
        <f>VLOOKUP(B14,LDKT!$B$6:$G$1236,6,0)</f>
        <v>43767.6</v>
      </c>
      <c r="E14" s="318">
        <f>VLOOKUP(B14,Dcu!$A$7:$G$1960,7,0)</f>
        <v>4655.4846153846156</v>
      </c>
      <c r="F14" s="318">
        <f>VLOOKUP(B14,VL!$B$7:$G$1005,6,0)</f>
        <v>37638</v>
      </c>
      <c r="G14" s="301">
        <v>0</v>
      </c>
      <c r="H14" s="319">
        <f>VLOOKUP(B14,TB!$B$4:$I$2042,8,0)</f>
        <v>1833.1200000000001</v>
      </c>
      <c r="I14" s="296">
        <f t="shared" si="0"/>
        <v>86061.084615384607</v>
      </c>
      <c r="J14" s="296">
        <f t="shared" si="2"/>
        <v>17212.216923076921</v>
      </c>
      <c r="K14" s="412">
        <f t="shared" si="1"/>
        <v>103300</v>
      </c>
    </row>
    <row r="15" spans="1:11" s="297" customFormat="1" ht="25.5" customHeight="1" x14ac:dyDescent="0.3">
      <c r="A15" s="298">
        <v>8</v>
      </c>
      <c r="B15" s="302" t="s">
        <v>380</v>
      </c>
      <c r="C15" s="380" t="s">
        <v>6</v>
      </c>
      <c r="D15" s="318">
        <f>VLOOKUP(B15,LDKT!$B$6:$G$1236,6,0)</f>
        <v>43767.6</v>
      </c>
      <c r="E15" s="318">
        <f>VLOOKUP(B15,Dcu!$A$7:$G$1960,7,0)</f>
        <v>4913.9461538461537</v>
      </c>
      <c r="F15" s="318">
        <f>VLOOKUP(B15,VL!$B$7:$G$1005,6,0)</f>
        <v>28296.000000000004</v>
      </c>
      <c r="G15" s="301">
        <v>0</v>
      </c>
      <c r="H15" s="319">
        <f>VLOOKUP(B15,TB!$B$4:$I$2042,8,0)</f>
        <v>1833.1200000000001</v>
      </c>
      <c r="I15" s="296">
        <f t="shared" si="0"/>
        <v>76977.546153846153</v>
      </c>
      <c r="J15" s="296">
        <f t="shared" si="2"/>
        <v>15395.509230769232</v>
      </c>
      <c r="K15" s="412">
        <f t="shared" si="1"/>
        <v>92400</v>
      </c>
    </row>
    <row r="16" spans="1:11" s="297" customFormat="1" ht="21.75" customHeight="1" x14ac:dyDescent="0.3">
      <c r="A16" s="298">
        <v>9</v>
      </c>
      <c r="B16" s="299" t="s">
        <v>387</v>
      </c>
      <c r="C16" s="380" t="s">
        <v>7</v>
      </c>
      <c r="D16" s="318">
        <f>VLOOKUP(B16,LDKT!$B$6:$G$1236,6,0)</f>
        <v>49093.799999999996</v>
      </c>
      <c r="E16" s="318">
        <f>VLOOKUP(B16,Dcu!$A$7:$G$1960,7,0)</f>
        <v>4707.1769230769232</v>
      </c>
      <c r="F16" s="318">
        <f>VLOOKUP(B16,VL!$B$7:$G$1005,6,0)</f>
        <v>45738</v>
      </c>
      <c r="G16" s="301">
        <v>0</v>
      </c>
      <c r="H16" s="319">
        <f>VLOOKUP(B16,TB!$B$4:$I$2042,8,0)</f>
        <v>1833.1200000000001</v>
      </c>
      <c r="I16" s="296">
        <f t="shared" si="0"/>
        <v>99538.976923076916</v>
      </c>
      <c r="J16" s="296">
        <f t="shared" si="2"/>
        <v>19907.795384615383</v>
      </c>
      <c r="K16" s="412">
        <f t="shared" si="1"/>
        <v>119400</v>
      </c>
    </row>
    <row r="17" spans="1:11" s="297" customFormat="1" ht="22.5" customHeight="1" x14ac:dyDescent="0.3">
      <c r="A17" s="298">
        <v>10</v>
      </c>
      <c r="B17" s="299" t="s">
        <v>388</v>
      </c>
      <c r="C17" s="380" t="s">
        <v>293</v>
      </c>
      <c r="D17" s="318">
        <f>VLOOKUP(B17,LDKT!$B$6:$G$1236,6,0)</f>
        <v>54420</v>
      </c>
      <c r="E17" s="318">
        <f>VLOOKUP(B17,Dcu!$A$7:$G$1960,7,0)</f>
        <v>4707.1769230769232</v>
      </c>
      <c r="F17" s="318">
        <f>VLOOKUP(B17,VL!$B$7:$G$1005,6,0)</f>
        <v>45738</v>
      </c>
      <c r="G17" s="301">
        <v>0</v>
      </c>
      <c r="H17" s="319">
        <f>VLOOKUP(B17,TB!$B$4:$I$2042,8,0)</f>
        <v>1833.1200000000001</v>
      </c>
      <c r="I17" s="296">
        <f t="shared" si="0"/>
        <v>104865.17692307691</v>
      </c>
      <c r="J17" s="296">
        <f t="shared" si="2"/>
        <v>20973.035384615385</v>
      </c>
      <c r="K17" s="412">
        <f t="shared" si="1"/>
        <v>125800</v>
      </c>
    </row>
    <row r="18" spans="1:11" s="303" customFormat="1" ht="24.75" customHeight="1" x14ac:dyDescent="0.3">
      <c r="A18" s="298">
        <v>11</v>
      </c>
      <c r="B18" s="302" t="s">
        <v>382</v>
      </c>
      <c r="C18" s="380" t="s">
        <v>477</v>
      </c>
      <c r="D18" s="318">
        <f>VLOOKUP(B18,LDKT!$B$6:$G$1236,6,0)</f>
        <v>54420</v>
      </c>
      <c r="E18" s="318">
        <f>VLOOKUP(B18,Dcu!$A$7:$G$1960,7,0)</f>
        <v>4924.7153846153842</v>
      </c>
      <c r="F18" s="318">
        <f>VLOOKUP(B18,VL!$B$7:$G$1005,6,0)</f>
        <v>45738</v>
      </c>
      <c r="G18" s="301">
        <v>0</v>
      </c>
      <c r="H18" s="319">
        <f>VLOOKUP(B18,TB!$B$4:$I$2042,8,0)</f>
        <v>1833.1200000000001</v>
      </c>
      <c r="I18" s="296">
        <f t="shared" si="0"/>
        <v>105082.71538461538</v>
      </c>
      <c r="J18" s="296">
        <f t="shared" si="2"/>
        <v>21016.543076923077</v>
      </c>
      <c r="K18" s="412">
        <f t="shared" si="1"/>
        <v>126100</v>
      </c>
    </row>
    <row r="19" spans="1:11" s="303" customFormat="1" ht="24.75" customHeight="1" x14ac:dyDescent="0.3">
      <c r="A19" s="298">
        <v>12</v>
      </c>
      <c r="B19" s="299" t="s">
        <v>383</v>
      </c>
      <c r="C19" s="378" t="s">
        <v>667</v>
      </c>
      <c r="D19" s="318">
        <f>VLOOKUP(B19,LDKT!$B$6:$G$1236,6,0)</f>
        <v>49093.799999999996</v>
      </c>
      <c r="E19" s="318">
        <f>VLOOKUP(B19,Dcu!$A$7:$G$1960,7,0)</f>
        <v>4646.5999999999995</v>
      </c>
      <c r="F19" s="318">
        <f>VLOOKUP(B19,VL!$B$7:$G$1005,6,0)</f>
        <v>53868.240000000005</v>
      </c>
      <c r="G19" s="301">
        <v>0</v>
      </c>
      <c r="H19" s="319">
        <f>VLOOKUP(B19,TB!$B$4:$I$2042,8,0)</f>
        <v>1833.1200000000001</v>
      </c>
      <c r="I19" s="296">
        <f t="shared" si="0"/>
        <v>107608.64</v>
      </c>
      <c r="J19" s="296">
        <f t="shared" si="2"/>
        <v>21521.728000000003</v>
      </c>
      <c r="K19" s="412">
        <f t="shared" si="1"/>
        <v>129100</v>
      </c>
    </row>
    <row r="20" spans="1:11" s="303" customFormat="1" ht="24.75" customHeight="1" x14ac:dyDescent="0.3">
      <c r="A20" s="298">
        <v>13</v>
      </c>
      <c r="B20" s="299" t="s">
        <v>389</v>
      </c>
      <c r="C20" s="380" t="s">
        <v>12</v>
      </c>
      <c r="D20" s="318">
        <f>VLOOKUP(B20,LDKT!$B$6:$G$1236,6,0)</f>
        <v>49093.799999999996</v>
      </c>
      <c r="E20" s="318">
        <f>VLOOKUP(B20,Dcu!$A$7:$G$1960,7,0)</f>
        <v>4655.4846153846156</v>
      </c>
      <c r="F20" s="318">
        <f>VLOOKUP(B20,VL!$B$7:$G$1005,6,0)</f>
        <v>48664.800000000003</v>
      </c>
      <c r="G20" s="301">
        <v>0</v>
      </c>
      <c r="H20" s="319">
        <f>VLOOKUP(B20,TB!$B$4:$I$2042,8,0)</f>
        <v>1833.1200000000001</v>
      </c>
      <c r="I20" s="296">
        <f t="shared" ref="I20:I45" si="6">D20+E20+F20+G20</f>
        <v>102414.08461538461</v>
      </c>
      <c r="J20" s="296">
        <f t="shared" ref="J20:J45" si="7">I20*20%</f>
        <v>20482.816923076924</v>
      </c>
      <c r="K20" s="412">
        <f t="shared" si="1"/>
        <v>122900</v>
      </c>
    </row>
    <row r="21" spans="1:11" s="303" customFormat="1" ht="24.75" customHeight="1" x14ac:dyDescent="0.3">
      <c r="A21" s="298">
        <v>14</v>
      </c>
      <c r="B21" s="302" t="s">
        <v>390</v>
      </c>
      <c r="C21" s="380" t="s">
        <v>14</v>
      </c>
      <c r="D21" s="318">
        <f>VLOOKUP(B21,LDKT!$B$6:$G$1236,6,0)</f>
        <v>49093.799999999996</v>
      </c>
      <c r="E21" s="318">
        <f>VLOOKUP(B21,Dcu!$A$7:$G$1960,7,0)</f>
        <v>4655.4846153846156</v>
      </c>
      <c r="F21" s="318">
        <f>VLOOKUP(B21,VL!$B$7:$G$1005,6,0)</f>
        <v>48664.800000000003</v>
      </c>
      <c r="G21" s="301">
        <v>0</v>
      </c>
      <c r="H21" s="319">
        <f>VLOOKUP(B21,TB!$B$4:$I$2042,8,0)</f>
        <v>1833.1200000000001</v>
      </c>
      <c r="I21" s="296">
        <f t="shared" si="6"/>
        <v>102414.08461538461</v>
      </c>
      <c r="J21" s="296">
        <f t="shared" si="7"/>
        <v>20482.816923076924</v>
      </c>
      <c r="K21" s="412">
        <f t="shared" si="1"/>
        <v>122900</v>
      </c>
    </row>
    <row r="22" spans="1:11" s="303" customFormat="1" ht="24.75" customHeight="1" x14ac:dyDescent="0.3">
      <c r="A22" s="298">
        <v>15</v>
      </c>
      <c r="B22" s="299" t="s">
        <v>391</v>
      </c>
      <c r="C22" s="380" t="s">
        <v>668</v>
      </c>
      <c r="D22" s="318">
        <f>VLOOKUP(B22,LDKT!$B$6:$G$1236,6,0)</f>
        <v>49093.799999999996</v>
      </c>
      <c r="E22" s="318">
        <f>VLOOKUP(B22,Dcu!$A$7:$G$1960,7,0)</f>
        <v>4655.4846153846156</v>
      </c>
      <c r="F22" s="318">
        <f>VLOOKUP(B22,VL!$B$7:$G$1005,6,0)</f>
        <v>48664.800000000003</v>
      </c>
      <c r="G22" s="301">
        <v>0</v>
      </c>
      <c r="H22" s="319">
        <f>VLOOKUP(B22,TB!$B$4:$I$2042,8,0)</f>
        <v>1833.1200000000001</v>
      </c>
      <c r="I22" s="296">
        <f t="shared" si="6"/>
        <v>102414.08461538461</v>
      </c>
      <c r="J22" s="296">
        <f t="shared" si="7"/>
        <v>20482.816923076924</v>
      </c>
      <c r="K22" s="412">
        <f t="shared" si="1"/>
        <v>122900</v>
      </c>
    </row>
    <row r="23" spans="1:11" s="303" customFormat="1" ht="24.75" customHeight="1" x14ac:dyDescent="0.3">
      <c r="A23" s="298">
        <v>16</v>
      </c>
      <c r="B23" s="299" t="s">
        <v>392</v>
      </c>
      <c r="C23" s="380" t="s">
        <v>669</v>
      </c>
      <c r="D23" s="318">
        <f>VLOOKUP(B23,LDKT!$B$6:$G$1236,6,0)</f>
        <v>49093.799999999996</v>
      </c>
      <c r="E23" s="318">
        <f>VLOOKUP(B23,Dcu!$A$7:$G$1960,7,0)</f>
        <v>4655.4846153846156</v>
      </c>
      <c r="F23" s="318">
        <f>VLOOKUP(B23,VL!$B$7:$G$1005,6,0)</f>
        <v>48664.800000000003</v>
      </c>
      <c r="G23" s="301">
        <v>0</v>
      </c>
      <c r="H23" s="319">
        <f>VLOOKUP(B23,TB!$B$4:$I$2042,8,0)</f>
        <v>1833.1200000000001</v>
      </c>
      <c r="I23" s="296">
        <f t="shared" si="6"/>
        <v>102414.08461538461</v>
      </c>
      <c r="J23" s="296">
        <f t="shared" si="7"/>
        <v>20482.816923076924</v>
      </c>
      <c r="K23" s="412">
        <f t="shared" si="1"/>
        <v>122900</v>
      </c>
    </row>
    <row r="24" spans="1:11" s="303" customFormat="1" ht="24.75" customHeight="1" x14ac:dyDescent="0.3">
      <c r="A24" s="298">
        <v>17</v>
      </c>
      <c r="B24" s="302" t="s">
        <v>393</v>
      </c>
      <c r="C24" s="380" t="s">
        <v>16</v>
      </c>
      <c r="D24" s="318">
        <f>VLOOKUP(B24,LDKT!$B$6:$G$1236,6,0)</f>
        <v>49093.799999999996</v>
      </c>
      <c r="E24" s="318">
        <f>VLOOKUP(B24,Dcu!$A$7:$G$1960,7,0)</f>
        <v>4655.4846153846156</v>
      </c>
      <c r="F24" s="318">
        <f>VLOOKUP(B24,VL!$B$7:$G$1005,6,0)</f>
        <v>48664.800000000003</v>
      </c>
      <c r="G24" s="301">
        <v>0</v>
      </c>
      <c r="H24" s="319">
        <f>VLOOKUP(B24,TB!$B$4:$I$2042,8,0)</f>
        <v>1833.1200000000001</v>
      </c>
      <c r="I24" s="296">
        <f t="shared" si="6"/>
        <v>102414.08461538461</v>
      </c>
      <c r="J24" s="296">
        <f t="shared" si="7"/>
        <v>20482.816923076924</v>
      </c>
      <c r="K24" s="412">
        <f t="shared" si="1"/>
        <v>122900</v>
      </c>
    </row>
    <row r="25" spans="1:11" s="303" customFormat="1" ht="24.75" customHeight="1" x14ac:dyDescent="0.3">
      <c r="A25" s="298">
        <v>18</v>
      </c>
      <c r="B25" s="299" t="s">
        <v>394</v>
      </c>
      <c r="C25" s="380" t="s">
        <v>670</v>
      </c>
      <c r="D25" s="318">
        <f>VLOOKUP(B25,LDKT!$B$6:$G$1236,6,0)</f>
        <v>49093.799999999996</v>
      </c>
      <c r="E25" s="318">
        <f>VLOOKUP(B25,Dcu!$A$7:$G$1960,7,0)</f>
        <v>4655.4846153846156</v>
      </c>
      <c r="F25" s="318">
        <f>VLOOKUP(B25,VL!$B$7:$G$1005,6,0)</f>
        <v>48664.800000000003</v>
      </c>
      <c r="G25" s="301">
        <v>0</v>
      </c>
      <c r="H25" s="319">
        <f>VLOOKUP(B25,TB!$B$4:$I$2042,8,0)</f>
        <v>1833.1200000000001</v>
      </c>
      <c r="I25" s="296">
        <f t="shared" si="6"/>
        <v>102414.08461538461</v>
      </c>
      <c r="J25" s="296">
        <f t="shared" si="7"/>
        <v>20482.816923076924</v>
      </c>
      <c r="K25" s="412">
        <f t="shared" si="1"/>
        <v>122900</v>
      </c>
    </row>
    <row r="26" spans="1:11" s="303" customFormat="1" ht="24.75" customHeight="1" x14ac:dyDescent="0.3">
      <c r="A26" s="298">
        <v>19</v>
      </c>
      <c r="B26" s="299" t="s">
        <v>395</v>
      </c>
      <c r="C26" s="380" t="s">
        <v>671</v>
      </c>
      <c r="D26" s="318">
        <f>VLOOKUP(B26,LDKT!$B$6:$G$1236,6,0)</f>
        <v>49093.799999999996</v>
      </c>
      <c r="E26" s="318">
        <f>VLOOKUP(B26,Dcu!$A$7:$G$1960,7,0)</f>
        <v>4655.4846153846156</v>
      </c>
      <c r="F26" s="318">
        <f>VLOOKUP(B26,VL!$B$7:$G$1005,6,0)</f>
        <v>48664.800000000003</v>
      </c>
      <c r="G26" s="301">
        <v>0</v>
      </c>
      <c r="H26" s="319">
        <f>VLOOKUP(B26,TB!$B$4:$I$2042,8,0)</f>
        <v>1833.1200000000001</v>
      </c>
      <c r="I26" s="296">
        <f t="shared" si="6"/>
        <v>102414.08461538461</v>
      </c>
      <c r="J26" s="296">
        <f t="shared" si="7"/>
        <v>20482.816923076924</v>
      </c>
      <c r="K26" s="412">
        <f t="shared" si="1"/>
        <v>122900</v>
      </c>
    </row>
    <row r="27" spans="1:11" s="303" customFormat="1" ht="24.75" customHeight="1" x14ac:dyDescent="0.3">
      <c r="A27" s="298">
        <v>20</v>
      </c>
      <c r="B27" s="302" t="s">
        <v>396</v>
      </c>
      <c r="C27" s="380" t="s">
        <v>672</v>
      </c>
      <c r="D27" s="318">
        <f>VLOOKUP(B27,LDKT!$B$6:$G$1236,6,0)</f>
        <v>49093.799999999996</v>
      </c>
      <c r="E27" s="318">
        <f>VLOOKUP(B27,Dcu!$A$7:$G$1960,7,0)</f>
        <v>4655.4846153846156</v>
      </c>
      <c r="F27" s="318">
        <f>VLOOKUP(B27,VL!$B$7:$G$1005,6,0)</f>
        <v>48664.800000000003</v>
      </c>
      <c r="G27" s="301">
        <v>0</v>
      </c>
      <c r="H27" s="319">
        <f>VLOOKUP(B27,TB!$B$4:$I$2042,8,0)</f>
        <v>1833.1200000000001</v>
      </c>
      <c r="I27" s="296">
        <f t="shared" si="6"/>
        <v>102414.08461538461</v>
      </c>
      <c r="J27" s="296">
        <f t="shared" si="7"/>
        <v>20482.816923076924</v>
      </c>
      <c r="K27" s="412">
        <f t="shared" si="1"/>
        <v>122900</v>
      </c>
    </row>
    <row r="28" spans="1:11" s="303" customFormat="1" ht="24.75" customHeight="1" x14ac:dyDescent="0.3">
      <c r="A28" s="298">
        <v>21</v>
      </c>
      <c r="B28" s="299" t="s">
        <v>397</v>
      </c>
      <c r="C28" s="380" t="s">
        <v>673</v>
      </c>
      <c r="D28" s="318">
        <f>VLOOKUP(B28,LDKT!$B$6:$G$1236,6,0)</f>
        <v>49093.799999999996</v>
      </c>
      <c r="E28" s="318">
        <f>VLOOKUP(B28,Dcu!$A$7:$G$1960,7,0)</f>
        <v>4655.4846153846156</v>
      </c>
      <c r="F28" s="318">
        <f>VLOOKUP(B28,VL!$B$7:$G$1005,6,0)</f>
        <v>16000</v>
      </c>
      <c r="G28" s="301">
        <v>0</v>
      </c>
      <c r="H28" s="319">
        <f>VLOOKUP(B28,TB!$B$4:$I$2042,8,0)</f>
        <v>1833.1200000000001</v>
      </c>
      <c r="I28" s="296">
        <f t="shared" si="6"/>
        <v>69749.284615384619</v>
      </c>
      <c r="J28" s="296">
        <f t="shared" si="7"/>
        <v>13949.856923076924</v>
      </c>
      <c r="K28" s="412">
        <f t="shared" si="1"/>
        <v>83700</v>
      </c>
    </row>
    <row r="29" spans="1:11" s="303" customFormat="1" ht="24.75" customHeight="1" x14ac:dyDescent="0.3">
      <c r="A29" s="298">
        <v>22</v>
      </c>
      <c r="B29" s="299" t="s">
        <v>398</v>
      </c>
      <c r="C29" s="380" t="s">
        <v>674</v>
      </c>
      <c r="D29" s="318">
        <f>VLOOKUP(B29,LDKT!$B$6:$G$1236,6,0)</f>
        <v>49093.799999999996</v>
      </c>
      <c r="E29" s="318">
        <f>VLOOKUP(B29,Dcu!$A$7:$G$1960,7,0)</f>
        <v>4655.4846153846156</v>
      </c>
      <c r="F29" s="318">
        <f>VLOOKUP(B29,VL!$B$7:$G$1005,6,0)</f>
        <v>48664.800000000003</v>
      </c>
      <c r="G29" s="301">
        <v>0</v>
      </c>
      <c r="H29" s="319">
        <f>VLOOKUP(B29,TB!$B$4:$I$2042,8,0)</f>
        <v>1833.1200000000001</v>
      </c>
      <c r="I29" s="296">
        <f t="shared" si="6"/>
        <v>102414.08461538461</v>
      </c>
      <c r="J29" s="296">
        <f t="shared" si="7"/>
        <v>20482.816923076924</v>
      </c>
      <c r="K29" s="412">
        <f t="shared" si="1"/>
        <v>122900</v>
      </c>
    </row>
    <row r="30" spans="1:11" s="303" customFormat="1" ht="24.75" customHeight="1" x14ac:dyDescent="0.3">
      <c r="A30" s="298">
        <v>23</v>
      </c>
      <c r="B30" s="299" t="s">
        <v>399</v>
      </c>
      <c r="C30" s="380" t="s">
        <v>675</v>
      </c>
      <c r="D30" s="318">
        <f>VLOOKUP(B30,LDKT!$B$6:$G$1236,6,0)</f>
        <v>49093.799999999996</v>
      </c>
      <c r="E30" s="318">
        <f>VLOOKUP(B30,Dcu!$A$7:$G$1960,7,0)</f>
        <v>4655.4846153846156</v>
      </c>
      <c r="F30" s="318">
        <f>VLOOKUP(B30,VL!$B$7:$G$1005,6,0)</f>
        <v>48664.800000000003</v>
      </c>
      <c r="G30" s="301">
        <v>0</v>
      </c>
      <c r="H30" s="319">
        <f>VLOOKUP(B30,TB!$B$4:$I$2042,8,0)</f>
        <v>1833.1200000000001</v>
      </c>
      <c r="I30" s="296">
        <f t="shared" si="6"/>
        <v>102414.08461538461</v>
      </c>
      <c r="J30" s="296">
        <f t="shared" si="7"/>
        <v>20482.816923076924</v>
      </c>
      <c r="K30" s="412">
        <f t="shared" si="1"/>
        <v>122900</v>
      </c>
    </row>
    <row r="31" spans="1:11" s="303" customFormat="1" ht="24.75" customHeight="1" x14ac:dyDescent="0.3">
      <c r="A31" s="298">
        <v>24</v>
      </c>
      <c r="B31" s="154" t="s">
        <v>696</v>
      </c>
      <c r="C31" s="176" t="s">
        <v>698</v>
      </c>
      <c r="D31" s="318">
        <f>VLOOKUP(B31,LDKT!$B$6:$G$1236,6,0)</f>
        <v>36820.35</v>
      </c>
      <c r="E31" s="318">
        <f>VLOOKUP(B31,Dcu!$A$7:$G$1960,7,0)</f>
        <v>4655.4846153846156</v>
      </c>
      <c r="F31" s="318">
        <f>VLOOKUP(B31,VL!$B$7:$G$1005,6,0)</f>
        <v>48664.800000000003</v>
      </c>
      <c r="G31" s="301">
        <v>0</v>
      </c>
      <c r="H31" s="319">
        <f>VLOOKUP(B31,TB!$B$4:$I$2042,8,0)</f>
        <v>1833.1200000000001</v>
      </c>
      <c r="I31" s="296">
        <f t="shared" si="6"/>
        <v>90140.634615384624</v>
      </c>
      <c r="J31" s="296">
        <f t="shared" si="7"/>
        <v>18028.126923076925</v>
      </c>
      <c r="K31" s="412">
        <f t="shared" si="1"/>
        <v>108200</v>
      </c>
    </row>
    <row r="32" spans="1:11" s="303" customFormat="1" ht="24.75" customHeight="1" x14ac:dyDescent="0.3">
      <c r="A32" s="298">
        <v>25</v>
      </c>
      <c r="B32" s="154" t="s">
        <v>697</v>
      </c>
      <c r="C32" s="176" t="s">
        <v>716</v>
      </c>
      <c r="D32" s="318">
        <f>VLOOKUP(B32,LDKT!$B$6:$G$1236,6,0)</f>
        <v>36820.35</v>
      </c>
      <c r="E32" s="318">
        <f>VLOOKUP(B32,Dcu!$A$7:$G$1960,7,0)</f>
        <v>4655.4846153846156</v>
      </c>
      <c r="F32" s="318">
        <f>VLOOKUP(B32,VL!$B$7:$G$1005,6,0)</f>
        <v>48664.800000000003</v>
      </c>
      <c r="G32" s="301">
        <v>0</v>
      </c>
      <c r="H32" s="319">
        <f>VLOOKUP(B32,TB!$B$4:$I$2042,8,0)</f>
        <v>1833.1200000000001</v>
      </c>
      <c r="I32" s="296">
        <f t="shared" ref="I32:I40" si="8">D32+E32+F32+G32</f>
        <v>90140.634615384624</v>
      </c>
      <c r="J32" s="296">
        <f t="shared" ref="J32:J40" si="9">I32*20%</f>
        <v>18028.126923076925</v>
      </c>
      <c r="K32" s="412">
        <f t="shared" ref="K32:K40" si="10">ROUND((J32+I32),-2)</f>
        <v>108200</v>
      </c>
    </row>
    <row r="33" spans="1:11" s="303" customFormat="1" ht="24.75" customHeight="1" x14ac:dyDescent="0.3">
      <c r="A33" s="298">
        <v>26</v>
      </c>
      <c r="B33" s="150" t="s">
        <v>700</v>
      </c>
      <c r="C33" s="176" t="s">
        <v>492</v>
      </c>
      <c r="D33" s="318">
        <f>VLOOKUP(B33,LDKT!$B$6:$G$1236,6,0)</f>
        <v>36820.35</v>
      </c>
      <c r="E33" s="318">
        <f>VLOOKUP(B33,Dcu!$A$7:$G$1960,7,0)</f>
        <v>4655.4846153846156</v>
      </c>
      <c r="F33" s="318">
        <f>VLOOKUP(B33,VL!$B$7:$G$1005,6,0)</f>
        <v>48664.800000000003</v>
      </c>
      <c r="G33" s="301">
        <v>0</v>
      </c>
      <c r="H33" s="319">
        <f>VLOOKUP(B33,TB!$B$4:$I$2042,8,0)</f>
        <v>1833.1200000000001</v>
      </c>
      <c r="I33" s="296">
        <f t="shared" si="8"/>
        <v>90140.634615384624</v>
      </c>
      <c r="J33" s="296">
        <f t="shared" si="9"/>
        <v>18028.126923076925</v>
      </c>
      <c r="K33" s="412">
        <f t="shared" si="10"/>
        <v>108200</v>
      </c>
    </row>
    <row r="34" spans="1:11" s="303" customFormat="1" ht="24.75" customHeight="1" x14ac:dyDescent="0.3">
      <c r="A34" s="298">
        <v>27</v>
      </c>
      <c r="B34" s="150" t="s">
        <v>701</v>
      </c>
      <c r="C34" s="176" t="s">
        <v>493</v>
      </c>
      <c r="D34" s="318">
        <f>VLOOKUP(B34,LDKT!$B$6:$G$1236,6,0)</f>
        <v>36820.35</v>
      </c>
      <c r="E34" s="318">
        <f>VLOOKUP(B34,Dcu!$A$7:$G$1960,7,0)</f>
        <v>4655.4846153846156</v>
      </c>
      <c r="F34" s="318">
        <f>VLOOKUP(B34,VL!$B$7:$G$1005,6,0)</f>
        <v>48664.800000000003</v>
      </c>
      <c r="G34" s="301">
        <v>0</v>
      </c>
      <c r="H34" s="319">
        <f>VLOOKUP(B34,TB!$B$4:$I$2042,8,0)</f>
        <v>1833.1200000000001</v>
      </c>
      <c r="I34" s="296">
        <f t="shared" si="8"/>
        <v>90140.634615384624</v>
      </c>
      <c r="J34" s="296">
        <f t="shared" si="9"/>
        <v>18028.126923076925</v>
      </c>
      <c r="K34" s="412">
        <f t="shared" si="10"/>
        <v>108200</v>
      </c>
    </row>
    <row r="35" spans="1:11" s="303" customFormat="1" ht="24.75" customHeight="1" x14ac:dyDescent="0.3">
      <c r="A35" s="298">
        <v>28</v>
      </c>
      <c r="B35" s="150" t="s">
        <v>702</v>
      </c>
      <c r="C35" s="176" t="s">
        <v>708</v>
      </c>
      <c r="D35" s="318">
        <f>VLOOKUP(B35,LDKT!$B$6:$G$1236,6,0)</f>
        <v>36820.35</v>
      </c>
      <c r="E35" s="318">
        <f>VLOOKUP(B35,Dcu!$A$7:$G$1960,7,0)</f>
        <v>4655.4846153846156</v>
      </c>
      <c r="F35" s="318">
        <f>VLOOKUP(B35,VL!$B$7:$G$1005,6,0)</f>
        <v>48664.800000000003</v>
      </c>
      <c r="G35" s="301">
        <v>0</v>
      </c>
      <c r="H35" s="319">
        <f>VLOOKUP(B35,TB!$B$4:$I$2042,8,0)</f>
        <v>1833.1200000000001</v>
      </c>
      <c r="I35" s="296">
        <f t="shared" si="8"/>
        <v>90140.634615384624</v>
      </c>
      <c r="J35" s="296">
        <f t="shared" si="9"/>
        <v>18028.126923076925</v>
      </c>
      <c r="K35" s="412">
        <f t="shared" si="10"/>
        <v>108200</v>
      </c>
    </row>
    <row r="36" spans="1:11" s="303" customFormat="1" ht="24.75" customHeight="1" x14ac:dyDescent="0.3">
      <c r="A36" s="298">
        <v>29</v>
      </c>
      <c r="B36" s="150" t="s">
        <v>703</v>
      </c>
      <c r="C36" s="176" t="s">
        <v>709</v>
      </c>
      <c r="D36" s="318">
        <f>VLOOKUP(B36,LDKT!$B$6:$G$1236,6,0)</f>
        <v>36820.35</v>
      </c>
      <c r="E36" s="318">
        <f>VLOOKUP(B36,Dcu!$A$7:$G$1960,7,0)</f>
        <v>4655.4846153846156</v>
      </c>
      <c r="F36" s="318">
        <f>VLOOKUP(B36,VL!$B$7:$G$1005,6,0)</f>
        <v>48664.800000000003</v>
      </c>
      <c r="G36" s="301">
        <v>0</v>
      </c>
      <c r="H36" s="319">
        <f>VLOOKUP(B36,TB!$B$4:$I$2042,8,0)</f>
        <v>1833.1200000000001</v>
      </c>
      <c r="I36" s="296">
        <f t="shared" si="8"/>
        <v>90140.634615384624</v>
      </c>
      <c r="J36" s="296">
        <f t="shared" si="9"/>
        <v>18028.126923076925</v>
      </c>
      <c r="K36" s="412">
        <f t="shared" si="10"/>
        <v>108200</v>
      </c>
    </row>
    <row r="37" spans="1:11" s="303" customFormat="1" ht="24.75" customHeight="1" x14ac:dyDescent="0.3">
      <c r="A37" s="298">
        <v>30</v>
      </c>
      <c r="B37" s="150" t="s">
        <v>704</v>
      </c>
      <c r="C37" s="176" t="s">
        <v>710</v>
      </c>
      <c r="D37" s="318">
        <f>VLOOKUP(B37,LDKT!$B$6:$G$1236,6,0)</f>
        <v>36820.35</v>
      </c>
      <c r="E37" s="318">
        <f>VLOOKUP(B37,Dcu!$A$7:$G$1960,7,0)</f>
        <v>4655.4846153846156</v>
      </c>
      <c r="F37" s="318">
        <f>VLOOKUP(B37,VL!$B$7:$G$1005,6,0)</f>
        <v>48664.800000000003</v>
      </c>
      <c r="G37" s="301">
        <v>0</v>
      </c>
      <c r="H37" s="319">
        <f>VLOOKUP(B37,TB!$B$4:$I$2042,8,0)</f>
        <v>1833.1200000000001</v>
      </c>
      <c r="I37" s="296">
        <f t="shared" si="8"/>
        <v>90140.634615384624</v>
      </c>
      <c r="J37" s="296">
        <f t="shared" si="9"/>
        <v>18028.126923076925</v>
      </c>
      <c r="K37" s="412">
        <f t="shared" si="10"/>
        <v>108200</v>
      </c>
    </row>
    <row r="38" spans="1:11" s="303" customFormat="1" ht="24.75" customHeight="1" x14ac:dyDescent="0.3">
      <c r="A38" s="298">
        <v>31</v>
      </c>
      <c r="B38" s="150" t="s">
        <v>705</v>
      </c>
      <c r="C38" s="176" t="s">
        <v>711</v>
      </c>
      <c r="D38" s="318">
        <f>VLOOKUP(B38,LDKT!$B$6:$G$1236,6,0)</f>
        <v>36820.35</v>
      </c>
      <c r="E38" s="318">
        <f>VLOOKUP(B38,Dcu!$A$7:$G$1960,7,0)</f>
        <v>4655.4846153846156</v>
      </c>
      <c r="F38" s="318">
        <f>VLOOKUP(B38,VL!$B$7:$G$1005,6,0)</f>
        <v>48664.800000000003</v>
      </c>
      <c r="G38" s="301">
        <v>0</v>
      </c>
      <c r="H38" s="319">
        <f>VLOOKUP(B38,TB!$B$4:$I$2042,8,0)</f>
        <v>1833.1200000000001</v>
      </c>
      <c r="I38" s="296">
        <f t="shared" si="8"/>
        <v>90140.634615384624</v>
      </c>
      <c r="J38" s="296">
        <f t="shared" si="9"/>
        <v>18028.126923076925</v>
      </c>
      <c r="K38" s="412">
        <f t="shared" si="10"/>
        <v>108200</v>
      </c>
    </row>
    <row r="39" spans="1:11" s="303" customFormat="1" ht="24.75" customHeight="1" x14ac:dyDescent="0.3">
      <c r="A39" s="298">
        <v>32</v>
      </c>
      <c r="B39" s="150" t="s">
        <v>706</v>
      </c>
      <c r="C39" s="176" t="s">
        <v>712</v>
      </c>
      <c r="D39" s="318">
        <f>VLOOKUP(B39,LDKT!$B$6:$G$1236,6,0)</f>
        <v>36820.35</v>
      </c>
      <c r="E39" s="318">
        <f>VLOOKUP(B39,Dcu!$A$7:$G$1960,7,0)</f>
        <v>4655.4846153846156</v>
      </c>
      <c r="F39" s="318">
        <f>VLOOKUP(B39,VL!$B$7:$G$1005,6,0)</f>
        <v>48664.800000000003</v>
      </c>
      <c r="G39" s="301">
        <v>0</v>
      </c>
      <c r="H39" s="319">
        <f>VLOOKUP(B39,TB!$B$4:$I$2042,8,0)</f>
        <v>1833.1200000000001</v>
      </c>
      <c r="I39" s="296">
        <f t="shared" si="8"/>
        <v>90140.634615384624</v>
      </c>
      <c r="J39" s="296">
        <f t="shared" si="9"/>
        <v>18028.126923076925</v>
      </c>
      <c r="K39" s="412">
        <f t="shared" si="10"/>
        <v>108200</v>
      </c>
    </row>
    <row r="40" spans="1:11" s="303" customFormat="1" ht="24.75" customHeight="1" x14ac:dyDescent="0.3">
      <c r="A40" s="298">
        <v>33</v>
      </c>
      <c r="B40" s="150" t="s">
        <v>707</v>
      </c>
      <c r="C40" s="176" t="s">
        <v>713</v>
      </c>
      <c r="D40" s="318">
        <f>VLOOKUP(B40,LDKT!$B$6:$G$1236,6,0)</f>
        <v>36820.35</v>
      </c>
      <c r="E40" s="318">
        <f>VLOOKUP(B40,Dcu!$A$7:$G$1960,7,0)</f>
        <v>4655.4846153846156</v>
      </c>
      <c r="F40" s="318">
        <f>VLOOKUP(B40,VL!$B$7:$G$1005,6,0)</f>
        <v>48664.800000000003</v>
      </c>
      <c r="G40" s="301">
        <v>0</v>
      </c>
      <c r="H40" s="319">
        <f>VLOOKUP(B40,TB!$B$4:$I$2042,8,0)</f>
        <v>1833.1200000000001</v>
      </c>
      <c r="I40" s="296">
        <f t="shared" si="8"/>
        <v>90140.634615384624</v>
      </c>
      <c r="J40" s="296">
        <f t="shared" si="9"/>
        <v>18028.126923076925</v>
      </c>
      <c r="K40" s="412">
        <f t="shared" si="10"/>
        <v>108200</v>
      </c>
    </row>
    <row r="41" spans="1:11" s="303" customFormat="1" ht="24.75" customHeight="1" x14ac:dyDescent="0.3">
      <c r="A41" s="298">
        <v>34</v>
      </c>
      <c r="B41" s="302" t="s">
        <v>384</v>
      </c>
      <c r="C41" s="380" t="s">
        <v>17</v>
      </c>
      <c r="D41" s="318">
        <f>VLOOKUP(B41,LDKT!$B$6:$G$1236,6,0)</f>
        <v>49093.799999999996</v>
      </c>
      <c r="E41" s="318">
        <f>VLOOKUP(B41,Dcu!$A$7:$G$1960,7,0)</f>
        <v>4646.5999999999995</v>
      </c>
      <c r="F41" s="318">
        <f>VLOOKUP(B41,VL!$B$7:$G$1005,6,0)</f>
        <v>45738</v>
      </c>
      <c r="G41" s="301">
        <v>0</v>
      </c>
      <c r="H41" s="319">
        <f>VLOOKUP(B41,TB!$B$4:$I$2042,8,0)</f>
        <v>1833.1200000000001</v>
      </c>
      <c r="I41" s="296">
        <f t="shared" si="6"/>
        <v>99478.399999999994</v>
      </c>
      <c r="J41" s="296">
        <f t="shared" si="7"/>
        <v>19895.68</v>
      </c>
      <c r="K41" s="412">
        <f t="shared" si="1"/>
        <v>119400</v>
      </c>
    </row>
    <row r="42" spans="1:11" s="303" customFormat="1" ht="24.75" customHeight="1" x14ac:dyDescent="0.3">
      <c r="A42" s="298">
        <v>35</v>
      </c>
      <c r="B42" s="299" t="s">
        <v>385</v>
      </c>
      <c r="C42" s="380" t="s">
        <v>294</v>
      </c>
      <c r="D42" s="318">
        <f>VLOOKUP(B42,LDKT!$B$6:$G$1236,6,0)</f>
        <v>49093.799999999996</v>
      </c>
      <c r="E42" s="318">
        <f>VLOOKUP(B42,Dcu!$A$7:$G$1960,7,0)</f>
        <v>4646.5999999999995</v>
      </c>
      <c r="F42" s="318">
        <f>VLOOKUP(B42,VL!$B$7:$G$1005,6,0)</f>
        <v>45738</v>
      </c>
      <c r="G42" s="301">
        <v>0</v>
      </c>
      <c r="H42" s="319">
        <f>VLOOKUP(B42,TB!$B$4:$I$2042,8,0)</f>
        <v>1833.1200000000001</v>
      </c>
      <c r="I42" s="296">
        <f t="shared" si="6"/>
        <v>99478.399999999994</v>
      </c>
      <c r="J42" s="296">
        <f t="shared" si="7"/>
        <v>19895.68</v>
      </c>
      <c r="K42" s="412">
        <f t="shared" si="1"/>
        <v>119400</v>
      </c>
    </row>
    <row r="43" spans="1:11" s="303" customFormat="1" ht="24.75" customHeight="1" x14ac:dyDescent="0.3">
      <c r="A43" s="298">
        <v>36</v>
      </c>
      <c r="B43" s="299" t="s">
        <v>400</v>
      </c>
      <c r="C43" s="380" t="s">
        <v>19</v>
      </c>
      <c r="D43" s="318">
        <f>VLOOKUP(B43,LDKT!$B$6:$G$1236,6,0)</f>
        <v>54420</v>
      </c>
      <c r="E43" s="318">
        <f>VLOOKUP(B43,Dcu!$A$7:$G$1960,7,0)</f>
        <v>4639.3307692307699</v>
      </c>
      <c r="F43" s="318">
        <f>VLOOKUP(B43,VL!$B$7:$G$1005,6,0)</f>
        <v>18740.7</v>
      </c>
      <c r="G43" s="301">
        <v>0</v>
      </c>
      <c r="H43" s="319">
        <f>VLOOKUP(B43,TB!$B$4:$I$2042,8,0)</f>
        <v>1833.1200000000001</v>
      </c>
      <c r="I43" s="296">
        <f t="shared" si="6"/>
        <v>77800.030769230769</v>
      </c>
      <c r="J43" s="296">
        <f t="shared" si="7"/>
        <v>15560.006153846154</v>
      </c>
      <c r="K43" s="412">
        <f t="shared" si="1"/>
        <v>93400</v>
      </c>
    </row>
    <row r="44" spans="1:11" s="303" customFormat="1" ht="24.75" customHeight="1" x14ac:dyDescent="0.3">
      <c r="A44" s="298">
        <v>37</v>
      </c>
      <c r="B44" s="299" t="s">
        <v>401</v>
      </c>
      <c r="C44" s="380" t="s">
        <v>20</v>
      </c>
      <c r="D44" s="318">
        <f>VLOOKUP(B44,LDKT!$B$6:$G$1236,6,0)</f>
        <v>54420</v>
      </c>
      <c r="E44" s="318">
        <f>VLOOKUP(B44,Dcu!$A$7:$G$1960,7,0)</f>
        <v>4639.3307692307699</v>
      </c>
      <c r="F44" s="318">
        <f>VLOOKUP(B44,VL!$B$7:$G$1005,6,0)</f>
        <v>18740.7</v>
      </c>
      <c r="G44" s="301">
        <v>0</v>
      </c>
      <c r="H44" s="319">
        <f>VLOOKUP(B44,TB!$B$4:$I$2042,8,0)</f>
        <v>1833.1200000000001</v>
      </c>
      <c r="I44" s="296">
        <f t="shared" si="6"/>
        <v>77800.030769230769</v>
      </c>
      <c r="J44" s="296">
        <f t="shared" si="7"/>
        <v>15560.006153846154</v>
      </c>
      <c r="K44" s="412">
        <f t="shared" si="1"/>
        <v>93400</v>
      </c>
    </row>
    <row r="45" spans="1:11" s="303" customFormat="1" ht="24.75" customHeight="1" x14ac:dyDescent="0.3">
      <c r="A45" s="298">
        <v>38</v>
      </c>
      <c r="B45" s="302" t="s">
        <v>402</v>
      </c>
      <c r="C45" s="380" t="s">
        <v>21</v>
      </c>
      <c r="D45" s="318">
        <f>VLOOKUP(B45,LDKT!$B$6:$G$1236,6,0)</f>
        <v>54420</v>
      </c>
      <c r="E45" s="318">
        <f>VLOOKUP(B45,Dcu!$A$7:$G$1960,7,0)</f>
        <v>4639.3307692307699</v>
      </c>
      <c r="F45" s="318">
        <f>VLOOKUP(B45,VL!$B$7:$G$1005,6,0)</f>
        <v>18740.7</v>
      </c>
      <c r="G45" s="301">
        <v>0</v>
      </c>
      <c r="H45" s="319">
        <f>VLOOKUP(B45,TB!$B$4:$I$2042,8,0)</f>
        <v>1833.1200000000001</v>
      </c>
      <c r="I45" s="296">
        <f t="shared" si="6"/>
        <v>77800.030769230769</v>
      </c>
      <c r="J45" s="296">
        <f t="shared" si="7"/>
        <v>15560.006153846154</v>
      </c>
      <c r="K45" s="412">
        <f t="shared" si="1"/>
        <v>93400</v>
      </c>
    </row>
    <row r="46" spans="1:11" ht="18.75" customHeight="1" x14ac:dyDescent="0.3">
      <c r="A46" s="292" t="s">
        <v>276</v>
      </c>
      <c r="B46" s="285" t="s">
        <v>572</v>
      </c>
      <c r="C46" s="285"/>
      <c r="D46" s="318"/>
      <c r="E46" s="318"/>
      <c r="F46" s="318"/>
      <c r="G46" s="293"/>
      <c r="H46" s="319"/>
      <c r="I46" s="274"/>
      <c r="J46" s="274"/>
      <c r="K46" s="412"/>
    </row>
    <row r="47" spans="1:11" ht="18.75" customHeight="1" x14ac:dyDescent="0.3">
      <c r="A47" s="304">
        <v>1</v>
      </c>
      <c r="B47" s="12" t="s">
        <v>465</v>
      </c>
      <c r="C47" s="379" t="s">
        <v>692</v>
      </c>
      <c r="D47" s="318">
        <f>VLOOKUP(B47,LDKT!$B$6:$G$1236,6,0)</f>
        <v>76311.55</v>
      </c>
      <c r="E47" s="318">
        <f>VLOOKUP(B47,Dcu!$A$7:$G$1960,7,0)</f>
        <v>64236.070782051269</v>
      </c>
      <c r="F47" s="318">
        <f>VLOOKUP(B47,VL!$B$7:$G$1005,6,0)</f>
        <v>17356.896000000001</v>
      </c>
      <c r="G47" s="305">
        <f>TB!I89</f>
        <v>7434.71</v>
      </c>
      <c r="H47" s="319">
        <f>VLOOKUP(B47,TB!$B$4:$I$2042,8,0)</f>
        <v>22790.6</v>
      </c>
      <c r="I47" s="274">
        <f t="shared" ref="I47:I82" si="11">D47+E47+F47+G47</f>
        <v>165339.22678205126</v>
      </c>
      <c r="J47" s="274">
        <f t="shared" si="2"/>
        <v>33067.845356410253</v>
      </c>
      <c r="K47" s="412">
        <f t="shared" si="1"/>
        <v>198400</v>
      </c>
    </row>
    <row r="48" spans="1:11" ht="18.75" customHeight="1" x14ac:dyDescent="0.3">
      <c r="A48" s="304">
        <v>2</v>
      </c>
      <c r="B48" s="12" t="s">
        <v>466</v>
      </c>
      <c r="C48" s="380" t="s">
        <v>4</v>
      </c>
      <c r="D48" s="318">
        <f>VLOOKUP(B48,LDKT!$B$6:$G$1236,6,0)</f>
        <v>81182.5</v>
      </c>
      <c r="E48" s="318">
        <f>VLOOKUP(B48,Dcu!$A$7:$G$1960,7,0)</f>
        <v>22248.89223076923</v>
      </c>
      <c r="F48" s="318">
        <f>VLOOKUP(B48,VL!$B$7:$G$1005,6,0)</f>
        <v>65399.4</v>
      </c>
      <c r="G48" s="305">
        <f>TB!I99</f>
        <v>11022.485999999999</v>
      </c>
      <c r="H48" s="319">
        <f>VLOOKUP(B48,TB!$B$4:$I$2042,8,0)</f>
        <v>40558.6</v>
      </c>
      <c r="I48" s="274">
        <f t="shared" si="11"/>
        <v>179853.27823076924</v>
      </c>
      <c r="J48" s="274">
        <f t="shared" si="2"/>
        <v>35970.655646153849</v>
      </c>
      <c r="K48" s="412">
        <f t="shared" si="1"/>
        <v>215800</v>
      </c>
    </row>
    <row r="49" spans="1:11" ht="18.75" customHeight="1" x14ac:dyDescent="0.3">
      <c r="A49" s="304">
        <v>3</v>
      </c>
      <c r="B49" s="12" t="s">
        <v>386</v>
      </c>
      <c r="C49" s="380" t="s">
        <v>6</v>
      </c>
      <c r="D49" s="318">
        <f>VLOOKUP(B49,LDKT!$B$6:$G$1236,6,0)</f>
        <v>76311.55</v>
      </c>
      <c r="E49" s="318">
        <f>VLOOKUP(B49,Dcu!$A$7:$G$1960,7,0)</f>
        <v>3577.8845512820517</v>
      </c>
      <c r="F49" s="318">
        <f>VLOOKUP(B49,VL!$B$7:$G$1005,6,0)</f>
        <v>20536.2</v>
      </c>
      <c r="G49" s="305">
        <f>TB!I107</f>
        <v>10562.985999999999</v>
      </c>
      <c r="H49" s="319">
        <f>VLOOKUP(B49,TB!$B$4:$I$2042,8,0)</f>
        <v>14053.4</v>
      </c>
      <c r="I49" s="274">
        <f t="shared" si="11"/>
        <v>110988.62055128206</v>
      </c>
      <c r="J49" s="274">
        <f t="shared" si="2"/>
        <v>22197.724110256415</v>
      </c>
      <c r="K49" s="412">
        <f t="shared" si="1"/>
        <v>133200</v>
      </c>
    </row>
    <row r="50" spans="1:11" ht="18.75" customHeight="1" x14ac:dyDescent="0.3">
      <c r="A50" s="304">
        <v>4</v>
      </c>
      <c r="B50" s="12" t="s">
        <v>553</v>
      </c>
      <c r="C50" s="60" t="s">
        <v>577</v>
      </c>
      <c r="D50" s="318">
        <f>VLOOKUP(B50,LDKT!$B$6:$G$1236,6,0)</f>
        <v>110734.5</v>
      </c>
      <c r="E50" s="318">
        <f>VLOOKUP(B50,Dcu!$A$7:$G$1960,7,0)</f>
        <v>6388.9500000000007</v>
      </c>
      <c r="F50" s="318">
        <f>VLOOKUP(B50,VL!$B$7:$G$1005,6,0)</f>
        <v>218879.28000000003</v>
      </c>
      <c r="G50" s="305">
        <f>TB!I117</f>
        <v>33874.339999999997</v>
      </c>
      <c r="H50" s="319">
        <f>VLOOKUP(B50,TB!$B$4:$I$2042,8,0)</f>
        <v>41153.799999999996</v>
      </c>
      <c r="I50" s="274">
        <f t="shared" si="11"/>
        <v>369877.07000000007</v>
      </c>
      <c r="J50" s="274">
        <f t="shared" si="2"/>
        <v>73975.414000000019</v>
      </c>
      <c r="K50" s="412">
        <f t="shared" si="1"/>
        <v>443900</v>
      </c>
    </row>
    <row r="51" spans="1:11" ht="18.75" customHeight="1" x14ac:dyDescent="0.3">
      <c r="A51" s="304">
        <v>5</v>
      </c>
      <c r="B51" s="12" t="s">
        <v>554</v>
      </c>
      <c r="C51" s="60" t="s">
        <v>578</v>
      </c>
      <c r="D51" s="318">
        <f>VLOOKUP(B51,LDKT!$B$6:$G$1236,6,0)</f>
        <v>110734.5</v>
      </c>
      <c r="E51" s="318">
        <f>VLOOKUP(B51,Dcu!$A$7:$G$1960,7,0)</f>
        <v>6388.9500000000007</v>
      </c>
      <c r="F51" s="318">
        <f>VLOOKUP(B51,VL!$B$7:$G$1005,6,0)</f>
        <v>231285.24000000002</v>
      </c>
      <c r="G51" s="305">
        <f>TB!I117</f>
        <v>33874.339999999997</v>
      </c>
      <c r="H51" s="319">
        <f>VLOOKUP(B51,TB!$B$4:$I$2042,8,0)</f>
        <v>41153.799999999996</v>
      </c>
      <c r="I51" s="274">
        <f t="shared" si="11"/>
        <v>382283.03</v>
      </c>
      <c r="J51" s="274">
        <f t="shared" si="2"/>
        <v>76456.606000000014</v>
      </c>
      <c r="K51" s="412">
        <f t="shared" si="1"/>
        <v>458700</v>
      </c>
    </row>
    <row r="52" spans="1:11" ht="18.75" customHeight="1" x14ac:dyDescent="0.3">
      <c r="A52" s="304">
        <v>6</v>
      </c>
      <c r="B52" s="12" t="s">
        <v>555</v>
      </c>
      <c r="C52" s="60" t="s">
        <v>579</v>
      </c>
      <c r="D52" s="318">
        <f>VLOOKUP(B52,LDKT!$B$6:$G$1236,6,0)</f>
        <v>110734.5</v>
      </c>
      <c r="E52" s="318">
        <f>VLOOKUP(B52,Dcu!$A$7:$G$1960,7,0)</f>
        <v>6388.9500000000007</v>
      </c>
      <c r="F52" s="318">
        <f>VLOOKUP(B52,VL!$B$7:$G$1005,6,0)</f>
        <v>218879.28000000003</v>
      </c>
      <c r="G52" s="305">
        <f>TB!I117</f>
        <v>33874.339999999997</v>
      </c>
      <c r="H52" s="319">
        <f>VLOOKUP(B52,TB!$B$4:$I$2042,8,0)</f>
        <v>41153.799999999996</v>
      </c>
      <c r="I52" s="274">
        <f t="shared" si="11"/>
        <v>369877.07000000007</v>
      </c>
      <c r="J52" s="274">
        <f t="shared" si="2"/>
        <v>73975.414000000019</v>
      </c>
      <c r="K52" s="412">
        <f t="shared" si="1"/>
        <v>443900</v>
      </c>
    </row>
    <row r="53" spans="1:11" ht="18.75" customHeight="1" x14ac:dyDescent="0.3">
      <c r="A53" s="304">
        <v>7</v>
      </c>
      <c r="B53" s="12" t="s">
        <v>556</v>
      </c>
      <c r="C53" s="60" t="s">
        <v>580</v>
      </c>
      <c r="D53" s="318">
        <f>VLOOKUP(B53,LDKT!$B$6:$G$1236,6,0)</f>
        <v>110734.5</v>
      </c>
      <c r="E53" s="318">
        <f>VLOOKUP(B53,Dcu!$A$7:$G$1960,7,0)</f>
        <v>6388.9500000000007</v>
      </c>
      <c r="F53" s="318">
        <f>VLOOKUP(B53,VL!$B$7:$G$1005,6,0)</f>
        <v>231285.24000000002</v>
      </c>
      <c r="G53" s="305">
        <f>TB!I117</f>
        <v>33874.339999999997</v>
      </c>
      <c r="H53" s="319">
        <f>VLOOKUP(B53,TB!$B$4:$I$2042,8,0)</f>
        <v>41153.799999999996</v>
      </c>
      <c r="I53" s="274">
        <f t="shared" si="11"/>
        <v>382283.03</v>
      </c>
      <c r="J53" s="274">
        <f t="shared" si="2"/>
        <v>76456.606000000014</v>
      </c>
      <c r="K53" s="412">
        <f t="shared" si="1"/>
        <v>458700</v>
      </c>
    </row>
    <row r="54" spans="1:11" ht="18.75" customHeight="1" x14ac:dyDescent="0.3">
      <c r="A54" s="304">
        <v>8</v>
      </c>
      <c r="B54" s="12" t="s">
        <v>403</v>
      </c>
      <c r="C54" s="380" t="s">
        <v>477</v>
      </c>
      <c r="D54" s="318">
        <f>VLOOKUP(B54,LDKT!$B$6:$G$1236,6,0)</f>
        <v>110734.5</v>
      </c>
      <c r="E54" s="318">
        <f>VLOOKUP(B54,Dcu!$A$7:$G$1960,7,0)</f>
        <v>48598.588217948738</v>
      </c>
      <c r="F54" s="318">
        <f>VLOOKUP(B54,VL!$B$7:$G$1005,6,0)</f>
        <v>213792.48</v>
      </c>
      <c r="G54" s="305">
        <f>TB!I129</f>
        <v>50085.5</v>
      </c>
      <c r="H54" s="319">
        <f>VLOOKUP(B54,TB!$B$4:$I$2042,8,0)</f>
        <v>25732.6</v>
      </c>
      <c r="I54" s="274">
        <f t="shared" si="11"/>
        <v>423211.06821794878</v>
      </c>
      <c r="J54" s="274">
        <f t="shared" si="2"/>
        <v>84642.213643589756</v>
      </c>
      <c r="K54" s="412">
        <f t="shared" si="1"/>
        <v>507900</v>
      </c>
    </row>
    <row r="55" spans="1:11" ht="18.75" customHeight="1" x14ac:dyDescent="0.3">
      <c r="A55" s="304">
        <v>9</v>
      </c>
      <c r="B55" s="12" t="s">
        <v>5</v>
      </c>
      <c r="C55" s="380" t="s">
        <v>667</v>
      </c>
      <c r="D55" s="318">
        <f>VLOOKUP(B55,LDKT!$B$6:$G$1236,6,0)</f>
        <v>114425.65</v>
      </c>
      <c r="E55" s="318">
        <f>VLOOKUP(B55,Dcu!$A$7:$G$1960,7,0)</f>
        <v>38706.306628205122</v>
      </c>
      <c r="F55" s="318">
        <f>VLOOKUP(B55,VL!$B$7:$G$1005,6,0)</f>
        <v>172352.88</v>
      </c>
      <c r="G55" s="305">
        <f>TB!I138</f>
        <v>15200.259999999998</v>
      </c>
      <c r="H55" s="319">
        <f>VLOOKUP(B55,TB!$B$4:$I$2042,8,0)</f>
        <v>23858.399999999998</v>
      </c>
      <c r="I55" s="274">
        <f t="shared" si="11"/>
        <v>340685.09662820515</v>
      </c>
      <c r="J55" s="274">
        <f t="shared" si="2"/>
        <v>68137.019325641028</v>
      </c>
      <c r="K55" s="412">
        <f t="shared" si="1"/>
        <v>408800</v>
      </c>
    </row>
    <row r="56" spans="1:11" ht="18.75" customHeight="1" x14ac:dyDescent="0.3">
      <c r="A56" s="304">
        <v>10</v>
      </c>
      <c r="B56" s="12" t="s">
        <v>291</v>
      </c>
      <c r="C56" s="380" t="s">
        <v>12</v>
      </c>
      <c r="D56" s="318">
        <f>VLOOKUP(B56,LDKT!$B$6:$G$1236,6,0)</f>
        <v>114425.65</v>
      </c>
      <c r="E56" s="318">
        <f>VLOOKUP(B56,Dcu!$A$7:$G$1960,7,0)</f>
        <v>36474.630346153841</v>
      </c>
      <c r="F56" s="318">
        <f>VLOOKUP(B56,VL!$B$7:$G$1005,6,0)</f>
        <v>33656.58</v>
      </c>
      <c r="G56" s="305">
        <f>TB!I148</f>
        <v>18968.16</v>
      </c>
      <c r="H56" s="319">
        <f>VLOOKUP(B56,TB!$B$4:$I$2042,8,0)</f>
        <v>35450.400000000001</v>
      </c>
      <c r="I56" s="274">
        <f t="shared" si="11"/>
        <v>203525.02034615385</v>
      </c>
      <c r="J56" s="274">
        <f t="shared" si="2"/>
        <v>40705.004069230774</v>
      </c>
      <c r="K56" s="412">
        <f t="shared" si="1"/>
        <v>244200</v>
      </c>
    </row>
    <row r="57" spans="1:11" ht="18.75" customHeight="1" x14ac:dyDescent="0.3">
      <c r="A57" s="304">
        <v>11</v>
      </c>
      <c r="B57" s="12" t="s">
        <v>292</v>
      </c>
      <c r="C57" s="380" t="s">
        <v>14</v>
      </c>
      <c r="D57" s="318">
        <f>VLOOKUP(B57,LDKT!$B$6:$G$1236,6,0)</f>
        <v>114425.65</v>
      </c>
      <c r="E57" s="318">
        <f>VLOOKUP(B57,Dcu!$A$7:$G$1960,7,0)</f>
        <v>42387.290358974358</v>
      </c>
      <c r="F57" s="318">
        <f>VLOOKUP(B57,VL!$B$7:$G$1005,6,0)</f>
        <v>49011.48</v>
      </c>
      <c r="G57" s="305">
        <f>TB!I158</f>
        <v>23526.400000000001</v>
      </c>
      <c r="H57" s="319">
        <f>VLOOKUP(B57,TB!$B$4:$I$2042,8,0)</f>
        <v>37324.6</v>
      </c>
      <c r="I57" s="274">
        <f t="shared" si="11"/>
        <v>229350.82035897436</v>
      </c>
      <c r="J57" s="274">
        <f t="shared" si="2"/>
        <v>45870.164071794876</v>
      </c>
      <c r="K57" s="412">
        <f t="shared" si="1"/>
        <v>275200</v>
      </c>
    </row>
    <row r="58" spans="1:11" ht="18.75" customHeight="1" x14ac:dyDescent="0.3">
      <c r="A58" s="304">
        <v>12</v>
      </c>
      <c r="B58" s="12" t="s">
        <v>404</v>
      </c>
      <c r="C58" s="380" t="s">
        <v>668</v>
      </c>
      <c r="D58" s="318">
        <f>VLOOKUP(B58,LDKT!$B$6:$G$1236,6,0)</f>
        <v>81182.5</v>
      </c>
      <c r="E58" s="318">
        <f>VLOOKUP(B58,Dcu!$A$7:$G$1960,7,0)</f>
        <v>41339.363858974357</v>
      </c>
      <c r="F58" s="318">
        <f>VLOOKUP(B58,VL!$B$7:$G$1005,6,0)</f>
        <v>48587.040000000001</v>
      </c>
      <c r="G58" s="305">
        <f>TB!I166</f>
        <v>12345.846</v>
      </c>
      <c r="H58" s="319">
        <f>VLOOKUP(B58,TB!$B$4:$I$2042,8,0)</f>
        <v>20895.899999999998</v>
      </c>
      <c r="I58" s="274">
        <f t="shared" si="11"/>
        <v>183454.74985897436</v>
      </c>
      <c r="J58" s="274">
        <f t="shared" si="2"/>
        <v>36690.949971794871</v>
      </c>
      <c r="K58" s="412">
        <f t="shared" si="1"/>
        <v>220100</v>
      </c>
    </row>
    <row r="59" spans="1:11" ht="23.25" customHeight="1" x14ac:dyDescent="0.3">
      <c r="A59" s="304">
        <v>13</v>
      </c>
      <c r="B59" s="12" t="s">
        <v>405</v>
      </c>
      <c r="C59" s="380" t="s">
        <v>669</v>
      </c>
      <c r="D59" s="318">
        <f>VLOOKUP(B59,LDKT!$B$6:$G$1236,6,0)</f>
        <v>92278.75</v>
      </c>
      <c r="E59" s="318">
        <f>VLOOKUP(B59,Dcu!$A$7:$G$1960,7,0)</f>
        <v>40275.161858974367</v>
      </c>
      <c r="F59" s="318">
        <f>VLOOKUP(B59,VL!$B$7:$G$1005,6,0)</f>
        <v>43020.072000000007</v>
      </c>
      <c r="G59" s="305">
        <f>TB!I175</f>
        <v>11336.784</v>
      </c>
      <c r="H59" s="319">
        <f>VLOOKUP(B59,TB!$B$4:$I$2042,8,0)</f>
        <v>23858.399999999998</v>
      </c>
      <c r="I59" s="274">
        <f t="shared" si="11"/>
        <v>186910.7678589744</v>
      </c>
      <c r="J59" s="274">
        <f t="shared" si="2"/>
        <v>37382.153571794879</v>
      </c>
      <c r="K59" s="412">
        <f t="shared" si="1"/>
        <v>224300</v>
      </c>
    </row>
    <row r="60" spans="1:11" ht="18.75" customHeight="1" x14ac:dyDescent="0.3">
      <c r="A60" s="304">
        <v>14</v>
      </c>
      <c r="B60" s="306" t="s">
        <v>406</v>
      </c>
      <c r="C60" s="380" t="s">
        <v>16</v>
      </c>
      <c r="D60" s="318">
        <f>VLOOKUP(B60,LDKT!$B$6:$G$1236,6,0)</f>
        <v>92278.75</v>
      </c>
      <c r="E60" s="318">
        <f>VLOOKUP(B60,Dcu!$A$7:$G$1960,7,0)</f>
        <v>25007.954051282046</v>
      </c>
      <c r="F60" s="318">
        <f>VLOOKUP(B60,VL!$B$7:$G$1005,6,0)</f>
        <v>52239.600000000006</v>
      </c>
      <c r="G60" s="305">
        <f>TB!I175</f>
        <v>11336.784</v>
      </c>
      <c r="H60" s="319">
        <f>VLOOKUP(B60,TB!$B$4:$I$2042,8,0)</f>
        <v>20895.899999999998</v>
      </c>
      <c r="I60" s="274">
        <f t="shared" si="11"/>
        <v>180863.08805128204</v>
      </c>
      <c r="J60" s="274">
        <f t="shared" si="2"/>
        <v>36172.617610256413</v>
      </c>
      <c r="K60" s="412">
        <f t="shared" si="1"/>
        <v>217000</v>
      </c>
    </row>
    <row r="61" spans="1:11" ht="23.25" customHeight="1" x14ac:dyDescent="0.3">
      <c r="A61" s="304">
        <v>15</v>
      </c>
      <c r="B61" s="12" t="s">
        <v>407</v>
      </c>
      <c r="C61" s="380" t="s">
        <v>670</v>
      </c>
      <c r="D61" s="318">
        <f>VLOOKUP(B61,LDKT!$B$6:$G$1236,6,0)</f>
        <v>92278.75</v>
      </c>
      <c r="E61" s="318">
        <f>VLOOKUP(B61,Dcu!$A$7:$G$1960,7,0)</f>
        <v>61600.549756410255</v>
      </c>
      <c r="F61" s="318">
        <f>VLOOKUP(B61,VL!$B$7:$G$1005,6,0)</f>
        <v>139330.80000000002</v>
      </c>
      <c r="G61" s="305">
        <f>TB!I185</f>
        <v>11336.784</v>
      </c>
      <c r="H61" s="319">
        <f>VLOOKUP(B61,TB!$B$4:$I$2042,8,0)</f>
        <v>22395.899999999998</v>
      </c>
      <c r="I61" s="274">
        <f t="shared" si="11"/>
        <v>304546.88375641021</v>
      </c>
      <c r="J61" s="274">
        <f t="shared" si="2"/>
        <v>60909.376751282049</v>
      </c>
      <c r="K61" s="412">
        <f t="shared" si="1"/>
        <v>365500</v>
      </c>
    </row>
    <row r="62" spans="1:11" ht="18.75" customHeight="1" x14ac:dyDescent="0.3">
      <c r="A62" s="304">
        <v>16</v>
      </c>
      <c r="B62" s="12" t="s">
        <v>408</v>
      </c>
      <c r="C62" s="380" t="s">
        <v>671</v>
      </c>
      <c r="D62" s="318">
        <f>VLOOKUP(B62,LDKT!$B$6:$G$1236,6,0)</f>
        <v>92278.75</v>
      </c>
      <c r="E62" s="318">
        <f>VLOOKUP(B62,Dcu!$A$7:$G$1960,7,0)</f>
        <v>24571.800205128202</v>
      </c>
      <c r="F62" s="318">
        <f>VLOOKUP(B62,VL!$B$7:$G$1005,6,0)</f>
        <v>79833.600000000006</v>
      </c>
      <c r="G62" s="305">
        <f>TB!I194</f>
        <v>13378.802</v>
      </c>
      <c r="H62" s="319">
        <f>VLOOKUP(B62,TB!$B$4:$I$2042,8,0)</f>
        <v>22473.399999999998</v>
      </c>
      <c r="I62" s="274">
        <f t="shared" si="11"/>
        <v>210062.95220512821</v>
      </c>
      <c r="J62" s="274">
        <f t="shared" si="2"/>
        <v>42012.590441025648</v>
      </c>
      <c r="K62" s="412">
        <f t="shared" si="1"/>
        <v>252100</v>
      </c>
    </row>
    <row r="63" spans="1:11" ht="18.75" customHeight="1" x14ac:dyDescent="0.3">
      <c r="A63" s="304">
        <v>17</v>
      </c>
      <c r="B63" s="12" t="s">
        <v>409</v>
      </c>
      <c r="C63" s="380" t="s">
        <v>672</v>
      </c>
      <c r="D63" s="318">
        <f>VLOOKUP(B63,LDKT!$B$6:$G$1236,6,0)</f>
        <v>92278.75</v>
      </c>
      <c r="E63" s="318">
        <f>VLOOKUP(B63,Dcu!$A$7:$G$1960,7,0)</f>
        <v>25007.954051282046</v>
      </c>
      <c r="F63" s="318">
        <f>VLOOKUP(B63,VL!$B$7:$G$1005,6,0)</f>
        <v>25360.560000000001</v>
      </c>
      <c r="G63" s="305">
        <f>TB!I203</f>
        <v>15992.438</v>
      </c>
      <c r="H63" s="319">
        <f>VLOOKUP(B63,TB!$B$4:$I$2042,8,0)</f>
        <v>43003.4</v>
      </c>
      <c r="I63" s="274">
        <f t="shared" si="11"/>
        <v>158639.70205128205</v>
      </c>
      <c r="J63" s="274">
        <f t="shared" si="2"/>
        <v>31727.940410256411</v>
      </c>
      <c r="K63" s="412">
        <f t="shared" si="1"/>
        <v>190400</v>
      </c>
    </row>
    <row r="64" spans="1:11" ht="18.75" customHeight="1" x14ac:dyDescent="0.3">
      <c r="A64" s="304">
        <v>18</v>
      </c>
      <c r="B64" s="12" t="s">
        <v>410</v>
      </c>
      <c r="C64" s="380" t="s">
        <v>673</v>
      </c>
      <c r="D64" s="318">
        <f>VLOOKUP(B64,LDKT!$B$6:$G$1236,6,0)</f>
        <v>92278.75</v>
      </c>
      <c r="E64" s="318">
        <f>VLOOKUP(B64,Dcu!$A$7:$G$1960,7,0)</f>
        <v>25007.954051282046</v>
      </c>
      <c r="F64" s="318">
        <f>VLOOKUP(B64,VL!$B$7:$G$1005,6,0)</f>
        <v>134697.60000000001</v>
      </c>
      <c r="G64" s="305">
        <f>TB!I212</f>
        <v>11336.784</v>
      </c>
      <c r="H64" s="319">
        <f>VLOOKUP(B64,TB!$B$4:$I$2042,8,0)</f>
        <v>23858.399999999998</v>
      </c>
      <c r="I64" s="274">
        <f t="shared" si="11"/>
        <v>263321.08805128204</v>
      </c>
      <c r="J64" s="274">
        <f t="shared" si="2"/>
        <v>52664.217610256412</v>
      </c>
      <c r="K64" s="412">
        <f t="shared" si="1"/>
        <v>316000</v>
      </c>
    </row>
    <row r="65" spans="1:11" ht="18.75" customHeight="1" x14ac:dyDescent="0.3">
      <c r="A65" s="304">
        <v>19</v>
      </c>
      <c r="B65" s="12" t="s">
        <v>411</v>
      </c>
      <c r="C65" s="380" t="s">
        <v>674</v>
      </c>
      <c r="D65" s="318">
        <f>VLOOKUP(B65,LDKT!$B$6:$G$1236,6,0)</f>
        <v>92278.75</v>
      </c>
      <c r="E65" s="318">
        <f>VLOOKUP(B65,Dcu!$A$7:$G$1960,7,0)</f>
        <v>18776.327448717944</v>
      </c>
      <c r="F65" s="318">
        <f>VLOOKUP(B65,VL!$B$7:$G$1005,6,0)</f>
        <v>89158.32</v>
      </c>
      <c r="G65" s="305">
        <f>TB!I220</f>
        <v>9662.366</v>
      </c>
      <c r="H65" s="319">
        <f>VLOOKUP(B65,TB!$B$4:$I$2042,8,0)</f>
        <v>21843.399999999998</v>
      </c>
      <c r="I65" s="274">
        <f t="shared" si="11"/>
        <v>209875.76344871797</v>
      </c>
      <c r="J65" s="274">
        <f t="shared" si="2"/>
        <v>41975.152689743598</v>
      </c>
      <c r="K65" s="412">
        <f t="shared" si="1"/>
        <v>251900</v>
      </c>
    </row>
    <row r="66" spans="1:11" s="307" customFormat="1" ht="23.25" customHeight="1" x14ac:dyDescent="0.3">
      <c r="A66" s="304">
        <v>20</v>
      </c>
      <c r="B66" s="12" t="s">
        <v>412</v>
      </c>
      <c r="C66" s="380" t="s">
        <v>675</v>
      </c>
      <c r="D66" s="318">
        <f>VLOOKUP(B66,LDKT!$B$6:$G$1236,6,0)</f>
        <v>92278.75</v>
      </c>
      <c r="E66" s="318">
        <f>VLOOKUP(B66,Dcu!$A$7:$G$1960,7,0)</f>
        <v>17974.300205128209</v>
      </c>
      <c r="F66" s="318">
        <f>VLOOKUP(B66,VL!$B$7:$G$1005,6,0)</f>
        <v>33021</v>
      </c>
      <c r="G66" s="305">
        <f>TB!I228</f>
        <v>5986.366</v>
      </c>
      <c r="H66" s="319">
        <f>VLOOKUP(B66,TB!$B$4:$I$2042,8,0)</f>
        <v>28311.399999999998</v>
      </c>
      <c r="I66" s="305">
        <f>D66+E66+F66+G66</f>
        <v>149260.41620512822</v>
      </c>
      <c r="J66" s="274">
        <f t="shared" ref="J66:J78" si="12">I66*20%</f>
        <v>29852.083241025644</v>
      </c>
      <c r="K66" s="412">
        <f t="shared" si="1"/>
        <v>179100</v>
      </c>
    </row>
    <row r="67" spans="1:11" s="307" customFormat="1" ht="24.75" customHeight="1" x14ac:dyDescent="0.3">
      <c r="A67" s="304">
        <v>21</v>
      </c>
      <c r="B67" s="176" t="s">
        <v>714</v>
      </c>
      <c r="C67" s="176" t="s">
        <v>698</v>
      </c>
      <c r="D67" s="318">
        <f>VLOOKUP(B67,LDKT!$B$6:$G$1236,6,0)</f>
        <v>124050</v>
      </c>
      <c r="E67" s="318">
        <f>VLOOKUP(B67,Dcu!$A$7:$G$1960,7,0)</f>
        <v>52033.09965384614</v>
      </c>
      <c r="F67" s="318">
        <f>VLOOKUP(B67,VL!$B$7:$G$1005,6,0)</f>
        <v>70416</v>
      </c>
      <c r="G67" s="305">
        <f>TB!I240</f>
        <v>36943.800000000003</v>
      </c>
      <c r="H67" s="319">
        <f>VLOOKUP(B67,TB!$B$4:$I$2042,8,0)</f>
        <v>63505.279999999999</v>
      </c>
      <c r="I67" s="305">
        <f>D67+E67+F67+G67</f>
        <v>283442.89965384617</v>
      </c>
      <c r="J67" s="274">
        <f t="shared" si="12"/>
        <v>56688.579930769236</v>
      </c>
      <c r="K67" s="412">
        <f t="shared" si="1"/>
        <v>340100</v>
      </c>
    </row>
    <row r="68" spans="1:11" s="307" customFormat="1" ht="24.75" customHeight="1" x14ac:dyDescent="0.3">
      <c r="A68" s="304">
        <v>22</v>
      </c>
      <c r="B68" s="176" t="s">
        <v>715</v>
      </c>
      <c r="C68" s="176" t="s">
        <v>716</v>
      </c>
      <c r="D68" s="318">
        <f>VLOOKUP(B68,LDKT!$B$6:$G$1236,6,0)</f>
        <v>124050</v>
      </c>
      <c r="E68" s="318">
        <f>VLOOKUP(B68,Dcu!$A$7:$G$1960,7,0)</f>
        <v>52033.09965384614</v>
      </c>
      <c r="F68" s="318">
        <f>VLOOKUP(B68,VL!$B$7:$G$1005,6,0)</f>
        <v>70416</v>
      </c>
      <c r="G68" s="305">
        <f>TB!I240</f>
        <v>36943.800000000003</v>
      </c>
      <c r="H68" s="319">
        <f>VLOOKUP(B68,TB!$B$4:$I$2042,8,0)</f>
        <v>63505.279999999999</v>
      </c>
      <c r="I68" s="305">
        <f t="shared" ref="I68:I76" si="13">D68+E68+F68+G68</f>
        <v>283442.89965384617</v>
      </c>
      <c r="J68" s="274">
        <f t="shared" ref="J68:J76" si="14">I68*20%</f>
        <v>56688.579930769236</v>
      </c>
      <c r="K68" s="412">
        <f t="shared" ref="K68:K76" si="15">ROUND((J68+I68),-2)</f>
        <v>340100</v>
      </c>
    </row>
    <row r="69" spans="1:11" ht="21.75" customHeight="1" x14ac:dyDescent="0.3">
      <c r="A69" s="304">
        <v>23</v>
      </c>
      <c r="B69" s="176" t="s">
        <v>557</v>
      </c>
      <c r="C69" s="176" t="s">
        <v>492</v>
      </c>
      <c r="D69" s="318">
        <f>VLOOKUP(B69,LDKT!$B$6:$G$1236,6,0)</f>
        <v>124050</v>
      </c>
      <c r="E69" s="318">
        <f>VLOOKUP(B69,Dcu!$A$7:$G$1960,7,0)</f>
        <v>120622.49953846156</v>
      </c>
      <c r="F69" s="318">
        <f>VLOOKUP(B69,VL!$B$7:$G$1005,6,0)</f>
        <v>76944.600000000006</v>
      </c>
      <c r="G69" s="305">
        <f>TB!I254</f>
        <v>53596.08</v>
      </c>
      <c r="H69" s="319">
        <f>VLOOKUP(B69,TB!$B$4:$I$2042,8,0)</f>
        <v>90985.279999999999</v>
      </c>
      <c r="I69" s="305">
        <f t="shared" si="13"/>
        <v>375213.17953846155</v>
      </c>
      <c r="J69" s="274">
        <f t="shared" si="14"/>
        <v>75042.635907692311</v>
      </c>
      <c r="K69" s="412">
        <f t="shared" si="15"/>
        <v>450300</v>
      </c>
    </row>
    <row r="70" spans="1:11" ht="21.75" customHeight="1" x14ac:dyDescent="0.3">
      <c r="A70" s="304">
        <v>24</v>
      </c>
      <c r="B70" s="176" t="s">
        <v>558</v>
      </c>
      <c r="C70" s="176" t="s">
        <v>493</v>
      </c>
      <c r="D70" s="318">
        <f>VLOOKUP(B70,LDKT!$B$6:$G$1236,6,0)</f>
        <v>124050</v>
      </c>
      <c r="E70" s="318">
        <f>VLOOKUP(B70,Dcu!$A$7:$G$1960,7,0)</f>
        <v>120622.49953846156</v>
      </c>
      <c r="F70" s="318">
        <f>VLOOKUP(B70,VL!$B$7:$G$1005,6,0)</f>
        <v>63045.000000000007</v>
      </c>
      <c r="G70" s="305">
        <f>TB!I254</f>
        <v>53596.08</v>
      </c>
      <c r="H70" s="319">
        <f>VLOOKUP(B70,TB!$B$4:$I$2042,8,0)</f>
        <v>90985.279999999999</v>
      </c>
      <c r="I70" s="305">
        <f t="shared" si="13"/>
        <v>361313.57953846158</v>
      </c>
      <c r="J70" s="274">
        <f t="shared" si="14"/>
        <v>72262.715907692313</v>
      </c>
      <c r="K70" s="412">
        <f t="shared" si="15"/>
        <v>433600</v>
      </c>
    </row>
    <row r="71" spans="1:11" ht="25.5" customHeight="1" x14ac:dyDescent="0.3">
      <c r="A71" s="304">
        <v>25</v>
      </c>
      <c r="B71" s="176" t="s">
        <v>717</v>
      </c>
      <c r="C71" s="176" t="s">
        <v>708</v>
      </c>
      <c r="D71" s="318">
        <f>VLOOKUP(B71,LDKT!$B$6:$G$1236,6,0)</f>
        <v>110734.5</v>
      </c>
      <c r="E71" s="318">
        <f>VLOOKUP(B71,Dcu!$A$7:$G$1960,7,0)</f>
        <v>43936.473294871801</v>
      </c>
      <c r="F71" s="318">
        <f>VLOOKUP(B71,VL!$B$7:$G$1005,6,0)</f>
        <v>40500</v>
      </c>
      <c r="G71" s="305">
        <f>TB!I267</f>
        <v>34664.68</v>
      </c>
      <c r="H71" s="319">
        <f>VLOOKUP(B71,TB!$B$4:$I$2042,8,0)</f>
        <v>63505.279999999999</v>
      </c>
      <c r="I71" s="305">
        <f t="shared" si="13"/>
        <v>229835.65329487179</v>
      </c>
      <c r="J71" s="274">
        <f t="shared" si="14"/>
        <v>45967.130658974362</v>
      </c>
      <c r="K71" s="412">
        <f t="shared" si="15"/>
        <v>275800</v>
      </c>
    </row>
    <row r="72" spans="1:11" ht="25.5" customHeight="1" x14ac:dyDescent="0.3">
      <c r="A72" s="304">
        <v>26</v>
      </c>
      <c r="B72" s="176" t="s">
        <v>718</v>
      </c>
      <c r="C72" s="176" t="s">
        <v>709</v>
      </c>
      <c r="D72" s="318">
        <f>VLOOKUP(B72,LDKT!$B$6:$G$1236,6,0)</f>
        <v>110734.5</v>
      </c>
      <c r="E72" s="318">
        <f>VLOOKUP(B72,Dcu!$A$7:$G$1960,7,0)</f>
        <v>43936.473294871801</v>
      </c>
      <c r="F72" s="318">
        <f>VLOOKUP(B72,VL!$B$7:$G$1005,6,0)</f>
        <v>40500</v>
      </c>
      <c r="G72" s="305">
        <f>TB!I267</f>
        <v>34664.68</v>
      </c>
      <c r="H72" s="319">
        <f>VLOOKUP(B72,TB!$B$4:$I$2042,8,0)</f>
        <v>63505.279999999999</v>
      </c>
      <c r="I72" s="305">
        <f t="shared" si="13"/>
        <v>229835.65329487179</v>
      </c>
      <c r="J72" s="274">
        <f t="shared" si="14"/>
        <v>45967.130658974362</v>
      </c>
      <c r="K72" s="412">
        <f t="shared" si="15"/>
        <v>275800</v>
      </c>
    </row>
    <row r="73" spans="1:11" ht="25.5" customHeight="1" x14ac:dyDescent="0.3">
      <c r="A73" s="304">
        <v>27</v>
      </c>
      <c r="B73" s="176" t="s">
        <v>719</v>
      </c>
      <c r="C73" s="176" t="s">
        <v>710</v>
      </c>
      <c r="D73" s="318">
        <f>VLOOKUP(B73,LDKT!$B$6:$G$1236,6,0)</f>
        <v>110734.5</v>
      </c>
      <c r="E73" s="318">
        <f>VLOOKUP(B73,Dcu!$A$7:$G$1960,7,0)</f>
        <v>43936.473294871801</v>
      </c>
      <c r="F73" s="318">
        <f>VLOOKUP(B73,VL!$B$7:$G$1005,6,0)</f>
        <v>40500</v>
      </c>
      <c r="G73" s="305">
        <f>TB!I267</f>
        <v>34664.68</v>
      </c>
      <c r="H73" s="319">
        <f>VLOOKUP(B73,TB!$B$4:$I$2042,8,0)</f>
        <v>63505.279999999999</v>
      </c>
      <c r="I73" s="305">
        <f t="shared" si="13"/>
        <v>229835.65329487179</v>
      </c>
      <c r="J73" s="274">
        <f t="shared" si="14"/>
        <v>45967.130658974362</v>
      </c>
      <c r="K73" s="412">
        <f t="shared" si="15"/>
        <v>275800</v>
      </c>
    </row>
    <row r="74" spans="1:11" ht="25.5" customHeight="1" x14ac:dyDescent="0.3">
      <c r="A74" s="304">
        <v>28</v>
      </c>
      <c r="B74" s="176" t="s">
        <v>720</v>
      </c>
      <c r="C74" s="176" t="s">
        <v>711</v>
      </c>
      <c r="D74" s="318">
        <f>VLOOKUP(B74,LDKT!$B$6:$G$1236,6,0)</f>
        <v>110734.5</v>
      </c>
      <c r="E74" s="318">
        <f>VLOOKUP(B74,Dcu!$A$7:$G$1960,7,0)</f>
        <v>43936.473294871801</v>
      </c>
      <c r="F74" s="318">
        <f>VLOOKUP(B74,VL!$B$7:$G$1005,6,0)</f>
        <v>40500</v>
      </c>
      <c r="G74" s="305">
        <f>TB!I267</f>
        <v>34664.68</v>
      </c>
      <c r="H74" s="319">
        <f>VLOOKUP(B74,TB!$B$4:$I$2042,8,0)</f>
        <v>63505.279999999999</v>
      </c>
      <c r="I74" s="305">
        <f t="shared" si="13"/>
        <v>229835.65329487179</v>
      </c>
      <c r="J74" s="274">
        <f t="shared" si="14"/>
        <v>45967.130658974362</v>
      </c>
      <c r="K74" s="412">
        <f t="shared" si="15"/>
        <v>275800</v>
      </c>
    </row>
    <row r="75" spans="1:11" ht="25.5" customHeight="1" x14ac:dyDescent="0.3">
      <c r="A75" s="304">
        <v>29</v>
      </c>
      <c r="B75" s="176" t="s">
        <v>721</v>
      </c>
      <c r="C75" s="176" t="s">
        <v>712</v>
      </c>
      <c r="D75" s="318">
        <f>VLOOKUP(B75,LDKT!$B$6:$G$1236,6,0)</f>
        <v>110734.5</v>
      </c>
      <c r="E75" s="318">
        <f>VLOOKUP(B75,Dcu!$A$7:$G$1960,7,0)</f>
        <v>43936.473294871801</v>
      </c>
      <c r="F75" s="318">
        <f>VLOOKUP(B75,VL!$B$7:$G$1005,6,0)</f>
        <v>40500</v>
      </c>
      <c r="G75" s="305">
        <f>TB!I267</f>
        <v>34664.68</v>
      </c>
      <c r="H75" s="319">
        <f>VLOOKUP(B75,TB!$B$4:$I$2042,8,0)</f>
        <v>63505.279999999999</v>
      </c>
      <c r="I75" s="305">
        <f t="shared" si="13"/>
        <v>229835.65329487179</v>
      </c>
      <c r="J75" s="274">
        <f t="shared" si="14"/>
        <v>45967.130658974362</v>
      </c>
      <c r="K75" s="412">
        <f t="shared" si="15"/>
        <v>275800</v>
      </c>
    </row>
    <row r="76" spans="1:11" ht="25.5" customHeight="1" x14ac:dyDescent="0.3">
      <c r="A76" s="304">
        <v>30</v>
      </c>
      <c r="B76" s="176" t="s">
        <v>722</v>
      </c>
      <c r="C76" s="176" t="s">
        <v>713</v>
      </c>
      <c r="D76" s="318">
        <f>VLOOKUP(B76,LDKT!$B$6:$G$1236,6,0)</f>
        <v>110734.5</v>
      </c>
      <c r="E76" s="318">
        <f>VLOOKUP(B76,Dcu!$A$7:$G$1960,7,0)</f>
        <v>43936.473294871801</v>
      </c>
      <c r="F76" s="318">
        <f>VLOOKUP(B76,VL!$B$7:$G$1005,6,0)</f>
        <v>40500</v>
      </c>
      <c r="G76" s="305">
        <f>TB!I267</f>
        <v>34664.68</v>
      </c>
      <c r="H76" s="319">
        <f>VLOOKUP(B76,TB!$B$4:$I$2042,8,0)</f>
        <v>63505.279999999999</v>
      </c>
      <c r="I76" s="305">
        <f t="shared" si="13"/>
        <v>229835.65329487179</v>
      </c>
      <c r="J76" s="274">
        <f t="shared" si="14"/>
        <v>45967.130658974362</v>
      </c>
      <c r="K76" s="412">
        <f t="shared" si="15"/>
        <v>275800</v>
      </c>
    </row>
    <row r="77" spans="1:11" ht="18.75" customHeight="1" x14ac:dyDescent="0.3">
      <c r="A77" s="304">
        <v>31</v>
      </c>
      <c r="B77" s="12" t="s">
        <v>8</v>
      </c>
      <c r="C77" s="380" t="s">
        <v>17</v>
      </c>
      <c r="D77" s="318">
        <f>VLOOKUP(B77,LDKT!$B$6:$G$1236,6,0)</f>
        <v>124050</v>
      </c>
      <c r="E77" s="318">
        <f>VLOOKUP(B77,Dcu!$A$7:$G$1960,7,0)</f>
        <v>56499.717551282047</v>
      </c>
      <c r="F77" s="318">
        <f>VLOOKUP(B77,VL!$B$7:$G$1005,6,0)</f>
        <v>162939.6</v>
      </c>
      <c r="G77" s="305">
        <f>TB!I281</f>
        <v>27753.8</v>
      </c>
      <c r="H77" s="319">
        <f>VLOOKUP(B77,TB!$B$4:$I$2042,8,0)</f>
        <v>23858.399999999998</v>
      </c>
      <c r="I77" s="274">
        <f t="shared" si="11"/>
        <v>371243.11755128205</v>
      </c>
      <c r="J77" s="274">
        <f t="shared" si="12"/>
        <v>74248.62351025641</v>
      </c>
      <c r="K77" s="412">
        <f t="shared" si="1"/>
        <v>445500</v>
      </c>
    </row>
    <row r="78" spans="1:11" ht="18.75" customHeight="1" x14ac:dyDescent="0.3">
      <c r="A78" s="304">
        <v>32</v>
      </c>
      <c r="B78" s="12" t="s">
        <v>10</v>
      </c>
      <c r="C78" s="380" t="s">
        <v>294</v>
      </c>
      <c r="D78" s="318">
        <f>VLOOKUP(B78,LDKT!$B$6:$G$1236,6,0)</f>
        <v>124050</v>
      </c>
      <c r="E78" s="318">
        <f>VLOOKUP(B78,Dcu!$A$7:$G$1960,7,0)</f>
        <v>68210.25488461541</v>
      </c>
      <c r="F78" s="318">
        <f>VLOOKUP(B78,VL!$B$7:$G$1005,6,0)</f>
        <v>183787.92</v>
      </c>
      <c r="G78" s="305">
        <f>TB!I290</f>
        <v>31705.5</v>
      </c>
      <c r="H78" s="319">
        <f>VLOOKUP(B78,TB!$B$4:$I$2042,8,0)</f>
        <v>23858.399999999998</v>
      </c>
      <c r="I78" s="274">
        <f t="shared" si="11"/>
        <v>407753.67488461547</v>
      </c>
      <c r="J78" s="274">
        <f t="shared" si="12"/>
        <v>81550.734976923093</v>
      </c>
      <c r="K78" s="412">
        <f t="shared" si="1"/>
        <v>489300</v>
      </c>
    </row>
    <row r="79" spans="1:11" ht="21.75" customHeight="1" x14ac:dyDescent="0.3">
      <c r="A79" s="304">
        <v>33</v>
      </c>
      <c r="B79" s="12" t="s">
        <v>11</v>
      </c>
      <c r="C79" s="48" t="s">
        <v>743</v>
      </c>
      <c r="D79" s="318">
        <f>VLOOKUP(B79,LDKT!$B$6:$G$1236,6,0)</f>
        <v>206750</v>
      </c>
      <c r="E79" s="318">
        <f>VLOOKUP(B79,Dcu!$A$7:$G$1960,7,0)</f>
        <v>166970.94671794871</v>
      </c>
      <c r="F79" s="318">
        <f>VLOOKUP(B79,VL!$B$7:$G$1005,6,0)</f>
        <v>1363284</v>
      </c>
      <c r="G79" s="273">
        <f>TB!I304</f>
        <v>74402.239999999991</v>
      </c>
      <c r="H79" s="319">
        <f>VLOOKUP(B79,TB!$B$4:$I$2042,8,0)</f>
        <v>83267.680000000008</v>
      </c>
      <c r="I79" s="305">
        <f t="shared" si="11"/>
        <v>1811407.1867179486</v>
      </c>
      <c r="J79" s="274">
        <f t="shared" ref="J79:J82" si="16">I79*20%</f>
        <v>362281.43734358973</v>
      </c>
      <c r="K79" s="412">
        <f t="shared" si="1"/>
        <v>2173700</v>
      </c>
    </row>
    <row r="80" spans="1:11" ht="17.149999999999999" customHeight="1" x14ac:dyDescent="0.3">
      <c r="A80" s="304">
        <v>34</v>
      </c>
      <c r="B80" s="12" t="s">
        <v>13</v>
      </c>
      <c r="C80" s="380" t="s">
        <v>744</v>
      </c>
      <c r="D80" s="318">
        <f>VLOOKUP(B80,LDKT!$B$6:$G$1236,6,0)</f>
        <v>206750</v>
      </c>
      <c r="E80" s="318">
        <f>VLOOKUP(B80,Dcu!$A$7:$G$1960,7,0)</f>
        <v>166970.94671794871</v>
      </c>
      <c r="F80" s="318">
        <f>VLOOKUP(B80,VL!$B$7:$G$1005,6,0)</f>
        <v>1448280</v>
      </c>
      <c r="G80" s="273">
        <f>TB!I304</f>
        <v>74402.239999999991</v>
      </c>
      <c r="H80" s="319">
        <f>VLOOKUP(B80,TB!$B$4:$I$2042,8,0)</f>
        <v>83267.680000000008</v>
      </c>
      <c r="I80" s="305">
        <f t="shared" si="11"/>
        <v>1896403.1867179486</v>
      </c>
      <c r="J80" s="274">
        <f t="shared" si="16"/>
        <v>379280.63734358974</v>
      </c>
      <c r="K80" s="412">
        <f t="shared" si="1"/>
        <v>2275700</v>
      </c>
    </row>
    <row r="81" spans="1:15" ht="17.149999999999999" customHeight="1" x14ac:dyDescent="0.3">
      <c r="A81" s="304">
        <v>35</v>
      </c>
      <c r="B81" s="12" t="s">
        <v>15</v>
      </c>
      <c r="C81" s="380" t="s">
        <v>21</v>
      </c>
      <c r="D81" s="318">
        <f>VLOOKUP(B81,LDKT!$B$6:$G$1236,6,0)</f>
        <v>206750</v>
      </c>
      <c r="E81" s="318">
        <f>VLOOKUP(B81,Dcu!$A$7:$G$1960,7,0)</f>
        <v>166970.94671794871</v>
      </c>
      <c r="F81" s="318">
        <f>VLOOKUP(B81,VL!$B$7:$G$1005,6,0)</f>
        <v>1448280</v>
      </c>
      <c r="G81" s="273">
        <f>TB!I304</f>
        <v>74402.239999999991</v>
      </c>
      <c r="H81" s="319">
        <f>VLOOKUP(B81,TB!$B$4:$I$2042,8,0)</f>
        <v>83267.680000000008</v>
      </c>
      <c r="I81" s="305">
        <f t="shared" si="11"/>
        <v>1896403.1867179486</v>
      </c>
      <c r="J81" s="274">
        <f t="shared" si="16"/>
        <v>379280.63734358974</v>
      </c>
      <c r="K81" s="412">
        <f t="shared" si="1"/>
        <v>2275700</v>
      </c>
    </row>
    <row r="82" spans="1:15" ht="28.5" customHeight="1" x14ac:dyDescent="0.3">
      <c r="A82" s="304">
        <v>36</v>
      </c>
      <c r="B82" s="328" t="s">
        <v>468</v>
      </c>
      <c r="C82" s="48" t="s">
        <v>676</v>
      </c>
      <c r="D82" s="318">
        <f>VLOOKUP(B82,LDKT!$B$6:$G$1236,6,0)</f>
        <v>206750</v>
      </c>
      <c r="E82" s="318">
        <f>VLOOKUP(B82,Dcu!$A$7:$G$1960,7,0)</f>
        <v>34297.288064102569</v>
      </c>
      <c r="F82" s="318">
        <f>VLOOKUP(B82,VL!$B$7:$G$1005,6,0)</f>
        <v>812268</v>
      </c>
      <c r="G82" s="273">
        <f>TB!I318</f>
        <v>102468.5</v>
      </c>
      <c r="H82" s="319">
        <f>VLOOKUP(B82,TB!$B$4:$I$2042,8,0)</f>
        <v>75825.279999999999</v>
      </c>
      <c r="I82" s="305">
        <f t="shared" si="11"/>
        <v>1155783.7880641026</v>
      </c>
      <c r="J82" s="274">
        <f t="shared" si="16"/>
        <v>231156.75761282054</v>
      </c>
      <c r="K82" s="412">
        <f t="shared" si="1"/>
        <v>1386900</v>
      </c>
    </row>
    <row r="83" spans="1:15" s="356" customFormat="1" ht="15.5" x14ac:dyDescent="0.35">
      <c r="A83" s="588" t="s">
        <v>641</v>
      </c>
      <c r="B83" s="588"/>
      <c r="C83" s="588"/>
      <c r="D83" s="588"/>
      <c r="E83" s="588"/>
      <c r="F83" s="588"/>
      <c r="G83" s="588"/>
      <c r="H83" s="588"/>
      <c r="I83" s="588"/>
      <c r="J83" s="588"/>
      <c r="K83" s="588"/>
      <c r="L83" s="588"/>
      <c r="M83" s="588"/>
      <c r="N83" s="355"/>
      <c r="O83" s="355"/>
    </row>
    <row r="84" spans="1:15" s="356" customFormat="1" ht="15" customHeight="1" x14ac:dyDescent="0.35">
      <c r="A84" s="589" t="s">
        <v>642</v>
      </c>
      <c r="B84" s="589"/>
      <c r="C84" s="589"/>
      <c r="D84" s="589"/>
      <c r="E84" s="589"/>
      <c r="F84" s="589"/>
      <c r="G84" s="589"/>
      <c r="H84" s="589"/>
      <c r="I84" s="589"/>
      <c r="J84" s="589"/>
      <c r="K84" s="589"/>
      <c r="L84" s="589"/>
      <c r="M84" s="589"/>
      <c r="N84" s="355"/>
      <c r="O84" s="355"/>
    </row>
    <row r="85" spans="1:15" s="356" customFormat="1" ht="17.149999999999999" customHeight="1" x14ac:dyDescent="0.35">
      <c r="A85" s="583" t="s">
        <v>643</v>
      </c>
      <c r="B85" s="583"/>
      <c r="C85" s="583"/>
      <c r="D85" s="583"/>
      <c r="E85" s="583"/>
      <c r="F85" s="583"/>
      <c r="G85" s="583"/>
      <c r="H85" s="583"/>
      <c r="I85" s="583"/>
      <c r="J85" s="583"/>
      <c r="K85" s="583"/>
      <c r="L85" s="583"/>
      <c r="M85" s="583"/>
    </row>
  </sheetData>
  <sheetProtection selectLockedCells="1"/>
  <mergeCells count="7">
    <mergeCell ref="A85:M85"/>
    <mergeCell ref="A2:K2"/>
    <mergeCell ref="A1:K1"/>
    <mergeCell ref="I3:K3"/>
    <mergeCell ref="A83:M83"/>
    <mergeCell ref="A84:M84"/>
    <mergeCell ref="B3:C3"/>
  </mergeCells>
  <printOptions horizontalCentered="1"/>
  <pageMargins left="0.59055118110236227" right="0.19685039370078741" top="0.39370078740157483" bottom="0.19685039370078741" header="0" footer="0"/>
  <pageSetup paperSize="9" scale="87" fitToWidth="3" fitToHeight="3" orientation="landscape" r:id="rId1"/>
  <headerFooter alignWithMargins="0">
    <oddFooter>&amp;C&amp;"t,Regular"&amp;9&amp;P - KK-NM</oddFooter>
  </headerFooter>
  <rowBreaks count="1" manualBreakCount="1">
    <brk id="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Phuong phap</vt:lpstr>
      <vt:lpstr>DGL</vt:lpstr>
      <vt:lpstr>LDKT</vt:lpstr>
      <vt:lpstr>Dcu</vt:lpstr>
      <vt:lpstr>VL</vt:lpstr>
      <vt:lpstr>TB</vt:lpstr>
      <vt:lpstr>TH dongia</vt:lpstr>
      <vt:lpstr>'Phuong phap'!Print_Titles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ASUS</cp:lastModifiedBy>
  <cp:lastPrinted>2017-02-17T09:11:19Z</cp:lastPrinted>
  <dcterms:created xsi:type="dcterms:W3CDTF">2015-07-27T12:37:41Z</dcterms:created>
  <dcterms:modified xsi:type="dcterms:W3CDTF">2018-05-10T02:41:59Z</dcterms:modified>
</cp:coreProperties>
</file>