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5" yWindow="-15" windowWidth="10260" windowHeight="7635" activeTab="2"/>
  </bookViews>
  <sheets>
    <sheet name="Phuong phap" sheetId="8" r:id="rId1"/>
    <sheet name="DGl" sheetId="5" r:id="rId2"/>
    <sheet name="LDKT" sheetId="1" r:id="rId3"/>
    <sheet name="Dcu" sheetId="2" r:id="rId4"/>
    <sheet name="VL" sheetId="3" r:id="rId5"/>
    <sheet name="TB" sheetId="4" r:id="rId6"/>
    <sheet name="Don gia TH" sheetId="6" r:id="rId7"/>
  </sheets>
  <externalReferences>
    <externalReference r:id="rId8"/>
    <externalReference r:id="rId9"/>
    <externalReference r:id="rId10"/>
    <externalReference r:id="rId11"/>
  </externalReferences>
  <definedNames>
    <definedName name="_xlnm._FilterDatabase" localSheetId="3" hidden="1">Dcu!$C$3:$H$510</definedName>
    <definedName name="_xlnm._FilterDatabase" localSheetId="5" hidden="1">TB!$A$3:$I$164</definedName>
    <definedName name="_xlnm._FilterDatabase" localSheetId="4" hidden="1">VL!$A$3:$G$297</definedName>
    <definedName name="_xlnm.Print_Titles" localSheetId="6">'Don gia TH'!$4:$4</definedName>
    <definedName name="_xlnm.Print_Titles" localSheetId="0">'Phuong phap'!$2:$2</definedName>
  </definedNames>
  <calcPr calcId="124519"/>
</workbook>
</file>

<file path=xl/calcChain.xml><?xml version="1.0" encoding="utf-8"?>
<calcChain xmlns="http://schemas.openxmlformats.org/spreadsheetml/2006/main">
  <c r="F32" i="1"/>
  <c r="F33"/>
  <c r="F34"/>
  <c r="F35"/>
  <c r="F36"/>
  <c r="F37"/>
  <c r="F38"/>
  <c r="F39"/>
  <c r="F40"/>
  <c r="F41"/>
  <c r="F42"/>
  <c r="F43"/>
  <c r="F44"/>
  <c r="F45"/>
  <c r="F46"/>
  <c r="F47"/>
  <c r="F48"/>
  <c r="F49"/>
  <c r="F50"/>
  <c r="F51"/>
  <c r="F52"/>
  <c r="F53"/>
  <c r="F31"/>
  <c r="F8"/>
  <c r="F9"/>
  <c r="F10"/>
  <c r="F11"/>
  <c r="F12"/>
  <c r="F13"/>
  <c r="F14"/>
  <c r="F15"/>
  <c r="F16"/>
  <c r="F17"/>
  <c r="F18"/>
  <c r="F19"/>
  <c r="F20"/>
  <c r="F21"/>
  <c r="F22"/>
  <c r="F23"/>
  <c r="F24"/>
  <c r="F25"/>
  <c r="F26"/>
  <c r="F27"/>
  <c r="F28"/>
  <c r="F29"/>
  <c r="F7"/>
  <c r="L9" i="5"/>
  <c r="L10"/>
  <c r="L11"/>
  <c r="L13"/>
  <c r="L14"/>
  <c r="L15"/>
  <c r="L16"/>
  <c r="L8"/>
  <c r="J9"/>
  <c r="J10"/>
  <c r="J11"/>
  <c r="J13"/>
  <c r="J14"/>
  <c r="J15"/>
  <c r="J16"/>
  <c r="J8"/>
  <c r="H141" i="4"/>
  <c r="H142"/>
  <c r="H143"/>
  <c r="H144"/>
  <c r="H145"/>
  <c r="H146"/>
  <c r="H147"/>
  <c r="H148"/>
  <c r="H149"/>
  <c r="G132" i="2"/>
  <c r="H132" s="1"/>
  <c r="E132"/>
  <c r="L54" i="6"/>
  <c r="N54"/>
  <c r="F296" i="3" l="1"/>
  <c r="G296" s="1"/>
  <c r="H164" i="4"/>
  <c r="H163"/>
  <c r="H162"/>
  <c r="H161"/>
  <c r="H160"/>
  <c r="H159"/>
  <c r="H158"/>
  <c r="H157"/>
  <c r="H156"/>
  <c r="H150"/>
  <c r="H140"/>
  <c r="H138"/>
  <c r="H137"/>
  <c r="H136"/>
  <c r="H135"/>
  <c r="H134"/>
  <c r="H133"/>
  <c r="H132"/>
  <c r="H126"/>
  <c r="H125"/>
  <c r="H124"/>
  <c r="H123"/>
  <c r="H122"/>
  <c r="H121"/>
  <c r="H120"/>
  <c r="H119"/>
  <c r="H118"/>
  <c r="H115"/>
  <c r="H114"/>
  <c r="H113"/>
  <c r="H112"/>
  <c r="H111"/>
  <c r="H110"/>
  <c r="H109"/>
  <c r="H108"/>
  <c r="H107"/>
  <c r="H106"/>
  <c r="H103"/>
  <c r="H102"/>
  <c r="H101"/>
  <c r="H100"/>
  <c r="H99"/>
  <c r="H98"/>
  <c r="H97"/>
  <c r="H96"/>
  <c r="H95"/>
  <c r="H93"/>
  <c r="H92"/>
  <c r="H91"/>
  <c r="H90"/>
  <c r="H89"/>
  <c r="H88"/>
  <c r="H87"/>
  <c r="H86"/>
  <c r="H85"/>
  <c r="H82"/>
  <c r="H81"/>
  <c r="H80"/>
  <c r="H79"/>
  <c r="H78"/>
  <c r="H77"/>
  <c r="H76"/>
  <c r="H75"/>
  <c r="H73"/>
  <c r="H72"/>
  <c r="H71"/>
  <c r="H70"/>
  <c r="H69"/>
  <c r="H68"/>
  <c r="H67"/>
  <c r="H66"/>
  <c r="H64"/>
  <c r="H63"/>
  <c r="H62"/>
  <c r="H61"/>
  <c r="H60"/>
  <c r="H59"/>
  <c r="H58"/>
  <c r="H57"/>
  <c r="H55"/>
  <c r="H54"/>
  <c r="H53"/>
  <c r="H52"/>
  <c r="H51"/>
  <c r="H50"/>
  <c r="H48"/>
  <c r="H47"/>
  <c r="H46"/>
  <c r="H45"/>
  <c r="H44"/>
  <c r="H43"/>
  <c r="H42"/>
  <c r="H35"/>
  <c r="H34"/>
  <c r="H20"/>
  <c r="H19"/>
  <c r="H17"/>
  <c r="H16"/>
  <c r="H14"/>
  <c r="H13"/>
  <c r="H11"/>
  <c r="H10"/>
  <c r="H8"/>
  <c r="H7"/>
  <c r="F297" i="3"/>
  <c r="F295"/>
  <c r="G295" s="1"/>
  <c r="F294"/>
  <c r="F293"/>
  <c r="F292"/>
  <c r="F291"/>
  <c r="F290"/>
  <c r="F289"/>
  <c r="F288"/>
  <c r="F287"/>
  <c r="F286"/>
  <c r="F284"/>
  <c r="F283"/>
  <c r="F282"/>
  <c r="F281"/>
  <c r="F280"/>
  <c r="F279"/>
  <c r="F278"/>
  <c r="F277"/>
  <c r="F276"/>
  <c r="F275"/>
  <c r="F274"/>
  <c r="F273"/>
  <c r="F272"/>
  <c r="F271"/>
  <c r="F270"/>
  <c r="F269"/>
  <c r="F267"/>
  <c r="F266"/>
  <c r="F265"/>
  <c r="F264"/>
  <c r="F263"/>
  <c r="F262"/>
  <c r="F261"/>
  <c r="F260"/>
  <c r="F259"/>
  <c r="F258"/>
  <c r="F257"/>
  <c r="F256"/>
  <c r="F255"/>
  <c r="F254"/>
  <c r="F253"/>
  <c r="F252"/>
  <c r="F251"/>
  <c r="F247"/>
  <c r="F246"/>
  <c r="F245"/>
  <c r="F244"/>
  <c r="F243"/>
  <c r="F242"/>
  <c r="F241"/>
  <c r="F240"/>
  <c r="F239"/>
  <c r="F238"/>
  <c r="F237"/>
  <c r="F236"/>
  <c r="F235"/>
  <c r="F234"/>
  <c r="F233"/>
  <c r="F232"/>
  <c r="F230"/>
  <c r="F229"/>
  <c r="F228"/>
  <c r="F227"/>
  <c r="F226"/>
  <c r="F225"/>
  <c r="F224"/>
  <c r="F223"/>
  <c r="F222"/>
  <c r="F221"/>
  <c r="F215"/>
  <c r="F214"/>
  <c r="F213"/>
  <c r="F212"/>
  <c r="F211"/>
  <c r="F210"/>
  <c r="F209"/>
  <c r="F208"/>
  <c r="F207"/>
  <c r="F206"/>
  <c r="F203"/>
  <c r="F202"/>
  <c r="F201"/>
  <c r="F200"/>
  <c r="F199"/>
  <c r="F198"/>
  <c r="F197"/>
  <c r="F196"/>
  <c r="F195"/>
  <c r="F194"/>
  <c r="F193"/>
  <c r="F192"/>
  <c r="F191"/>
  <c r="F190"/>
  <c r="F189"/>
  <c r="F186"/>
  <c r="F185"/>
  <c r="F184"/>
  <c r="F183"/>
  <c r="F182"/>
  <c r="F181"/>
  <c r="F180"/>
  <c r="F179"/>
  <c r="F178"/>
  <c r="F177"/>
  <c r="F176"/>
  <c r="F174"/>
  <c r="F173"/>
  <c r="F172"/>
  <c r="F171"/>
  <c r="F170"/>
  <c r="F169"/>
  <c r="F168"/>
  <c r="F167"/>
  <c r="F166"/>
  <c r="F165"/>
  <c r="F164"/>
  <c r="F163"/>
  <c r="F162"/>
  <c r="F161"/>
  <c r="F160"/>
  <c r="F159"/>
  <c r="F158"/>
  <c r="F157"/>
  <c r="F156"/>
  <c r="F155"/>
  <c r="F154"/>
  <c r="F152"/>
  <c r="F151"/>
  <c r="F150"/>
  <c r="F149"/>
  <c r="F148"/>
  <c r="F147"/>
  <c r="F146"/>
  <c r="F145"/>
  <c r="F144"/>
  <c r="F143"/>
  <c r="F142"/>
  <c r="F141"/>
  <c r="F139"/>
  <c r="F138"/>
  <c r="F137"/>
  <c r="F136"/>
  <c r="F135"/>
  <c r="F134"/>
  <c r="F133"/>
  <c r="F132"/>
  <c r="F131"/>
  <c r="F130"/>
  <c r="F129"/>
  <c r="F128"/>
  <c r="F127"/>
  <c r="F126"/>
  <c r="F124"/>
  <c r="F123"/>
  <c r="F122"/>
  <c r="F121"/>
  <c r="F120"/>
  <c r="F119"/>
  <c r="F118"/>
  <c r="F117"/>
  <c r="F116"/>
  <c r="F115"/>
  <c r="F114"/>
  <c r="F113"/>
  <c r="F112"/>
  <c r="F111"/>
  <c r="F110"/>
  <c r="F108"/>
  <c r="F107"/>
  <c r="F106"/>
  <c r="F105"/>
  <c r="F104"/>
  <c r="F103"/>
  <c r="F102"/>
  <c r="F101"/>
  <c r="F100"/>
  <c r="F99"/>
  <c r="F98"/>
  <c r="F96"/>
  <c r="F95"/>
  <c r="F94"/>
  <c r="F93"/>
  <c r="F92"/>
  <c r="F91"/>
  <c r="F90"/>
  <c r="F89"/>
  <c r="F88"/>
  <c r="F87"/>
  <c r="F86"/>
  <c r="F84"/>
  <c r="F83"/>
  <c r="F82"/>
  <c r="F81"/>
  <c r="F80"/>
  <c r="F79"/>
  <c r="F78"/>
  <c r="F77"/>
  <c r="F76"/>
  <c r="F75"/>
  <c r="F74"/>
  <c r="F67"/>
  <c r="F66"/>
  <c r="F65"/>
  <c r="F64"/>
  <c r="F63"/>
  <c r="F62"/>
  <c r="F61"/>
  <c r="F60"/>
  <c r="F46"/>
  <c r="F45"/>
  <c r="F44"/>
  <c r="F43"/>
  <c r="F42"/>
  <c r="F41"/>
  <c r="F40"/>
  <c r="F39"/>
  <c r="F37"/>
  <c r="F36"/>
  <c r="F35"/>
  <c r="F34"/>
  <c r="F33"/>
  <c r="F32"/>
  <c r="F31"/>
  <c r="F29"/>
  <c r="F28"/>
  <c r="F27"/>
  <c r="F26"/>
  <c r="F25"/>
  <c r="F24"/>
  <c r="F23"/>
  <c r="F21"/>
  <c r="F20"/>
  <c r="F19"/>
  <c r="F18"/>
  <c r="F17"/>
  <c r="F16"/>
  <c r="F15"/>
  <c r="F8"/>
  <c r="F9"/>
  <c r="F10"/>
  <c r="F11"/>
  <c r="F12"/>
  <c r="F13"/>
  <c r="F7"/>
  <c r="E510" i="2"/>
  <c r="E509"/>
  <c r="E508"/>
  <c r="E507"/>
  <c r="E506"/>
  <c r="E505"/>
  <c r="E504"/>
  <c r="E503"/>
  <c r="E502"/>
  <c r="E501"/>
  <c r="E500"/>
  <c r="E499"/>
  <c r="E498"/>
  <c r="E497"/>
  <c r="E496"/>
  <c r="E495"/>
  <c r="E494"/>
  <c r="E493"/>
  <c r="E492"/>
  <c r="E491"/>
  <c r="E490"/>
  <c r="E489"/>
  <c r="E488"/>
  <c r="E487"/>
  <c r="E486"/>
  <c r="E485"/>
  <c r="E482"/>
  <c r="E481"/>
  <c r="E480"/>
  <c r="E479"/>
  <c r="E478"/>
  <c r="E477"/>
  <c r="E476"/>
  <c r="E475"/>
  <c r="E474"/>
  <c r="E473"/>
  <c r="E472"/>
  <c r="E471"/>
  <c r="E470"/>
  <c r="E469"/>
  <c r="E468"/>
  <c r="E467"/>
  <c r="E466"/>
  <c r="E465"/>
  <c r="E464"/>
  <c r="E463"/>
  <c r="E462"/>
  <c r="E461"/>
  <c r="E460"/>
  <c r="E459"/>
  <c r="E458"/>
  <c r="E457"/>
  <c r="E454"/>
  <c r="E453"/>
  <c r="E452"/>
  <c r="E451"/>
  <c r="E450"/>
  <c r="E449"/>
  <c r="E448"/>
  <c r="E447"/>
  <c r="E446"/>
  <c r="E445"/>
  <c r="E444"/>
  <c r="E443"/>
  <c r="E442"/>
  <c r="E441"/>
  <c r="E440"/>
  <c r="E439"/>
  <c r="E438"/>
  <c r="E437"/>
  <c r="E436"/>
  <c r="E435"/>
  <c r="E434"/>
  <c r="E433"/>
  <c r="E432"/>
  <c r="E431"/>
  <c r="E430"/>
  <c r="E429"/>
  <c r="E424"/>
  <c r="E423"/>
  <c r="E422"/>
  <c r="E421"/>
  <c r="E420"/>
  <c r="E419"/>
  <c r="E418"/>
  <c r="E417"/>
  <c r="E416"/>
  <c r="E415"/>
  <c r="E414"/>
  <c r="E413"/>
  <c r="E412"/>
  <c r="E411"/>
  <c r="E410"/>
  <c r="E409"/>
  <c r="E408"/>
  <c r="E407"/>
  <c r="E406"/>
  <c r="E405"/>
  <c r="E404"/>
  <c r="E403"/>
  <c r="E402"/>
  <c r="E401"/>
  <c r="E400"/>
  <c r="E399"/>
  <c r="E396"/>
  <c r="E395"/>
  <c r="E394"/>
  <c r="E393"/>
  <c r="E392"/>
  <c r="E391"/>
  <c r="E390"/>
  <c r="E389"/>
  <c r="E388"/>
  <c r="E387"/>
  <c r="E386"/>
  <c r="E385"/>
  <c r="E384"/>
  <c r="E383"/>
  <c r="E382"/>
  <c r="E381"/>
  <c r="E380"/>
  <c r="E379"/>
  <c r="E378"/>
  <c r="E377"/>
  <c r="E376"/>
  <c r="E375"/>
  <c r="E374"/>
  <c r="E373"/>
  <c r="E372"/>
  <c r="E371"/>
  <c r="E370"/>
  <c r="E369"/>
  <c r="E368"/>
  <c r="E361"/>
  <c r="E360"/>
  <c r="E359"/>
  <c r="E358"/>
  <c r="E357"/>
  <c r="E356"/>
  <c r="E355"/>
  <c r="E354"/>
  <c r="E353"/>
  <c r="E352"/>
  <c r="E351"/>
  <c r="E350"/>
  <c r="E349"/>
  <c r="E348"/>
  <c r="E347"/>
  <c r="E346"/>
  <c r="E345"/>
  <c r="E344"/>
  <c r="E343"/>
  <c r="E342"/>
  <c r="E341"/>
  <c r="E340"/>
  <c r="E339"/>
  <c r="E338"/>
  <c r="E337"/>
  <c r="E336"/>
  <c r="E335"/>
  <c r="E334"/>
  <c r="E330"/>
  <c r="E329"/>
  <c r="E328"/>
  <c r="E327"/>
  <c r="E326"/>
  <c r="E325"/>
  <c r="E324"/>
  <c r="E323"/>
  <c r="E322"/>
  <c r="E321"/>
  <c r="E320"/>
  <c r="E319"/>
  <c r="E318"/>
  <c r="E317"/>
  <c r="E316"/>
  <c r="E315"/>
  <c r="E314"/>
  <c r="E313"/>
  <c r="E312"/>
  <c r="E311"/>
  <c r="E310"/>
  <c r="E309"/>
  <c r="E308"/>
  <c r="E307"/>
  <c r="E306"/>
  <c r="E305"/>
  <c r="E304"/>
  <c r="E303"/>
  <c r="E302"/>
  <c r="E301"/>
  <c r="E297"/>
  <c r="E296"/>
  <c r="E295"/>
  <c r="E294"/>
  <c r="E293"/>
  <c r="E292"/>
  <c r="E291"/>
  <c r="E290"/>
  <c r="E289"/>
  <c r="E288"/>
  <c r="E287"/>
  <c r="E286"/>
  <c r="E285"/>
  <c r="E284"/>
  <c r="E283"/>
  <c r="E282"/>
  <c r="E281"/>
  <c r="E280"/>
  <c r="E279"/>
  <c r="E278"/>
  <c r="E277"/>
  <c r="E276"/>
  <c r="E275"/>
  <c r="E274"/>
  <c r="E273"/>
  <c r="E272"/>
  <c r="E271"/>
  <c r="E270"/>
  <c r="E269"/>
  <c r="E266"/>
  <c r="E265"/>
  <c r="E264"/>
  <c r="E263"/>
  <c r="E262"/>
  <c r="E261"/>
  <c r="E260"/>
  <c r="E259"/>
  <c r="E258"/>
  <c r="E257"/>
  <c r="E256"/>
  <c r="E255"/>
  <c r="E254"/>
  <c r="E253"/>
  <c r="E252"/>
  <c r="E251"/>
  <c r="E250"/>
  <c r="E249"/>
  <c r="E248"/>
  <c r="E247"/>
  <c r="E246"/>
  <c r="E245"/>
  <c r="E244"/>
  <c r="E243"/>
  <c r="E242"/>
  <c r="E241"/>
  <c r="E238"/>
  <c r="E237"/>
  <c r="E236"/>
  <c r="E235"/>
  <c r="E234"/>
  <c r="E233"/>
  <c r="E232"/>
  <c r="E231"/>
  <c r="E230"/>
  <c r="E229"/>
  <c r="E228"/>
  <c r="E227"/>
  <c r="E226"/>
  <c r="E225"/>
  <c r="E224"/>
  <c r="E223"/>
  <c r="E222"/>
  <c r="E221"/>
  <c r="E220"/>
  <c r="E219"/>
  <c r="E218"/>
  <c r="E217"/>
  <c r="E216"/>
  <c r="E215"/>
  <c r="E214"/>
  <c r="E213"/>
  <c r="E212"/>
  <c r="E211"/>
  <c r="E208"/>
  <c r="E207"/>
  <c r="E206"/>
  <c r="E205"/>
  <c r="E204"/>
  <c r="E203"/>
  <c r="E202"/>
  <c r="E201"/>
  <c r="E200"/>
  <c r="E199"/>
  <c r="E198"/>
  <c r="E197"/>
  <c r="E196"/>
  <c r="E195"/>
  <c r="E194"/>
  <c r="E193"/>
  <c r="E192"/>
  <c r="E191"/>
  <c r="E190"/>
  <c r="E189"/>
  <c r="E188"/>
  <c r="E187"/>
  <c r="E186"/>
  <c r="E185"/>
  <c r="E184"/>
  <c r="E183"/>
  <c r="E180"/>
  <c r="E179"/>
  <c r="E178"/>
  <c r="E177"/>
  <c r="E176"/>
  <c r="E175"/>
  <c r="E174"/>
  <c r="E173"/>
  <c r="E172"/>
  <c r="E171"/>
  <c r="E170"/>
  <c r="E169"/>
  <c r="E168"/>
  <c r="E167"/>
  <c r="E166"/>
  <c r="E165"/>
  <c r="E164"/>
  <c r="E163"/>
  <c r="E162"/>
  <c r="E161"/>
  <c r="E160"/>
  <c r="E159"/>
  <c r="E158"/>
  <c r="E157"/>
  <c r="E156"/>
  <c r="E155"/>
  <c r="E154"/>
  <c r="E153"/>
  <c r="E150"/>
  <c r="E149"/>
  <c r="E148"/>
  <c r="E147"/>
  <c r="E146"/>
  <c r="E145"/>
  <c r="E144"/>
  <c r="E143"/>
  <c r="E142"/>
  <c r="E141"/>
  <c r="E140"/>
  <c r="E139"/>
  <c r="E138"/>
  <c r="E137"/>
  <c r="E136"/>
  <c r="E135"/>
  <c r="E134"/>
  <c r="E133"/>
  <c r="E131"/>
  <c r="E130"/>
  <c r="E129"/>
  <c r="E128"/>
  <c r="E127"/>
  <c r="E126"/>
  <c r="E125"/>
  <c r="E122"/>
  <c r="E121"/>
  <c r="E120"/>
  <c r="E119"/>
  <c r="E118"/>
  <c r="E117"/>
  <c r="E116"/>
  <c r="E115"/>
  <c r="E114"/>
  <c r="E113"/>
  <c r="E112"/>
  <c r="E111"/>
  <c r="E110"/>
  <c r="E109"/>
  <c r="E108"/>
  <c r="E107"/>
  <c r="E106"/>
  <c r="E105"/>
  <c r="E104"/>
  <c r="E103"/>
  <c r="E102"/>
  <c r="E101"/>
  <c r="E100"/>
  <c r="E99"/>
  <c r="E98"/>
  <c r="E95"/>
  <c r="E94"/>
  <c r="E93"/>
  <c r="E92"/>
  <c r="E91"/>
  <c r="E90"/>
  <c r="E89"/>
  <c r="E88"/>
  <c r="E86"/>
  <c r="E85"/>
  <c r="E84"/>
  <c r="E83"/>
  <c r="E82"/>
  <c r="E81"/>
  <c r="E80"/>
  <c r="E79"/>
  <c r="E78"/>
  <c r="E70"/>
  <c r="E69"/>
  <c r="E68"/>
  <c r="E67"/>
  <c r="E66"/>
  <c r="E65"/>
  <c r="E64"/>
  <c r="E49"/>
  <c r="E48"/>
  <c r="E47"/>
  <c r="E46"/>
  <c r="E45"/>
  <c r="E44"/>
  <c r="E43"/>
  <c r="E40"/>
  <c r="E39"/>
  <c r="E38"/>
  <c r="E37"/>
  <c r="E36"/>
  <c r="E35"/>
  <c r="E34"/>
  <c r="E31"/>
  <c r="E30"/>
  <c r="E29"/>
  <c r="E28"/>
  <c r="E27"/>
  <c r="E26"/>
  <c r="E25"/>
  <c r="E22"/>
  <c r="E21"/>
  <c r="E20"/>
  <c r="E19"/>
  <c r="E18"/>
  <c r="E17"/>
  <c r="E16"/>
  <c r="E13"/>
  <c r="E12"/>
  <c r="E11"/>
  <c r="E10"/>
  <c r="E9"/>
  <c r="E8"/>
  <c r="E7"/>
  <c r="E87"/>
  <c r="E71"/>
  <c r="E50"/>
  <c r="E41"/>
  <c r="E32"/>
  <c r="E23"/>
  <c r="E14"/>
  <c r="G510" l="1"/>
  <c r="G509"/>
  <c r="G508"/>
  <c r="G507"/>
  <c r="G506"/>
  <c r="G505"/>
  <c r="G504"/>
  <c r="G503"/>
  <c r="G502"/>
  <c r="G501"/>
  <c r="G500"/>
  <c r="G499"/>
  <c r="G498"/>
  <c r="G497"/>
  <c r="G496"/>
  <c r="G495"/>
  <c r="G494"/>
  <c r="G493"/>
  <c r="G492"/>
  <c r="G491"/>
  <c r="G490"/>
  <c r="G489"/>
  <c r="G488"/>
  <c r="G487"/>
  <c r="G486"/>
  <c r="G485"/>
  <c r="G483"/>
  <c r="G482"/>
  <c r="G481"/>
  <c r="G480"/>
  <c r="G479"/>
  <c r="G478"/>
  <c r="G477"/>
  <c r="G476"/>
  <c r="G475"/>
  <c r="G474"/>
  <c r="G473"/>
  <c r="G472"/>
  <c r="G471"/>
  <c r="G470"/>
  <c r="G469"/>
  <c r="G468"/>
  <c r="G467"/>
  <c r="G466"/>
  <c r="G465"/>
  <c r="G464"/>
  <c r="G463"/>
  <c r="G462"/>
  <c r="G461"/>
  <c r="G460"/>
  <c r="G459"/>
  <c r="G458"/>
  <c r="G457"/>
  <c r="G455"/>
  <c r="G454"/>
  <c r="G453"/>
  <c r="G452"/>
  <c r="G451"/>
  <c r="G450"/>
  <c r="G449"/>
  <c r="G448"/>
  <c r="G447"/>
  <c r="G446"/>
  <c r="G445"/>
  <c r="G444"/>
  <c r="G443"/>
  <c r="G442"/>
  <c r="G441"/>
  <c r="G440"/>
  <c r="G439"/>
  <c r="G438"/>
  <c r="G437"/>
  <c r="G436"/>
  <c r="G435"/>
  <c r="G434"/>
  <c r="G433"/>
  <c r="G432"/>
  <c r="G431"/>
  <c r="G430"/>
  <c r="G429"/>
  <c r="G425"/>
  <c r="G424"/>
  <c r="G423"/>
  <c r="G422"/>
  <c r="G421"/>
  <c r="G420"/>
  <c r="G419"/>
  <c r="G418"/>
  <c r="G417"/>
  <c r="G416"/>
  <c r="G415"/>
  <c r="G414"/>
  <c r="G413"/>
  <c r="G412"/>
  <c r="G411"/>
  <c r="G410"/>
  <c r="G409"/>
  <c r="G408"/>
  <c r="G407"/>
  <c r="G406"/>
  <c r="G405"/>
  <c r="G404"/>
  <c r="G403"/>
  <c r="G402"/>
  <c r="G401"/>
  <c r="G400"/>
  <c r="G399"/>
  <c r="G397"/>
  <c r="G396"/>
  <c r="G395"/>
  <c r="G394"/>
  <c r="G393"/>
  <c r="G392"/>
  <c r="G391"/>
  <c r="G390"/>
  <c r="G389"/>
  <c r="G388"/>
  <c r="G387"/>
  <c r="G386"/>
  <c r="G385"/>
  <c r="G384"/>
  <c r="G383"/>
  <c r="G382"/>
  <c r="G381"/>
  <c r="G380"/>
  <c r="G379"/>
  <c r="G378"/>
  <c r="G377"/>
  <c r="G376"/>
  <c r="G375"/>
  <c r="G374"/>
  <c r="G373"/>
  <c r="G372"/>
  <c r="G371"/>
  <c r="G370"/>
  <c r="G369"/>
  <c r="G368"/>
  <c r="G362"/>
  <c r="G361"/>
  <c r="G360"/>
  <c r="G359"/>
  <c r="G358"/>
  <c r="G357"/>
  <c r="G356"/>
  <c r="G355"/>
  <c r="G354"/>
  <c r="G353"/>
  <c r="G352"/>
  <c r="G351"/>
  <c r="G350"/>
  <c r="G349"/>
  <c r="G348"/>
  <c r="G347"/>
  <c r="G346"/>
  <c r="G345"/>
  <c r="G344"/>
  <c r="G343"/>
  <c r="G342"/>
  <c r="G341"/>
  <c r="G340"/>
  <c r="G339"/>
  <c r="G338"/>
  <c r="G337"/>
  <c r="G336"/>
  <c r="G335"/>
  <c r="G334"/>
  <c r="G331"/>
  <c r="G330"/>
  <c r="G329"/>
  <c r="G328"/>
  <c r="G327"/>
  <c r="G326"/>
  <c r="G325"/>
  <c r="G324"/>
  <c r="G323"/>
  <c r="G322"/>
  <c r="G321"/>
  <c r="G320"/>
  <c r="G319"/>
  <c r="G318"/>
  <c r="G317"/>
  <c r="G316"/>
  <c r="G315"/>
  <c r="G314"/>
  <c r="G313"/>
  <c r="G312"/>
  <c r="G311"/>
  <c r="G310"/>
  <c r="G309"/>
  <c r="G308"/>
  <c r="G307"/>
  <c r="G306"/>
  <c r="G305"/>
  <c r="G304"/>
  <c r="G303"/>
  <c r="G302"/>
  <c r="G301"/>
  <c r="G297"/>
  <c r="G298"/>
  <c r="G296"/>
  <c r="G295"/>
  <c r="G294"/>
  <c r="G293"/>
  <c r="G292"/>
  <c r="G291"/>
  <c r="G290"/>
  <c r="G289"/>
  <c r="G288"/>
  <c r="G287"/>
  <c r="G286"/>
  <c r="G285"/>
  <c r="G284"/>
  <c r="G283"/>
  <c r="G282"/>
  <c r="G281"/>
  <c r="G280"/>
  <c r="G279"/>
  <c r="G278"/>
  <c r="G277"/>
  <c r="G276"/>
  <c r="G275"/>
  <c r="G274"/>
  <c r="G273"/>
  <c r="G272"/>
  <c r="G271"/>
  <c r="G270"/>
  <c r="G269"/>
  <c r="G267"/>
  <c r="G266"/>
  <c r="G265"/>
  <c r="G264"/>
  <c r="G263"/>
  <c r="G262"/>
  <c r="G261"/>
  <c r="G260"/>
  <c r="G259"/>
  <c r="G258"/>
  <c r="G257"/>
  <c r="G256"/>
  <c r="G255"/>
  <c r="G254"/>
  <c r="G253"/>
  <c r="G252"/>
  <c r="G251"/>
  <c r="G250"/>
  <c r="G249"/>
  <c r="G248"/>
  <c r="G247"/>
  <c r="G246"/>
  <c r="G245"/>
  <c r="G244"/>
  <c r="G243"/>
  <c r="G242"/>
  <c r="G241"/>
  <c r="G239"/>
  <c r="G238"/>
  <c r="G237"/>
  <c r="G236"/>
  <c r="G235"/>
  <c r="G234"/>
  <c r="G233"/>
  <c r="G232"/>
  <c r="G231"/>
  <c r="G230"/>
  <c r="G229"/>
  <c r="G228"/>
  <c r="G227"/>
  <c r="G226"/>
  <c r="G225"/>
  <c r="G224"/>
  <c r="G223"/>
  <c r="G222"/>
  <c r="G221"/>
  <c r="G220"/>
  <c r="G219"/>
  <c r="G218"/>
  <c r="G217"/>
  <c r="G216"/>
  <c r="G215"/>
  <c r="G214"/>
  <c r="G213"/>
  <c r="G212"/>
  <c r="G211"/>
  <c r="G209"/>
  <c r="G208"/>
  <c r="G207"/>
  <c r="G206"/>
  <c r="G205"/>
  <c r="G204"/>
  <c r="G203"/>
  <c r="G202"/>
  <c r="G201"/>
  <c r="G200"/>
  <c r="G199"/>
  <c r="G198"/>
  <c r="G197"/>
  <c r="G196"/>
  <c r="G195"/>
  <c r="G194"/>
  <c r="G193"/>
  <c r="G192"/>
  <c r="G191"/>
  <c r="G190"/>
  <c r="G189"/>
  <c r="G188"/>
  <c r="G187"/>
  <c r="G186"/>
  <c r="G185"/>
  <c r="G184"/>
  <c r="G183"/>
  <c r="G181"/>
  <c r="G180"/>
  <c r="G179"/>
  <c r="G178"/>
  <c r="G177"/>
  <c r="G176"/>
  <c r="G175"/>
  <c r="G174"/>
  <c r="G173"/>
  <c r="G172"/>
  <c r="G171"/>
  <c r="G170"/>
  <c r="G169"/>
  <c r="G168"/>
  <c r="G167"/>
  <c r="G166"/>
  <c r="G165"/>
  <c r="G164"/>
  <c r="G163"/>
  <c r="G162"/>
  <c r="G161"/>
  <c r="G160"/>
  <c r="G159"/>
  <c r="G158"/>
  <c r="G157"/>
  <c r="G156"/>
  <c r="G155"/>
  <c r="G154"/>
  <c r="G153"/>
  <c r="G151"/>
  <c r="G150"/>
  <c r="G149"/>
  <c r="G148"/>
  <c r="G147"/>
  <c r="G146"/>
  <c r="G145"/>
  <c r="G144"/>
  <c r="G143"/>
  <c r="G142"/>
  <c r="G141"/>
  <c r="G140"/>
  <c r="G139"/>
  <c r="G138"/>
  <c r="G137"/>
  <c r="G136"/>
  <c r="G135"/>
  <c r="G134"/>
  <c r="G133"/>
  <c r="G131"/>
  <c r="G130"/>
  <c r="G129"/>
  <c r="G128"/>
  <c r="G127"/>
  <c r="G126"/>
  <c r="G125"/>
  <c r="G123"/>
  <c r="G122"/>
  <c r="G121"/>
  <c r="G120"/>
  <c r="G119"/>
  <c r="G118"/>
  <c r="G117"/>
  <c r="G116"/>
  <c r="G115"/>
  <c r="G114"/>
  <c r="G113"/>
  <c r="G112"/>
  <c r="G111"/>
  <c r="G110"/>
  <c r="G109"/>
  <c r="G108"/>
  <c r="G107"/>
  <c r="G106"/>
  <c r="G105"/>
  <c r="G104"/>
  <c r="G103"/>
  <c r="G102"/>
  <c r="G101"/>
  <c r="G100"/>
  <c r="G99"/>
  <c r="G98"/>
  <c r="G96"/>
  <c r="G95"/>
  <c r="G94"/>
  <c r="G93"/>
  <c r="G92"/>
  <c r="G91"/>
  <c r="G90"/>
  <c r="G89"/>
  <c r="G88"/>
  <c r="G87"/>
  <c r="G86"/>
  <c r="G85"/>
  <c r="G84"/>
  <c r="G83"/>
  <c r="G82"/>
  <c r="G81"/>
  <c r="G80"/>
  <c r="G79"/>
  <c r="G78"/>
  <c r="G71"/>
  <c r="G70"/>
  <c r="G69"/>
  <c r="G68"/>
  <c r="G67"/>
  <c r="G66"/>
  <c r="G65"/>
  <c r="G64"/>
  <c r="G50"/>
  <c r="G49"/>
  <c r="G48"/>
  <c r="G47"/>
  <c r="G46"/>
  <c r="G45"/>
  <c r="G44"/>
  <c r="G43"/>
  <c r="G41"/>
  <c r="G40"/>
  <c r="G39"/>
  <c r="G38"/>
  <c r="G37"/>
  <c r="G36"/>
  <c r="G35"/>
  <c r="G34"/>
  <c r="G32"/>
  <c r="G31"/>
  <c r="G30"/>
  <c r="G29"/>
  <c r="G28"/>
  <c r="G27"/>
  <c r="G26"/>
  <c r="G25"/>
  <c r="G23"/>
  <c r="G22"/>
  <c r="G21"/>
  <c r="G20"/>
  <c r="G19"/>
  <c r="G18"/>
  <c r="G17"/>
  <c r="G16"/>
  <c r="G14"/>
  <c r="G7"/>
  <c r="G8"/>
  <c r="G9"/>
  <c r="G10"/>
  <c r="G11"/>
  <c r="G12"/>
  <c r="G13"/>
  <c r="G158" i="3" l="1"/>
  <c r="G157"/>
  <c r="J17" i="4" l="1"/>
  <c r="J16"/>
  <c r="G8"/>
  <c r="I8" s="1"/>
  <c r="G7"/>
  <c r="I7" s="1"/>
  <c r="J35"/>
  <c r="J34"/>
  <c r="J20"/>
  <c r="J19"/>
  <c r="J14"/>
  <c r="J13"/>
  <c r="J11"/>
  <c r="J10"/>
  <c r="G60" i="3"/>
  <c r="G61"/>
  <c r="G62"/>
  <c r="G63"/>
  <c r="G64"/>
  <c r="G65"/>
  <c r="G66"/>
  <c r="G67"/>
  <c r="G39"/>
  <c r="G40"/>
  <c r="G41"/>
  <c r="G42"/>
  <c r="G43"/>
  <c r="G44"/>
  <c r="G45"/>
  <c r="G46"/>
  <c r="G15"/>
  <c r="G16"/>
  <c r="G17"/>
  <c r="G18"/>
  <c r="G19"/>
  <c r="G20"/>
  <c r="G21"/>
  <c r="G23"/>
  <c r="G24"/>
  <c r="G25"/>
  <c r="G26"/>
  <c r="G27"/>
  <c r="G28"/>
  <c r="G29"/>
  <c r="G31"/>
  <c r="G32"/>
  <c r="G33"/>
  <c r="G34"/>
  <c r="G35"/>
  <c r="G36"/>
  <c r="G37"/>
  <c r="G7"/>
  <c r="G8"/>
  <c r="G9"/>
  <c r="G10"/>
  <c r="G11"/>
  <c r="G12"/>
  <c r="G13"/>
  <c r="H44" i="2"/>
  <c r="H45"/>
  <c r="H46"/>
  <c r="H47"/>
  <c r="H48"/>
  <c r="H49"/>
  <c r="H50"/>
  <c r="H61" s="1"/>
  <c r="E23" i="6" s="1"/>
  <c r="H64" i="2"/>
  <c r="H65"/>
  <c r="H66"/>
  <c r="H67"/>
  <c r="H68"/>
  <c r="H69"/>
  <c r="H70"/>
  <c r="H71"/>
  <c r="H43"/>
  <c r="H27"/>
  <c r="H28"/>
  <c r="H29"/>
  <c r="H30"/>
  <c r="H31"/>
  <c r="H32"/>
  <c r="H34"/>
  <c r="H35"/>
  <c r="H36"/>
  <c r="H37"/>
  <c r="H38"/>
  <c r="H39"/>
  <c r="H40"/>
  <c r="H41"/>
  <c r="H17"/>
  <c r="H18"/>
  <c r="H19"/>
  <c r="H20"/>
  <c r="H21"/>
  <c r="H22"/>
  <c r="H23"/>
  <c r="H25"/>
  <c r="H26"/>
  <c r="H8"/>
  <c r="H9"/>
  <c r="H10"/>
  <c r="H11"/>
  <c r="H12"/>
  <c r="H13"/>
  <c r="H14"/>
  <c r="H16"/>
  <c r="H7"/>
  <c r="G6" i="3" l="1"/>
  <c r="F8" i="6" s="1"/>
  <c r="H42" i="2"/>
  <c r="E12" i="6" s="1"/>
  <c r="H6" i="2"/>
  <c r="E8" i="6" s="1"/>
  <c r="H33" i="2"/>
  <c r="E11" i="6" s="1"/>
  <c r="H15" i="2"/>
  <c r="E9" i="6" s="1"/>
  <c r="H63" i="2"/>
  <c r="E25" i="6" s="1"/>
  <c r="G14" i="3"/>
  <c r="F9" i="6" s="1"/>
  <c r="G59" i="3"/>
  <c r="F25" i="6" s="1"/>
  <c r="G22" i="3"/>
  <c r="F10" i="6" s="1"/>
  <c r="G30" i="3"/>
  <c r="F11" i="6" s="1"/>
  <c r="G38" i="3"/>
  <c r="F12" i="6" s="1"/>
  <c r="G20" i="4"/>
  <c r="I20" s="1"/>
  <c r="G10"/>
  <c r="I10" s="1"/>
  <c r="G34"/>
  <c r="I34" s="1"/>
  <c r="G11"/>
  <c r="I11" s="1"/>
  <c r="G16"/>
  <c r="I16" s="1"/>
  <c r="G35"/>
  <c r="I35" s="1"/>
  <c r="G19"/>
  <c r="I19" s="1"/>
  <c r="G13"/>
  <c r="I13" s="1"/>
  <c r="G14"/>
  <c r="I14" s="1"/>
  <c r="G17"/>
  <c r="I17" s="1"/>
  <c r="I6"/>
  <c r="H8" i="6" s="1"/>
  <c r="H24" i="2"/>
  <c r="E10" i="6" s="1"/>
  <c r="H74" i="2" l="1"/>
  <c r="E28" i="6" s="1"/>
  <c r="H75" i="2"/>
  <c r="E29" i="6" s="1"/>
  <c r="H73" i="2"/>
  <c r="E27" i="6" s="1"/>
  <c r="H72" i="2"/>
  <c r="E26" i="6" s="1"/>
  <c r="G51" i="3"/>
  <c r="F17" i="6" s="1"/>
  <c r="G49" i="3"/>
  <c r="G58"/>
  <c r="F24" i="6" s="1"/>
  <c r="G48" i="3"/>
  <c r="F14" i="6" s="1"/>
  <c r="G53" i="3"/>
  <c r="F19" i="6" s="1"/>
  <c r="G47" i="3"/>
  <c r="F13" i="6" s="1"/>
  <c r="G71" i="3"/>
  <c r="F29" i="6" s="1"/>
  <c r="G70" i="3"/>
  <c r="F28" i="6" s="1"/>
  <c r="G69" i="3"/>
  <c r="F27" i="6" s="1"/>
  <c r="G68" i="3"/>
  <c r="F26" i="6" s="1"/>
  <c r="H51" i="2"/>
  <c r="E13" i="6" s="1"/>
  <c r="H52" i="2"/>
  <c r="H53"/>
  <c r="I9" i="4"/>
  <c r="I18"/>
  <c r="I15"/>
  <c r="H11" i="6" s="1"/>
  <c r="I33" i="4"/>
  <c r="I12"/>
  <c r="H10" i="6" s="1"/>
  <c r="J133" i="4"/>
  <c r="J134"/>
  <c r="J135"/>
  <c r="J136"/>
  <c r="J137"/>
  <c r="I138"/>
  <c r="G47" i="6" s="1"/>
  <c r="J138" i="4"/>
  <c r="J132"/>
  <c r="J157"/>
  <c r="J158"/>
  <c r="J159"/>
  <c r="J160"/>
  <c r="J161"/>
  <c r="J162"/>
  <c r="J163"/>
  <c r="I164"/>
  <c r="G53" i="6" s="1"/>
  <c r="J164" i="4"/>
  <c r="J156"/>
  <c r="J86"/>
  <c r="J87"/>
  <c r="J88"/>
  <c r="J89"/>
  <c r="J90"/>
  <c r="J91"/>
  <c r="J92"/>
  <c r="I93"/>
  <c r="G37" i="6" s="1"/>
  <c r="J93" i="4"/>
  <c r="J85"/>
  <c r="J76"/>
  <c r="J77"/>
  <c r="J78"/>
  <c r="J79"/>
  <c r="J80"/>
  <c r="J81"/>
  <c r="I82"/>
  <c r="G35" i="6" s="1"/>
  <c r="J82" i="4"/>
  <c r="J75"/>
  <c r="J58"/>
  <c r="G286" i="3"/>
  <c r="G287"/>
  <c r="G288"/>
  <c r="G289"/>
  <c r="G290"/>
  <c r="G291"/>
  <c r="G292"/>
  <c r="G293"/>
  <c r="G294"/>
  <c r="G297"/>
  <c r="H486" i="2"/>
  <c r="H487"/>
  <c r="H488"/>
  <c r="H489"/>
  <c r="H490"/>
  <c r="H491"/>
  <c r="H492"/>
  <c r="H493"/>
  <c r="H494"/>
  <c r="H495"/>
  <c r="H496"/>
  <c r="H497"/>
  <c r="H498"/>
  <c r="H499"/>
  <c r="H500"/>
  <c r="H501"/>
  <c r="H502"/>
  <c r="H503"/>
  <c r="H504"/>
  <c r="H505"/>
  <c r="H506"/>
  <c r="H507"/>
  <c r="H508"/>
  <c r="H509"/>
  <c r="H510"/>
  <c r="H485"/>
  <c r="G222" i="3"/>
  <c r="G223"/>
  <c r="G224"/>
  <c r="G225"/>
  <c r="G226"/>
  <c r="G227"/>
  <c r="G228"/>
  <c r="G229"/>
  <c r="G230"/>
  <c r="G221"/>
  <c r="G101"/>
  <c r="G155"/>
  <c r="G156"/>
  <c r="G159"/>
  <c r="G160"/>
  <c r="G161"/>
  <c r="G162"/>
  <c r="G163"/>
  <c r="G164"/>
  <c r="G165"/>
  <c r="G166"/>
  <c r="G167"/>
  <c r="G168"/>
  <c r="G169"/>
  <c r="G170"/>
  <c r="G171"/>
  <c r="G172"/>
  <c r="G173"/>
  <c r="G174"/>
  <c r="G154"/>
  <c r="G54" l="1"/>
  <c r="F20" i="6" s="1"/>
  <c r="G52" i="3"/>
  <c r="F18" i="6" s="1"/>
  <c r="F15"/>
  <c r="G50" i="3"/>
  <c r="F16" i="6" s="1"/>
  <c r="E15"/>
  <c r="H54" i="2"/>
  <c r="E16" i="6" s="1"/>
  <c r="E14"/>
  <c r="H57" i="2"/>
  <c r="H58"/>
  <c r="E20" i="6" s="1"/>
  <c r="H59" i="2"/>
  <c r="E21" i="6" s="1"/>
  <c r="H55" i="2"/>
  <c r="E17" i="6" s="1"/>
  <c r="H60" i="2"/>
  <c r="E22" i="6" s="1"/>
  <c r="H56" i="2"/>
  <c r="E18" i="6" s="1"/>
  <c r="I25" i="4"/>
  <c r="H17" i="6" s="1"/>
  <c r="I27" i="4"/>
  <c r="H19" i="6" s="1"/>
  <c r="I23" i="4"/>
  <c r="I32"/>
  <c r="H24" i="6" s="1"/>
  <c r="I22" i="4"/>
  <c r="H14" i="6" s="1"/>
  <c r="I37" i="4"/>
  <c r="H27" i="6" s="1"/>
  <c r="H25"/>
  <c r="I38" i="4"/>
  <c r="H28" i="6" s="1"/>
  <c r="I36" i="4"/>
  <c r="H26" i="6" s="1"/>
  <c r="I39" i="4"/>
  <c r="H29" i="6" s="1"/>
  <c r="I21" i="4"/>
  <c r="H13" i="6" s="1"/>
  <c r="H12"/>
  <c r="H9"/>
  <c r="G36"/>
  <c r="H484" i="2"/>
  <c r="E53" i="6" s="1"/>
  <c r="G285" i="3"/>
  <c r="F53" i="6" s="1"/>
  <c r="G132" i="4"/>
  <c r="I132" s="1"/>
  <c r="G136"/>
  <c r="I136" s="1"/>
  <c r="G134"/>
  <c r="I134" s="1"/>
  <c r="G133"/>
  <c r="I133" s="1"/>
  <c r="G137"/>
  <c r="I137" s="1"/>
  <c r="G135"/>
  <c r="I135" s="1"/>
  <c r="G159"/>
  <c r="I159" s="1"/>
  <c r="G156"/>
  <c r="I156" s="1"/>
  <c r="G163"/>
  <c r="I163" s="1"/>
  <c r="G161"/>
  <c r="I161" s="1"/>
  <c r="G157"/>
  <c r="I157" s="1"/>
  <c r="G162"/>
  <c r="I162" s="1"/>
  <c r="G160"/>
  <c r="I160" s="1"/>
  <c r="G158"/>
  <c r="I158" s="1"/>
  <c r="G80"/>
  <c r="I80" s="1"/>
  <c r="G76"/>
  <c r="I76" s="1"/>
  <c r="G91"/>
  <c r="I91" s="1"/>
  <c r="G87"/>
  <c r="I87" s="1"/>
  <c r="G79"/>
  <c r="I79" s="1"/>
  <c r="G77"/>
  <c r="I77" s="1"/>
  <c r="G89"/>
  <c r="I89" s="1"/>
  <c r="G78"/>
  <c r="I78" s="1"/>
  <c r="G85"/>
  <c r="I85" s="1"/>
  <c r="G92"/>
  <c r="I92" s="1"/>
  <c r="G90"/>
  <c r="I90" s="1"/>
  <c r="G88"/>
  <c r="I88" s="1"/>
  <c r="G86"/>
  <c r="I86" s="1"/>
  <c r="G75"/>
  <c r="I75" s="1"/>
  <c r="G81"/>
  <c r="I81" s="1"/>
  <c r="G58"/>
  <c r="I58" s="1"/>
  <c r="G220" i="3"/>
  <c r="F47" i="6" s="1"/>
  <c r="G153" i="3"/>
  <c r="F37" i="6" s="1"/>
  <c r="G152" i="3"/>
  <c r="G151"/>
  <c r="G150"/>
  <c r="G149"/>
  <c r="G148"/>
  <c r="G147"/>
  <c r="G146"/>
  <c r="G145"/>
  <c r="G144"/>
  <c r="G143"/>
  <c r="G142"/>
  <c r="G141"/>
  <c r="G139"/>
  <c r="G138"/>
  <c r="G137"/>
  <c r="G136"/>
  <c r="G135"/>
  <c r="G134"/>
  <c r="G133"/>
  <c r="G132"/>
  <c r="G131"/>
  <c r="G130"/>
  <c r="G129"/>
  <c r="G128"/>
  <c r="G127"/>
  <c r="G126"/>
  <c r="H369" i="2"/>
  <c r="H370"/>
  <c r="H371"/>
  <c r="H372"/>
  <c r="H373"/>
  <c r="H374"/>
  <c r="H375"/>
  <c r="H376"/>
  <c r="H377"/>
  <c r="H378"/>
  <c r="H379"/>
  <c r="H380"/>
  <c r="H381"/>
  <c r="H382"/>
  <c r="H383"/>
  <c r="H384"/>
  <c r="H385"/>
  <c r="H386"/>
  <c r="H387"/>
  <c r="H388"/>
  <c r="H389"/>
  <c r="H390"/>
  <c r="H391"/>
  <c r="H392"/>
  <c r="H393"/>
  <c r="H394"/>
  <c r="H395"/>
  <c r="H396"/>
  <c r="H397"/>
  <c r="H368"/>
  <c r="H184"/>
  <c r="H185"/>
  <c r="H186"/>
  <c r="H187"/>
  <c r="H188"/>
  <c r="H189"/>
  <c r="H190"/>
  <c r="H191"/>
  <c r="H192"/>
  <c r="H193"/>
  <c r="H194"/>
  <c r="H195"/>
  <c r="H196"/>
  <c r="H197"/>
  <c r="H198"/>
  <c r="H199"/>
  <c r="H200"/>
  <c r="H201"/>
  <c r="H202"/>
  <c r="H203"/>
  <c r="H204"/>
  <c r="H205"/>
  <c r="H206"/>
  <c r="H207"/>
  <c r="H208"/>
  <c r="H209"/>
  <c r="H211"/>
  <c r="H212"/>
  <c r="H213"/>
  <c r="H214"/>
  <c r="H215"/>
  <c r="H216"/>
  <c r="H217"/>
  <c r="H218"/>
  <c r="H219"/>
  <c r="H220"/>
  <c r="H221"/>
  <c r="H222"/>
  <c r="H223"/>
  <c r="H224"/>
  <c r="H225"/>
  <c r="H226"/>
  <c r="H227"/>
  <c r="H228"/>
  <c r="H229"/>
  <c r="H230"/>
  <c r="H231"/>
  <c r="H232"/>
  <c r="H233"/>
  <c r="H234"/>
  <c r="H235"/>
  <c r="H236"/>
  <c r="H237"/>
  <c r="H238"/>
  <c r="H239"/>
  <c r="H241"/>
  <c r="H242"/>
  <c r="H243"/>
  <c r="H244"/>
  <c r="H245"/>
  <c r="H246"/>
  <c r="H247"/>
  <c r="H248"/>
  <c r="H249"/>
  <c r="H250"/>
  <c r="H251"/>
  <c r="H252"/>
  <c r="H253"/>
  <c r="H254"/>
  <c r="H255"/>
  <c r="H256"/>
  <c r="H257"/>
  <c r="H258"/>
  <c r="H259"/>
  <c r="H260"/>
  <c r="H261"/>
  <c r="H262"/>
  <c r="H263"/>
  <c r="H264"/>
  <c r="H265"/>
  <c r="H266"/>
  <c r="H267"/>
  <c r="H183"/>
  <c r="G84" i="3"/>
  <c r="G83"/>
  <c r="G82"/>
  <c r="G80"/>
  <c r="G81"/>
  <c r="G79"/>
  <c r="G78"/>
  <c r="G77"/>
  <c r="G76"/>
  <c r="G75"/>
  <c r="G74"/>
  <c r="J46" i="4"/>
  <c r="J48"/>
  <c r="I48"/>
  <c r="G31" i="6" s="1"/>
  <c r="J47" i="4"/>
  <c r="J45"/>
  <c r="J44"/>
  <c r="J43"/>
  <c r="J42"/>
  <c r="H62" i="2" l="1"/>
  <c r="E24" i="6" s="1"/>
  <c r="E19"/>
  <c r="H15"/>
  <c r="I28" i="4"/>
  <c r="H20" i="6" s="1"/>
  <c r="I29" i="4"/>
  <c r="H21" i="6" s="1"/>
  <c r="I30" i="4"/>
  <c r="H22" i="6" s="1"/>
  <c r="I24" i="4"/>
  <c r="H16" i="6" s="1"/>
  <c r="I31" i="4"/>
  <c r="H23" i="6" s="1"/>
  <c r="I26" i="4"/>
  <c r="H18" i="6" s="1"/>
  <c r="G55" i="3"/>
  <c r="F21" i="6" s="1"/>
  <c r="G56" i="3"/>
  <c r="F22" i="6" s="1"/>
  <c r="G57" i="3"/>
  <c r="F23" i="6" s="1"/>
  <c r="I131" i="4"/>
  <c r="H47" i="6" s="1"/>
  <c r="H367" i="2"/>
  <c r="E47" i="6" s="1"/>
  <c r="H210" i="2"/>
  <c r="E36" i="6" s="1"/>
  <c r="H182" i="2"/>
  <c r="E35" i="6" s="1"/>
  <c r="H240" i="2"/>
  <c r="E37" i="6" s="1"/>
  <c r="I155" i="4"/>
  <c r="H53" i="6" s="1"/>
  <c r="I84" i="4"/>
  <c r="H37" i="6" s="1"/>
  <c r="I74" i="4"/>
  <c r="G140" i="3"/>
  <c r="F36" i="6" s="1"/>
  <c r="G125" i="3"/>
  <c r="F35" i="6" s="1"/>
  <c r="G73" i="3"/>
  <c r="F31" i="6" s="1"/>
  <c r="G46" i="4"/>
  <c r="I46" s="1"/>
  <c r="G42"/>
  <c r="I42" s="1"/>
  <c r="G47"/>
  <c r="I47" s="1"/>
  <c r="G45"/>
  <c r="I45" s="1"/>
  <c r="G44"/>
  <c r="I44" s="1"/>
  <c r="G43"/>
  <c r="I43" s="1"/>
  <c r="H96" i="2"/>
  <c r="H95"/>
  <c r="H94"/>
  <c r="H93"/>
  <c r="H92"/>
  <c r="H91"/>
  <c r="H90"/>
  <c r="H89"/>
  <c r="H88"/>
  <c r="H87"/>
  <c r="H86"/>
  <c r="H85"/>
  <c r="H84"/>
  <c r="H83"/>
  <c r="H82"/>
  <c r="H81"/>
  <c r="H80"/>
  <c r="H79"/>
  <c r="H78"/>
  <c r="I83" i="4" l="1"/>
  <c r="H35" i="6"/>
  <c r="H36"/>
  <c r="I41" i="4"/>
  <c r="H31" i="6" s="1"/>
  <c r="H77" i="2"/>
  <c r="E31" i="6" s="1"/>
  <c r="L31"/>
  <c r="J51" i="4"/>
  <c r="J52"/>
  <c r="J53"/>
  <c r="J54"/>
  <c r="I55"/>
  <c r="G32" i="6" s="1"/>
  <c r="J55" i="4"/>
  <c r="J57"/>
  <c r="J59"/>
  <c r="J60"/>
  <c r="J61"/>
  <c r="J62"/>
  <c r="J63"/>
  <c r="I64"/>
  <c r="G33" i="6" s="1"/>
  <c r="J64" i="4"/>
  <c r="J66"/>
  <c r="J67"/>
  <c r="J68"/>
  <c r="J69"/>
  <c r="J70"/>
  <c r="J71"/>
  <c r="J72"/>
  <c r="I73"/>
  <c r="G34" i="6" s="1"/>
  <c r="J73" i="4"/>
  <c r="J95"/>
  <c r="J96"/>
  <c r="J97"/>
  <c r="J98"/>
  <c r="J99"/>
  <c r="J100"/>
  <c r="J101"/>
  <c r="J102"/>
  <c r="I103"/>
  <c r="G38" i="6" s="1"/>
  <c r="G39" s="1"/>
  <c r="J103" i="4"/>
  <c r="J106"/>
  <c r="J107"/>
  <c r="J108"/>
  <c r="J109"/>
  <c r="J110"/>
  <c r="J111"/>
  <c r="J112"/>
  <c r="J113"/>
  <c r="J114"/>
  <c r="I115"/>
  <c r="G40" i="6" s="1"/>
  <c r="G41" s="1"/>
  <c r="J115" i="4"/>
  <c r="J118"/>
  <c r="J119"/>
  <c r="J120"/>
  <c r="J121"/>
  <c r="J122"/>
  <c r="J123"/>
  <c r="J124"/>
  <c r="J125"/>
  <c r="I126"/>
  <c r="G42" i="6" s="1"/>
  <c r="J126" i="4"/>
  <c r="J140"/>
  <c r="J141"/>
  <c r="J142"/>
  <c r="J143"/>
  <c r="J144"/>
  <c r="J145"/>
  <c r="J146"/>
  <c r="J147"/>
  <c r="J148"/>
  <c r="J149"/>
  <c r="I150"/>
  <c r="J150"/>
  <c r="J50"/>
  <c r="G87" i="3"/>
  <c r="G88"/>
  <c r="G89"/>
  <c r="G90"/>
  <c r="G91"/>
  <c r="G92"/>
  <c r="G93"/>
  <c r="G94"/>
  <c r="G95"/>
  <c r="G96"/>
  <c r="G98"/>
  <c r="G99"/>
  <c r="G100"/>
  <c r="G102"/>
  <c r="G103"/>
  <c r="G104"/>
  <c r="G105"/>
  <c r="G106"/>
  <c r="G107"/>
  <c r="G108"/>
  <c r="G110"/>
  <c r="G111"/>
  <c r="G112"/>
  <c r="G113"/>
  <c r="G114"/>
  <c r="G115"/>
  <c r="G116"/>
  <c r="G117"/>
  <c r="G118"/>
  <c r="G119"/>
  <c r="G120"/>
  <c r="G121"/>
  <c r="G122"/>
  <c r="G123"/>
  <c r="G124"/>
  <c r="G176"/>
  <c r="G177"/>
  <c r="G178"/>
  <c r="G179"/>
  <c r="G180"/>
  <c r="G181"/>
  <c r="G182"/>
  <c r="G183"/>
  <c r="G184"/>
  <c r="G185"/>
  <c r="G186"/>
  <c r="G189"/>
  <c r="G190"/>
  <c r="G191"/>
  <c r="G192"/>
  <c r="G193"/>
  <c r="G194"/>
  <c r="G195"/>
  <c r="G196"/>
  <c r="G197"/>
  <c r="G198"/>
  <c r="G199"/>
  <c r="G200"/>
  <c r="G201"/>
  <c r="G202"/>
  <c r="G203"/>
  <c r="G206"/>
  <c r="G207"/>
  <c r="G208"/>
  <c r="G209"/>
  <c r="G210"/>
  <c r="G211"/>
  <c r="G212"/>
  <c r="G213"/>
  <c r="G214"/>
  <c r="G215"/>
  <c r="G232"/>
  <c r="G233"/>
  <c r="G234"/>
  <c r="G235"/>
  <c r="G236"/>
  <c r="G237"/>
  <c r="G238"/>
  <c r="G239"/>
  <c r="G240"/>
  <c r="G241"/>
  <c r="G242"/>
  <c r="G243"/>
  <c r="G244"/>
  <c r="G245"/>
  <c r="G246"/>
  <c r="G247"/>
  <c r="G251"/>
  <c r="G252"/>
  <c r="G253"/>
  <c r="G254"/>
  <c r="G255"/>
  <c r="G256"/>
  <c r="G257"/>
  <c r="G258"/>
  <c r="G259"/>
  <c r="G260"/>
  <c r="G261"/>
  <c r="G262"/>
  <c r="G263"/>
  <c r="G264"/>
  <c r="G265"/>
  <c r="G266"/>
  <c r="G267"/>
  <c r="G269"/>
  <c r="G270"/>
  <c r="G271"/>
  <c r="G272"/>
  <c r="G273"/>
  <c r="G274"/>
  <c r="G275"/>
  <c r="G276"/>
  <c r="G277"/>
  <c r="G278"/>
  <c r="G279"/>
  <c r="G280"/>
  <c r="G281"/>
  <c r="G282"/>
  <c r="G283"/>
  <c r="G284"/>
  <c r="G86"/>
  <c r="H99" i="2"/>
  <c r="H100"/>
  <c r="H101"/>
  <c r="H102"/>
  <c r="H103"/>
  <c r="H104"/>
  <c r="H105"/>
  <c r="H106"/>
  <c r="H107"/>
  <c r="H108"/>
  <c r="H109"/>
  <c r="H110"/>
  <c r="H111"/>
  <c r="H112"/>
  <c r="H113"/>
  <c r="H114"/>
  <c r="H115"/>
  <c r="H116"/>
  <c r="H117"/>
  <c r="H118"/>
  <c r="H119"/>
  <c r="H120"/>
  <c r="H121"/>
  <c r="H122"/>
  <c r="H123"/>
  <c r="H153"/>
  <c r="H154"/>
  <c r="H155"/>
  <c r="H156"/>
  <c r="H157"/>
  <c r="H158"/>
  <c r="H159"/>
  <c r="H160"/>
  <c r="H161"/>
  <c r="H162"/>
  <c r="H163"/>
  <c r="H164"/>
  <c r="H165"/>
  <c r="H166"/>
  <c r="H167"/>
  <c r="H168"/>
  <c r="H169"/>
  <c r="H170"/>
  <c r="H171"/>
  <c r="H172"/>
  <c r="H173"/>
  <c r="H174"/>
  <c r="H175"/>
  <c r="H176"/>
  <c r="H177"/>
  <c r="H178"/>
  <c r="H179"/>
  <c r="H180"/>
  <c r="H181"/>
  <c r="H125"/>
  <c r="H126"/>
  <c r="H127"/>
  <c r="H128"/>
  <c r="H129"/>
  <c r="H130"/>
  <c r="H131"/>
  <c r="H133"/>
  <c r="H134"/>
  <c r="H135"/>
  <c r="H136"/>
  <c r="H137"/>
  <c r="H138"/>
  <c r="H139"/>
  <c r="H140"/>
  <c r="H141"/>
  <c r="H142"/>
  <c r="H143"/>
  <c r="H144"/>
  <c r="H145"/>
  <c r="H146"/>
  <c r="H147"/>
  <c r="H148"/>
  <c r="H149"/>
  <c r="H150"/>
  <c r="H151"/>
  <c r="H269"/>
  <c r="H270"/>
  <c r="H271"/>
  <c r="H272"/>
  <c r="H273"/>
  <c r="H274"/>
  <c r="H275"/>
  <c r="H276"/>
  <c r="H277"/>
  <c r="H278"/>
  <c r="H279"/>
  <c r="H280"/>
  <c r="H281"/>
  <c r="H282"/>
  <c r="H283"/>
  <c r="H284"/>
  <c r="H285"/>
  <c r="H286"/>
  <c r="H287"/>
  <c r="H288"/>
  <c r="H289"/>
  <c r="H290"/>
  <c r="H291"/>
  <c r="H292"/>
  <c r="H293"/>
  <c r="H294"/>
  <c r="H295"/>
  <c r="H296"/>
  <c r="H297"/>
  <c r="H298"/>
  <c r="H301"/>
  <c r="H302"/>
  <c r="H303"/>
  <c r="H304"/>
  <c r="H305"/>
  <c r="H306"/>
  <c r="H307"/>
  <c r="H308"/>
  <c r="H309"/>
  <c r="H310"/>
  <c r="H311"/>
  <c r="H312"/>
  <c r="H313"/>
  <c r="H314"/>
  <c r="H315"/>
  <c r="H316"/>
  <c r="H317"/>
  <c r="H318"/>
  <c r="H319"/>
  <c r="H320"/>
  <c r="H321"/>
  <c r="H322"/>
  <c r="H323"/>
  <c r="H324"/>
  <c r="H325"/>
  <c r="H326"/>
  <c r="H327"/>
  <c r="H328"/>
  <c r="H329"/>
  <c r="H330"/>
  <c r="H331"/>
  <c r="H334"/>
  <c r="H335"/>
  <c r="H336"/>
  <c r="H337"/>
  <c r="H338"/>
  <c r="H339"/>
  <c r="H340"/>
  <c r="H341"/>
  <c r="H342"/>
  <c r="H343"/>
  <c r="H344"/>
  <c r="H345"/>
  <c r="H346"/>
  <c r="H347"/>
  <c r="H348"/>
  <c r="H349"/>
  <c r="H350"/>
  <c r="H351"/>
  <c r="H352"/>
  <c r="H353"/>
  <c r="H354"/>
  <c r="H355"/>
  <c r="H356"/>
  <c r="H357"/>
  <c r="H358"/>
  <c r="H359"/>
  <c r="H360"/>
  <c r="H361"/>
  <c r="H362"/>
  <c r="H399"/>
  <c r="H400"/>
  <c r="H401"/>
  <c r="H402"/>
  <c r="H403"/>
  <c r="H404"/>
  <c r="H405"/>
  <c r="H406"/>
  <c r="H407"/>
  <c r="H408"/>
  <c r="H409"/>
  <c r="H410"/>
  <c r="H411"/>
  <c r="H412"/>
  <c r="H413"/>
  <c r="H414"/>
  <c r="H415"/>
  <c r="H416"/>
  <c r="H417"/>
  <c r="H418"/>
  <c r="H419"/>
  <c r="H420"/>
  <c r="H421"/>
  <c r="H422"/>
  <c r="H423"/>
  <c r="H424"/>
  <c r="H425"/>
  <c r="H429"/>
  <c r="H430"/>
  <c r="H431"/>
  <c r="H432"/>
  <c r="H433"/>
  <c r="H434"/>
  <c r="H435"/>
  <c r="H436"/>
  <c r="H437"/>
  <c r="H438"/>
  <c r="H439"/>
  <c r="H440"/>
  <c r="H441"/>
  <c r="H442"/>
  <c r="H443"/>
  <c r="H444"/>
  <c r="H445"/>
  <c r="H446"/>
  <c r="H447"/>
  <c r="H448"/>
  <c r="H449"/>
  <c r="H450"/>
  <c r="H451"/>
  <c r="H452"/>
  <c r="H453"/>
  <c r="H454"/>
  <c r="H455"/>
  <c r="H457"/>
  <c r="H458"/>
  <c r="H459"/>
  <c r="H460"/>
  <c r="H461"/>
  <c r="H462"/>
  <c r="H463"/>
  <c r="H464"/>
  <c r="H465"/>
  <c r="H466"/>
  <c r="H467"/>
  <c r="H468"/>
  <c r="H469"/>
  <c r="H470"/>
  <c r="H471"/>
  <c r="H472"/>
  <c r="H473"/>
  <c r="H474"/>
  <c r="H475"/>
  <c r="H476"/>
  <c r="H477"/>
  <c r="H478"/>
  <c r="H479"/>
  <c r="H480"/>
  <c r="H481"/>
  <c r="H482"/>
  <c r="H483"/>
  <c r="H98"/>
  <c r="I16" i="5"/>
  <c r="H16"/>
  <c r="G16"/>
  <c r="E16"/>
  <c r="K16" s="1"/>
  <c r="I15"/>
  <c r="H15"/>
  <c r="G15"/>
  <c r="E15"/>
  <c r="K15" s="1"/>
  <c r="I14"/>
  <c r="H14"/>
  <c r="E14"/>
  <c r="K14" s="1"/>
  <c r="I13"/>
  <c r="H13"/>
  <c r="G13"/>
  <c r="E13"/>
  <c r="K13" s="1"/>
  <c r="I11"/>
  <c r="H11"/>
  <c r="G11"/>
  <c r="E11"/>
  <c r="K11" s="1"/>
  <c r="I10"/>
  <c r="H10"/>
  <c r="G10"/>
  <c r="E10"/>
  <c r="K10" s="1"/>
  <c r="I9"/>
  <c r="H9"/>
  <c r="G9"/>
  <c r="E9"/>
  <c r="K9" s="1"/>
  <c r="I8"/>
  <c r="H8"/>
  <c r="G8"/>
  <c r="E8"/>
  <c r="K8" s="1"/>
  <c r="G45" i="6" l="1"/>
  <c r="G43"/>
  <c r="G46" s="1"/>
  <c r="G44"/>
  <c r="H300" i="2"/>
  <c r="E40" i="6" s="1"/>
  <c r="F11" i="5"/>
  <c r="F14"/>
  <c r="F9"/>
  <c r="M9" s="1"/>
  <c r="G48" i="6"/>
  <c r="G51"/>
  <c r="G52" s="1"/>
  <c r="G268" i="3"/>
  <c r="F52" i="6" s="1"/>
  <c r="G250" i="3"/>
  <c r="F51" i="6" s="1"/>
  <c r="G57" i="4"/>
  <c r="I57" s="1"/>
  <c r="G108"/>
  <c r="I108" s="1"/>
  <c r="G100"/>
  <c r="I100" s="1"/>
  <c r="H44" i="6" s="1"/>
  <c r="G145" i="4"/>
  <c r="I145" s="1"/>
  <c r="G125"/>
  <c r="I125" s="1"/>
  <c r="H398" i="2"/>
  <c r="E48" i="6" s="1"/>
  <c r="G113" i="4"/>
  <c r="I113" s="1"/>
  <c r="G54"/>
  <c r="I54" s="1"/>
  <c r="G52"/>
  <c r="I52" s="1"/>
  <c r="F8" i="5"/>
  <c r="M8" s="1"/>
  <c r="F10"/>
  <c r="M10" s="1"/>
  <c r="F13"/>
  <c r="M13" s="1"/>
  <c r="H456" i="2"/>
  <c r="E52" i="6" s="1"/>
  <c r="H268" i="2"/>
  <c r="H124"/>
  <c r="E33" i="6" s="1"/>
  <c r="G148" i="4"/>
  <c r="I148" s="1"/>
  <c r="G141"/>
  <c r="I141" s="1"/>
  <c r="G122"/>
  <c r="I122" s="1"/>
  <c r="G109"/>
  <c r="I109" s="1"/>
  <c r="H428" i="2"/>
  <c r="E51" i="6" s="1"/>
  <c r="G50" i="4"/>
  <c r="I50" s="1"/>
  <c r="G118"/>
  <c r="I118" s="1"/>
  <c r="H152" i="2"/>
  <c r="E34" i="6" s="1"/>
  <c r="H97" i="2"/>
  <c r="E32" i="6" s="1"/>
  <c r="G188" i="3"/>
  <c r="F40" i="6" s="1"/>
  <c r="H333" i="2"/>
  <c r="G97" i="3"/>
  <c r="F33" i="6" s="1"/>
  <c r="G175" i="3"/>
  <c r="G85"/>
  <c r="F32" i="6" s="1"/>
  <c r="G231" i="3"/>
  <c r="F48" i="6" s="1"/>
  <c r="G109" i="3"/>
  <c r="F34" i="6" s="1"/>
  <c r="G205" i="3"/>
  <c r="G144" i="4"/>
  <c r="I144" s="1"/>
  <c r="G121"/>
  <c r="I121" s="1"/>
  <c r="G112"/>
  <c r="I112" s="1"/>
  <c r="G149"/>
  <c r="I149" s="1"/>
  <c r="G59"/>
  <c r="I59" s="1"/>
  <c r="G53"/>
  <c r="I53" s="1"/>
  <c r="G51"/>
  <c r="I51" s="1"/>
  <c r="G123"/>
  <c r="I123" s="1"/>
  <c r="G119"/>
  <c r="I119" s="1"/>
  <c r="G110"/>
  <c r="I110" s="1"/>
  <c r="G101"/>
  <c r="I101" s="1"/>
  <c r="H45" i="6" s="1"/>
  <c r="G98" i="4"/>
  <c r="I98" s="1"/>
  <c r="H42" i="6" s="1"/>
  <c r="G96" i="4"/>
  <c r="I96" s="1"/>
  <c r="H40" i="6" s="1"/>
  <c r="G72" i="4"/>
  <c r="I72" s="1"/>
  <c r="G70"/>
  <c r="I70" s="1"/>
  <c r="G68"/>
  <c r="I68" s="1"/>
  <c r="G66"/>
  <c r="I66" s="1"/>
  <c r="G62"/>
  <c r="I62" s="1"/>
  <c r="G61"/>
  <c r="I61" s="1"/>
  <c r="G146"/>
  <c r="I146" s="1"/>
  <c r="G142"/>
  <c r="I142" s="1"/>
  <c r="G114"/>
  <c r="I114" s="1"/>
  <c r="G106"/>
  <c r="I106" s="1"/>
  <c r="G147"/>
  <c r="I147" s="1"/>
  <c r="G143"/>
  <c r="I143" s="1"/>
  <c r="G140"/>
  <c r="I140" s="1"/>
  <c r="G124"/>
  <c r="I124" s="1"/>
  <c r="G120"/>
  <c r="I120" s="1"/>
  <c r="G111"/>
  <c r="I111" s="1"/>
  <c r="G107"/>
  <c r="I107" s="1"/>
  <c r="G102"/>
  <c r="I102" s="1"/>
  <c r="H46" i="6" s="1"/>
  <c r="G99" i="4"/>
  <c r="I99" s="1"/>
  <c r="H43" i="6" s="1"/>
  <c r="G97" i="4"/>
  <c r="I97" s="1"/>
  <c r="H41" i="6" s="1"/>
  <c r="G95" i="4"/>
  <c r="I95" s="1"/>
  <c r="H39" i="6" s="1"/>
  <c r="G71" i="4"/>
  <c r="I71" s="1"/>
  <c r="G69"/>
  <c r="I69" s="1"/>
  <c r="G67"/>
  <c r="I67" s="1"/>
  <c r="G63"/>
  <c r="I63" s="1"/>
  <c r="G60"/>
  <c r="I60" s="1"/>
  <c r="M14" i="5"/>
  <c r="F15"/>
  <c r="M15" s="1"/>
  <c r="F16"/>
  <c r="M16" l="1"/>
  <c r="G41" i="1"/>
  <c r="D41" i="6" s="1"/>
  <c r="G39" i="1"/>
  <c r="D39" i="6" s="1"/>
  <c r="M11" i="5"/>
  <c r="G45" i="1"/>
  <c r="D45" i="6" s="1"/>
  <c r="G21" i="1"/>
  <c r="D22" i="6" s="1"/>
  <c r="I22" s="1"/>
  <c r="J22" s="1"/>
  <c r="K22" s="1"/>
  <c r="O22" s="1"/>
  <c r="G15" i="1"/>
  <c r="D16" i="6" s="1"/>
  <c r="I16" s="1"/>
  <c r="J16" s="1"/>
  <c r="K16" s="1"/>
  <c r="O16" s="1"/>
  <c r="G46" i="1"/>
  <c r="D46" i="6" s="1"/>
  <c r="G22" i="1"/>
  <c r="D23" i="6" s="1"/>
  <c r="I23" s="1"/>
  <c r="J23" s="1"/>
  <c r="K23" s="1"/>
  <c r="O23" s="1"/>
  <c r="G17" i="1"/>
  <c r="D18" i="6" s="1"/>
  <c r="I18" s="1"/>
  <c r="J18" s="1"/>
  <c r="K18" s="1"/>
  <c r="O18" s="1"/>
  <c r="G43" i="1"/>
  <c r="D43" i="6" s="1"/>
  <c r="G19" i="1"/>
  <c r="D20" i="6" s="1"/>
  <c r="I20" s="1"/>
  <c r="J20" s="1"/>
  <c r="K20" s="1"/>
  <c r="O20" s="1"/>
  <c r="G44" i="1"/>
  <c r="D44" i="6" s="1"/>
  <c r="G20" i="1"/>
  <c r="D21" i="6" s="1"/>
  <c r="I21" s="1"/>
  <c r="J21" s="1"/>
  <c r="K21" s="1"/>
  <c r="O21" s="1"/>
  <c r="E42"/>
  <c r="H365" i="2"/>
  <c r="E45" i="6" s="1"/>
  <c r="H366" i="2"/>
  <c r="E46" i="6" s="1"/>
  <c r="H363" i="2"/>
  <c r="E43" i="6" s="1"/>
  <c r="H364" i="2"/>
  <c r="E44" i="6" s="1"/>
  <c r="G218" i="3"/>
  <c r="F45" i="6" s="1"/>
  <c r="G219" i="3"/>
  <c r="F46" i="6" s="1"/>
  <c r="G216" i="3"/>
  <c r="F43" i="6" s="1"/>
  <c r="F42"/>
  <c r="G217" i="3"/>
  <c r="F44" i="6" s="1"/>
  <c r="G204" i="3"/>
  <c r="F41" i="6" s="1"/>
  <c r="F38"/>
  <c r="G187" i="3"/>
  <c r="F39" i="6" s="1"/>
  <c r="H332" i="2"/>
  <c r="E41" i="6" s="1"/>
  <c r="E38"/>
  <c r="H299" i="2"/>
  <c r="E39" i="6" s="1"/>
  <c r="I39" s="1"/>
  <c r="J39" s="1"/>
  <c r="K39" s="1"/>
  <c r="O39" s="1"/>
  <c r="G8" i="1"/>
  <c r="D9" i="6" s="1"/>
  <c r="I9" s="1"/>
  <c r="G47" i="1"/>
  <c r="G31"/>
  <c r="G23"/>
  <c r="D24" i="6" s="1"/>
  <c r="I24" s="1"/>
  <c r="G28" i="1"/>
  <c r="D29" i="6" s="1"/>
  <c r="I29" s="1"/>
  <c r="G16" i="1"/>
  <c r="D17" i="6" s="1"/>
  <c r="I17" s="1"/>
  <c r="J17" s="1"/>
  <c r="K17" s="1"/>
  <c r="O17" s="1"/>
  <c r="G10" i="1"/>
  <c r="D11" i="6" s="1"/>
  <c r="I11" s="1"/>
  <c r="G14" i="1"/>
  <c r="D15" i="6" s="1"/>
  <c r="I15" s="1"/>
  <c r="G9" i="1"/>
  <c r="D10" i="6" s="1"/>
  <c r="I10" s="1"/>
  <c r="G13" i="1"/>
  <c r="D14" i="6" s="1"/>
  <c r="I14" s="1"/>
  <c r="G27" i="1"/>
  <c r="D28" i="6" s="1"/>
  <c r="I28" s="1"/>
  <c r="G38" i="1"/>
  <c r="G48"/>
  <c r="D48" i="6" s="1"/>
  <c r="I48" s="1"/>
  <c r="G37" i="1"/>
  <c r="G51"/>
  <c r="G32"/>
  <c r="G50"/>
  <c r="D50" i="6" s="1"/>
  <c r="G49" i="1"/>
  <c r="D49" i="6" s="1"/>
  <c r="G53" i="1"/>
  <c r="D53" i="6" s="1"/>
  <c r="I53" s="1"/>
  <c r="G24" i="1"/>
  <c r="D25" i="6" s="1"/>
  <c r="I25" s="1"/>
  <c r="G26" i="1"/>
  <c r="D27" i="6" s="1"/>
  <c r="I27" s="1"/>
  <c r="G29" i="1"/>
  <c r="G25"/>
  <c r="D26" i="6" s="1"/>
  <c r="I26" s="1"/>
  <c r="G52" i="1"/>
  <c r="G7"/>
  <c r="D8" i="6" s="1"/>
  <c r="I8" s="1"/>
  <c r="G36" i="1"/>
  <c r="G35"/>
  <c r="G18"/>
  <c r="D19" i="6" s="1"/>
  <c r="I19" s="1"/>
  <c r="J19" s="1"/>
  <c r="K19" s="1"/>
  <c r="O19" s="1"/>
  <c r="G12" i="1"/>
  <c r="D13" i="6" s="1"/>
  <c r="I13" s="1"/>
  <c r="G11" i="1"/>
  <c r="D12" i="6" s="1"/>
  <c r="I12" s="1"/>
  <c r="I65" i="4"/>
  <c r="H34" i="6" s="1"/>
  <c r="H427" i="2"/>
  <c r="E50" i="6" s="1"/>
  <c r="I105" i="4"/>
  <c r="G249" i="3"/>
  <c r="F50" i="6" s="1"/>
  <c r="I117" i="4"/>
  <c r="I56"/>
  <c r="H33" i="6" s="1"/>
  <c r="I94" i="4"/>
  <c r="H38" i="6" s="1"/>
  <c r="I49" i="4"/>
  <c r="H32" i="6" s="1"/>
  <c r="I139" i="4"/>
  <c r="G49" i="6"/>
  <c r="G50"/>
  <c r="G248" i="3"/>
  <c r="F49" i="6" s="1"/>
  <c r="H426" i="2"/>
  <c r="E49" i="6" s="1"/>
  <c r="G34" i="1"/>
  <c r="G33"/>
  <c r="G42"/>
  <c r="D42" i="6" s="1"/>
  <c r="G40" i="1"/>
  <c r="D40" i="6" s="1"/>
  <c r="I40" s="1"/>
  <c r="J40" s="1"/>
  <c r="K40" s="1"/>
  <c r="O40" s="1"/>
  <c r="I49" l="1"/>
  <c r="I41"/>
  <c r="J41" s="1"/>
  <c r="K41" s="1"/>
  <c r="O41" s="1"/>
  <c r="I44"/>
  <c r="J44" s="1"/>
  <c r="K44" s="1"/>
  <c r="O44" s="1"/>
  <c r="I42"/>
  <c r="J42" s="1"/>
  <c r="K42" s="1"/>
  <c r="O42" s="1"/>
  <c r="I50"/>
  <c r="I45"/>
  <c r="J45" s="1"/>
  <c r="K45" s="1"/>
  <c r="O45" s="1"/>
  <c r="I129" i="4"/>
  <c r="I130"/>
  <c r="I127"/>
  <c r="I128"/>
  <c r="I46" i="6"/>
  <c r="J46" s="1"/>
  <c r="K46" s="1"/>
  <c r="O46" s="1"/>
  <c r="I43"/>
  <c r="J43" s="1"/>
  <c r="K43" s="1"/>
  <c r="O43" s="1"/>
  <c r="J9"/>
  <c r="K9" s="1"/>
  <c r="O9" s="1"/>
  <c r="J53"/>
  <c r="K53" s="1"/>
  <c r="O53" s="1"/>
  <c r="D37"/>
  <c r="I37" s="1"/>
  <c r="D36"/>
  <c r="I36" s="1"/>
  <c r="D33"/>
  <c r="I33" s="1"/>
  <c r="D35"/>
  <c r="I35" s="1"/>
  <c r="D47"/>
  <c r="I47" s="1"/>
  <c r="D34"/>
  <c r="I34" s="1"/>
  <c r="D32"/>
  <c r="I32" s="1"/>
  <c r="D31"/>
  <c r="I31" s="1"/>
  <c r="D38"/>
  <c r="I38" s="1"/>
  <c r="D52"/>
  <c r="I52" s="1"/>
  <c r="D51"/>
  <c r="I51" s="1"/>
  <c r="H49"/>
  <c r="H48"/>
  <c r="I152" i="4"/>
  <c r="H50" i="6" s="1"/>
  <c r="I151" i="4"/>
  <c r="I154"/>
  <c r="H52" i="6" s="1"/>
  <c r="I153" i="4"/>
  <c r="H51" i="6" s="1"/>
  <c r="J51" l="1"/>
  <c r="K51" s="1"/>
  <c r="O51" s="1"/>
  <c r="J47"/>
  <c r="K47" s="1"/>
  <c r="O47" s="1"/>
  <c r="J31"/>
  <c r="K31" s="1"/>
  <c r="O31" s="1"/>
  <c r="J36"/>
  <c r="K36" s="1"/>
  <c r="O36" s="1"/>
  <c r="J26"/>
  <c r="K26" s="1"/>
  <c r="O26" s="1"/>
  <c r="J14"/>
  <c r="K14" s="1"/>
  <c r="O14" s="1"/>
  <c r="J10"/>
  <c r="K10" s="1"/>
  <c r="O10" s="1"/>
  <c r="J15"/>
  <c r="K15" s="1"/>
  <c r="O15" s="1"/>
  <c r="J38"/>
  <c r="K38" s="1"/>
  <c r="O38" s="1"/>
  <c r="J34"/>
  <c r="K34" s="1"/>
  <c r="O34" s="1"/>
  <c r="J33"/>
  <c r="K33" s="1"/>
  <c r="J13"/>
  <c r="K13" s="1"/>
  <c r="O13" s="1"/>
  <c r="J27"/>
  <c r="K27" s="1"/>
  <c r="O27" s="1"/>
  <c r="J29"/>
  <c r="K29" s="1"/>
  <c r="O29" s="1"/>
  <c r="J32"/>
  <c r="K32" s="1"/>
  <c r="O32" s="1"/>
  <c r="J37"/>
  <c r="K37" s="1"/>
  <c r="O37" s="1"/>
  <c r="J11"/>
  <c r="K11" s="1"/>
  <c r="O11" s="1"/>
  <c r="J12"/>
  <c r="K12" s="1"/>
  <c r="O12" s="1"/>
  <c r="J50"/>
  <c r="K50" s="1"/>
  <c r="O50" s="1"/>
  <c r="J25"/>
  <c r="K25" s="1"/>
  <c r="O25" s="1"/>
  <c r="J28"/>
  <c r="K28" s="1"/>
  <c r="O28" s="1"/>
  <c r="J24"/>
  <c r="K24" s="1"/>
  <c r="O24" s="1"/>
  <c r="J8"/>
  <c r="K8" s="1"/>
  <c r="J52"/>
  <c r="K52" s="1"/>
  <c r="O52" s="1"/>
  <c r="J35"/>
  <c r="K35" s="1"/>
  <c r="O35" s="1"/>
  <c r="J48"/>
  <c r="K48" s="1"/>
  <c r="O48" s="1"/>
  <c r="J49"/>
  <c r="K49" s="1"/>
  <c r="O49" s="1"/>
  <c r="O8" l="1"/>
  <c r="K54"/>
  <c r="O54" s="1"/>
  <c r="M33"/>
  <c r="O33"/>
  <c r="M31"/>
  <c r="M32"/>
  <c r="M34"/>
  <c r="M53" l="1"/>
  <c r="M54" s="1"/>
</calcChain>
</file>

<file path=xl/comments1.xml><?xml version="1.0" encoding="utf-8"?>
<comments xmlns="http://schemas.openxmlformats.org/spreadsheetml/2006/main">
  <authors>
    <author xml:space="preserve"> </author>
  </authors>
  <commentList>
    <comment ref="K4" authorId="0">
      <text>
        <r>
          <rPr>
            <b/>
            <sz val="8"/>
            <color indexed="81"/>
            <rFont val="Tahoma"/>
            <family val="2"/>
            <charset val="163"/>
          </rPr>
          <t xml:space="preserve"> :</t>
        </r>
        <r>
          <rPr>
            <sz val="8"/>
            <color indexed="81"/>
            <rFont val="Tahoma"/>
            <family val="2"/>
            <charset val="163"/>
          </rPr>
          <t xml:space="preserve">
Không có KHCB</t>
        </r>
      </text>
    </comment>
  </commentList>
</comments>
</file>

<file path=xl/sharedStrings.xml><?xml version="1.0" encoding="utf-8"?>
<sst xmlns="http://schemas.openxmlformats.org/spreadsheetml/2006/main" count="2406" uniqueCount="476">
  <si>
    <t>STT</t>
  </si>
  <si>
    <t>Mã hiệu</t>
  </si>
  <si>
    <t>Chỉ tiêu quan trắc</t>
  </si>
  <si>
    <t>Định biên</t>
  </si>
  <si>
    <t>Định mức</t>
  </si>
  <si>
    <t>2TT7</t>
  </si>
  <si>
    <t>KLN (Pb, Cd)</t>
  </si>
  <si>
    <t>KLN (Hg, As)</t>
  </si>
  <si>
    <t>Thuốc BVTV nhóm Clo hữu cơ</t>
  </si>
  <si>
    <t>KLN (Ni, Cu, Zn, Cr, Mn)</t>
  </si>
  <si>
    <t>Polycyclic aromatic hydrocarbon (PAHs)</t>
  </si>
  <si>
    <t>PCBs</t>
  </si>
  <si>
    <t>Dầu mỡ</t>
  </si>
  <si>
    <t>Cyanua (CN-)</t>
  </si>
  <si>
    <t>Chai đựng hóa chất</t>
  </si>
  <si>
    <t>cái</t>
  </si>
  <si>
    <t>Pipet 10ml</t>
  </si>
  <si>
    <t>Micropipet 1ml</t>
  </si>
  <si>
    <t>Đầu cone 1ml</t>
  </si>
  <si>
    <t>Bình tia</t>
  </si>
  <si>
    <t>Bình định mức 25ml</t>
  </si>
  <si>
    <t>Bình định mức 50ml</t>
  </si>
  <si>
    <t>Bình định mức 1000ml</t>
  </si>
  <si>
    <t>Cốc thủy tinh 250ml</t>
  </si>
  <si>
    <t>Đũa thủy tinh</t>
  </si>
  <si>
    <t>Bình tam giác 250ml</t>
  </si>
  <si>
    <t>Cuvet Graphit</t>
  </si>
  <si>
    <t>Đèn D2</t>
  </si>
  <si>
    <t>Đèn Tungsten</t>
  </si>
  <si>
    <t>Đèn HCL</t>
  </si>
  <si>
    <t>Bình nhựa 2 lít</t>
  </si>
  <si>
    <t>Bình nhựa 5 lít</t>
  </si>
  <si>
    <t>Bình nhựa 0,5 lít</t>
  </si>
  <si>
    <t>Khẩu trang y tế</t>
  </si>
  <si>
    <t>Quạt trần 100w</t>
  </si>
  <si>
    <t>Quạt thông gió 40w</t>
  </si>
  <si>
    <t>Máy hút bụi 2kw</t>
  </si>
  <si>
    <t>Máy hút ẩm 1,5kw</t>
  </si>
  <si>
    <t>Đèn neon 40w</t>
  </si>
  <si>
    <t>bộ</t>
  </si>
  <si>
    <t>Tủ đựng tài liệu</t>
  </si>
  <si>
    <t>Bàn làm việc</t>
  </si>
  <si>
    <t>Ghế tựa</t>
  </si>
  <si>
    <t>Điện năng</t>
  </si>
  <si>
    <t>kw</t>
  </si>
  <si>
    <t>Cuvet thạch anh cho FIAS</t>
  </si>
  <si>
    <t>Màng lọc cho FIAS</t>
  </si>
  <si>
    <t>Đèn EDL</t>
  </si>
  <si>
    <t>Cái</t>
  </si>
  <si>
    <t>Cột sắc ký thủy tinh</t>
  </si>
  <si>
    <t>Cột tách mao quản</t>
  </si>
  <si>
    <t>Phễu chiết 500ml</t>
  </si>
  <si>
    <t>Phễu chiết 1000ml</t>
  </si>
  <si>
    <t>Pipet 5ml</t>
  </si>
  <si>
    <t>Micropipet 5ml</t>
  </si>
  <si>
    <t>Bình định mức 500ml</t>
  </si>
  <si>
    <t>Chai nhựa 0,5 lít</t>
  </si>
  <si>
    <t>Đôi</t>
  </si>
  <si>
    <t>Kim tiêm mẫu (syringe 10uL)</t>
  </si>
  <si>
    <t>Kw</t>
  </si>
  <si>
    <t>TT</t>
  </si>
  <si>
    <t>Mã hiệu</t>
  </si>
  <si>
    <t>Danh mục dụng cụ</t>
  </si>
  <si>
    <t>Đơn vị tính</t>
  </si>
  <si>
    <t>Thời hạn</t>
  </si>
  <si>
    <t>PAHs</t>
  </si>
  <si>
    <t>Bao đựng mẫu</t>
  </si>
  <si>
    <t>Đĩa phơi mẫu</t>
  </si>
  <si>
    <t>Micropipet 10ml</t>
  </si>
  <si>
    <t>Bình định mức 100ml</t>
  </si>
  <si>
    <t>Bình định mức 250ml</t>
  </si>
  <si>
    <t>Đầu cone 5ml</t>
  </si>
  <si>
    <t>Cốc thủy tinh</t>
  </si>
  <si>
    <t>Đèn Wimax = 200h</t>
  </si>
  <si>
    <t>Đèn Dimax = 500h</t>
  </si>
  <si>
    <t>Cuvet 1cm</t>
  </si>
  <si>
    <t>Tổng các chất hữu cơ</t>
  </si>
  <si>
    <r>
      <t>K</t>
    </r>
    <r>
      <rPr>
        <vertAlign val="subscript"/>
        <sz val="12"/>
        <rFont val="Times New Roman"/>
        <family val="1"/>
      </rPr>
      <t>2</t>
    </r>
    <r>
      <rPr>
        <sz val="12"/>
        <rFont val="Times New Roman"/>
        <family val="1"/>
        <charset val="163"/>
      </rPr>
      <t>Cr</t>
    </r>
    <r>
      <rPr>
        <vertAlign val="subscript"/>
        <sz val="12"/>
        <rFont val="Times New Roman"/>
        <family val="1"/>
      </rPr>
      <t>2</t>
    </r>
    <r>
      <rPr>
        <sz val="12"/>
        <rFont val="Times New Roman"/>
        <family val="1"/>
        <charset val="163"/>
      </rPr>
      <t>O</t>
    </r>
    <r>
      <rPr>
        <vertAlign val="subscript"/>
        <sz val="12"/>
        <rFont val="Times New Roman"/>
        <family val="1"/>
      </rPr>
      <t>7</t>
    </r>
  </si>
  <si>
    <t>Gam</t>
  </si>
  <si>
    <r>
      <t>H</t>
    </r>
    <r>
      <rPr>
        <vertAlign val="subscript"/>
        <sz val="12"/>
        <rFont val="Times New Roman"/>
        <family val="1"/>
      </rPr>
      <t>2</t>
    </r>
    <r>
      <rPr>
        <sz val="12"/>
        <rFont val="Times New Roman"/>
        <family val="1"/>
        <charset val="163"/>
      </rPr>
      <t>SO</t>
    </r>
    <r>
      <rPr>
        <vertAlign val="subscript"/>
        <sz val="12"/>
        <rFont val="Times New Roman"/>
        <family val="1"/>
      </rPr>
      <t>4</t>
    </r>
  </si>
  <si>
    <t>ml</t>
  </si>
  <si>
    <r>
      <t>FeSO</t>
    </r>
    <r>
      <rPr>
        <vertAlign val="subscript"/>
        <sz val="12"/>
        <rFont val="Times New Roman"/>
        <family val="1"/>
      </rPr>
      <t>4</t>
    </r>
    <r>
      <rPr>
        <sz val="12"/>
        <rFont val="Times New Roman"/>
        <family val="1"/>
        <charset val="163"/>
      </rPr>
      <t>(NH</t>
    </r>
    <r>
      <rPr>
        <vertAlign val="subscript"/>
        <sz val="12"/>
        <rFont val="Times New Roman"/>
        <family val="1"/>
      </rPr>
      <t>4</t>
    </r>
    <r>
      <rPr>
        <sz val="12"/>
        <rFont val="Times New Roman"/>
        <family val="1"/>
        <charset val="163"/>
      </rPr>
      <t>)</t>
    </r>
    <r>
      <rPr>
        <vertAlign val="subscript"/>
        <sz val="12"/>
        <rFont val="Times New Roman"/>
        <family val="1"/>
      </rPr>
      <t>2</t>
    </r>
    <r>
      <rPr>
        <sz val="12"/>
        <rFont val="Times New Roman"/>
        <family val="1"/>
        <charset val="163"/>
      </rPr>
      <t>SO</t>
    </r>
    <r>
      <rPr>
        <vertAlign val="subscript"/>
        <sz val="12"/>
        <rFont val="Times New Roman"/>
        <family val="1"/>
      </rPr>
      <t>4</t>
    </r>
    <r>
      <rPr>
        <sz val="12"/>
        <rFont val="Times New Roman"/>
        <family val="1"/>
        <charset val="163"/>
      </rPr>
      <t>.H</t>
    </r>
    <r>
      <rPr>
        <vertAlign val="subscript"/>
        <sz val="12"/>
        <rFont val="Times New Roman"/>
        <family val="1"/>
      </rPr>
      <t>2</t>
    </r>
    <r>
      <rPr>
        <sz val="12"/>
        <rFont val="Times New Roman"/>
        <family val="1"/>
        <charset val="163"/>
      </rPr>
      <t>O</t>
    </r>
  </si>
  <si>
    <r>
      <t>C</t>
    </r>
    <r>
      <rPr>
        <vertAlign val="subscript"/>
        <sz val="12"/>
        <rFont val="Times New Roman"/>
        <family val="1"/>
      </rPr>
      <t>12</t>
    </r>
    <r>
      <rPr>
        <sz val="12"/>
        <rFont val="Times New Roman"/>
        <family val="1"/>
        <charset val="163"/>
      </rPr>
      <t>H</t>
    </r>
    <r>
      <rPr>
        <vertAlign val="subscript"/>
        <sz val="12"/>
        <rFont val="Times New Roman"/>
        <family val="1"/>
      </rPr>
      <t>8</t>
    </r>
    <r>
      <rPr>
        <sz val="12"/>
        <rFont val="Times New Roman"/>
        <family val="1"/>
        <charset val="163"/>
      </rPr>
      <t>N</t>
    </r>
    <r>
      <rPr>
        <vertAlign val="subscript"/>
        <sz val="12"/>
        <rFont val="Times New Roman"/>
        <family val="1"/>
      </rPr>
      <t>2</t>
    </r>
    <r>
      <rPr>
        <sz val="12"/>
        <rFont val="Times New Roman"/>
        <family val="1"/>
        <charset val="163"/>
      </rPr>
      <t>.H</t>
    </r>
    <r>
      <rPr>
        <vertAlign val="subscript"/>
        <sz val="12"/>
        <rFont val="Times New Roman"/>
        <family val="1"/>
      </rPr>
      <t>2</t>
    </r>
    <r>
      <rPr>
        <sz val="12"/>
        <rFont val="Times New Roman"/>
        <family val="1"/>
        <charset val="163"/>
      </rPr>
      <t>O</t>
    </r>
  </si>
  <si>
    <r>
      <t>H</t>
    </r>
    <r>
      <rPr>
        <vertAlign val="subscript"/>
        <sz val="12"/>
        <rFont val="Times New Roman"/>
        <family val="1"/>
      </rPr>
      <t>3</t>
    </r>
    <r>
      <rPr>
        <sz val="12"/>
        <rFont val="Times New Roman"/>
        <family val="1"/>
        <charset val="163"/>
      </rPr>
      <t>PO</t>
    </r>
    <r>
      <rPr>
        <vertAlign val="subscript"/>
        <sz val="12"/>
        <rFont val="Times New Roman"/>
        <family val="1"/>
      </rPr>
      <t>4</t>
    </r>
  </si>
  <si>
    <t>Diphenylamin</t>
  </si>
  <si>
    <t>Cồn lau dụng cụ</t>
  </si>
  <si>
    <t>hộp</t>
  </si>
  <si>
    <t>Sổ công tác</t>
  </si>
  <si>
    <t>cuốn</t>
  </si>
  <si>
    <t>Danh mục vật tư</t>
  </si>
  <si>
    <t>Giấy lau</t>
  </si>
  <si>
    <t>Dung dịch chuẩn gốc 1000ppm</t>
  </si>
  <si>
    <r>
      <t>HNO</t>
    </r>
    <r>
      <rPr>
        <vertAlign val="subscript"/>
        <sz val="12"/>
        <rFont val="Times New Roman"/>
        <family val="1"/>
        <charset val="163"/>
      </rPr>
      <t>3</t>
    </r>
  </si>
  <si>
    <r>
      <t>H</t>
    </r>
    <r>
      <rPr>
        <vertAlign val="subscript"/>
        <sz val="12"/>
        <rFont val="Times New Roman"/>
        <family val="1"/>
        <charset val="163"/>
      </rPr>
      <t>2</t>
    </r>
    <r>
      <rPr>
        <sz val="12"/>
        <rFont val="Times New Roman"/>
        <family val="1"/>
        <charset val="163"/>
      </rPr>
      <t>O</t>
    </r>
    <r>
      <rPr>
        <vertAlign val="subscript"/>
        <sz val="12"/>
        <rFont val="Times New Roman"/>
        <family val="1"/>
        <charset val="163"/>
      </rPr>
      <t>2</t>
    </r>
  </si>
  <si>
    <t>NaOH</t>
  </si>
  <si>
    <t>gam</t>
  </si>
  <si>
    <r>
      <t>NH</t>
    </r>
    <r>
      <rPr>
        <vertAlign val="subscript"/>
        <sz val="12"/>
        <rFont val="Times New Roman"/>
        <family val="1"/>
      </rPr>
      <t>4</t>
    </r>
    <r>
      <rPr>
        <sz val="12"/>
        <rFont val="Times New Roman"/>
        <family val="1"/>
      </rPr>
      <t>NO</t>
    </r>
    <r>
      <rPr>
        <vertAlign val="subscript"/>
        <sz val="12"/>
        <rFont val="Times New Roman"/>
        <family val="1"/>
      </rPr>
      <t>3</t>
    </r>
  </si>
  <si>
    <t>Bột Pd</t>
  </si>
  <si>
    <t>Khí argon</t>
  </si>
  <si>
    <t>bình</t>
  </si>
  <si>
    <r>
      <t>H</t>
    </r>
    <r>
      <rPr>
        <vertAlign val="subscript"/>
        <sz val="12"/>
        <rFont val="Times New Roman"/>
        <family val="1"/>
      </rPr>
      <t>2</t>
    </r>
    <r>
      <rPr>
        <sz val="12"/>
        <rFont val="Times New Roman"/>
        <family val="1"/>
      </rPr>
      <t>SO</t>
    </r>
    <r>
      <rPr>
        <vertAlign val="subscript"/>
        <sz val="12"/>
        <rFont val="Times New Roman"/>
        <family val="1"/>
      </rPr>
      <t>4</t>
    </r>
  </si>
  <si>
    <t>HCl</t>
  </si>
  <si>
    <r>
      <t>KMnO</t>
    </r>
    <r>
      <rPr>
        <vertAlign val="subscript"/>
        <sz val="12"/>
        <rFont val="Times New Roman"/>
        <family val="1"/>
      </rPr>
      <t>4</t>
    </r>
  </si>
  <si>
    <r>
      <t>K</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8</t>
    </r>
  </si>
  <si>
    <r>
      <t>NH</t>
    </r>
    <r>
      <rPr>
        <vertAlign val="subscript"/>
        <sz val="12"/>
        <rFont val="Times New Roman"/>
        <family val="1"/>
      </rPr>
      <t>4</t>
    </r>
    <r>
      <rPr>
        <sz val="12"/>
        <rFont val="Times New Roman"/>
        <family val="1"/>
      </rPr>
      <t>OCl</t>
    </r>
  </si>
  <si>
    <r>
      <t>SnCl</t>
    </r>
    <r>
      <rPr>
        <vertAlign val="subscript"/>
        <sz val="12"/>
        <rFont val="Times New Roman"/>
        <family val="1"/>
      </rPr>
      <t>2</t>
    </r>
    <r>
      <rPr>
        <sz val="12"/>
        <rFont val="Times New Roman"/>
        <family val="1"/>
      </rPr>
      <t>.2H</t>
    </r>
    <r>
      <rPr>
        <vertAlign val="subscript"/>
        <sz val="12"/>
        <rFont val="Times New Roman"/>
        <family val="1"/>
      </rPr>
      <t>2</t>
    </r>
    <r>
      <rPr>
        <sz val="12"/>
        <rFont val="Times New Roman"/>
        <family val="1"/>
      </rPr>
      <t>O</t>
    </r>
  </si>
  <si>
    <t>Khí axetylen</t>
  </si>
  <si>
    <t>Dung dịch chuẩn mix 13</t>
  </si>
  <si>
    <t xml:space="preserve">ml </t>
  </si>
  <si>
    <t>Dung dịch nội chuẩn</t>
  </si>
  <si>
    <r>
      <t>CH</t>
    </r>
    <r>
      <rPr>
        <vertAlign val="subscript"/>
        <sz val="12"/>
        <rFont val="Times New Roman"/>
        <family val="1"/>
      </rPr>
      <t>2</t>
    </r>
    <r>
      <rPr>
        <sz val="12"/>
        <rFont val="Times New Roman"/>
        <family val="1"/>
      </rPr>
      <t>Cl</t>
    </r>
    <r>
      <rPr>
        <vertAlign val="subscript"/>
        <sz val="12"/>
        <rFont val="Times New Roman"/>
        <family val="1"/>
      </rPr>
      <t>2</t>
    </r>
  </si>
  <si>
    <t>Aceton</t>
  </si>
  <si>
    <t>n-Hexan</t>
  </si>
  <si>
    <r>
      <t>Na</t>
    </r>
    <r>
      <rPr>
        <vertAlign val="subscript"/>
        <sz val="12"/>
        <rFont val="Times New Roman"/>
        <family val="1"/>
      </rPr>
      <t>2</t>
    </r>
    <r>
      <rPr>
        <sz val="12"/>
        <rFont val="Times New Roman"/>
        <family val="1"/>
      </rPr>
      <t>SO</t>
    </r>
    <r>
      <rPr>
        <vertAlign val="subscript"/>
        <sz val="12"/>
        <rFont val="Times New Roman"/>
        <family val="1"/>
      </rPr>
      <t>4</t>
    </r>
  </si>
  <si>
    <t>Gram</t>
  </si>
  <si>
    <t xml:space="preserve">Septa cho vial </t>
  </si>
  <si>
    <t>Vial</t>
  </si>
  <si>
    <t>Bông thủy tinh</t>
  </si>
  <si>
    <t>Pipet Pasteur</t>
  </si>
  <si>
    <t>Khí Nitơ</t>
  </si>
  <si>
    <t>Khí Heli</t>
  </si>
  <si>
    <t>Dung môi</t>
  </si>
  <si>
    <r>
      <t>Na</t>
    </r>
    <r>
      <rPr>
        <vertAlign val="subscript"/>
        <sz val="12"/>
        <rFont val="Times New Roman"/>
        <family val="1"/>
        <charset val="163"/>
      </rPr>
      <t>2</t>
    </r>
    <r>
      <rPr>
        <sz val="12"/>
        <rFont val="Times New Roman"/>
        <family val="1"/>
        <charset val="163"/>
      </rPr>
      <t>SO</t>
    </r>
    <r>
      <rPr>
        <vertAlign val="subscript"/>
        <sz val="12"/>
        <rFont val="Times New Roman"/>
        <family val="1"/>
        <charset val="163"/>
      </rPr>
      <t>4</t>
    </r>
  </si>
  <si>
    <t>Giấy thử pH</t>
  </si>
  <si>
    <r>
      <t>Cyanua (CN</t>
    </r>
    <r>
      <rPr>
        <b/>
        <i/>
        <vertAlign val="superscript"/>
        <sz val="12"/>
        <rFont val="Times New Roman"/>
        <family val="1"/>
      </rPr>
      <t>-</t>
    </r>
    <r>
      <rPr>
        <b/>
        <i/>
        <sz val="12"/>
        <rFont val="Times New Roman"/>
        <family val="1"/>
      </rPr>
      <t>)</t>
    </r>
  </si>
  <si>
    <r>
      <t>MgCl</t>
    </r>
    <r>
      <rPr>
        <vertAlign val="subscript"/>
        <sz val="12"/>
        <rFont val="Times New Roman"/>
        <family val="1"/>
      </rPr>
      <t>2</t>
    </r>
  </si>
  <si>
    <r>
      <t>CH</t>
    </r>
    <r>
      <rPr>
        <vertAlign val="subscript"/>
        <sz val="12"/>
        <rFont val="Times New Roman"/>
        <family val="1"/>
      </rPr>
      <t>3</t>
    </r>
    <r>
      <rPr>
        <sz val="12"/>
        <rFont val="Times New Roman"/>
        <family val="1"/>
      </rPr>
      <t>COONa.3H</t>
    </r>
    <r>
      <rPr>
        <vertAlign val="subscript"/>
        <sz val="12"/>
        <rFont val="Times New Roman"/>
        <family val="1"/>
      </rPr>
      <t>2</t>
    </r>
    <r>
      <rPr>
        <sz val="12"/>
        <rFont val="Times New Roman"/>
        <family val="1"/>
      </rPr>
      <t>O</t>
    </r>
  </si>
  <si>
    <r>
      <t>CH</t>
    </r>
    <r>
      <rPr>
        <vertAlign val="subscript"/>
        <sz val="12"/>
        <rFont val="Times New Roman"/>
        <family val="1"/>
      </rPr>
      <t>3</t>
    </r>
    <r>
      <rPr>
        <sz val="12"/>
        <rFont val="Times New Roman"/>
        <family val="1"/>
      </rPr>
      <t>COOH</t>
    </r>
  </si>
  <si>
    <t>Cloramin T</t>
  </si>
  <si>
    <t>Axit Bacbituric</t>
  </si>
  <si>
    <t>NaCN</t>
  </si>
  <si>
    <r>
      <t>AgNO</t>
    </r>
    <r>
      <rPr>
        <vertAlign val="subscript"/>
        <sz val="12"/>
        <rFont val="Times New Roman"/>
        <family val="1"/>
      </rPr>
      <t>3</t>
    </r>
  </si>
  <si>
    <t>Dung dịch chuẩn PCBs</t>
  </si>
  <si>
    <t>Dung dịch chuẩn PAHs</t>
  </si>
  <si>
    <t>Bột Cu</t>
  </si>
  <si>
    <t>Tủ sấy</t>
  </si>
  <si>
    <t>Thiết bị phá mẫu</t>
  </si>
  <si>
    <t>Máy quang phổ UV-VIS</t>
  </si>
  <si>
    <t>Máy điều hòa nhiệt độ</t>
  </si>
  <si>
    <t>Tủ hút</t>
  </si>
  <si>
    <t>Lò vi sóng</t>
  </si>
  <si>
    <t>Máy phân tích quang phổ AAS</t>
  </si>
  <si>
    <t>Thiết bị lọc nước siêu sạch</t>
  </si>
  <si>
    <t>Bộ phân tích thủy ngân và asen MHS hoặc FIAS</t>
  </si>
  <si>
    <t>Tủ lưu hóa chất</t>
  </si>
  <si>
    <t>Hóa chất BVTV nhóm Clo hữu cơ</t>
  </si>
  <si>
    <t>Máy cất quay chân không</t>
  </si>
  <si>
    <t>Bể ổn định nhiệt</t>
  </si>
  <si>
    <t>Bể siêu âm</t>
  </si>
  <si>
    <t>Bơm chân không</t>
  </si>
  <si>
    <t>Máy phân tích sắc ký GC</t>
  </si>
  <si>
    <t>Máy cô nitơ</t>
  </si>
  <si>
    <t>Danh mục thiết bị</t>
  </si>
  <si>
    <t>Ca</t>
  </si>
  <si>
    <t>Như mục 2TT11a</t>
  </si>
  <si>
    <t>ĐƠN GIÁ TIỀN LƯƠNG LAO ĐỘNG KỸ THUẬT</t>
  </si>
  <si>
    <t>Số TT</t>
  </si>
  <si>
    <t>Chức danh</t>
  </si>
  <si>
    <t>Hệ số lương</t>
  </si>
  <si>
    <t>Lương cấp bậc</t>
  </si>
  <si>
    <t>Lương phụ 11%</t>
  </si>
  <si>
    <t>Phụ cấp Lưu động (0,4)</t>
  </si>
  <si>
    <t>Phụ cấp Độc hại (0,1)</t>
  </si>
  <si>
    <t>Phụ cấp tổ trưởng  0,2/5</t>
  </si>
  <si>
    <t xml:space="preserve">BHXH, YT, TN, KPCĐ </t>
  </si>
  <si>
    <t>Tổng cộng lương tháng</t>
  </si>
  <si>
    <t>Đơn giá tiền lương</t>
  </si>
  <si>
    <t>(1)</t>
  </si>
  <si>
    <t>(2)</t>
  </si>
  <si>
    <t>(3)</t>
  </si>
  <si>
    <t>(4)</t>
  </si>
  <si>
    <t>(5) = 11%*(4)</t>
  </si>
  <si>
    <t>(6)</t>
  </si>
  <si>
    <t>(7)</t>
  </si>
  <si>
    <t>(8)</t>
  </si>
  <si>
    <t>I</t>
  </si>
  <si>
    <t>NGOẠI NGHIỆP</t>
  </si>
  <si>
    <t>II</t>
  </si>
  <si>
    <t>NỘI NGHIỆP</t>
  </si>
  <si>
    <t>Đơn vị tính: đồng</t>
  </si>
  <si>
    <t xml:space="preserve">CHI PHÍ NHÂN CÔNG 
(Hoạt động quan trắc môi trường trầm tích) </t>
  </si>
  <si>
    <t>Đơn giá lương ngày</t>
  </si>
  <si>
    <t xml:space="preserve">Thành tiền
</t>
  </si>
  <si>
    <t>A2</t>
  </si>
  <si>
    <t>CHI PHÍ CÔNG CỤ, DỤNG CỤ 
(Hoạt động quan trắc môi trường nước thải)</t>
  </si>
  <si>
    <t>ĐVT: Đồng</t>
  </si>
  <si>
    <t>Ðơn giá (đồng)</t>
  </si>
  <si>
    <t>Thành tiền (đồng)</t>
  </si>
  <si>
    <t>Hoạt động phân tích mẫu trầm tích trong phòng thí nghiệm</t>
  </si>
  <si>
    <t>CHI PHÍ VẬT LIỆU 
(Hoạt động quan trắc môi trường không khí xung quanh và nước mặt lục địa)</t>
  </si>
  <si>
    <t>Đơn giá</t>
  </si>
  <si>
    <t>Thành tiền</t>
  </si>
  <si>
    <t>Công tác phân tích mẫu trầm tích trong phòng thí nghiệm (2TT)</t>
  </si>
  <si>
    <t>Mức KH/ca</t>
  </si>
  <si>
    <t>Nguyên giá (đồng)</t>
  </si>
  <si>
    <t>CHI PHÍ THIẾT BỊ
(Hoạt động quan trắc môi trường trầm tích)</t>
  </si>
  <si>
    <t>Công tác phân tích các thông số môi trường nước thải trong phòng thí nghiệm (2NT)</t>
  </si>
  <si>
    <t>Thông số quan trắc</t>
  </si>
  <si>
    <t>Chi phí LĐKT</t>
  </si>
  <si>
    <t>Chi phí CCDC</t>
  </si>
  <si>
    <t>Chi phí vật liệu</t>
  </si>
  <si>
    <t>CP năng lượng</t>
  </si>
  <si>
    <t>Chi phí khấu hao</t>
  </si>
  <si>
    <t>Chi phí trực tiếp</t>
  </si>
  <si>
    <t>Chi phí chung (20%)</t>
  </si>
  <si>
    <t>Đơn giá theo ĐM cũ</t>
  </si>
  <si>
    <t xml:space="preserve">Chênh lệch </t>
  </si>
  <si>
    <t>A</t>
  </si>
  <si>
    <t>B</t>
  </si>
  <si>
    <t>C</t>
  </si>
  <si>
    <t>10=8-9</t>
  </si>
  <si>
    <t>Công tác phân tích môi trường trầm tích trong phòng thí nghiệm (2TT)</t>
  </si>
  <si>
    <t>TỔNG HỢP ĐƠN GIÁ SẢN PHẨM QUAN TRẮC MÔI TRƯỜNG TRẦM TÍCH</t>
  </si>
  <si>
    <t>Phenol</t>
  </si>
  <si>
    <t>Thuốc BVTV nhóm phốt pho hữu cơ</t>
  </si>
  <si>
    <t>Thuốc BVTV nhóm Pyrethroid</t>
  </si>
  <si>
    <r>
      <t>pH</t>
    </r>
    <r>
      <rPr>
        <vertAlign val="subscript"/>
        <sz val="12"/>
        <rFont val="Times New Roman"/>
        <family val="1"/>
      </rPr>
      <t xml:space="preserve"> (H2O, KCl)</t>
    </r>
  </si>
  <si>
    <r>
      <t>Tổng K</t>
    </r>
    <r>
      <rPr>
        <vertAlign val="subscript"/>
        <sz val="13"/>
        <color indexed="8"/>
        <rFont val="Times New Roman"/>
        <family val="1"/>
      </rPr>
      <t>2</t>
    </r>
    <r>
      <rPr>
        <sz val="13"/>
        <color indexed="8"/>
        <rFont val="Times New Roman"/>
        <family val="1"/>
      </rPr>
      <t>O</t>
    </r>
  </si>
  <si>
    <t>Tổng N</t>
  </si>
  <si>
    <t>Tổng P</t>
  </si>
  <si>
    <t>2TT6a</t>
  </si>
  <si>
    <t>Máy lắc</t>
  </si>
  <si>
    <t>Máy đo pH</t>
  </si>
  <si>
    <t>Đầu đo nhiệt độ</t>
  </si>
  <si>
    <t>Máy đo nhiệt độ</t>
  </si>
  <si>
    <r>
      <t>pH</t>
    </r>
    <r>
      <rPr>
        <b/>
        <i/>
        <vertAlign val="subscript"/>
        <sz val="12"/>
        <rFont val="Times New Roman"/>
        <family val="1"/>
      </rPr>
      <t xml:space="preserve"> H2O, KCl </t>
    </r>
  </si>
  <si>
    <t>Điện cực pH</t>
  </si>
  <si>
    <t>KCl</t>
  </si>
  <si>
    <t>CaCl2</t>
  </si>
  <si>
    <t xml:space="preserve">Dung dịch chuẩn pH </t>
  </si>
  <si>
    <t>Kaliphatalat</t>
  </si>
  <si>
    <r>
      <t>KH</t>
    </r>
    <r>
      <rPr>
        <vertAlign val="subscript"/>
        <sz val="12"/>
        <rFont val="Times New Roman"/>
        <family val="1"/>
      </rPr>
      <t>2</t>
    </r>
    <r>
      <rPr>
        <sz val="12"/>
        <rFont val="Times New Roman"/>
        <family val="1"/>
      </rPr>
      <t>PO</t>
    </r>
    <r>
      <rPr>
        <vertAlign val="subscript"/>
        <sz val="12"/>
        <rFont val="Times New Roman"/>
        <family val="1"/>
      </rPr>
      <t>4</t>
    </r>
  </si>
  <si>
    <r>
      <t>Na</t>
    </r>
    <r>
      <rPr>
        <vertAlign val="subscript"/>
        <sz val="12"/>
        <rFont val="Times New Roman"/>
        <family val="1"/>
      </rPr>
      <t>2</t>
    </r>
    <r>
      <rPr>
        <sz val="12"/>
        <rFont val="Times New Roman"/>
        <family val="1"/>
      </rPr>
      <t>HPO</t>
    </r>
    <r>
      <rPr>
        <vertAlign val="subscript"/>
        <sz val="12"/>
        <rFont val="Times New Roman"/>
        <family val="1"/>
      </rPr>
      <t>4</t>
    </r>
  </si>
  <si>
    <r>
      <t>Na</t>
    </r>
    <r>
      <rPr>
        <vertAlign val="subscript"/>
        <sz val="12"/>
        <rFont val="Times New Roman"/>
        <family val="1"/>
      </rPr>
      <t>2</t>
    </r>
    <r>
      <rPr>
        <sz val="12"/>
        <rFont val="Times New Roman"/>
        <family val="1"/>
      </rPr>
      <t>B</t>
    </r>
    <r>
      <rPr>
        <vertAlign val="subscript"/>
        <sz val="12"/>
        <rFont val="Times New Roman"/>
        <family val="1"/>
      </rPr>
      <t>4</t>
    </r>
    <r>
      <rPr>
        <sz val="12"/>
        <rFont val="Times New Roman"/>
        <family val="1"/>
      </rPr>
      <t>O</t>
    </r>
    <r>
      <rPr>
        <vertAlign val="subscript"/>
        <sz val="12"/>
        <rFont val="Times New Roman"/>
        <family val="1"/>
      </rPr>
      <t>7</t>
    </r>
    <r>
      <rPr>
        <sz val="12"/>
        <rFont val="Times New Roman"/>
        <family val="1"/>
      </rPr>
      <t>.10H</t>
    </r>
    <r>
      <rPr>
        <vertAlign val="subscript"/>
        <sz val="12"/>
        <rFont val="Times New Roman"/>
        <family val="1"/>
      </rPr>
      <t>2</t>
    </r>
    <r>
      <rPr>
        <sz val="12"/>
        <rFont val="Times New Roman"/>
        <family val="1"/>
      </rPr>
      <t>O</t>
    </r>
  </si>
  <si>
    <t>Bình tam giác</t>
  </si>
  <si>
    <t>Pipet 1ml</t>
  </si>
  <si>
    <t>Ống đong 250ml</t>
  </si>
  <si>
    <t xml:space="preserve">Cái </t>
  </si>
  <si>
    <t>Cốc nhựa</t>
  </si>
  <si>
    <r>
      <t>H</t>
    </r>
    <r>
      <rPr>
        <vertAlign val="subscript"/>
        <sz val="13"/>
        <rFont val="Times New Roman"/>
        <family val="1"/>
      </rPr>
      <t>3</t>
    </r>
    <r>
      <rPr>
        <sz val="13"/>
        <rFont val="Times New Roman"/>
        <family val="1"/>
      </rPr>
      <t>BO</t>
    </r>
    <r>
      <rPr>
        <vertAlign val="subscript"/>
        <sz val="13"/>
        <rFont val="Times New Roman"/>
        <family val="1"/>
      </rPr>
      <t>3</t>
    </r>
  </si>
  <si>
    <r>
      <t>K</t>
    </r>
    <r>
      <rPr>
        <vertAlign val="subscript"/>
        <sz val="13"/>
        <rFont val="Times New Roman"/>
        <family val="1"/>
      </rPr>
      <t>2</t>
    </r>
    <r>
      <rPr>
        <sz val="13"/>
        <rFont val="Times New Roman"/>
        <family val="1"/>
      </rPr>
      <t>S</t>
    </r>
    <r>
      <rPr>
        <vertAlign val="subscript"/>
        <sz val="13"/>
        <rFont val="Times New Roman"/>
        <family val="1"/>
      </rPr>
      <t>2</t>
    </r>
    <r>
      <rPr>
        <sz val="13"/>
        <rFont val="Times New Roman"/>
        <family val="1"/>
      </rPr>
      <t>O</t>
    </r>
    <r>
      <rPr>
        <vertAlign val="subscript"/>
        <sz val="13"/>
        <rFont val="Times New Roman"/>
        <family val="1"/>
      </rPr>
      <t>8</t>
    </r>
  </si>
  <si>
    <r>
      <t>KNO</t>
    </r>
    <r>
      <rPr>
        <vertAlign val="subscript"/>
        <sz val="13"/>
        <color indexed="10"/>
        <rFont val="Times New Roman"/>
        <family val="1"/>
      </rPr>
      <t>3</t>
    </r>
  </si>
  <si>
    <t>Glyxin</t>
  </si>
  <si>
    <r>
      <t>NaC</t>
    </r>
    <r>
      <rPr>
        <vertAlign val="subscript"/>
        <sz val="13"/>
        <rFont val="Times New Roman"/>
        <family val="1"/>
      </rPr>
      <t>7</t>
    </r>
    <r>
      <rPr>
        <sz val="13"/>
        <rFont val="Times New Roman"/>
        <family val="1"/>
      </rPr>
      <t>H</t>
    </r>
    <r>
      <rPr>
        <vertAlign val="subscript"/>
        <sz val="13"/>
        <rFont val="Times New Roman"/>
        <family val="1"/>
      </rPr>
      <t>5</t>
    </r>
    <r>
      <rPr>
        <sz val="13"/>
        <rFont val="Times New Roman"/>
        <family val="1"/>
      </rPr>
      <t>NaO</t>
    </r>
    <r>
      <rPr>
        <vertAlign val="subscript"/>
        <sz val="13"/>
        <rFont val="Times New Roman"/>
        <family val="1"/>
      </rPr>
      <t>3</t>
    </r>
  </si>
  <si>
    <r>
      <t>K</t>
    </r>
    <r>
      <rPr>
        <vertAlign val="subscript"/>
        <sz val="13"/>
        <rFont val="Times New Roman"/>
        <family val="1"/>
      </rPr>
      <t>2</t>
    </r>
    <r>
      <rPr>
        <sz val="13"/>
        <rFont val="Times New Roman"/>
        <family val="1"/>
      </rPr>
      <t>SO</t>
    </r>
    <r>
      <rPr>
        <vertAlign val="subscript"/>
        <sz val="13"/>
        <rFont val="Times New Roman"/>
        <family val="1"/>
      </rPr>
      <t>4</t>
    </r>
  </si>
  <si>
    <r>
      <t>H</t>
    </r>
    <r>
      <rPr>
        <vertAlign val="subscript"/>
        <sz val="13"/>
        <rFont val="Times New Roman"/>
        <family val="1"/>
      </rPr>
      <t>2</t>
    </r>
    <r>
      <rPr>
        <sz val="13"/>
        <rFont val="Times New Roman"/>
        <family val="1"/>
      </rPr>
      <t>SO</t>
    </r>
    <r>
      <rPr>
        <vertAlign val="subscript"/>
        <sz val="13"/>
        <rFont val="Times New Roman"/>
        <family val="1"/>
      </rPr>
      <t>4</t>
    </r>
  </si>
  <si>
    <t>Hợp kim Devarda</t>
  </si>
  <si>
    <t>Hộp</t>
  </si>
  <si>
    <t>Phenolphtalein</t>
  </si>
  <si>
    <r>
      <t>K</t>
    </r>
    <r>
      <rPr>
        <vertAlign val="subscript"/>
        <sz val="12"/>
        <rFont val="Times New Roman"/>
        <family val="1"/>
      </rPr>
      <t>2</t>
    </r>
    <r>
      <rPr>
        <sz val="12"/>
        <rFont val="Times New Roman"/>
        <family val="1"/>
        <charset val="163"/>
      </rPr>
      <t>S</t>
    </r>
    <r>
      <rPr>
        <vertAlign val="subscript"/>
        <sz val="12"/>
        <rFont val="Times New Roman"/>
        <family val="1"/>
      </rPr>
      <t>2</t>
    </r>
    <r>
      <rPr>
        <sz val="12"/>
        <rFont val="Times New Roman"/>
        <family val="1"/>
        <charset val="163"/>
      </rPr>
      <t>O</t>
    </r>
    <r>
      <rPr>
        <vertAlign val="subscript"/>
        <sz val="12"/>
        <rFont val="Times New Roman"/>
        <family val="1"/>
      </rPr>
      <t>8</t>
    </r>
  </si>
  <si>
    <r>
      <t>(NH</t>
    </r>
    <r>
      <rPr>
        <vertAlign val="subscript"/>
        <sz val="12"/>
        <rFont val="Times New Roman"/>
        <family val="1"/>
      </rPr>
      <t>4</t>
    </r>
    <r>
      <rPr>
        <sz val="12"/>
        <rFont val="Times New Roman"/>
        <family val="1"/>
        <charset val="163"/>
      </rPr>
      <t>)</t>
    </r>
    <r>
      <rPr>
        <vertAlign val="subscript"/>
        <sz val="12"/>
        <rFont val="Times New Roman"/>
        <family val="1"/>
      </rPr>
      <t>6</t>
    </r>
    <r>
      <rPr>
        <sz val="12"/>
        <rFont val="Times New Roman"/>
        <family val="1"/>
        <charset val="163"/>
      </rPr>
      <t>Mo</t>
    </r>
    <r>
      <rPr>
        <vertAlign val="subscript"/>
        <sz val="12"/>
        <rFont val="Times New Roman"/>
        <family val="1"/>
      </rPr>
      <t>7</t>
    </r>
    <r>
      <rPr>
        <sz val="12"/>
        <rFont val="Times New Roman"/>
        <family val="1"/>
        <charset val="163"/>
      </rPr>
      <t>O</t>
    </r>
    <r>
      <rPr>
        <vertAlign val="subscript"/>
        <sz val="12"/>
        <rFont val="Times New Roman"/>
        <family val="1"/>
      </rPr>
      <t>24</t>
    </r>
    <r>
      <rPr>
        <sz val="12"/>
        <rFont val="Times New Roman"/>
        <family val="1"/>
        <charset val="163"/>
      </rPr>
      <t>.4H</t>
    </r>
    <r>
      <rPr>
        <vertAlign val="subscript"/>
        <sz val="12"/>
        <rFont val="Times New Roman"/>
        <family val="1"/>
      </rPr>
      <t>2</t>
    </r>
    <r>
      <rPr>
        <sz val="12"/>
        <rFont val="Times New Roman"/>
        <family val="1"/>
        <charset val="163"/>
      </rPr>
      <t>O</t>
    </r>
  </si>
  <si>
    <t>Kali antimontatrat</t>
  </si>
  <si>
    <t>Axit Ascorbic</t>
  </si>
  <si>
    <r>
      <t>Dung dịch chuẩn P-PO</t>
    </r>
    <r>
      <rPr>
        <vertAlign val="subscript"/>
        <sz val="12"/>
        <rFont val="Times New Roman"/>
        <family val="1"/>
      </rPr>
      <t>4</t>
    </r>
  </si>
  <si>
    <r>
      <t>K</t>
    </r>
    <r>
      <rPr>
        <vertAlign val="subscript"/>
        <sz val="12"/>
        <rFont val="Times New Roman"/>
        <family val="1"/>
      </rPr>
      <t>3</t>
    </r>
    <r>
      <rPr>
        <sz val="12"/>
        <rFont val="Times New Roman"/>
        <family val="1"/>
      </rPr>
      <t>Fe(CN)</t>
    </r>
    <r>
      <rPr>
        <vertAlign val="subscript"/>
        <sz val="12"/>
        <rFont val="Times New Roman"/>
        <family val="1"/>
      </rPr>
      <t>6</t>
    </r>
  </si>
  <si>
    <t>4-Amino-Antypyrin</t>
  </si>
  <si>
    <r>
      <t>NH</t>
    </r>
    <r>
      <rPr>
        <vertAlign val="subscript"/>
        <sz val="12"/>
        <rFont val="Times New Roman"/>
        <family val="1"/>
      </rPr>
      <t>4</t>
    </r>
    <r>
      <rPr>
        <sz val="12"/>
        <rFont val="Times New Roman"/>
        <family val="1"/>
      </rPr>
      <t>Cl</t>
    </r>
  </si>
  <si>
    <r>
      <t>NaKC</t>
    </r>
    <r>
      <rPr>
        <vertAlign val="subscript"/>
        <sz val="12"/>
        <rFont val="Times New Roman"/>
        <family val="1"/>
      </rPr>
      <t>4</t>
    </r>
    <r>
      <rPr>
        <sz val="12"/>
        <rFont val="Times New Roman"/>
        <family val="1"/>
      </rPr>
      <t>H</t>
    </r>
    <r>
      <rPr>
        <vertAlign val="subscript"/>
        <sz val="12"/>
        <rFont val="Times New Roman"/>
        <family val="1"/>
      </rPr>
      <t>4</t>
    </r>
    <r>
      <rPr>
        <sz val="12"/>
        <rFont val="Times New Roman"/>
        <family val="1"/>
      </rPr>
      <t>O</t>
    </r>
    <r>
      <rPr>
        <vertAlign val="subscript"/>
        <sz val="12"/>
        <rFont val="Times New Roman"/>
        <family val="1"/>
      </rPr>
      <t>6</t>
    </r>
  </si>
  <si>
    <r>
      <t>NH</t>
    </r>
    <r>
      <rPr>
        <vertAlign val="subscript"/>
        <sz val="12"/>
        <rFont val="Times New Roman"/>
        <family val="1"/>
      </rPr>
      <t>4</t>
    </r>
    <r>
      <rPr>
        <sz val="12"/>
        <rFont val="Times New Roman"/>
        <family val="1"/>
      </rPr>
      <t>OH</t>
    </r>
  </si>
  <si>
    <t>NaBr</t>
  </si>
  <si>
    <t>KI</t>
  </si>
  <si>
    <r>
      <t>Na</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3</t>
    </r>
  </si>
  <si>
    <r>
      <t>CuSO</t>
    </r>
    <r>
      <rPr>
        <vertAlign val="subscript"/>
        <sz val="12"/>
        <rFont val="Times New Roman"/>
        <family val="1"/>
      </rPr>
      <t>4</t>
    </r>
    <r>
      <rPr>
        <sz val="12"/>
        <rFont val="Times New Roman"/>
        <family val="1"/>
      </rPr>
      <t>.5H</t>
    </r>
    <r>
      <rPr>
        <vertAlign val="subscript"/>
        <sz val="12"/>
        <rFont val="Times New Roman"/>
        <family val="1"/>
      </rPr>
      <t>2</t>
    </r>
    <r>
      <rPr>
        <sz val="12"/>
        <rFont val="Times New Roman"/>
        <family val="1"/>
      </rPr>
      <t>O</t>
    </r>
  </si>
  <si>
    <r>
      <t>H</t>
    </r>
    <r>
      <rPr>
        <vertAlign val="subscript"/>
        <sz val="12"/>
        <rFont val="Times New Roman"/>
        <family val="1"/>
      </rPr>
      <t>3</t>
    </r>
    <r>
      <rPr>
        <sz val="12"/>
        <rFont val="Times New Roman"/>
        <family val="1"/>
      </rPr>
      <t>PO</t>
    </r>
    <r>
      <rPr>
        <vertAlign val="subscript"/>
        <sz val="12"/>
        <rFont val="Times New Roman"/>
        <family val="1"/>
      </rPr>
      <t>4</t>
    </r>
  </si>
  <si>
    <t>Phenol chuẩn</t>
  </si>
  <si>
    <r>
      <t>CHCl</t>
    </r>
    <r>
      <rPr>
        <vertAlign val="subscript"/>
        <sz val="12"/>
        <rFont val="Times New Roman"/>
        <family val="1"/>
      </rPr>
      <t>3</t>
    </r>
  </si>
  <si>
    <r>
      <t>Tổng K</t>
    </r>
    <r>
      <rPr>
        <b/>
        <i/>
        <vertAlign val="subscript"/>
        <sz val="12"/>
        <rFont val="Times New Roman"/>
        <family val="1"/>
      </rPr>
      <t>2</t>
    </r>
    <r>
      <rPr>
        <b/>
        <i/>
        <sz val="12"/>
        <rFont val="Times New Roman"/>
        <family val="1"/>
      </rPr>
      <t>O</t>
    </r>
  </si>
  <si>
    <t>HF</t>
  </si>
  <si>
    <r>
      <t>HClO</t>
    </r>
    <r>
      <rPr>
        <vertAlign val="subscript"/>
        <sz val="12"/>
        <rFont val="Times New Roman"/>
        <family val="1"/>
      </rPr>
      <t>4</t>
    </r>
  </si>
  <si>
    <t>Dung dịch chuẩn K</t>
  </si>
  <si>
    <t>CsCl</t>
  </si>
  <si>
    <r>
      <t>Al(NO</t>
    </r>
    <r>
      <rPr>
        <vertAlign val="subscript"/>
        <sz val="12"/>
        <rFont val="Times New Roman"/>
        <family val="1"/>
      </rPr>
      <t>3</t>
    </r>
    <r>
      <rPr>
        <sz val="12"/>
        <rFont val="Times New Roman"/>
        <family val="1"/>
        <charset val="163"/>
      </rPr>
      <t>)</t>
    </r>
    <r>
      <rPr>
        <vertAlign val="subscript"/>
        <sz val="12"/>
        <rFont val="Times New Roman"/>
        <family val="1"/>
      </rPr>
      <t>3</t>
    </r>
  </si>
  <si>
    <t>Thuốc BVTV nhóm photpho hữu cơ</t>
  </si>
  <si>
    <t>Phân tích đồng thời KLN</t>
  </si>
  <si>
    <t>Quartz torches</t>
  </si>
  <si>
    <t xml:space="preserve">Phân tích đồng thời các kim loại </t>
  </si>
  <si>
    <t>Dung dịch chuẩn đa nguyên tố (ICP Standard)</t>
  </si>
  <si>
    <t>Dung dịch chuẩn thẩm tra hiệu năng của thiết bị</t>
  </si>
  <si>
    <r>
      <t>HNO</t>
    </r>
    <r>
      <rPr>
        <vertAlign val="subscript"/>
        <sz val="12"/>
        <rFont val="Times New Roman"/>
        <family val="1"/>
      </rPr>
      <t>3</t>
    </r>
  </si>
  <si>
    <r>
      <t>H</t>
    </r>
    <r>
      <rPr>
        <vertAlign val="subscript"/>
        <sz val="12"/>
        <rFont val="Times New Roman"/>
        <family val="1"/>
      </rPr>
      <t>2</t>
    </r>
    <r>
      <rPr>
        <sz val="12"/>
        <rFont val="Times New Roman"/>
        <family val="1"/>
      </rPr>
      <t>O</t>
    </r>
    <r>
      <rPr>
        <vertAlign val="subscript"/>
        <sz val="12"/>
        <rFont val="Times New Roman"/>
        <family val="1"/>
      </rPr>
      <t>2</t>
    </r>
  </si>
  <si>
    <r>
      <t>(NH4)</t>
    </r>
    <r>
      <rPr>
        <vertAlign val="subscript"/>
        <sz val="12"/>
        <rFont val="Times New Roman"/>
        <family val="1"/>
      </rPr>
      <t>2</t>
    </r>
    <r>
      <rPr>
        <sz val="12"/>
        <rFont val="Times New Roman"/>
        <family val="1"/>
      </rPr>
      <t>SO</t>
    </r>
    <r>
      <rPr>
        <vertAlign val="subscript"/>
        <sz val="12"/>
        <rFont val="Times New Roman"/>
        <family val="1"/>
      </rPr>
      <t>4</t>
    </r>
  </si>
  <si>
    <t>Tủ lạnh lưu chất chuẩn</t>
  </si>
  <si>
    <t>Máy cất Nitơ</t>
  </si>
  <si>
    <t>Máy lắc xoay tròn</t>
  </si>
  <si>
    <t>Hệ thống ICP</t>
  </si>
  <si>
    <r>
      <t>pH</t>
    </r>
    <r>
      <rPr>
        <b/>
        <i/>
        <vertAlign val="subscript"/>
        <sz val="12"/>
        <rFont val="Times New Roman"/>
        <family val="1"/>
      </rPr>
      <t xml:space="preserve"> H20, KCl</t>
    </r>
  </si>
  <si>
    <r>
      <t>Cyanua (CN</t>
    </r>
    <r>
      <rPr>
        <b/>
        <i/>
        <vertAlign val="superscript"/>
        <sz val="12"/>
        <rFont val="Times New Roman"/>
        <family val="1"/>
      </rPr>
      <t>-</t>
    </r>
    <r>
      <rPr>
        <b/>
        <i/>
        <sz val="12"/>
        <rFont val="Times New Roman"/>
        <family val="1"/>
      </rPr>
      <t xml:space="preserve">) </t>
    </r>
  </si>
  <si>
    <t xml:space="preserve"> HOẠT ĐỘNG QUAN TRẮC VÀ PHÂN TÍCH MÔI TRƯỜNG TRẦM TÍCH ĐÁY</t>
  </si>
  <si>
    <t>A1</t>
  </si>
  <si>
    <t>Công tác quan trắc môi trường trầm tích đáy tại hiện trường (TT)</t>
  </si>
  <si>
    <t>2TT1</t>
  </si>
  <si>
    <r>
      <t>pH</t>
    </r>
    <r>
      <rPr>
        <b/>
        <vertAlign val="subscript"/>
        <sz val="12"/>
        <rFont val="Times New Roman"/>
        <family val="1"/>
        <charset val="163"/>
      </rPr>
      <t xml:space="preserve"> (H2O, KCl)</t>
    </r>
  </si>
  <si>
    <t xml:space="preserve">Hộp đựng mẫu </t>
  </si>
  <si>
    <t>chiếc</t>
  </si>
  <si>
    <t>Quần áo BHLĐ</t>
  </si>
  <si>
    <t>Tất sợi</t>
  </si>
  <si>
    <t>Mũ cứng</t>
  </si>
  <si>
    <t>Ô che mưa, che nắng</t>
  </si>
  <si>
    <t>2TT2</t>
  </si>
  <si>
    <t>1TT1</t>
  </si>
  <si>
    <t>1TT2</t>
  </si>
  <si>
    <t>1TT3</t>
  </si>
  <si>
    <t>1TT4</t>
  </si>
  <si>
    <t>1TT5a</t>
  </si>
  <si>
    <t>1TT5b</t>
  </si>
  <si>
    <t>1TT5c</t>
  </si>
  <si>
    <t>1TT5f</t>
  </si>
  <si>
    <t>1TT6a</t>
  </si>
  <si>
    <t>1TT6b</t>
  </si>
  <si>
    <t>1TT6c</t>
  </si>
  <si>
    <t>1TT6d</t>
  </si>
  <si>
    <t>1TT6đ</t>
  </si>
  <si>
    <t>1TT7</t>
  </si>
  <si>
    <t>2TT3</t>
  </si>
  <si>
    <t>2TT4</t>
  </si>
  <si>
    <t>2TT5a</t>
  </si>
  <si>
    <t>2TT5b</t>
  </si>
  <si>
    <t>2TT5c</t>
  </si>
  <si>
    <t>2TT5f</t>
  </si>
  <si>
    <t>2TT6b</t>
  </si>
  <si>
    <t>2TT6c</t>
  </si>
  <si>
    <t>2TT6d</t>
  </si>
  <si>
    <t>2TT6đ</t>
  </si>
  <si>
    <t>Xyanua (CN-)</t>
  </si>
  <si>
    <r>
      <t>pH</t>
    </r>
    <r>
      <rPr>
        <b/>
        <i/>
        <vertAlign val="subscript"/>
        <sz val="12"/>
        <rFont val="Times New Roman"/>
        <family val="1"/>
      </rPr>
      <t xml:space="preserve"> (H2O, KCl)</t>
    </r>
  </si>
  <si>
    <t>Hoạt động phân tích mẫu trầm tích trong phòng thí nghiệm (2TT)</t>
  </si>
  <si>
    <t>Thùng đựng và bảo quản mẫu</t>
  </si>
  <si>
    <t>Nước rửa dụng cụ</t>
  </si>
  <si>
    <t>Lít</t>
  </si>
  <si>
    <t>Gim kẹp giấy</t>
  </si>
  <si>
    <t>Gim bấm</t>
  </si>
  <si>
    <t>Bản đồ địa hình</t>
  </si>
  <si>
    <t>tờ</t>
  </si>
  <si>
    <t>Túi PE</t>
  </si>
  <si>
    <t xml:space="preserve">chiếc </t>
  </si>
  <si>
    <t>Thiết bị lấy mẫu</t>
  </si>
  <si>
    <t>Máy định vị GPS cầm tay</t>
  </si>
  <si>
    <r>
      <t>pH</t>
    </r>
    <r>
      <rPr>
        <b/>
        <vertAlign val="subscript"/>
        <sz val="12"/>
        <rFont val="Times New Roman"/>
        <family val="1"/>
      </rPr>
      <t xml:space="preserve"> (H2O, KCl)</t>
    </r>
  </si>
  <si>
    <t>Như mục 2TT5a</t>
  </si>
  <si>
    <t>Như mục 2TT6a</t>
  </si>
  <si>
    <t>PHỤ LỤC 10</t>
  </si>
  <si>
    <t>Phân tích đồng thời KL</t>
  </si>
  <si>
    <t>Phương pháp sử dụng</t>
  </si>
  <si>
    <t>HOẠT ĐỘNG QUAN TRẮC VÀ PHÂN TÍCH MÔI TRƯỜNG TRẦM TÍCH</t>
  </si>
  <si>
    <t>TCVN 5979: 2007</t>
  </si>
  <si>
    <t>TCVN 6644:2000</t>
  </si>
  <si>
    <t xml:space="preserve">Dầu mỡ </t>
  </si>
  <si>
    <t xml:space="preserve">Tổng N </t>
  </si>
  <si>
    <t>TCVN 6498: 1999</t>
  </si>
  <si>
    <t xml:space="preserve"> TCVN 8940 : 2011</t>
  </si>
  <si>
    <t xml:space="preserve">Phenol </t>
  </si>
  <si>
    <t>TCVN 6649: 2000
+ TCVN 6496: 2009</t>
  </si>
  <si>
    <t xml:space="preserve"> TCVN 8467: 2010
+ TCVN 6649:2000</t>
  </si>
  <si>
    <t xml:space="preserve"> TCVN 6496:2009
+TCVN 6649:2000</t>
  </si>
  <si>
    <r>
      <t>Tổng K</t>
    </r>
    <r>
      <rPr>
        <b/>
        <i/>
        <vertAlign val="subscript"/>
        <sz val="12"/>
        <rFont val="Times New Roman"/>
        <family val="1"/>
      </rPr>
      <t>2</t>
    </r>
    <r>
      <rPr>
        <b/>
        <i/>
        <sz val="12"/>
        <rFont val="Times New Roman"/>
        <family val="1"/>
      </rPr>
      <t xml:space="preserve">O </t>
    </r>
  </si>
  <si>
    <t>TCVN 8660: 2011</t>
  </si>
  <si>
    <t xml:space="preserve">Thuốc bảo vệ thực vật nhóm phot pho hữu cơ </t>
  </si>
  <si>
    <t xml:space="preserve">Thuốc BVTV nhóm Pyrethroid </t>
  </si>
  <si>
    <t xml:space="preserve">PAHs </t>
  </si>
  <si>
    <t xml:space="preserve">PCBs </t>
  </si>
  <si>
    <t xml:space="preserve">Phân tích đồng thời KLN </t>
  </si>
  <si>
    <t>5=1+2+3+4</t>
  </si>
  <si>
    <t>6=5*20%</t>
  </si>
  <si>
    <t>7=6+5</t>
  </si>
  <si>
    <t>Công suất (Kw)</t>
  </si>
  <si>
    <t xml:space="preserve">Pin khô </t>
  </si>
  <si>
    <t>TCVN  8246: 2009</t>
  </si>
  <si>
    <t xml:space="preserve"> HOẠT ĐỘNG QUAN TRẮC VÀ PHÂN TÍCH MÔI TRƯỜNG TRẦM TÍCH </t>
  </si>
  <si>
    <t>Công tác quan trắc môi trường trầm tích tại hiện trường (1TT)</t>
  </si>
  <si>
    <t xml:space="preserve"> HOẠT ĐỘNG QUAN TRẮC VÀ PHÂN TÍCH MÔI TRƯỜNG TRẦM TÍCH</t>
  </si>
  <si>
    <t>Công tác quan trắc môi trường trầm tích tại hiện trường (TT)</t>
  </si>
  <si>
    <t>Công tác quan trắc môi trường trầm tích tại hiện trường (2TT)</t>
  </si>
  <si>
    <t>Đơn vị tính: đồng/thông số</t>
  </si>
  <si>
    <t>Thuốc BVTV nhóm Clo hữu cơ  (Aldrin+Dieldrin, BHC, DDT, Heptachlor &amp;Heptachlorepoxide)</t>
  </si>
  <si>
    <t>Như mục 1TT5a</t>
  </si>
  <si>
    <t xml:space="preserve"> Tổng P</t>
  </si>
  <si>
    <t>Như mục 1TT6a</t>
  </si>
  <si>
    <t>Như mục 1NT6a</t>
  </si>
  <si>
    <r>
      <t>Tổng K</t>
    </r>
    <r>
      <rPr>
        <b/>
        <i/>
        <vertAlign val="subscript"/>
        <sz val="13"/>
        <color indexed="8"/>
        <rFont val="Times New Roman"/>
        <family val="1"/>
      </rPr>
      <t>2</t>
    </r>
    <r>
      <rPr>
        <b/>
        <i/>
        <sz val="13"/>
        <color indexed="8"/>
        <rFont val="Times New Roman"/>
        <family val="1"/>
      </rPr>
      <t>O</t>
    </r>
  </si>
  <si>
    <t>Tổng các bon hữu cơ</t>
  </si>
  <si>
    <t>Phân tích đồng thời Kim loại</t>
  </si>
  <si>
    <t>US EPA 9071</t>
  </si>
  <si>
    <t>US EPA 9010</t>
  </si>
  <si>
    <t>US EPA 3550C +US EPA 8270D</t>
  </si>
  <si>
    <t>US EPA 3550C + SMEWW 5530C: 2012</t>
  </si>
  <si>
    <t>Phân tích đồng thời kim loại</t>
  </si>
  <si>
    <t>Tổng các bon  hữu cơ</t>
  </si>
  <si>
    <t xml:space="preserve">Tổng các bon hữu cơ </t>
  </si>
  <si>
    <t>Găng tay y tế</t>
  </si>
  <si>
    <t xml:space="preserve">Cân phân tích </t>
  </si>
  <si>
    <t>Tủ bảo quản mẫu</t>
  </si>
  <si>
    <t>Chiết pha rắn SPE</t>
  </si>
  <si>
    <t>Giầy BHLĐ</t>
  </si>
  <si>
    <t>TỔNG HỢP CÁC PHƯƠNG PHÁP SỬ DỤNG CHO HOẠT ĐỘNG QUAN TRẮC TRẦM TÍCH</t>
  </si>
  <si>
    <t>K2HPO4</t>
  </si>
  <si>
    <t>KH2PO4</t>
  </si>
  <si>
    <t>Áo blue</t>
  </si>
  <si>
    <r>
      <t>Thuốc BVTV nhóm Clo hữu cơ</t>
    </r>
    <r>
      <rPr>
        <i/>
        <sz val="12"/>
        <rFont val="Times New Roman"/>
        <family val="1"/>
      </rPr>
      <t xml:space="preserve">
</t>
    </r>
  </si>
  <si>
    <t xml:space="preserve">Giấy lọc </t>
  </si>
  <si>
    <t xml:space="preserve">Thuốc BVTV nhóm Clo hữu cơ  </t>
  </si>
  <si>
    <t xml:space="preserve">Polycyclic aromatic hydrocarbon </t>
  </si>
  <si>
    <t>*Thuốc BVTV nhóm Clo hữu cơ: 666, Lindan, Aldrin, Dieldrin, DDE, DDD, DDT, Endosulfan, Endrin, BCH, Heptaclor,Heptaclor Epoxide, Methoxyclor….</t>
  </si>
  <si>
    <t>**Thuốc BVTV cơ photpho: Paration, Methyl paration, Etyl paration, Malation, Diazinon, TrichlorfonTrichlorfon, Dimethoate…</t>
  </si>
  <si>
    <t>***Thuốc BVTV nhóm Pyrethroid: Permethrin, Deltamethrin, Cypermethrin, Fenvalerate…</t>
  </si>
  <si>
    <t>****Tổng hàm lượng các PCBs gồm: 28; 52; 101; 118; 138; 153; 180 và 209….</t>
  </si>
  <si>
    <t>Polycyclic Aromatic hydrocarbon (PAHs): Acenaphthen, Acenaphthylen, Athracen ,Benzo[a] anthracen, Benzo[a,h] anthracen,Benzo[e]pyren, Chryren, Fluroanthen,Fluoren,2-Methylnaphthalen, Naphthalen ,Phenanthren, Pyren…</t>
  </si>
  <si>
    <r>
      <t>Tổng K</t>
    </r>
    <r>
      <rPr>
        <vertAlign val="subscript"/>
        <sz val="13"/>
        <rFont val="Times New Roman"/>
        <family val="1"/>
      </rPr>
      <t>2</t>
    </r>
    <r>
      <rPr>
        <sz val="13"/>
        <rFont val="Times New Roman"/>
        <family val="1"/>
      </rPr>
      <t>O</t>
    </r>
  </si>
  <si>
    <t>- Hệ số lương theo Nghị định số 204/2004/NĐ-CP ngày 14 tháng 12 năm 2004 của Chính phủ về chế độ tiền lương đối với cán bộ công chức, viên chức và lực lượng vũ trang và chế độ phụ cấp lương trong các công ty nhà nước;
- Mức đóng các khoản bảo hiểm (BHXH, BHYT, BHTN) theo quy định tại Luật Bảo hiểm xã hội năm 2006;
- Mức lương tối thiểu theo Nghị định số 99/2015/QH13 ngày 11 tháng 11 năm 2015  của Quốc hội khóa 13 quy định mức lương tối thiểu chung là 1.300.000 đồng /tháng;
- Số ngày công trong 1 tháng là: 26 ngày</t>
  </si>
  <si>
    <t>1QTVTNMT hạng IV.2</t>
  </si>
  <si>
    <t>Quan trắc viên tài nguyên môi trường hạng IV bậc 2</t>
  </si>
  <si>
    <t>1QTVTNMT hạng IV.3</t>
  </si>
  <si>
    <t>Quan trắc viên tài nguyên môi trường hạng IV bậc 3</t>
  </si>
  <si>
    <t>1QTVTNMT hạng III.1</t>
  </si>
  <si>
    <t>Quan trắc viên tài nguyên môi trường hạng III bậc 1</t>
  </si>
  <si>
    <t>1QTVTNMT hạng III.2</t>
  </si>
  <si>
    <t>Quan trắc viên tài nguyên môi trường hạng III bậc 2</t>
  </si>
  <si>
    <t>1QTVTNMT hạng III.3</t>
  </si>
  <si>
    <t>Quan trắc viên tài nguyên môi trường hạng III bậc 3</t>
  </si>
  <si>
    <t>Đơn giá ( không VAT)</t>
  </si>
  <si>
    <t>1TT5d1</t>
  </si>
  <si>
    <t>KLN (Pb)</t>
  </si>
  <si>
    <t>1TT5d2</t>
  </si>
  <si>
    <t>KLN (Cd)</t>
  </si>
  <si>
    <t>KLN (Hg)</t>
  </si>
  <si>
    <t>1TT5đ1</t>
  </si>
  <si>
    <t>1TT5đ2</t>
  </si>
  <si>
    <t>KLN ( As)</t>
  </si>
  <si>
    <t>1TT5e1</t>
  </si>
  <si>
    <t>KLN (Cu)</t>
  </si>
  <si>
    <t>KLN (Zn)</t>
  </si>
  <si>
    <t>KLN (Cr)</t>
  </si>
  <si>
    <t>KLN (Mn)</t>
  </si>
  <si>
    <t>KLN (Ni)</t>
  </si>
  <si>
    <t>1TT5e2</t>
  </si>
  <si>
    <t>1TT5e3</t>
  </si>
  <si>
    <t>1TT5e4</t>
  </si>
  <si>
    <t>1TT5e5</t>
  </si>
  <si>
    <t>2TT5d1</t>
  </si>
  <si>
    <t>2TT5d2</t>
  </si>
  <si>
    <t>2TT5đ1</t>
  </si>
  <si>
    <t>2TT5đ2</t>
  </si>
  <si>
    <t>2TT5e1</t>
  </si>
  <si>
    <t>2TT5e2</t>
  </si>
  <si>
    <t>2TT5e3</t>
  </si>
  <si>
    <t>2TT5e4</t>
  </si>
  <si>
    <t>2TT5e5</t>
  </si>
  <si>
    <t>Như mục 2TT5d1</t>
  </si>
  <si>
    <t>Kim loại nặng (Pb)</t>
  </si>
  <si>
    <t>Kim loại nặng (Cd)</t>
  </si>
  <si>
    <t>Kim loại nặng (As)</t>
  </si>
  <si>
    <t>Như mục 2TT5đ1</t>
  </si>
  <si>
    <t>Kim loại (Zn)</t>
  </si>
  <si>
    <t>KL (Zn)</t>
  </si>
  <si>
    <t>KL (Cu)</t>
  </si>
  <si>
    <t>KL (Cr)</t>
  </si>
  <si>
    <t>KL (Mn)</t>
  </si>
  <si>
    <t>KL (Ni)</t>
  </si>
  <si>
    <t>Kim loại (Cu)</t>
  </si>
  <si>
    <t>Kim loại (Cr)</t>
  </si>
  <si>
    <t>Kim loại (Mn)</t>
  </si>
  <si>
    <t>Kim loại (Ni)</t>
  </si>
  <si>
    <t>Như mục 2TT5e1</t>
  </si>
  <si>
    <t>Kim Loại nặng (Pb)</t>
  </si>
  <si>
    <t>Kim loại nặng ( As)</t>
  </si>
  <si>
    <t>Kim loại nặng(Hg)</t>
  </si>
  <si>
    <t>Kim loại nặng (Hg)</t>
  </si>
  <si>
    <t>Như mục 2TT5e2</t>
  </si>
  <si>
    <t>Đơn gia thực tế</t>
  </si>
  <si>
    <t>Chêch lệch</t>
  </si>
  <si>
    <t>Tổng cộng</t>
  </si>
  <si>
    <t>Cốc cân</t>
  </si>
  <si>
    <t>Tổng lương</t>
  </si>
  <si>
    <t>(9)=4+5+6+7+8</t>
  </si>
  <si>
    <t>(10) = 23.5%*(9)</t>
  </si>
  <si>
    <t>(11)=9+10</t>
  </si>
  <si>
    <t>(12)=(11)/26</t>
  </si>
</sst>
</file>

<file path=xl/styles.xml><?xml version="1.0" encoding="utf-8"?>
<styleSheet xmlns="http://schemas.openxmlformats.org/spreadsheetml/2006/main">
  <numFmts count="9">
    <numFmt numFmtId="43" formatCode="_(* #,##0.00_);_(* \(#,##0.00\);_(* &quot;-&quot;??_);_(@_)"/>
    <numFmt numFmtId="164" formatCode="0.000"/>
    <numFmt numFmtId="165" formatCode="_(* #,##0.00_);_(* \(#,##0.00\);_(* &quot;-&quot;&quot;?&quot;&quot;?&quot;_);_(@_)"/>
    <numFmt numFmtId="166" formatCode="_(* #,##0_);_(* \(#,##0\);_(* &quot;-&quot;&quot;?&quot;&quot;?&quot;_);_(@_)"/>
    <numFmt numFmtId="167" formatCode="_(* #,##0_);_(* \(#,##0\);_(* &quot;-&quot;??_);_(@_)"/>
    <numFmt numFmtId="168" formatCode="_(* #,##0.00_);_(* \(#,##0.00\);_(* \-&quot;?&quot;&quot;?&quot;_);_(@_)"/>
    <numFmt numFmtId="169" formatCode="_(* #,##0_);_(* \(#,##0\);_(* \-&quot;?&quot;&quot;?&quot;_);_(@_)"/>
    <numFmt numFmtId="170" formatCode="#,##0.0"/>
    <numFmt numFmtId="171" formatCode="_(* #,##0.000_);_(* \(#,##0.000\);_(* &quot;-&quot;&quot;?&quot;&quot;?&quot;_);_(@_)"/>
  </numFmts>
  <fonts count="65">
    <font>
      <sz val="11"/>
      <color theme="1"/>
      <name val="Calibri"/>
      <family val="2"/>
      <scheme val="minor"/>
    </font>
    <font>
      <b/>
      <sz val="11"/>
      <color theme="1"/>
      <name val="Calibri"/>
      <family val="2"/>
      <scheme val="minor"/>
    </font>
    <font>
      <sz val="12"/>
      <name val="Times New Roman"/>
      <family val="1"/>
      <charset val="163"/>
    </font>
    <font>
      <b/>
      <i/>
      <sz val="12"/>
      <name val="Times New Roman"/>
      <family val="1"/>
      <charset val="163"/>
    </font>
    <font>
      <sz val="12"/>
      <name val="Times New Roman"/>
      <family val="1"/>
    </font>
    <font>
      <b/>
      <sz val="12"/>
      <color theme="1"/>
      <name val="Times New Roman"/>
      <family val="1"/>
    </font>
    <font>
      <sz val="12"/>
      <color theme="1"/>
      <name val="Calibri"/>
      <family val="2"/>
      <scheme val="minor"/>
    </font>
    <font>
      <sz val="12"/>
      <color theme="1"/>
      <name val="Times New Roman"/>
      <family val="1"/>
    </font>
    <font>
      <b/>
      <sz val="12"/>
      <name val="Times New Roman"/>
      <family val="1"/>
      <charset val="163"/>
    </font>
    <font>
      <b/>
      <i/>
      <sz val="12"/>
      <name val="Times New Roman"/>
      <family val="1"/>
    </font>
    <font>
      <b/>
      <sz val="12"/>
      <name val="Times New Roman"/>
      <family val="1"/>
    </font>
    <font>
      <i/>
      <sz val="12"/>
      <name val="Times New Roman"/>
      <family val="1"/>
    </font>
    <font>
      <vertAlign val="subscript"/>
      <sz val="12"/>
      <name val="Times New Roman"/>
      <family val="1"/>
    </font>
    <font>
      <vertAlign val="subscript"/>
      <sz val="12"/>
      <name val="Times New Roman"/>
      <family val="1"/>
      <charset val="163"/>
    </font>
    <font>
      <sz val="10"/>
      <name val="Arial"/>
      <family val="2"/>
    </font>
    <font>
      <b/>
      <sz val="11"/>
      <color theme="1"/>
      <name val="Times New Roman"/>
      <family val="1"/>
    </font>
    <font>
      <b/>
      <sz val="11"/>
      <name val="Times New Roman"/>
      <family val="1"/>
    </font>
    <font>
      <sz val="11"/>
      <color theme="1"/>
      <name val="Times New Roman"/>
      <family val="1"/>
    </font>
    <font>
      <b/>
      <i/>
      <vertAlign val="superscript"/>
      <sz val="12"/>
      <name val="Times New Roman"/>
      <family val="1"/>
    </font>
    <font>
      <b/>
      <i/>
      <sz val="11"/>
      <name val="Times New Roman"/>
      <family val="1"/>
    </font>
    <font>
      <sz val="11"/>
      <name val="Times New Roman"/>
      <family val="1"/>
    </font>
    <font>
      <i/>
      <sz val="11"/>
      <name val="Times New Roman"/>
      <family val="1"/>
    </font>
    <font>
      <sz val="11"/>
      <color theme="1"/>
      <name val="Calibri"/>
      <family val="2"/>
      <scheme val="minor"/>
    </font>
    <font>
      <i/>
      <sz val="11"/>
      <color theme="1"/>
      <name val="Times New Roman"/>
      <family val="1"/>
    </font>
    <font>
      <b/>
      <i/>
      <sz val="14"/>
      <name val="Times New Roman"/>
      <family val="1"/>
    </font>
    <font>
      <i/>
      <sz val="11"/>
      <color indexed="10"/>
      <name val="Times New Roman"/>
      <family val="1"/>
    </font>
    <font>
      <sz val="11"/>
      <name val="Times New Roman"/>
      <family val="1"/>
      <charset val="163"/>
    </font>
    <font>
      <b/>
      <sz val="14"/>
      <name val="Times New Roman"/>
      <family val="1"/>
      <charset val="163"/>
    </font>
    <font>
      <b/>
      <sz val="11"/>
      <name val="Times New Roman"/>
      <family val="1"/>
      <charset val="163"/>
    </font>
    <font>
      <sz val="10"/>
      <name val="SimSun"/>
      <family val="2"/>
    </font>
    <font>
      <sz val="10"/>
      <name val="Arial"/>
      <family val="2"/>
    </font>
    <font>
      <i/>
      <sz val="12"/>
      <color indexed="10"/>
      <name val="Times New Roman"/>
      <family val="1"/>
    </font>
    <font>
      <b/>
      <sz val="11"/>
      <color indexed="36"/>
      <name val="Times New Roman"/>
      <family val="1"/>
      <charset val="163"/>
    </font>
    <font>
      <sz val="12"/>
      <color indexed="20"/>
      <name val="Times New Roman"/>
      <family val="1"/>
      <charset val="163"/>
    </font>
    <font>
      <b/>
      <sz val="8"/>
      <color indexed="81"/>
      <name val="Tahoma"/>
      <family val="2"/>
      <charset val="163"/>
    </font>
    <font>
      <sz val="8"/>
      <color indexed="81"/>
      <name val="Tahoma"/>
      <family val="2"/>
      <charset val="163"/>
    </font>
    <font>
      <sz val="13"/>
      <color rgb="FFFF0000"/>
      <name val="Times New Roman"/>
      <family val="1"/>
    </font>
    <font>
      <sz val="13"/>
      <color rgb="FF000000"/>
      <name val="Times New Roman"/>
      <family val="1"/>
    </font>
    <font>
      <vertAlign val="subscript"/>
      <sz val="13"/>
      <color indexed="8"/>
      <name val="Times New Roman"/>
      <family val="1"/>
    </font>
    <font>
      <sz val="13"/>
      <color indexed="8"/>
      <name val="Times New Roman"/>
      <family val="1"/>
    </font>
    <font>
      <b/>
      <i/>
      <vertAlign val="subscript"/>
      <sz val="12"/>
      <name val="Times New Roman"/>
      <family val="1"/>
    </font>
    <font>
      <sz val="13"/>
      <name val="Times New Roman"/>
      <family val="1"/>
    </font>
    <font>
      <vertAlign val="subscript"/>
      <sz val="13"/>
      <name val="Times New Roman"/>
      <family val="1"/>
    </font>
    <font>
      <vertAlign val="subscript"/>
      <sz val="13"/>
      <color indexed="10"/>
      <name val="Times New Roman"/>
      <family val="1"/>
    </font>
    <font>
      <b/>
      <sz val="12"/>
      <color theme="1"/>
      <name val="Calibri"/>
      <family val="2"/>
      <scheme val="minor"/>
    </font>
    <font>
      <sz val="12"/>
      <color rgb="FF000000"/>
      <name val="Times New Roman"/>
      <family val="1"/>
    </font>
    <font>
      <b/>
      <sz val="12"/>
      <color theme="1"/>
      <name val="Times New Roman"/>
      <family val="1"/>
      <charset val="163"/>
    </font>
    <font>
      <b/>
      <vertAlign val="subscript"/>
      <sz val="12"/>
      <name val="Times New Roman"/>
      <family val="1"/>
      <charset val="163"/>
    </font>
    <font>
      <b/>
      <i/>
      <sz val="12"/>
      <color theme="1"/>
      <name val="Times New Roman"/>
      <family val="1"/>
    </font>
    <font>
      <i/>
      <sz val="12"/>
      <color theme="1"/>
      <name val="Times New Roman"/>
      <family val="1"/>
    </font>
    <font>
      <b/>
      <i/>
      <sz val="11"/>
      <color theme="1"/>
      <name val="Calibri"/>
      <family val="2"/>
      <scheme val="minor"/>
    </font>
    <font>
      <i/>
      <sz val="13"/>
      <name val="Times New Roman"/>
      <family val="1"/>
    </font>
    <font>
      <b/>
      <i/>
      <sz val="11"/>
      <color theme="1"/>
      <name val="Times New Roman"/>
      <family val="1"/>
    </font>
    <font>
      <b/>
      <i/>
      <sz val="12"/>
      <color theme="1"/>
      <name val="Times New Roman"/>
      <family val="1"/>
      <charset val="163"/>
    </font>
    <font>
      <b/>
      <vertAlign val="subscript"/>
      <sz val="12"/>
      <name val="Times New Roman"/>
      <family val="1"/>
    </font>
    <font>
      <b/>
      <i/>
      <sz val="12"/>
      <color rgb="FFFF0000"/>
      <name val="Times New Roman"/>
      <family val="1"/>
    </font>
    <font>
      <sz val="13"/>
      <color theme="1"/>
      <name val="Times New Roman"/>
      <family val="1"/>
    </font>
    <font>
      <sz val="13"/>
      <color theme="1"/>
      <name val="Calibri"/>
      <family val="2"/>
      <scheme val="minor"/>
    </font>
    <font>
      <sz val="13"/>
      <name val="Times New Roman"/>
      <family val="1"/>
      <charset val="163"/>
    </font>
    <font>
      <b/>
      <i/>
      <sz val="13"/>
      <color rgb="FF000000"/>
      <name val="Times New Roman"/>
      <family val="1"/>
    </font>
    <font>
      <b/>
      <i/>
      <sz val="13"/>
      <color rgb="FFFF0000"/>
      <name val="Times New Roman"/>
      <family val="1"/>
    </font>
    <font>
      <b/>
      <i/>
      <vertAlign val="subscript"/>
      <sz val="13"/>
      <color indexed="8"/>
      <name val="Times New Roman"/>
      <family val="1"/>
    </font>
    <font>
      <b/>
      <i/>
      <sz val="13"/>
      <color indexed="8"/>
      <name val="Times New Roman"/>
      <family val="1"/>
    </font>
    <font>
      <sz val="10"/>
      <color theme="1"/>
      <name val="Times New Roman"/>
      <family val="1"/>
    </font>
    <font>
      <sz val="12"/>
      <name val="Calibri"/>
      <family val="2"/>
      <scheme val="minor"/>
    </font>
  </fonts>
  <fills count="6">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style="thin">
        <color indexed="8"/>
      </left>
      <right style="thin">
        <color indexed="8"/>
      </right>
      <top style="hair">
        <color indexed="8"/>
      </top>
      <bottom style="hair">
        <color indexed="8"/>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s>
  <cellStyleXfs count="6">
    <xf numFmtId="0" fontId="0" fillId="0" borderId="0"/>
    <xf numFmtId="0" fontId="14" fillId="0" borderId="0"/>
    <xf numFmtId="43" fontId="22" fillId="0" borderId="0" applyFont="0" applyFill="0" applyBorder="0" applyAlignment="0" applyProtection="0"/>
    <xf numFmtId="165" fontId="14" fillId="0" borderId="0" applyFont="0" applyFill="0" applyBorder="0" applyAlignment="0" applyProtection="0"/>
    <xf numFmtId="168" fontId="29" fillId="0" borderId="0" applyFill="0" applyBorder="0" applyAlignment="0" applyProtection="0"/>
    <xf numFmtId="165" fontId="30" fillId="0" borderId="0" applyFont="0" applyFill="0" applyBorder="0" applyAlignment="0" applyProtection="0"/>
  </cellStyleXfs>
  <cellXfs count="453">
    <xf numFmtId="0" fontId="0" fillId="0" borderId="0" xfId="0"/>
    <xf numFmtId="0" fontId="0" fillId="0" borderId="1" xfId="0" applyBorder="1"/>
    <xf numFmtId="0" fontId="4" fillId="0" borderId="1" xfId="0" applyFont="1" applyFill="1" applyBorder="1" applyAlignment="1">
      <alignment vertical="top" wrapText="1"/>
    </xf>
    <xf numFmtId="0" fontId="4" fillId="0" borderId="1" xfId="0" applyFont="1" applyFill="1" applyBorder="1" applyAlignment="1">
      <alignment horizontal="center" vertical="top" wrapText="1"/>
    </xf>
    <xf numFmtId="0" fontId="2" fillId="0" borderId="1" xfId="0" applyFont="1" applyFill="1" applyBorder="1" applyAlignment="1">
      <alignment horizontal="center" vertical="top"/>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justify" vertical="top" wrapText="1"/>
    </xf>
    <xf numFmtId="0" fontId="10" fillId="0" borderId="1" xfId="0" applyFont="1" applyFill="1" applyBorder="1" applyAlignment="1">
      <alignment horizontal="justify" vertical="top" wrapText="1"/>
    </xf>
    <xf numFmtId="0" fontId="7" fillId="0" borderId="1" xfId="0" applyFont="1" applyFill="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vertical="center"/>
    </xf>
    <xf numFmtId="0" fontId="2" fillId="0" borderId="1" xfId="0" applyFont="1" applyBorder="1" applyAlignment="1">
      <alignment horizontal="justify" vertical="center" wrapText="1"/>
    </xf>
    <xf numFmtId="164"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15" fillId="0" borderId="0" xfId="0" applyFont="1"/>
    <xf numFmtId="0" fontId="9" fillId="0" borderId="1" xfId="0" applyFont="1" applyFill="1" applyBorder="1" applyAlignment="1">
      <alignment horizontal="center" vertical="top"/>
    </xf>
    <xf numFmtId="164" fontId="9" fillId="0" borderId="1" xfId="0" applyNumberFormat="1" applyFont="1" applyFill="1" applyBorder="1" applyAlignment="1">
      <alignment horizontal="center" vertical="top"/>
    </xf>
    <xf numFmtId="0" fontId="2" fillId="0" borderId="1" xfId="0" applyFont="1" applyFill="1" applyBorder="1" applyAlignment="1">
      <alignment vertical="top"/>
    </xf>
    <xf numFmtId="164" fontId="2" fillId="0" borderId="1" xfId="0" applyNumberFormat="1" applyFont="1" applyFill="1" applyBorder="1" applyAlignment="1">
      <alignment horizontal="center" vertical="top"/>
    </xf>
    <xf numFmtId="0" fontId="4" fillId="0" borderId="1" xfId="0" applyFont="1" applyFill="1" applyBorder="1" applyAlignment="1">
      <alignment horizontal="justify" vertical="center" wrapText="1"/>
    </xf>
    <xf numFmtId="0" fontId="16" fillId="0" borderId="1" xfId="0" applyFont="1" applyBorder="1" applyAlignment="1">
      <alignment horizontal="center" vertical="top" wrapText="1"/>
    </xf>
    <xf numFmtId="0" fontId="16" fillId="0" borderId="1" xfId="0" applyFont="1" applyFill="1" applyBorder="1" applyAlignment="1">
      <alignment horizontal="justify" vertical="top" wrapText="1"/>
    </xf>
    <xf numFmtId="0" fontId="16" fillId="0" borderId="1" xfId="0" applyFont="1" applyFill="1" applyBorder="1" applyAlignment="1">
      <alignment horizontal="center" vertical="top" wrapText="1"/>
    </xf>
    <xf numFmtId="164" fontId="16" fillId="0" borderId="1"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center" wrapText="1"/>
    </xf>
    <xf numFmtId="0" fontId="9" fillId="0" borderId="1" xfId="0" applyFont="1" applyBorder="1" applyAlignment="1">
      <alignment horizontal="center" vertical="top" wrapText="1"/>
    </xf>
    <xf numFmtId="0" fontId="9" fillId="0" borderId="1" xfId="0" applyFont="1" applyFill="1" applyBorder="1" applyAlignment="1">
      <alignment vertical="top" wrapText="1"/>
    </xf>
    <xf numFmtId="0" fontId="4" fillId="0" borderId="1" xfId="0" applyFont="1" applyBorder="1" applyAlignment="1">
      <alignment horizontal="center" vertical="top" wrapText="1"/>
    </xf>
    <xf numFmtId="164" fontId="4" fillId="0" borderId="1" xfId="0" applyNumberFormat="1" applyFont="1" applyFill="1" applyBorder="1" applyAlignment="1">
      <alignment horizontal="center"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center" vertical="top"/>
    </xf>
    <xf numFmtId="164" fontId="3" fillId="0" borderId="1" xfId="0" applyNumberFormat="1" applyFont="1" applyFill="1" applyBorder="1" applyAlignment="1">
      <alignment horizontal="center" vertical="top"/>
    </xf>
    <xf numFmtId="0" fontId="4" fillId="0" borderId="1" xfId="0" applyFont="1" applyFill="1" applyBorder="1" applyAlignment="1">
      <alignment horizontal="center" vertical="top"/>
    </xf>
    <xf numFmtId="0" fontId="0" fillId="0" borderId="1" xfId="0" applyFill="1" applyBorder="1" applyAlignment="1">
      <alignment horizontal="center" vertical="center"/>
    </xf>
    <xf numFmtId="0" fontId="3" fillId="0" borderId="1" xfId="0" applyFont="1" applyFill="1" applyBorder="1" applyAlignment="1">
      <alignment vertical="top" wrapText="1"/>
    </xf>
    <xf numFmtId="0" fontId="17" fillId="0" borderId="0" xfId="0" applyFont="1"/>
    <xf numFmtId="0" fontId="11" fillId="0" borderId="0"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3" fontId="4" fillId="0" borderId="0" xfId="1" applyNumberFormat="1" applyFont="1" applyBorder="1" applyAlignment="1">
      <alignment vertical="center"/>
    </xf>
    <xf numFmtId="3" fontId="10" fillId="2" borderId="1" xfId="1" applyNumberFormat="1" applyFont="1" applyFill="1" applyBorder="1" applyAlignment="1">
      <alignment horizontal="center" vertical="center"/>
    </xf>
    <xf numFmtId="0" fontId="10" fillId="0" borderId="0" xfId="1" applyFont="1" applyBorder="1" applyAlignment="1">
      <alignment horizontal="center" vertical="center"/>
    </xf>
    <xf numFmtId="0" fontId="10" fillId="3" borderId="1" xfId="1" quotePrefix="1" applyFont="1" applyFill="1" applyBorder="1" applyAlignment="1">
      <alignment horizontal="center" vertical="top" wrapText="1"/>
    </xf>
    <xf numFmtId="0" fontId="10" fillId="3" borderId="1" xfId="1" applyFont="1" applyFill="1" applyBorder="1" applyAlignment="1">
      <alignment horizontal="center" vertical="center"/>
    </xf>
    <xf numFmtId="0" fontId="10" fillId="3" borderId="1" xfId="1" applyFont="1" applyFill="1" applyBorder="1" applyAlignment="1">
      <alignment vertical="center"/>
    </xf>
    <xf numFmtId="0" fontId="4" fillId="3" borderId="1" xfId="1" applyFont="1" applyFill="1" applyBorder="1" applyAlignment="1">
      <alignment horizontal="center" vertical="center"/>
    </xf>
    <xf numFmtId="3" fontId="4" fillId="3" borderId="1" xfId="1" applyNumberFormat="1" applyFont="1" applyFill="1" applyBorder="1" applyAlignment="1">
      <alignment vertical="center"/>
    </xf>
    <xf numFmtId="165" fontId="4" fillId="3" borderId="1" xfId="3" applyFont="1" applyFill="1" applyBorder="1" applyAlignment="1">
      <alignment vertical="center"/>
    </xf>
    <xf numFmtId="0" fontId="4" fillId="3" borderId="0" xfId="1" applyFont="1" applyFill="1" applyBorder="1" applyAlignment="1">
      <alignment vertical="center"/>
    </xf>
    <xf numFmtId="2" fontId="4" fillId="0" borderId="1" xfId="1" applyNumberFormat="1" applyFont="1" applyFill="1" applyBorder="1" applyAlignment="1">
      <alignment horizontal="center" vertical="center"/>
    </xf>
    <xf numFmtId="166" fontId="4" fillId="0" borderId="1" xfId="3" applyNumberFormat="1" applyFont="1" applyBorder="1" applyAlignment="1">
      <alignment vertical="center"/>
    </xf>
    <xf numFmtId="166" fontId="10" fillId="0" borderId="1" xfId="3" applyNumberFormat="1" applyFont="1" applyBorder="1" applyAlignment="1">
      <alignment vertical="center"/>
    </xf>
    <xf numFmtId="4" fontId="4" fillId="0" borderId="0" xfId="1" applyNumberFormat="1" applyFont="1" applyBorder="1" applyAlignment="1">
      <alignment vertical="center"/>
    </xf>
    <xf numFmtId="3" fontId="20" fillId="0" borderId="1" xfId="0" applyNumberFormat="1" applyFont="1" applyFill="1" applyBorder="1" applyAlignment="1">
      <alignment vertical="top" wrapText="1"/>
    </xf>
    <xf numFmtId="3" fontId="20" fillId="0" borderId="1" xfId="0" applyNumberFormat="1" applyFont="1" applyFill="1" applyBorder="1" applyAlignment="1">
      <alignment horizontal="right" vertical="top" wrapText="1"/>
    </xf>
    <xf numFmtId="0" fontId="7" fillId="0" borderId="0" xfId="0" applyFont="1"/>
    <xf numFmtId="0" fontId="10" fillId="0" borderId="0" xfId="0" applyFont="1" applyBorder="1" applyAlignment="1">
      <alignment horizontal="center" vertical="center" wrapText="1"/>
    </xf>
    <xf numFmtId="3"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3" fontId="4" fillId="0" borderId="1" xfId="0" applyNumberFormat="1" applyFont="1" applyFill="1" applyBorder="1" applyAlignment="1">
      <alignment vertical="center" wrapText="1"/>
    </xf>
    <xf numFmtId="3" fontId="2" fillId="0" borderId="1" xfId="0" applyNumberFormat="1" applyFont="1" applyFill="1" applyBorder="1" applyAlignment="1">
      <alignment horizontal="right" vertical="center" wrapText="1"/>
    </xf>
    <xf numFmtId="3" fontId="9" fillId="0" borderId="1" xfId="0" applyNumberFormat="1" applyFont="1" applyFill="1" applyBorder="1" applyAlignment="1">
      <alignment vertical="center" wrapText="1"/>
    </xf>
    <xf numFmtId="166" fontId="10" fillId="0" borderId="1" xfId="3" applyNumberFormat="1" applyFont="1" applyFill="1" applyBorder="1" applyAlignment="1">
      <alignment horizontal="center" vertical="top" wrapText="1"/>
    </xf>
    <xf numFmtId="3" fontId="4" fillId="0" borderId="1" xfId="0" applyNumberFormat="1" applyFont="1" applyFill="1" applyBorder="1" applyAlignment="1">
      <alignment horizontal="right" vertical="top" wrapText="1"/>
    </xf>
    <xf numFmtId="166" fontId="4" fillId="0" borderId="1" xfId="3" applyNumberFormat="1" applyFont="1" applyFill="1" applyBorder="1" applyAlignment="1">
      <alignment vertical="top" wrapText="1"/>
    </xf>
    <xf numFmtId="0" fontId="25" fillId="0" borderId="0" xfId="1" applyFont="1"/>
    <xf numFmtId="0" fontId="20" fillId="0" borderId="0" xfId="1" applyFont="1"/>
    <xf numFmtId="0" fontId="26" fillId="0" borderId="0" xfId="1" applyFont="1"/>
    <xf numFmtId="0" fontId="27" fillId="0" borderId="0" xfId="1" applyFont="1" applyBorder="1" applyAlignment="1">
      <alignment wrapText="1"/>
    </xf>
    <xf numFmtId="0" fontId="28" fillId="0" borderId="0" xfId="1" applyFont="1"/>
    <xf numFmtId="0" fontId="21" fillId="0" borderId="0" xfId="1" applyFont="1" applyAlignment="1">
      <alignment horizontal="center"/>
    </xf>
    <xf numFmtId="0" fontId="21" fillId="0" borderId="0" xfId="1" applyFont="1" applyAlignment="1">
      <alignment horizontal="justify" vertical="center"/>
    </xf>
    <xf numFmtId="0" fontId="21" fillId="0" borderId="0" xfId="1" applyFont="1"/>
    <xf numFmtId="0" fontId="21" fillId="0" borderId="0" xfId="1" applyFont="1" applyFill="1"/>
    <xf numFmtId="165" fontId="31" fillId="0" borderId="9" xfId="5" applyFont="1" applyFill="1" applyBorder="1" applyAlignment="1">
      <alignment horizontal="center" vertical="center" wrapText="1"/>
    </xf>
    <xf numFmtId="0" fontId="28" fillId="0" borderId="0" xfId="1" applyFont="1" applyAlignment="1">
      <alignment horizontal="center" vertical="center" wrapText="1"/>
    </xf>
    <xf numFmtId="168" fontId="28" fillId="0" borderId="1" xfId="4" applyFont="1" applyFill="1" applyBorder="1" applyAlignment="1" applyProtection="1">
      <alignment horizontal="center" vertical="center" wrapText="1"/>
    </xf>
    <xf numFmtId="0" fontId="28" fillId="0" borderId="1" xfId="1" applyFont="1" applyBorder="1" applyAlignment="1">
      <alignment horizontal="center" vertical="center" wrapText="1"/>
    </xf>
    <xf numFmtId="3" fontId="28" fillId="0" borderId="1" xfId="4" applyNumberFormat="1" applyFont="1" applyFill="1" applyBorder="1" applyAlignment="1" applyProtection="1">
      <alignment horizontal="center" vertical="center" wrapText="1"/>
    </xf>
    <xf numFmtId="3" fontId="28" fillId="0" borderId="1" xfId="4" applyNumberFormat="1" applyFont="1" applyFill="1" applyBorder="1" applyAlignment="1">
      <alignment horizontal="center" vertical="center" wrapText="1"/>
    </xf>
    <xf numFmtId="3" fontId="25" fillId="0" borderId="3" xfId="4" applyNumberFormat="1" applyFont="1" applyFill="1" applyBorder="1" applyAlignment="1">
      <alignment horizontal="center" vertical="center" wrapText="1"/>
    </xf>
    <xf numFmtId="0" fontId="10" fillId="0" borderId="1" xfId="1" applyFont="1" applyFill="1" applyBorder="1" applyAlignment="1">
      <alignment horizontal="center" vertical="top" wrapText="1"/>
    </xf>
    <xf numFmtId="3" fontId="2" fillId="0" borderId="1" xfId="1" applyNumberFormat="1" applyFont="1" applyBorder="1" applyAlignment="1">
      <alignment horizontal="center" vertical="top"/>
    </xf>
    <xf numFmtId="3" fontId="31" fillId="0" borderId="2" xfId="1" applyNumberFormat="1" applyFont="1" applyFill="1" applyBorder="1" applyAlignment="1">
      <alignment vertical="top" wrapText="1"/>
    </xf>
    <xf numFmtId="0" fontId="31" fillId="0" borderId="2" xfId="1" applyFont="1" applyFill="1" applyBorder="1" applyAlignment="1">
      <alignment vertical="top" wrapText="1"/>
    </xf>
    <xf numFmtId="0" fontId="28" fillId="0" borderId="0" xfId="1" applyFont="1" applyFill="1"/>
    <xf numFmtId="0" fontId="26" fillId="0" borderId="0" xfId="1" applyFont="1" applyAlignment="1">
      <alignment horizontal="center"/>
    </xf>
    <xf numFmtId="0" fontId="26" fillId="0" borderId="0" xfId="1" applyFont="1" applyAlignment="1">
      <alignment horizontal="justify" vertical="center"/>
    </xf>
    <xf numFmtId="0" fontId="26" fillId="0" borderId="0" xfId="1" applyFont="1" applyFill="1"/>
    <xf numFmtId="0" fontId="9" fillId="0" borderId="1" xfId="0" applyFont="1" applyFill="1" applyBorder="1" applyAlignment="1">
      <alignment vertical="top"/>
    </xf>
    <xf numFmtId="0" fontId="4" fillId="0" borderId="1" xfId="0" applyFont="1" applyBorder="1" applyAlignment="1">
      <alignment vertical="top"/>
    </xf>
    <xf numFmtId="0" fontId="4" fillId="0" borderId="1" xfId="0" applyFont="1" applyBorder="1" applyAlignment="1">
      <alignment horizontal="center" vertical="top"/>
    </xf>
    <xf numFmtId="0" fontId="36" fillId="0" borderId="1" xfId="0" applyFont="1" applyBorder="1" applyAlignment="1">
      <alignment horizontal="justify" vertical="center" wrapText="1"/>
    </xf>
    <xf numFmtId="0" fontId="37" fillId="0" borderId="1" xfId="0" applyFont="1" applyBorder="1" applyAlignment="1">
      <alignment vertical="center" wrapText="1"/>
    </xf>
    <xf numFmtId="0" fontId="4" fillId="0" borderId="1" xfId="0" applyFont="1" applyBorder="1" applyAlignment="1">
      <alignment horizontal="center" vertical="center"/>
    </xf>
    <xf numFmtId="167" fontId="4" fillId="0" borderId="1" xfId="0" applyNumberFormat="1" applyFont="1" applyBorder="1" applyAlignment="1">
      <alignment horizontal="center" vertical="center"/>
    </xf>
    <xf numFmtId="0" fontId="4" fillId="0" borderId="2" xfId="1" applyFont="1" applyFill="1" applyBorder="1"/>
    <xf numFmtId="0" fontId="4" fillId="0" borderId="2" xfId="1" applyFont="1" applyFill="1" applyBorder="1" applyAlignment="1">
      <alignment horizontal="justify" vertical="top" wrapText="1"/>
    </xf>
    <xf numFmtId="0" fontId="4" fillId="0" borderId="2" xfId="1" applyFont="1" applyFill="1" applyBorder="1" applyAlignment="1">
      <alignment vertical="top" wrapText="1"/>
    </xf>
    <xf numFmtId="0" fontId="4" fillId="0" borderId="2" xfId="0" applyFont="1" applyFill="1" applyBorder="1" applyAlignment="1">
      <alignment horizontal="left" vertical="center" wrapText="1"/>
    </xf>
    <xf numFmtId="0" fontId="37" fillId="0" borderId="1" xfId="0" applyFont="1" applyBorder="1" applyAlignment="1">
      <alignment horizontal="center" vertical="center" wrapText="1"/>
    </xf>
    <xf numFmtId="164" fontId="4" fillId="0" borderId="0"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top"/>
    </xf>
    <xf numFmtId="3" fontId="9" fillId="0" borderId="1" xfId="0" applyNumberFormat="1" applyFont="1" applyFill="1" applyBorder="1" applyAlignment="1">
      <alignment vertical="top"/>
    </xf>
    <xf numFmtId="0" fontId="41" fillId="0" borderId="1" xfId="0" applyFont="1" applyBorder="1" applyAlignment="1">
      <alignment vertical="center" wrapText="1"/>
    </xf>
    <xf numFmtId="0" fontId="41" fillId="0" borderId="1" xfId="0" applyFont="1" applyBorder="1" applyAlignment="1">
      <alignment horizontal="center" vertical="center" wrapText="1"/>
    </xf>
    <xf numFmtId="164" fontId="41" fillId="0" borderId="1" xfId="0" applyNumberFormat="1" applyFont="1" applyBorder="1" applyAlignment="1">
      <alignment horizontal="center" vertical="center" wrapText="1"/>
    </xf>
    <xf numFmtId="0" fontId="36" fillId="0" borderId="1" xfId="0" applyFont="1" applyBorder="1" applyAlignment="1">
      <alignment vertical="center" wrapText="1"/>
    </xf>
    <xf numFmtId="164" fontId="37" fillId="0" borderId="1" xfId="0" applyNumberFormat="1" applyFont="1" applyBorder="1" applyAlignment="1">
      <alignment horizontal="center" vertical="center" wrapText="1"/>
    </xf>
    <xf numFmtId="3" fontId="10" fillId="0" borderId="1" xfId="0" applyNumberFormat="1" applyFont="1" applyFill="1" applyBorder="1" applyAlignment="1">
      <alignment horizontal="right" vertical="center" wrapText="1"/>
    </xf>
    <xf numFmtId="0" fontId="9" fillId="0" borderId="11" xfId="0" applyFont="1" applyFill="1" applyBorder="1" applyAlignment="1">
      <alignment vertical="top" wrapText="1"/>
    </xf>
    <xf numFmtId="0" fontId="9" fillId="0" borderId="11" xfId="0" applyFont="1" applyFill="1" applyBorder="1" applyAlignment="1">
      <alignment horizontal="center" vertical="top" wrapText="1"/>
    </xf>
    <xf numFmtId="0" fontId="4" fillId="0" borderId="11" xfId="0" applyFont="1" applyFill="1" applyBorder="1" applyAlignment="1">
      <alignment horizontal="justify" vertical="top" wrapText="1"/>
    </xf>
    <xf numFmtId="0" fontId="4" fillId="0" borderId="11" xfId="0" applyFont="1" applyFill="1" applyBorder="1" applyAlignment="1">
      <alignment horizontal="center" vertical="top" wrapText="1"/>
    </xf>
    <xf numFmtId="164" fontId="4" fillId="0" borderId="11" xfId="0" applyNumberFormat="1" applyFont="1" applyFill="1" applyBorder="1" applyAlignment="1">
      <alignment horizontal="center" vertical="top" wrapText="1"/>
    </xf>
    <xf numFmtId="164" fontId="41" fillId="0" borderId="1" xfId="0" applyNumberFormat="1" applyFont="1" applyBorder="1" applyAlignment="1">
      <alignment horizontal="center" vertical="top" wrapText="1"/>
    </xf>
    <xf numFmtId="0" fontId="4" fillId="0" borderId="2" xfId="0" applyFont="1" applyFill="1" applyBorder="1" applyAlignment="1">
      <alignment horizontal="justify" vertical="top" wrapText="1"/>
    </xf>
    <xf numFmtId="0" fontId="10" fillId="0" borderId="1" xfId="0" applyFont="1" applyFill="1" applyBorder="1" applyAlignment="1">
      <alignment horizontal="center" vertical="top"/>
    </xf>
    <xf numFmtId="0" fontId="4" fillId="0" borderId="1" xfId="0" applyFont="1" applyBorder="1" applyAlignment="1">
      <alignment horizontal="left" vertical="top" wrapText="1"/>
    </xf>
    <xf numFmtId="0" fontId="41" fillId="0" borderId="1" xfId="0" applyFont="1" applyBorder="1" applyAlignment="1">
      <alignment horizontal="center" vertical="top" wrapText="1"/>
    </xf>
    <xf numFmtId="0" fontId="37" fillId="0" borderId="1" xfId="0" applyFont="1" applyBorder="1" applyAlignment="1">
      <alignment horizontal="justify" vertical="center" wrapText="1"/>
    </xf>
    <xf numFmtId="164" fontId="26" fillId="0" borderId="0" xfId="0" applyNumberFormat="1" applyFont="1" applyFill="1" applyAlignment="1">
      <alignment horizontal="center"/>
    </xf>
    <xf numFmtId="3" fontId="10" fillId="0" borderId="1" xfId="0" applyNumberFormat="1" applyFont="1" applyFill="1" applyBorder="1" applyAlignment="1">
      <alignment horizontal="right" vertical="top" wrapText="1"/>
    </xf>
    <xf numFmtId="166" fontId="10" fillId="0" borderId="1" xfId="3" applyNumberFormat="1" applyFont="1" applyFill="1" applyBorder="1" applyAlignment="1">
      <alignment vertical="top" wrapText="1"/>
    </xf>
    <xf numFmtId="0" fontId="4" fillId="0" borderId="1" xfId="1" applyFont="1" applyFill="1" applyBorder="1" applyAlignment="1">
      <alignment vertical="top" wrapText="1"/>
    </xf>
    <xf numFmtId="0" fontId="10" fillId="0" borderId="1" xfId="0" applyFont="1" applyBorder="1" applyAlignment="1">
      <alignment horizontal="center" vertical="center" wrapText="1"/>
    </xf>
    <xf numFmtId="164" fontId="10" fillId="0" borderId="1" xfId="0" applyNumberFormat="1" applyFont="1" applyFill="1" applyBorder="1" applyAlignment="1">
      <alignment horizontal="center" vertical="top" wrapText="1"/>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xf numFmtId="0" fontId="4" fillId="0" borderId="1" xfId="0" applyFont="1" applyFill="1" applyBorder="1" applyAlignment="1">
      <alignment vertical="top"/>
    </xf>
    <xf numFmtId="0" fontId="9" fillId="0" borderId="1" xfId="0" applyFont="1" applyFill="1" applyBorder="1" applyAlignment="1">
      <alignment horizontal="center" vertical="center" wrapText="1"/>
    </xf>
    <xf numFmtId="2" fontId="7"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7" fillId="0" borderId="1" xfId="0" applyFont="1" applyBorder="1" applyAlignment="1">
      <alignment horizontal="center"/>
    </xf>
    <xf numFmtId="0" fontId="5" fillId="0" borderId="1" xfId="0" applyFont="1" applyBorder="1" applyAlignment="1">
      <alignment vertical="center"/>
    </xf>
    <xf numFmtId="0" fontId="5" fillId="0" borderId="1" xfId="0" applyFont="1" applyBorder="1"/>
    <xf numFmtId="0" fontId="10" fillId="0" borderId="1" xfId="0" applyFont="1" applyFill="1" applyBorder="1" applyAlignment="1"/>
    <xf numFmtId="3" fontId="5" fillId="0" borderId="1" xfId="0" applyNumberFormat="1" applyFont="1" applyBorder="1"/>
    <xf numFmtId="0" fontId="45" fillId="0" borderId="1" xfId="0" applyFont="1" applyBorder="1" applyAlignment="1">
      <alignment horizontal="center" vertical="center" wrapText="1"/>
    </xf>
    <xf numFmtId="0" fontId="7" fillId="0" borderId="1" xfId="0" applyFont="1" applyBorder="1" applyAlignment="1">
      <alignment horizontal="center" vertical="center"/>
    </xf>
    <xf numFmtId="164" fontId="10" fillId="0" borderId="1" xfId="0" applyNumberFormat="1" applyFont="1" applyBorder="1" applyAlignment="1">
      <alignment horizontal="center" vertical="top"/>
    </xf>
    <xf numFmtId="167" fontId="7" fillId="0" borderId="1" xfId="2" applyNumberFormat="1" applyFont="1" applyBorder="1" applyAlignment="1">
      <alignment horizontal="center" vertical="center"/>
    </xf>
    <xf numFmtId="167" fontId="7" fillId="0" borderId="1" xfId="2" applyNumberFormat="1" applyFont="1" applyBorder="1"/>
    <xf numFmtId="0" fontId="7" fillId="0" borderId="1" xfId="0" applyFont="1" applyBorder="1" applyAlignment="1">
      <alignment horizontal="left" vertical="center"/>
    </xf>
    <xf numFmtId="2" fontId="4" fillId="0" borderId="1" xfId="0" applyNumberFormat="1" applyFont="1" applyBorder="1" applyAlignment="1">
      <alignment horizontal="center" vertical="center" wrapText="1"/>
    </xf>
    <xf numFmtId="0" fontId="4" fillId="0" borderId="1" xfId="0" applyFont="1" applyBorder="1" applyAlignment="1">
      <alignment horizontal="justify" vertical="center" wrapText="1"/>
    </xf>
    <xf numFmtId="0" fontId="41" fillId="0" borderId="1" xfId="0" applyFont="1" applyBorder="1" applyAlignment="1">
      <alignment horizontal="left" vertical="center" wrapText="1"/>
    </xf>
    <xf numFmtId="0" fontId="10" fillId="0" borderId="0" xfId="0" applyFont="1" applyBorder="1" applyAlignment="1">
      <alignment horizontal="center" vertical="center" wrapText="1"/>
    </xf>
    <xf numFmtId="0" fontId="10" fillId="0" borderId="1" xfId="0" applyFont="1" applyBorder="1" applyAlignment="1">
      <alignment horizontal="center" vertical="top" wrapText="1"/>
    </xf>
    <xf numFmtId="0" fontId="5" fillId="0" borderId="1" xfId="0" applyFont="1" applyBorder="1" applyAlignment="1">
      <alignment horizontal="center" vertical="center" wrapText="1"/>
    </xf>
    <xf numFmtId="0" fontId="10" fillId="0" borderId="1" xfId="0" applyFont="1" applyFill="1" applyBorder="1" applyAlignment="1">
      <alignment horizontal="center" vertical="top" wrapText="1"/>
    </xf>
    <xf numFmtId="0" fontId="9" fillId="0" borderId="1" xfId="0" applyFont="1" applyFill="1" applyBorder="1" applyAlignment="1">
      <alignment vertical="top"/>
    </xf>
    <xf numFmtId="0" fontId="10" fillId="0" borderId="1" xfId="0" applyFont="1" applyBorder="1" applyAlignment="1">
      <alignment vertical="top"/>
    </xf>
    <xf numFmtId="0" fontId="44" fillId="0" borderId="0" xfId="0" applyFont="1"/>
    <xf numFmtId="0" fontId="8" fillId="0" borderId="1" xfId="0" applyFont="1" applyBorder="1" applyAlignment="1">
      <alignment vertical="top"/>
    </xf>
    <xf numFmtId="0" fontId="20" fillId="0" borderId="1" xfId="0" applyFont="1" applyBorder="1" applyAlignment="1">
      <alignment horizontal="center" vertical="center"/>
    </xf>
    <xf numFmtId="2" fontId="20" fillId="0" borderId="1" xfId="0" applyNumberFormat="1" applyFont="1" applyBorder="1" applyAlignment="1">
      <alignment horizontal="center" vertical="center"/>
    </xf>
    <xf numFmtId="0" fontId="2" fillId="0" borderId="1" xfId="0" applyFont="1" applyFill="1" applyBorder="1" applyAlignment="1">
      <alignment vertical="top" wrapText="1"/>
    </xf>
    <xf numFmtId="0" fontId="46" fillId="0" borderId="1" xfId="0" applyFont="1" applyBorder="1" applyAlignment="1">
      <alignment vertical="center"/>
    </xf>
    <xf numFmtId="0" fontId="5" fillId="0" borderId="12" xfId="0" applyFont="1" applyBorder="1" applyAlignment="1">
      <alignment horizontal="center" vertical="center" wrapText="1"/>
    </xf>
    <xf numFmtId="0" fontId="5" fillId="0" borderId="0" xfId="0" applyFont="1"/>
    <xf numFmtId="0" fontId="48" fillId="0" borderId="12" xfId="0" applyFont="1" applyBorder="1" applyAlignment="1">
      <alignment horizontal="center" vertical="center" wrapText="1"/>
    </xf>
    <xf numFmtId="0" fontId="48" fillId="0" borderId="1" xfId="0" applyFont="1" applyBorder="1" applyAlignment="1">
      <alignment horizontal="left" vertical="center" wrapText="1"/>
    </xf>
    <xf numFmtId="0" fontId="48" fillId="0" borderId="1" xfId="0" applyFont="1" applyBorder="1"/>
    <xf numFmtId="0" fontId="48" fillId="0" borderId="0" xfId="0" applyFont="1"/>
    <xf numFmtId="0" fontId="48" fillId="0" borderId="1" xfId="0" applyFont="1" applyBorder="1" applyAlignment="1">
      <alignment horizontal="left" vertical="center"/>
    </xf>
    <xf numFmtId="167" fontId="48" fillId="0" borderId="1" xfId="2" applyNumberFormat="1" applyFont="1" applyBorder="1"/>
    <xf numFmtId="0" fontId="10" fillId="0" borderId="1" xfId="0" applyFont="1" applyBorder="1" applyAlignment="1">
      <alignment horizontal="center" vertical="top"/>
    </xf>
    <xf numFmtId="0" fontId="48" fillId="0" borderId="1" xfId="0" applyFont="1" applyBorder="1" applyAlignment="1">
      <alignment vertical="center"/>
    </xf>
    <xf numFmtId="0" fontId="9" fillId="0" borderId="1" xfId="0" applyFont="1" applyBorder="1" applyAlignment="1">
      <alignment horizontal="center" vertical="top"/>
    </xf>
    <xf numFmtId="0" fontId="49" fillId="0" borderId="0" xfId="0" applyFont="1"/>
    <xf numFmtId="0" fontId="9" fillId="0" borderId="1" xfId="0" applyFont="1" applyBorder="1" applyAlignment="1">
      <alignment vertical="top"/>
    </xf>
    <xf numFmtId="0" fontId="11" fillId="0" borderId="1" xfId="0" applyFont="1" applyBorder="1" applyAlignment="1">
      <alignment horizontal="center" vertical="center"/>
    </xf>
    <xf numFmtId="167" fontId="49" fillId="0" borderId="1" xfId="2" applyNumberFormat="1" applyFont="1" applyBorder="1" applyAlignment="1">
      <alignment horizontal="center" vertical="center"/>
    </xf>
    <xf numFmtId="167" fontId="11" fillId="0" borderId="1" xfId="0" applyNumberFormat="1" applyFont="1" applyBorder="1" applyAlignment="1">
      <alignment horizontal="center" vertical="center"/>
    </xf>
    <xf numFmtId="3" fontId="16" fillId="0" borderId="1" xfId="0" applyNumberFormat="1" applyFont="1" applyFill="1" applyBorder="1" applyAlignment="1">
      <alignment vertical="top" wrapText="1"/>
    </xf>
    <xf numFmtId="3" fontId="19" fillId="0" borderId="1" xfId="0" applyNumberFormat="1" applyFont="1" applyFill="1" applyBorder="1" applyAlignment="1">
      <alignment vertical="top" wrapText="1"/>
    </xf>
    <xf numFmtId="0" fontId="51" fillId="0" borderId="1" xfId="0" applyFont="1" applyBorder="1" applyAlignment="1">
      <alignment horizontal="center" vertical="center" wrapText="1"/>
    </xf>
    <xf numFmtId="3" fontId="21" fillId="0" borderId="1" xfId="0" applyNumberFormat="1" applyFont="1" applyFill="1" applyBorder="1" applyAlignment="1">
      <alignment vertical="top" wrapText="1"/>
    </xf>
    <xf numFmtId="0" fontId="19" fillId="0" borderId="1" xfId="0" applyFont="1" applyFill="1" applyBorder="1" applyAlignment="1">
      <alignment horizontal="center" vertical="top" wrapText="1"/>
    </xf>
    <xf numFmtId="0" fontId="19" fillId="0" borderId="1" xfId="0" applyFont="1" applyBorder="1" applyAlignment="1">
      <alignment horizontal="center" vertical="top" wrapText="1"/>
    </xf>
    <xf numFmtId="0" fontId="52" fillId="0" borderId="0" xfId="0" applyFont="1"/>
    <xf numFmtId="0" fontId="17" fillId="0" borderId="1" xfId="0" applyFont="1" applyBorder="1"/>
    <xf numFmtId="3" fontId="16" fillId="0" borderId="1" xfId="0" applyNumberFormat="1" applyFont="1" applyFill="1" applyBorder="1" applyAlignment="1">
      <alignment horizontal="center" vertical="top" wrapText="1"/>
    </xf>
    <xf numFmtId="0" fontId="48" fillId="0" borderId="1" xfId="0" applyFont="1" applyBorder="1" applyAlignment="1">
      <alignment horizontal="center" vertical="center" wrapText="1"/>
    </xf>
    <xf numFmtId="0" fontId="16" fillId="0" borderId="1" xfId="0" applyFont="1" applyFill="1" applyBorder="1" applyAlignment="1">
      <alignment vertical="top" wrapText="1"/>
    </xf>
    <xf numFmtId="3" fontId="19" fillId="0" borderId="1" xfId="0" applyNumberFormat="1" applyFont="1" applyFill="1" applyBorder="1" applyAlignment="1">
      <alignment horizontal="right" vertical="top"/>
    </xf>
    <xf numFmtId="0" fontId="10" fillId="0" borderId="1" xfId="0" applyFont="1" applyFill="1" applyBorder="1" applyAlignment="1">
      <alignment vertical="top"/>
    </xf>
    <xf numFmtId="164" fontId="10" fillId="0" borderId="1" xfId="0" applyNumberFormat="1" applyFont="1" applyFill="1" applyBorder="1" applyAlignment="1">
      <alignment horizontal="center" vertical="top"/>
    </xf>
    <xf numFmtId="3" fontId="16" fillId="0" borderId="1" xfId="0" applyNumberFormat="1" applyFont="1" applyFill="1" applyBorder="1" applyAlignment="1">
      <alignment horizontal="right" vertical="top"/>
    </xf>
    <xf numFmtId="164" fontId="9" fillId="0" borderId="1" xfId="0" applyNumberFormat="1" applyFont="1" applyFill="1" applyBorder="1" applyAlignment="1">
      <alignment horizontal="center" vertical="top" wrapText="1"/>
    </xf>
    <xf numFmtId="3" fontId="16" fillId="0" borderId="1" xfId="0" applyNumberFormat="1" applyFont="1" applyFill="1" applyBorder="1" applyAlignment="1">
      <alignment horizontal="right" vertical="top" wrapText="1"/>
    </xf>
    <xf numFmtId="0" fontId="15" fillId="0" borderId="1" xfId="0" applyFont="1" applyBorder="1"/>
    <xf numFmtId="0" fontId="52" fillId="0" borderId="1" xfId="0" applyFont="1" applyBorder="1"/>
    <xf numFmtId="0" fontId="4" fillId="5" borderId="1" xfId="0" applyFont="1" applyFill="1" applyBorder="1" applyAlignment="1">
      <alignment horizontal="justify" vertical="center" wrapText="1"/>
    </xf>
    <xf numFmtId="0" fontId="36" fillId="0" borderId="2" xfId="0" applyFont="1" applyBorder="1" applyAlignment="1">
      <alignment horizontal="justify" vertical="top" wrapText="1"/>
    </xf>
    <xf numFmtId="3" fontId="19" fillId="0" borderId="1" xfId="0" applyNumberFormat="1" applyFont="1" applyFill="1" applyBorder="1" applyAlignment="1">
      <alignment horizontal="right" vertical="top" wrapText="1"/>
    </xf>
    <xf numFmtId="0" fontId="4" fillId="0" borderId="4" xfId="0" applyFont="1" applyBorder="1" applyAlignment="1">
      <alignment horizontal="center" vertical="center"/>
    </xf>
    <xf numFmtId="0" fontId="2" fillId="0" borderId="4" xfId="0" applyFont="1" applyFill="1" applyBorder="1" applyAlignment="1">
      <alignment horizontal="center" vertical="top"/>
    </xf>
    <xf numFmtId="0" fontId="2" fillId="0" borderId="5" xfId="0" applyFont="1" applyFill="1" applyBorder="1" applyAlignment="1">
      <alignment horizontal="center" vertical="top"/>
    </xf>
    <xf numFmtId="0" fontId="3" fillId="0" borderId="1" xfId="0" applyFont="1" applyFill="1" applyBorder="1" applyAlignment="1">
      <alignment horizontal="center" vertical="center" wrapText="1"/>
    </xf>
    <xf numFmtId="0" fontId="53" fillId="0" borderId="12" xfId="0" applyFont="1" applyBorder="1" applyAlignment="1">
      <alignment horizontal="center" vertical="center" wrapText="1"/>
    </xf>
    <xf numFmtId="0" fontId="50" fillId="0" borderId="1" xfId="0" applyFont="1" applyBorder="1" applyAlignment="1">
      <alignment horizontal="center" vertical="center"/>
    </xf>
    <xf numFmtId="0" fontId="52" fillId="0" borderId="1" xfId="0" applyFont="1" applyBorder="1" applyAlignment="1">
      <alignment horizontal="center" vertical="center"/>
    </xf>
    <xf numFmtId="0" fontId="50" fillId="0" borderId="0" xfId="0" applyFont="1" applyAlignment="1">
      <alignment horizontal="center" vertical="center"/>
    </xf>
    <xf numFmtId="167" fontId="9" fillId="0" borderId="1" xfId="0" applyNumberFormat="1" applyFont="1" applyBorder="1" applyAlignment="1">
      <alignment horizontal="center" vertical="center"/>
    </xf>
    <xf numFmtId="0" fontId="19" fillId="0" borderId="0" xfId="0" applyFont="1"/>
    <xf numFmtId="3" fontId="4" fillId="0" borderId="0" xfId="0" applyNumberFormat="1" applyFont="1" applyBorder="1" applyAlignment="1">
      <alignment vertical="top"/>
    </xf>
    <xf numFmtId="0" fontId="20" fillId="0" borderId="0" xfId="0" applyFont="1"/>
    <xf numFmtId="0" fontId="17" fillId="0" borderId="0" xfId="0" applyFont="1" applyFill="1" applyAlignment="1">
      <alignment vertical="center"/>
    </xf>
    <xf numFmtId="0" fontId="4" fillId="0" borderId="1" xfId="1" applyFont="1" applyFill="1" applyBorder="1" applyAlignment="1"/>
    <xf numFmtId="3" fontId="48" fillId="0" borderId="1" xfId="0" applyNumberFormat="1" applyFont="1" applyBorder="1"/>
    <xf numFmtId="3" fontId="9" fillId="0" borderId="1" xfId="0" applyNumberFormat="1" applyFont="1" applyFill="1" applyBorder="1" applyAlignment="1">
      <alignment horizontal="right" vertical="top" wrapText="1"/>
    </xf>
    <xf numFmtId="0" fontId="48" fillId="0" borderId="1" xfId="0" applyFont="1" applyBorder="1" applyAlignment="1">
      <alignment horizontal="center" vertical="center"/>
    </xf>
    <xf numFmtId="0" fontId="52" fillId="0" borderId="0" xfId="0" applyFont="1" applyAlignment="1">
      <alignment horizontal="center" vertical="center"/>
    </xf>
    <xf numFmtId="0" fontId="17" fillId="0" borderId="0" xfId="0" applyFont="1" applyAlignment="1">
      <alignment horizontal="center" vertical="center"/>
    </xf>
    <xf numFmtId="0" fontId="9" fillId="0" borderId="1" xfId="0" applyFont="1" applyFill="1" applyBorder="1" applyAlignment="1"/>
    <xf numFmtId="3" fontId="4" fillId="0" borderId="1" xfId="0" applyNumberFormat="1" applyFont="1" applyBorder="1" applyAlignment="1">
      <alignment horizontal="right" vertical="top" wrapText="1"/>
    </xf>
    <xf numFmtId="0" fontId="20" fillId="0" borderId="1" xfId="0" applyFont="1" applyBorder="1" applyAlignment="1">
      <alignment horizontal="center" vertical="top" wrapText="1"/>
    </xf>
    <xf numFmtId="0" fontId="10" fillId="0" borderId="0" xfId="0" applyFont="1" applyBorder="1" applyAlignment="1">
      <alignment horizontal="center" vertical="center" wrapText="1"/>
    </xf>
    <xf numFmtId="0" fontId="10" fillId="0" borderId="1" xfId="0" applyFont="1" applyFill="1" applyBorder="1" applyAlignment="1">
      <alignment horizontal="center" vertical="top" wrapText="1"/>
    </xf>
    <xf numFmtId="0" fontId="9" fillId="0" borderId="5" xfId="0" applyFont="1" applyBorder="1" applyAlignment="1">
      <alignment horizontal="left" vertical="center" wrapText="1"/>
    </xf>
    <xf numFmtId="0" fontId="9" fillId="0" borderId="1" xfId="0" applyFont="1" applyFill="1" applyBorder="1" applyAlignment="1">
      <alignment horizontal="center" vertical="top"/>
    </xf>
    <xf numFmtId="0" fontId="10" fillId="0" borderId="6" xfId="0" applyFont="1" applyBorder="1" applyAlignment="1">
      <alignment vertical="top" wrapText="1"/>
    </xf>
    <xf numFmtId="165" fontId="4" fillId="0" borderId="0" xfId="3" applyFont="1" applyFill="1"/>
    <xf numFmtId="165" fontId="10" fillId="0" borderId="1" xfId="3" applyFont="1" applyFill="1" applyBorder="1" applyAlignment="1">
      <alignment horizontal="center" vertical="center" wrapText="1"/>
    </xf>
    <xf numFmtId="0" fontId="10" fillId="0" borderId="1" xfId="1" applyFont="1" applyFill="1" applyBorder="1" applyAlignment="1">
      <alignment vertical="center" wrapText="1"/>
    </xf>
    <xf numFmtId="165" fontId="10" fillId="0" borderId="1" xfId="3" applyFont="1" applyFill="1" applyBorder="1" applyAlignment="1">
      <alignment horizontal="left" vertical="center" wrapText="1"/>
    </xf>
    <xf numFmtId="165" fontId="10" fillId="0" borderId="0" xfId="3" applyFont="1" applyFill="1" applyBorder="1" applyAlignment="1">
      <alignment horizontal="center" vertical="center" wrapText="1"/>
    </xf>
    <xf numFmtId="165" fontId="20" fillId="0" borderId="1" xfId="3" applyFont="1" applyFill="1" applyBorder="1" applyAlignment="1">
      <alignment horizontal="center" vertical="center" wrapText="1"/>
    </xf>
    <xf numFmtId="0" fontId="20" fillId="0" borderId="1" xfId="1" applyFont="1" applyFill="1" applyBorder="1" applyAlignment="1">
      <alignment vertical="center" wrapText="1"/>
    </xf>
    <xf numFmtId="165" fontId="4" fillId="0" borderId="1" xfId="3" applyFont="1" applyFill="1" applyBorder="1" applyAlignment="1">
      <alignment horizontal="left" vertical="center" wrapText="1"/>
    </xf>
    <xf numFmtId="165" fontId="4" fillId="0" borderId="0" xfId="3" applyFont="1" applyFill="1" applyBorder="1" applyAlignment="1">
      <alignment horizontal="center" vertical="center" wrapText="1"/>
    </xf>
    <xf numFmtId="0" fontId="4" fillId="0" borderId="1" xfId="1" applyFont="1" applyFill="1" applyBorder="1" applyAlignment="1">
      <alignment horizontal="center" vertical="top" wrapText="1"/>
    </xf>
    <xf numFmtId="165" fontId="4" fillId="0" borderId="1" xfId="3" applyFont="1" applyFill="1" applyBorder="1" applyAlignment="1">
      <alignment horizontal="left" vertical="center"/>
    </xf>
    <xf numFmtId="165" fontId="4" fillId="0" borderId="1" xfId="3" applyFont="1" applyFill="1" applyBorder="1" applyAlignment="1">
      <alignment vertical="center" wrapText="1"/>
    </xf>
    <xf numFmtId="165" fontId="4" fillId="0" borderId="0" xfId="3" applyFont="1" applyFill="1" applyBorder="1" applyAlignment="1">
      <alignment horizontal="center"/>
    </xf>
    <xf numFmtId="165" fontId="10" fillId="0" borderId="0" xfId="3" applyFont="1" applyFill="1" applyAlignment="1">
      <alignment vertical="center" wrapText="1"/>
    </xf>
    <xf numFmtId="165" fontId="4" fillId="0" borderId="0" xfId="3" applyFont="1" applyFill="1" applyAlignment="1">
      <alignment horizontal="left" vertical="center"/>
    </xf>
    <xf numFmtId="0" fontId="56" fillId="0" borderId="1" xfId="0" applyFont="1" applyBorder="1" applyAlignment="1">
      <alignment vertical="center" wrapText="1"/>
    </xf>
    <xf numFmtId="0" fontId="57" fillId="0" borderId="1" xfId="0" applyFont="1" applyBorder="1" applyAlignment="1">
      <alignment vertical="center"/>
    </xf>
    <xf numFmtId="0" fontId="58" fillId="0" borderId="1" xfId="0" applyFont="1" applyBorder="1" applyAlignment="1">
      <alignment horizontal="justify" vertical="center" wrapText="1"/>
    </xf>
    <xf numFmtId="0" fontId="55" fillId="0" borderId="5" xfId="0" applyFont="1" applyBorder="1" applyAlignment="1">
      <alignment horizontal="left" vertical="center" wrapText="1"/>
    </xf>
    <xf numFmtId="0" fontId="4" fillId="0" borderId="1" xfId="0" applyFont="1" applyBorder="1" applyAlignment="1">
      <alignment vertical="center"/>
    </xf>
    <xf numFmtId="3" fontId="4" fillId="0" borderId="1" xfId="1" applyNumberFormat="1" applyFont="1" applyFill="1" applyBorder="1" applyAlignment="1">
      <alignment vertical="center" wrapText="1"/>
    </xf>
    <xf numFmtId="3" fontId="8" fillId="0" borderId="1" xfId="1" applyNumberFormat="1" applyFont="1" applyFill="1" applyBorder="1" applyAlignment="1">
      <alignment vertical="center" wrapText="1"/>
    </xf>
    <xf numFmtId="3" fontId="2" fillId="0" borderId="1" xfId="1" applyNumberFormat="1" applyFont="1" applyBorder="1" applyAlignment="1">
      <alignment vertical="center"/>
    </xf>
    <xf numFmtId="3" fontId="2" fillId="0" borderId="1" xfId="1" applyNumberFormat="1" applyFont="1" applyFill="1" applyBorder="1" applyAlignment="1">
      <alignment vertical="center"/>
    </xf>
    <xf numFmtId="3" fontId="33" fillId="0" borderId="1" xfId="1" applyNumberFormat="1" applyFont="1" applyFill="1" applyBorder="1" applyAlignment="1">
      <alignment vertical="center" wrapText="1"/>
    </xf>
    <xf numFmtId="3" fontId="28" fillId="0" borderId="1" xfId="1" applyNumberFormat="1" applyFont="1" applyBorder="1" applyAlignment="1">
      <alignment horizontal="center" vertical="center" wrapText="1"/>
    </xf>
    <xf numFmtId="168" fontId="28" fillId="0" borderId="1" xfId="4"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5" fillId="0" borderId="1" xfId="0" applyFont="1" applyBorder="1" applyAlignment="1">
      <alignment horizontal="center" vertical="center" wrapText="1"/>
    </xf>
    <xf numFmtId="0" fontId="48" fillId="0" borderId="1" xfId="0" applyFont="1" applyBorder="1" applyAlignment="1">
      <alignment horizontal="left" vertical="center" wrapText="1"/>
    </xf>
    <xf numFmtId="0" fontId="9" fillId="0" borderId="1" xfId="0" applyFont="1" applyFill="1" applyBorder="1" applyAlignment="1">
      <alignment horizontal="center" vertical="top"/>
    </xf>
    <xf numFmtId="0" fontId="9" fillId="0" borderId="1" xfId="0" applyFont="1" applyFill="1" applyBorder="1" applyAlignment="1">
      <alignment vertical="top"/>
    </xf>
    <xf numFmtId="0" fontId="59" fillId="0" borderId="1" xfId="0" applyFont="1" applyBorder="1" applyAlignment="1">
      <alignment vertical="center" wrapText="1"/>
    </xf>
    <xf numFmtId="0" fontId="9" fillId="0" borderId="5" xfId="0" applyFont="1" applyFill="1" applyBorder="1" applyAlignment="1">
      <alignment horizontal="center" vertical="top"/>
    </xf>
    <xf numFmtId="0" fontId="9" fillId="0" borderId="1" xfId="0" applyFont="1" applyBorder="1" applyAlignment="1">
      <alignment horizontal="justify" vertical="center" wrapText="1"/>
    </xf>
    <xf numFmtId="0" fontId="60" fillId="0" borderId="1" xfId="0" applyFont="1" applyBorder="1" applyAlignment="1">
      <alignment horizontal="justify" vertical="center" wrapText="1"/>
    </xf>
    <xf numFmtId="0" fontId="48" fillId="0" borderId="1" xfId="0" applyFont="1" applyBorder="1" applyAlignment="1">
      <alignment vertical="center" wrapText="1"/>
    </xf>
    <xf numFmtId="3" fontId="9" fillId="0" borderId="6" xfId="0" applyNumberFormat="1" applyFont="1" applyFill="1" applyBorder="1" applyAlignment="1">
      <alignment horizontal="right" vertical="center" wrapText="1"/>
    </xf>
    <xf numFmtId="0" fontId="3" fillId="0" borderId="12" xfId="0" applyFont="1" applyFill="1" applyBorder="1" applyAlignment="1">
      <alignment horizontal="center" vertical="center" wrapText="1"/>
    </xf>
    <xf numFmtId="3" fontId="9" fillId="0" borderId="1" xfId="0" applyNumberFormat="1" applyFont="1" applyFill="1" applyBorder="1" applyAlignment="1">
      <alignment horizontal="right" vertical="center" wrapText="1"/>
    </xf>
    <xf numFmtId="0" fontId="8" fillId="0"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2"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9"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8" fillId="0" borderId="1" xfId="0" applyFont="1" applyBorder="1" applyAlignment="1">
      <alignment horizontal="center" vertical="center"/>
    </xf>
    <xf numFmtId="0" fontId="46" fillId="0" borderId="1" xfId="0" applyFont="1" applyBorder="1" applyAlignment="1">
      <alignment horizontal="center" vertical="center" wrapText="1"/>
    </xf>
    <xf numFmtId="0" fontId="46" fillId="0" borderId="1" xfId="0" applyFont="1" applyBorder="1" applyAlignment="1">
      <alignment horizontal="center" vertical="center"/>
    </xf>
    <xf numFmtId="0" fontId="1" fillId="0" borderId="1" xfId="0" applyFont="1" applyBorder="1" applyAlignment="1">
      <alignment horizontal="center" vertical="center"/>
    </xf>
    <xf numFmtId="0" fontId="9" fillId="0" borderId="1" xfId="0" applyFont="1" applyFill="1" applyBorder="1" applyAlignment="1">
      <alignment horizontal="center" vertical="top" wrapText="1"/>
    </xf>
    <xf numFmtId="3" fontId="4" fillId="0" borderId="1" xfId="3" applyNumberFormat="1" applyFont="1" applyFill="1" applyBorder="1" applyAlignment="1">
      <alignment horizontal="right" vertical="top"/>
    </xf>
    <xf numFmtId="3" fontId="4" fillId="0" borderId="1" xfId="0" applyNumberFormat="1" applyFont="1" applyFill="1" applyBorder="1" applyAlignment="1">
      <alignment vertical="top" wrapText="1"/>
    </xf>
    <xf numFmtId="0" fontId="10" fillId="0" borderId="1" xfId="0" applyFont="1" applyBorder="1" applyAlignment="1">
      <alignment vertical="top"/>
    </xf>
    <xf numFmtId="170" fontId="4" fillId="0" borderId="1" xfId="0" applyNumberFormat="1" applyFont="1" applyFill="1" applyBorder="1" applyAlignment="1">
      <alignment horizontal="center" vertical="top" wrapText="1"/>
    </xf>
    <xf numFmtId="165" fontId="4" fillId="0" borderId="0" xfId="3" applyFont="1" applyFill="1" applyAlignment="1">
      <alignment vertical="center"/>
    </xf>
    <xf numFmtId="0" fontId="26" fillId="0" borderId="0" xfId="0" applyFont="1"/>
    <xf numFmtId="0" fontId="4" fillId="0" borderId="0" xfId="0" applyFont="1"/>
    <xf numFmtId="0" fontId="4" fillId="0" borderId="0" xfId="0" applyFont="1" applyAlignment="1"/>
    <xf numFmtId="0" fontId="4" fillId="0" borderId="12"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1" fillId="0" borderId="1" xfId="0" applyFont="1" applyBorder="1" applyAlignment="1">
      <alignment horizontal="justify" vertical="center" wrapText="1"/>
    </xf>
    <xf numFmtId="0" fontId="4" fillId="0" borderId="1" xfId="0" applyFont="1" applyBorder="1" applyAlignment="1">
      <alignment horizontal="left"/>
    </xf>
    <xf numFmtId="0" fontId="4" fillId="0" borderId="1" xfId="0" applyFont="1" applyBorder="1"/>
    <xf numFmtId="167" fontId="4" fillId="0" borderId="1" xfId="2" applyNumberFormat="1" applyFont="1" applyBorder="1"/>
    <xf numFmtId="0" fontId="4" fillId="0" borderId="0" xfId="0" applyFont="1" applyAlignment="1">
      <alignment horizontal="center"/>
    </xf>
    <xf numFmtId="0" fontId="4" fillId="0" borderId="0" xfId="0" applyFont="1" applyAlignment="1">
      <alignment horizontal="left"/>
    </xf>
    <xf numFmtId="2" fontId="4" fillId="4" borderId="1" xfId="0" applyNumberFormat="1" applyFont="1" applyFill="1" applyBorder="1" applyAlignment="1">
      <alignment horizontal="center"/>
    </xf>
    <xf numFmtId="0" fontId="64" fillId="0" borderId="1" xfId="0" applyFont="1" applyBorder="1" applyAlignment="1">
      <alignment vertical="center"/>
    </xf>
    <xf numFmtId="0" fontId="4" fillId="3" borderId="1" xfId="0" applyFont="1" applyFill="1" applyBorder="1" applyAlignment="1">
      <alignment horizontal="center" vertical="center" wrapText="1"/>
    </xf>
    <xf numFmtId="3" fontId="2" fillId="0" borderId="0" xfId="0" applyNumberFormat="1" applyFont="1" applyBorder="1" applyAlignment="1">
      <alignment vertical="top" wrapText="1"/>
    </xf>
    <xf numFmtId="0" fontId="4" fillId="0" borderId="12" xfId="0" applyFont="1" applyBorder="1" applyAlignment="1">
      <alignment horizontal="center" vertical="center" wrapText="1"/>
    </xf>
    <xf numFmtId="0" fontId="9" fillId="0" borderId="5" xfId="0" applyFont="1" applyFill="1" applyBorder="1" applyAlignment="1">
      <alignment horizontal="center" vertical="top"/>
    </xf>
    <xf numFmtId="0" fontId="9" fillId="0" borderId="1" xfId="0" applyFont="1" applyBorder="1" applyAlignment="1">
      <alignment vertical="top"/>
    </xf>
    <xf numFmtId="0" fontId="9" fillId="0" borderId="1" xfId="0" applyFont="1" applyBorder="1" applyAlignment="1">
      <alignment horizontal="left" vertical="center" wrapText="1"/>
    </xf>
    <xf numFmtId="0" fontId="10" fillId="0" borderId="1" xfId="0" applyFont="1" applyBorder="1" applyAlignment="1">
      <alignment vertical="top"/>
    </xf>
    <xf numFmtId="0" fontId="63" fillId="0" borderId="0" xfId="0" applyFont="1" applyBorder="1" applyAlignment="1">
      <alignment vertical="center" wrapText="1"/>
    </xf>
    <xf numFmtId="0" fontId="63" fillId="0" borderId="0" xfId="0" applyFont="1" applyAlignment="1">
      <alignment vertical="center"/>
    </xf>
    <xf numFmtId="165" fontId="4" fillId="0" borderId="0" xfId="3" applyFont="1" applyFill="1" applyBorder="1" applyAlignment="1">
      <alignment vertical="center"/>
    </xf>
    <xf numFmtId="0" fontId="10" fillId="0" borderId="1" xfId="0" applyFont="1" applyBorder="1" applyAlignment="1">
      <alignment horizontal="left" vertical="center" wrapText="1"/>
    </xf>
    <xf numFmtId="0" fontId="9" fillId="0" borderId="1" xfId="0" applyFont="1" applyBorder="1" applyAlignment="1">
      <alignment horizontal="left" vertical="center" wrapText="1"/>
    </xf>
    <xf numFmtId="3" fontId="9" fillId="0" borderId="1" xfId="0" applyNumberFormat="1" applyFont="1" applyFill="1" applyBorder="1" applyAlignment="1">
      <alignment vertical="top" wrapText="1"/>
    </xf>
    <xf numFmtId="0" fontId="9" fillId="0" borderId="4" xfId="0" applyFont="1" applyBorder="1" applyAlignment="1">
      <alignment vertical="top"/>
    </xf>
    <xf numFmtId="0" fontId="9" fillId="0" borderId="5" xfId="0" applyFont="1" applyBorder="1" applyAlignment="1">
      <alignment vertical="top"/>
    </xf>
    <xf numFmtId="0" fontId="9" fillId="0" borderId="6" xfId="0" applyFont="1" applyBorder="1" applyAlignment="1">
      <alignment vertical="top"/>
    </xf>
    <xf numFmtId="0" fontId="10" fillId="0" borderId="5" xfId="0" applyFont="1" applyBorder="1" applyAlignment="1">
      <alignment vertical="top"/>
    </xf>
    <xf numFmtId="0" fontId="10" fillId="0" borderId="6" xfId="0" applyFont="1" applyBorder="1" applyAlignment="1">
      <alignment vertical="top"/>
    </xf>
    <xf numFmtId="3" fontId="9" fillId="0" borderId="6" xfId="0" applyNumberFormat="1" applyFont="1" applyFill="1" applyBorder="1" applyAlignment="1">
      <alignment vertical="top" wrapText="1"/>
    </xf>
    <xf numFmtId="0" fontId="9" fillId="0" borderId="4" xfId="0" applyFont="1" applyFill="1" applyBorder="1" applyAlignment="1">
      <alignment vertical="top"/>
    </xf>
    <xf numFmtId="0" fontId="9" fillId="0" borderId="5" xfId="0" applyFont="1" applyFill="1" applyBorder="1" applyAlignment="1">
      <alignment vertical="top"/>
    </xf>
    <xf numFmtId="0" fontId="9" fillId="0" borderId="6" xfId="0" applyFont="1" applyFill="1" applyBorder="1" applyAlignment="1">
      <alignment vertical="top"/>
    </xf>
    <xf numFmtId="0" fontId="9" fillId="0" borderId="5" xfId="0" applyFont="1" applyFill="1" applyBorder="1" applyAlignment="1">
      <alignment vertical="top" wrapText="1"/>
    </xf>
    <xf numFmtId="0" fontId="9" fillId="0" borderId="6" xfId="0" applyFont="1" applyFill="1" applyBorder="1" applyAlignment="1">
      <alignment vertical="top" wrapText="1"/>
    </xf>
    <xf numFmtId="0" fontId="63" fillId="0" borderId="0" xfId="0" applyFont="1" applyAlignment="1">
      <alignment horizontal="left" vertical="center"/>
    </xf>
    <xf numFmtId="3" fontId="2" fillId="0" borderId="14" xfId="1" applyNumberFormat="1" applyFont="1" applyBorder="1" applyAlignment="1">
      <alignment horizontal="center" vertical="top"/>
    </xf>
    <xf numFmtId="0" fontId="6" fillId="0" borderId="14" xfId="0" applyFont="1" applyBorder="1" applyAlignment="1">
      <alignment horizontal="left" vertical="center"/>
    </xf>
    <xf numFmtId="0" fontId="64" fillId="0" borderId="14" xfId="0" applyFont="1" applyBorder="1" applyAlignment="1">
      <alignment vertical="center"/>
    </xf>
    <xf numFmtId="3" fontId="4" fillId="0" borderId="14" xfId="3" applyNumberFormat="1" applyFont="1" applyFill="1" applyBorder="1" applyAlignment="1">
      <alignment horizontal="right" vertical="top"/>
    </xf>
    <xf numFmtId="3" fontId="2" fillId="0" borderId="14" xfId="1" applyNumberFormat="1" applyFont="1" applyFill="1" applyBorder="1" applyAlignment="1">
      <alignment vertical="center"/>
    </xf>
    <xf numFmtId="3" fontId="33" fillId="0" borderId="14" xfId="1" applyNumberFormat="1" applyFont="1" applyFill="1" applyBorder="1" applyAlignment="1">
      <alignment vertical="center" wrapText="1"/>
    </xf>
    <xf numFmtId="166" fontId="10" fillId="0" borderId="1" xfId="3" applyNumberFormat="1" applyFont="1" applyFill="1" applyBorder="1"/>
    <xf numFmtId="168" fontId="32" fillId="0" borderId="16" xfId="4" applyFont="1" applyFill="1" applyBorder="1" applyAlignment="1">
      <alignment horizontal="center" vertical="top" wrapText="1"/>
    </xf>
    <xf numFmtId="3" fontId="28" fillId="0" borderId="10" xfId="4" applyNumberFormat="1" applyFont="1" applyFill="1" applyBorder="1" applyAlignment="1">
      <alignment horizontal="center" vertical="center" wrapText="1"/>
    </xf>
    <xf numFmtId="3" fontId="4" fillId="0" borderId="17" xfId="1" applyNumberFormat="1" applyFont="1" applyFill="1" applyBorder="1" applyAlignment="1">
      <alignment vertical="top" wrapText="1"/>
    </xf>
    <xf numFmtId="166" fontId="10" fillId="0" borderId="4" xfId="3" applyNumberFormat="1" applyFont="1" applyFill="1" applyBorder="1"/>
    <xf numFmtId="166" fontId="4" fillId="0" borderId="1" xfId="4" applyNumberFormat="1" applyFont="1" applyBorder="1" applyAlignment="1">
      <alignment horizontal="center" vertical="center"/>
    </xf>
    <xf numFmtId="0" fontId="63" fillId="0" borderId="0" xfId="0" applyFont="1" applyBorder="1" applyAlignment="1">
      <alignment horizontal="center" vertical="center" wrapText="1"/>
    </xf>
    <xf numFmtId="0" fontId="63" fillId="0" borderId="0" xfId="0" applyFont="1" applyAlignment="1">
      <alignment horizontal="center" vertical="center"/>
    </xf>
    <xf numFmtId="165" fontId="4" fillId="0" borderId="0" xfId="3" applyFont="1" applyFill="1" applyBorder="1" applyAlignment="1">
      <alignment horizontal="center" vertical="center"/>
    </xf>
    <xf numFmtId="0" fontId="21" fillId="0" borderId="0" xfId="1" applyFont="1" applyAlignment="1">
      <alignment horizontal="center" vertical="center"/>
    </xf>
    <xf numFmtId="169" fontId="4" fillId="0" borderId="1" xfId="4" applyNumberFormat="1" applyFont="1" applyFill="1" applyBorder="1" applyAlignment="1">
      <alignment horizontal="center" vertical="center"/>
    </xf>
    <xf numFmtId="169" fontId="4" fillId="0" borderId="1" xfId="4" applyNumberFormat="1" applyFont="1" applyBorder="1" applyAlignment="1">
      <alignment horizontal="center" vertical="center"/>
    </xf>
    <xf numFmtId="166" fontId="4" fillId="0" borderId="1" xfId="3" applyNumberFormat="1" applyFont="1" applyFill="1" applyBorder="1" applyAlignment="1">
      <alignment horizontal="center" vertical="center"/>
    </xf>
    <xf numFmtId="166" fontId="10" fillId="0" borderId="1" xfId="3" applyNumberFormat="1" applyFont="1" applyFill="1" applyBorder="1" applyAlignment="1">
      <alignment horizontal="center" vertical="center"/>
    </xf>
    <xf numFmtId="0" fontId="20" fillId="0" borderId="0" xfId="1" applyFont="1" applyAlignment="1">
      <alignment horizontal="center" vertical="center"/>
    </xf>
    <xf numFmtId="0" fontId="16" fillId="0" borderId="0" xfId="1" applyFont="1" applyAlignment="1">
      <alignment horizontal="center" vertical="center"/>
    </xf>
    <xf numFmtId="0" fontId="16" fillId="0" borderId="1"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1" xfId="1" applyFont="1" applyBorder="1" applyAlignment="1">
      <alignment horizontal="center" vertical="center"/>
    </xf>
    <xf numFmtId="3" fontId="4" fillId="0" borderId="0" xfId="0" applyNumberFormat="1" applyFont="1" applyBorder="1" applyAlignment="1">
      <alignment horizontal="center" vertical="center" wrapText="1"/>
    </xf>
    <xf numFmtId="3" fontId="7" fillId="0" borderId="1" xfId="2" applyNumberFormat="1" applyFont="1" applyBorder="1" applyAlignment="1">
      <alignment horizontal="center" vertical="center"/>
    </xf>
    <xf numFmtId="3" fontId="10" fillId="0" borderId="1" xfId="2" applyNumberFormat="1" applyFont="1" applyFill="1" applyBorder="1" applyAlignment="1">
      <alignment horizontal="center" vertical="center"/>
    </xf>
    <xf numFmtId="0" fontId="10" fillId="3" borderId="1" xfId="0" applyFont="1" applyFill="1" applyBorder="1" applyAlignment="1">
      <alignment horizontal="center" vertical="top" wrapText="1"/>
    </xf>
    <xf numFmtId="0" fontId="10" fillId="3" borderId="1" xfId="0" quotePrefix="1" applyFont="1" applyFill="1" applyBorder="1" applyAlignment="1">
      <alignment horizontal="center" vertical="top" wrapText="1"/>
    </xf>
    <xf numFmtId="3" fontId="4" fillId="3" borderId="1" xfId="0" applyNumberFormat="1" applyFont="1" applyFill="1" applyBorder="1" applyAlignment="1">
      <alignment vertical="center"/>
    </xf>
    <xf numFmtId="171" fontId="4" fillId="3" borderId="1" xfId="2" applyNumberFormat="1" applyFont="1" applyFill="1" applyBorder="1" applyAlignment="1">
      <alignment vertical="center"/>
    </xf>
    <xf numFmtId="165" fontId="10" fillId="0" borderId="8" xfId="3" applyFont="1" applyFill="1" applyBorder="1" applyAlignment="1">
      <alignment horizontal="center" vertical="center" wrapText="1"/>
    </xf>
    <xf numFmtId="0" fontId="10" fillId="0" borderId="1" xfId="1" applyFont="1" applyFill="1" applyBorder="1" applyAlignment="1">
      <alignment horizontal="left" vertical="center" wrapText="1"/>
    </xf>
    <xf numFmtId="3" fontId="10" fillId="0" borderId="1" xfId="0" applyNumberFormat="1" applyFont="1" applyBorder="1" applyAlignment="1">
      <alignment horizontal="center" vertical="top" wrapText="1"/>
    </xf>
    <xf numFmtId="0" fontId="10" fillId="0" borderId="0" xfId="1" applyFont="1" applyBorder="1" applyAlignment="1">
      <alignment horizontal="center" vertical="center"/>
    </xf>
    <xf numFmtId="0" fontId="11" fillId="0" borderId="0" xfId="1" quotePrefix="1" applyFont="1" applyFill="1" applyBorder="1" applyAlignment="1">
      <alignment vertical="center" wrapText="1"/>
    </xf>
    <xf numFmtId="0" fontId="11" fillId="0" borderId="0" xfId="1" applyFont="1" applyFill="1" applyBorder="1" applyAlignment="1">
      <alignment vertical="center" wrapText="1"/>
    </xf>
    <xf numFmtId="0" fontId="10" fillId="0" borderId="1" xfId="1" applyFont="1" applyBorder="1" applyAlignment="1">
      <alignment horizontal="center" vertical="top"/>
    </xf>
    <xf numFmtId="0" fontId="10" fillId="0" borderId="1" xfId="1" applyFont="1" applyBorder="1" applyAlignment="1">
      <alignment horizontal="center" vertical="top" wrapText="1"/>
    </xf>
    <xf numFmtId="3" fontId="10" fillId="0" borderId="1" xfId="1" applyNumberFormat="1" applyFont="1" applyBorder="1" applyAlignment="1">
      <alignment horizontal="center" vertical="top" wrapText="1"/>
    </xf>
    <xf numFmtId="0" fontId="10" fillId="0" borderId="3" xfId="0" applyFont="1" applyBorder="1" applyAlignment="1">
      <alignment horizontal="center" vertical="top"/>
    </xf>
    <xf numFmtId="0" fontId="10" fillId="0" borderId="13" xfId="0" applyFont="1" applyBorder="1" applyAlignment="1">
      <alignment horizontal="center" vertical="top"/>
    </xf>
    <xf numFmtId="3" fontId="10" fillId="0" borderId="3" xfId="0" applyNumberFormat="1" applyFont="1" applyBorder="1" applyAlignment="1">
      <alignment horizontal="center" vertical="top" wrapText="1"/>
    </xf>
    <xf numFmtId="3" fontId="10" fillId="0" borderId="13" xfId="0" applyNumberFormat="1" applyFont="1" applyBorder="1" applyAlignment="1">
      <alignment horizontal="center" vertical="top" wrapText="1"/>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167" fontId="10" fillId="0" borderId="1" xfId="2" applyNumberFormat="1" applyFont="1" applyBorder="1" applyAlignment="1">
      <alignment horizontal="center" vertical="top" wrapText="1"/>
    </xf>
    <xf numFmtId="0" fontId="10" fillId="0" borderId="1" xfId="0" applyFont="1" applyBorder="1" applyAlignment="1">
      <alignment horizontal="center" vertical="top"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Fill="1" applyBorder="1" applyAlignment="1">
      <alignment vertical="top" wrapText="1"/>
    </xf>
    <xf numFmtId="0" fontId="9" fillId="0" borderId="1" xfId="0" applyFont="1" applyFill="1" applyBorder="1" applyAlignment="1">
      <alignment horizontal="left" vertical="top"/>
    </xf>
    <xf numFmtId="0" fontId="9" fillId="0" borderId="1" xfId="0" applyFont="1" applyFill="1" applyBorder="1" applyAlignment="1">
      <alignment vertical="top"/>
    </xf>
    <xf numFmtId="0" fontId="10"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48" fillId="0" borderId="1" xfId="0" applyFont="1" applyBorder="1" applyAlignment="1">
      <alignment horizontal="left" vertical="center" wrapText="1"/>
    </xf>
    <xf numFmtId="0" fontId="9" fillId="0" borderId="5" xfId="0" applyFont="1" applyFill="1" applyBorder="1" applyAlignment="1">
      <alignment horizontal="center" vertical="top"/>
    </xf>
    <xf numFmtId="0" fontId="9" fillId="0" borderId="6" xfId="0" applyFont="1" applyFill="1" applyBorder="1" applyAlignment="1">
      <alignment horizontal="center" vertical="top"/>
    </xf>
    <xf numFmtId="0" fontId="9" fillId="0" borderId="4" xfId="0" applyFont="1" applyFill="1" applyBorder="1" applyAlignment="1">
      <alignment horizontal="center" vertical="top"/>
    </xf>
    <xf numFmtId="0" fontId="9" fillId="0" borderId="1" xfId="0" applyFont="1" applyBorder="1" applyAlignment="1">
      <alignment horizontal="left" vertical="top" wrapText="1"/>
    </xf>
    <xf numFmtId="0" fontId="10" fillId="0" borderId="1" xfId="0" applyFont="1" applyFill="1" applyBorder="1" applyAlignment="1">
      <alignment horizontal="left" vertical="top"/>
    </xf>
    <xf numFmtId="0" fontId="9" fillId="0" borderId="4" xfId="0" applyFont="1" applyFill="1" applyBorder="1" applyAlignment="1">
      <alignment horizontal="center" vertical="top" wrapText="1"/>
    </xf>
    <xf numFmtId="0" fontId="9" fillId="0" borderId="5" xfId="0" applyFont="1" applyFill="1" applyBorder="1" applyAlignment="1">
      <alignment horizontal="center" vertical="top" wrapText="1"/>
    </xf>
    <xf numFmtId="0" fontId="9" fillId="0" borderId="6"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5" xfId="0" applyFont="1" applyFill="1" applyBorder="1" applyAlignment="1">
      <alignment horizontal="center" vertical="top" wrapText="1"/>
    </xf>
    <xf numFmtId="0" fontId="4" fillId="0" borderId="6" xfId="0" applyFont="1" applyFill="1" applyBorder="1" applyAlignment="1">
      <alignment horizontal="center" vertical="top" wrapText="1"/>
    </xf>
    <xf numFmtId="0" fontId="16" fillId="0" borderId="0" xfId="0" applyFont="1" applyFill="1" applyBorder="1" applyAlignment="1">
      <alignment horizontal="center" vertical="top" wrapText="1"/>
    </xf>
    <xf numFmtId="0" fontId="23" fillId="0" borderId="0" xfId="0" applyFont="1" applyBorder="1" applyAlignment="1">
      <alignment horizontal="right"/>
    </xf>
    <xf numFmtId="0" fontId="10" fillId="0" borderId="1" xfId="0" applyFont="1" applyFill="1" applyBorder="1" applyAlignment="1">
      <alignment horizontal="center" vertical="top" wrapText="1"/>
    </xf>
    <xf numFmtId="0" fontId="48" fillId="0" borderId="1" xfId="0" applyFont="1" applyBorder="1" applyAlignment="1">
      <alignment horizontal="left" vertical="center"/>
    </xf>
    <xf numFmtId="0" fontId="16" fillId="0" borderId="1" xfId="0" applyFont="1" applyFill="1" applyBorder="1" applyAlignment="1">
      <alignment horizontal="left"/>
    </xf>
    <xf numFmtId="0" fontId="10"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164" fontId="10" fillId="0" borderId="4" xfId="0" applyNumberFormat="1" applyFont="1" applyFill="1" applyBorder="1" applyAlignment="1">
      <alignment horizontal="center" vertical="top" wrapText="1"/>
    </xf>
    <xf numFmtId="164" fontId="10" fillId="0" borderId="6" xfId="0" applyNumberFormat="1" applyFont="1" applyFill="1" applyBorder="1" applyAlignment="1">
      <alignment horizontal="center" vertical="top" wrapText="1"/>
    </xf>
    <xf numFmtId="0" fontId="23" fillId="0" borderId="8" xfId="0" applyFont="1" applyBorder="1" applyAlignment="1">
      <alignment horizontal="right"/>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46" fillId="0" borderId="4" xfId="0" applyFont="1" applyBorder="1" applyAlignment="1">
      <alignment horizontal="left" vertical="center" wrapText="1"/>
    </xf>
    <xf numFmtId="0" fontId="46" fillId="0" borderId="5"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164" fontId="9" fillId="0" borderId="4" xfId="0" applyNumberFormat="1" applyFont="1" applyFill="1" applyBorder="1" applyAlignment="1">
      <alignment horizontal="center" vertical="top"/>
    </xf>
    <xf numFmtId="164" fontId="9" fillId="0" borderId="5" xfId="0" applyNumberFormat="1" applyFont="1" applyFill="1" applyBorder="1" applyAlignment="1">
      <alignment horizontal="center" vertical="top"/>
    </xf>
    <xf numFmtId="164" fontId="9" fillId="0" borderId="6" xfId="0" applyNumberFormat="1" applyFont="1" applyFill="1" applyBorder="1" applyAlignment="1">
      <alignment horizontal="center" vertical="top"/>
    </xf>
    <xf numFmtId="0" fontId="9" fillId="0" borderId="1" xfId="0" applyFont="1" applyFill="1" applyBorder="1" applyAlignment="1">
      <alignment horizontal="justify" vertical="top" wrapText="1"/>
    </xf>
    <xf numFmtId="0" fontId="9" fillId="0" borderId="1" xfId="0" applyFont="1" applyFill="1" applyBorder="1" applyAlignment="1">
      <alignment horizontal="center" vertical="top"/>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5" fillId="0" borderId="4" xfId="0" applyFont="1" applyBorder="1" applyAlignment="1">
      <alignment horizontal="left" vertical="center" wrapText="1"/>
    </xf>
    <xf numFmtId="0" fontId="55" fillId="0" borderId="6" xfId="0" applyFont="1" applyBorder="1" applyAlignment="1">
      <alignment horizontal="left" vertical="center" wrapText="1"/>
    </xf>
    <xf numFmtId="0" fontId="9" fillId="0" borderId="4"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6" xfId="0" applyFont="1" applyFill="1" applyBorder="1" applyAlignment="1">
      <alignment horizontal="left" vertical="top" wrapText="1"/>
    </xf>
    <xf numFmtId="0" fontId="26" fillId="0" borderId="0" xfId="1" applyFont="1" applyAlignment="1">
      <alignment horizontal="left" wrapText="1"/>
    </xf>
    <xf numFmtId="0" fontId="24" fillId="0" borderId="0" xfId="1" applyFont="1" applyAlignment="1">
      <alignment horizontal="left"/>
    </xf>
    <xf numFmtId="0" fontId="27" fillId="0" borderId="0" xfId="1" applyFont="1" applyBorder="1" applyAlignment="1">
      <alignment horizontal="center" wrapText="1"/>
    </xf>
    <xf numFmtId="0" fontId="11" fillId="0" borderId="0" xfId="1" applyFont="1" applyFill="1" applyBorder="1" applyAlignment="1">
      <alignment horizontal="center" vertical="center" wrapText="1"/>
    </xf>
    <xf numFmtId="0" fontId="10" fillId="0" borderId="1" xfId="1" applyFont="1" applyFill="1" applyBorder="1" applyAlignment="1">
      <alignment horizontal="left" vertical="center"/>
    </xf>
    <xf numFmtId="0" fontId="10" fillId="0" borderId="1" xfId="0" applyFont="1" applyFill="1" applyBorder="1" applyAlignment="1">
      <alignment horizontal="left" vertical="center" wrapText="1"/>
    </xf>
    <xf numFmtId="0" fontId="63" fillId="0" borderId="14" xfId="0" applyFont="1" applyBorder="1" applyAlignment="1">
      <alignment horizontal="left" vertical="center" wrapText="1"/>
    </xf>
    <xf numFmtId="3" fontId="2" fillId="0" borderId="0" xfId="0" applyNumberFormat="1" applyFont="1" applyBorder="1" applyAlignment="1">
      <alignment horizontal="left" vertical="top" wrapText="1"/>
    </xf>
    <xf numFmtId="165" fontId="4" fillId="0" borderId="0" xfId="3" applyFont="1" applyFill="1" applyBorder="1" applyAlignment="1">
      <alignment horizontal="left" vertical="center"/>
    </xf>
    <xf numFmtId="165" fontId="10" fillId="0" borderId="14" xfId="3" applyFont="1" applyFill="1" applyBorder="1" applyAlignment="1">
      <alignment horizontal="center"/>
    </xf>
    <xf numFmtId="165" fontId="10" fillId="0" borderId="15" xfId="3" applyFont="1" applyFill="1" applyBorder="1" applyAlignment="1">
      <alignment horizontal="center"/>
    </xf>
  </cellXfs>
  <cellStyles count="6">
    <cellStyle name="Comma" xfId="2" builtinId="3"/>
    <cellStyle name="Comma 2" xfId="3"/>
    <cellStyle name="Comma 3" xfId="4"/>
    <cellStyle name="Comma 3 2" xfId="5"/>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6/DMKT/Nguyen%20gia%20DMKTKT%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14\DMKT\Nguyen%20gia%20DC-TB-VL%20(20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5/DMKT/Nguyen%20gia%20DC-TB-VL%20(201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2014\DMKT\10.4\2.1.MT%20Dat%20(1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cu"/>
      <sheetName val="VL"/>
      <sheetName val="TB"/>
    </sheetNames>
    <sheetDataSet>
      <sheetData sheetId="0">
        <row r="3">
          <cell r="B3" t="str">
            <v>Acqui 300 lần đo</v>
          </cell>
          <cell r="C3" t="str">
            <v>Bộ</v>
          </cell>
          <cell r="D3">
            <v>2.5</v>
          </cell>
          <cell r="E3">
            <v>4000000</v>
          </cell>
        </row>
        <row r="4">
          <cell r="B4" t="str">
            <v>Áo blue</v>
          </cell>
          <cell r="C4" t="str">
            <v xml:space="preserve">cái </v>
          </cell>
          <cell r="D4">
            <v>12</v>
          </cell>
          <cell r="E4">
            <v>30000</v>
          </cell>
        </row>
        <row r="5">
          <cell r="B5" t="str">
            <v>Áo phao</v>
          </cell>
          <cell r="C5" t="str">
            <v>cái</v>
          </cell>
          <cell r="D5">
            <v>12</v>
          </cell>
          <cell r="E5">
            <v>300000</v>
          </cell>
        </row>
        <row r="6">
          <cell r="B6" t="str">
            <v>Áo phản quang</v>
          </cell>
          <cell r="C6" t="str">
            <v>cái</v>
          </cell>
          <cell r="D6">
            <v>6</v>
          </cell>
          <cell r="E6">
            <v>200000</v>
          </cell>
        </row>
        <row r="7">
          <cell r="B7" t="str">
            <v>Bản đồ địa hình</v>
          </cell>
          <cell r="C7" t="str">
            <v>tờ</v>
          </cell>
          <cell r="D7">
            <v>3</v>
          </cell>
          <cell r="E7">
            <v>70000</v>
          </cell>
        </row>
        <row r="8">
          <cell r="B8" t="str">
            <v>Bàn làm việc</v>
          </cell>
          <cell r="C8" t="str">
            <v xml:space="preserve">cái </v>
          </cell>
          <cell r="D8">
            <v>72</v>
          </cell>
          <cell r="E8">
            <v>300000</v>
          </cell>
        </row>
        <row r="9">
          <cell r="B9" t="str">
            <v>Bàn lưu động</v>
          </cell>
          <cell r="C9" t="str">
            <v>cái</v>
          </cell>
          <cell r="D9">
            <v>9</v>
          </cell>
          <cell r="E9">
            <v>210000</v>
          </cell>
        </row>
        <row r="10">
          <cell r="B10" t="str">
            <v>Bao đựng mẫu</v>
          </cell>
          <cell r="C10" t="str">
            <v>Cái</v>
          </cell>
          <cell r="D10">
            <v>1</v>
          </cell>
          <cell r="E10">
            <v>2000</v>
          </cell>
        </row>
        <row r="11">
          <cell r="B11" t="str">
            <v>Bếp điện</v>
          </cell>
          <cell r="C11" t="str">
            <v xml:space="preserve">cái </v>
          </cell>
          <cell r="D11">
            <v>12</v>
          </cell>
          <cell r="E11">
            <v>3000000</v>
          </cell>
        </row>
        <row r="12">
          <cell r="B12" t="str">
            <v xml:space="preserve">Bếp điện 1kw </v>
          </cell>
          <cell r="C12" t="str">
            <v>cái</v>
          </cell>
          <cell r="D12">
            <v>12</v>
          </cell>
          <cell r="E12">
            <v>2000000</v>
          </cell>
        </row>
        <row r="13">
          <cell r="B13" t="str">
            <v>Bình chưng cất</v>
          </cell>
          <cell r="C13" t="str">
            <v xml:space="preserve">cái </v>
          </cell>
          <cell r="D13">
            <v>6</v>
          </cell>
          <cell r="E13">
            <v>2000000</v>
          </cell>
        </row>
        <row r="14">
          <cell r="B14" t="str">
            <v>Bình định mức 1000ml</v>
          </cell>
          <cell r="C14" t="str">
            <v>Cái</v>
          </cell>
          <cell r="D14">
            <v>6</v>
          </cell>
          <cell r="E14">
            <v>700000</v>
          </cell>
        </row>
        <row r="15">
          <cell r="B15" t="str">
            <v>Bình định mức 100ml</v>
          </cell>
          <cell r="C15" t="str">
            <v xml:space="preserve">cái </v>
          </cell>
          <cell r="D15">
            <v>6</v>
          </cell>
          <cell r="E15">
            <v>200000</v>
          </cell>
        </row>
        <row r="16">
          <cell r="B16" t="str">
            <v>Bình định mức 150ml</v>
          </cell>
          <cell r="C16" t="str">
            <v>Cái</v>
          </cell>
          <cell r="D16">
            <v>6</v>
          </cell>
          <cell r="E16">
            <v>320000</v>
          </cell>
        </row>
        <row r="17">
          <cell r="B17" t="str">
            <v>Bình định mức 250ml</v>
          </cell>
          <cell r="C17" t="str">
            <v>Cái</v>
          </cell>
          <cell r="D17">
            <v>6</v>
          </cell>
          <cell r="E17">
            <v>320000</v>
          </cell>
        </row>
        <row r="18">
          <cell r="B18" t="str">
            <v>Bình định mức 25ml</v>
          </cell>
          <cell r="C18" t="str">
            <v xml:space="preserve">cái </v>
          </cell>
          <cell r="D18">
            <v>6</v>
          </cell>
          <cell r="E18">
            <v>170000</v>
          </cell>
        </row>
        <row r="19">
          <cell r="B19" t="str">
            <v>Bình định mức 500ml</v>
          </cell>
          <cell r="C19" t="str">
            <v>Cái</v>
          </cell>
          <cell r="D19">
            <v>6</v>
          </cell>
          <cell r="E19">
            <v>450000</v>
          </cell>
        </row>
        <row r="20">
          <cell r="B20" t="str">
            <v>Bình định mức 50ml</v>
          </cell>
          <cell r="C20" t="str">
            <v xml:space="preserve">cái </v>
          </cell>
          <cell r="D20">
            <v>6</v>
          </cell>
          <cell r="E20">
            <v>180000</v>
          </cell>
        </row>
        <row r="21">
          <cell r="B21" t="str">
            <v>Bình định mức 560ml</v>
          </cell>
          <cell r="C21" t="str">
            <v>cái</v>
          </cell>
          <cell r="D21">
            <v>6</v>
          </cell>
          <cell r="E21">
            <v>470000</v>
          </cell>
        </row>
        <row r="22">
          <cell r="B22" t="str">
            <v>Bình mẫu</v>
          </cell>
          <cell r="C22" t="str">
            <v>Cái</v>
          </cell>
          <cell r="D22">
            <v>12</v>
          </cell>
          <cell r="E22">
            <v>60000</v>
          </cell>
        </row>
        <row r="23">
          <cell r="B23" t="str">
            <v>Bình nhỏ giọt</v>
          </cell>
          <cell r="C23" t="str">
            <v xml:space="preserve">cái </v>
          </cell>
          <cell r="D23">
            <v>1</v>
          </cell>
          <cell r="E23">
            <v>150000</v>
          </cell>
        </row>
        <row r="24">
          <cell r="B24" t="str">
            <v>Bình nhựa 0,5 lít</v>
          </cell>
          <cell r="C24" t="str">
            <v xml:space="preserve">cái </v>
          </cell>
          <cell r="D24">
            <v>6</v>
          </cell>
          <cell r="E24">
            <v>110000</v>
          </cell>
        </row>
        <row r="25">
          <cell r="B25" t="str">
            <v>Bình nhựa 2 lít</v>
          </cell>
          <cell r="C25" t="str">
            <v>Cái</v>
          </cell>
          <cell r="D25">
            <v>6</v>
          </cell>
          <cell r="E25">
            <v>340000</v>
          </cell>
        </row>
        <row r="26">
          <cell r="B26" t="str">
            <v>Bình nhựa 5 lít</v>
          </cell>
          <cell r="C26" t="str">
            <v>Cái</v>
          </cell>
          <cell r="D26">
            <v>6</v>
          </cell>
          <cell r="E26">
            <v>700000</v>
          </cell>
        </row>
        <row r="27">
          <cell r="B27" t="str">
            <v xml:space="preserve">Bình ngưng tụ </v>
          </cell>
          <cell r="C27" t="str">
            <v>Cái</v>
          </cell>
          <cell r="D27">
            <v>12</v>
          </cell>
          <cell r="E27">
            <v>5000000</v>
          </cell>
        </row>
        <row r="28">
          <cell r="B28" t="str">
            <v xml:space="preserve">Bộ ống nối </v>
          </cell>
          <cell r="C28" t="str">
            <v>cái</v>
          </cell>
          <cell r="D28">
            <v>12</v>
          </cell>
          <cell r="E28">
            <v>15000000</v>
          </cell>
        </row>
        <row r="29">
          <cell r="B29" t="str">
            <v>Bình tam giác</v>
          </cell>
          <cell r="C29" t="str">
            <v>Cái</v>
          </cell>
          <cell r="D29">
            <v>6</v>
          </cell>
          <cell r="E29">
            <v>60000</v>
          </cell>
        </row>
        <row r="30">
          <cell r="B30" t="str">
            <v>Bình tam giác 100ml</v>
          </cell>
          <cell r="C30" t="str">
            <v>cái</v>
          </cell>
          <cell r="D30">
            <v>6</v>
          </cell>
          <cell r="E30">
            <v>100000</v>
          </cell>
        </row>
        <row r="31">
          <cell r="B31" t="str">
            <v>Bình tam giác 250ml</v>
          </cell>
          <cell r="C31" t="str">
            <v xml:space="preserve">cái </v>
          </cell>
          <cell r="D31">
            <v>6</v>
          </cell>
          <cell r="E31">
            <v>120000</v>
          </cell>
        </row>
        <row r="32">
          <cell r="B32" t="str">
            <v>Bình tam giác 25ml</v>
          </cell>
          <cell r="C32" t="str">
            <v>cái</v>
          </cell>
          <cell r="D32">
            <v>6</v>
          </cell>
          <cell r="E32">
            <v>50000</v>
          </cell>
        </row>
        <row r="33">
          <cell r="B33" t="str">
            <v>Bình tam giác 500ml</v>
          </cell>
          <cell r="C33" t="str">
            <v>cái</v>
          </cell>
          <cell r="D33">
            <v>6</v>
          </cell>
          <cell r="E33">
            <v>140000</v>
          </cell>
        </row>
        <row r="34">
          <cell r="B34" t="str">
            <v>Bình tam giác 50ml</v>
          </cell>
          <cell r="C34" t="str">
            <v>cái</v>
          </cell>
          <cell r="D34">
            <v>6</v>
          </cell>
          <cell r="E34">
            <v>60000</v>
          </cell>
        </row>
        <row r="35">
          <cell r="B35" t="str">
            <v>Bình tam giác 1000ml</v>
          </cell>
          <cell r="C35" t="str">
            <v>cái</v>
          </cell>
          <cell r="D35">
            <v>6</v>
          </cell>
          <cell r="E35">
            <v>250000</v>
          </cell>
        </row>
        <row r="36">
          <cell r="B36" t="str">
            <v>Bình tia</v>
          </cell>
          <cell r="C36" t="str">
            <v>cái</v>
          </cell>
          <cell r="D36">
            <v>6</v>
          </cell>
          <cell r="E36">
            <v>110000</v>
          </cell>
        </row>
        <row r="37">
          <cell r="B37" t="str">
            <v>Bình thủy tinh 1000ml</v>
          </cell>
          <cell r="C37" t="str">
            <v>Cái</v>
          </cell>
          <cell r="D37">
            <v>6</v>
          </cell>
          <cell r="E37">
            <v>180000</v>
          </cell>
        </row>
        <row r="38">
          <cell r="B38" t="str">
            <v>Bình thủy tinh 250ml</v>
          </cell>
          <cell r="C38" t="str">
            <v>Cái</v>
          </cell>
          <cell r="D38">
            <v>6</v>
          </cell>
          <cell r="E38">
            <v>120000</v>
          </cell>
        </row>
        <row r="39">
          <cell r="B39" t="str">
            <v>Bình thủy tinh trung tính</v>
          </cell>
          <cell r="C39" t="str">
            <v>Cái</v>
          </cell>
          <cell r="D39">
            <v>6</v>
          </cell>
          <cell r="E39">
            <v>155000</v>
          </cell>
        </row>
        <row r="40">
          <cell r="B40" t="str">
            <v xml:space="preserve">Bình thủy tinh đựng mẫu </v>
          </cell>
          <cell r="C40" t="str">
            <v>cái</v>
          </cell>
          <cell r="D40">
            <v>6</v>
          </cell>
          <cell r="E40">
            <v>200000</v>
          </cell>
        </row>
        <row r="41">
          <cell r="B41" t="str">
            <v>Bình chứa dung dịch thu hồi</v>
          </cell>
          <cell r="C41" t="str">
            <v>Cái</v>
          </cell>
          <cell r="D41">
            <v>12</v>
          </cell>
          <cell r="E41">
            <v>5000000</v>
          </cell>
        </row>
        <row r="42">
          <cell r="B42" t="str">
            <v xml:space="preserve"> Bộ làm sạch sensor</v>
          </cell>
          <cell r="C42" t="str">
            <v>Bộ</v>
          </cell>
          <cell r="D42">
            <v>2</v>
          </cell>
          <cell r="E42">
            <v>20000000</v>
          </cell>
        </row>
        <row r="43">
          <cell r="B43" t="str">
            <v>Bộ lưu giữ dung dịch hấp thụ</v>
          </cell>
          <cell r="C43" t="str">
            <v>Cái</v>
          </cell>
          <cell r="D43">
            <v>12</v>
          </cell>
          <cell r="E43">
            <v>10000000</v>
          </cell>
        </row>
        <row r="44">
          <cell r="B44" t="str">
            <v xml:space="preserve">Bộ lọc bụi </v>
          </cell>
          <cell r="C44" t="str">
            <v>Bộ</v>
          </cell>
          <cell r="D44">
            <v>6</v>
          </cell>
          <cell r="E44">
            <v>9500000</v>
          </cell>
        </row>
        <row r="45">
          <cell r="B45" t="str">
            <v>Bộ lưu giữ filter</v>
          </cell>
          <cell r="C45" t="str">
            <v>Bộ</v>
          </cell>
          <cell r="D45">
            <v>60</v>
          </cell>
          <cell r="E45">
            <v>25000000</v>
          </cell>
        </row>
        <row r="46">
          <cell r="B46" t="str">
            <v>Bộ dụng cụ thu hồi mẫu</v>
          </cell>
          <cell r="C46" t="str">
            <v>bộ</v>
          </cell>
          <cell r="D46">
            <v>18</v>
          </cell>
          <cell r="E46">
            <v>10000000</v>
          </cell>
        </row>
        <row r="47">
          <cell r="B47" t="str">
            <v>Bộ lọc khí lưu huỳnh</v>
          </cell>
          <cell r="C47" t="str">
            <v>Bộ</v>
          </cell>
          <cell r="D47">
            <v>6</v>
          </cell>
          <cell r="E47">
            <v>3000000</v>
          </cell>
        </row>
        <row r="48">
          <cell r="B48" t="str">
            <v xml:space="preserve">Bộ lọc khí lưu huỳnh </v>
          </cell>
          <cell r="C48" t="str">
            <v>Bộ</v>
          </cell>
          <cell r="D48">
            <v>6</v>
          </cell>
          <cell r="E48">
            <v>3000000</v>
          </cell>
        </row>
        <row r="49">
          <cell r="B49" t="str">
            <v>Bộ lọc bụi</v>
          </cell>
          <cell r="C49" t="str">
            <v>bộ</v>
          </cell>
          <cell r="D49">
            <v>6</v>
          </cell>
          <cell r="E49">
            <v>9500000</v>
          </cell>
        </row>
        <row r="50">
          <cell r="B50" t="str">
            <v>Bộ sục khí</v>
          </cell>
          <cell r="C50" t="str">
            <v>bộ</v>
          </cell>
          <cell r="D50">
            <v>24</v>
          </cell>
          <cell r="E50">
            <v>3000000</v>
          </cell>
        </row>
        <row r="51">
          <cell r="B51" t="str">
            <v>Bộ dây nối</v>
          </cell>
          <cell r="C51" t="str">
            <v>Bộ</v>
          </cell>
          <cell r="D51">
            <v>12</v>
          </cell>
          <cell r="E51">
            <v>40000000</v>
          </cell>
        </row>
        <row r="52">
          <cell r="B52" t="str">
            <v>Bộ ống hấp thụ</v>
          </cell>
          <cell r="C52" t="str">
            <v>Bộ</v>
          </cell>
          <cell r="D52">
            <v>12</v>
          </cell>
          <cell r="E52">
            <v>20000000</v>
          </cell>
        </row>
        <row r="53">
          <cell r="B53" t="str">
            <v>Bộ lọc tạp chất cản trở</v>
          </cell>
          <cell r="C53" t="str">
            <v>bộ</v>
          </cell>
          <cell r="D53">
            <v>6</v>
          </cell>
          <cell r="E53">
            <v>3000000</v>
          </cell>
        </row>
        <row r="54">
          <cell r="B54" t="str">
            <v>Bông</v>
          </cell>
          <cell r="C54" t="str">
            <v>Kg</v>
          </cell>
          <cell r="E54">
            <v>210000</v>
          </cell>
        </row>
        <row r="55">
          <cell r="B55" t="str">
            <v>Bông thủy tinh</v>
          </cell>
          <cell r="C55" t="str">
            <v xml:space="preserve">chiếc </v>
          </cell>
          <cell r="E55">
            <v>2400000</v>
          </cell>
        </row>
        <row r="56">
          <cell r="B56" t="str">
            <v>Bơm khí H2 cho máy GC</v>
          </cell>
          <cell r="C56" t="str">
            <v xml:space="preserve">cái </v>
          </cell>
          <cell r="D56">
            <v>32</v>
          </cell>
          <cell r="E56">
            <v>9500000</v>
          </cell>
        </row>
        <row r="57">
          <cell r="B57" t="str">
            <v>Bơm khí N2 cho máy GC</v>
          </cell>
          <cell r="C57" t="str">
            <v xml:space="preserve">cái </v>
          </cell>
          <cell r="D57">
            <v>32</v>
          </cell>
          <cell r="E57">
            <v>24970000</v>
          </cell>
        </row>
        <row r="58">
          <cell r="B58" t="str">
            <v>Buret 1ml</v>
          </cell>
          <cell r="C58" t="str">
            <v>Cái</v>
          </cell>
          <cell r="D58">
            <v>12</v>
          </cell>
          <cell r="E58">
            <v>11700000</v>
          </cell>
        </row>
        <row r="59">
          <cell r="B59" t="str">
            <v>Buret chuẩn độ</v>
          </cell>
          <cell r="C59" t="str">
            <v>cái</v>
          </cell>
          <cell r="D59">
            <v>12</v>
          </cell>
          <cell r="E59">
            <v>4900000</v>
          </cell>
        </row>
        <row r="60">
          <cell r="B60" t="str">
            <v>Burret chuẩn độ tự động</v>
          </cell>
          <cell r="C60" t="str">
            <v>cái</v>
          </cell>
          <cell r="D60">
            <v>12</v>
          </cell>
          <cell r="E60">
            <v>4900000</v>
          </cell>
        </row>
        <row r="61">
          <cell r="B61" t="str">
            <v>Cái lọc</v>
          </cell>
          <cell r="C61" t="str">
            <v xml:space="preserve">cái </v>
          </cell>
          <cell r="D61">
            <v>1</v>
          </cell>
          <cell r="E61">
            <v>150000</v>
          </cell>
        </row>
        <row r="62">
          <cell r="B62" t="str">
            <v>Can nhựa</v>
          </cell>
          <cell r="C62" t="str">
            <v>cái</v>
          </cell>
          <cell r="D62">
            <v>6</v>
          </cell>
          <cell r="E62">
            <v>50000</v>
          </cell>
        </row>
        <row r="63">
          <cell r="B63" t="str">
            <v>Cell đo phổ</v>
          </cell>
          <cell r="C63" t="str">
            <v>cái</v>
          </cell>
          <cell r="D63">
            <v>12</v>
          </cell>
          <cell r="E63">
            <v>1600000</v>
          </cell>
        </row>
        <row r="64">
          <cell r="B64" t="str">
            <v>COD, BOD5</v>
          </cell>
          <cell r="D64">
            <v>12</v>
          </cell>
          <cell r="E64">
            <v>6000000</v>
          </cell>
        </row>
        <row r="65">
          <cell r="B65" t="str">
            <v>Cốc đo</v>
          </cell>
          <cell r="C65" t="str">
            <v>cái</v>
          </cell>
          <cell r="D65">
            <v>3</v>
          </cell>
          <cell r="E65">
            <v>350000</v>
          </cell>
        </row>
        <row r="66">
          <cell r="B66" t="str">
            <v>Cốc nung (sứ, 30ml)</v>
          </cell>
          <cell r="C66" t="str">
            <v xml:space="preserve">cái </v>
          </cell>
          <cell r="D66">
            <v>6</v>
          </cell>
          <cell r="E66">
            <v>30000</v>
          </cell>
        </row>
        <row r="67">
          <cell r="B67" t="str">
            <v>Cốc nhựa</v>
          </cell>
          <cell r="C67" t="str">
            <v>cái</v>
          </cell>
          <cell r="D67">
            <v>3</v>
          </cell>
          <cell r="E67">
            <v>80000</v>
          </cell>
        </row>
        <row r="68">
          <cell r="B68" t="str">
            <v>cốc cân</v>
          </cell>
          <cell r="C68" t="str">
            <v>cái</v>
          </cell>
          <cell r="D68">
            <v>6</v>
          </cell>
          <cell r="E68">
            <v>25000</v>
          </cell>
        </row>
        <row r="69">
          <cell r="B69" t="str">
            <v>Cốc thủy tinh</v>
          </cell>
          <cell r="C69" t="str">
            <v>cái</v>
          </cell>
          <cell r="D69">
            <v>6</v>
          </cell>
          <cell r="E69">
            <v>75000</v>
          </cell>
        </row>
        <row r="70">
          <cell r="B70" t="str">
            <v>Cốc thủy tinh 1000ml</v>
          </cell>
          <cell r="C70" t="str">
            <v>cái</v>
          </cell>
          <cell r="D70">
            <v>6</v>
          </cell>
          <cell r="E70">
            <v>140000</v>
          </cell>
        </row>
        <row r="71">
          <cell r="B71" t="str">
            <v>Cốc thủy tinh 250ml</v>
          </cell>
          <cell r="C71" t="str">
            <v xml:space="preserve">cái </v>
          </cell>
          <cell r="D71">
            <v>6</v>
          </cell>
          <cell r="E71">
            <v>90000</v>
          </cell>
        </row>
        <row r="72">
          <cell r="B72" t="str">
            <v>Cốc thủy tinh 50ml</v>
          </cell>
          <cell r="C72" t="str">
            <v>cái</v>
          </cell>
          <cell r="D72">
            <v>6</v>
          </cell>
          <cell r="E72">
            <v>80000</v>
          </cell>
        </row>
        <row r="73">
          <cell r="B73" t="str">
            <v>Cột sắc ký</v>
          </cell>
          <cell r="C73" t="str">
            <v>Cái</v>
          </cell>
          <cell r="D73">
            <v>12</v>
          </cell>
          <cell r="E73">
            <v>40000000</v>
          </cell>
        </row>
        <row r="74">
          <cell r="B74" t="str">
            <v>Cột sắc ký thủy tinh</v>
          </cell>
          <cell r="C74" t="str">
            <v>Cái</v>
          </cell>
          <cell r="D74">
            <v>6</v>
          </cell>
          <cell r="E74">
            <v>1900000</v>
          </cell>
        </row>
        <row r="75">
          <cell r="B75" t="str">
            <v>Cột sắc ký trao đổi ion</v>
          </cell>
          <cell r="C75" t="str">
            <v>cái</v>
          </cell>
          <cell r="D75">
            <v>12</v>
          </cell>
          <cell r="E75">
            <v>27000000</v>
          </cell>
        </row>
        <row r="76">
          <cell r="B76" t="str">
            <v>Cột tách</v>
          </cell>
          <cell r="C76" t="str">
            <v xml:space="preserve">cái </v>
          </cell>
          <cell r="D76">
            <v>12</v>
          </cell>
          <cell r="E76">
            <v>1800000</v>
          </cell>
        </row>
        <row r="77">
          <cell r="B77" t="str">
            <v>Cột tách cho anion</v>
          </cell>
          <cell r="C77" t="str">
            <v>cái</v>
          </cell>
          <cell r="D77">
            <v>12</v>
          </cell>
          <cell r="E77">
            <v>37500000</v>
          </cell>
        </row>
        <row r="78">
          <cell r="B78" t="str">
            <v>Cột tách mao quản</v>
          </cell>
          <cell r="C78" t="str">
            <v>Cái</v>
          </cell>
          <cell r="D78">
            <v>12</v>
          </cell>
          <cell r="E78">
            <v>27000000</v>
          </cell>
        </row>
        <row r="79">
          <cell r="B79" t="str">
            <v>Cuốc lấy mẫu Peterxen 5,000 cm3</v>
          </cell>
          <cell r="C79" t="str">
            <v>cái</v>
          </cell>
          <cell r="D79">
            <v>36</v>
          </cell>
          <cell r="E79">
            <v>1300000</v>
          </cell>
        </row>
        <row r="80">
          <cell r="B80" t="str">
            <v>Cuvet 1cm</v>
          </cell>
          <cell r="C80" t="str">
            <v>cái</v>
          </cell>
          <cell r="D80">
            <v>12</v>
          </cell>
          <cell r="E80">
            <v>1600000</v>
          </cell>
        </row>
        <row r="81">
          <cell r="B81" t="str">
            <v>Cuvet Graphit</v>
          </cell>
          <cell r="C81" t="str">
            <v>cái</v>
          </cell>
          <cell r="D81">
            <v>1</v>
          </cell>
          <cell r="E81">
            <v>5000000</v>
          </cell>
        </row>
        <row r="82">
          <cell r="B82" t="str">
            <v>Cuvet thạch anh cho FIAS</v>
          </cell>
          <cell r="C82" t="str">
            <v>cái</v>
          </cell>
          <cell r="D82">
            <v>12</v>
          </cell>
          <cell r="E82">
            <v>35000000</v>
          </cell>
        </row>
        <row r="83">
          <cell r="B83" t="str">
            <v>Chai bảo quản dung dịch</v>
          </cell>
          <cell r="C83" t="str">
            <v>cái</v>
          </cell>
          <cell r="D83">
            <v>6</v>
          </cell>
          <cell r="E83">
            <v>30000</v>
          </cell>
        </row>
        <row r="84">
          <cell r="B84" t="str">
            <v>Chai BOD</v>
          </cell>
          <cell r="C84" t="str">
            <v>cái</v>
          </cell>
          <cell r="D84">
            <v>6</v>
          </cell>
          <cell r="E84">
            <v>600000</v>
          </cell>
        </row>
        <row r="85">
          <cell r="B85" t="str">
            <v>Chai CO</v>
          </cell>
          <cell r="C85" t="str">
            <v xml:space="preserve">cái </v>
          </cell>
          <cell r="D85">
            <v>6</v>
          </cell>
          <cell r="E85">
            <v>30000</v>
          </cell>
        </row>
        <row r="86">
          <cell r="B86" t="str">
            <v>Chai CO2</v>
          </cell>
          <cell r="C86" t="str">
            <v xml:space="preserve">cái </v>
          </cell>
          <cell r="D86">
            <v>6</v>
          </cell>
          <cell r="E86">
            <v>30000</v>
          </cell>
        </row>
        <row r="87">
          <cell r="B87" t="str">
            <v>Chai chứa mẫu 100ml</v>
          </cell>
          <cell r="C87" t="str">
            <v xml:space="preserve">cái </v>
          </cell>
          <cell r="D87">
            <v>6</v>
          </cell>
          <cell r="E87">
            <v>120000</v>
          </cell>
        </row>
        <row r="88">
          <cell r="B88" t="str">
            <v>Chai đựng mẫu</v>
          </cell>
          <cell r="D88">
            <v>6</v>
          </cell>
          <cell r="E88">
            <v>80000</v>
          </cell>
        </row>
        <row r="89">
          <cell r="B89" t="str">
            <v>Chai đựng hóa chất</v>
          </cell>
          <cell r="C89" t="str">
            <v xml:space="preserve">cái </v>
          </cell>
          <cell r="D89">
            <v>6</v>
          </cell>
          <cell r="E89">
            <v>100000</v>
          </cell>
        </row>
        <row r="90">
          <cell r="B90" t="str">
            <v>Chai đựng mẫu vi sinh</v>
          </cell>
          <cell r="C90" t="str">
            <v>caid</v>
          </cell>
          <cell r="D90">
            <v>6</v>
          </cell>
          <cell r="E90">
            <v>200000</v>
          </cell>
        </row>
        <row r="91">
          <cell r="B91" t="str">
            <v>Chai đựng nước cất</v>
          </cell>
          <cell r="C91" t="str">
            <v>Cái</v>
          </cell>
          <cell r="D91">
            <v>6</v>
          </cell>
          <cell r="E91">
            <v>80000</v>
          </cell>
        </row>
        <row r="92">
          <cell r="B92" t="str">
            <v>Chai NO</v>
          </cell>
          <cell r="C92" t="str">
            <v xml:space="preserve">cái </v>
          </cell>
          <cell r="D92">
            <v>6</v>
          </cell>
          <cell r="E92">
            <v>500000</v>
          </cell>
        </row>
        <row r="93">
          <cell r="B93" t="str">
            <v>Chai ninh</v>
          </cell>
          <cell r="C93" t="str">
            <v>Cái</v>
          </cell>
          <cell r="D93">
            <v>6</v>
          </cell>
          <cell r="E93">
            <v>500000</v>
          </cell>
        </row>
        <row r="94">
          <cell r="B94" t="str">
            <v>Chai NO2</v>
          </cell>
          <cell r="C94" t="str">
            <v>cái</v>
          </cell>
          <cell r="D94">
            <v>6</v>
          </cell>
          <cell r="E94">
            <v>25000</v>
          </cell>
        </row>
        <row r="95">
          <cell r="B95" t="str">
            <v>Chai nhựa 0,5 lít</v>
          </cell>
          <cell r="C95" t="str">
            <v xml:space="preserve">cái </v>
          </cell>
          <cell r="D95">
            <v>6</v>
          </cell>
          <cell r="E95">
            <v>60000</v>
          </cell>
        </row>
        <row r="96">
          <cell r="B96" t="str">
            <v>Chai O3</v>
          </cell>
          <cell r="C96" t="str">
            <v>cái</v>
          </cell>
          <cell r="D96">
            <v>6</v>
          </cell>
          <cell r="E96">
            <v>500000</v>
          </cell>
        </row>
        <row r="97">
          <cell r="B97" t="str">
            <v>Chai SO2</v>
          </cell>
          <cell r="C97" t="str">
            <v>cái</v>
          </cell>
          <cell r="D97">
            <v>2.5</v>
          </cell>
          <cell r="E97">
            <v>25000</v>
          </cell>
        </row>
        <row r="98">
          <cell r="B98" t="str">
            <v>Chuẩn độ Microburet</v>
          </cell>
          <cell r="C98" t="str">
            <v>cái</v>
          </cell>
          <cell r="D98">
            <v>12</v>
          </cell>
          <cell r="E98">
            <v>800000</v>
          </cell>
        </row>
        <row r="99">
          <cell r="B99" t="str">
            <v>Chụp đầu đo</v>
          </cell>
          <cell r="C99" t="str">
            <v>cái</v>
          </cell>
          <cell r="D99">
            <v>3</v>
          </cell>
          <cell r="E99">
            <v>100000</v>
          </cell>
        </row>
        <row r="100">
          <cell r="B100" t="str">
            <v>Dây điện đôi dài 50m</v>
          </cell>
          <cell r="C100" t="str">
            <v>dây</v>
          </cell>
          <cell r="D100">
            <v>36</v>
          </cell>
          <cell r="E100">
            <v>300000</v>
          </cell>
        </row>
        <row r="101">
          <cell r="B101" t="str">
            <v>Đai bảo hiểm</v>
          </cell>
          <cell r="C101" t="str">
            <v>dây</v>
          </cell>
          <cell r="D101">
            <v>3</v>
          </cell>
          <cell r="E101">
            <v>500000</v>
          </cell>
        </row>
        <row r="102">
          <cell r="B102" t="str">
            <v>Đĩa petri</v>
          </cell>
          <cell r="C102" t="str">
            <v>cái</v>
          </cell>
          <cell r="D102">
            <v>1</v>
          </cell>
          <cell r="E102">
            <v>3000</v>
          </cell>
        </row>
        <row r="103">
          <cell r="B103" t="str">
            <v>Dép xốp</v>
          </cell>
          <cell r="C103" t="str">
            <v xml:space="preserve">đôi </v>
          </cell>
          <cell r="D103">
            <v>6</v>
          </cell>
          <cell r="E103">
            <v>25000</v>
          </cell>
        </row>
        <row r="104">
          <cell r="B104" t="str">
            <v>Detector vết</v>
          </cell>
          <cell r="C104" t="str">
            <v>cái</v>
          </cell>
          <cell r="D104" t="str">
            <v>1 lần</v>
          </cell>
          <cell r="E104">
            <v>200000</v>
          </cell>
        </row>
        <row r="105">
          <cell r="B105" t="str">
            <v>Đầu cone 0,1ml</v>
          </cell>
          <cell r="C105" t="str">
            <v>Cái</v>
          </cell>
          <cell r="D105">
            <v>1</v>
          </cell>
          <cell r="E105">
            <v>3000</v>
          </cell>
        </row>
        <row r="106">
          <cell r="B106" t="str">
            <v>Đầu cone 1ml</v>
          </cell>
          <cell r="C106" t="str">
            <v xml:space="preserve">cái </v>
          </cell>
          <cell r="D106">
            <v>1</v>
          </cell>
          <cell r="E106">
            <v>3000</v>
          </cell>
        </row>
        <row r="107">
          <cell r="B107" t="str">
            <v>Đầu cone 4ml</v>
          </cell>
          <cell r="C107" t="str">
            <v>Cái</v>
          </cell>
          <cell r="D107">
            <v>1</v>
          </cell>
          <cell r="E107">
            <v>3000</v>
          </cell>
        </row>
        <row r="108">
          <cell r="B108" t="str">
            <v>Đầu cone 5ml</v>
          </cell>
          <cell r="C108" t="str">
            <v xml:space="preserve">cái </v>
          </cell>
          <cell r="D108">
            <v>1</v>
          </cell>
          <cell r="E108">
            <v>3000</v>
          </cell>
        </row>
        <row r="109">
          <cell r="B109" t="str">
            <v>Đầu điện cực</v>
          </cell>
          <cell r="C109" t="str">
            <v>cái</v>
          </cell>
          <cell r="D109">
            <v>6</v>
          </cell>
          <cell r="E109">
            <v>12000000</v>
          </cell>
        </row>
        <row r="110">
          <cell r="B110" t="str">
            <v>Đầu đo sensor</v>
          </cell>
          <cell r="D110">
            <v>2</v>
          </cell>
          <cell r="E110">
            <v>25000000</v>
          </cell>
        </row>
        <row r="111">
          <cell r="B111" t="str">
            <v>Đầu đo Nozzles</v>
          </cell>
          <cell r="C111" t="str">
            <v>Cái</v>
          </cell>
          <cell r="D111">
            <v>12</v>
          </cell>
          <cell r="E111">
            <v>1000000</v>
          </cell>
        </row>
        <row r="112">
          <cell r="B112" t="str">
            <v>Đèn pin</v>
          </cell>
          <cell r="D112">
            <v>24</v>
          </cell>
          <cell r="E112">
            <v>2500000</v>
          </cell>
        </row>
        <row r="113">
          <cell r="B113" t="str">
            <v>Cặp đựng tài liệu</v>
          </cell>
          <cell r="D113">
            <v>12</v>
          </cell>
          <cell r="E113">
            <v>15000</v>
          </cell>
        </row>
        <row r="114">
          <cell r="B114" t="str">
            <v>Quần áo mưa</v>
          </cell>
          <cell r="C114" t="str">
            <v>bộ</v>
          </cell>
          <cell r="D114">
            <v>3</v>
          </cell>
          <cell r="E114">
            <v>50000</v>
          </cell>
        </row>
        <row r="115">
          <cell r="B115" t="str">
            <v>Giày vải</v>
          </cell>
          <cell r="D115">
            <v>12</v>
          </cell>
          <cell r="E115">
            <v>500000</v>
          </cell>
        </row>
        <row r="116">
          <cell r="B116" t="str">
            <v>Đèn hiệu</v>
          </cell>
          <cell r="D116">
            <v>24</v>
          </cell>
          <cell r="E116">
            <v>2500000</v>
          </cell>
        </row>
        <row r="117">
          <cell r="B117" t="str">
            <v>Bình cứu hỏa</v>
          </cell>
          <cell r="D117">
            <v>12</v>
          </cell>
          <cell r="E117">
            <v>1000000</v>
          </cell>
        </row>
        <row r="118">
          <cell r="B118" t="str">
            <v>Ổn áp</v>
          </cell>
          <cell r="D118">
            <v>36</v>
          </cell>
          <cell r="E118">
            <v>3500000</v>
          </cell>
        </row>
        <row r="119">
          <cell r="B119" t="str">
            <v>Bộ lưu điện</v>
          </cell>
          <cell r="D119">
            <v>36</v>
          </cell>
          <cell r="E119">
            <v>50000000</v>
          </cell>
        </row>
        <row r="120">
          <cell r="B120" t="str">
            <v>Kính bảo vệ</v>
          </cell>
          <cell r="D120">
            <v>12</v>
          </cell>
          <cell r="E120">
            <v>500000</v>
          </cell>
        </row>
        <row r="121">
          <cell r="B121" t="str">
            <v>Thang (3m)</v>
          </cell>
          <cell r="D121">
            <v>36</v>
          </cell>
          <cell r="E121">
            <v>1500000</v>
          </cell>
        </row>
        <row r="122">
          <cell r="B122" t="str">
            <v xml:space="preserve"> Bộ làm sạch sensor</v>
          </cell>
          <cell r="C122" t="str">
            <v>Bộ</v>
          </cell>
          <cell r="D122">
            <v>2</v>
          </cell>
          <cell r="E122">
            <v>20000000</v>
          </cell>
        </row>
        <row r="123">
          <cell r="B123" t="str">
            <v>Bộ dụng cụ để bảo dưỡng, thao tác trong quá trình vận hành</v>
          </cell>
          <cell r="C123" t="str">
            <v>Bộ</v>
          </cell>
          <cell r="D123">
            <v>60</v>
          </cell>
          <cell r="E123">
            <v>3000000</v>
          </cell>
        </row>
        <row r="124">
          <cell r="B124" t="str">
            <v>Cáp truyền số liệu cho các sensor</v>
          </cell>
          <cell r="D124">
            <v>36</v>
          </cell>
          <cell r="E124">
            <v>5000000</v>
          </cell>
        </row>
        <row r="125">
          <cell r="B125" t="str">
            <v>Đường điện thoại/Internet truyền số liệu</v>
          </cell>
          <cell r="D125">
            <v>36</v>
          </cell>
          <cell r="E125">
            <v>2000000</v>
          </cell>
        </row>
        <row r="126">
          <cell r="B126" t="str">
            <v>Bộ làm sạch ống lấy mẫu</v>
          </cell>
          <cell r="D126">
            <v>2</v>
          </cell>
          <cell r="E126">
            <v>20000000</v>
          </cell>
        </row>
        <row r="127">
          <cell r="B127" t="str">
            <v>Tủ đựng dụng cụ</v>
          </cell>
          <cell r="D127">
            <v>72</v>
          </cell>
          <cell r="E127">
            <v>3000000</v>
          </cell>
        </row>
        <row r="128">
          <cell r="B128" t="str">
            <v>Bộ làm sạch đường ống mẫu, bộ phân phối khí manifol và modul</v>
          </cell>
          <cell r="D128">
            <v>2</v>
          </cell>
          <cell r="E128">
            <v>20000000</v>
          </cell>
        </row>
        <row r="129">
          <cell r="B129" t="str">
            <v>Bộ làm sạch đường ống mẫu và modul</v>
          </cell>
          <cell r="D129">
            <v>2</v>
          </cell>
          <cell r="E129">
            <v>20000000</v>
          </cell>
        </row>
        <row r="130">
          <cell r="B130" t="str">
            <v>Đầu thu mẫu thép không gỉ</v>
          </cell>
          <cell r="D130">
            <v>12</v>
          </cell>
          <cell r="E130">
            <v>10000000</v>
          </cell>
        </row>
        <row r="131">
          <cell r="B131" t="str">
            <v>Tủ lắp đặt thiết bị có hệ thống dây điện và các bộ lọc ẩm</v>
          </cell>
          <cell r="D131">
            <v>36</v>
          </cell>
          <cell r="E131">
            <v>5000000</v>
          </cell>
        </row>
        <row r="132">
          <cell r="B132" t="str">
            <v>Bộ phần mềm truy nạp số liệu</v>
          </cell>
          <cell r="D132">
            <v>36</v>
          </cell>
          <cell r="E132">
            <v>15000000</v>
          </cell>
        </row>
        <row r="133">
          <cell r="B133" t="str">
            <v>Bộ phần mềm quản lý số liệu và báo cáo</v>
          </cell>
          <cell r="D133">
            <v>36</v>
          </cell>
          <cell r="E133">
            <v>15000000</v>
          </cell>
        </row>
        <row r="134">
          <cell r="B134" t="str">
            <v>Bộ chuyển đổi tín hiệu để nối mạng Modem</v>
          </cell>
          <cell r="D134">
            <v>36</v>
          </cell>
          <cell r="E134">
            <v>10000000</v>
          </cell>
        </row>
        <row r="135">
          <cell r="B135" t="str">
            <v>Máy ổn áp cho hệ thống 15 kVA</v>
          </cell>
          <cell r="D135">
            <v>24</v>
          </cell>
          <cell r="E135">
            <v>100000000</v>
          </cell>
        </row>
        <row r="136">
          <cell r="B136" t="str">
            <v xml:space="preserve">Hai giá đỡ thiết bị </v>
          </cell>
          <cell r="D136">
            <v>12</v>
          </cell>
          <cell r="E136">
            <v>2000000</v>
          </cell>
        </row>
        <row r="137">
          <cell r="B137" t="str">
            <v>Bình khí chuẩn</v>
          </cell>
          <cell r="D137">
            <v>12</v>
          </cell>
          <cell r="E137">
            <v>35000000</v>
          </cell>
        </row>
        <row r="138">
          <cell r="B138" t="str">
            <v>Dung dịch cầu muối</v>
          </cell>
          <cell r="D138">
            <v>6</v>
          </cell>
          <cell r="E138">
            <v>10000000</v>
          </cell>
        </row>
        <row r="139">
          <cell r="B139" t="str">
            <v>Bình chứa nước đo mẫu</v>
          </cell>
          <cell r="D139">
            <v>6</v>
          </cell>
          <cell r="E139">
            <v>10000000</v>
          </cell>
        </row>
        <row r="140">
          <cell r="B140" t="str">
            <v>Đầu đo DO</v>
          </cell>
          <cell r="E140">
            <v>59380000</v>
          </cell>
        </row>
        <row r="141">
          <cell r="B141" t="str">
            <v>Đầu đo (loại công nghệ đo quang)</v>
          </cell>
          <cell r="D141">
            <v>6</v>
          </cell>
          <cell r="E141">
            <v>69380</v>
          </cell>
        </row>
        <row r="142">
          <cell r="B142" t="str">
            <v>Bộ lồng bảo vệ các sensor và thanh dẫn hướng</v>
          </cell>
          <cell r="D142">
            <v>12</v>
          </cell>
          <cell r="E142">
            <v>10000000</v>
          </cell>
        </row>
        <row r="143">
          <cell r="B143" t="str">
            <v>Phao nâng các sensor</v>
          </cell>
          <cell r="D143">
            <v>6</v>
          </cell>
          <cell r="E143">
            <v>5000000</v>
          </cell>
        </row>
        <row r="144">
          <cell r="B144" t="str">
            <v>Chụp bảo vệ các thiết bị</v>
          </cell>
          <cell r="D144">
            <v>6</v>
          </cell>
          <cell r="E144">
            <v>7000000</v>
          </cell>
        </row>
        <row r="145">
          <cell r="B145" t="str">
            <v>Phao cứu sinh</v>
          </cell>
          <cell r="D145">
            <v>6</v>
          </cell>
          <cell r="E145">
            <v>1500000</v>
          </cell>
        </row>
        <row r="146">
          <cell r="B146" t="str">
            <v>Màng điện cực (thiết bị đo màng)</v>
          </cell>
          <cell r="D146">
            <v>6</v>
          </cell>
          <cell r="E146">
            <v>10000000</v>
          </cell>
        </row>
        <row r="147">
          <cell r="B147" t="str">
            <v>Nắp đầu đo (thiết bị quang)</v>
          </cell>
          <cell r="E147">
            <v>5000000</v>
          </cell>
        </row>
        <row r="148">
          <cell r="B148" t="str">
            <v>Thùng đựng và bảo quản silicagel, Scrubber MIX</v>
          </cell>
          <cell r="D148">
            <v>6</v>
          </cell>
          <cell r="E148">
            <v>10000000</v>
          </cell>
        </row>
        <row r="149">
          <cell r="B149" t="str">
            <v>Đầu đo</v>
          </cell>
          <cell r="C149" t="str">
            <v>cái</v>
          </cell>
          <cell r="D149">
            <v>6</v>
          </cell>
          <cell r="E149">
            <v>2500000</v>
          </cell>
        </row>
        <row r="150">
          <cell r="B150" t="str">
            <v>Đầu đo 1000 lần đo</v>
          </cell>
          <cell r="C150" t="str">
            <v>cái</v>
          </cell>
          <cell r="D150">
            <v>2.5</v>
          </cell>
          <cell r="E150">
            <v>2500000</v>
          </cell>
        </row>
        <row r="151">
          <cell r="B151" t="str">
            <v>Đầu lấy mẫu</v>
          </cell>
          <cell r="C151" t="str">
            <v>Cái</v>
          </cell>
          <cell r="D151">
            <v>5</v>
          </cell>
          <cell r="E151">
            <v>2500000</v>
          </cell>
        </row>
        <row r="152">
          <cell r="B152" t="str">
            <v>Đèn D2</v>
          </cell>
          <cell r="C152" t="str">
            <v>cái</v>
          </cell>
          <cell r="D152">
            <v>24</v>
          </cell>
          <cell r="E152">
            <v>15000000</v>
          </cell>
        </row>
        <row r="153">
          <cell r="B153" t="str">
            <v>Đèn EDL</v>
          </cell>
          <cell r="C153" t="str">
            <v>cái</v>
          </cell>
          <cell r="D153">
            <v>24</v>
          </cell>
          <cell r="E153">
            <v>14000000</v>
          </cell>
        </row>
        <row r="154">
          <cell r="B154" t="str">
            <v>Đèn HCL</v>
          </cell>
          <cell r="C154" t="str">
            <v>cái</v>
          </cell>
          <cell r="D154">
            <v>24</v>
          </cell>
          <cell r="E154">
            <v>19000000</v>
          </cell>
        </row>
        <row r="155">
          <cell r="B155" t="str">
            <v>Đèn neon 40w</v>
          </cell>
          <cell r="C155" t="str">
            <v>bộ</v>
          </cell>
          <cell r="D155">
            <v>24</v>
          </cell>
          <cell r="E155">
            <v>40000</v>
          </cell>
        </row>
        <row r="156">
          <cell r="B156" t="str">
            <v>Đèn Tungsten</v>
          </cell>
          <cell r="C156" t="str">
            <v>cái</v>
          </cell>
          <cell r="D156">
            <v>24</v>
          </cell>
          <cell r="E156">
            <v>4500000</v>
          </cell>
        </row>
        <row r="157">
          <cell r="B157" t="str">
            <v>Đèn Wimac = 200h</v>
          </cell>
          <cell r="C157" t="str">
            <v>cái</v>
          </cell>
          <cell r="D157">
            <v>24</v>
          </cell>
          <cell r="E157">
            <v>21000000</v>
          </cell>
        </row>
        <row r="158">
          <cell r="B158" t="str">
            <v>Đèn Wimax = 200h</v>
          </cell>
          <cell r="C158" t="str">
            <v>Cái</v>
          </cell>
          <cell r="D158">
            <v>24</v>
          </cell>
          <cell r="E158">
            <v>21000000</v>
          </cell>
        </row>
        <row r="159">
          <cell r="B159" t="str">
            <v>Đèn Dimax = 500h</v>
          </cell>
          <cell r="C159" t="str">
            <v xml:space="preserve">cái </v>
          </cell>
          <cell r="D159">
            <v>24</v>
          </cell>
          <cell r="E159">
            <v>10000000</v>
          </cell>
        </row>
        <row r="160">
          <cell r="B160" t="str">
            <v>Đèn Wimax =500h</v>
          </cell>
          <cell r="C160" t="str">
            <v xml:space="preserve">cái </v>
          </cell>
          <cell r="D160">
            <v>24</v>
          </cell>
          <cell r="E160">
            <v>23000000</v>
          </cell>
        </row>
        <row r="161">
          <cell r="B161" t="str">
            <v>Đèn Wimax =200h</v>
          </cell>
          <cell r="C161" t="str">
            <v xml:space="preserve">cái </v>
          </cell>
          <cell r="D161">
            <v>24</v>
          </cell>
          <cell r="E161">
            <v>21000000</v>
          </cell>
        </row>
        <row r="162">
          <cell r="B162" t="str">
            <v>Đĩa cân</v>
          </cell>
          <cell r="C162" t="str">
            <v>Cái</v>
          </cell>
          <cell r="D162">
            <v>60</v>
          </cell>
          <cell r="E162">
            <v>80000</v>
          </cell>
        </row>
        <row r="163">
          <cell r="B163" t="str">
            <v>Đĩa phơi mẫu</v>
          </cell>
          <cell r="C163" t="str">
            <v>Cái</v>
          </cell>
          <cell r="D163">
            <v>1.5</v>
          </cell>
          <cell r="E163">
            <v>14000</v>
          </cell>
        </row>
        <row r="164">
          <cell r="B164" t="str">
            <v>Đĩa thủy tinh</v>
          </cell>
          <cell r="C164" t="str">
            <v>cái</v>
          </cell>
          <cell r="D164">
            <v>6</v>
          </cell>
          <cell r="E164">
            <v>15000</v>
          </cell>
        </row>
        <row r="165">
          <cell r="B165" t="str">
            <v>Điện cực</v>
          </cell>
          <cell r="C165" t="str">
            <v>cái</v>
          </cell>
          <cell r="D165">
            <v>6</v>
          </cell>
          <cell r="E165">
            <v>1600000</v>
          </cell>
        </row>
        <row r="166">
          <cell r="B166" t="str">
            <v>Điện cực độ dẫn Pt</v>
          </cell>
          <cell r="C166" t="str">
            <v>Cái</v>
          </cell>
          <cell r="D166">
            <v>12</v>
          </cell>
          <cell r="E166">
            <v>1600000</v>
          </cell>
        </row>
        <row r="167">
          <cell r="B167" t="str">
            <v>Điện cực pH</v>
          </cell>
          <cell r="C167" t="str">
            <v>cái</v>
          </cell>
          <cell r="D167">
            <v>6</v>
          </cell>
          <cell r="E167">
            <v>13000000</v>
          </cell>
        </row>
        <row r="168">
          <cell r="B168" t="str">
            <v>Điện năng</v>
          </cell>
          <cell r="C168" t="str">
            <v>kw</v>
          </cell>
          <cell r="E168">
            <v>1838</v>
          </cell>
        </row>
        <row r="169">
          <cell r="B169" t="str">
            <v>Đồng hồ treo tường</v>
          </cell>
          <cell r="C169" t="str">
            <v xml:space="preserve">cái </v>
          </cell>
          <cell r="D169">
            <v>36</v>
          </cell>
          <cell r="E169">
            <v>50000</v>
          </cell>
        </row>
        <row r="170">
          <cell r="B170" t="str">
            <v>Đũa thủy tinh</v>
          </cell>
          <cell r="C170" t="str">
            <v>Cái</v>
          </cell>
          <cell r="D170">
            <v>6</v>
          </cell>
          <cell r="E170">
            <v>15000</v>
          </cell>
        </row>
        <row r="171">
          <cell r="B171" t="str">
            <v>Găng tay</v>
          </cell>
          <cell r="C171" t="str">
            <v>đôi</v>
          </cell>
          <cell r="D171">
            <v>1</v>
          </cell>
          <cell r="E171">
            <v>20000</v>
          </cell>
        </row>
        <row r="172">
          <cell r="B172" t="str">
            <v>Găng tay không bột</v>
          </cell>
          <cell r="C172" t="str">
            <v>hộp</v>
          </cell>
          <cell r="D172">
            <v>0.3</v>
          </cell>
          <cell r="E172">
            <v>400000</v>
          </cell>
        </row>
        <row r="173">
          <cell r="B173" t="str">
            <v>Găng tay chống nóng</v>
          </cell>
          <cell r="C173" t="str">
            <v>đôi</v>
          </cell>
          <cell r="D173">
            <v>3</v>
          </cell>
          <cell r="E173">
            <v>500000</v>
          </cell>
        </row>
        <row r="174">
          <cell r="B174" t="str">
            <v>Ghế ngồi</v>
          </cell>
          <cell r="C174" t="str">
            <v>cái</v>
          </cell>
          <cell r="D174">
            <v>72</v>
          </cell>
          <cell r="E174">
            <v>80000</v>
          </cell>
        </row>
        <row r="175">
          <cell r="B175" t="str">
            <v>Ghế tựa</v>
          </cell>
          <cell r="C175" t="str">
            <v xml:space="preserve">cái </v>
          </cell>
          <cell r="D175">
            <v>72</v>
          </cell>
          <cell r="E175">
            <v>80000</v>
          </cell>
        </row>
        <row r="176">
          <cell r="B176" t="str">
            <v>Giầy BHLĐ</v>
          </cell>
          <cell r="C176" t="str">
            <v xml:space="preserve">đôi </v>
          </cell>
          <cell r="D176">
            <v>12</v>
          </cell>
          <cell r="E176">
            <v>55000</v>
          </cell>
        </row>
        <row r="177">
          <cell r="B177" t="str">
            <v>Giấy lọc băng xanh</v>
          </cell>
          <cell r="C177" t="str">
            <v>hộp</v>
          </cell>
          <cell r="D177">
            <v>1</v>
          </cell>
          <cell r="E177">
            <v>500000</v>
          </cell>
        </row>
        <row r="178">
          <cell r="B178" t="str">
            <v>Giấy thử pH</v>
          </cell>
          <cell r="C178" t="str">
            <v>Hộp</v>
          </cell>
          <cell r="D178">
            <v>1</v>
          </cell>
          <cell r="E178">
            <v>20000</v>
          </cell>
        </row>
        <row r="179">
          <cell r="B179" t="str">
            <v>Gim bấm</v>
          </cell>
          <cell r="C179" t="str">
            <v>Hộp</v>
          </cell>
          <cell r="D179">
            <v>1</v>
          </cell>
          <cell r="E179">
            <v>4000</v>
          </cell>
        </row>
        <row r="180">
          <cell r="B180" t="str">
            <v>Gim kẹp giấy</v>
          </cell>
          <cell r="C180" t="str">
            <v>Hộp</v>
          </cell>
          <cell r="D180">
            <v>1</v>
          </cell>
          <cell r="E180">
            <v>4000</v>
          </cell>
        </row>
        <row r="181">
          <cell r="B181" t="str">
            <v>Hộp đo</v>
          </cell>
          <cell r="C181" t="str">
            <v xml:space="preserve">cái </v>
          </cell>
          <cell r="D181">
            <v>10</v>
          </cell>
          <cell r="E181">
            <v>30000</v>
          </cell>
        </row>
        <row r="182">
          <cell r="B182" t="str">
            <v xml:space="preserve">Hộp đựng thiết bị </v>
          </cell>
          <cell r="C182" t="str">
            <v>cái</v>
          </cell>
          <cell r="D182">
            <v>1.5</v>
          </cell>
          <cell r="E182">
            <v>220000</v>
          </cell>
        </row>
        <row r="183">
          <cell r="B183" t="str">
            <v xml:space="preserve">Hộp đựng mẫu </v>
          </cell>
          <cell r="C183" t="str">
            <v xml:space="preserve">cái </v>
          </cell>
          <cell r="D183">
            <v>1</v>
          </cell>
          <cell r="E183">
            <v>300000</v>
          </cell>
        </row>
        <row r="184">
          <cell r="B184" t="str">
            <v>Kết nối đầu đo</v>
          </cell>
          <cell r="C184" t="str">
            <v>cái</v>
          </cell>
          <cell r="D184">
            <v>3</v>
          </cell>
          <cell r="E184">
            <v>100000</v>
          </cell>
        </row>
        <row r="185">
          <cell r="B185" t="str">
            <v>Hộp dụng cụ sửa chữa</v>
          </cell>
          <cell r="C185" t="str">
            <v>cái</v>
          </cell>
          <cell r="D185">
            <v>6</v>
          </cell>
          <cell r="E185">
            <v>200000</v>
          </cell>
        </row>
        <row r="186">
          <cell r="B186" t="str">
            <v>Kim tiêm mẫu (syringe 10uL)</v>
          </cell>
          <cell r="C186" t="str">
            <v>Cái</v>
          </cell>
          <cell r="D186">
            <v>6</v>
          </cell>
          <cell r="E186">
            <v>1600000</v>
          </cell>
        </row>
        <row r="187">
          <cell r="B187" t="str">
            <v>Khay đựng mẫu sàng rây</v>
          </cell>
          <cell r="C187" t="str">
            <v>Cái</v>
          </cell>
          <cell r="D187">
            <v>3</v>
          </cell>
          <cell r="E187">
            <v>350000</v>
          </cell>
        </row>
        <row r="188">
          <cell r="B188" t="str">
            <v>Khay rửa dụng cụ</v>
          </cell>
          <cell r="C188" t="str">
            <v>Cái</v>
          </cell>
          <cell r="D188">
            <v>3</v>
          </cell>
          <cell r="E188">
            <v>70000</v>
          </cell>
        </row>
        <row r="189">
          <cell r="B189" t="str">
            <v>Khay inox</v>
          </cell>
          <cell r="C189" t="str">
            <v>cái</v>
          </cell>
          <cell r="D189">
            <v>36</v>
          </cell>
          <cell r="E189">
            <v>80000</v>
          </cell>
        </row>
        <row r="190">
          <cell r="B190" t="str">
            <v>Khay nung</v>
          </cell>
          <cell r="C190" t="str">
            <v xml:space="preserve">cái </v>
          </cell>
          <cell r="D190">
            <v>6</v>
          </cell>
          <cell r="E190">
            <v>8800000</v>
          </cell>
        </row>
        <row r="191">
          <cell r="B191" t="str">
            <v>Khẩu trang</v>
          </cell>
          <cell r="C191" t="str">
            <v>hộp</v>
          </cell>
          <cell r="D191">
            <v>0.3</v>
          </cell>
          <cell r="E191">
            <v>380000</v>
          </cell>
        </row>
        <row r="192">
          <cell r="B192" t="str">
            <v>Khẩu trang phòng độc</v>
          </cell>
          <cell r="C192" t="str">
            <v>cái</v>
          </cell>
          <cell r="D192">
            <v>3</v>
          </cell>
          <cell r="E192">
            <v>350000</v>
          </cell>
        </row>
        <row r="193">
          <cell r="B193" t="str">
            <v>Khẩu trang y tế</v>
          </cell>
          <cell r="C193" t="str">
            <v>hộp</v>
          </cell>
          <cell r="D193">
            <v>0.3</v>
          </cell>
          <cell r="E193">
            <v>380000</v>
          </cell>
        </row>
        <row r="194">
          <cell r="B194" t="str">
            <v>Khí CO</v>
          </cell>
          <cell r="D194">
            <v>1</v>
          </cell>
          <cell r="E194">
            <v>800000</v>
          </cell>
        </row>
        <row r="195">
          <cell r="B195" t="str">
            <v>Lưới chuyên dùng</v>
          </cell>
          <cell r="C195" t="str">
            <v>cái</v>
          </cell>
          <cell r="D195">
            <v>24</v>
          </cell>
          <cell r="E195">
            <v>32000000</v>
          </cell>
        </row>
        <row r="196">
          <cell r="B196" t="str">
            <v>Màng lọc</v>
          </cell>
          <cell r="C196" t="str">
            <v>cái</v>
          </cell>
          <cell r="D196">
            <v>1</v>
          </cell>
          <cell r="E196">
            <v>35000</v>
          </cell>
        </row>
        <row r="197">
          <cell r="B197" t="str">
            <v>Máng đo tiêu chuẩn</v>
          </cell>
          <cell r="C197" t="str">
            <v>Cái</v>
          </cell>
          <cell r="D197">
            <v>9</v>
          </cell>
          <cell r="E197">
            <v>2000000</v>
          </cell>
        </row>
        <row r="198">
          <cell r="B198" t="str">
            <v>Màng lọc cho FIAS</v>
          </cell>
          <cell r="C198" t="str">
            <v>cái</v>
          </cell>
          <cell r="D198">
            <v>2</v>
          </cell>
          <cell r="E198">
            <v>1450000</v>
          </cell>
        </row>
        <row r="199">
          <cell r="B199" t="str">
            <v>Màng DO</v>
          </cell>
          <cell r="C199" t="str">
            <v>cái</v>
          </cell>
          <cell r="D199">
            <v>12</v>
          </cell>
          <cell r="E199">
            <v>8000000</v>
          </cell>
        </row>
        <row r="200">
          <cell r="B200" t="str">
            <v>Máy hút ẩm 1,5kw</v>
          </cell>
          <cell r="C200" t="str">
            <v xml:space="preserve">cái </v>
          </cell>
          <cell r="D200">
            <v>36</v>
          </cell>
          <cell r="E200">
            <v>1500000</v>
          </cell>
        </row>
        <row r="201">
          <cell r="B201" t="str">
            <v>Máy hút bụi 2kw</v>
          </cell>
          <cell r="C201" t="str">
            <v xml:space="preserve">cái </v>
          </cell>
          <cell r="D201">
            <v>60</v>
          </cell>
          <cell r="E201">
            <v>1600000</v>
          </cell>
        </row>
        <row r="202">
          <cell r="B202" t="str">
            <v>Micropipet 10ml</v>
          </cell>
          <cell r="C202" t="str">
            <v xml:space="preserve">cái </v>
          </cell>
          <cell r="D202">
            <v>6</v>
          </cell>
          <cell r="E202">
            <v>3500000</v>
          </cell>
        </row>
        <row r="203">
          <cell r="B203" t="str">
            <v>Micropipet 1ml</v>
          </cell>
          <cell r="C203" t="str">
            <v xml:space="preserve">cái </v>
          </cell>
          <cell r="D203">
            <v>6</v>
          </cell>
          <cell r="E203">
            <v>3500000</v>
          </cell>
        </row>
        <row r="204">
          <cell r="B204" t="str">
            <v>Micropipet 5ml</v>
          </cell>
          <cell r="C204" t="str">
            <v>Cái</v>
          </cell>
          <cell r="D204">
            <v>6</v>
          </cell>
          <cell r="E204">
            <v>3500000</v>
          </cell>
        </row>
        <row r="205">
          <cell r="B205" t="str">
            <v>Mocropipet 1ml</v>
          </cell>
          <cell r="C205" t="str">
            <v xml:space="preserve">cái </v>
          </cell>
          <cell r="D205">
            <v>6</v>
          </cell>
          <cell r="E205">
            <v>3500000</v>
          </cell>
        </row>
        <row r="206">
          <cell r="B206" t="str">
            <v>Mocropipet 5ml</v>
          </cell>
          <cell r="C206" t="str">
            <v xml:space="preserve">cái </v>
          </cell>
          <cell r="D206">
            <v>6</v>
          </cell>
          <cell r="E206">
            <v>3500000</v>
          </cell>
        </row>
        <row r="207">
          <cell r="B207" t="str">
            <v>Mũ cứng</v>
          </cell>
          <cell r="C207" t="str">
            <v>Cái</v>
          </cell>
          <cell r="D207">
            <v>3</v>
          </cell>
          <cell r="E207">
            <v>20000</v>
          </cell>
        </row>
        <row r="208">
          <cell r="B208" t="str">
            <v>Nhíp</v>
          </cell>
          <cell r="C208" t="str">
            <v>cái</v>
          </cell>
          <cell r="D208">
            <v>36</v>
          </cell>
          <cell r="E208">
            <v>20000</v>
          </cell>
        </row>
        <row r="209">
          <cell r="B209" t="str">
            <v>Ổ cắm điện có cầu chì</v>
          </cell>
          <cell r="C209" t="str">
            <v>Cái</v>
          </cell>
          <cell r="D209">
            <v>36</v>
          </cell>
          <cell r="E209">
            <v>65000</v>
          </cell>
        </row>
        <row r="210">
          <cell r="B210" t="str">
            <v>Ô che mưa, che nắng</v>
          </cell>
          <cell r="C210" t="str">
            <v>Cái</v>
          </cell>
          <cell r="D210">
            <v>24</v>
          </cell>
          <cell r="E210">
            <v>110000</v>
          </cell>
        </row>
        <row r="211">
          <cell r="B211" t="str">
            <v>Ống (corer) bằng thép không gỉ, Ф 100mm</v>
          </cell>
          <cell r="C211" t="str">
            <v>cái</v>
          </cell>
          <cell r="D211">
            <v>24</v>
          </cell>
          <cell r="E211">
            <v>5000000</v>
          </cell>
        </row>
        <row r="212">
          <cell r="B212" t="str">
            <v>Ống chứa mẫu 15ml (có nắp)</v>
          </cell>
          <cell r="C212" t="str">
            <v xml:space="preserve">cái </v>
          </cell>
          <cell r="D212">
            <v>6</v>
          </cell>
          <cell r="E212">
            <v>15000</v>
          </cell>
        </row>
        <row r="213">
          <cell r="B213" t="str">
            <v>Ống duham</v>
          </cell>
          <cell r="C213" t="str">
            <v xml:space="preserve">ống </v>
          </cell>
          <cell r="D213">
            <v>6</v>
          </cell>
          <cell r="E213">
            <v>3000</v>
          </cell>
        </row>
        <row r="214">
          <cell r="B214" t="str">
            <v>Ống đong 100ml</v>
          </cell>
          <cell r="C214" t="str">
            <v xml:space="preserve">cái </v>
          </cell>
          <cell r="D214">
            <v>6</v>
          </cell>
          <cell r="E214">
            <v>120000</v>
          </cell>
        </row>
        <row r="215">
          <cell r="B215" t="str">
            <v>Ống đong 250ml</v>
          </cell>
          <cell r="C215" t="str">
            <v xml:space="preserve">cái </v>
          </cell>
          <cell r="D215">
            <v>6</v>
          </cell>
          <cell r="E215">
            <v>250000</v>
          </cell>
        </row>
        <row r="216">
          <cell r="B216" t="str">
            <v>Ống hấp thụ</v>
          </cell>
          <cell r="C216" t="str">
            <v>cái</v>
          </cell>
          <cell r="D216">
            <v>6</v>
          </cell>
          <cell r="E216">
            <v>1600000</v>
          </cell>
        </row>
        <row r="217">
          <cell r="B217" t="str">
            <v>Ống hút</v>
          </cell>
          <cell r="C217" t="str">
            <v xml:space="preserve">cái </v>
          </cell>
          <cell r="D217">
            <v>3</v>
          </cell>
          <cell r="E217">
            <v>7500</v>
          </cell>
        </row>
        <row r="218">
          <cell r="B218" t="str">
            <v>Ống manifold</v>
          </cell>
          <cell r="C218" t="str">
            <v>cái</v>
          </cell>
          <cell r="D218">
            <v>12</v>
          </cell>
          <cell r="E218">
            <v>30000000</v>
          </cell>
        </row>
        <row r="219">
          <cell r="B219" t="str">
            <v>Ống nghiệm</v>
          </cell>
          <cell r="C219" t="str">
            <v xml:space="preserve">cái </v>
          </cell>
          <cell r="D219">
            <v>6</v>
          </cell>
          <cell r="E219">
            <v>5000</v>
          </cell>
        </row>
        <row r="220">
          <cell r="B220" t="str">
            <v>Ống nghiệm 25*150</v>
          </cell>
          <cell r="C220" t="str">
            <v>Ống</v>
          </cell>
          <cell r="D220">
            <v>6</v>
          </cell>
          <cell r="E220">
            <v>60000</v>
          </cell>
        </row>
        <row r="221">
          <cell r="B221" t="str">
            <v>Ống nghiệm có nắp</v>
          </cell>
          <cell r="C221" t="str">
            <v>ống</v>
          </cell>
          <cell r="D221">
            <v>6</v>
          </cell>
          <cell r="E221">
            <v>25000</v>
          </cell>
        </row>
        <row r="222">
          <cell r="B222" t="str">
            <v>Ống nghiệm không nắp</v>
          </cell>
          <cell r="C222" t="str">
            <v>Ống</v>
          </cell>
          <cell r="D222">
            <v>6</v>
          </cell>
          <cell r="E222">
            <v>22000</v>
          </cell>
        </row>
        <row r="223">
          <cell r="B223" t="str">
            <v>Ống phá mẫu có nắp kín</v>
          </cell>
          <cell r="C223" t="str">
            <v xml:space="preserve">cái </v>
          </cell>
          <cell r="D223">
            <v>6</v>
          </cell>
          <cell r="E223">
            <v>30000</v>
          </cell>
        </row>
        <row r="224">
          <cell r="B224" t="str">
            <v>Ống teflon</v>
          </cell>
          <cell r="C224" t="str">
            <v>cái</v>
          </cell>
          <cell r="D224">
            <v>6</v>
          </cell>
          <cell r="E224">
            <v>500000</v>
          </cell>
        </row>
        <row r="225">
          <cell r="B225" t="str">
            <v>Ống thép không rỉ</v>
          </cell>
          <cell r="C225" t="str">
            <v>Cái</v>
          </cell>
          <cell r="D225">
            <v>12</v>
          </cell>
          <cell r="E225">
            <v>80000</v>
          </cell>
        </row>
        <row r="226">
          <cell r="B226" t="str">
            <v>MicroPipet</v>
          </cell>
          <cell r="C226" t="str">
            <v>cái</v>
          </cell>
          <cell r="D226">
            <v>6</v>
          </cell>
          <cell r="E226">
            <v>3700000</v>
          </cell>
        </row>
        <row r="227">
          <cell r="B227" t="str">
            <v>Pipet 1000ml, 200ml, 100ml</v>
          </cell>
          <cell r="C227" t="str">
            <v>cái</v>
          </cell>
          <cell r="D227">
            <v>6</v>
          </cell>
          <cell r="E227">
            <v>80000</v>
          </cell>
        </row>
        <row r="228">
          <cell r="B228" t="str">
            <v>Pipet 10ml</v>
          </cell>
          <cell r="C228" t="str">
            <v xml:space="preserve">cái </v>
          </cell>
          <cell r="D228">
            <v>6</v>
          </cell>
          <cell r="E228">
            <v>70000</v>
          </cell>
        </row>
        <row r="229">
          <cell r="B229" t="str">
            <v>Pipet 1ml</v>
          </cell>
          <cell r="C229" t="str">
            <v>Cái</v>
          </cell>
          <cell r="D229">
            <v>6</v>
          </cell>
          <cell r="E229">
            <v>70000</v>
          </cell>
        </row>
        <row r="230">
          <cell r="B230" t="str">
            <v>Pipet 5ml</v>
          </cell>
          <cell r="C230" t="str">
            <v xml:space="preserve">cái </v>
          </cell>
          <cell r="D230">
            <v>6</v>
          </cell>
          <cell r="E230">
            <v>80000</v>
          </cell>
        </row>
        <row r="231">
          <cell r="B231" t="str">
            <v>Pipet loại 1ml, 2ml, 5ml</v>
          </cell>
          <cell r="C231" t="str">
            <v>cái</v>
          </cell>
          <cell r="D231">
            <v>6</v>
          </cell>
          <cell r="E231">
            <v>80000</v>
          </cell>
        </row>
        <row r="232">
          <cell r="B232" t="str">
            <v>Phễu chiết 1000ml</v>
          </cell>
          <cell r="C232" t="str">
            <v xml:space="preserve">cái </v>
          </cell>
          <cell r="D232">
            <v>6</v>
          </cell>
          <cell r="E232">
            <v>1750000</v>
          </cell>
        </row>
        <row r="233">
          <cell r="B233" t="str">
            <v>Phễu chiết 500ml</v>
          </cell>
          <cell r="C233" t="str">
            <v>Cái</v>
          </cell>
          <cell r="D233">
            <v>6</v>
          </cell>
          <cell r="E233">
            <v>1350000</v>
          </cell>
        </row>
        <row r="234">
          <cell r="B234" t="str">
            <v>Phễu lọc</v>
          </cell>
          <cell r="C234" t="str">
            <v>cái</v>
          </cell>
          <cell r="D234">
            <v>6</v>
          </cell>
          <cell r="E234">
            <v>20000</v>
          </cell>
        </row>
        <row r="235">
          <cell r="B235" t="str">
            <v>Phễu lọc thủy tinh</v>
          </cell>
          <cell r="C235" t="str">
            <v>cái</v>
          </cell>
          <cell r="D235">
            <v>6</v>
          </cell>
          <cell r="E235">
            <v>35000</v>
          </cell>
        </row>
        <row r="236">
          <cell r="B236" t="str">
            <v>Phin lọc chuyên dụng FPP-15</v>
          </cell>
          <cell r="C236" t="str">
            <v xml:space="preserve">m2 </v>
          </cell>
          <cell r="D236" t="str">
            <v>1 lần</v>
          </cell>
          <cell r="E236">
            <v>80000</v>
          </cell>
        </row>
        <row r="237">
          <cell r="B237" t="str">
            <v>Phin lọc Ф47</v>
          </cell>
          <cell r="C237" t="str">
            <v>cái</v>
          </cell>
          <cell r="D237" t="str">
            <v>1 lần</v>
          </cell>
          <cell r="E237">
            <v>300000</v>
          </cell>
        </row>
        <row r="238">
          <cell r="B238" t="str">
            <v xml:space="preserve">Quả bóp </v>
          </cell>
          <cell r="C238" t="str">
            <v>cái</v>
          </cell>
          <cell r="D238">
            <v>12</v>
          </cell>
          <cell r="E238">
            <v>150000</v>
          </cell>
        </row>
        <row r="239">
          <cell r="B239" t="str">
            <v>Quạt thông gió 40w</v>
          </cell>
          <cell r="C239" t="str">
            <v>Cái</v>
          </cell>
          <cell r="D239">
            <v>36</v>
          </cell>
          <cell r="E239">
            <v>250000</v>
          </cell>
        </row>
        <row r="240">
          <cell r="B240" t="str">
            <v>Quạt trần 100w</v>
          </cell>
          <cell r="C240" t="str">
            <v xml:space="preserve">cái </v>
          </cell>
          <cell r="D240">
            <v>36</v>
          </cell>
          <cell r="E240">
            <v>500000</v>
          </cell>
        </row>
        <row r="241">
          <cell r="B241" t="str">
            <v>Quần áo BHLĐ</v>
          </cell>
          <cell r="C241" t="str">
            <v>Bộ</v>
          </cell>
          <cell r="D241">
            <v>6</v>
          </cell>
          <cell r="E241">
            <v>50000</v>
          </cell>
        </row>
        <row r="242">
          <cell r="B242" t="str">
            <v>Sàng rây</v>
          </cell>
          <cell r="C242" t="str">
            <v>cái</v>
          </cell>
          <cell r="D242">
            <v>24</v>
          </cell>
          <cell r="E242">
            <v>3000000</v>
          </cell>
        </row>
        <row r="243">
          <cell r="B243" t="str">
            <v>Sensor 300 lần đo</v>
          </cell>
          <cell r="C243" t="str">
            <v>cái</v>
          </cell>
          <cell r="D243">
            <v>12</v>
          </cell>
          <cell r="E243">
            <v>4500000</v>
          </cell>
        </row>
        <row r="244">
          <cell r="B244" t="str">
            <v>Sensor Co 200 lần đo</v>
          </cell>
          <cell r="C244" t="str">
            <v>cái</v>
          </cell>
          <cell r="D244">
            <v>12</v>
          </cell>
          <cell r="E244">
            <v>4500000</v>
          </cell>
        </row>
        <row r="245">
          <cell r="B245" t="str">
            <v>Tất sợi</v>
          </cell>
          <cell r="C245" t="str">
            <v xml:space="preserve">đôi </v>
          </cell>
          <cell r="D245">
            <v>6</v>
          </cell>
          <cell r="E245">
            <v>7000</v>
          </cell>
        </row>
        <row r="246">
          <cell r="B246" t="str">
            <v>Tủ đựng tài liệu</v>
          </cell>
          <cell r="C246" t="str">
            <v xml:space="preserve">cái </v>
          </cell>
          <cell r="D246">
            <v>72</v>
          </cell>
          <cell r="E246">
            <v>1000000</v>
          </cell>
        </row>
        <row r="247">
          <cell r="B247" t="str">
            <v>Túi CO</v>
          </cell>
          <cell r="C247" t="str">
            <v>cái</v>
          </cell>
          <cell r="D247">
            <v>12</v>
          </cell>
          <cell r="E247">
            <v>30000</v>
          </cell>
        </row>
        <row r="248">
          <cell r="B248" t="str">
            <v>Tuyp Graphit</v>
          </cell>
          <cell r="C248" t="str">
            <v xml:space="preserve">cái </v>
          </cell>
          <cell r="D248">
            <v>2</v>
          </cell>
          <cell r="E248">
            <v>1000000</v>
          </cell>
        </row>
        <row r="249">
          <cell r="B249" t="str">
            <v>Thumber</v>
          </cell>
          <cell r="C249" t="str">
            <v>hộp</v>
          </cell>
          <cell r="D249">
            <v>10</v>
          </cell>
          <cell r="E249">
            <v>1500000</v>
          </cell>
        </row>
        <row r="250">
          <cell r="B250" t="str">
            <v>Thùng đựng chai lấy mẫu</v>
          </cell>
          <cell r="C250" t="str">
            <v>cái</v>
          </cell>
          <cell r="D250">
            <v>5</v>
          </cell>
          <cell r="E250">
            <v>500000</v>
          </cell>
        </row>
        <row r="251">
          <cell r="B251" t="str">
            <v>Thùng đựng và bảo quản mẫu</v>
          </cell>
          <cell r="C251" t="str">
            <v>cái</v>
          </cell>
          <cell r="D251">
            <v>5</v>
          </cell>
          <cell r="E251">
            <v>800000</v>
          </cell>
        </row>
        <row r="252">
          <cell r="B252" t="str">
            <v>Thùng chứa mẫu</v>
          </cell>
          <cell r="C252" t="str">
            <v>cái</v>
          </cell>
          <cell r="D252">
            <v>5</v>
          </cell>
          <cell r="E252">
            <v>500000</v>
          </cell>
        </row>
        <row r="253">
          <cell r="B253" t="str">
            <v>Ủng</v>
          </cell>
          <cell r="C253" t="str">
            <v xml:space="preserve">đôi </v>
          </cell>
          <cell r="D253">
            <v>12</v>
          </cell>
          <cell r="E253">
            <v>53000</v>
          </cell>
        </row>
        <row r="254">
          <cell r="B254" t="str">
            <v>Van Dorn Sampler thể tích 2 lít</v>
          </cell>
          <cell r="C254" t="str">
            <v>cái</v>
          </cell>
          <cell r="D254">
            <v>24</v>
          </cell>
          <cell r="E254">
            <v>2500000</v>
          </cell>
        </row>
        <row r="255">
          <cell r="B255" t="str">
            <v>Van Dorn Sampler thể tích 5 lít</v>
          </cell>
          <cell r="C255" t="str">
            <v>cái</v>
          </cell>
          <cell r="D255">
            <v>24</v>
          </cell>
          <cell r="E255">
            <v>2800000</v>
          </cell>
        </row>
        <row r="256">
          <cell r="B256" t="str">
            <v>Xô chứa dung dịch sục khí</v>
          </cell>
          <cell r="C256" t="str">
            <v>cái</v>
          </cell>
          <cell r="D256">
            <v>24</v>
          </cell>
          <cell r="E256">
            <v>30000</v>
          </cell>
        </row>
        <row r="257">
          <cell r="B257" t="str">
            <v>Quartz torches</v>
          </cell>
          <cell r="C257" t="str">
            <v>cái</v>
          </cell>
          <cell r="D257">
            <v>12</v>
          </cell>
          <cell r="E257">
            <v>12000000</v>
          </cell>
        </row>
        <row r="258">
          <cell r="B258" t="str">
            <v>Ống lấy mẫu</v>
          </cell>
          <cell r="C258" t="str">
            <v>Cái</v>
          </cell>
          <cell r="D258">
            <v>18</v>
          </cell>
          <cell r="E258">
            <v>45000000</v>
          </cell>
        </row>
        <row r="259">
          <cell r="B259" t="str">
            <v>Hộp gia nhiệt</v>
          </cell>
          <cell r="C259" t="str">
            <v>Hộp</v>
          </cell>
          <cell r="D259">
            <v>18</v>
          </cell>
          <cell r="E259">
            <v>25000000</v>
          </cell>
        </row>
        <row r="260">
          <cell r="B260" t="str">
            <v>Hệ thống làm mát</v>
          </cell>
          <cell r="C260" t="str">
            <v>Bộ</v>
          </cell>
          <cell r="D260">
            <v>18</v>
          </cell>
          <cell r="E260">
            <v>25000000</v>
          </cell>
        </row>
        <row r="261">
          <cell r="B261" t="str">
            <v>Ống pitot</v>
          </cell>
          <cell r="C261" t="str">
            <v>cái</v>
          </cell>
          <cell r="D261">
            <v>12</v>
          </cell>
          <cell r="E261">
            <v>20000000</v>
          </cell>
        </row>
        <row r="262">
          <cell r="B262" t="str">
            <v>Dây nối</v>
          </cell>
          <cell r="C262" t="str">
            <v>cái</v>
          </cell>
          <cell r="D262">
            <v>12</v>
          </cell>
          <cell r="E262">
            <v>250000</v>
          </cell>
        </row>
        <row r="263">
          <cell r="B263" t="str">
            <v>Sensor O2</v>
          </cell>
          <cell r="C263" t="str">
            <v>cái</v>
          </cell>
          <cell r="D263">
            <v>12</v>
          </cell>
          <cell r="E263">
            <v>35000000</v>
          </cell>
        </row>
        <row r="264">
          <cell r="B264" t="str">
            <v xml:space="preserve">Acqui </v>
          </cell>
          <cell r="C264" t="str">
            <v>bộ</v>
          </cell>
          <cell r="D264">
            <v>12</v>
          </cell>
          <cell r="E264">
            <v>4000000</v>
          </cell>
        </row>
        <row r="265">
          <cell r="B265" t="str">
            <v>Sensor CO</v>
          </cell>
          <cell r="C265" t="str">
            <v>cái</v>
          </cell>
          <cell r="D265">
            <v>12</v>
          </cell>
          <cell r="E265">
            <v>25000000</v>
          </cell>
        </row>
        <row r="266">
          <cell r="B266" t="str">
            <v>Sensor CO2</v>
          </cell>
          <cell r="C266" t="str">
            <v>cái</v>
          </cell>
          <cell r="D266">
            <v>12</v>
          </cell>
          <cell r="E266">
            <v>30000000</v>
          </cell>
        </row>
        <row r="267">
          <cell r="B267" t="str">
            <v>Sensor NO</v>
          </cell>
          <cell r="C267" t="str">
            <v>cái</v>
          </cell>
          <cell r="D267">
            <v>12</v>
          </cell>
          <cell r="E267">
            <v>40000000</v>
          </cell>
        </row>
        <row r="268">
          <cell r="B268" t="str">
            <v>Sensor NO2</v>
          </cell>
          <cell r="C268" t="str">
            <v>cái</v>
          </cell>
          <cell r="D268">
            <v>12</v>
          </cell>
          <cell r="E268">
            <v>35000000</v>
          </cell>
        </row>
        <row r="269">
          <cell r="B269" t="str">
            <v>Sensor NOx</v>
          </cell>
          <cell r="C269" t="str">
            <v>cái</v>
          </cell>
          <cell r="D269">
            <v>12</v>
          </cell>
          <cell r="E269">
            <v>45000000</v>
          </cell>
        </row>
        <row r="270">
          <cell r="B270" t="str">
            <v>Sensor SO2</v>
          </cell>
          <cell r="C270" t="str">
            <v>cái</v>
          </cell>
          <cell r="D270">
            <v>12</v>
          </cell>
          <cell r="E270">
            <v>38500000</v>
          </cell>
        </row>
        <row r="271">
          <cell r="B271" t="str">
            <v>Khay hứng chuyên dụng</v>
          </cell>
          <cell r="C271" t="str">
            <v>cái</v>
          </cell>
          <cell r="D271">
            <v>3</v>
          </cell>
          <cell r="E271">
            <v>30000000</v>
          </cell>
        </row>
        <row r="272">
          <cell r="B272" t="str">
            <v>Can nhựa 20l</v>
          </cell>
          <cell r="C272" t="str">
            <v>cái</v>
          </cell>
          <cell r="D272">
            <v>6</v>
          </cell>
          <cell r="E272">
            <v>60000</v>
          </cell>
        </row>
        <row r="273">
          <cell r="B273" t="str">
            <v>Can nhựa 10l</v>
          </cell>
          <cell r="C273" t="str">
            <v>cái</v>
          </cell>
          <cell r="D273">
            <v>6</v>
          </cell>
          <cell r="E273">
            <v>50000</v>
          </cell>
        </row>
        <row r="274">
          <cell r="B274" t="str">
            <v>Can nhựa 5l</v>
          </cell>
          <cell r="C274" t="str">
            <v>cái</v>
          </cell>
          <cell r="D274">
            <v>6</v>
          </cell>
          <cell r="E274">
            <v>40000</v>
          </cell>
        </row>
        <row r="275">
          <cell r="B275" t="str">
            <v>Can nhựa 200l</v>
          </cell>
          <cell r="C275" t="str">
            <v>cái</v>
          </cell>
          <cell r="D275">
            <v>6</v>
          </cell>
          <cell r="E275">
            <v>100000</v>
          </cell>
        </row>
        <row r="276">
          <cell r="B276" t="str">
            <v>Đèn chiếu sáng 40W</v>
          </cell>
          <cell r="C276" t="str">
            <v>Bộ</v>
          </cell>
          <cell r="D276">
            <v>24</v>
          </cell>
          <cell r="E276">
            <v>80000</v>
          </cell>
        </row>
        <row r="277">
          <cell r="B277" t="str">
            <v>Thùng nhựa 120l</v>
          </cell>
          <cell r="C277" t="str">
            <v>cái</v>
          </cell>
          <cell r="D277">
            <v>12</v>
          </cell>
          <cell r="E277">
            <v>450000</v>
          </cell>
        </row>
        <row r="278">
          <cell r="B278" t="str">
            <v>Cốc nung</v>
          </cell>
          <cell r="C278" t="str">
            <v xml:space="preserve">cái </v>
          </cell>
          <cell r="D278">
            <v>6</v>
          </cell>
          <cell r="E278">
            <v>30000</v>
          </cell>
        </row>
        <row r="279">
          <cell r="B279" t="str">
            <v>Đầu cone lml</v>
          </cell>
          <cell r="C279" t="str">
            <v>cái</v>
          </cell>
          <cell r="D279">
            <v>1</v>
          </cell>
          <cell r="E279">
            <v>3000</v>
          </cell>
        </row>
        <row r="280">
          <cell r="B280" t="str">
            <v>Bơm khí H2 cho máy GC</v>
          </cell>
          <cell r="C280" t="str">
            <v>Cái</v>
          </cell>
          <cell r="D280">
            <v>32</v>
          </cell>
          <cell r="E280">
            <v>9500000</v>
          </cell>
        </row>
        <row r="281">
          <cell r="B281" t="str">
            <v>Bơm khí N2 cho máy GC</v>
          </cell>
          <cell r="C281" t="str">
            <v>Cái</v>
          </cell>
          <cell r="D281">
            <v>32</v>
          </cell>
          <cell r="E281">
            <v>24970000</v>
          </cell>
        </row>
        <row r="282">
          <cell r="B282" t="str">
            <v>Phễu chiết 100ml</v>
          </cell>
          <cell r="C282" t="str">
            <v>cái</v>
          </cell>
          <cell r="D282">
            <v>6</v>
          </cell>
          <cell r="E282">
            <v>700000</v>
          </cell>
        </row>
        <row r="283">
          <cell r="B283" t="str">
            <v>Phễu chiết 250ml</v>
          </cell>
          <cell r="C283" t="str">
            <v>Cái</v>
          </cell>
          <cell r="D283">
            <v>6</v>
          </cell>
          <cell r="E283">
            <v>1250000</v>
          </cell>
        </row>
        <row r="284">
          <cell r="B284" t="str">
            <v xml:space="preserve">Ống than hoạt tính ORBO 32 </v>
          </cell>
          <cell r="C284" t="str">
            <v>Ống</v>
          </cell>
          <cell r="D284">
            <v>1</v>
          </cell>
          <cell r="E284">
            <v>5000000</v>
          </cell>
        </row>
        <row r="285">
          <cell r="B285" t="str">
            <v>Tú lấy mẫu khí</v>
          </cell>
          <cell r="C285" t="str">
            <v>cái</v>
          </cell>
          <cell r="D285">
            <v>3</v>
          </cell>
          <cell r="E285">
            <v>500000</v>
          </cell>
        </row>
        <row r="286">
          <cell r="B286" t="str">
            <v>Bản đồ địa hình</v>
          </cell>
          <cell r="C286" t="str">
            <v>cái</v>
          </cell>
          <cell r="D286">
            <v>3</v>
          </cell>
          <cell r="E286">
            <v>70000</v>
          </cell>
        </row>
        <row r="287">
          <cell r="B287" t="str">
            <v xml:space="preserve">Cần lấy mẫu </v>
          </cell>
          <cell r="C287" t="str">
            <v>cái</v>
          </cell>
          <cell r="D287">
            <v>12</v>
          </cell>
          <cell r="E287">
            <v>25000000</v>
          </cell>
        </row>
        <row r="288">
          <cell r="B288" t="str">
            <v>Ống impinger</v>
          </cell>
          <cell r="C288" t="str">
            <v>cái</v>
          </cell>
          <cell r="D288">
            <v>12</v>
          </cell>
          <cell r="E288">
            <v>1600000</v>
          </cell>
        </row>
        <row r="289">
          <cell r="B289" t="str">
            <v xml:space="preserve">Hệ thống làm mát </v>
          </cell>
          <cell r="C289" t="str">
            <v>cái</v>
          </cell>
          <cell r="D289">
            <v>18</v>
          </cell>
          <cell r="E289">
            <v>45000000</v>
          </cell>
        </row>
        <row r="290">
          <cell r="B290" t="str">
            <v xml:space="preserve">Hệ thống van </v>
          </cell>
          <cell r="C290" t="str">
            <v>cái</v>
          </cell>
          <cell r="D290">
            <v>12</v>
          </cell>
          <cell r="E290">
            <v>35000000</v>
          </cell>
        </row>
        <row r="291">
          <cell r="B291" t="str">
            <v xml:space="preserve">Hệ lấy mẫu nước </v>
          </cell>
          <cell r="C291" t="str">
            <v>bộ</v>
          </cell>
          <cell r="D291">
            <v>24</v>
          </cell>
          <cell r="E291">
            <v>1500000</v>
          </cell>
        </row>
        <row r="292">
          <cell r="B292" t="str">
            <v xml:space="preserve">Đồng hồ đo: thể tích, lưu lượng và chân không </v>
          </cell>
          <cell r="C292" t="str">
            <v>cái</v>
          </cell>
          <cell r="D292">
            <v>12</v>
          </cell>
          <cell r="E292">
            <v>80000000</v>
          </cell>
        </row>
        <row r="293">
          <cell r="B293" t="str">
            <v xml:space="preserve">Đầu dò lấy mẫu </v>
          </cell>
          <cell r="C293" t="str">
            <v>cái</v>
          </cell>
          <cell r="D293">
            <v>2</v>
          </cell>
          <cell r="E293">
            <v>35000000</v>
          </cell>
        </row>
        <row r="294">
          <cell r="B294" t="str">
            <v>Thước dây</v>
          </cell>
          <cell r="C294" t="str">
            <v>Cái</v>
          </cell>
          <cell r="D294">
            <v>12</v>
          </cell>
          <cell r="E294">
            <v>180000</v>
          </cell>
        </row>
        <row r="295">
          <cell r="B295" t="str">
            <v>Kính bảo hộ</v>
          </cell>
          <cell r="C295" t="str">
            <v>Cái</v>
          </cell>
          <cell r="D295">
            <v>12</v>
          </cell>
          <cell r="E295">
            <v>120000</v>
          </cell>
        </row>
        <row r="296">
          <cell r="B296" t="str">
            <v>Kẹp khớp nối</v>
          </cell>
          <cell r="C296" t="str">
            <v>Cái</v>
          </cell>
          <cell r="D296">
            <v>12</v>
          </cell>
          <cell r="E296">
            <v>1000000</v>
          </cell>
        </row>
        <row r="297">
          <cell r="B297" t="str">
            <v>Ferrule 0.45</v>
          </cell>
          <cell r="D297">
            <v>3</v>
          </cell>
          <cell r="E297">
            <v>650000</v>
          </cell>
        </row>
        <row r="298">
          <cell r="B298" t="str">
            <v>Đầu lấy mẫu</v>
          </cell>
          <cell r="C298" t="str">
            <v>Cái</v>
          </cell>
          <cell r="D298">
            <v>18</v>
          </cell>
          <cell r="E298">
            <v>2500000</v>
          </cell>
        </row>
        <row r="299">
          <cell r="B299" t="str">
            <v xml:space="preserve">Hộp đựng mẫu </v>
          </cell>
          <cell r="C299" t="str">
            <v>hộp</v>
          </cell>
          <cell r="D299">
            <v>12</v>
          </cell>
          <cell r="E299">
            <v>500000</v>
          </cell>
        </row>
        <row r="300">
          <cell r="B300" t="str">
            <v>Ống lấy mẫu</v>
          </cell>
          <cell r="C300" t="str">
            <v>Cái</v>
          </cell>
          <cell r="D300">
            <v>18</v>
          </cell>
          <cell r="E300">
            <v>45000000</v>
          </cell>
        </row>
        <row r="301">
          <cell r="B301" t="str">
            <v>Bộ lưu giữ dung dung dịch hấp thụ</v>
          </cell>
          <cell r="C301" t="str">
            <v>Bộ</v>
          </cell>
          <cell r="D301">
            <v>12</v>
          </cell>
          <cell r="E301">
            <v>10000000</v>
          </cell>
        </row>
        <row r="302">
          <cell r="B302" t="str">
            <v>Hộp gia nhiệt</v>
          </cell>
          <cell r="C302" t="str">
            <v>Hộp</v>
          </cell>
          <cell r="D302">
            <v>18</v>
          </cell>
          <cell r="E302">
            <v>25000000</v>
          </cell>
        </row>
        <row r="303">
          <cell r="B303" t="str">
            <v xml:space="preserve">Acqui </v>
          </cell>
          <cell r="C303" t="str">
            <v>Bộ</v>
          </cell>
          <cell r="D303">
            <v>18</v>
          </cell>
          <cell r="E303">
            <v>4000000</v>
          </cell>
        </row>
        <row r="304">
          <cell r="B304" t="str">
            <v>Bộ dụng cụ thu hồi mẫu</v>
          </cell>
          <cell r="C304" t="str">
            <v>Bộ</v>
          </cell>
          <cell r="D304">
            <v>18</v>
          </cell>
          <cell r="E304">
            <v>10000000</v>
          </cell>
        </row>
        <row r="305">
          <cell r="B305" t="str">
            <v>Thước dây</v>
          </cell>
          <cell r="C305" t="str">
            <v>Cái</v>
          </cell>
          <cell r="D305">
            <v>12</v>
          </cell>
          <cell r="E305">
            <v>180000</v>
          </cell>
        </row>
        <row r="306">
          <cell r="B306" t="str">
            <v>Kẹp khớp nối</v>
          </cell>
          <cell r="C306" t="str">
            <v>Bộ</v>
          </cell>
          <cell r="D306">
            <v>12</v>
          </cell>
          <cell r="E306">
            <v>1000000</v>
          </cell>
        </row>
        <row r="307">
          <cell r="B307" t="str">
            <v>Bình tia</v>
          </cell>
          <cell r="C307" t="str">
            <v>Bình</v>
          </cell>
          <cell r="D307">
            <v>3</v>
          </cell>
          <cell r="E307">
            <v>110000</v>
          </cell>
        </row>
        <row r="308">
          <cell r="B308" t="str">
            <v>Bình chứa dung dịch thu hồi</v>
          </cell>
          <cell r="C308" t="str">
            <v>Bình</v>
          </cell>
          <cell r="D308">
            <v>3</v>
          </cell>
          <cell r="E308">
            <v>5000000</v>
          </cell>
        </row>
        <row r="309">
          <cell r="B309" t="str">
            <v>Bộ dây nối</v>
          </cell>
          <cell r="C309" t="str">
            <v>Bộ</v>
          </cell>
          <cell r="D309">
            <v>12</v>
          </cell>
          <cell r="E309">
            <v>40000000</v>
          </cell>
        </row>
        <row r="310">
          <cell r="B310" t="str">
            <v>Bộ ống hấp thụ</v>
          </cell>
          <cell r="C310" t="str">
            <v>Bộ</v>
          </cell>
          <cell r="D310">
            <v>12</v>
          </cell>
          <cell r="E310">
            <v>20000000</v>
          </cell>
        </row>
        <row r="311">
          <cell r="B311" t="str">
            <v>Khẩu trang phòng độc</v>
          </cell>
          <cell r="C311" t="str">
            <v>Đôi</v>
          </cell>
          <cell r="D311">
            <v>3</v>
          </cell>
          <cell r="E311">
            <v>15000000</v>
          </cell>
        </row>
        <row r="312">
          <cell r="B312" t="str">
            <v>Quần áo BHLĐ</v>
          </cell>
          <cell r="C312" t="str">
            <v>bộ</v>
          </cell>
          <cell r="D312">
            <v>6</v>
          </cell>
          <cell r="E312">
            <v>50000</v>
          </cell>
        </row>
        <row r="313">
          <cell r="B313" t="str">
            <v>Ủng</v>
          </cell>
          <cell r="C313" t="str">
            <v>Đôi</v>
          </cell>
          <cell r="D313">
            <v>12</v>
          </cell>
          <cell r="E313">
            <v>53000</v>
          </cell>
        </row>
        <row r="314">
          <cell r="B314" t="str">
            <v>Kính bảo hộ</v>
          </cell>
          <cell r="C314" t="str">
            <v>Cái</v>
          </cell>
          <cell r="D314">
            <v>12</v>
          </cell>
          <cell r="E314">
            <v>120000</v>
          </cell>
        </row>
        <row r="315">
          <cell r="B315" t="str">
            <v>Lọ thủy tinh  Ф 150h300</v>
          </cell>
          <cell r="C315" t="str">
            <v>cái</v>
          </cell>
          <cell r="D315">
            <v>6</v>
          </cell>
          <cell r="E315">
            <v>100000</v>
          </cell>
        </row>
        <row r="316">
          <cell r="B316" t="str">
            <v>Mũ cứng</v>
          </cell>
          <cell r="C316" t="str">
            <v>Cái</v>
          </cell>
          <cell r="D316">
            <v>3</v>
          </cell>
          <cell r="E316">
            <v>20000</v>
          </cell>
        </row>
        <row r="317">
          <cell r="B317" t="str">
            <v>Ô che mưa, che nắng</v>
          </cell>
          <cell r="C317" t="str">
            <v>Cái</v>
          </cell>
          <cell r="D317">
            <v>12</v>
          </cell>
          <cell r="E317">
            <v>120000</v>
          </cell>
        </row>
        <row r="318">
          <cell r="B318" t="str">
            <v>Bộ tách ẩm</v>
          </cell>
          <cell r="D318">
            <v>18</v>
          </cell>
          <cell r="E318">
            <v>30000000</v>
          </cell>
        </row>
        <row r="319">
          <cell r="B319" t="str">
            <v>Trap hấp phụ Hg 1</v>
          </cell>
          <cell r="D319">
            <v>3</v>
          </cell>
          <cell r="E319">
            <v>1500000</v>
          </cell>
        </row>
        <row r="320">
          <cell r="B320" t="str">
            <v>Trap hấp phụ Hg 2</v>
          </cell>
          <cell r="D320">
            <v>3</v>
          </cell>
          <cell r="E320">
            <v>1500000</v>
          </cell>
        </row>
        <row r="321">
          <cell r="B321" t="str">
            <v>Găng tay y tế</v>
          </cell>
          <cell r="C321" t="str">
            <v>hộp</v>
          </cell>
          <cell r="D321">
            <v>0.3</v>
          </cell>
          <cell r="E321">
            <v>400000</v>
          </cell>
        </row>
        <row r="322">
          <cell r="B322" t="str">
            <v>Millex-LH 13mm Philic PTFE .45µm Non-sterile IC-Certified 100/pk</v>
          </cell>
          <cell r="C322" t="str">
            <v>cái</v>
          </cell>
          <cell r="D322">
            <v>1</v>
          </cell>
          <cell r="E322">
            <v>62000</v>
          </cell>
        </row>
        <row r="323">
          <cell r="B323" t="str">
            <v>Cột khử Cadimi</v>
          </cell>
          <cell r="C323" t="str">
            <v>Cái</v>
          </cell>
          <cell r="D323">
            <v>6</v>
          </cell>
          <cell r="E323">
            <v>2000000</v>
          </cell>
        </row>
        <row r="324">
          <cell r="B324" t="str">
            <v>Pipet pasteur, thủy tinh trung tính, 23 cm</v>
          </cell>
          <cell r="C324" t="str">
            <v>Cái</v>
          </cell>
          <cell r="D324">
            <v>1</v>
          </cell>
          <cell r="E324">
            <v>4000</v>
          </cell>
        </row>
        <row r="325">
          <cell r="B325" t="str">
            <v>Lọ thủy tinh màu nâu, loại 2 mL, nắp dập và nắp dập có đệm PTFE</v>
          </cell>
          <cell r="C325" t="str">
            <v>Cái</v>
          </cell>
          <cell r="D325">
            <v>1</v>
          </cell>
          <cell r="E325">
            <v>15000</v>
          </cell>
        </row>
        <row r="326">
          <cell r="B326" t="str">
            <v>Ống mao quản thủy tinh, loại 0,1 mL, có đệm nhựa dùng với lọ thủy tinh 2 mL</v>
          </cell>
          <cell r="C326" t="str">
            <v>Cái</v>
          </cell>
          <cell r="D326">
            <v>1</v>
          </cell>
          <cell r="E326">
            <v>30000</v>
          </cell>
        </row>
      </sheetData>
      <sheetData sheetId="1">
        <row r="3">
          <cell r="B3" t="str">
            <v>(NaPO3)6</v>
          </cell>
          <cell r="C3" t="str">
            <v>Gam</v>
          </cell>
          <cell r="D3">
            <v>1000</v>
          </cell>
        </row>
        <row r="4">
          <cell r="B4" t="str">
            <v>4-hydroxy benzoate (C7H4O3)</v>
          </cell>
          <cell r="C4" t="str">
            <v>gam</v>
          </cell>
          <cell r="D4">
            <v>12000</v>
          </cell>
        </row>
        <row r="5">
          <cell r="B5" t="str">
            <v>(NH4)2Fe(SO4)2.6H2O</v>
          </cell>
          <cell r="C5" t="str">
            <v>gam</v>
          </cell>
          <cell r="D5">
            <v>3000</v>
          </cell>
        </row>
        <row r="6">
          <cell r="B6" t="str">
            <v>(NH4)2SO4</v>
          </cell>
          <cell r="C6" t="str">
            <v>gam</v>
          </cell>
          <cell r="D6">
            <v>1000</v>
          </cell>
        </row>
        <row r="7">
          <cell r="B7" t="str">
            <v>(NH4)6Mo7O24.4H2O</v>
          </cell>
          <cell r="C7" t="str">
            <v>gam</v>
          </cell>
          <cell r="D7">
            <v>11200</v>
          </cell>
        </row>
        <row r="8">
          <cell r="B8" t="str">
            <v>4-Amino-Antypyrin</v>
          </cell>
          <cell r="C8" t="str">
            <v>Gram</v>
          </cell>
          <cell r="D8">
            <v>24000</v>
          </cell>
        </row>
        <row r="9">
          <cell r="B9" t="str">
            <v>Aceton</v>
          </cell>
          <cell r="C9" t="str">
            <v>ml</v>
          </cell>
          <cell r="D9">
            <v>500</v>
          </cell>
        </row>
        <row r="10">
          <cell r="B10" t="str">
            <v>Acetonitrite</v>
          </cell>
          <cell r="C10" t="str">
            <v>ml</v>
          </cell>
          <cell r="D10">
            <v>1200</v>
          </cell>
        </row>
        <row r="11">
          <cell r="B11" t="str">
            <v>A-dinitrophenol</v>
          </cell>
          <cell r="C11" t="str">
            <v>Gam</v>
          </cell>
          <cell r="D11">
            <v>41500</v>
          </cell>
        </row>
        <row r="12">
          <cell r="B12" t="str">
            <v>a-dipyridin</v>
          </cell>
          <cell r="C12" t="str">
            <v>Gam</v>
          </cell>
          <cell r="D12">
            <v>225000</v>
          </cell>
        </row>
        <row r="13">
          <cell r="B13" t="str">
            <v>Ag2SO4</v>
          </cell>
          <cell r="C13" t="str">
            <v>Gam</v>
          </cell>
          <cell r="D13">
            <v>160000</v>
          </cell>
        </row>
        <row r="14">
          <cell r="B14" t="str">
            <v>AgNO3</v>
          </cell>
          <cell r="C14" t="str">
            <v>gam</v>
          </cell>
          <cell r="D14">
            <v>128000</v>
          </cell>
        </row>
        <row r="15">
          <cell r="B15" t="str">
            <v>Al(NO3)3</v>
          </cell>
          <cell r="C15" t="str">
            <v>ml</v>
          </cell>
          <cell r="D15">
            <v>3200</v>
          </cell>
        </row>
        <row r="16">
          <cell r="B16" t="str">
            <v>Ammonium pyrrolidinedithiocarbamate (APDC)</v>
          </cell>
          <cell r="C16" t="str">
            <v>Gam</v>
          </cell>
          <cell r="D16">
            <v>110400</v>
          </cell>
        </row>
        <row r="17">
          <cell r="B17" t="str">
            <v>AMP</v>
          </cell>
          <cell r="C17" t="str">
            <v>gram</v>
          </cell>
          <cell r="D17">
            <v>2400</v>
          </cell>
        </row>
        <row r="18">
          <cell r="B18" t="str">
            <v>a-Naphtylamin</v>
          </cell>
          <cell r="C18" t="str">
            <v>Gam</v>
          </cell>
          <cell r="D18">
            <v>125000</v>
          </cell>
        </row>
        <row r="19">
          <cell r="B19" t="str">
            <v>Axít acetic</v>
          </cell>
          <cell r="C19" t="str">
            <v>ml</v>
          </cell>
          <cell r="D19">
            <v>1600</v>
          </cell>
        </row>
        <row r="20">
          <cell r="B20" t="str">
            <v>Axit ascorbic</v>
          </cell>
          <cell r="C20" t="str">
            <v>ml</v>
          </cell>
          <cell r="D20">
            <v>3500</v>
          </cell>
        </row>
        <row r="21">
          <cell r="B21" t="str">
            <v>Axit Bacbituric</v>
          </cell>
          <cell r="C21" t="str">
            <v>gam</v>
          </cell>
          <cell r="D21">
            <v>32000</v>
          </cell>
        </row>
        <row r="22">
          <cell r="B22" t="str">
            <v>Axit glutamic</v>
          </cell>
          <cell r="C22" t="str">
            <v>gam</v>
          </cell>
          <cell r="D22">
            <v>1400</v>
          </cell>
        </row>
        <row r="23">
          <cell r="B23" t="str">
            <v>Axit oxalic</v>
          </cell>
          <cell r="C23" t="str">
            <v>gam</v>
          </cell>
          <cell r="D23">
            <v>1600</v>
          </cell>
        </row>
        <row r="24">
          <cell r="B24" t="str">
            <v>Axit phenoldisulfonic</v>
          </cell>
          <cell r="C24" t="str">
            <v>ml</v>
          </cell>
          <cell r="D24">
            <v>11200</v>
          </cell>
        </row>
        <row r="25">
          <cell r="B25" t="str">
            <v>Axit sulphamic</v>
          </cell>
          <cell r="C25" t="str">
            <v>gam</v>
          </cell>
          <cell r="D25">
            <v>1500</v>
          </cell>
        </row>
        <row r="26">
          <cell r="B26" t="str">
            <v>Axít sulphanilic</v>
          </cell>
          <cell r="C26" t="str">
            <v>gam</v>
          </cell>
          <cell r="D26">
            <v>8400</v>
          </cell>
        </row>
        <row r="27">
          <cell r="B27" t="str">
            <v>Đĩa điện phân</v>
          </cell>
          <cell r="C27" t="str">
            <v>Cái</v>
          </cell>
          <cell r="D27">
            <v>2500</v>
          </cell>
        </row>
        <row r="28">
          <cell r="B28" t="str">
            <v>BaC6Cl2O4</v>
          </cell>
          <cell r="C28" t="str">
            <v>ml</v>
          </cell>
          <cell r="D28">
            <v>460</v>
          </cell>
        </row>
        <row r="29">
          <cell r="B29" t="str">
            <v>BaCl2</v>
          </cell>
          <cell r="C29" t="str">
            <v>Gam</v>
          </cell>
          <cell r="D29">
            <v>1200</v>
          </cell>
        </row>
        <row r="30">
          <cell r="B30" t="str">
            <v>BaCl2.2H2O</v>
          </cell>
          <cell r="C30" t="str">
            <v>Gam</v>
          </cell>
          <cell r="D30">
            <v>1200</v>
          </cell>
        </row>
        <row r="31">
          <cell r="B31" t="str">
            <v>Bản đồ địa hình</v>
          </cell>
          <cell r="C31" t="str">
            <v>tờ</v>
          </cell>
          <cell r="D31">
            <v>70000</v>
          </cell>
        </row>
        <row r="32">
          <cell r="B32" t="str">
            <v>Bao đựng mẫu</v>
          </cell>
          <cell r="C32" t="str">
            <v>Cái</v>
          </cell>
          <cell r="D32">
            <v>2000</v>
          </cell>
        </row>
        <row r="33">
          <cell r="B33" t="str">
            <v>Băng giấy in</v>
          </cell>
          <cell r="C33" t="str">
            <v>gam</v>
          </cell>
          <cell r="D33">
            <v>60000</v>
          </cell>
        </row>
        <row r="34">
          <cell r="B34" t="str">
            <v>Sr(NO3)2</v>
          </cell>
          <cell r="C34" t="str">
            <v>gam</v>
          </cell>
          <cell r="D34">
            <v>1000</v>
          </cell>
        </row>
        <row r="35">
          <cell r="B35" t="str">
            <v>Ba(NO3)2</v>
          </cell>
          <cell r="C35" t="str">
            <v>gam</v>
          </cell>
          <cell r="D35">
            <v>800</v>
          </cell>
        </row>
        <row r="36">
          <cell r="B36" t="str">
            <v>NH4C2O4</v>
          </cell>
          <cell r="C36" t="str">
            <v>gam</v>
          </cell>
          <cell r="D36">
            <v>600</v>
          </cell>
        </row>
        <row r="37">
          <cell r="B37" t="str">
            <v>Nhựa trao đổi Anion</v>
          </cell>
          <cell r="C37" t="str">
            <v>gam</v>
          </cell>
          <cell r="D37">
            <v>1100</v>
          </cell>
        </row>
        <row r="38">
          <cell r="B38" t="str">
            <v>Nhựa trao đổi Cation</v>
          </cell>
          <cell r="C38" t="str">
            <v>gam</v>
          </cell>
          <cell r="D38">
            <v>1100</v>
          </cell>
        </row>
        <row r="39">
          <cell r="B39" t="str">
            <v>NH4CO3</v>
          </cell>
          <cell r="C39" t="str">
            <v>gam</v>
          </cell>
          <cell r="D39">
            <v>1000</v>
          </cell>
        </row>
        <row r="40">
          <cell r="B40" t="str">
            <v>Bông</v>
          </cell>
          <cell r="C40" t="str">
            <v>Kg</v>
          </cell>
          <cell r="D40">
            <v>55000</v>
          </cell>
        </row>
        <row r="41">
          <cell r="B41" t="str">
            <v>Bông thủy tinh</v>
          </cell>
          <cell r="C41" t="str">
            <v>gam</v>
          </cell>
          <cell r="D41">
            <v>1200</v>
          </cell>
        </row>
        <row r="42">
          <cell r="B42" t="str">
            <v>Bột Niken</v>
          </cell>
          <cell r="C42" t="str">
            <v>gam</v>
          </cell>
          <cell r="D42">
            <v>575000</v>
          </cell>
        </row>
        <row r="43">
          <cell r="B43" t="str">
            <v>Bột Pd</v>
          </cell>
          <cell r="C43" t="str">
            <v>gam</v>
          </cell>
          <cell r="D43">
            <v>5500000</v>
          </cell>
        </row>
        <row r="44">
          <cell r="B44" t="str">
            <v xml:space="preserve">Bột Cd </v>
          </cell>
          <cell r="C44" t="str">
            <v>gam</v>
          </cell>
          <cell r="D44">
            <v>30000</v>
          </cell>
        </row>
        <row r="45">
          <cell r="B45" t="str">
            <v>bột cu</v>
          </cell>
          <cell r="C45" t="str">
            <v>gam</v>
          </cell>
          <cell r="D45">
            <v>700000</v>
          </cell>
        </row>
        <row r="46">
          <cell r="B46" t="str">
            <v>Bromocresol</v>
          </cell>
          <cell r="C46" t="str">
            <v>ml</v>
          </cell>
          <cell r="D46">
            <v>64000</v>
          </cell>
        </row>
        <row r="47">
          <cell r="B47" t="str">
            <v>Brôm</v>
          </cell>
          <cell r="C47" t="str">
            <v>ml</v>
          </cell>
          <cell r="D47">
            <v>3600</v>
          </cell>
        </row>
        <row r="48">
          <cell r="B48" t="str">
            <v>CDTA- C14H22N2O8</v>
          </cell>
          <cell r="C48" t="str">
            <v>gam</v>
          </cell>
          <cell r="D48">
            <v>25000</v>
          </cell>
        </row>
        <row r="49">
          <cell r="B49" t="str">
            <v>Xenlulo</v>
          </cell>
          <cell r="C49" t="str">
            <v>gam</v>
          </cell>
          <cell r="D49">
            <v>21500</v>
          </cell>
        </row>
        <row r="50">
          <cell r="B50" t="str">
            <v>C12H8N2.H2O</v>
          </cell>
          <cell r="C50" t="str">
            <v>gam</v>
          </cell>
          <cell r="D50">
            <v>40000</v>
          </cell>
        </row>
        <row r="51">
          <cell r="B51" t="str">
            <v>C3N3O3Cl2Na.2H2O</v>
          </cell>
          <cell r="C51" t="str">
            <v>gam</v>
          </cell>
          <cell r="D51">
            <v>130000</v>
          </cell>
        </row>
        <row r="52">
          <cell r="B52" t="str">
            <v>C7H5NaO3</v>
          </cell>
          <cell r="C52" t="str">
            <v>gam</v>
          </cell>
          <cell r="D52">
            <v>4440</v>
          </cell>
        </row>
        <row r="53">
          <cell r="B53" t="str">
            <v>Ca(NO3)2.4H2O</v>
          </cell>
          <cell r="C53" t="str">
            <v>Gam</v>
          </cell>
          <cell r="D53">
            <v>1000</v>
          </cell>
        </row>
        <row r="54">
          <cell r="B54" t="str">
            <v>Ca(NO3)2</v>
          </cell>
          <cell r="C54" t="str">
            <v>gam</v>
          </cell>
          <cell r="D54">
            <v>1500</v>
          </cell>
        </row>
        <row r="55">
          <cell r="B55" t="str">
            <v>Các chất: Cs, Ca, Ba, Fe, Ni</v>
          </cell>
          <cell r="C55" t="str">
            <v>ml</v>
          </cell>
          <cell r="D55">
            <v>2400</v>
          </cell>
        </row>
        <row r="56">
          <cell r="B56" t="str">
            <v>CaCl2</v>
          </cell>
          <cell r="C56" t="str">
            <v>gam</v>
          </cell>
          <cell r="D56">
            <v>1200</v>
          </cell>
        </row>
        <row r="57">
          <cell r="B57" t="str">
            <v>CaCO3</v>
          </cell>
          <cell r="C57" t="str">
            <v>Gam</v>
          </cell>
          <cell r="D57">
            <v>1900</v>
          </cell>
        </row>
        <row r="58">
          <cell r="B58" t="str">
            <v>Cacbon disulfide (CS2)</v>
          </cell>
          <cell r="C58" t="str">
            <v>ml</v>
          </cell>
          <cell r="D58">
            <v>3000</v>
          </cell>
        </row>
        <row r="59">
          <cell r="B59" t="str">
            <v>Canh thang BGBL</v>
          </cell>
          <cell r="C59" t="str">
            <v>Gam</v>
          </cell>
          <cell r="D59">
            <v>1400</v>
          </cell>
        </row>
        <row r="60">
          <cell r="B60" t="str">
            <v>Canh thang lactose LT</v>
          </cell>
          <cell r="C60" t="str">
            <v>gam</v>
          </cell>
          <cell r="D60">
            <v>3700</v>
          </cell>
        </row>
        <row r="61">
          <cell r="B61" t="str">
            <v>Cloramin T</v>
          </cell>
          <cell r="C61" t="str">
            <v>gam</v>
          </cell>
          <cell r="D61">
            <v>25000</v>
          </cell>
        </row>
        <row r="62">
          <cell r="B62" t="str">
            <v>Cloroform</v>
          </cell>
          <cell r="C62" t="str">
            <v>ml</v>
          </cell>
          <cell r="D62">
            <v>750</v>
          </cell>
        </row>
        <row r="63">
          <cell r="B63" t="str">
            <v>Clorobenzen</v>
          </cell>
          <cell r="C63" t="str">
            <v>ml</v>
          </cell>
          <cell r="D63">
            <v>190000</v>
          </cell>
        </row>
        <row r="64">
          <cell r="B64" t="str">
            <v>Cồn lau dụng cụ</v>
          </cell>
          <cell r="C64" t="str">
            <v>ml</v>
          </cell>
          <cell r="D64">
            <v>35</v>
          </cell>
        </row>
        <row r="65">
          <cell r="B65" t="str">
            <v>Cồn lau dụng cụ (lít)</v>
          </cell>
          <cell r="C65" t="str">
            <v>lít</v>
          </cell>
          <cell r="D65">
            <v>35000</v>
          </cell>
        </row>
        <row r="66">
          <cell r="B66" t="str">
            <v>Cồn lau đầu đo</v>
          </cell>
          <cell r="C66" t="str">
            <v xml:space="preserve">ml </v>
          </cell>
          <cell r="D66">
            <v>35</v>
          </cell>
        </row>
        <row r="67">
          <cell r="B67" t="str">
            <v>CrO3</v>
          </cell>
          <cell r="C67" t="str">
            <v>gam</v>
          </cell>
          <cell r="D67">
            <v>192000</v>
          </cell>
        </row>
        <row r="68">
          <cell r="B68" t="str">
            <v>Cs</v>
          </cell>
          <cell r="C68" t="str">
            <v>ml</v>
          </cell>
          <cell r="D68">
            <v>2400</v>
          </cell>
        </row>
        <row r="69">
          <cell r="B69" t="str">
            <v>CsCl</v>
          </cell>
          <cell r="C69" t="str">
            <v>Gam</v>
          </cell>
          <cell r="D69">
            <v>12800</v>
          </cell>
        </row>
        <row r="70">
          <cell r="B70" t="str">
            <v>CuSO4</v>
          </cell>
          <cell r="C70" t="str">
            <v>Gam</v>
          </cell>
          <cell r="D70">
            <v>2200</v>
          </cell>
        </row>
        <row r="71">
          <cell r="B71" t="str">
            <v>CuSO4.5H2O</v>
          </cell>
          <cell r="C71" t="str">
            <v>gram</v>
          </cell>
          <cell r="D71">
            <v>2200</v>
          </cell>
        </row>
        <row r="72">
          <cell r="B72" t="str">
            <v>CH2Cl2</v>
          </cell>
          <cell r="C72" t="str">
            <v>ml</v>
          </cell>
          <cell r="D72">
            <v>450</v>
          </cell>
        </row>
        <row r="73">
          <cell r="B73" t="str">
            <v>CH3COOH</v>
          </cell>
          <cell r="C73" t="str">
            <v>ml</v>
          </cell>
          <cell r="D73">
            <v>2800</v>
          </cell>
        </row>
        <row r="74">
          <cell r="B74" t="str">
            <v>CH3COONa</v>
          </cell>
          <cell r="C74" t="str">
            <v>Gam</v>
          </cell>
          <cell r="D74">
            <v>940</v>
          </cell>
        </row>
        <row r="75">
          <cell r="B75" t="str">
            <v>CH3COONa.3H2O</v>
          </cell>
          <cell r="C75" t="str">
            <v>Gram</v>
          </cell>
          <cell r="D75">
            <v>940</v>
          </cell>
        </row>
        <row r="76">
          <cell r="B76" t="str">
            <v>C19H32O3S</v>
          </cell>
          <cell r="C76" t="str">
            <v>ml</v>
          </cell>
          <cell r="D76">
            <v>55000</v>
          </cell>
        </row>
        <row r="77">
          <cell r="B77" t="str">
            <v>Chai đựng mẫu</v>
          </cell>
          <cell r="C77" t="str">
            <v>cái</v>
          </cell>
          <cell r="D77">
            <v>80000</v>
          </cell>
        </row>
        <row r="78">
          <cell r="B78" t="str">
            <v>Chất điện giải</v>
          </cell>
          <cell r="C78" t="str">
            <v>ml</v>
          </cell>
          <cell r="D78">
            <v>110000</v>
          </cell>
        </row>
        <row r="79">
          <cell r="B79" t="str">
            <v>CHCl3</v>
          </cell>
          <cell r="C79" t="str">
            <v>ml</v>
          </cell>
          <cell r="D79">
            <v>750</v>
          </cell>
        </row>
        <row r="80">
          <cell r="B80" t="str">
            <v>Chiết pha rắn SPE</v>
          </cell>
          <cell r="C80" t="str">
            <v>Cái</v>
          </cell>
          <cell r="D80">
            <v>120000</v>
          </cell>
        </row>
        <row r="81">
          <cell r="B81" t="str">
            <v>Chiết pha rắn SPE (ml)</v>
          </cell>
          <cell r="C81" t="str">
            <v xml:space="preserve">ml </v>
          </cell>
          <cell r="D81">
            <v>1200</v>
          </cell>
        </row>
        <row r="82">
          <cell r="B82" t="str">
            <v>Dầu thủy lực</v>
          </cell>
          <cell r="C82" t="str">
            <v>Lít</v>
          </cell>
          <cell r="D82">
            <v>65000</v>
          </cell>
        </row>
        <row r="83">
          <cell r="B83" t="str">
            <v>Diatomit cỡ hạt 0,125mm-0,150mm</v>
          </cell>
          <cell r="C83" t="str">
            <v>gam</v>
          </cell>
          <cell r="D83">
            <v>4000</v>
          </cell>
        </row>
        <row r="84">
          <cell r="B84" t="str">
            <v>Diclormrthan</v>
          </cell>
          <cell r="C84" t="str">
            <v>ml</v>
          </cell>
          <cell r="D84">
            <v>450</v>
          </cell>
        </row>
        <row r="85">
          <cell r="B85" t="str">
            <v>Diphenylamin</v>
          </cell>
          <cell r="C85" t="str">
            <v>gam</v>
          </cell>
          <cell r="D85">
            <v>2400</v>
          </cell>
        </row>
        <row r="86">
          <cell r="B86" t="str">
            <v>Dithizon</v>
          </cell>
          <cell r="C86" t="str">
            <v>Gam</v>
          </cell>
          <cell r="D86">
            <v>66000</v>
          </cell>
        </row>
        <row r="87">
          <cell r="B87" t="str">
            <v>Dietyl ete</v>
          </cell>
          <cell r="C87" t="str">
            <v>ml</v>
          </cell>
          <cell r="D87">
            <v>1000</v>
          </cell>
        </row>
        <row r="88">
          <cell r="B88" t="str">
            <v>Oxit nhôm</v>
          </cell>
          <cell r="C88" t="str">
            <v>gam</v>
          </cell>
          <cell r="D88">
            <v>450</v>
          </cell>
        </row>
        <row r="89">
          <cell r="B89" t="str">
            <v>Dung dịch canxi chuẩn</v>
          </cell>
          <cell r="C89" t="str">
            <v xml:space="preserve">ml </v>
          </cell>
          <cell r="D89">
            <v>2400</v>
          </cell>
        </row>
        <row r="90">
          <cell r="B90" t="str">
            <v>Dung dịch chuẩn</v>
          </cell>
          <cell r="C90" t="str">
            <v>ml</v>
          </cell>
          <cell r="D90">
            <v>2400</v>
          </cell>
        </row>
        <row r="91">
          <cell r="B91" t="str">
            <v>Dung dịch chuẩn 0 NTU</v>
          </cell>
          <cell r="C91" t="str">
            <v>ml</v>
          </cell>
          <cell r="D91">
            <v>800</v>
          </cell>
        </row>
        <row r="92">
          <cell r="B92" t="str">
            <v>Dung dịch chuẩn 100 NTU</v>
          </cell>
          <cell r="C92" t="str">
            <v xml:space="preserve">ml </v>
          </cell>
          <cell r="D92">
            <v>4000</v>
          </cell>
        </row>
        <row r="93">
          <cell r="B93" t="str">
            <v>Dung dịch chuẩn 12280</v>
          </cell>
          <cell r="C93" t="str">
            <v>ml</v>
          </cell>
          <cell r="D93">
            <v>2400</v>
          </cell>
        </row>
        <row r="94">
          <cell r="B94" t="str">
            <v>Dung dịch chuẩn 1413</v>
          </cell>
          <cell r="C94" t="str">
            <v xml:space="preserve">ml </v>
          </cell>
          <cell r="D94">
            <v>2400</v>
          </cell>
        </row>
        <row r="95">
          <cell r="B95" t="str">
            <v>Dung dịch chuẩn 800 NTU</v>
          </cell>
          <cell r="C95" t="str">
            <v xml:space="preserve">ml </v>
          </cell>
          <cell r="D95">
            <v>5000</v>
          </cell>
        </row>
        <row r="96">
          <cell r="B96" t="str">
            <v>Dung dịch chuẩn 800 NTU</v>
          </cell>
          <cell r="C96" t="str">
            <v>ml</v>
          </cell>
          <cell r="D96">
            <v>5000</v>
          </cell>
        </row>
        <row r="97">
          <cell r="B97" t="str">
            <v>Dung dịch chuẩn 84</v>
          </cell>
          <cell r="C97" t="str">
            <v xml:space="preserve">ml </v>
          </cell>
          <cell r="D97">
            <v>2400</v>
          </cell>
        </row>
        <row r="98">
          <cell r="B98" t="str">
            <v>Dung dịch chuẩn Coban</v>
          </cell>
          <cell r="C98" t="str">
            <v xml:space="preserve">ml </v>
          </cell>
          <cell r="D98">
            <v>6000</v>
          </cell>
        </row>
        <row r="99">
          <cell r="B99" t="str">
            <v>Dung dịch chuẩn đa nguyên tố (ICP Standard)</v>
          </cell>
          <cell r="C99" t="str">
            <v>ml</v>
          </cell>
          <cell r="D99">
            <v>25000</v>
          </cell>
        </row>
        <row r="100">
          <cell r="B100" t="str">
            <v>Dung dịch chuẩn gốc 1000ppm</v>
          </cell>
          <cell r="C100" t="str">
            <v>ml</v>
          </cell>
          <cell r="D100">
            <v>2400</v>
          </cell>
        </row>
        <row r="101">
          <cell r="B101" t="str">
            <v>Dung dịch chuẩn PCBs</v>
          </cell>
          <cell r="D101">
            <v>14500000</v>
          </cell>
        </row>
        <row r="102">
          <cell r="B102" t="str">
            <v>Dung diịch chuẩn VOC</v>
          </cell>
          <cell r="C102" t="str">
            <v>ml</v>
          </cell>
          <cell r="D102">
            <v>4175000</v>
          </cell>
        </row>
        <row r="103">
          <cell r="B103" t="str">
            <v>Dung dịch chuẩn hỗn hợp nhóm Pyrethroid</v>
          </cell>
          <cell r="C103" t="str">
            <v xml:space="preserve">ml </v>
          </cell>
          <cell r="D103">
            <v>15000000</v>
          </cell>
        </row>
        <row r="104">
          <cell r="B104" t="str">
            <v>Dung dịch chuẩn PAHs</v>
          </cell>
          <cell r="C104" t="str">
            <v>ml</v>
          </cell>
          <cell r="D104">
            <v>13500000</v>
          </cell>
        </row>
        <row r="105">
          <cell r="B105" t="str">
            <v>Dung dịch chuẩn H2S</v>
          </cell>
          <cell r="C105" t="str">
            <v>ml</v>
          </cell>
          <cell r="D105">
            <v>4350</v>
          </cell>
        </row>
        <row r="106">
          <cell r="B106" t="str">
            <v>Dung dịch chuẩn K</v>
          </cell>
          <cell r="C106" t="str">
            <v>ml</v>
          </cell>
          <cell r="D106">
            <v>2400</v>
          </cell>
        </row>
        <row r="107">
          <cell r="B107" t="str">
            <v>Dung dịch chuẩn mix 13</v>
          </cell>
          <cell r="C107" t="str">
            <v xml:space="preserve">ml </v>
          </cell>
          <cell r="D107">
            <v>17000000</v>
          </cell>
        </row>
        <row r="108">
          <cell r="B108" t="str">
            <v>Dung dịch chuẩn Na</v>
          </cell>
          <cell r="C108" t="str">
            <v>ml</v>
          </cell>
          <cell r="D108">
            <v>2400</v>
          </cell>
        </row>
        <row r="109">
          <cell r="B109" t="str">
            <v>Dung dịch chuẩn Na2S2O3</v>
          </cell>
          <cell r="C109" t="str">
            <v>ml</v>
          </cell>
          <cell r="D109">
            <v>2000</v>
          </cell>
        </row>
        <row r="110">
          <cell r="B110" t="str">
            <v>Dung dịch chuẩn Na2SiO3</v>
          </cell>
          <cell r="C110" t="str">
            <v xml:space="preserve">ml </v>
          </cell>
          <cell r="D110">
            <v>4350</v>
          </cell>
        </row>
        <row r="111">
          <cell r="B111" t="str">
            <v>Dung dịch chuẩn NaNO2</v>
          </cell>
          <cell r="C111" t="str">
            <v xml:space="preserve">ml </v>
          </cell>
          <cell r="D111">
            <v>2400</v>
          </cell>
        </row>
        <row r="112">
          <cell r="B112" t="str">
            <v>Dung dịch chuẩn NaNO3</v>
          </cell>
          <cell r="C112" t="str">
            <v>ml</v>
          </cell>
          <cell r="D112">
            <v>4350</v>
          </cell>
        </row>
        <row r="113">
          <cell r="B113" t="str">
            <v>Dung dịch chuẩn Pb</v>
          </cell>
          <cell r="C113" t="str">
            <v>ml</v>
          </cell>
          <cell r="D113">
            <v>2400</v>
          </cell>
        </row>
        <row r="114">
          <cell r="B114" t="str">
            <v>Dung dịch chuẩn pH ở giá trị pH = 4 và pH = 10</v>
          </cell>
          <cell r="C114" t="str">
            <v>ml</v>
          </cell>
          <cell r="D114">
            <v>5500</v>
          </cell>
        </row>
        <row r="115">
          <cell r="B115" t="str">
            <v>Dung dịch chuẩn pH ở giá trị pH = 4 và pH = 7</v>
          </cell>
          <cell r="C115" t="str">
            <v>ml</v>
          </cell>
          <cell r="D115">
            <v>5500</v>
          </cell>
        </row>
        <row r="116">
          <cell r="B116" t="str">
            <v xml:space="preserve">Dung dịch chuẩn pH </v>
          </cell>
          <cell r="C116" t="str">
            <v>ml</v>
          </cell>
          <cell r="D116">
            <v>5500</v>
          </cell>
        </row>
        <row r="117">
          <cell r="B117" t="str">
            <v>Dung dịch chuẩn pH ở pH = 4, pH = 7, pH = 10</v>
          </cell>
          <cell r="C117" t="str">
            <v>ml</v>
          </cell>
          <cell r="D117">
            <v>5500</v>
          </cell>
        </row>
        <row r="118">
          <cell r="B118" t="str">
            <v>Dung dịch chuẩn P-PO4</v>
          </cell>
          <cell r="C118" t="str">
            <v>ml</v>
          </cell>
          <cell r="D118">
            <v>2400</v>
          </cell>
        </row>
        <row r="119">
          <cell r="B119" t="str">
            <v>Dung dịch chuẩn thẩm tra hiệu năng của thiết bị</v>
          </cell>
          <cell r="C119" t="str">
            <v>ml</v>
          </cell>
          <cell r="D119">
            <v>60000</v>
          </cell>
        </row>
        <row r="120">
          <cell r="B120" t="str">
            <v>Dung dịch chuẩn Trilon B</v>
          </cell>
          <cell r="C120" t="str">
            <v>Gam</v>
          </cell>
          <cell r="D120">
            <v>2400</v>
          </cell>
        </row>
        <row r="121">
          <cell r="B121" t="str">
            <v>Dung dịch chuẩn Trilon B 0,02N</v>
          </cell>
          <cell r="C121" t="str">
            <v xml:space="preserve">ml </v>
          </cell>
          <cell r="D121">
            <v>2400</v>
          </cell>
        </row>
        <row r="122">
          <cell r="B122" t="str">
            <v>Dung dịch chuẩn Trilon B 0,1N</v>
          </cell>
          <cell r="C122" t="str">
            <v>Gam</v>
          </cell>
          <cell r="D122">
            <v>2400</v>
          </cell>
        </row>
        <row r="123">
          <cell r="B123" t="str">
            <v>Dung dịch chuẩn ZnSO4</v>
          </cell>
          <cell r="C123" t="str">
            <v>ml</v>
          </cell>
          <cell r="D123">
            <v>2400</v>
          </cell>
        </row>
        <row r="124">
          <cell r="B124" t="str">
            <v>Dung dich đệm</v>
          </cell>
          <cell r="C124" t="str">
            <v>ml</v>
          </cell>
          <cell r="D124">
            <v>120000</v>
          </cell>
        </row>
        <row r="125">
          <cell r="B125" t="str">
            <v>Dung dịch điện cực DO</v>
          </cell>
          <cell r="C125" t="str">
            <v xml:space="preserve">ml </v>
          </cell>
          <cell r="D125">
            <v>2400</v>
          </cell>
        </row>
        <row r="126">
          <cell r="B126" t="str">
            <v>Dung dịch KCl</v>
          </cell>
          <cell r="C126" t="str">
            <v>ml</v>
          </cell>
          <cell r="D126">
            <v>180000</v>
          </cell>
        </row>
        <row r="127">
          <cell r="B127" t="str">
            <v xml:space="preserve">Đồng phtalocyanin tetrasunfonic  (C32H12CuN8O12S4Na4) </v>
          </cell>
          <cell r="C127" t="str">
            <v>g</v>
          </cell>
          <cell r="D127">
            <v>45000</v>
          </cell>
        </row>
        <row r="128">
          <cell r="B128" t="str">
            <v>Dung dịch làm sạch điện cực</v>
          </cell>
          <cell r="C128" t="str">
            <v>ml</v>
          </cell>
          <cell r="D128">
            <v>2400</v>
          </cell>
        </row>
        <row r="129">
          <cell r="B129" t="str">
            <v>Dung dịch nội chuẩn</v>
          </cell>
          <cell r="C129" t="str">
            <v xml:space="preserve">ml </v>
          </cell>
          <cell r="D129">
            <v>14500000</v>
          </cell>
        </row>
        <row r="130">
          <cell r="B130" t="str">
            <v>Dung dịch NH3 đặc</v>
          </cell>
          <cell r="C130" t="str">
            <v>ml</v>
          </cell>
          <cell r="D130">
            <v>2400</v>
          </cell>
        </row>
        <row r="131">
          <cell r="B131" t="str">
            <v>Dung dịch chuẩn 1000 Pt-Co</v>
          </cell>
          <cell r="C131" t="str">
            <v>ml</v>
          </cell>
          <cell r="D131">
            <v>5000</v>
          </cell>
        </row>
        <row r="132">
          <cell r="B132" t="str">
            <v xml:space="preserve">Dung dịch hấp phụ </v>
          </cell>
          <cell r="C132" t="str">
            <v>ml</v>
          </cell>
          <cell r="D132">
            <v>2400</v>
          </cell>
        </row>
        <row r="133">
          <cell r="B133" t="str">
            <v xml:space="preserve">Axit pha dung dịch hấp </v>
          </cell>
          <cell r="C133" t="str">
            <v>ml</v>
          </cell>
          <cell r="D133">
            <v>450</v>
          </cell>
        </row>
        <row r="134">
          <cell r="B134" t="str">
            <v>Dung dịch NH3+ chuẩn</v>
          </cell>
          <cell r="C134" t="str">
            <v xml:space="preserve">ml </v>
          </cell>
        </row>
        <row r="135">
          <cell r="B135" t="str">
            <v>Dung dịch NH4+ chuẩn</v>
          </cell>
          <cell r="C135" t="str">
            <v>ml</v>
          </cell>
          <cell r="D135">
            <v>2400</v>
          </cell>
        </row>
        <row r="136">
          <cell r="B136" t="str">
            <v>Dung dịch ureaxetic</v>
          </cell>
          <cell r="C136" t="str">
            <v xml:space="preserve">ml </v>
          </cell>
          <cell r="D136">
            <v>2400</v>
          </cell>
        </row>
        <row r="137">
          <cell r="B137" t="str">
            <v>Dung môi</v>
          </cell>
          <cell r="C137" t="str">
            <v>ml</v>
          </cell>
          <cell r="D137">
            <v>700</v>
          </cell>
        </row>
        <row r="138">
          <cell r="B138" t="str">
            <v>Đĩa CD</v>
          </cell>
          <cell r="C138" t="str">
            <v>cái</v>
          </cell>
          <cell r="D138">
            <v>11000</v>
          </cell>
        </row>
        <row r="139">
          <cell r="B139" t="str">
            <v>Đĩa mềm (đĩa A)</v>
          </cell>
          <cell r="C139" t="str">
            <v>cái</v>
          </cell>
          <cell r="D139">
            <v>8000</v>
          </cell>
        </row>
        <row r="140">
          <cell r="B140" t="str">
            <v xml:space="preserve">Đá khô </v>
          </cell>
          <cell r="C140" t="str">
            <v>túi</v>
          </cell>
          <cell r="D140">
            <v>50000</v>
          </cell>
        </row>
        <row r="141">
          <cell r="B141" t="str">
            <v>EDTA</v>
          </cell>
          <cell r="C141" t="str">
            <v>Gam</v>
          </cell>
          <cell r="D141">
            <v>2500</v>
          </cell>
        </row>
        <row r="142">
          <cell r="B142" t="str">
            <v>Eriocrom đen T</v>
          </cell>
          <cell r="C142" t="str">
            <v>Gam</v>
          </cell>
          <cell r="D142">
            <v>7500</v>
          </cell>
        </row>
        <row r="143">
          <cell r="B143" t="str">
            <v>Eriochrom đen</v>
          </cell>
          <cell r="C143" t="str">
            <v>Gam</v>
          </cell>
          <cell r="D143">
            <v>7500</v>
          </cell>
        </row>
        <row r="144">
          <cell r="B144" t="str">
            <v>Etanol</v>
          </cell>
          <cell r="C144" t="str">
            <v>ml</v>
          </cell>
          <cell r="D144">
            <v>400</v>
          </cell>
        </row>
        <row r="145">
          <cell r="B145" t="str">
            <v>FeCl3</v>
          </cell>
          <cell r="C145" t="str">
            <v>Gram</v>
          </cell>
          <cell r="D145">
            <v>3200</v>
          </cell>
        </row>
        <row r="146">
          <cell r="B146" t="str">
            <v>FeCl3, 6H2O</v>
          </cell>
          <cell r="C146" t="str">
            <v>gam</v>
          </cell>
          <cell r="D146">
            <v>1360</v>
          </cell>
        </row>
        <row r="147">
          <cell r="B147" t="str">
            <v>FeSO4(NH4)2SO4.H2O</v>
          </cell>
          <cell r="C147" t="str">
            <v>gam</v>
          </cell>
          <cell r="D147">
            <v>3000</v>
          </cell>
        </row>
        <row r="148">
          <cell r="B148" t="str">
            <v>FeSO4.7H2O</v>
          </cell>
          <cell r="C148" t="str">
            <v>gam</v>
          </cell>
          <cell r="D148">
            <v>1450</v>
          </cell>
        </row>
        <row r="149">
          <cell r="B149" t="str">
            <v>Florisil</v>
          </cell>
          <cell r="C149" t="str">
            <v>gram</v>
          </cell>
          <cell r="D149">
            <v>2000</v>
          </cell>
        </row>
        <row r="150">
          <cell r="B150" t="str">
            <v>Formaldehyt</v>
          </cell>
          <cell r="C150" t="str">
            <v>ml</v>
          </cell>
          <cell r="D150">
            <v>1600</v>
          </cell>
        </row>
        <row r="151">
          <cell r="B151" t="str">
            <v>Găng tay chịu nhiệt</v>
          </cell>
          <cell r="C151" t="str">
            <v>đôi</v>
          </cell>
          <cell r="D151">
            <v>400000</v>
          </cell>
        </row>
        <row r="152">
          <cell r="B152" t="str">
            <v>Glyxin</v>
          </cell>
          <cell r="C152" t="str">
            <v>gam</v>
          </cell>
          <cell r="D152">
            <v>1360</v>
          </cell>
        </row>
        <row r="153">
          <cell r="B153" t="str">
            <v>Gluco</v>
          </cell>
          <cell r="C153" t="str">
            <v>gam</v>
          </cell>
          <cell r="D153">
            <v>600</v>
          </cell>
        </row>
        <row r="154">
          <cell r="B154" t="str">
            <v>Glutamic</v>
          </cell>
          <cell r="C154" t="str">
            <v>gam</v>
          </cell>
          <cell r="D154">
            <v>1360</v>
          </cell>
        </row>
        <row r="155">
          <cell r="B155" t="str">
            <v>Glycerin</v>
          </cell>
          <cell r="C155" t="str">
            <v>ml</v>
          </cell>
          <cell r="D155">
            <v>1000</v>
          </cell>
        </row>
        <row r="156">
          <cell r="B156" t="str">
            <v>Giấy A4</v>
          </cell>
          <cell r="C156" t="str">
            <v>gam</v>
          </cell>
          <cell r="D156">
            <v>30000</v>
          </cell>
        </row>
        <row r="157">
          <cell r="B157" t="str">
            <v>Giấy lau</v>
          </cell>
          <cell r="C157" t="str">
            <v>cuộn</v>
          </cell>
          <cell r="D157">
            <v>80000</v>
          </cell>
        </row>
        <row r="158">
          <cell r="B158" t="str">
            <v>Giấy lọc bụi</v>
          </cell>
          <cell r="C158" t="str">
            <v>tờ</v>
          </cell>
          <cell r="D158">
            <v>60000</v>
          </cell>
        </row>
        <row r="159">
          <cell r="B159" t="str">
            <v>Giấy lọc 0,45 µm</v>
          </cell>
          <cell r="C159" t="str">
            <v>hộp</v>
          </cell>
          <cell r="D159">
            <v>750000</v>
          </cell>
        </row>
        <row r="160">
          <cell r="B160" t="str">
            <v xml:space="preserve">Giấy lọc </v>
          </cell>
          <cell r="C160" t="str">
            <v>hộp</v>
          </cell>
          <cell r="D160">
            <v>750000</v>
          </cell>
        </row>
        <row r="161">
          <cell r="B161" t="str">
            <v>Giấy lọc sợi thủy tinh</v>
          </cell>
          <cell r="C161" t="str">
            <v>hộp</v>
          </cell>
          <cell r="D161">
            <v>10000000</v>
          </cell>
        </row>
        <row r="162">
          <cell r="B162" t="str">
            <v>Giấy pH</v>
          </cell>
          <cell r="C162" t="str">
            <v>Hộp</v>
          </cell>
          <cell r="D162">
            <v>120000</v>
          </cell>
        </row>
        <row r="163">
          <cell r="B163" t="str">
            <v>Giấy thử pH</v>
          </cell>
          <cell r="C163" t="str">
            <v>Hộp</v>
          </cell>
          <cell r="D163">
            <v>120000</v>
          </cell>
        </row>
        <row r="164">
          <cell r="B164" t="str">
            <v>Gim bấm</v>
          </cell>
          <cell r="C164" t="str">
            <v>hộp</v>
          </cell>
          <cell r="D164">
            <v>2000</v>
          </cell>
        </row>
        <row r="165">
          <cell r="B165" t="str">
            <v>Gim kẹp giấy</v>
          </cell>
          <cell r="C165" t="str">
            <v>hộp</v>
          </cell>
          <cell r="D165">
            <v>2000</v>
          </cell>
        </row>
        <row r="166">
          <cell r="B166" t="str">
            <v>Hợp kim devarda</v>
          </cell>
          <cell r="C166" t="str">
            <v>gam</v>
          </cell>
          <cell r="D166">
            <v>55000</v>
          </cell>
        </row>
        <row r="167">
          <cell r="B167" t="str">
            <v>Hg(SCN)2</v>
          </cell>
          <cell r="C167" t="str">
            <v>gam</v>
          </cell>
          <cell r="D167">
            <v>125000</v>
          </cell>
        </row>
        <row r="168">
          <cell r="B168" t="str">
            <v>H2O2</v>
          </cell>
          <cell r="C168" t="str">
            <v>ml</v>
          </cell>
          <cell r="D168">
            <v>1100</v>
          </cell>
        </row>
        <row r="169">
          <cell r="B169" t="str">
            <v>H2O2 30%</v>
          </cell>
          <cell r="C169" t="str">
            <v>ml</v>
          </cell>
          <cell r="D169">
            <v>1100</v>
          </cell>
        </row>
        <row r="170">
          <cell r="B170" t="str">
            <v>H2O3 (chỉ có H2O2)</v>
          </cell>
          <cell r="C170" t="str">
            <v>ml</v>
          </cell>
          <cell r="D170">
            <v>1100</v>
          </cell>
        </row>
        <row r="171">
          <cell r="B171" t="str">
            <v>H2SO4</v>
          </cell>
          <cell r="C171" t="str">
            <v xml:space="preserve">ml </v>
          </cell>
          <cell r="D171">
            <v>575</v>
          </cell>
        </row>
        <row r="172">
          <cell r="B172" t="str">
            <v>H2SO4 5N</v>
          </cell>
          <cell r="C172" t="str">
            <v>ml</v>
          </cell>
          <cell r="D172">
            <v>900</v>
          </cell>
        </row>
        <row r="173">
          <cell r="B173" t="str">
            <v>H2SO4 đậm đặc</v>
          </cell>
          <cell r="C173" t="str">
            <v>ml</v>
          </cell>
          <cell r="D173">
            <v>1310</v>
          </cell>
        </row>
        <row r="174">
          <cell r="B174" t="str">
            <v>H2SO4 tiêu chuẩn</v>
          </cell>
          <cell r="C174" t="str">
            <v>ml</v>
          </cell>
          <cell r="D174">
            <v>900</v>
          </cell>
        </row>
        <row r="175">
          <cell r="B175" t="str">
            <v>H3BO3</v>
          </cell>
          <cell r="C175" t="str">
            <v>Gam</v>
          </cell>
          <cell r="D175">
            <v>800</v>
          </cell>
        </row>
        <row r="176">
          <cell r="B176" t="str">
            <v>H3O2</v>
          </cell>
          <cell r="C176" t="str">
            <v>ml</v>
          </cell>
          <cell r="D176">
            <v>1100</v>
          </cell>
        </row>
        <row r="177">
          <cell r="B177" t="str">
            <v>H3PO4</v>
          </cell>
          <cell r="C177" t="str">
            <v>ml</v>
          </cell>
          <cell r="D177">
            <v>1450</v>
          </cell>
        </row>
        <row r="178">
          <cell r="B178" t="str">
            <v>HCl</v>
          </cell>
          <cell r="C178" t="str">
            <v>ml</v>
          </cell>
          <cell r="D178">
            <v>550</v>
          </cell>
        </row>
        <row r="179">
          <cell r="B179" t="str">
            <v>HCl 1:1</v>
          </cell>
          <cell r="C179" t="str">
            <v>ml</v>
          </cell>
          <cell r="D179">
            <v>400</v>
          </cell>
        </row>
        <row r="180">
          <cell r="B180" t="str">
            <v>HCl 1N</v>
          </cell>
          <cell r="C180" t="str">
            <v>ml</v>
          </cell>
          <cell r="D180">
            <v>400</v>
          </cell>
        </row>
        <row r="181">
          <cell r="B181" t="str">
            <v>HCl tiêu chuẩn</v>
          </cell>
          <cell r="C181" t="str">
            <v>ml</v>
          </cell>
          <cell r="D181">
            <v>400</v>
          </cell>
        </row>
        <row r="182">
          <cell r="B182" t="str">
            <v>HCl-6N</v>
          </cell>
          <cell r="C182" t="str">
            <v>ml</v>
          </cell>
          <cell r="D182">
            <v>450</v>
          </cell>
        </row>
        <row r="183">
          <cell r="B183" t="str">
            <v>HClO4</v>
          </cell>
          <cell r="C183" t="str">
            <v>Gam</v>
          </cell>
          <cell r="D183">
            <v>2700</v>
          </cell>
        </row>
        <row r="184">
          <cell r="B184" t="str">
            <v>HF</v>
          </cell>
          <cell r="C184" t="str">
            <v>Gam (ml)</v>
          </cell>
          <cell r="D184">
            <v>2400</v>
          </cell>
        </row>
        <row r="185">
          <cell r="B185" t="str">
            <v>NH4I</v>
          </cell>
          <cell r="C185" t="str">
            <v>gam</v>
          </cell>
          <cell r="D185">
            <v>1500</v>
          </cell>
        </row>
        <row r="186">
          <cell r="B186" t="str">
            <v>Hg</v>
          </cell>
          <cell r="D186">
            <v>112000</v>
          </cell>
        </row>
        <row r="187">
          <cell r="B187" t="str">
            <v>HgCl2</v>
          </cell>
          <cell r="C187" t="str">
            <v>gam</v>
          </cell>
          <cell r="D187">
            <v>29000</v>
          </cell>
        </row>
        <row r="188">
          <cell r="B188" t="str">
            <v>HgCl</v>
          </cell>
          <cell r="C188" t="str">
            <v>gam</v>
          </cell>
          <cell r="D188">
            <v>29000</v>
          </cell>
        </row>
        <row r="189">
          <cell r="B189" t="str">
            <v>HgI2</v>
          </cell>
          <cell r="C189" t="str">
            <v>Gam</v>
          </cell>
          <cell r="D189">
            <v>89000</v>
          </cell>
        </row>
        <row r="190">
          <cell r="B190" t="str">
            <v>HgSO4</v>
          </cell>
          <cell r="C190" t="str">
            <v>gam</v>
          </cell>
          <cell r="D190">
            <v>45000</v>
          </cell>
        </row>
        <row r="191">
          <cell r="B191" t="str">
            <v>HNO3</v>
          </cell>
          <cell r="C191" t="str">
            <v>ml</v>
          </cell>
          <cell r="D191">
            <v>660</v>
          </cell>
        </row>
        <row r="192">
          <cell r="B192" t="str">
            <v xml:space="preserve">Hóa chất bảo quản mẫu </v>
          </cell>
          <cell r="C192" t="str">
            <v>ml</v>
          </cell>
          <cell r="D192">
            <v>8000</v>
          </cell>
        </row>
        <row r="193">
          <cell r="B193" t="str">
            <v>Hóa chất: Na2CO3, NH4Cl, K4FeCN6</v>
          </cell>
          <cell r="C193" t="str">
            <v>gram</v>
          </cell>
          <cell r="D193">
            <v>19500</v>
          </cell>
        </row>
        <row r="194">
          <cell r="B194" t="str">
            <v>Hydroxylamin</v>
          </cell>
          <cell r="C194" t="str">
            <v>Gam</v>
          </cell>
          <cell r="D194">
            <v>1960</v>
          </cell>
        </row>
        <row r="195">
          <cell r="B195" t="str">
            <v>I2</v>
          </cell>
          <cell r="C195" t="str">
            <v>gam</v>
          </cell>
          <cell r="D195">
            <v>46000</v>
          </cell>
        </row>
        <row r="196">
          <cell r="B196" t="str">
            <v>Iốt</v>
          </cell>
          <cell r="C196" t="str">
            <v>gam</v>
          </cell>
          <cell r="D196">
            <v>46000</v>
          </cell>
        </row>
        <row r="197">
          <cell r="B197" t="str">
            <v>Isooctan</v>
          </cell>
          <cell r="C197" t="str">
            <v>ml</v>
          </cell>
          <cell r="D197">
            <v>1500</v>
          </cell>
        </row>
        <row r="198">
          <cell r="B198" t="str">
            <v>K(SbO)C4H4O6.1/2H2O</v>
          </cell>
          <cell r="C198" t="str">
            <v>Gam</v>
          </cell>
          <cell r="D198">
            <v>7600</v>
          </cell>
        </row>
        <row r="199">
          <cell r="B199" t="str">
            <v>K2C4H4O6</v>
          </cell>
          <cell r="C199" t="str">
            <v>ml</v>
          </cell>
          <cell r="D199">
            <v>950</v>
          </cell>
        </row>
        <row r="200">
          <cell r="B200" t="str">
            <v>K2Cr2O7</v>
          </cell>
          <cell r="C200" t="str">
            <v>gam</v>
          </cell>
          <cell r="D200">
            <v>3100</v>
          </cell>
        </row>
        <row r="201">
          <cell r="B201" t="str">
            <v>K2CrO4</v>
          </cell>
          <cell r="C201" t="str">
            <v>gam</v>
          </cell>
          <cell r="D201">
            <v>1600</v>
          </cell>
        </row>
        <row r="202">
          <cell r="B202" t="str">
            <v>K2HPO4</v>
          </cell>
          <cell r="C202" t="str">
            <v>gam</v>
          </cell>
          <cell r="D202">
            <v>1600</v>
          </cell>
        </row>
        <row r="203">
          <cell r="B203" t="str">
            <v>K2S2O8</v>
          </cell>
          <cell r="C203" t="str">
            <v>gam</v>
          </cell>
          <cell r="D203">
            <v>2400</v>
          </cell>
        </row>
        <row r="204">
          <cell r="B204" t="str">
            <v>K2SO4</v>
          </cell>
          <cell r="C204" t="str">
            <v>gam</v>
          </cell>
          <cell r="D204">
            <v>3000</v>
          </cell>
        </row>
        <row r="205">
          <cell r="B205" t="str">
            <v>K3Fe(CN)6</v>
          </cell>
          <cell r="C205" t="str">
            <v>Gram</v>
          </cell>
          <cell r="D205">
            <v>8400</v>
          </cell>
        </row>
        <row r="206">
          <cell r="B206" t="str">
            <v>K4Fe(CN)6</v>
          </cell>
          <cell r="C206" t="str">
            <v>gam</v>
          </cell>
          <cell r="D206">
            <v>14200</v>
          </cell>
        </row>
        <row r="207">
          <cell r="B207" t="str">
            <v>K4Fe(CN)6-3H2O</v>
          </cell>
          <cell r="C207" t="str">
            <v>Gram</v>
          </cell>
          <cell r="D207">
            <v>2200</v>
          </cell>
        </row>
        <row r="208">
          <cell r="B208" t="str">
            <v>K4P2O7</v>
          </cell>
          <cell r="C208" t="str">
            <v>gam</v>
          </cell>
          <cell r="D208">
            <v>1900</v>
          </cell>
        </row>
        <row r="209">
          <cell r="B209" t="str">
            <v>Kali antimontatrat</v>
          </cell>
          <cell r="C209" t="str">
            <v>gam</v>
          </cell>
          <cell r="D209">
            <v>2500</v>
          </cell>
        </row>
        <row r="210">
          <cell r="B210" t="str">
            <v>Kaliphatalat</v>
          </cell>
          <cell r="C210" t="str">
            <v>Gam</v>
          </cell>
          <cell r="D210">
            <v>2500</v>
          </cell>
        </row>
        <row r="211">
          <cell r="B211" t="str">
            <v>KCl</v>
          </cell>
          <cell r="C211" t="str">
            <v>Gam</v>
          </cell>
          <cell r="D211">
            <v>1650</v>
          </cell>
        </row>
        <row r="212">
          <cell r="B212" t="str">
            <v>KCN</v>
          </cell>
          <cell r="C212" t="str">
            <v>Gam</v>
          </cell>
          <cell r="D212">
            <v>16000</v>
          </cell>
        </row>
        <row r="213">
          <cell r="B213" t="str">
            <v>KI</v>
          </cell>
          <cell r="C213" t="str">
            <v>gam</v>
          </cell>
          <cell r="D213">
            <v>6000</v>
          </cell>
        </row>
        <row r="214">
          <cell r="B214" t="str">
            <v>KIO3</v>
          </cell>
          <cell r="C214" t="str">
            <v>gam</v>
          </cell>
          <cell r="D214">
            <v>19000</v>
          </cell>
        </row>
        <row r="215">
          <cell r="B215" t="str">
            <v>KMnO4</v>
          </cell>
          <cell r="C215" t="str">
            <v>gam</v>
          </cell>
          <cell r="D215">
            <v>2250</v>
          </cell>
        </row>
        <row r="216">
          <cell r="B216" t="str">
            <v>KNO2</v>
          </cell>
          <cell r="C216" t="str">
            <v>gam</v>
          </cell>
          <cell r="D216">
            <v>8700</v>
          </cell>
        </row>
        <row r="217">
          <cell r="B217" t="str">
            <v>KNO2</v>
          </cell>
          <cell r="C217" t="str">
            <v xml:space="preserve">ml </v>
          </cell>
          <cell r="D217">
            <v>2400</v>
          </cell>
        </row>
        <row r="218">
          <cell r="B218" t="str">
            <v>KNO3</v>
          </cell>
          <cell r="C218" t="str">
            <v>gam</v>
          </cell>
          <cell r="D218">
            <v>1600</v>
          </cell>
        </row>
        <row r="219">
          <cell r="B219" t="str">
            <v>Toluen</v>
          </cell>
          <cell r="C219" t="str">
            <v>ml</v>
          </cell>
          <cell r="D219">
            <v>1000</v>
          </cell>
        </row>
        <row r="221">
          <cell r="B221" t="str">
            <v>KOH</v>
          </cell>
          <cell r="C221" t="str">
            <v>gam</v>
          </cell>
          <cell r="D221">
            <v>1400</v>
          </cell>
        </row>
        <row r="222">
          <cell r="B222" t="str">
            <v>KOH - 1M</v>
          </cell>
          <cell r="C222" t="str">
            <v>ml</v>
          </cell>
          <cell r="D222">
            <v>225</v>
          </cell>
        </row>
        <row r="223">
          <cell r="B223" t="str">
            <v>KOH - 8M</v>
          </cell>
          <cell r="C223" t="str">
            <v>ml</v>
          </cell>
          <cell r="D223">
            <v>475</v>
          </cell>
        </row>
        <row r="224">
          <cell r="B224" t="str">
            <v>KH2PO4</v>
          </cell>
          <cell r="C224" t="str">
            <v>Gam</v>
          </cell>
          <cell r="D224">
            <v>1500</v>
          </cell>
        </row>
        <row r="225">
          <cell r="B225" t="str">
            <v>KH2­PO4</v>
          </cell>
          <cell r="C225" t="str">
            <v>Gam</v>
          </cell>
          <cell r="D225">
            <v>1500</v>
          </cell>
        </row>
        <row r="226">
          <cell r="B226" t="str">
            <v>Khăn lau</v>
          </cell>
          <cell r="C226" t="str">
            <v>Cái</v>
          </cell>
          <cell r="D226">
            <v>20000</v>
          </cell>
        </row>
        <row r="227">
          <cell r="B227" t="str">
            <v>Khẩu trang y tế</v>
          </cell>
          <cell r="C227" t="str">
            <v>cái</v>
          </cell>
          <cell r="D227">
            <v>18000</v>
          </cell>
        </row>
        <row r="228">
          <cell r="B228" t="str">
            <v>Khí Acetylen</v>
          </cell>
          <cell r="C228" t="str">
            <v>bình</v>
          </cell>
          <cell r="D228">
            <v>3000000</v>
          </cell>
        </row>
        <row r="229">
          <cell r="B229" t="str">
            <v>Khí argon</v>
          </cell>
          <cell r="C229" t="str">
            <v>bình</v>
          </cell>
          <cell r="D229">
            <v>650000</v>
          </cell>
        </row>
        <row r="230">
          <cell r="B230" t="str">
            <v>Khí axetylen</v>
          </cell>
          <cell r="C230" t="str">
            <v>bình</v>
          </cell>
          <cell r="D230">
            <v>1000000</v>
          </cell>
        </row>
        <row r="231">
          <cell r="B231" t="str">
            <v>Khí chuẩn Metan</v>
          </cell>
          <cell r="C231" t="str">
            <v>bình</v>
          </cell>
          <cell r="D231">
            <v>35000000</v>
          </cell>
        </row>
        <row r="232">
          <cell r="B232" t="str">
            <v>Khí Heli</v>
          </cell>
          <cell r="C232" t="str">
            <v>bình</v>
          </cell>
          <cell r="D232">
            <v>4700000</v>
          </cell>
        </row>
        <row r="233">
          <cell r="B233" t="str">
            <v>Khí Hydro</v>
          </cell>
          <cell r="C233" t="str">
            <v>bình</v>
          </cell>
          <cell r="D233">
            <v>1700000</v>
          </cell>
        </row>
        <row r="234">
          <cell r="B234" t="str">
            <v>Khí Nitơ</v>
          </cell>
          <cell r="C234" t="str">
            <v>bình</v>
          </cell>
          <cell r="D234">
            <v>1200000</v>
          </cell>
        </row>
        <row r="235">
          <cell r="B235" t="str">
            <v xml:space="preserve">Kali hydrrophtalat (C8H5KO4 ) </v>
          </cell>
          <cell r="C235" t="str">
            <v>gam</v>
          </cell>
          <cell r="D235">
            <v>2500</v>
          </cell>
        </row>
        <row r="236">
          <cell r="B236" t="str">
            <v>Li2SO4.H2O</v>
          </cell>
          <cell r="C236" t="str">
            <v>gam</v>
          </cell>
          <cell r="D236">
            <v>1600</v>
          </cell>
        </row>
        <row r="237">
          <cell r="B237" t="str">
            <v>LiNO3</v>
          </cell>
          <cell r="C237" t="str">
            <v>Gam</v>
          </cell>
          <cell r="D237">
            <v>25000</v>
          </cell>
        </row>
        <row r="238">
          <cell r="B238" t="str">
            <v>Metyl Iso butylketon (MIBK)</v>
          </cell>
          <cell r="C238" t="str">
            <v>Gam</v>
          </cell>
          <cell r="D238">
            <v>98000</v>
          </cell>
        </row>
        <row r="239">
          <cell r="B239" t="str">
            <v>Màng lọc</v>
          </cell>
          <cell r="C239" t="str">
            <v>Cái</v>
          </cell>
          <cell r="D239">
            <v>27000</v>
          </cell>
        </row>
        <row r="240">
          <cell r="B240" t="str">
            <v>Màng lọc cho FIAS</v>
          </cell>
          <cell r="C240" t="str">
            <v>cái</v>
          </cell>
          <cell r="D240">
            <v>250000</v>
          </cell>
        </row>
        <row r="241">
          <cell r="B241" t="str">
            <v>Matit chịu nhiệt</v>
          </cell>
          <cell r="C241" t="str">
            <v>gram</v>
          </cell>
          <cell r="D241">
            <v>220</v>
          </cell>
        </row>
        <row r="242">
          <cell r="B242" t="str">
            <v xml:space="preserve">Mặt nạ phòng độc </v>
          </cell>
          <cell r="C242" t="str">
            <v>bộ</v>
          </cell>
          <cell r="D242">
            <v>320000</v>
          </cell>
        </row>
        <row r="243">
          <cell r="B243" t="str">
            <v>Methyl đỏ</v>
          </cell>
          <cell r="C243" t="str">
            <v>gam</v>
          </cell>
          <cell r="D243">
            <v>60000</v>
          </cell>
        </row>
        <row r="244">
          <cell r="B244" t="str">
            <v>Methyl da cam</v>
          </cell>
          <cell r="C244" t="str">
            <v>gam</v>
          </cell>
          <cell r="D244">
            <v>120000</v>
          </cell>
        </row>
        <row r="245">
          <cell r="B245" t="str">
            <v>Methylen xanh</v>
          </cell>
          <cell r="C245" t="str">
            <v>gam</v>
          </cell>
          <cell r="D245">
            <v>105000</v>
          </cell>
        </row>
        <row r="246">
          <cell r="B246" t="str">
            <v>Methanol</v>
          </cell>
          <cell r="C246" t="str">
            <v>gam</v>
          </cell>
          <cell r="D246">
            <v>600</v>
          </cell>
        </row>
        <row r="247">
          <cell r="B247" t="str">
            <v>Mg(NO3)2.6H2O</v>
          </cell>
          <cell r="C247" t="str">
            <v>Gam</v>
          </cell>
          <cell r="D247">
            <v>2400</v>
          </cell>
        </row>
        <row r="248">
          <cell r="B248" t="str">
            <v>MgCl2</v>
          </cell>
          <cell r="C248" t="str">
            <v>Gam</v>
          </cell>
          <cell r="D248">
            <v>1350</v>
          </cell>
        </row>
        <row r="249">
          <cell r="B249" t="str">
            <v>MgSO4.7H2O</v>
          </cell>
          <cell r="C249" t="str">
            <v>gam</v>
          </cell>
          <cell r="D249">
            <v>1400</v>
          </cell>
        </row>
        <row r="250">
          <cell r="B250" t="str">
            <v>Murexit</v>
          </cell>
          <cell r="C250" t="str">
            <v>Gam</v>
          </cell>
          <cell r="D250">
            <v>32000</v>
          </cell>
        </row>
        <row r="251">
          <cell r="B251" t="str">
            <v>Mực máy in</v>
          </cell>
          <cell r="C251" t="str">
            <v>hộp</v>
          </cell>
          <cell r="D251">
            <v>400000</v>
          </cell>
        </row>
        <row r="252">
          <cell r="B252" t="str">
            <v>N-(1-naphyl)-ethyllediamine</v>
          </cell>
          <cell r="C252" t="str">
            <v>gam</v>
          </cell>
          <cell r="D252">
            <v>125000</v>
          </cell>
        </row>
        <row r="253">
          <cell r="B253" t="str">
            <v>NaAsO2</v>
          </cell>
          <cell r="D253">
            <v>56000</v>
          </cell>
        </row>
        <row r="254">
          <cell r="B254" t="str">
            <v>Na(PO3)6</v>
          </cell>
          <cell r="C254" t="str">
            <v>gam</v>
          </cell>
          <cell r="D254">
            <v>4700</v>
          </cell>
        </row>
        <row r="255">
          <cell r="B255" t="str">
            <v>Na2[Fe(CN)5.NO].2H2O</v>
          </cell>
          <cell r="C255" t="str">
            <v>gam</v>
          </cell>
          <cell r="D255">
            <v>92000</v>
          </cell>
        </row>
        <row r="256">
          <cell r="B256" t="str">
            <v>Na2CO3</v>
          </cell>
          <cell r="C256" t="str">
            <v>Gam</v>
          </cell>
          <cell r="D256">
            <v>800</v>
          </cell>
        </row>
        <row r="257">
          <cell r="B257" t="str">
            <v>Na2HPO4</v>
          </cell>
          <cell r="C257" t="str">
            <v>gam</v>
          </cell>
          <cell r="D257">
            <v>1400</v>
          </cell>
        </row>
        <row r="258">
          <cell r="B258" t="str">
            <v>Na2MoO4</v>
          </cell>
          <cell r="C258" t="str">
            <v>gam</v>
          </cell>
          <cell r="D258">
            <v>12800</v>
          </cell>
        </row>
        <row r="259">
          <cell r="B259" t="str">
            <v>Na2S2O3</v>
          </cell>
          <cell r="C259" t="str">
            <v>gram</v>
          </cell>
          <cell r="D259">
            <v>800</v>
          </cell>
        </row>
        <row r="260">
          <cell r="B260" t="str">
            <v>Na2S2O3 0,1N</v>
          </cell>
          <cell r="C260" t="str">
            <v>gram</v>
          </cell>
          <cell r="D260">
            <v>800</v>
          </cell>
        </row>
        <row r="261">
          <cell r="B261" t="str">
            <v>Na2S2O5 0,1N</v>
          </cell>
          <cell r="C261" t="str">
            <v>gram</v>
          </cell>
          <cell r="D261">
            <v>1000</v>
          </cell>
        </row>
        <row r="262">
          <cell r="B262" t="str">
            <v>Na2SO3</v>
          </cell>
          <cell r="C262" t="str">
            <v>gam</v>
          </cell>
          <cell r="D262">
            <v>1200</v>
          </cell>
        </row>
        <row r="263">
          <cell r="B263" t="str">
            <v>Na2SO4</v>
          </cell>
          <cell r="C263" t="str">
            <v>Gam</v>
          </cell>
          <cell r="D263">
            <v>1000</v>
          </cell>
        </row>
        <row r="264">
          <cell r="B264" t="str">
            <v>Na2SO4.2H2O</v>
          </cell>
          <cell r="C264" t="str">
            <v>gam</v>
          </cell>
          <cell r="D264">
            <v>1000</v>
          </cell>
        </row>
        <row r="265">
          <cell r="B265" t="str">
            <v>Na3C6H5O7.2H2O</v>
          </cell>
          <cell r="C265" t="str">
            <v>gam</v>
          </cell>
          <cell r="D265">
            <v>1830</v>
          </cell>
        </row>
        <row r="266">
          <cell r="B266" t="str">
            <v>Na2B4O7.10H2O</v>
          </cell>
          <cell r="C266" t="str">
            <v>gam</v>
          </cell>
          <cell r="D266">
            <v>8900</v>
          </cell>
        </row>
        <row r="267">
          <cell r="B267" t="str">
            <v>NaBH4</v>
          </cell>
          <cell r="C267" t="str">
            <v>gam</v>
          </cell>
          <cell r="D267">
            <v>52400</v>
          </cell>
        </row>
        <row r="268">
          <cell r="B268" t="str">
            <v>NaBr</v>
          </cell>
          <cell r="C268" t="str">
            <v>gram</v>
          </cell>
          <cell r="D268">
            <v>2200</v>
          </cell>
        </row>
        <row r="269">
          <cell r="B269" t="str">
            <v>NaC7H5NaO3</v>
          </cell>
          <cell r="C269" t="str">
            <v>gam</v>
          </cell>
          <cell r="D269">
            <v>4440</v>
          </cell>
        </row>
        <row r="270">
          <cell r="B270" t="str">
            <v>NaCl</v>
          </cell>
          <cell r="C270" t="str">
            <v>Gam</v>
          </cell>
          <cell r="D270">
            <v>700</v>
          </cell>
        </row>
        <row r="271">
          <cell r="B271" t="str">
            <v>NaClO</v>
          </cell>
          <cell r="C271" t="str">
            <v>ml</v>
          </cell>
          <cell r="D271">
            <v>2850</v>
          </cell>
        </row>
        <row r="272">
          <cell r="B272" t="str">
            <v>NaCN</v>
          </cell>
          <cell r="C272" t="str">
            <v>gam</v>
          </cell>
          <cell r="D272">
            <v>1770</v>
          </cell>
        </row>
        <row r="273">
          <cell r="B273" t="str">
            <v>NaCH3COO</v>
          </cell>
          <cell r="C273" t="str">
            <v>Gam</v>
          </cell>
          <cell r="D273">
            <v>940</v>
          </cell>
        </row>
        <row r="274">
          <cell r="B274" t="str">
            <v>NaF</v>
          </cell>
          <cell r="C274" t="str">
            <v>Gam</v>
          </cell>
          <cell r="D274">
            <v>2400</v>
          </cell>
        </row>
        <row r="275">
          <cell r="B275" t="str">
            <v>NaHCO3</v>
          </cell>
          <cell r="C275" t="str">
            <v>ml</v>
          </cell>
          <cell r="D275">
            <v>835</v>
          </cell>
        </row>
        <row r="276">
          <cell r="B276" t="str">
            <v>NaKC4H4O6</v>
          </cell>
          <cell r="C276" t="str">
            <v>Gam</v>
          </cell>
          <cell r="D276">
            <v>2800</v>
          </cell>
        </row>
        <row r="277">
          <cell r="B277" t="str">
            <v>NaNO2</v>
          </cell>
          <cell r="C277" t="str">
            <v>gam</v>
          </cell>
          <cell r="D277">
            <v>1300</v>
          </cell>
        </row>
        <row r="278">
          <cell r="B278" t="str">
            <v>NaNO3</v>
          </cell>
          <cell r="C278" t="str">
            <v>Gam</v>
          </cell>
          <cell r="D278">
            <v>1400</v>
          </cell>
        </row>
        <row r="279">
          <cell r="B279" t="str">
            <v>NaOH</v>
          </cell>
          <cell r="C279" t="str">
            <v>Gam</v>
          </cell>
          <cell r="D279">
            <v>1340</v>
          </cell>
        </row>
        <row r="280">
          <cell r="B280" t="str">
            <v>NaOH 1N</v>
          </cell>
          <cell r="C280" t="str">
            <v>ml</v>
          </cell>
          <cell r="D280">
            <v>1160</v>
          </cell>
        </row>
        <row r="281">
          <cell r="B281" t="str">
            <v xml:space="preserve">Natri tetracloromercurat </v>
          </cell>
          <cell r="C281" t="str">
            <v>gam</v>
          </cell>
          <cell r="D281">
            <v>15000</v>
          </cell>
        </row>
        <row r="282">
          <cell r="B282" t="str">
            <v>Naphtylaminclohydrat</v>
          </cell>
          <cell r="C282" t="str">
            <v>gam</v>
          </cell>
          <cell r="D282">
            <v>37000</v>
          </cell>
        </row>
        <row r="283">
          <cell r="B283" t="str">
            <v>Natri Sunfit khan (Na2SO3)</v>
          </cell>
          <cell r="C283" t="str">
            <v>gam</v>
          </cell>
          <cell r="D283">
            <v>75000</v>
          </cell>
        </row>
        <row r="284">
          <cell r="B284" t="str">
            <v>Natrimethyl đỏ</v>
          </cell>
          <cell r="C284" t="str">
            <v>gam</v>
          </cell>
          <cell r="D284">
            <v>260000</v>
          </cell>
        </row>
        <row r="285">
          <cell r="B285" t="str">
            <v>n-Butanol</v>
          </cell>
          <cell r="C285" t="str">
            <v>ml</v>
          </cell>
          <cell r="D285">
            <v>780</v>
          </cell>
        </row>
        <row r="286">
          <cell r="B286" t="str">
            <v>n-Hexan</v>
          </cell>
          <cell r="C286" t="str">
            <v>ml</v>
          </cell>
          <cell r="D286">
            <v>1600</v>
          </cell>
        </row>
        <row r="287">
          <cell r="B287" t="str">
            <v>N,N-dimethyl-pphenylenediamineoxalate</v>
          </cell>
          <cell r="C287" t="str">
            <v>gam</v>
          </cell>
          <cell r="D287">
            <v>575000</v>
          </cell>
        </row>
        <row r="288">
          <cell r="B288" t="str">
            <v>Nitơ lỏng</v>
          </cell>
          <cell r="C288" t="str">
            <v>lít</v>
          </cell>
          <cell r="D288">
            <v>25000</v>
          </cell>
        </row>
        <row r="289">
          <cell r="B289" t="str">
            <v>N-Naphtylamin</v>
          </cell>
          <cell r="C289" t="str">
            <v>gam</v>
          </cell>
          <cell r="D289">
            <v>705000</v>
          </cell>
        </row>
        <row r="290">
          <cell r="B290" t="str">
            <v>Nước cất</v>
          </cell>
          <cell r="C290" t="str">
            <v>Lít</v>
          </cell>
          <cell r="D290">
            <v>5000</v>
          </cell>
        </row>
        <row r="291">
          <cell r="B291" t="str">
            <v>Nước cất (ml)</v>
          </cell>
          <cell r="C291" t="str">
            <v>ml</v>
          </cell>
          <cell r="D291">
            <v>5</v>
          </cell>
        </row>
        <row r="292">
          <cell r="B292" t="str">
            <v>Nước cất không chứa NH4+</v>
          </cell>
          <cell r="C292" t="str">
            <v>ml</v>
          </cell>
          <cell r="D292">
            <v>100</v>
          </cell>
        </row>
        <row r="293">
          <cell r="B293" t="str">
            <v>Nước rửa dụng cụ</v>
          </cell>
          <cell r="C293" t="str">
            <v>lít</v>
          </cell>
          <cell r="D293">
            <v>3500</v>
          </cell>
        </row>
        <row r="294">
          <cell r="B294" t="str">
            <v>Nước rửa đầu đo</v>
          </cell>
          <cell r="C294" t="str">
            <v>Lít</v>
          </cell>
          <cell r="D294">
            <v>390000</v>
          </cell>
        </row>
        <row r="295">
          <cell r="B295" t="str">
            <v>NH3</v>
          </cell>
          <cell r="C295" t="str">
            <v>ml</v>
          </cell>
          <cell r="D295">
            <v>415</v>
          </cell>
        </row>
        <row r="296">
          <cell r="B296" t="str">
            <v>NH4Cl</v>
          </cell>
          <cell r="C296" t="str">
            <v>gam</v>
          </cell>
          <cell r="D296">
            <v>800</v>
          </cell>
        </row>
        <row r="297">
          <cell r="B297" t="str">
            <v>NH4COOH</v>
          </cell>
          <cell r="C297" t="str">
            <v>Gam</v>
          </cell>
          <cell r="D297">
            <v>900</v>
          </cell>
        </row>
        <row r="298">
          <cell r="B298" t="str">
            <v>NH4NO3</v>
          </cell>
          <cell r="C298" t="str">
            <v>ml</v>
          </cell>
          <cell r="D298">
            <v>980</v>
          </cell>
        </row>
        <row r="299">
          <cell r="B299" t="str">
            <v>NH4OCl</v>
          </cell>
          <cell r="C299" t="str">
            <v>gam</v>
          </cell>
          <cell r="D299">
            <v>12000</v>
          </cell>
        </row>
        <row r="300">
          <cell r="B300" t="str">
            <v>NH4OH</v>
          </cell>
          <cell r="C300" t="str">
            <v>ml</v>
          </cell>
          <cell r="D300">
            <v>500</v>
          </cell>
        </row>
        <row r="301">
          <cell r="B301" t="str">
            <v>Oxalic</v>
          </cell>
          <cell r="C301" t="str">
            <v>gam</v>
          </cell>
          <cell r="D301">
            <v>1780</v>
          </cell>
        </row>
        <row r="302">
          <cell r="B302" t="str">
            <v>Ống chuẩn AgNO3 0,1N</v>
          </cell>
          <cell r="C302" t="str">
            <v>ống</v>
          </cell>
          <cell r="D302">
            <v>4000000</v>
          </cell>
        </row>
        <row r="303">
          <cell r="B303" t="str">
            <v>Ống chuẩn K2C2O7 0.1N</v>
          </cell>
          <cell r="C303" t="str">
            <v>ống</v>
          </cell>
          <cell r="D303">
            <v>2200000</v>
          </cell>
        </row>
        <row r="304">
          <cell r="B304" t="str">
            <v>Ống dẫn khí</v>
          </cell>
          <cell r="C304" t="str">
            <v>cái</v>
          </cell>
          <cell r="D304">
            <v>250000</v>
          </cell>
        </row>
        <row r="305">
          <cell r="B305" t="str">
            <v>Ống ổn nhiệt dòng khí</v>
          </cell>
          <cell r="C305" t="str">
            <v>cái</v>
          </cell>
          <cell r="D305">
            <v>425000</v>
          </cell>
        </row>
        <row r="306">
          <cell r="B306" t="str">
            <v>Pararosanilin</v>
          </cell>
          <cell r="C306" t="str">
            <v>gam</v>
          </cell>
          <cell r="D306">
            <v>22000</v>
          </cell>
        </row>
        <row r="307">
          <cell r="B307" t="str">
            <v>PdCl2</v>
          </cell>
          <cell r="C307" t="str">
            <v>gam</v>
          </cell>
          <cell r="D307">
            <v>5590000</v>
          </cell>
        </row>
        <row r="308">
          <cell r="B308" t="str">
            <v>Pin chuyên dụng</v>
          </cell>
          <cell r="C308" t="str">
            <v>cục</v>
          </cell>
          <cell r="D308">
            <v>25000</v>
          </cell>
        </row>
        <row r="309">
          <cell r="B309" t="str">
            <v>Pipet Pasteur</v>
          </cell>
          <cell r="C309" t="str">
            <v>cái</v>
          </cell>
          <cell r="D309">
            <v>500</v>
          </cell>
        </row>
        <row r="310">
          <cell r="B310" t="str">
            <v>Polyseed</v>
          </cell>
          <cell r="C310" t="str">
            <v>viên</v>
          </cell>
          <cell r="D310">
            <v>135000</v>
          </cell>
        </row>
        <row r="311">
          <cell r="B311" t="str">
            <v>Phenol chuẩn</v>
          </cell>
          <cell r="C311" t="str">
            <v>Gram</v>
          </cell>
          <cell r="D311">
            <v>2500</v>
          </cell>
        </row>
        <row r="312">
          <cell r="B312" t="str">
            <v>Phenolphtalein</v>
          </cell>
          <cell r="C312" t="str">
            <v>Gam</v>
          </cell>
          <cell r="D312">
            <v>16000</v>
          </cell>
        </row>
        <row r="313">
          <cell r="B313" t="str">
            <v>SPADNS (C16H9O11N2S3Na3)</v>
          </cell>
          <cell r="C313" t="str">
            <v>gam</v>
          </cell>
          <cell r="D313">
            <v>115000</v>
          </cell>
        </row>
        <row r="314">
          <cell r="B314" t="str">
            <v xml:space="preserve">Septa cho vial </v>
          </cell>
          <cell r="C314" t="str">
            <v>Cái</v>
          </cell>
          <cell r="D314">
            <v>7500</v>
          </cell>
        </row>
        <row r="315">
          <cell r="B315" t="str">
            <v xml:space="preserve">Silicagel </v>
          </cell>
          <cell r="C315" t="str">
            <v>gam</v>
          </cell>
          <cell r="D315">
            <v>1600</v>
          </cell>
        </row>
        <row r="316">
          <cell r="B316" t="str">
            <v>SnCl2.2H2O</v>
          </cell>
          <cell r="C316" t="str">
            <v>gam</v>
          </cell>
          <cell r="D316">
            <v>16000</v>
          </cell>
        </row>
        <row r="317">
          <cell r="B317" t="str">
            <v>Sodium tetraborate decahydrate</v>
          </cell>
          <cell r="C317" t="str">
            <v>Gam</v>
          </cell>
          <cell r="D317">
            <v>8900</v>
          </cell>
        </row>
        <row r="318">
          <cell r="B318" t="str">
            <v>Sổ công tác</v>
          </cell>
          <cell r="C318" t="str">
            <v>cuốn</v>
          </cell>
          <cell r="D318">
            <v>10000</v>
          </cell>
        </row>
        <row r="319">
          <cell r="B319" t="str">
            <v>Sổ nhật ký hiện trường</v>
          </cell>
          <cell r="C319" t="str">
            <v>cuốn</v>
          </cell>
          <cell r="D319">
            <v>10000</v>
          </cell>
        </row>
        <row r="320">
          <cell r="B320" t="str">
            <v>Sulfaniamide</v>
          </cell>
          <cell r="C320" t="str">
            <v>gam</v>
          </cell>
          <cell r="D320">
            <v>24500</v>
          </cell>
        </row>
        <row r="321">
          <cell r="B321" t="str">
            <v>Sulfo salisilic</v>
          </cell>
          <cell r="C321" t="str">
            <v>Gam</v>
          </cell>
          <cell r="D321">
            <v>22500</v>
          </cell>
        </row>
        <row r="322">
          <cell r="B322" t="str">
            <v>Túi CO</v>
          </cell>
          <cell r="C322" t="str">
            <v>cái</v>
          </cell>
          <cell r="D322">
            <v>100000</v>
          </cell>
        </row>
        <row r="323">
          <cell r="B323" t="str">
            <v>Túi nilon</v>
          </cell>
          <cell r="C323" t="str">
            <v>cái</v>
          </cell>
          <cell r="D323">
            <v>100</v>
          </cell>
        </row>
        <row r="324">
          <cell r="B324" t="str">
            <v>Túi PE</v>
          </cell>
          <cell r="C324" t="str">
            <v>Cái</v>
          </cell>
          <cell r="D324">
            <v>500</v>
          </cell>
        </row>
        <row r="325">
          <cell r="B325" t="str">
            <v>Bút ghi kính</v>
          </cell>
          <cell r="C325" t="str">
            <v>cái</v>
          </cell>
          <cell r="D325">
            <v>10000</v>
          </cell>
        </row>
        <row r="326">
          <cell r="B326" t="str">
            <v>Than hoạt tính</v>
          </cell>
          <cell r="C326" t="str">
            <v>gam</v>
          </cell>
          <cell r="D326">
            <v>5000</v>
          </cell>
        </row>
        <row r="327">
          <cell r="B327" t="str">
            <v>Thùng đựng chai lấy mẫu</v>
          </cell>
          <cell r="C327" t="str">
            <v>thùng</v>
          </cell>
          <cell r="D327">
            <v>1000000</v>
          </cell>
        </row>
        <row r="328">
          <cell r="B328" t="str">
            <v>Thùng đựng túi lấy mẫu</v>
          </cell>
          <cell r="C328" t="str">
            <v>thùng</v>
          </cell>
          <cell r="D328">
            <v>500000</v>
          </cell>
        </row>
        <row r="329">
          <cell r="B329" t="str">
            <v>Thùng đựng và bảo quản mẫu</v>
          </cell>
          <cell r="C329" t="str">
            <v>cái</v>
          </cell>
          <cell r="D329">
            <v>120000</v>
          </cell>
        </row>
        <row r="330">
          <cell r="B330" t="str">
            <v>Trietanolamin</v>
          </cell>
          <cell r="C330" t="str">
            <v>Gam</v>
          </cell>
          <cell r="D330">
            <v>3500</v>
          </cell>
        </row>
        <row r="331">
          <cell r="B331" t="str">
            <v>Trilon B</v>
          </cell>
          <cell r="C331" t="str">
            <v>gam</v>
          </cell>
          <cell r="D331">
            <v>1500</v>
          </cell>
        </row>
        <row r="332">
          <cell r="B332" t="str">
            <v>Vial</v>
          </cell>
          <cell r="C332" t="str">
            <v>Cái</v>
          </cell>
          <cell r="D332">
            <v>45000</v>
          </cell>
        </row>
        <row r="333">
          <cell r="B333" t="str">
            <v>ZnSO4</v>
          </cell>
          <cell r="C333" t="str">
            <v>gam</v>
          </cell>
          <cell r="D333">
            <v>8500</v>
          </cell>
        </row>
        <row r="334">
          <cell r="B334" t="str">
            <v>Zn(CH3COO)2</v>
          </cell>
          <cell r="C334" t="str">
            <v>gam</v>
          </cell>
          <cell r="D334">
            <v>3100</v>
          </cell>
        </row>
        <row r="335">
          <cell r="B335" t="str">
            <v>α-Naphtylamin</v>
          </cell>
          <cell r="C335" t="str">
            <v>ml</v>
          </cell>
          <cell r="D335">
            <v>12500</v>
          </cell>
        </row>
        <row r="336">
          <cell r="B336" t="str">
            <v>Khí chuẩn</v>
          </cell>
          <cell r="C336" t="str">
            <v>bình</v>
          </cell>
          <cell r="D336">
            <v>35000000</v>
          </cell>
        </row>
        <row r="337">
          <cell r="B337" t="str">
            <v>Quartz Fiber Filters</v>
          </cell>
          <cell r="C337" t="str">
            <v>cái</v>
          </cell>
          <cell r="D337">
            <v>300000</v>
          </cell>
        </row>
        <row r="338">
          <cell r="B338" t="str">
            <v xml:space="preserve">Hộp đựng mẫu </v>
          </cell>
          <cell r="C338" t="str">
            <v>Hộp</v>
          </cell>
          <cell r="D338">
            <v>500000</v>
          </cell>
        </row>
        <row r="339">
          <cell r="B339" t="str">
            <v>Detectơ vết hạt nhân</v>
          </cell>
          <cell r="C339" t="str">
            <v>cái</v>
          </cell>
          <cell r="D339">
            <v>200000</v>
          </cell>
        </row>
        <row r="340">
          <cell r="B340" t="str">
            <v>Phin lọc Ф47</v>
          </cell>
          <cell r="C340" t="str">
            <v>cái</v>
          </cell>
          <cell r="D340">
            <v>300000</v>
          </cell>
        </row>
        <row r="341">
          <cell r="B341" t="str">
            <v>Phin lọc chuyên dụng FPP-15</v>
          </cell>
          <cell r="C341" t="str">
            <v xml:space="preserve">m2 </v>
          </cell>
          <cell r="D341">
            <v>80000</v>
          </cell>
        </row>
        <row r="342">
          <cell r="B342" t="str">
            <v>Hộp đo</v>
          </cell>
          <cell r="C342" t="str">
            <v xml:space="preserve">cái </v>
          </cell>
          <cell r="D342">
            <v>30000</v>
          </cell>
        </row>
        <row r="343">
          <cell r="B343" t="str">
            <v xml:space="preserve">Dung dịch lau dụng cụ </v>
          </cell>
          <cell r="C343" t="str">
            <v>Lít</v>
          </cell>
          <cell r="D343">
            <v>45000</v>
          </cell>
        </row>
        <row r="344">
          <cell r="B344" t="str">
            <v>Khí chuẩn SO2</v>
          </cell>
          <cell r="C344" t="str">
            <v>bình</v>
          </cell>
          <cell r="D344">
            <v>35000000</v>
          </cell>
        </row>
        <row r="345">
          <cell r="B345" t="str">
            <v>Khí chuẩn NOx</v>
          </cell>
          <cell r="C345" t="str">
            <v>bình</v>
          </cell>
          <cell r="D345">
            <v>35000000</v>
          </cell>
        </row>
        <row r="346">
          <cell r="B346" t="str">
            <v>Khí chuẩn NO2</v>
          </cell>
          <cell r="C346" t="str">
            <v>bình</v>
          </cell>
          <cell r="D346">
            <v>35000000</v>
          </cell>
        </row>
        <row r="347">
          <cell r="B347" t="str">
            <v>Khí chuẩn NO</v>
          </cell>
          <cell r="C347" t="str">
            <v>bình</v>
          </cell>
          <cell r="D347">
            <v>35000000</v>
          </cell>
        </row>
        <row r="348">
          <cell r="B348" t="str">
            <v>Khí chuẩn CO2</v>
          </cell>
          <cell r="C348" t="str">
            <v>bình</v>
          </cell>
          <cell r="D348">
            <v>35000000</v>
          </cell>
        </row>
        <row r="349">
          <cell r="B349" t="str">
            <v>Khí chuẩn CO</v>
          </cell>
          <cell r="C349" t="str">
            <v>bình</v>
          </cell>
          <cell r="D349">
            <v>35000000</v>
          </cell>
        </row>
        <row r="350">
          <cell r="B350" t="str">
            <v>Khí chuẩn O2</v>
          </cell>
          <cell r="C350" t="str">
            <v>bình</v>
          </cell>
          <cell r="D350">
            <v>35000000</v>
          </cell>
        </row>
        <row r="351">
          <cell r="B351" t="str">
            <v>Khí P10</v>
          </cell>
          <cell r="C351" t="str">
            <v>Bình</v>
          </cell>
          <cell r="D351">
            <v>1200000</v>
          </cell>
        </row>
        <row r="352">
          <cell r="B352" t="str">
            <v>Găng tay</v>
          </cell>
          <cell r="C352" t="str">
            <v>đôi</v>
          </cell>
          <cell r="D352">
            <v>20000</v>
          </cell>
        </row>
        <row r="353">
          <cell r="B353" t="str">
            <v>Ammonium pyrrolidinedithiocarbamate (APDC)</v>
          </cell>
          <cell r="C353" t="str">
            <v>gam</v>
          </cell>
          <cell r="D353">
            <v>98000</v>
          </cell>
        </row>
        <row r="354">
          <cell r="B354" t="str">
            <v>Metyl Iso butylketon (MIBK)</v>
          </cell>
          <cell r="C354" t="str">
            <v>gam</v>
          </cell>
          <cell r="D354">
            <v>110400</v>
          </cell>
        </row>
        <row r="355">
          <cell r="B355" t="str">
            <v>Mẫu chuẩn hoạt độ 32Bq</v>
          </cell>
          <cell r="C355" t="str">
            <v>Bộ</v>
          </cell>
          <cell r="D355">
            <v>40000000</v>
          </cell>
        </row>
        <row r="356">
          <cell r="B356" t="str">
            <v>Mẫu chuẩn(100 - 500Bq)</v>
          </cell>
          <cell r="C356" t="str">
            <v>Bộ</v>
          </cell>
          <cell r="D356">
            <v>80000000</v>
          </cell>
        </row>
        <row r="357">
          <cell r="B357" t="str">
            <v>Mẫu chuẩn  hoạt độ (100 - 500Bq)</v>
          </cell>
          <cell r="C357" t="str">
            <v>Bộ</v>
          </cell>
          <cell r="D357">
            <v>80000000</v>
          </cell>
        </row>
        <row r="358">
          <cell r="B358" t="str">
            <v>Mẫu chuẩn hoạt độ (100 -1000)Bq</v>
          </cell>
          <cell r="C358" t="str">
            <v>Bộ</v>
          </cell>
          <cell r="D358">
            <v>160000000</v>
          </cell>
        </row>
        <row r="359">
          <cell r="B359" t="str">
            <v>Nguồn chuẩn Radon</v>
          </cell>
          <cell r="C359" t="str">
            <v>Bộ</v>
          </cell>
          <cell r="D359">
            <v>50000000</v>
          </cell>
        </row>
        <row r="360">
          <cell r="B360" t="str">
            <v>Mẫu chuẩn  Pb210; Pb212; Pb214, Bi212; Bi214, Tl208, Ac228, Ra226, Cs137, K40, Be7  hoạt độ (100-500)Bq</v>
          </cell>
          <cell r="C360" t="str">
            <v>Bộ</v>
          </cell>
          <cell r="D360">
            <v>100000000</v>
          </cell>
        </row>
        <row r="361">
          <cell r="B361" t="str">
            <v>Mẫu chuẩn  Pb210; Pb212; Pb214, Bi212; Bi214, Tl208, Ac228, Ra226, Cs137, K40, Be7  hoạt độ (100-500)Bq</v>
          </cell>
          <cell r="C361" t="str">
            <v>ml</v>
          </cell>
          <cell r="D361">
            <v>5000000</v>
          </cell>
        </row>
        <row r="362">
          <cell r="B362" t="str">
            <v>Nguồn chuẩn đồng vị phóng xạ  90Sr hoạt độ (100 -500)Bq</v>
          </cell>
          <cell r="C362" t="str">
            <v>bộ</v>
          </cell>
          <cell r="D362">
            <v>80000000</v>
          </cell>
        </row>
        <row r="363">
          <cell r="B363" t="str">
            <v>Dung dịch chuẩn đồng vị phóng xạ  90Sr hoạt độ (100 -500)Bq</v>
          </cell>
          <cell r="C363" t="str">
            <v>ml</v>
          </cell>
          <cell r="D363">
            <v>5000000</v>
          </cell>
        </row>
        <row r="364">
          <cell r="B364" t="str">
            <v>Nguồn chuẩn đồng vị phóng xạ 239,240 Pu hoạt độ (100 -500)Bq</v>
          </cell>
          <cell r="C364" t="str">
            <v>bộ</v>
          </cell>
          <cell r="D364">
            <v>80000000</v>
          </cell>
        </row>
        <row r="365">
          <cell r="B365" t="str">
            <v>Dung dịch chuẩn đồng vị phóng xạ 239,240 Pu hoạt độ (100 -500)Bq</v>
          </cell>
          <cell r="C365" t="str">
            <v>ml</v>
          </cell>
          <cell r="D365">
            <v>5000000</v>
          </cell>
        </row>
        <row r="366">
          <cell r="B366" t="str">
            <v>Axít Asetic</v>
          </cell>
          <cell r="C366" t="str">
            <v>ml</v>
          </cell>
          <cell r="D366">
            <v>420</v>
          </cell>
        </row>
        <row r="367">
          <cell r="B367" t="str">
            <v>NiCl2</v>
          </cell>
          <cell r="C367" t="str">
            <v>gam</v>
          </cell>
          <cell r="D367">
            <v>500</v>
          </cell>
        </row>
        <row r="368">
          <cell r="B368" t="str">
            <v>Cs4Ba2</v>
          </cell>
          <cell r="C368" t="str">
            <v>gam</v>
          </cell>
          <cell r="D368">
            <v>400</v>
          </cell>
        </row>
        <row r="369">
          <cell r="B369" t="str">
            <v>ZrOCl2.8.H2O</v>
          </cell>
          <cell r="C369" t="str">
            <v>gam</v>
          </cell>
          <cell r="D369">
            <v>45000</v>
          </cell>
        </row>
        <row r="370">
          <cell r="B370" t="str">
            <v xml:space="preserve">1,5-Diphenylcacbazid (C13H14N4O) </v>
          </cell>
          <cell r="C370" t="str">
            <v>gam</v>
          </cell>
          <cell r="D370">
            <v>25000</v>
          </cell>
        </row>
        <row r="371">
          <cell r="B371" t="str">
            <v>CH3COOC2H5</v>
          </cell>
          <cell r="C371" t="str">
            <v>ml</v>
          </cell>
          <cell r="D371">
            <v>3500</v>
          </cell>
        </row>
        <row r="372">
          <cell r="B372" t="str">
            <v>Na2S.9H2O</v>
          </cell>
          <cell r="C372" t="str">
            <v>gam</v>
          </cell>
          <cell r="D372">
            <v>4500</v>
          </cell>
        </row>
        <row r="373">
          <cell r="B373" t="str">
            <v>(NH4)2HPO4</v>
          </cell>
          <cell r="C373" t="str">
            <v>gam</v>
          </cell>
          <cell r="D373">
            <v>2500</v>
          </cell>
        </row>
        <row r="374">
          <cell r="B374" t="str">
            <v>N,N-dimethyl-p-phenylenediamine (C8H14Cl2N2.5 H2O)</v>
          </cell>
          <cell r="C374" t="str">
            <v>gam</v>
          </cell>
          <cell r="D374">
            <v>318000</v>
          </cell>
        </row>
        <row r="375">
          <cell r="B375" t="str">
            <v>Thymol xanh</v>
          </cell>
          <cell r="C375" t="str">
            <v>gam</v>
          </cell>
          <cell r="D375">
            <v>34400</v>
          </cell>
        </row>
        <row r="376">
          <cell r="B376" t="str">
            <v>Bromophenol xanh</v>
          </cell>
          <cell r="C376" t="str">
            <v>gam</v>
          </cell>
          <cell r="D376">
            <v>5000</v>
          </cell>
        </row>
        <row r="377">
          <cell r="B377" t="str">
            <v>CdSO4.8H2O</v>
          </cell>
          <cell r="C377" t="str">
            <v>gam</v>
          </cell>
          <cell r="D377">
            <v>6000</v>
          </cell>
        </row>
        <row r="378">
          <cell r="B378" t="str">
            <v>Dung dịch chuẩn đa nguyên tố (IC Standard)</v>
          </cell>
          <cell r="C378" t="str">
            <v>ml</v>
          </cell>
          <cell r="D378">
            <v>25000</v>
          </cell>
        </row>
        <row r="379">
          <cell r="B379" t="str">
            <v>Na2WO4.2H2O</v>
          </cell>
          <cell r="C379" t="str">
            <v>gam</v>
          </cell>
          <cell r="D379">
            <v>12000</v>
          </cell>
        </row>
        <row r="380">
          <cell r="B380" t="str">
            <v xml:space="preserve">Túi chứa khí </v>
          </cell>
          <cell r="C380" t="str">
            <v>cái</v>
          </cell>
          <cell r="D380">
            <v>500000</v>
          </cell>
        </row>
        <row r="381">
          <cell r="B381" t="str">
            <v xml:space="preserve">Dung dịch hấp thụ </v>
          </cell>
          <cell r="C381" t="str">
            <v>ml</v>
          </cell>
          <cell r="D381">
            <v>4200</v>
          </cell>
        </row>
        <row r="382">
          <cell r="B382" t="str">
            <v>p-Dimetylamin benzadehyt</v>
          </cell>
          <cell r="D382">
            <v>6960</v>
          </cell>
        </row>
        <row r="383">
          <cell r="B383" t="str">
            <v xml:space="preserve">Tetrametyl-p-phenylendiamin dihyroclorua </v>
          </cell>
          <cell r="D383">
            <v>197000</v>
          </cell>
        </row>
        <row r="384">
          <cell r="B384" t="str">
            <v>C4H9OH</v>
          </cell>
          <cell r="D384">
            <v>780</v>
          </cell>
        </row>
        <row r="385">
          <cell r="B385" t="str">
            <v>Pepton</v>
          </cell>
          <cell r="D385">
            <v>728</v>
          </cell>
        </row>
        <row r="386">
          <cell r="B386" t="str">
            <v>Lactoza</v>
          </cell>
          <cell r="D386">
            <v>776</v>
          </cell>
        </row>
        <row r="387">
          <cell r="B387" t="str">
            <v>Chất chiết nấm men</v>
          </cell>
          <cell r="D387">
            <v>330</v>
          </cell>
        </row>
        <row r="388">
          <cell r="B388" t="str">
            <v>Bromothymol xanh</v>
          </cell>
          <cell r="D388">
            <v>126360</v>
          </cell>
        </row>
        <row r="389">
          <cell r="B389" t="str">
            <v xml:space="preserve">2,3,5-Triphenyltetrazoliun chlorua </v>
          </cell>
          <cell r="D389">
            <v>12000</v>
          </cell>
        </row>
        <row r="390">
          <cell r="B390" t="str">
            <v>natri heptadecylsunphat</v>
          </cell>
          <cell r="D390">
            <v>10000</v>
          </cell>
        </row>
        <row r="391">
          <cell r="B391" t="str">
            <v>Agar</v>
          </cell>
          <cell r="D391">
            <v>3834</v>
          </cell>
        </row>
        <row r="392">
          <cell r="B392" t="str">
            <v>Quartz torches</v>
          </cell>
          <cell r="D392">
            <v>12000000</v>
          </cell>
        </row>
        <row r="393">
          <cell r="B393" t="str">
            <v>Glycerol</v>
          </cell>
          <cell r="D393">
            <v>5000</v>
          </cell>
        </row>
        <row r="394">
          <cell r="B394" t="str">
            <v>Hồ tinh bột</v>
          </cell>
          <cell r="D394">
            <v>2240</v>
          </cell>
        </row>
        <row r="395">
          <cell r="B395" t="str">
            <v>Dung dịch chuẩn Al3+</v>
          </cell>
          <cell r="D395">
            <v>2400</v>
          </cell>
        </row>
        <row r="396">
          <cell r="B396" t="str">
            <v>Bộ màng bơm, van, gioăng đệm</v>
          </cell>
          <cell r="C396" t="str">
            <v>bộ</v>
          </cell>
          <cell r="D396">
            <v>6350000</v>
          </cell>
        </row>
        <row r="397">
          <cell r="B397" t="str">
            <v>Màng lọc bụi</v>
          </cell>
          <cell r="C397" t="str">
            <v>cái</v>
          </cell>
          <cell r="D397">
            <v>5623000</v>
          </cell>
        </row>
        <row r="398">
          <cell r="B398" t="str">
            <v>Xà phòng</v>
          </cell>
          <cell r="C398" t="str">
            <v>kg</v>
          </cell>
          <cell r="D398">
            <v>50000</v>
          </cell>
        </row>
        <row r="399">
          <cell r="B399" t="str">
            <v>Băng lọc bụi</v>
          </cell>
          <cell r="C399" t="str">
            <v>cuộn</v>
          </cell>
          <cell r="D399">
            <v>1500000</v>
          </cell>
        </row>
        <row r="400">
          <cell r="B400" t="str">
            <v>BQ-Filter</v>
          </cell>
          <cell r="D400">
            <v>13432000</v>
          </cell>
        </row>
        <row r="401">
          <cell r="B401" t="str">
            <v>CQ-Filter</v>
          </cell>
          <cell r="D401">
            <v>13432000</v>
          </cell>
        </row>
        <row r="402">
          <cell r="B402" t="str">
            <v>Bơm mẫu</v>
          </cell>
          <cell r="D402">
            <v>94943000</v>
          </cell>
        </row>
        <row r="403">
          <cell r="B403" t="str">
            <v>Bơm khô</v>
          </cell>
          <cell r="D403">
            <v>97125000</v>
          </cell>
        </row>
        <row r="404">
          <cell r="B404" t="str">
            <v>Ống nối silicon giữa các bộ phận trong modul</v>
          </cell>
          <cell r="D404">
            <v>2000000</v>
          </cell>
        </row>
        <row r="405">
          <cell r="B405" t="str">
            <v>1 m Silicon-Tube white 3,2x6,4 mm</v>
          </cell>
          <cell r="D405">
            <v>999000</v>
          </cell>
        </row>
        <row r="406">
          <cell r="B406" t="str">
            <v>1 m Silicon-Tube blue 3,2x6,4 mm</v>
          </cell>
          <cell r="D406">
            <v>999000</v>
          </cell>
        </row>
        <row r="407">
          <cell r="B407" t="str">
            <v>1 m Silicon-Tube green 3,2x6,4 mm</v>
          </cell>
          <cell r="D407">
            <v>999000</v>
          </cell>
        </row>
        <row r="408">
          <cell r="B408" t="str">
            <v>1 m Silicon-Tube red 3,2x6,4 mm</v>
          </cell>
          <cell r="D408">
            <v>999000</v>
          </cell>
        </row>
        <row r="409">
          <cell r="B409" t="str">
            <v>Dung dịch làm sạch đường ống</v>
          </cell>
          <cell r="D409">
            <v>3900</v>
          </cell>
        </row>
        <row r="410">
          <cell r="B410" t="str">
            <v>Bộ lọc mẫu (Filter element) (24 chiếc)</v>
          </cell>
          <cell r="D410">
            <v>5623000</v>
          </cell>
        </row>
        <row r="411">
          <cell r="B411" t="str">
            <v>Gioăng (O-Ring)</v>
          </cell>
          <cell r="D411">
            <v>583000</v>
          </cell>
        </row>
        <row r="412">
          <cell r="B412" t="str">
            <v>F-packing</v>
          </cell>
          <cell r="D412">
            <v>583000</v>
          </cell>
        </row>
        <row r="413">
          <cell r="B413" t="str">
            <v>Bộ màng ngăn (Diaphragm assembly)</v>
          </cell>
          <cell r="D413">
            <v>4690000</v>
          </cell>
        </row>
        <row r="414">
          <cell r="B414" t="str">
            <v>Bộ khử ozôn (DO Unit)</v>
          </cell>
          <cell r="D414">
            <v>12275000</v>
          </cell>
        </row>
        <row r="415">
          <cell r="B415" t="str">
            <v>Đèn tử ngoại (UV Lamp Unit)</v>
          </cell>
          <cell r="D415">
            <v>29472000</v>
          </cell>
        </row>
        <row r="416">
          <cell r="B416" t="str">
            <v>Lớp lót UV (UV Liner)</v>
          </cell>
          <cell r="D416">
            <v>7878000</v>
          </cell>
        </row>
        <row r="417">
          <cell r="B417" t="str">
            <v>Bộ làm khô thẩm thấu (Capllary PPD)</v>
          </cell>
          <cell r="D417">
            <v>39548000</v>
          </cell>
        </row>
        <row r="418">
          <cell r="B418" t="str">
            <v>Ống chuyển đổi (Catalyzer Pipe)</v>
          </cell>
          <cell r="D418">
            <v>13098000</v>
          </cell>
        </row>
        <row r="419">
          <cell r="B419" t="str">
            <v>Bộ lọc khí (Air filter)</v>
          </cell>
          <cell r="D419">
            <v>3531000</v>
          </cell>
        </row>
        <row r="420">
          <cell r="B420" t="str">
            <v>Scrubber</v>
          </cell>
          <cell r="D420">
            <v>13906000</v>
          </cell>
        </row>
        <row r="421">
          <cell r="B421" t="str">
            <v xml:space="preserve">Bơm (230V) (Pump Unit)    </v>
          </cell>
          <cell r="D421">
            <v>51121000</v>
          </cell>
        </row>
        <row r="422">
          <cell r="B422" t="str">
            <v xml:space="preserve">SV unit                               </v>
          </cell>
          <cell r="D422">
            <v>17997000</v>
          </cell>
        </row>
        <row r="423">
          <cell r="B423" t="str">
            <v xml:space="preserve">LCD unit                   </v>
          </cell>
          <cell r="D423">
            <v>42068000</v>
          </cell>
        </row>
        <row r="424">
          <cell r="B424" t="str">
            <v>Scrubber MIX cho APNA 370 (0,5kg)</v>
          </cell>
          <cell r="D424">
            <v>9210000</v>
          </cell>
        </row>
        <row r="425">
          <cell r="B425" t="str">
            <v>Thùng đựng và bảo quản silicagel, Scrubber MIX</v>
          </cell>
          <cell r="D425">
            <v>10000000</v>
          </cell>
        </row>
        <row r="426">
          <cell r="B426" t="str">
            <v>Gioăng (Special O-Ring)</v>
          </cell>
          <cell r="D426">
            <v>1898000</v>
          </cell>
        </row>
        <row r="427">
          <cell r="B427" t="str">
            <v>Đèn Xenon (Xenon Lamp)</v>
          </cell>
          <cell r="D427">
            <v>53057000</v>
          </cell>
        </row>
        <row r="428">
          <cell r="B428" t="str">
            <v>Bộ loại hydrocacbon (HC cutter)</v>
          </cell>
          <cell r="D428">
            <v>26591000</v>
          </cell>
        </row>
        <row r="429">
          <cell r="B429" t="str">
            <v xml:space="preserve">Bơm (Pump Unit) (230V)    </v>
          </cell>
          <cell r="D429">
            <v>51121000</v>
          </cell>
        </row>
        <row r="430">
          <cell r="B430" t="str">
            <v>Than hoạt tính cho modul phân tích SO2 (1kg/box)</v>
          </cell>
          <cell r="C430" t="str">
            <v>gam</v>
          </cell>
          <cell r="D430">
            <v>5000</v>
          </cell>
        </row>
        <row r="431">
          <cell r="B431" t="str">
            <v>Thùng đựng và bảo quản than hoạt tính</v>
          </cell>
          <cell r="D431">
            <v>10000000</v>
          </cell>
        </row>
        <row r="432">
          <cell r="B432" t="str">
            <v>Ống xúc tác (catalyzer tube)</v>
          </cell>
          <cell r="D432">
            <v>25051000</v>
          </cell>
        </row>
        <row r="433">
          <cell r="B433" t="str">
            <v>Bộ lọc (Filter)</v>
          </cell>
          <cell r="D433">
            <v>5865000</v>
          </cell>
        </row>
        <row r="434">
          <cell r="B434" t="str">
            <v>Catalyst kit</v>
          </cell>
          <cell r="C434" t="str">
            <v>bộ</v>
          </cell>
          <cell r="D434">
            <v>3990000</v>
          </cell>
        </row>
        <row r="435">
          <cell r="B435" t="str">
            <v>Catalyzer pack</v>
          </cell>
          <cell r="C435" t="str">
            <v>bộ</v>
          </cell>
          <cell r="D435">
            <v>3080000</v>
          </cell>
        </row>
        <row r="436">
          <cell r="B436" t="str">
            <v>O-ring 1.5 x 0.75 mm Nitril</v>
          </cell>
          <cell r="C436" t="str">
            <v>chiếc</v>
          </cell>
          <cell r="D436">
            <v>137000</v>
          </cell>
        </row>
        <row r="437">
          <cell r="B437" t="str">
            <v>Lọc Coalescent (xanh)</v>
          </cell>
          <cell r="C437" t="str">
            <v>bộ</v>
          </cell>
          <cell r="D437">
            <v>2469000</v>
          </cell>
        </row>
        <row r="438">
          <cell r="B438" t="str">
            <v>Rotor 6 cổng</v>
          </cell>
          <cell r="C438" t="str">
            <v>bộ</v>
          </cell>
          <cell r="D438">
            <v>20640000</v>
          </cell>
        </row>
        <row r="439">
          <cell r="B439" t="str">
            <v>O-Ring Gasket 4x1</v>
          </cell>
          <cell r="C439" t="str">
            <v>bộ</v>
          </cell>
          <cell r="D439">
            <v>343000</v>
          </cell>
        </row>
        <row r="440">
          <cell r="B440" t="str">
            <v>O-Ring Gasket 6x1</v>
          </cell>
          <cell r="C440" t="str">
            <v>bộ</v>
          </cell>
          <cell r="D440">
            <v>343000</v>
          </cell>
        </row>
        <row r="441">
          <cell r="B441" t="str">
            <v>Ống thẩm thấu Benzene</v>
          </cell>
          <cell r="C441" t="str">
            <v>chiếc</v>
          </cell>
          <cell r="D441">
            <v>40522000</v>
          </cell>
        </row>
        <row r="442">
          <cell r="B442" t="str">
            <v>O-Ring cho lò thẩm thấu</v>
          </cell>
          <cell r="C442" t="str">
            <v>chiếc</v>
          </cell>
          <cell r="D442">
            <v>206000</v>
          </cell>
        </row>
        <row r="443">
          <cell r="B443" t="str">
            <v>Đèn PID 10.6 eV</v>
          </cell>
          <cell r="C443" t="str">
            <v>chiêc</v>
          </cell>
          <cell r="D443">
            <v>55572000</v>
          </cell>
        </row>
        <row r="444">
          <cell r="B444" t="str">
            <v>Bộ van và màng airmo PUMP</v>
          </cell>
          <cell r="C444" t="str">
            <v>bộ</v>
          </cell>
          <cell r="D444">
            <v>5500000</v>
          </cell>
        </row>
        <row r="445">
          <cell r="B445" t="str">
            <v>Nylon 1/8 silencer</v>
          </cell>
          <cell r="C445" t="str">
            <v>bộ</v>
          </cell>
        </row>
        <row r="446">
          <cell r="B446" t="str">
            <v>Dầu chạy máy phát điện</v>
          </cell>
          <cell r="C446" t="str">
            <v>lit</v>
          </cell>
          <cell r="D446">
            <v>150000</v>
          </cell>
        </row>
        <row r="447">
          <cell r="B447" t="str">
            <v>Thiết bị lấy mẫu bui (ống probe)</v>
          </cell>
          <cell r="D447">
            <v>150000000</v>
          </cell>
        </row>
        <row r="448">
          <cell r="B448" t="str">
            <v>C5H8NO4Na</v>
          </cell>
          <cell r="C448" t="str">
            <v>gam</v>
          </cell>
          <cell r="D448">
            <v>2400</v>
          </cell>
        </row>
        <row r="449">
          <cell r="B449" t="str">
            <v>Chất chiết cao thịt bò</v>
          </cell>
          <cell r="C449" t="str">
            <v>ml</v>
          </cell>
          <cell r="D449">
            <v>10000</v>
          </cell>
        </row>
        <row r="450">
          <cell r="B450" t="str">
            <v xml:space="preserve"> Aspartic </v>
          </cell>
          <cell r="C450" t="str">
            <v>gam</v>
          </cell>
          <cell r="D450">
            <v>9000</v>
          </cell>
        </row>
        <row r="451">
          <cell r="B451" t="str">
            <v>Pantotenic</v>
          </cell>
          <cell r="C451" t="str">
            <v>gam</v>
          </cell>
          <cell r="D451">
            <v>3000</v>
          </cell>
        </row>
        <row r="452">
          <cell r="B452" t="str">
            <v>Thiamin</v>
          </cell>
          <cell r="C452" t="str">
            <v>gam</v>
          </cell>
          <cell r="D452">
            <v>1500</v>
          </cell>
        </row>
        <row r="453">
          <cell r="B453" t="str">
            <v>Ferric citrate</v>
          </cell>
          <cell r="C453" t="str">
            <v>gam</v>
          </cell>
          <cell r="D453">
            <v>2400</v>
          </cell>
        </row>
        <row r="454">
          <cell r="B454" t="str">
            <v>Ni (NO3)2.H2O</v>
          </cell>
          <cell r="C454" t="str">
            <v>gam</v>
          </cell>
          <cell r="D454">
            <v>3500</v>
          </cell>
        </row>
        <row r="455">
          <cell r="B455" t="str">
            <v>diatomit</v>
          </cell>
          <cell r="C455" t="str">
            <v>gam</v>
          </cell>
          <cell r="D455">
            <v>1600</v>
          </cell>
        </row>
        <row r="456">
          <cell r="B456" t="str">
            <v>Na2C2O4</v>
          </cell>
          <cell r="C456" t="str">
            <v>gam</v>
          </cell>
          <cell r="D456">
            <v>3400</v>
          </cell>
        </row>
        <row r="457">
          <cell r="B457" t="str">
            <v>Ống chuẩn KMnO4</v>
          </cell>
          <cell r="C457" t="str">
            <v>Ống</v>
          </cell>
          <cell r="D457">
            <v>4500000</v>
          </cell>
        </row>
        <row r="458">
          <cell r="B458" t="str">
            <v>Millex-LH 13mm Philic PTFE .45µm Non-sterile IC-Certified 100/pk</v>
          </cell>
          <cell r="C458" t="str">
            <v>hộp</v>
          </cell>
          <cell r="D458">
            <v>6200000</v>
          </cell>
        </row>
        <row r="459">
          <cell r="B459" t="str">
            <v>Chất hút ẩm chỉ thị chuyên dụng</v>
          </cell>
          <cell r="C459" t="str">
            <v>gam</v>
          </cell>
          <cell r="D459">
            <v>2200</v>
          </cell>
        </row>
        <row r="460">
          <cell r="B460" t="str">
            <v>Dung dịch chất đồng hành</v>
          </cell>
          <cell r="C460" t="str">
            <v>uL</v>
          </cell>
          <cell r="D460">
            <v>34000</v>
          </cell>
        </row>
        <row r="461">
          <cell r="B461" t="str">
            <v>n-Hexane (PA)</v>
          </cell>
          <cell r="C461" t="str">
            <v>ml</v>
          </cell>
          <cell r="D461">
            <v>300</v>
          </cell>
        </row>
        <row r="462">
          <cell r="B462" t="str">
            <v>Toluen (HPLC)</v>
          </cell>
          <cell r="C462" t="str">
            <v>ml</v>
          </cell>
          <cell r="D462">
            <v>2000</v>
          </cell>
        </row>
        <row r="463">
          <cell r="B463" t="str">
            <v>Aceton (HPLC)</v>
          </cell>
          <cell r="C463" t="str">
            <v>ml</v>
          </cell>
          <cell r="D463">
            <v>1400</v>
          </cell>
        </row>
        <row r="464">
          <cell r="B464" t="str">
            <v>Nước cất 2 lần</v>
          </cell>
          <cell r="C464" t="str">
            <v>Lít</v>
          </cell>
          <cell r="D464">
            <v>40000</v>
          </cell>
        </row>
        <row r="465">
          <cell r="B465" t="str">
            <v>Vật liệu hấp phụ cho lấy mẫu khí thải XAD-2</v>
          </cell>
          <cell r="C465" t="str">
            <v>Gam</v>
          </cell>
          <cell r="D465">
            <v>15000</v>
          </cell>
        </row>
        <row r="466">
          <cell r="B466" t="str">
            <v>Diclometan, HPLC</v>
          </cell>
          <cell r="C466" t="str">
            <v>ml</v>
          </cell>
          <cell r="D466">
            <v>2000</v>
          </cell>
        </row>
        <row r="467">
          <cell r="B467" t="str">
            <v>Găng tay không bột</v>
          </cell>
          <cell r="C467" t="str">
            <v>Đôi</v>
          </cell>
          <cell r="D467">
            <v>8000</v>
          </cell>
        </row>
        <row r="468">
          <cell r="B468" t="str">
            <v>Khẩu trang than hoạt tính</v>
          </cell>
          <cell r="C468" t="str">
            <v>Chiếc</v>
          </cell>
          <cell r="D468">
            <v>150000</v>
          </cell>
        </row>
        <row r="469">
          <cell r="B469" t="str">
            <v>Đá khô bảo quản mẫu</v>
          </cell>
          <cell r="C469" t="str">
            <v>Kg</v>
          </cell>
          <cell r="D469">
            <v>100000</v>
          </cell>
        </row>
        <row r="470">
          <cell r="B470" t="str">
            <v>Đá lạnh làm ngưng</v>
          </cell>
          <cell r="C470" t="str">
            <v>Kg</v>
          </cell>
          <cell r="D470">
            <v>20000</v>
          </cell>
        </row>
        <row r="471">
          <cell r="B471" t="str">
            <v>Lọ thủy tinh đựng mẫu</v>
          </cell>
          <cell r="C471" t="str">
            <v>Chiếc</v>
          </cell>
          <cell r="D471">
            <v>250000</v>
          </cell>
        </row>
        <row r="472">
          <cell r="B472" t="str">
            <v>Đĩa petri thủy tinh (đựng giấy lọc)</v>
          </cell>
          <cell r="C472" t="str">
            <v>Chiếc</v>
          </cell>
          <cell r="D472">
            <v>100000</v>
          </cell>
        </row>
        <row r="473">
          <cell r="B473" t="str">
            <v>Ống đựng mẫu chiết Soxhlet bằng xenlulo</v>
          </cell>
          <cell r="C473" t="str">
            <v>Chiếc</v>
          </cell>
          <cell r="D473">
            <v>240000</v>
          </cell>
        </row>
        <row r="474">
          <cell r="B474" t="str">
            <v>Cột silicagel đa lớp</v>
          </cell>
          <cell r="C474" t="str">
            <v>Chiếc</v>
          </cell>
          <cell r="D474">
            <v>1800000</v>
          </cell>
        </row>
        <row r="475">
          <cell r="B475" t="str">
            <v>Cột nhôm ôxit</v>
          </cell>
          <cell r="C475" t="str">
            <v>Chiếc</v>
          </cell>
          <cell r="D475">
            <v>1400000</v>
          </cell>
        </row>
        <row r="476">
          <cell r="B476" t="str">
            <v xml:space="preserve">Cột than hoạt tính đảo chiều </v>
          </cell>
          <cell r="C476" t="str">
            <v>Chiếc</v>
          </cell>
          <cell r="D476">
            <v>1000000</v>
          </cell>
        </row>
        <row r="477">
          <cell r="B477" t="str">
            <v>Dung dịch chuẩn hàng ngày xác định thời gian lưu và đồng phân đặc thù dioxin/furan (M1613 DAILY CALIBRATION + WINDOW DEFINER &amp; ISOMER SPECIFICITY)</v>
          </cell>
          <cell r="C477" t="str">
            <v>uL</v>
          </cell>
          <cell r="D477">
            <v>218000</v>
          </cell>
        </row>
        <row r="478">
          <cell r="B478" t="str">
            <v>Bộ dung dịch dựng đường chuẩn năm điểm phân tích dioxin/furan CS1 - CS5 (M 1613 CALIBRATION SOLUTION CS1-CS5)</v>
          </cell>
          <cell r="C478" t="str">
            <v>bộ/  5 lọ</v>
          </cell>
          <cell r="D478">
            <v>117416000</v>
          </cell>
        </row>
        <row r="479">
          <cell r="B479" t="str">
            <v>Dung dịch chuẩn để kiểm tra đường chuẩn hàng ngày phân tích dioxin/furan CS3 (M 1613 DAILY CALIBRATION CHECK STANDARD CS3)</v>
          </cell>
          <cell r="C479" t="str">
            <v>uL</v>
          </cell>
          <cell r="D479">
            <v>106200</v>
          </cell>
        </row>
        <row r="480">
          <cell r="B480" t="str">
            <v>Dung dịch chuẩn đánh dấu gồm 15 chất chuẩn đồng vị 13C dioxin/furan (M 1613 LABELED COMPOUND STOCK SOLUTION)</v>
          </cell>
          <cell r="C480" t="str">
            <v>uL</v>
          </cell>
          <cell r="D480">
            <v>67000</v>
          </cell>
        </row>
        <row r="481">
          <cell r="B481" t="str">
            <v>Dung dịch chuẩn làm sạch gồm 1 chất chuẩn đồng vị 37Cl4 dioxin (M 1613 CLEAN UP STANDARD 10X STOCK SOLUTION (37CL4, 96%))</v>
          </cell>
          <cell r="C481" t="str">
            <v>ml</v>
          </cell>
          <cell r="D481">
            <v>548000</v>
          </cell>
        </row>
        <row r="482">
          <cell r="B482" t="str">
            <v>Dung dịch nội chuẩn gồm 2 chất chuẩn đồng vị 13C dioxin/furan (M 1613 INTERNAL STANDARD SPIKING SOLUTION (13C12, 99%))</v>
          </cell>
          <cell r="C482" t="str">
            <v>uL</v>
          </cell>
          <cell r="D482">
            <v>22400</v>
          </cell>
        </row>
        <row r="483">
          <cell r="B483" t="str">
            <v>Dung dịch chuẩn kiểm tra độ thu hồi và độ chính xác phân tích dioxin/furan (M 1613 PRECISION AND RECOVERY STANDARD SOLUTION)</v>
          </cell>
          <cell r="C483" t="str">
            <v>uL</v>
          </cell>
          <cell r="D483">
            <v>100600</v>
          </cell>
        </row>
        <row r="484">
          <cell r="B484" t="str">
            <v>Dung dịch chuẩn đồng hành đậm đặc sử dụng cho lấy mẫu khí thải phân tích dioxin/furan (13C12, 99%; 37CL4, 96%)
(M23 SURROGATE STANDARD STOCK SOLUTION (13C12, 99%; 37CL4, 96%)</v>
          </cell>
          <cell r="C484" t="str">
            <v>uL</v>
          </cell>
          <cell r="D484">
            <v>31200</v>
          </cell>
        </row>
        <row r="485">
          <cell r="B485" t="str">
            <v>Bộ dung dịch dựng đường chuẩn năm điểm phân tích dioxin/furan trong mẫu khí thải (CS1 - CS5)
(M23 CALIBRATION SOLUTIONS (CS1 - CS5)</v>
          </cell>
          <cell r="C485" t="str">
            <v>Bộ/5 lọ</v>
          </cell>
          <cell r="D485">
            <v>82795200</v>
          </cell>
        </row>
        <row r="486">
          <cell r="B486" t="str">
            <v>Dung dịch dựng đường chuẩn hàng ngày phân tích dioxin/furan mẫu khí thải (CS4)
(M 23 CALIBRATION STANDARD (CS4))</v>
          </cell>
          <cell r="C486" t="str">
            <v>uL</v>
          </cell>
          <cell r="D486">
            <v>113200</v>
          </cell>
        </row>
        <row r="487">
          <cell r="B487" t="str">
            <v>Dung dịch nội chuẩn đậm đặc gồm 9 chất chuẩn đồng vị 13C dioxin/furan phân tích dioxin/furan mẫu khí thải  (13C12, 99%)
(M 23 INTERNAL STANDARD STOCK SOLUTION (13C12, 99%)</v>
          </cell>
          <cell r="C487" t="str">
            <v>uL</v>
          </cell>
          <cell r="D487">
            <v>44000</v>
          </cell>
        </row>
        <row r="488">
          <cell r="B488" t="str">
            <v>Dung dịch chuẩn thu hồi đậm đặc gồm 2 chất chuẩn 13C dioxin/furan, phân tích dioxin/furan mẫu khí thải (13C12, 99%)
(M 23 RECOVERY STANDARD STOCK SOLUTION (13C12, 99%)</v>
          </cell>
          <cell r="C488" t="str">
            <v>uL</v>
          </cell>
          <cell r="D488">
            <v>22200</v>
          </cell>
        </row>
      </sheetData>
      <sheetData sheetId="2">
        <row r="3">
          <cell r="B3" t="str">
            <v>Ác quy 6v</v>
          </cell>
          <cell r="C3" t="str">
            <v>cái</v>
          </cell>
          <cell r="D3">
            <v>300000</v>
          </cell>
        </row>
        <row r="4">
          <cell r="B4" t="str">
            <v>Áp kế</v>
          </cell>
          <cell r="C4" t="str">
            <v>cái</v>
          </cell>
          <cell r="D4">
            <v>5215100</v>
          </cell>
        </row>
        <row r="5">
          <cell r="B5" t="str">
            <v>Ẩm kế Asman</v>
          </cell>
          <cell r="C5" t="str">
            <v>bộ</v>
          </cell>
          <cell r="D5">
            <v>931000</v>
          </cell>
        </row>
        <row r="6">
          <cell r="B6" t="str">
            <v>Bể ổn định nhiệt</v>
          </cell>
          <cell r="C6" t="str">
            <v>cái</v>
          </cell>
          <cell r="D6">
            <v>131250000</v>
          </cell>
        </row>
        <row r="7">
          <cell r="B7" t="str">
            <v>Bể siêu âm</v>
          </cell>
          <cell r="C7" t="str">
            <v>cái</v>
          </cell>
          <cell r="D7">
            <v>49350000</v>
          </cell>
        </row>
        <row r="8">
          <cell r="B8" t="str">
            <v>Bếp cách cát</v>
          </cell>
          <cell r="C8" t="str">
            <v>cái</v>
          </cell>
          <cell r="D8">
            <v>8800000</v>
          </cell>
        </row>
        <row r="9">
          <cell r="B9" t="str">
            <v>Bếp cách thủy</v>
          </cell>
          <cell r="C9" t="str">
            <v>Cái</v>
          </cell>
          <cell r="D9">
            <v>63628000</v>
          </cell>
        </row>
        <row r="10">
          <cell r="B10" t="str">
            <v>Bếp điều chỉnh nhiệt</v>
          </cell>
          <cell r="C10" t="str">
            <v>Cái</v>
          </cell>
          <cell r="D10">
            <v>8800000</v>
          </cell>
        </row>
        <row r="11">
          <cell r="B11" t="str">
            <v>Bình hút ẩm</v>
          </cell>
          <cell r="C11" t="str">
            <v>Cái</v>
          </cell>
          <cell r="D11">
            <v>5500000</v>
          </cell>
        </row>
        <row r="12">
          <cell r="B12" t="str">
            <v>Bộ lấy mẫu khí</v>
          </cell>
          <cell r="C12" t="str">
            <v>bộ</v>
          </cell>
          <cell r="D12">
            <v>49350000</v>
          </cell>
        </row>
        <row r="13">
          <cell r="B13" t="str">
            <v>Bộ lọc hút chân không</v>
          </cell>
          <cell r="C13" t="str">
            <v>bộ</v>
          </cell>
          <cell r="D13">
            <v>52500000</v>
          </cell>
        </row>
        <row r="14">
          <cell r="B14" t="str">
            <v>Bộ phân tích thủy ngân và asen</v>
          </cell>
          <cell r="C14" t="str">
            <v>bộ</v>
          </cell>
          <cell r="D14">
            <v>229000000</v>
          </cell>
        </row>
        <row r="15">
          <cell r="B15" t="str">
            <v>Bộ phân tích thủy ngân và asen MHS hoặc FIAS</v>
          </cell>
          <cell r="C15" t="str">
            <v>bộ</v>
          </cell>
          <cell r="D15">
            <v>229000000</v>
          </cell>
        </row>
        <row r="16">
          <cell r="B16" t="str">
            <v>Bộ Soxlel</v>
          </cell>
          <cell r="C16" t="str">
            <v>bộ</v>
          </cell>
          <cell r="D16">
            <v>118462000</v>
          </cell>
        </row>
        <row r="17">
          <cell r="B17" t="str">
            <v>Bơm chân không</v>
          </cell>
          <cell r="C17" t="str">
            <v>cái</v>
          </cell>
          <cell r="D17">
            <v>32340000</v>
          </cell>
        </row>
        <row r="18">
          <cell r="B18" t="str">
            <v>Bơm hút</v>
          </cell>
          <cell r="C18" t="str">
            <v>cái</v>
          </cell>
          <cell r="D18">
            <v>3000000</v>
          </cell>
        </row>
        <row r="19">
          <cell r="B19" t="str">
            <v>Cân phân tích mẫu</v>
          </cell>
          <cell r="C19" t="str">
            <v>Cái</v>
          </cell>
          <cell r="D19">
            <v>30000000</v>
          </cell>
        </row>
        <row r="20">
          <cell r="B20" t="str">
            <v>Đầu đo nhiệt độ</v>
          </cell>
          <cell r="C20" t="str">
            <v>cái</v>
          </cell>
          <cell r="D20">
            <v>3300000.0000000005</v>
          </cell>
        </row>
        <row r="21">
          <cell r="B21" t="str">
            <v>Đĩa Sechi</v>
          </cell>
          <cell r="C21" t="str">
            <v>bộ</v>
          </cell>
          <cell r="D21">
            <v>30000</v>
          </cell>
        </row>
        <row r="22">
          <cell r="B22" t="str">
            <v>Thiết bị đo độ rung</v>
          </cell>
          <cell r="C22" t="str">
            <v>Bộ</v>
          </cell>
          <cell r="D22">
            <v>35000000</v>
          </cell>
        </row>
        <row r="23">
          <cell r="B23" t="str">
            <v>Điện năng</v>
          </cell>
          <cell r="D23">
            <v>1838</v>
          </cell>
        </row>
        <row r="24">
          <cell r="B24" t="str">
            <v>FPP-15</v>
          </cell>
          <cell r="C24" t="str">
            <v>m2</v>
          </cell>
          <cell r="D24">
            <v>600000</v>
          </cell>
        </row>
        <row r="25">
          <cell r="B25" t="str">
            <v>GC-FID</v>
          </cell>
          <cell r="C25" t="str">
            <v>bộ</v>
          </cell>
          <cell r="D25">
            <v>1204690000</v>
          </cell>
        </row>
        <row r="26">
          <cell r="B26" t="str">
            <v>Hệ đếm tổng alpha, Bêta phông thấp</v>
          </cell>
          <cell r="C26" t="str">
            <v>Bộ</v>
          </cell>
          <cell r="D26">
            <v>450000000</v>
          </cell>
        </row>
        <row r="27">
          <cell r="B27" t="str">
            <v>Hệ phổ kế Gamma phông thấp</v>
          </cell>
          <cell r="C27" t="str">
            <v>Bộ</v>
          </cell>
          <cell r="D27">
            <v>2200000000</v>
          </cell>
        </row>
        <row r="28">
          <cell r="B28" t="str">
            <v>Hệ thống nạp mẫu khí</v>
          </cell>
          <cell r="C28" t="str">
            <v>bộ</v>
          </cell>
          <cell r="D28">
            <v>7500000</v>
          </cell>
        </row>
        <row r="29">
          <cell r="B29" t="str">
            <v>Hệ điện phân</v>
          </cell>
          <cell r="C29" t="str">
            <v>bộ</v>
          </cell>
          <cell r="D29">
            <v>55000000</v>
          </cell>
        </row>
        <row r="30">
          <cell r="B30" t="str">
            <v>Hệ làm bay hơi lạnh</v>
          </cell>
          <cell r="C30" t="str">
            <v>Bộ</v>
          </cell>
          <cell r="D30">
            <v>75000000</v>
          </cell>
        </row>
        <row r="31">
          <cell r="B31" t="str">
            <v>Kích 5 tấn</v>
          </cell>
          <cell r="C31" t="str">
            <v>cái</v>
          </cell>
          <cell r="D31">
            <v>7000000</v>
          </cell>
        </row>
        <row r="32">
          <cell r="B32" t="str">
            <v>Kính hiển vi</v>
          </cell>
          <cell r="C32" t="str">
            <v>cái</v>
          </cell>
          <cell r="D32">
            <v>61000000</v>
          </cell>
        </row>
        <row r="33">
          <cell r="B33" t="str">
            <v>Kính hiển vi độ phóng đại 1000 lần</v>
          </cell>
          <cell r="C33" t="str">
            <v>cái</v>
          </cell>
          <cell r="D33">
            <v>445000000</v>
          </cell>
        </row>
        <row r="34">
          <cell r="B34" t="str">
            <v>Kính hiển vi soi nổi độ phóng đại 400 lần</v>
          </cell>
          <cell r="C34" t="str">
            <v>cái</v>
          </cell>
          <cell r="D34">
            <v>320000000</v>
          </cell>
        </row>
        <row r="35">
          <cell r="B35" t="str">
            <v>Khay hứng chuyên dụng</v>
          </cell>
          <cell r="C35" t="str">
            <v>cái</v>
          </cell>
          <cell r="D35">
            <v>30000000</v>
          </cell>
        </row>
        <row r="36">
          <cell r="B36" t="str">
            <v>Khoan nhỏ</v>
          </cell>
          <cell r="C36" t="str">
            <v>cái</v>
          </cell>
          <cell r="D36">
            <v>10000000</v>
          </cell>
        </row>
        <row r="37">
          <cell r="B37" t="str">
            <v>LF 197</v>
          </cell>
          <cell r="C37" t="str">
            <v>cái</v>
          </cell>
          <cell r="D37">
            <v>40000000</v>
          </cell>
        </row>
        <row r="38">
          <cell r="B38" t="str">
            <v>LF 197S</v>
          </cell>
          <cell r="C38" t="str">
            <v>cái</v>
          </cell>
          <cell r="D38">
            <v>42000000</v>
          </cell>
        </row>
        <row r="39">
          <cell r="B39" t="str">
            <v>Lò chuyển hóa</v>
          </cell>
          <cell r="C39" t="str">
            <v>bộ</v>
          </cell>
          <cell r="D39">
            <v>150000000</v>
          </cell>
        </row>
        <row r="40">
          <cell r="B40" t="str">
            <v>Lò nung</v>
          </cell>
          <cell r="C40" t="str">
            <v>Cái</v>
          </cell>
          <cell r="D40">
            <v>64000000</v>
          </cell>
        </row>
        <row r="41">
          <cell r="B41" t="str">
            <v>Lò vi sóng</v>
          </cell>
          <cell r="C41" t="str">
            <v>Cái</v>
          </cell>
          <cell r="D41">
            <v>317240000</v>
          </cell>
        </row>
        <row r="42">
          <cell r="B42" t="str">
            <v>Máy nghiền</v>
          </cell>
          <cell r="C42" t="str">
            <v>Cái</v>
          </cell>
          <cell r="D42">
            <v>2500000</v>
          </cell>
        </row>
        <row r="43">
          <cell r="B43" t="str">
            <v>Máy chưng cất đạm tự động</v>
          </cell>
          <cell r="C43" t="str">
            <v>Cái</v>
          </cell>
          <cell r="D43">
            <v>97230000</v>
          </cell>
        </row>
        <row r="44">
          <cell r="B44" t="str">
            <v>Máy cất Nitơ</v>
          </cell>
          <cell r="C44" t="str">
            <v>Cái</v>
          </cell>
          <cell r="D44">
            <v>162000000</v>
          </cell>
        </row>
        <row r="45">
          <cell r="B45" t="str">
            <v>Máy cất quay chân không</v>
          </cell>
          <cell r="C45" t="str">
            <v>Cái</v>
          </cell>
          <cell r="D45">
            <v>97230000</v>
          </cell>
        </row>
        <row r="46">
          <cell r="B46" t="str">
            <v>Máy cô nitơ</v>
          </cell>
          <cell r="C46" t="str">
            <v>bộ</v>
          </cell>
          <cell r="D46">
            <v>70000000</v>
          </cell>
        </row>
        <row r="47">
          <cell r="B47" t="str">
            <v>Máy đếm Coliform</v>
          </cell>
          <cell r="C47" t="str">
            <v>cái</v>
          </cell>
          <cell r="D47">
            <v>41600000</v>
          </cell>
        </row>
        <row r="48">
          <cell r="B48" t="str">
            <v>Máy điều hòa nhiệt độ</v>
          </cell>
          <cell r="C48" t="str">
            <v>cái</v>
          </cell>
          <cell r="D48">
            <v>9500000</v>
          </cell>
        </row>
        <row r="49">
          <cell r="B49" t="str">
            <v>Máy định vị GPS</v>
          </cell>
          <cell r="C49" t="str">
            <v>bộ</v>
          </cell>
          <cell r="D49">
            <v>10450000</v>
          </cell>
        </row>
        <row r="50">
          <cell r="B50" t="str">
            <v>Máy định vị GPS cầm tay</v>
          </cell>
          <cell r="C50" t="str">
            <v xml:space="preserve">cái </v>
          </cell>
          <cell r="D50">
            <v>10450000</v>
          </cell>
        </row>
        <row r="51">
          <cell r="B51" t="str">
            <v xml:space="preserve">Máy đo độ đục </v>
          </cell>
          <cell r="C51" t="str">
            <v xml:space="preserve">cái </v>
          </cell>
          <cell r="D51">
            <v>26250000</v>
          </cell>
        </row>
        <row r="52">
          <cell r="B52" t="str">
            <v>Máy đo EC</v>
          </cell>
          <cell r="C52" t="str">
            <v>bộ</v>
          </cell>
          <cell r="D52">
            <v>44100000</v>
          </cell>
        </row>
        <row r="53">
          <cell r="B53" t="str">
            <v>Máy đo gió cầm tay</v>
          </cell>
          <cell r="C53" t="str">
            <v>bộ</v>
          </cell>
          <cell r="D53">
            <v>17850000</v>
          </cell>
        </row>
        <row r="54">
          <cell r="B54" t="str">
            <v>Máy đo hàm lượng Radon</v>
          </cell>
          <cell r="C54" t="str">
            <v>bộ</v>
          </cell>
          <cell r="D54">
            <v>400000000</v>
          </cell>
        </row>
        <row r="55">
          <cell r="B55" t="str">
            <v>Máy đo nhiệt độ</v>
          </cell>
          <cell r="C55" t="str">
            <v>bộ</v>
          </cell>
          <cell r="D55">
            <v>3385000</v>
          </cell>
        </row>
        <row r="56">
          <cell r="B56" t="str">
            <v>Máy đo pH</v>
          </cell>
          <cell r="C56" t="str">
            <v>bộ</v>
          </cell>
          <cell r="D56">
            <v>33846000</v>
          </cell>
        </row>
        <row r="57">
          <cell r="B57" t="str">
            <v>Máy đo quang DR 2010</v>
          </cell>
          <cell r="C57" t="str">
            <v>bộ</v>
          </cell>
          <cell r="D57">
            <v>100750000</v>
          </cell>
        </row>
        <row r="58">
          <cell r="B58" t="str">
            <v>Máy đo quang DR 2400</v>
          </cell>
          <cell r="C58" t="str">
            <v>bộ</v>
          </cell>
          <cell r="D58">
            <v>100750000</v>
          </cell>
        </row>
        <row r="59">
          <cell r="B59" t="str">
            <v>Máy đo xuất liều bức xạ cầm tay</v>
          </cell>
          <cell r="C59" t="str">
            <v>cái</v>
          </cell>
          <cell r="D59">
            <v>70000000</v>
          </cell>
        </row>
        <row r="60">
          <cell r="B60" t="str">
            <v>Máy hút khí</v>
          </cell>
          <cell r="C60" t="str">
            <v>cái</v>
          </cell>
          <cell r="D60">
            <v>350000000</v>
          </cell>
        </row>
        <row r="61">
          <cell r="B61" t="str">
            <v>Máy khuấy</v>
          </cell>
          <cell r="C61" t="str">
            <v>Cái</v>
          </cell>
          <cell r="D61">
            <v>49875000</v>
          </cell>
        </row>
        <row r="62">
          <cell r="B62" t="str">
            <v>Máy khuấy từ</v>
          </cell>
          <cell r="C62" t="str">
            <v>cái</v>
          </cell>
          <cell r="D62">
            <v>22000000</v>
          </cell>
        </row>
        <row r="63">
          <cell r="B63" t="str">
            <v>Máy lắc xoay tròn</v>
          </cell>
          <cell r="C63" t="str">
            <v>cái</v>
          </cell>
          <cell r="D63">
            <v>80000000</v>
          </cell>
        </row>
        <row r="64">
          <cell r="B64" t="str">
            <v>Máy lắc</v>
          </cell>
          <cell r="C64" t="str">
            <v>bộ</v>
          </cell>
          <cell r="D64">
            <v>33846000</v>
          </cell>
        </row>
        <row r="65">
          <cell r="B65" t="str">
            <v>Máy lấy mẫu TESTO 350XL hoặc TESTO 512</v>
          </cell>
          <cell r="C65" t="str">
            <v>bộ</v>
          </cell>
          <cell r="D65">
            <v>447887261.09600002</v>
          </cell>
        </row>
        <row r="66">
          <cell r="B66" t="str">
            <v>Máy lọc chân không</v>
          </cell>
          <cell r="C66" t="str">
            <v>bộ</v>
          </cell>
          <cell r="D66">
            <v>6500000</v>
          </cell>
        </row>
        <row r="67">
          <cell r="B67" t="str">
            <v>Máy nén khí</v>
          </cell>
          <cell r="C67" t="str">
            <v>bộ</v>
          </cell>
          <cell r="D67">
            <v>17850000</v>
          </cell>
        </row>
        <row r="68">
          <cell r="B68" t="str">
            <v>Máy phân tích quang phổ</v>
          </cell>
          <cell r="C68" t="str">
            <v>bộ</v>
          </cell>
          <cell r="D68">
            <v>120750000</v>
          </cell>
        </row>
        <row r="69">
          <cell r="B69" t="str">
            <v>Máy phân tích quang phổ AAS</v>
          </cell>
          <cell r="C69" t="str">
            <v>bộ</v>
          </cell>
          <cell r="D69">
            <v>1058000000</v>
          </cell>
        </row>
        <row r="70">
          <cell r="B70" t="str">
            <v>Máy phân tích quang phổ AAS hoặc cực phổ</v>
          </cell>
          <cell r="C70" t="str">
            <v>bộ</v>
          </cell>
          <cell r="D70">
            <v>1058000000</v>
          </cell>
        </row>
        <row r="71">
          <cell r="B71" t="str">
            <v>Máy phân tích sắc ký GC</v>
          </cell>
          <cell r="C71" t="str">
            <v>bộ</v>
          </cell>
          <cell r="D71">
            <v>1204690000</v>
          </cell>
        </row>
        <row r="72">
          <cell r="B72" t="str">
            <v>Máy phân tích trắc quang</v>
          </cell>
          <cell r="C72" t="str">
            <v>bộ</v>
          </cell>
          <cell r="D72">
            <v>100750000</v>
          </cell>
        </row>
        <row r="73">
          <cell r="B73" t="str">
            <v>Máy quang kế ngọn lửa</v>
          </cell>
          <cell r="C73" t="str">
            <v>bộ</v>
          </cell>
          <cell r="D73">
            <v>310869600</v>
          </cell>
        </row>
        <row r="74">
          <cell r="B74" t="str">
            <v>Máy quang phổ AAS</v>
          </cell>
          <cell r="C74" t="str">
            <v>bộ</v>
          </cell>
          <cell r="D74">
            <v>1058000000</v>
          </cell>
        </row>
        <row r="75">
          <cell r="B75" t="str">
            <v>Máy quang phổ ngọn lửa</v>
          </cell>
          <cell r="C75" t="str">
            <v>bộ</v>
          </cell>
          <cell r="D75">
            <v>310869600</v>
          </cell>
        </row>
        <row r="76">
          <cell r="B76" t="str">
            <v>Máy quang phổ UV-1601</v>
          </cell>
          <cell r="C76" t="str">
            <v>bộ</v>
          </cell>
          <cell r="D76">
            <v>156171600</v>
          </cell>
        </row>
        <row r="77">
          <cell r="B77" t="str">
            <v>Máy quang phổ UV-VIS</v>
          </cell>
          <cell r="C77" t="str">
            <v>bộ</v>
          </cell>
          <cell r="D77">
            <v>100750000</v>
          </cell>
        </row>
        <row r="78">
          <cell r="B78" t="str">
            <v>Máy sắc ký khí GC</v>
          </cell>
          <cell r="C78" t="str">
            <v>cái</v>
          </cell>
          <cell r="D78">
            <v>1204690000</v>
          </cell>
        </row>
        <row r="79">
          <cell r="B79" t="str">
            <v>Máy sắc ký lỏng cao áp</v>
          </cell>
          <cell r="C79" t="str">
            <v>bộ</v>
          </cell>
          <cell r="D79">
            <v>865000000</v>
          </cell>
        </row>
        <row r="80">
          <cell r="B80" t="str">
            <v>Máy sắc khí</v>
          </cell>
          <cell r="C80" t="str">
            <v>cái</v>
          </cell>
          <cell r="D80">
            <v>1204690000</v>
          </cell>
        </row>
        <row r="81">
          <cell r="B81" t="str">
            <v>Thiết bị phân tích IC</v>
          </cell>
          <cell r="C81" t="str">
            <v>bộ</v>
          </cell>
          <cell r="D81">
            <v>900000000</v>
          </cell>
        </row>
        <row r="82">
          <cell r="B82" t="str">
            <v>Máy tính xử lý số liệu</v>
          </cell>
          <cell r="C82" t="str">
            <v>bộ</v>
          </cell>
          <cell r="D82">
            <v>8940000</v>
          </cell>
        </row>
        <row r="83">
          <cell r="B83" t="str">
            <v>Máy trắc quang</v>
          </cell>
          <cell r="C83" t="str">
            <v>bộ</v>
          </cell>
          <cell r="D83">
            <v>75000000</v>
          </cell>
        </row>
        <row r="84">
          <cell r="B84" t="str">
            <v>Nồi hấp</v>
          </cell>
          <cell r="C84" t="str">
            <v>Cái</v>
          </cell>
          <cell r="D84">
            <v>67200000</v>
          </cell>
        </row>
        <row r="85">
          <cell r="B85" t="str">
            <v>Nồi nấu có bộ phận lắc</v>
          </cell>
          <cell r="C85" t="str">
            <v>bộ</v>
          </cell>
          <cell r="D85">
            <v>50342000</v>
          </cell>
        </row>
        <row r="86">
          <cell r="B86" t="str">
            <v>Nhiệt ẩm kế Asman</v>
          </cell>
          <cell r="C86" t="str">
            <v>cái</v>
          </cell>
          <cell r="D86">
            <v>800000</v>
          </cell>
        </row>
        <row r="87">
          <cell r="B87" t="str">
            <v>Nhiệt kế thủy ngân</v>
          </cell>
          <cell r="C87" t="str">
            <v>bộ</v>
          </cell>
          <cell r="D87">
            <v>3045000</v>
          </cell>
        </row>
        <row r="88">
          <cell r="B88" t="str">
            <v>Oxi 197</v>
          </cell>
          <cell r="C88" t="str">
            <v>bộ</v>
          </cell>
          <cell r="D88">
            <v>50769000</v>
          </cell>
        </row>
        <row r="89">
          <cell r="B89" t="str">
            <v>Oxi 197S</v>
          </cell>
          <cell r="C89" t="str">
            <v xml:space="preserve">cái </v>
          </cell>
          <cell r="D89">
            <v>60923000</v>
          </cell>
        </row>
        <row r="90">
          <cell r="B90" t="str">
            <v>pH 197</v>
          </cell>
          <cell r="C90" t="str">
            <v xml:space="preserve">cái </v>
          </cell>
          <cell r="D90">
            <v>50769000</v>
          </cell>
        </row>
        <row r="91">
          <cell r="B91" t="str">
            <v>pH 197S</v>
          </cell>
          <cell r="C91" t="str">
            <v xml:space="preserve">cái </v>
          </cell>
          <cell r="D91">
            <v>60923000</v>
          </cell>
        </row>
        <row r="92">
          <cell r="B92" t="str">
            <v>Pin 1.5v</v>
          </cell>
          <cell r="C92" t="str">
            <v>cái</v>
          </cell>
          <cell r="D92">
            <v>2500</v>
          </cell>
        </row>
        <row r="93">
          <cell r="B93" t="str">
            <v>Pito type</v>
          </cell>
          <cell r="C93" t="str">
            <v>cái</v>
          </cell>
          <cell r="D93">
            <v>16291366.52</v>
          </cell>
        </row>
        <row r="94">
          <cell r="B94" t="str">
            <v xml:space="preserve">Popylon </v>
          </cell>
          <cell r="C94" t="str">
            <v>cái</v>
          </cell>
          <cell r="D94">
            <v>200000000</v>
          </cell>
        </row>
        <row r="95">
          <cell r="B95" t="str">
            <v xml:space="preserve">Quyntox </v>
          </cell>
          <cell r="C95" t="str">
            <v>bộ</v>
          </cell>
          <cell r="D95">
            <v>131087890.8</v>
          </cell>
        </row>
        <row r="96">
          <cell r="B96" t="str">
            <v>Testo 350</v>
          </cell>
          <cell r="C96" t="str">
            <v>bộ</v>
          </cell>
          <cell r="D96">
            <v>447387261</v>
          </cell>
        </row>
        <row r="97">
          <cell r="B97" t="str">
            <v>TESTO 512 hoặc thiết bị Metlab</v>
          </cell>
          <cell r="C97" t="str">
            <v>bộ</v>
          </cell>
          <cell r="D97">
            <v>33323249.699999999</v>
          </cell>
        </row>
        <row r="98">
          <cell r="B98" t="str">
            <v>Tủ ấm</v>
          </cell>
          <cell r="C98" t="str">
            <v>cái</v>
          </cell>
          <cell r="D98">
            <v>46200000</v>
          </cell>
        </row>
        <row r="99">
          <cell r="B99" t="str">
            <v>Tủ cấy vi sinh</v>
          </cell>
          <cell r="C99" t="str">
            <v>cái</v>
          </cell>
          <cell r="D99">
            <v>419580000</v>
          </cell>
        </row>
        <row r="100">
          <cell r="B100" t="str">
            <v>Tủ hút</v>
          </cell>
          <cell r="C100" t="str">
            <v>cái</v>
          </cell>
          <cell r="D100">
            <v>144900000</v>
          </cell>
        </row>
        <row r="101">
          <cell r="B101" t="str">
            <v>Tủ lạnh lưu chất chuẩn</v>
          </cell>
          <cell r="C101" t="str">
            <v>Cái</v>
          </cell>
          <cell r="D101">
            <v>204750000</v>
          </cell>
        </row>
        <row r="102">
          <cell r="B102" t="str">
            <v>Tủ bảo quản mẫu</v>
          </cell>
          <cell r="C102" t="str">
            <v xml:space="preserve">cái </v>
          </cell>
          <cell r="D102">
            <v>58800000</v>
          </cell>
        </row>
        <row r="103">
          <cell r="B103" t="str">
            <v>Tủ lưu chất chuẩn</v>
          </cell>
          <cell r="C103" t="str">
            <v>bộ</v>
          </cell>
          <cell r="D103">
            <v>58800000</v>
          </cell>
        </row>
        <row r="104">
          <cell r="B104" t="str">
            <v>Tủ lưu hóa chất</v>
          </cell>
          <cell r="C104" t="str">
            <v>cái</v>
          </cell>
          <cell r="D104">
            <v>58800000</v>
          </cell>
        </row>
        <row r="105">
          <cell r="B105" t="str">
            <v>Tủ lưu hóa chất chuẩn</v>
          </cell>
          <cell r="C105" t="str">
            <v>Cái</v>
          </cell>
          <cell r="D105">
            <v>58800000</v>
          </cell>
        </row>
        <row r="106">
          <cell r="B106" t="str">
            <v>Tủ sấy</v>
          </cell>
          <cell r="C106" t="str">
            <v>cái</v>
          </cell>
          <cell r="D106">
            <v>31040000</v>
          </cell>
        </row>
        <row r="107">
          <cell r="B107" t="str">
            <v>Tủ sấy mẫu</v>
          </cell>
          <cell r="C107" t="str">
            <v>cái</v>
          </cell>
          <cell r="D107">
            <v>31040000</v>
          </cell>
        </row>
        <row r="108">
          <cell r="B108" t="str">
            <v>Tủ ủ BOD</v>
          </cell>
          <cell r="C108" t="str">
            <v>cái</v>
          </cell>
          <cell r="D108">
            <v>57750000</v>
          </cell>
        </row>
        <row r="109">
          <cell r="B109" t="str">
            <v>Thiết bị chuyên dụng</v>
          </cell>
          <cell r="C109" t="str">
            <v>bộ</v>
          </cell>
          <cell r="D109">
            <v>64000000</v>
          </cell>
        </row>
        <row r="110">
          <cell r="B110" t="str">
            <v>Thiết bị chưng cất</v>
          </cell>
          <cell r="C110" t="str">
            <v>bộ</v>
          </cell>
          <cell r="D110">
            <v>97230000</v>
          </cell>
        </row>
        <row r="111">
          <cell r="B111" t="str">
            <v>Thiết bị điện hóa</v>
          </cell>
          <cell r="C111" t="str">
            <v>bộ</v>
          </cell>
          <cell r="D111">
            <v>52500000</v>
          </cell>
        </row>
        <row r="112">
          <cell r="B112" t="str">
            <v>Thiết bị định vị GPS</v>
          </cell>
          <cell r="C112" t="str">
            <v>bộ</v>
          </cell>
          <cell r="D112">
            <v>10450000</v>
          </cell>
        </row>
        <row r="113">
          <cell r="B113" t="str">
            <v>Thiết bị đo (BOD)</v>
          </cell>
          <cell r="C113" t="str">
            <v>bộ</v>
          </cell>
          <cell r="D113">
            <v>72975000</v>
          </cell>
        </row>
        <row r="114">
          <cell r="B114" t="str">
            <v>Thiết bị đo độ trong suốt</v>
          </cell>
          <cell r="C114" t="str">
            <v>bộ</v>
          </cell>
          <cell r="D114">
            <v>4000000</v>
          </cell>
        </row>
        <row r="115">
          <cell r="B115" t="str">
            <v>Thiết bị đo EC</v>
          </cell>
          <cell r="C115" t="str">
            <v>bộ</v>
          </cell>
          <cell r="D115">
            <v>44100000</v>
          </cell>
        </row>
        <row r="116">
          <cell r="B116" t="str">
            <v>Thiết bị đo gió cầm tay</v>
          </cell>
          <cell r="C116" t="str">
            <v>bộ</v>
          </cell>
          <cell r="D116">
            <v>16923000</v>
          </cell>
        </row>
        <row r="117">
          <cell r="B117" t="str">
            <v>Thiết bị đo hiện số</v>
          </cell>
          <cell r="C117" t="str">
            <v>bộ</v>
          </cell>
          <cell r="D117">
            <v>16923000</v>
          </cell>
        </row>
        <row r="118">
          <cell r="B118" t="str">
            <v>Thiết bị đo hiện số và lưu kết quả</v>
          </cell>
          <cell r="C118" t="str">
            <v>bộ</v>
          </cell>
          <cell r="D118">
            <v>26950000</v>
          </cell>
        </row>
        <row r="119">
          <cell r="B119" t="str">
            <v>Thiết bị đo đa chỉ tiêu</v>
          </cell>
          <cell r="C119" t="str">
            <v>bộ</v>
          </cell>
          <cell r="D119">
            <v>250000000</v>
          </cell>
        </row>
        <row r="120">
          <cell r="B120" t="str">
            <v>Thiết bị lấy mẫu trầm tích và tời chuyên dụng</v>
          </cell>
          <cell r="C120" t="str">
            <v>bộ</v>
          </cell>
          <cell r="D120">
            <v>280000000</v>
          </cell>
        </row>
        <row r="121">
          <cell r="B121" t="str">
            <v>Thiết bị lấy mẫu động vật phù du</v>
          </cell>
          <cell r="C121" t="str">
            <v>bộ</v>
          </cell>
          <cell r="D121">
            <v>60000000</v>
          </cell>
        </row>
        <row r="122">
          <cell r="B122" t="str">
            <v>Thiết bị lấy mẫu thực vật phù du</v>
          </cell>
          <cell r="C122" t="str">
            <v>bộ</v>
          </cell>
          <cell r="D122">
            <v>80000000</v>
          </cell>
        </row>
        <row r="123">
          <cell r="B123" t="str">
            <v xml:space="preserve">Thiết bị lấy mẫu sinh vật và bộ sàng </v>
          </cell>
          <cell r="C123" t="str">
            <v>bộ</v>
          </cell>
          <cell r="D123">
            <v>75000000</v>
          </cell>
        </row>
        <row r="124">
          <cell r="B124" t="str">
            <v>Thiết bị đo pH</v>
          </cell>
          <cell r="C124" t="str">
            <v>bộ</v>
          </cell>
          <cell r="D124">
            <v>33846000</v>
          </cell>
        </row>
        <row r="125">
          <cell r="B125" t="str">
            <v>Thiết bị đo tiếng ồn tích phân</v>
          </cell>
          <cell r="C125" t="str">
            <v>bộ</v>
          </cell>
          <cell r="D125">
            <v>11970000</v>
          </cell>
        </row>
        <row r="126">
          <cell r="B126" t="str">
            <v>Thiết bị hấp tiệt trùng</v>
          </cell>
          <cell r="C126" t="str">
            <v>bộ</v>
          </cell>
          <cell r="D126">
            <v>67200000</v>
          </cell>
        </row>
        <row r="127">
          <cell r="B127" t="str">
            <v>Bộ chuẩn lưu lượng</v>
          </cell>
          <cell r="C127" t="str">
            <v>bộ</v>
          </cell>
          <cell r="D127">
            <v>31500000</v>
          </cell>
        </row>
        <row r="128">
          <cell r="B128" t="str">
            <v>Thiết bị lấy mẫu</v>
          </cell>
          <cell r="C128" t="str">
            <v>Cái</v>
          </cell>
          <cell r="D128">
            <v>50600000</v>
          </cell>
        </row>
        <row r="129">
          <cell r="B129" t="str">
            <v>Thiết bị lấy mẫu bụi</v>
          </cell>
          <cell r="C129" t="str">
            <v>bộ</v>
          </cell>
          <cell r="D129">
            <v>50000000</v>
          </cell>
        </row>
        <row r="130">
          <cell r="B130" t="str">
            <v xml:space="preserve">Thiết bị lấy mẫu khí </v>
          </cell>
          <cell r="C130" t="str">
            <v>bộ</v>
          </cell>
          <cell r="D130">
            <v>57700000</v>
          </cell>
        </row>
        <row r="131">
          <cell r="B131" t="str">
            <v>Thiết bị lấy mẫu khí thải</v>
          </cell>
          <cell r="C131" t="str">
            <v>bộ</v>
          </cell>
          <cell r="D131">
            <v>550000000</v>
          </cell>
        </row>
        <row r="132">
          <cell r="B132" t="str">
            <v>Thiết bị lấy mẫu nước</v>
          </cell>
          <cell r="C132" t="str">
            <v>bộ</v>
          </cell>
          <cell r="D132">
            <v>51450000</v>
          </cell>
        </row>
        <row r="133">
          <cell r="B133" t="str">
            <v>Thiết bị cất nước 2 lần</v>
          </cell>
          <cell r="C133" t="str">
            <v>bộ</v>
          </cell>
          <cell r="D133">
            <v>99000000</v>
          </cell>
        </row>
        <row r="134">
          <cell r="B134" t="str">
            <v>Thiết bị lọc</v>
          </cell>
          <cell r="C134" t="str">
            <v>bộ</v>
          </cell>
          <cell r="D134">
            <v>54000000</v>
          </cell>
        </row>
        <row r="135">
          <cell r="B135" t="str">
            <v>Thiết bị lọc nước siêu sạch</v>
          </cell>
          <cell r="C135" t="str">
            <v>bộ</v>
          </cell>
          <cell r="D135">
            <v>129150000</v>
          </cell>
        </row>
        <row r="136">
          <cell r="B136" t="str">
            <v>Thiết bị picnomet</v>
          </cell>
          <cell r="C136" t="str">
            <v>bộ</v>
          </cell>
          <cell r="D136">
            <v>21000000</v>
          </cell>
        </row>
        <row r="137">
          <cell r="B137" t="str">
            <v>Thiết bị phá mẫu</v>
          </cell>
          <cell r="C137" t="str">
            <v>bộ</v>
          </cell>
          <cell r="D137">
            <v>28350000</v>
          </cell>
        </row>
        <row r="138">
          <cell r="B138" t="str">
            <v>Thiết bị phá mẫu bằng vi sóng</v>
          </cell>
          <cell r="C138" t="str">
            <v>bộ</v>
          </cell>
          <cell r="D138">
            <v>317240000</v>
          </cell>
        </row>
        <row r="139">
          <cell r="B139" t="str">
            <v>Thiết bị phản ứng COD</v>
          </cell>
          <cell r="C139" t="str">
            <v>bộ</v>
          </cell>
          <cell r="D139">
            <v>55650000</v>
          </cell>
        </row>
        <row r="140">
          <cell r="B140" t="str">
            <v>Thiết bị phân tích</v>
          </cell>
          <cell r="C140" t="str">
            <v>bộ</v>
          </cell>
          <cell r="D140">
            <v>500000000</v>
          </cell>
        </row>
        <row r="141">
          <cell r="B141" t="str">
            <v>Thiết bị sàng rây</v>
          </cell>
          <cell r="C141" t="str">
            <v>bộ</v>
          </cell>
          <cell r="D141">
            <v>67200000</v>
          </cell>
        </row>
        <row r="142">
          <cell r="B142" t="str">
            <v>Thiết bị sinh khí chuẩn</v>
          </cell>
          <cell r="C142" t="str">
            <v>bộ</v>
          </cell>
          <cell r="D142">
            <v>60000000</v>
          </cell>
        </row>
        <row r="143">
          <cell r="B143" t="str">
            <v>Thiết bị sinh khí zero</v>
          </cell>
          <cell r="C143" t="str">
            <v>bộ</v>
          </cell>
          <cell r="D143">
            <v>45000000</v>
          </cell>
        </row>
        <row r="144">
          <cell r="B144" t="str">
            <v>Thiết bị Sóng ký</v>
          </cell>
          <cell r="C144" t="str">
            <v>bộ</v>
          </cell>
          <cell r="D144">
            <v>120000</v>
          </cell>
        </row>
        <row r="145">
          <cell r="B145" t="str">
            <v>Thước dây</v>
          </cell>
          <cell r="C145" t="str">
            <v>cái</v>
          </cell>
          <cell r="D145">
            <v>533500</v>
          </cell>
        </row>
        <row r="146">
          <cell r="B146" t="str">
            <v>U20XD</v>
          </cell>
          <cell r="C146" t="str">
            <v>bộ</v>
          </cell>
          <cell r="D146">
            <v>190000000</v>
          </cell>
        </row>
        <row r="147">
          <cell r="B147" t="str">
            <v>YSI 6820</v>
          </cell>
          <cell r="C147" t="str">
            <v>bộ</v>
          </cell>
          <cell r="D147">
            <v>19960000</v>
          </cell>
        </row>
        <row r="148">
          <cell r="B148" t="str">
            <v>Máy sắc ký ion</v>
          </cell>
          <cell r="C148" t="str">
            <v>bộ</v>
          </cell>
          <cell r="D148">
            <v>865000000</v>
          </cell>
        </row>
        <row r="149">
          <cell r="B149" t="str">
            <v>Hệ thống ICP</v>
          </cell>
          <cell r="C149" t="str">
            <v>bộ</v>
          </cell>
          <cell r="D149">
            <v>5580000000</v>
          </cell>
        </row>
        <row r="150">
          <cell r="B150" t="str">
            <v>Thiết bị đo chênh áp</v>
          </cell>
          <cell r="C150" t="str">
            <v>Bộ</v>
          </cell>
          <cell r="D150">
            <v>16923000</v>
          </cell>
        </row>
        <row r="151">
          <cell r="B151" t="str">
            <v>Thiết bị điều khiển lấy mẫu bụi</v>
          </cell>
          <cell r="C151" t="str">
            <v>bộ</v>
          </cell>
          <cell r="D151">
            <v>300000000</v>
          </cell>
        </row>
        <row r="152">
          <cell r="B152" t="str">
            <v>Thiết bị lấy mẫu khí Oxy</v>
          </cell>
          <cell r="C152" t="str">
            <v>Bộ</v>
          </cell>
          <cell r="D152">
            <v>55000000</v>
          </cell>
        </row>
        <row r="153">
          <cell r="B153" t="str">
            <v>Thiết bị lấy mẫu khí CO</v>
          </cell>
          <cell r="C153" t="str">
            <v>Bộ</v>
          </cell>
          <cell r="D153">
            <v>40500000</v>
          </cell>
        </row>
        <row r="154">
          <cell r="B154" t="str">
            <v>Thiết bị lấy mẫu khí CO2</v>
          </cell>
          <cell r="C154" t="str">
            <v>Bộ</v>
          </cell>
          <cell r="D154">
            <v>50000000</v>
          </cell>
        </row>
        <row r="155">
          <cell r="B155" t="str">
            <v>Thiết bị lấy mẫu khí NO</v>
          </cell>
          <cell r="C155" t="str">
            <v>Bộ</v>
          </cell>
          <cell r="D155">
            <v>52000000</v>
          </cell>
        </row>
        <row r="156">
          <cell r="B156" t="str">
            <v>Thiết bị lấy mẫu khí NO2</v>
          </cell>
          <cell r="C156" t="str">
            <v>Bộ</v>
          </cell>
          <cell r="D156">
            <v>48000000</v>
          </cell>
        </row>
        <row r="157">
          <cell r="B157" t="str">
            <v>Thiết bị lấy mẫu khí NOx</v>
          </cell>
          <cell r="C157" t="str">
            <v>Bộ</v>
          </cell>
          <cell r="D157">
            <v>56500000</v>
          </cell>
        </row>
        <row r="158">
          <cell r="B158" t="str">
            <v xml:space="preserve">Thiết bị lấy mẫu khí SO2 </v>
          </cell>
          <cell r="C158" t="str">
            <v>Bộ</v>
          </cell>
          <cell r="D158">
            <v>40500000</v>
          </cell>
        </row>
        <row r="159">
          <cell r="B159" t="str">
            <v xml:space="preserve">Cân phân tích </v>
          </cell>
          <cell r="C159" t="str">
            <v>Cái</v>
          </cell>
          <cell r="D159">
            <v>30000000</v>
          </cell>
        </row>
        <row r="160">
          <cell r="B160" t="str">
            <v>Máy vi tính</v>
          </cell>
          <cell r="C160" t="str">
            <v>bộ</v>
          </cell>
          <cell r="D160">
            <v>12000000</v>
          </cell>
        </row>
        <row r="161">
          <cell r="B161" t="str">
            <v>Máy lấy mẫu TESTO 350XL hoặc TESTO 512 (giá TESTO 350XL)</v>
          </cell>
          <cell r="C161" t="str">
            <v>Bộ</v>
          </cell>
          <cell r="D161">
            <v>447887261.09600002</v>
          </cell>
        </row>
        <row r="162">
          <cell r="B162" t="str">
            <v xml:space="preserve">Nồi nấu có bộ phận lắc </v>
          </cell>
          <cell r="C162" t="str">
            <v>Bộ</v>
          </cell>
          <cell r="D162">
            <v>50342000</v>
          </cell>
        </row>
        <row r="163">
          <cell r="B163" t="str">
            <v>Thiết bị đo độ rung gia tốc</v>
          </cell>
          <cell r="C163" t="str">
            <v>Bộ</v>
          </cell>
          <cell r="D163">
            <v>20000000</v>
          </cell>
        </row>
        <row r="164">
          <cell r="B164" t="str">
            <v xml:space="preserve">Thiết bị hút mẫu </v>
          </cell>
          <cell r="C164" t="str">
            <v>Bộ</v>
          </cell>
          <cell r="D164">
            <v>20000000</v>
          </cell>
        </row>
        <row r="165">
          <cell r="B165" t="str">
            <v>Thiết bị lấy mẫu</v>
          </cell>
          <cell r="C165" t="str">
            <v>Bộ</v>
          </cell>
          <cell r="D165">
            <v>250000000</v>
          </cell>
        </row>
        <row r="166">
          <cell r="B166" t="str">
            <v>Thiết bị điều khiển lấy mẫu</v>
          </cell>
          <cell r="C166" t="str">
            <v>Bộ</v>
          </cell>
          <cell r="D166">
            <v>250000000</v>
          </cell>
        </row>
        <row r="167">
          <cell r="B167" t="str">
            <v xml:space="preserve">Thiết bị đo lưu lượng khí </v>
          </cell>
          <cell r="C167" t="str">
            <v>Bộ</v>
          </cell>
          <cell r="D167">
            <v>25000000</v>
          </cell>
        </row>
        <row r="168">
          <cell r="B168" t="str">
            <v>Máy ảnh kỹ thuật số</v>
          </cell>
          <cell r="C168" t="str">
            <v>cái</v>
          </cell>
          <cell r="D168">
            <v>3150000</v>
          </cell>
        </row>
        <row r="169">
          <cell r="B169" t="str">
            <v>Modul phân tích khí CO</v>
          </cell>
          <cell r="C169" t="str">
            <v>cái</v>
          </cell>
          <cell r="D169">
            <v>350000000</v>
          </cell>
        </row>
        <row r="170">
          <cell r="B170" t="str">
            <v>Máy tạo đa khí chuẩn</v>
          </cell>
          <cell r="C170" t="str">
            <v>cái</v>
          </cell>
          <cell r="D170">
            <v>90000000</v>
          </cell>
        </row>
        <row r="171">
          <cell r="B171" t="str">
            <v>Bộ tạo khí 0 (zezo)</v>
          </cell>
          <cell r="C171" t="str">
            <v>bộ</v>
          </cell>
          <cell r="D171">
            <v>45000000</v>
          </cell>
        </row>
        <row r="173">
          <cell r="B173" t="str">
            <v>Bộ lưu giữ số liệu (Data logger)</v>
          </cell>
          <cell r="C173" t="str">
            <v>bộ</v>
          </cell>
          <cell r="D173">
            <v>250000000</v>
          </cell>
        </row>
        <row r="174">
          <cell r="B174" t="str">
            <v xml:space="preserve">Máy phát điện 15 KVA 220V </v>
          </cell>
          <cell r="C174" t="str">
            <v>cái</v>
          </cell>
          <cell r="D174">
            <v>125000000</v>
          </cell>
        </row>
        <row r="175">
          <cell r="B175" t="str">
            <v>Bơm hút mẫu</v>
          </cell>
          <cell r="D175">
            <v>94943000</v>
          </cell>
        </row>
        <row r="176">
          <cell r="B176" t="str">
            <v>Đường ống dẫn lấy mẫu khí</v>
          </cell>
          <cell r="C176" t="str">
            <v>bôộ</v>
          </cell>
          <cell r="D176">
            <v>60000000</v>
          </cell>
        </row>
        <row r="177">
          <cell r="B177" t="str">
            <v>Đường ống dẫn lấy mẫu nước</v>
          </cell>
          <cell r="C177" t="str">
            <v>bôộ</v>
          </cell>
          <cell r="D177">
            <v>60000000</v>
          </cell>
        </row>
        <row r="178">
          <cell r="B178" t="str">
            <v>Hệ thống báo động chống trộm</v>
          </cell>
          <cell r="C178" t="str">
            <v>bộ</v>
          </cell>
          <cell r="D178">
            <v>15000000</v>
          </cell>
        </row>
        <row r="179">
          <cell r="B179" t="str">
            <v>Hệ thống cảnh báo cháy</v>
          </cell>
          <cell r="C179" t="str">
            <v>bộ</v>
          </cell>
          <cell r="D179">
            <v>18500000</v>
          </cell>
        </row>
        <row r="180">
          <cell r="B180" t="str">
            <v>Hệ thống chống sét theo đường điện cấp cho trạm</v>
          </cell>
          <cell r="C180" t="str">
            <v>bộ</v>
          </cell>
          <cell r="D180">
            <v>20000000</v>
          </cell>
        </row>
        <row r="181">
          <cell r="B181" t="str">
            <v>Hệ thống chống sét theo đường truyền số liệu</v>
          </cell>
          <cell r="D181">
            <v>20000000</v>
          </cell>
        </row>
        <row r="182">
          <cell r="B182" t="str">
            <v>Máy in</v>
          </cell>
          <cell r="C182" t="str">
            <v>bộ</v>
          </cell>
          <cell r="D182">
            <v>5000000</v>
          </cell>
        </row>
        <row r="183">
          <cell r="B183" t="str">
            <v>Bộ chuyển đổi dữ liệu</v>
          </cell>
          <cell r="D183">
            <v>250000000</v>
          </cell>
        </row>
        <row r="184">
          <cell r="B184" t="str">
            <v>Sensor đo nhiệt độ/độ ẩm</v>
          </cell>
          <cell r="D184">
            <v>150000000</v>
          </cell>
        </row>
        <row r="185">
          <cell r="B185" t="str">
            <v>Bộ thu thập, xử lý và lưu giữ số liệu (Data Logger)</v>
          </cell>
          <cell r="D185">
            <v>65000000</v>
          </cell>
        </row>
        <row r="186">
          <cell r="B186" t="str">
            <v>Bộ truyền dữ liệu qua modem điện thoại hoặc Internet/mạng GSM/ qua vệ tinh</v>
          </cell>
          <cell r="D186">
            <v>150000000</v>
          </cell>
        </row>
        <row r="187">
          <cell r="B187" t="str">
            <v>Cột treo sensor</v>
          </cell>
          <cell r="D187">
            <v>5000000</v>
          </cell>
        </row>
        <row r="188">
          <cell r="B188" t="str">
            <v>Thiết bị đo tốc độ gió, hướng gió</v>
          </cell>
          <cell r="D188">
            <v>150000000</v>
          </cell>
        </row>
        <row r="189">
          <cell r="B189" t="str">
            <v>Sensor đo đọ ẩm, áp suất</v>
          </cell>
          <cell r="D189">
            <v>150000000</v>
          </cell>
        </row>
        <row r="190">
          <cell r="B190" t="str">
            <v>Thiết bị đo bức xạ mặt trời</v>
          </cell>
          <cell r="D190">
            <v>150000000</v>
          </cell>
        </row>
        <row r="191">
          <cell r="B191" t="str">
            <v>Bộ máy chủ lưu trữ số liệu</v>
          </cell>
          <cell r="D191">
            <v>165000000</v>
          </cell>
        </row>
        <row r="192">
          <cell r="B192" t="str">
            <v>Bộ cáp nối tín hiệu các modul</v>
          </cell>
          <cell r="D192">
            <v>65000000</v>
          </cell>
        </row>
        <row r="193">
          <cell r="B193" t="str">
            <v>Máy đo bụi lơ lửng PM10 và TSP</v>
          </cell>
          <cell r="D193">
            <v>150000000</v>
          </cell>
        </row>
        <row r="194">
          <cell r="B194" t="str">
            <v>Modul phân tích NO-NO2 - NOx</v>
          </cell>
          <cell r="D194">
            <v>150000000</v>
          </cell>
        </row>
        <row r="195">
          <cell r="B195" t="str">
            <v>Modul phân tích khí SO2</v>
          </cell>
          <cell r="D195">
            <v>150000000</v>
          </cell>
        </row>
        <row r="196">
          <cell r="B196" t="str">
            <v>Modul phân tích khí O3</v>
          </cell>
          <cell r="D196">
            <v>150000000</v>
          </cell>
        </row>
        <row r="197">
          <cell r="B197" t="str">
            <v>Modul phân tích khí THC</v>
          </cell>
          <cell r="D197">
            <v>150000000</v>
          </cell>
        </row>
        <row r="198">
          <cell r="B198" t="str">
            <v>Modul phân tích khí BTX</v>
          </cell>
          <cell r="D198">
            <v>150000000</v>
          </cell>
        </row>
        <row r="199">
          <cell r="B199" t="str">
            <v>Thiết bị đo nhiệt độ/ độ ẩm</v>
          </cell>
          <cell r="D199">
            <v>150000000</v>
          </cell>
        </row>
        <row r="200">
          <cell r="B200" t="str">
            <v>Thiết bị đo  tốc độ gió</v>
          </cell>
          <cell r="D200">
            <v>150000000</v>
          </cell>
        </row>
        <row r="201">
          <cell r="B201" t="str">
            <v>Thiết bị đo hướng gió</v>
          </cell>
          <cell r="D201">
            <v>150000000</v>
          </cell>
        </row>
        <row r="202">
          <cell r="B202" t="str">
            <v>Thiết bị đo áp suất khí quyển</v>
          </cell>
          <cell r="D202">
            <v>150000000</v>
          </cell>
        </row>
        <row r="203">
          <cell r="B203" t="str">
            <v xml:space="preserve">Modul phân tích khí O­3 </v>
          </cell>
          <cell r="D203">
            <v>150000000</v>
          </cell>
        </row>
        <row r="204">
          <cell r="B204" t="str">
            <v>Modul phân tích khí CxHy</v>
          </cell>
          <cell r="D204">
            <v>150000000</v>
          </cell>
        </row>
        <row r="205">
          <cell r="B205" t="str">
            <v>Hệ thống lấy mẫu nước</v>
          </cell>
          <cell r="D205">
            <v>65000000</v>
          </cell>
        </row>
        <row r="206">
          <cell r="B206" t="str">
            <v>Bộ pin mặt trời</v>
          </cell>
          <cell r="D206">
            <v>6000000</v>
          </cell>
        </row>
        <row r="207">
          <cell r="B207" t="str">
            <v>Bộ xạc pin dự phòng</v>
          </cell>
          <cell r="D207">
            <v>1800000</v>
          </cell>
        </row>
        <row r="208">
          <cell r="B208" t="str">
            <v>Thuyền máy (ca nô)</v>
          </cell>
          <cell r="D208">
            <v>150000000</v>
          </cell>
        </row>
        <row r="209">
          <cell r="B209" t="str">
            <v>Thiết bị lấy mẫu bui (ống probe)</v>
          </cell>
          <cell r="D209">
            <v>150000000</v>
          </cell>
        </row>
        <row r="211">
          <cell r="B211" t="str">
            <v>Thiết bị hiệu chuẩn lưu lượng</v>
          </cell>
          <cell r="D211">
            <v>31500000</v>
          </cell>
        </row>
        <row r="212">
          <cell r="B212" t="str">
            <v>Máy tính xách tay</v>
          </cell>
          <cell r="D212">
            <v>20000000</v>
          </cell>
        </row>
        <row r="213">
          <cell r="B213" t="str">
            <v>Bộ đàm</v>
          </cell>
          <cell r="D213">
            <v>10000000</v>
          </cell>
        </row>
        <row r="214">
          <cell r="B214" t="str">
            <v>Thiết bị đo nhanh IMR</v>
          </cell>
          <cell r="D214">
            <v>300000000</v>
          </cell>
        </row>
        <row r="215">
          <cell r="B215" t="str">
            <v>Thiết bị sắc ký khí độ phân giải cao DFS</v>
          </cell>
          <cell r="D215">
            <v>16329087000</v>
          </cell>
        </row>
        <row r="216">
          <cell r="B216" t="str">
            <v>Chiết Soxhlet B811, Buchi</v>
          </cell>
          <cell r="D216">
            <v>1113438000</v>
          </cell>
        </row>
        <row r="217">
          <cell r="B217" t="str">
            <v>Bồn siêu âm WUC.DH10H, DaiHan</v>
          </cell>
          <cell r="C217" t="str">
            <v>cái</v>
          </cell>
          <cell r="D217">
            <v>40000000</v>
          </cell>
        </row>
        <row r="218">
          <cell r="B218" t="str">
            <v>Máy rung Vortex MS3, IKA</v>
          </cell>
          <cell r="D218">
            <v>15000000</v>
          </cell>
        </row>
        <row r="219">
          <cell r="B219" t="str">
            <v>Tủ hút, Esco basic 47</v>
          </cell>
          <cell r="D219">
            <v>15000000</v>
          </cell>
        </row>
        <row r="220">
          <cell r="B220" t="str">
            <v>Tủ lạnh 0-8oC bảo quản chất chuẩn, mẫu, Panasonic, 302SS</v>
          </cell>
          <cell r="D220">
            <v>179000000</v>
          </cell>
        </row>
        <row r="221">
          <cell r="B221" t="str">
            <v>Máy hút ẩm NAB-20DEN3, Nagakawa (03 chiếc)</v>
          </cell>
          <cell r="D221">
            <v>12000000</v>
          </cell>
        </row>
        <row r="222">
          <cell r="B222" t="str">
            <v>Máy phát điện 1 pha</v>
          </cell>
          <cell r="D222">
            <v>138600000</v>
          </cell>
        </row>
        <row r="223">
          <cell r="B223" t="str">
            <v>Máy phát điện 3 pha</v>
          </cell>
          <cell r="D223">
            <v>460339000</v>
          </cell>
        </row>
        <row r="224">
          <cell r="B224" t="str">
            <v>Máy tính để bàn xử lý số liệu, xuất lưu trữ số liệu</v>
          </cell>
          <cell r="D224">
            <v>11623000</v>
          </cell>
        </row>
        <row r="225">
          <cell r="B225" t="str">
            <v>Máy in xuất kết quả</v>
          </cell>
          <cell r="D225">
            <v>9350000</v>
          </cell>
        </row>
        <row r="226">
          <cell r="B226" t="str">
            <v>Tủ đông lạnh đến -20oC bảo quản, lưu mẫu thời gian dài, SANAKY VH-565HY</v>
          </cell>
          <cell r="D226">
            <v>10000000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g.gia Dungcu"/>
      <sheetName val="Ng.gia vatlieu"/>
      <sheetName val="Ng.gia thiêtbi"/>
    </sheetNames>
    <sheetDataSet>
      <sheetData sheetId="0" refreshError="1"/>
      <sheetData sheetId="1" refreshError="1"/>
      <sheetData sheetId="2" refreshError="1">
        <row r="3">
          <cell r="B3" t="str">
            <v>Ác quy 6v</v>
          </cell>
          <cell r="C3" t="str">
            <v>cái</v>
          </cell>
          <cell r="D3">
            <v>300000</v>
          </cell>
          <cell r="E3">
            <v>1</v>
          </cell>
        </row>
        <row r="4">
          <cell r="B4" t="str">
            <v>Áp kế</v>
          </cell>
          <cell r="C4" t="str">
            <v>cái</v>
          </cell>
          <cell r="D4">
            <v>5215100</v>
          </cell>
          <cell r="E4">
            <v>2</v>
          </cell>
        </row>
        <row r="5">
          <cell r="B5" t="str">
            <v>Ẩm kế Asman</v>
          </cell>
          <cell r="C5" t="str">
            <v>bộ</v>
          </cell>
          <cell r="D5">
            <v>931000</v>
          </cell>
          <cell r="E5">
            <v>1</v>
          </cell>
        </row>
        <row r="6">
          <cell r="B6" t="str">
            <v>Bể ổn định nhiệt</v>
          </cell>
          <cell r="C6" t="str">
            <v>cái</v>
          </cell>
          <cell r="D6">
            <v>131250000</v>
          </cell>
          <cell r="E6">
            <v>10</v>
          </cell>
        </row>
        <row r="7">
          <cell r="B7" t="str">
            <v>Bể siêu âm</v>
          </cell>
          <cell r="C7" t="str">
            <v>cái</v>
          </cell>
          <cell r="D7">
            <v>49350000</v>
          </cell>
          <cell r="E7">
            <v>8</v>
          </cell>
        </row>
        <row r="8">
          <cell r="B8" t="str">
            <v>Bếp cách cát</v>
          </cell>
          <cell r="C8" t="str">
            <v>cái</v>
          </cell>
          <cell r="D8">
            <v>8800000</v>
          </cell>
          <cell r="E8">
            <v>5</v>
          </cell>
        </row>
        <row r="9">
          <cell r="B9" t="str">
            <v>Bếp cách thủy</v>
          </cell>
          <cell r="C9" t="str">
            <v>Cái</v>
          </cell>
          <cell r="D9">
            <v>63628000</v>
          </cell>
          <cell r="E9">
            <v>8</v>
          </cell>
        </row>
        <row r="10">
          <cell r="B10" t="str">
            <v>Bếp điều chỉnh nhiệt</v>
          </cell>
          <cell r="C10" t="str">
            <v>Cái</v>
          </cell>
          <cell r="D10">
            <v>8800000</v>
          </cell>
          <cell r="E10">
            <v>5</v>
          </cell>
        </row>
        <row r="11">
          <cell r="B11" t="str">
            <v>Bình hút ẩm</v>
          </cell>
          <cell r="C11" t="str">
            <v>Cái</v>
          </cell>
          <cell r="D11">
            <v>10500000</v>
          </cell>
          <cell r="E11">
            <v>5</v>
          </cell>
        </row>
        <row r="12">
          <cell r="B12" t="str">
            <v>Bộ lấy mẫu khí</v>
          </cell>
          <cell r="C12" t="str">
            <v>bộ</v>
          </cell>
          <cell r="D12">
            <v>49350000</v>
          </cell>
          <cell r="E12">
            <v>8</v>
          </cell>
        </row>
        <row r="13">
          <cell r="B13" t="str">
            <v>Bộ lọc hút chân không</v>
          </cell>
          <cell r="C13" t="str">
            <v>bộ</v>
          </cell>
          <cell r="D13">
            <v>52500000</v>
          </cell>
          <cell r="E13">
            <v>8</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8</v>
          </cell>
        </row>
        <row r="17">
          <cell r="B17" t="str">
            <v>Bơm chân không</v>
          </cell>
          <cell r="C17" t="str">
            <v>cái</v>
          </cell>
          <cell r="D17">
            <v>32340000</v>
          </cell>
          <cell r="E17">
            <v>8</v>
          </cell>
        </row>
        <row r="18">
          <cell r="B18" t="str">
            <v>Bơm hút</v>
          </cell>
          <cell r="C18" t="str">
            <v>cái</v>
          </cell>
          <cell r="D18">
            <v>3000000</v>
          </cell>
          <cell r="E18">
            <v>1</v>
          </cell>
        </row>
        <row r="19">
          <cell r="B19" t="str">
            <v>Cân phân tích mẫu</v>
          </cell>
          <cell r="C19" t="str">
            <v>Cái</v>
          </cell>
          <cell r="D19">
            <v>53130000</v>
          </cell>
          <cell r="E19">
            <v>8</v>
          </cell>
        </row>
        <row r="20">
          <cell r="B20" t="str">
            <v>Đầu đo nhiệt độ</v>
          </cell>
          <cell r="C20" t="str">
            <v>cái</v>
          </cell>
          <cell r="D20">
            <v>3300000.0000000005</v>
          </cell>
          <cell r="E20">
            <v>1</v>
          </cell>
        </row>
        <row r="21">
          <cell r="B21" t="str">
            <v>Đĩa Sechi</v>
          </cell>
          <cell r="C21" t="str">
            <v>bộ</v>
          </cell>
          <cell r="D21">
            <v>30000</v>
          </cell>
          <cell r="E21">
            <v>1</v>
          </cell>
        </row>
        <row r="22">
          <cell r="B22" t="str">
            <v>Điện năng</v>
          </cell>
          <cell r="D22">
            <v>1602.7</v>
          </cell>
        </row>
        <row r="23">
          <cell r="B23" t="str">
            <v>FPP-15</v>
          </cell>
          <cell r="C23" t="str">
            <v>m2</v>
          </cell>
          <cell r="D23">
            <v>600000</v>
          </cell>
          <cell r="E23">
            <v>1</v>
          </cell>
        </row>
        <row r="24">
          <cell r="B24" t="str">
            <v>GC-FID</v>
          </cell>
          <cell r="C24" t="str">
            <v>bộ</v>
          </cell>
          <cell r="D24">
            <v>1204690000</v>
          </cell>
          <cell r="E24">
            <v>10</v>
          </cell>
        </row>
        <row r="25">
          <cell r="B25" t="str">
            <v>Hệ đếm tổng alpha, Bêta phông thấp</v>
          </cell>
          <cell r="C25" t="str">
            <v>Bộ</v>
          </cell>
          <cell r="D25">
            <v>450000000</v>
          </cell>
          <cell r="E25">
            <v>10</v>
          </cell>
        </row>
        <row r="26">
          <cell r="B26" t="str">
            <v>Hệ phổ kế Gamma phông thấp</v>
          </cell>
          <cell r="C26" t="str">
            <v>Bộ</v>
          </cell>
          <cell r="D26">
            <v>2200000000</v>
          </cell>
          <cell r="E26">
            <v>10</v>
          </cell>
        </row>
        <row r="27">
          <cell r="B27" t="str">
            <v>Hệ thống nạp mẫu khí</v>
          </cell>
          <cell r="C27" t="str">
            <v>bộ</v>
          </cell>
          <cell r="D27">
            <v>7500000</v>
          </cell>
          <cell r="E27">
            <v>5</v>
          </cell>
        </row>
        <row r="28">
          <cell r="B28" t="str">
            <v>Kích 5 tấn</v>
          </cell>
          <cell r="C28" t="str">
            <v>cái</v>
          </cell>
          <cell r="D28">
            <v>7000000</v>
          </cell>
          <cell r="E28">
            <v>5</v>
          </cell>
        </row>
        <row r="29">
          <cell r="B29" t="str">
            <v>Kính hiển vi</v>
          </cell>
          <cell r="C29" t="str">
            <v>cái</v>
          </cell>
          <cell r="D29">
            <v>61000000</v>
          </cell>
          <cell r="E29">
            <v>8</v>
          </cell>
        </row>
        <row r="30">
          <cell r="B30" t="str">
            <v>Kính hiển vi độ phóng đại 1000 lần</v>
          </cell>
          <cell r="C30" t="str">
            <v>cái</v>
          </cell>
          <cell r="D30">
            <v>445000000</v>
          </cell>
          <cell r="E30">
            <v>10</v>
          </cell>
        </row>
        <row r="31">
          <cell r="B31" t="str">
            <v>Kính hiển vi soi nổi độ phóng đại 400 lần</v>
          </cell>
          <cell r="C31" t="str">
            <v>cái</v>
          </cell>
          <cell r="D31">
            <v>320000000</v>
          </cell>
          <cell r="E31">
            <v>10</v>
          </cell>
        </row>
        <row r="32">
          <cell r="B32" t="str">
            <v>Khay hứng chuyên dụng</v>
          </cell>
          <cell r="C32" t="str">
            <v>cái</v>
          </cell>
          <cell r="D32">
            <v>30000000</v>
          </cell>
          <cell r="E32">
            <v>8</v>
          </cell>
        </row>
        <row r="33">
          <cell r="B33" t="str">
            <v>Khoan nhỏ</v>
          </cell>
          <cell r="C33" t="str">
            <v>cái</v>
          </cell>
          <cell r="D33">
            <v>10000000</v>
          </cell>
          <cell r="E33">
            <v>8</v>
          </cell>
        </row>
        <row r="34">
          <cell r="B34" t="str">
            <v>LF 197</v>
          </cell>
          <cell r="C34" t="str">
            <v>cái</v>
          </cell>
          <cell r="D34">
            <v>40000000</v>
          </cell>
          <cell r="E34">
            <v>8</v>
          </cell>
        </row>
        <row r="35">
          <cell r="B35" t="str">
            <v>LF 197S</v>
          </cell>
          <cell r="C35" t="str">
            <v>cái</v>
          </cell>
          <cell r="D35">
            <v>42000000</v>
          </cell>
          <cell r="E35">
            <v>8</v>
          </cell>
        </row>
        <row r="36">
          <cell r="B36" t="str">
            <v>Lò chuyển hóa</v>
          </cell>
          <cell r="C36" t="str">
            <v>bộ</v>
          </cell>
          <cell r="D36">
            <v>150000000</v>
          </cell>
          <cell r="E36">
            <v>8</v>
          </cell>
        </row>
        <row r="37">
          <cell r="B37" t="str">
            <v>Lò nung</v>
          </cell>
          <cell r="C37" t="str">
            <v>Cái</v>
          </cell>
          <cell r="D37">
            <v>6400000</v>
          </cell>
          <cell r="E37">
            <v>5</v>
          </cell>
        </row>
        <row r="38">
          <cell r="B38" t="str">
            <v>Lò vi sóng</v>
          </cell>
          <cell r="C38" t="str">
            <v>Cái</v>
          </cell>
          <cell r="D38">
            <v>317240000</v>
          </cell>
          <cell r="E38">
            <v>10</v>
          </cell>
        </row>
        <row r="39">
          <cell r="B39" t="str">
            <v>Máy cất cô chân không</v>
          </cell>
          <cell r="C39" t="str">
            <v>Cái</v>
          </cell>
          <cell r="D39">
            <v>97230000</v>
          </cell>
          <cell r="E39">
            <v>8</v>
          </cell>
        </row>
        <row r="40">
          <cell r="B40" t="str">
            <v>Máy cất Nitơ</v>
          </cell>
          <cell r="C40" t="str">
            <v>Cái</v>
          </cell>
          <cell r="D40">
            <v>162000000</v>
          </cell>
          <cell r="E40">
            <v>8</v>
          </cell>
        </row>
        <row r="41">
          <cell r="B41" t="str">
            <v>Máy cất quay chân không</v>
          </cell>
          <cell r="C41" t="str">
            <v>Cái</v>
          </cell>
          <cell r="D41">
            <v>97230000</v>
          </cell>
          <cell r="E41">
            <v>8</v>
          </cell>
        </row>
        <row r="42">
          <cell r="B42" t="str">
            <v>Máy cô nitơ</v>
          </cell>
          <cell r="C42" t="str">
            <v>bộ</v>
          </cell>
          <cell r="D42">
            <v>70000000</v>
          </cell>
          <cell r="E42">
            <v>8</v>
          </cell>
        </row>
        <row r="43">
          <cell r="B43" t="str">
            <v>Máy đếm Coliform</v>
          </cell>
          <cell r="C43" t="str">
            <v>cái</v>
          </cell>
          <cell r="D43">
            <v>41600000</v>
          </cell>
          <cell r="E43">
            <v>8</v>
          </cell>
        </row>
        <row r="44">
          <cell r="B44" t="str">
            <v>Máy điều hòa nhiệt độ</v>
          </cell>
          <cell r="C44" t="str">
            <v>cái</v>
          </cell>
          <cell r="D44">
            <v>12000000</v>
          </cell>
          <cell r="E44">
            <v>8</v>
          </cell>
        </row>
        <row r="45">
          <cell r="B45" t="str">
            <v>Máy định vị GPS</v>
          </cell>
          <cell r="C45" t="str">
            <v>bộ</v>
          </cell>
          <cell r="D45">
            <v>10450000</v>
          </cell>
          <cell r="E45">
            <v>10</v>
          </cell>
        </row>
        <row r="46">
          <cell r="B46" t="str">
            <v>Máy định vị GPS cầm tay</v>
          </cell>
          <cell r="C46" t="str">
            <v xml:space="preserve">cái </v>
          </cell>
          <cell r="D46">
            <v>10450000</v>
          </cell>
          <cell r="E46">
            <v>10</v>
          </cell>
        </row>
        <row r="47">
          <cell r="B47" t="str">
            <v>Máy đo độ đục Turb 355T</v>
          </cell>
          <cell r="C47" t="str">
            <v xml:space="preserve">cái </v>
          </cell>
          <cell r="D47">
            <v>26250000</v>
          </cell>
          <cell r="E47">
            <v>10</v>
          </cell>
        </row>
        <row r="48">
          <cell r="B48" t="str">
            <v>Máy đo EC</v>
          </cell>
          <cell r="C48" t="str">
            <v>bộ</v>
          </cell>
          <cell r="D48">
            <v>44100000</v>
          </cell>
          <cell r="E48">
            <v>10</v>
          </cell>
        </row>
        <row r="49">
          <cell r="B49" t="str">
            <v>Máy đo gió cầm tay</v>
          </cell>
          <cell r="C49" t="str">
            <v>bộ</v>
          </cell>
          <cell r="D49">
            <v>17850000</v>
          </cell>
          <cell r="E49">
            <v>10</v>
          </cell>
        </row>
        <row r="50">
          <cell r="B50" t="str">
            <v>Máy đo hàm lượng Radon</v>
          </cell>
          <cell r="C50" t="str">
            <v>bộ</v>
          </cell>
          <cell r="D50">
            <v>400000000</v>
          </cell>
          <cell r="E50">
            <v>10</v>
          </cell>
        </row>
        <row r="51">
          <cell r="B51" t="str">
            <v>Máy đo nhiệt độ</v>
          </cell>
          <cell r="C51" t="str">
            <v>bộ</v>
          </cell>
          <cell r="D51">
            <v>3385000</v>
          </cell>
          <cell r="E51">
            <v>1</v>
          </cell>
        </row>
        <row r="52">
          <cell r="B52" t="str">
            <v>Máy đo pH</v>
          </cell>
          <cell r="C52" t="str">
            <v>bộ</v>
          </cell>
          <cell r="D52">
            <v>34650000</v>
          </cell>
          <cell r="E52">
            <v>10</v>
          </cell>
        </row>
        <row r="53">
          <cell r="B53" t="str">
            <v>Máy đo quang DR 2010</v>
          </cell>
          <cell r="C53" t="str">
            <v>bộ</v>
          </cell>
          <cell r="D53">
            <v>101538000</v>
          </cell>
          <cell r="E53">
            <v>10</v>
          </cell>
        </row>
        <row r="54">
          <cell r="B54" t="str">
            <v>Máy đo quang DR 2400</v>
          </cell>
          <cell r="C54" t="str">
            <v>bộ</v>
          </cell>
          <cell r="D54">
            <v>135385000</v>
          </cell>
          <cell r="E54">
            <v>10</v>
          </cell>
        </row>
        <row r="55">
          <cell r="B55" t="str">
            <v>Máy đo xuất liều bức xạ cầm tay</v>
          </cell>
          <cell r="C55" t="str">
            <v>cái</v>
          </cell>
          <cell r="D55">
            <v>70000000</v>
          </cell>
          <cell r="E55">
            <v>10</v>
          </cell>
        </row>
        <row r="56">
          <cell r="B56" t="str">
            <v>Máy hút khí</v>
          </cell>
          <cell r="C56" t="str">
            <v>cái</v>
          </cell>
          <cell r="D56">
            <v>350000000</v>
          </cell>
          <cell r="E56">
            <v>10</v>
          </cell>
        </row>
        <row r="57">
          <cell r="B57" t="str">
            <v>Máy khuấy</v>
          </cell>
          <cell r="C57" t="str">
            <v>Cái</v>
          </cell>
          <cell r="D57">
            <v>49875000</v>
          </cell>
          <cell r="E57">
            <v>8</v>
          </cell>
        </row>
        <row r="58">
          <cell r="B58" t="str">
            <v>Máy khuấy từ</v>
          </cell>
          <cell r="C58" t="str">
            <v>cái</v>
          </cell>
          <cell r="D58">
            <v>22000000</v>
          </cell>
          <cell r="E58">
            <v>8</v>
          </cell>
        </row>
        <row r="59">
          <cell r="B59" t="str">
            <v>Máy lắc</v>
          </cell>
          <cell r="C59" t="str">
            <v>bộ</v>
          </cell>
          <cell r="D59">
            <v>33846000</v>
          </cell>
          <cell r="E59">
            <v>8</v>
          </cell>
        </row>
        <row r="60">
          <cell r="B60" t="str">
            <v>Máy lấy mẫu TESTO 350XL hoặc TESTO 512</v>
          </cell>
          <cell r="C60" t="str">
            <v>bộ</v>
          </cell>
          <cell r="D60">
            <v>447887261.09600002</v>
          </cell>
          <cell r="E60">
            <v>10</v>
          </cell>
        </row>
        <row r="61">
          <cell r="B61" t="str">
            <v>Máy lọc chân không</v>
          </cell>
          <cell r="C61" t="str">
            <v>bộ</v>
          </cell>
          <cell r="D61">
            <v>6500000</v>
          </cell>
          <cell r="E61">
            <v>8</v>
          </cell>
        </row>
        <row r="62">
          <cell r="B62" t="str">
            <v>Máy nén khí</v>
          </cell>
          <cell r="C62" t="str">
            <v>bộ</v>
          </cell>
          <cell r="D62">
            <v>17850000</v>
          </cell>
          <cell r="E62">
            <v>8</v>
          </cell>
        </row>
        <row r="63">
          <cell r="B63" t="str">
            <v>Máy phân tích quang phổ</v>
          </cell>
          <cell r="C63" t="str">
            <v>bộ</v>
          </cell>
          <cell r="D63">
            <v>120750000</v>
          </cell>
          <cell r="E63">
            <v>10</v>
          </cell>
        </row>
        <row r="64">
          <cell r="B64" t="str">
            <v>Máy phân tích quang phổ AAS</v>
          </cell>
          <cell r="C64" t="str">
            <v>bộ</v>
          </cell>
          <cell r="D64">
            <v>1058000000</v>
          </cell>
          <cell r="E64">
            <v>10</v>
          </cell>
        </row>
        <row r="65">
          <cell r="B65" t="str">
            <v>Máy phân tích quang phổ AAS hoặc cực phổ</v>
          </cell>
          <cell r="C65" t="str">
            <v>bộ</v>
          </cell>
          <cell r="D65">
            <v>1058000000</v>
          </cell>
          <cell r="E65">
            <v>10</v>
          </cell>
        </row>
        <row r="66">
          <cell r="B66" t="str">
            <v>Máy phân tích sắc ký GC</v>
          </cell>
          <cell r="C66" t="str">
            <v>bộ</v>
          </cell>
          <cell r="D66">
            <v>1204690000</v>
          </cell>
          <cell r="E66">
            <v>10</v>
          </cell>
        </row>
        <row r="67">
          <cell r="B67" t="str">
            <v>Máy phân tích trắc quang</v>
          </cell>
          <cell r="C67" t="str">
            <v>bộ</v>
          </cell>
          <cell r="D67">
            <v>120750000</v>
          </cell>
          <cell r="E67">
            <v>10</v>
          </cell>
        </row>
        <row r="68">
          <cell r="B68" t="str">
            <v>Máy quang kế ngọn lửa</v>
          </cell>
          <cell r="C68" t="str">
            <v>bộ</v>
          </cell>
          <cell r="D68">
            <v>310869600</v>
          </cell>
          <cell r="E68">
            <v>10</v>
          </cell>
        </row>
        <row r="69">
          <cell r="B69" t="str">
            <v>Máy quang phổ AAS</v>
          </cell>
          <cell r="C69" t="str">
            <v>bộ</v>
          </cell>
          <cell r="D69">
            <v>1058000000</v>
          </cell>
          <cell r="E69">
            <v>10</v>
          </cell>
        </row>
        <row r="70">
          <cell r="B70" t="str">
            <v>Máy quang phổ ngọn lửa</v>
          </cell>
          <cell r="C70" t="str">
            <v>bộ</v>
          </cell>
          <cell r="D70">
            <v>310869600</v>
          </cell>
          <cell r="E70">
            <v>10</v>
          </cell>
        </row>
        <row r="71">
          <cell r="B71" t="str">
            <v>Máy quang phổ UV-1601</v>
          </cell>
          <cell r="C71" t="str">
            <v>bộ</v>
          </cell>
          <cell r="D71">
            <v>156171600</v>
          </cell>
          <cell r="E71">
            <v>10</v>
          </cell>
        </row>
        <row r="72">
          <cell r="B72" t="str">
            <v>Máy quang phổ UV-VIS</v>
          </cell>
          <cell r="C72" t="str">
            <v>bộ</v>
          </cell>
          <cell r="D72">
            <v>120750000</v>
          </cell>
          <cell r="E72">
            <v>10</v>
          </cell>
        </row>
        <row r="73">
          <cell r="B73" t="str">
            <v>Máy sắc ký khí GC</v>
          </cell>
          <cell r="C73" t="str">
            <v>cái</v>
          </cell>
          <cell r="D73">
            <v>1204690000</v>
          </cell>
          <cell r="E73">
            <v>10</v>
          </cell>
        </row>
        <row r="74">
          <cell r="B74" t="str">
            <v>Máy sắc ký lỏng cao áp</v>
          </cell>
          <cell r="C74" t="str">
            <v>bộ</v>
          </cell>
          <cell r="D74">
            <v>865000000</v>
          </cell>
          <cell r="E74">
            <v>10</v>
          </cell>
        </row>
        <row r="75">
          <cell r="B75" t="str">
            <v>Máy sắc khí</v>
          </cell>
          <cell r="C75" t="str">
            <v>cái</v>
          </cell>
          <cell r="D75">
            <v>1204690000</v>
          </cell>
          <cell r="E75">
            <v>10</v>
          </cell>
        </row>
        <row r="76">
          <cell r="B76" t="str">
            <v>Máy tính xử lý số liệu</v>
          </cell>
          <cell r="C76" t="str">
            <v>bộ</v>
          </cell>
          <cell r="D76">
            <v>12000000</v>
          </cell>
          <cell r="E76">
            <v>5</v>
          </cell>
        </row>
        <row r="77">
          <cell r="B77" t="str">
            <v>Máy trắc quang</v>
          </cell>
          <cell r="C77" t="str">
            <v>bộ</v>
          </cell>
          <cell r="D77">
            <v>75000000</v>
          </cell>
          <cell r="E77">
            <v>10</v>
          </cell>
        </row>
        <row r="78">
          <cell r="B78" t="str">
            <v>Nồi hấp</v>
          </cell>
          <cell r="C78" t="str">
            <v>Cái</v>
          </cell>
          <cell r="D78">
            <v>67200000</v>
          </cell>
          <cell r="E78">
            <v>10</v>
          </cell>
        </row>
        <row r="79">
          <cell r="B79" t="str">
            <v>Nồi nấu có bộ phận lắc</v>
          </cell>
          <cell r="C79" t="str">
            <v>bộ</v>
          </cell>
          <cell r="D79">
            <v>50342000</v>
          </cell>
          <cell r="E79">
            <v>10</v>
          </cell>
        </row>
        <row r="80">
          <cell r="B80" t="str">
            <v>Nhiệt ẩm kế Asman</v>
          </cell>
          <cell r="C80" t="str">
            <v>cái</v>
          </cell>
          <cell r="D80">
            <v>800000</v>
          </cell>
          <cell r="E80">
            <v>1</v>
          </cell>
        </row>
        <row r="81">
          <cell r="B81" t="str">
            <v>Nhiệt kế thủy ngân</v>
          </cell>
          <cell r="C81" t="str">
            <v>bộ</v>
          </cell>
          <cell r="D81">
            <v>3045000</v>
          </cell>
          <cell r="E81">
            <v>1</v>
          </cell>
        </row>
        <row r="82">
          <cell r="B82" t="str">
            <v>Oxi 197</v>
          </cell>
          <cell r="C82" t="str">
            <v>bộ</v>
          </cell>
          <cell r="D82">
            <v>50769000</v>
          </cell>
          <cell r="E82">
            <v>8</v>
          </cell>
        </row>
        <row r="83">
          <cell r="B83" t="str">
            <v>Oxi 197S</v>
          </cell>
          <cell r="C83" t="str">
            <v xml:space="preserve">cái </v>
          </cell>
          <cell r="D83">
            <v>60923000</v>
          </cell>
          <cell r="E83">
            <v>10</v>
          </cell>
        </row>
        <row r="84">
          <cell r="B84" t="str">
            <v>pH 197</v>
          </cell>
          <cell r="C84" t="str">
            <v xml:space="preserve">cái </v>
          </cell>
          <cell r="D84">
            <v>50769000</v>
          </cell>
          <cell r="E84">
            <v>10</v>
          </cell>
        </row>
        <row r="85">
          <cell r="B85" t="str">
            <v>pH 197S</v>
          </cell>
          <cell r="C85" t="str">
            <v xml:space="preserve">cái </v>
          </cell>
          <cell r="D85">
            <v>60923000</v>
          </cell>
          <cell r="E85">
            <v>10</v>
          </cell>
        </row>
        <row r="86">
          <cell r="B86" t="str">
            <v>Pin 1.5v</v>
          </cell>
          <cell r="C86" t="str">
            <v>cái</v>
          </cell>
          <cell r="D86">
            <v>20000</v>
          </cell>
          <cell r="E86">
            <v>1</v>
          </cell>
        </row>
        <row r="87">
          <cell r="B87" t="str">
            <v>Pito type</v>
          </cell>
          <cell r="C87" t="str">
            <v>cái</v>
          </cell>
          <cell r="D87">
            <v>16291366.52</v>
          </cell>
          <cell r="E87">
            <v>10</v>
          </cell>
        </row>
        <row r="88">
          <cell r="B88" t="str">
            <v xml:space="preserve">Popylon </v>
          </cell>
          <cell r="C88" t="str">
            <v>cái</v>
          </cell>
          <cell r="D88">
            <v>200000000</v>
          </cell>
          <cell r="E88">
            <v>10</v>
          </cell>
        </row>
        <row r="89">
          <cell r="B89" t="str">
            <v xml:space="preserve">Quyntox </v>
          </cell>
          <cell r="C89" t="str">
            <v>bộ</v>
          </cell>
          <cell r="D89">
            <v>131087890.8</v>
          </cell>
          <cell r="E89">
            <v>10</v>
          </cell>
        </row>
        <row r="90">
          <cell r="B90" t="str">
            <v>Testo 350</v>
          </cell>
          <cell r="C90" t="str">
            <v>bộ</v>
          </cell>
          <cell r="D90">
            <v>447387261</v>
          </cell>
          <cell r="E90">
            <v>10</v>
          </cell>
        </row>
        <row r="91">
          <cell r="B91" t="str">
            <v>TESTO 512 hoặc thiết bị Metlab</v>
          </cell>
          <cell r="C91" t="str">
            <v>bộ</v>
          </cell>
          <cell r="D91">
            <v>33323249.699999999</v>
          </cell>
          <cell r="E91">
            <v>10</v>
          </cell>
        </row>
        <row r="92">
          <cell r="B92" t="str">
            <v>Tủ ấm</v>
          </cell>
          <cell r="C92" t="str">
            <v>cái</v>
          </cell>
          <cell r="D92">
            <v>46200000</v>
          </cell>
          <cell r="E92">
            <v>10</v>
          </cell>
        </row>
        <row r="93">
          <cell r="B93" t="str">
            <v>Tủ cấy vi sinh</v>
          </cell>
          <cell r="C93" t="str">
            <v>cái</v>
          </cell>
          <cell r="D93">
            <v>419580000</v>
          </cell>
          <cell r="E93">
            <v>10</v>
          </cell>
        </row>
        <row r="94">
          <cell r="B94" t="str">
            <v>Tủ hút</v>
          </cell>
          <cell r="C94" t="str">
            <v>cái</v>
          </cell>
          <cell r="D94">
            <v>144900000</v>
          </cell>
          <cell r="E94">
            <v>10</v>
          </cell>
        </row>
        <row r="95">
          <cell r="B95" t="str">
            <v>Tủ lạnh lưu chất chuẩn</v>
          </cell>
          <cell r="C95" t="str">
            <v>Cái</v>
          </cell>
          <cell r="D95">
            <v>204750000</v>
          </cell>
          <cell r="E95">
            <v>10</v>
          </cell>
        </row>
        <row r="96">
          <cell r="B96" t="str">
            <v>Tủ lạnh lưu mẫu</v>
          </cell>
          <cell r="C96" t="str">
            <v xml:space="preserve">cái </v>
          </cell>
          <cell r="D96">
            <v>58800000</v>
          </cell>
          <cell r="E96">
            <v>5</v>
          </cell>
        </row>
        <row r="97">
          <cell r="B97" t="str">
            <v>Tủ lưu chất chuẩn</v>
          </cell>
          <cell r="C97" t="str">
            <v>bộ</v>
          </cell>
          <cell r="D97">
            <v>58800000</v>
          </cell>
          <cell r="E97">
            <v>5</v>
          </cell>
        </row>
        <row r="98">
          <cell r="B98" t="str">
            <v>Tủ lưu hóa chất</v>
          </cell>
          <cell r="C98" t="str">
            <v>cái</v>
          </cell>
          <cell r="D98">
            <v>58800000</v>
          </cell>
          <cell r="E98">
            <v>5</v>
          </cell>
        </row>
        <row r="99">
          <cell r="B99" t="str">
            <v>Tủ lưu hóa chất chuẩn</v>
          </cell>
          <cell r="C99" t="str">
            <v>Cái</v>
          </cell>
          <cell r="D99">
            <v>58800000</v>
          </cell>
          <cell r="E99">
            <v>5</v>
          </cell>
        </row>
        <row r="100">
          <cell r="B100" t="str">
            <v>Tủ sấy</v>
          </cell>
          <cell r="C100" t="str">
            <v>cái</v>
          </cell>
          <cell r="D100">
            <v>55650000</v>
          </cell>
          <cell r="E100">
            <v>10</v>
          </cell>
        </row>
        <row r="101">
          <cell r="B101" t="str">
            <v>Tủ sấy mẫu</v>
          </cell>
          <cell r="C101" t="str">
            <v>cái</v>
          </cell>
          <cell r="D101">
            <v>55650000</v>
          </cell>
          <cell r="E101">
            <v>10</v>
          </cell>
        </row>
        <row r="102">
          <cell r="B102" t="str">
            <v>Tủ ủ BOD</v>
          </cell>
          <cell r="C102" t="str">
            <v>cái</v>
          </cell>
          <cell r="D102">
            <v>57750000</v>
          </cell>
          <cell r="E102">
            <v>5</v>
          </cell>
        </row>
        <row r="103">
          <cell r="B103" t="str">
            <v>Thiết bị chuyên dụng</v>
          </cell>
          <cell r="C103" t="str">
            <v>bộ</v>
          </cell>
          <cell r="D103">
            <v>64000000</v>
          </cell>
          <cell r="E103">
            <v>10</v>
          </cell>
        </row>
        <row r="104">
          <cell r="B104" t="str">
            <v>Thiết bị chưng cất</v>
          </cell>
          <cell r="C104" t="str">
            <v>bộ</v>
          </cell>
          <cell r="D104">
            <v>97230000</v>
          </cell>
          <cell r="E104">
            <v>10</v>
          </cell>
        </row>
        <row r="105">
          <cell r="B105" t="str">
            <v>Thiết bị điện hóa</v>
          </cell>
          <cell r="C105" t="str">
            <v>bộ</v>
          </cell>
          <cell r="D105">
            <v>52500000</v>
          </cell>
          <cell r="E105">
            <v>10</v>
          </cell>
        </row>
        <row r="106">
          <cell r="B106" t="str">
            <v>Thiết bị định vị GPS</v>
          </cell>
          <cell r="C106" t="str">
            <v>bộ</v>
          </cell>
          <cell r="D106">
            <v>10450000</v>
          </cell>
          <cell r="E106">
            <v>10</v>
          </cell>
        </row>
        <row r="107">
          <cell r="B107" t="str">
            <v>Thiết bị đo (BOD)</v>
          </cell>
          <cell r="C107" t="str">
            <v>bộ</v>
          </cell>
          <cell r="D107">
            <v>72975000</v>
          </cell>
          <cell r="E107">
            <v>10</v>
          </cell>
        </row>
        <row r="108">
          <cell r="B108" t="str">
            <v>Thiết bị đo độ trong suốt</v>
          </cell>
          <cell r="C108" t="str">
            <v>bộ</v>
          </cell>
          <cell r="D108">
            <v>4000000</v>
          </cell>
          <cell r="E108">
            <v>1</v>
          </cell>
        </row>
        <row r="109">
          <cell r="B109" t="str">
            <v>Thiết bị đo EC</v>
          </cell>
          <cell r="C109" t="str">
            <v>bộ</v>
          </cell>
          <cell r="D109">
            <v>44100000</v>
          </cell>
          <cell r="E109">
            <v>10</v>
          </cell>
        </row>
        <row r="110">
          <cell r="B110" t="str">
            <v>Thiết bị đo gió cầm tay</v>
          </cell>
          <cell r="C110" t="str">
            <v>bộ</v>
          </cell>
          <cell r="D110">
            <v>16923000</v>
          </cell>
          <cell r="E110">
            <v>8</v>
          </cell>
        </row>
        <row r="111">
          <cell r="B111" t="str">
            <v>Thiết bị đo hiện số</v>
          </cell>
          <cell r="C111" t="str">
            <v>bộ</v>
          </cell>
          <cell r="D111">
            <v>16923000</v>
          </cell>
          <cell r="E111">
            <v>8</v>
          </cell>
        </row>
        <row r="112">
          <cell r="B112" t="str">
            <v>Thiết bị đo pH</v>
          </cell>
          <cell r="C112" t="str">
            <v>bộ</v>
          </cell>
          <cell r="D112">
            <v>33846000</v>
          </cell>
          <cell r="E112">
            <v>8</v>
          </cell>
        </row>
        <row r="113">
          <cell r="B113" t="str">
            <v>Thiết bị đo tiếng ồn tích phân</v>
          </cell>
          <cell r="C113" t="str">
            <v>bộ</v>
          </cell>
          <cell r="D113">
            <v>11970000</v>
          </cell>
          <cell r="E113">
            <v>8</v>
          </cell>
        </row>
        <row r="114">
          <cell r="B114" t="str">
            <v>Thiết bị hấp tiệt trùng</v>
          </cell>
          <cell r="C114" t="str">
            <v>bộ</v>
          </cell>
          <cell r="D114">
            <v>67200000</v>
          </cell>
          <cell r="E114">
            <v>8</v>
          </cell>
        </row>
        <row r="115">
          <cell r="B115" t="str">
            <v>Thiết bị hiệu chuẩn lưu lượng</v>
          </cell>
          <cell r="C115" t="str">
            <v>bộ</v>
          </cell>
          <cell r="D115">
            <v>31500000</v>
          </cell>
          <cell r="E115">
            <v>8</v>
          </cell>
        </row>
        <row r="116">
          <cell r="B116" t="str">
            <v>Thiết bị lấy mẫu</v>
          </cell>
          <cell r="C116" t="str">
            <v>Cái</v>
          </cell>
          <cell r="D116">
            <v>50600000</v>
          </cell>
          <cell r="E116">
            <v>8</v>
          </cell>
        </row>
        <row r="117">
          <cell r="B117" t="str">
            <v>Thiết bị lấy mẫu bụi</v>
          </cell>
          <cell r="C117" t="str">
            <v>bộ</v>
          </cell>
          <cell r="D117">
            <v>50000000</v>
          </cell>
          <cell r="E117">
            <v>8</v>
          </cell>
        </row>
        <row r="118">
          <cell r="B118" t="str">
            <v xml:space="preserve">Thiết bị lấy mẫu khí </v>
          </cell>
          <cell r="C118" t="str">
            <v>bộ</v>
          </cell>
          <cell r="D118">
            <v>57700000</v>
          </cell>
          <cell r="E118">
            <v>8</v>
          </cell>
        </row>
        <row r="119">
          <cell r="B119" t="str">
            <v>Thiết bị lấy mẫu khí thải</v>
          </cell>
          <cell r="C119" t="str">
            <v>bộ</v>
          </cell>
          <cell r="D119">
            <v>550000000</v>
          </cell>
          <cell r="E119">
            <v>10</v>
          </cell>
        </row>
        <row r="120">
          <cell r="B120" t="str">
            <v>Thiết bị lấy mẫu nước</v>
          </cell>
          <cell r="C120" t="str">
            <v>bộ</v>
          </cell>
          <cell r="D120">
            <v>51450000</v>
          </cell>
          <cell r="E120">
            <v>8</v>
          </cell>
        </row>
        <row r="121">
          <cell r="B121" t="str">
            <v>Thiết bị lọc</v>
          </cell>
          <cell r="C121" t="str">
            <v>bộ</v>
          </cell>
          <cell r="D121">
            <v>54000000</v>
          </cell>
          <cell r="E121">
            <v>8</v>
          </cell>
        </row>
        <row r="122">
          <cell r="B122" t="str">
            <v>Thiết bị lọc nước siêu sạch</v>
          </cell>
          <cell r="C122" t="str">
            <v>bộ</v>
          </cell>
          <cell r="D122">
            <v>129150000</v>
          </cell>
          <cell r="E122">
            <v>8</v>
          </cell>
        </row>
        <row r="123">
          <cell r="B123" t="str">
            <v>Thiết bị picnomet</v>
          </cell>
          <cell r="C123" t="str">
            <v>bộ</v>
          </cell>
          <cell r="D123">
            <v>21000000</v>
          </cell>
          <cell r="E123">
            <v>8</v>
          </cell>
        </row>
        <row r="124">
          <cell r="B124" t="str">
            <v>Thiết bị phá mẫu</v>
          </cell>
          <cell r="C124" t="str">
            <v>bộ</v>
          </cell>
          <cell r="D124">
            <v>28350000</v>
          </cell>
          <cell r="E124">
            <v>8</v>
          </cell>
        </row>
        <row r="125">
          <cell r="B125" t="str">
            <v>Thiết bị phá mẫu bằng vi sóng</v>
          </cell>
          <cell r="C125" t="str">
            <v>bộ</v>
          </cell>
          <cell r="D125">
            <v>317240000</v>
          </cell>
          <cell r="E125">
            <v>8</v>
          </cell>
        </row>
        <row r="126">
          <cell r="B126" t="str">
            <v>Thiết bị phản ứng COD</v>
          </cell>
          <cell r="C126" t="str">
            <v>bộ</v>
          </cell>
          <cell r="D126">
            <v>55650000</v>
          </cell>
          <cell r="E126">
            <v>8</v>
          </cell>
        </row>
        <row r="127">
          <cell r="B127" t="str">
            <v>Thiết bị phân tích</v>
          </cell>
          <cell r="C127" t="str">
            <v>bộ</v>
          </cell>
          <cell r="D127">
            <v>500000000</v>
          </cell>
          <cell r="E127">
            <v>10</v>
          </cell>
        </row>
        <row r="128">
          <cell r="B128" t="str">
            <v>Thiết bị sàng rây</v>
          </cell>
          <cell r="C128" t="str">
            <v>bộ</v>
          </cell>
          <cell r="D128">
            <v>67200000</v>
          </cell>
          <cell r="E128">
            <v>8</v>
          </cell>
        </row>
        <row r="129">
          <cell r="B129" t="str">
            <v>Thiết bị sinh khí chuẩn</v>
          </cell>
          <cell r="C129" t="str">
            <v>bộ</v>
          </cell>
          <cell r="D129">
            <v>60000000</v>
          </cell>
          <cell r="E129">
            <v>8</v>
          </cell>
        </row>
        <row r="130">
          <cell r="B130" t="str">
            <v>Thiết bị sinh khí zero</v>
          </cell>
          <cell r="C130" t="str">
            <v>bộ</v>
          </cell>
          <cell r="D130">
            <v>45000000</v>
          </cell>
          <cell r="E130">
            <v>8</v>
          </cell>
        </row>
        <row r="131">
          <cell r="B131" t="str">
            <v>Thiết bị Sóng ký</v>
          </cell>
          <cell r="C131" t="str">
            <v>bộ</v>
          </cell>
          <cell r="D131">
            <v>120000</v>
          </cell>
          <cell r="E131">
            <v>1</v>
          </cell>
        </row>
        <row r="132">
          <cell r="B132" t="str">
            <v>Thước dây</v>
          </cell>
          <cell r="C132" t="str">
            <v>cái</v>
          </cell>
          <cell r="D132">
            <v>533500</v>
          </cell>
          <cell r="E132">
            <v>1</v>
          </cell>
        </row>
        <row r="133">
          <cell r="B133" t="str">
            <v>U20XD</v>
          </cell>
          <cell r="C133" t="str">
            <v>bộ</v>
          </cell>
          <cell r="D133">
            <v>190000000</v>
          </cell>
          <cell r="E133">
            <v>8</v>
          </cell>
        </row>
        <row r="134">
          <cell r="B134" t="str">
            <v>YSI 6820</v>
          </cell>
          <cell r="C134" t="str">
            <v>bộ</v>
          </cell>
          <cell r="D134">
            <v>19960000</v>
          </cell>
          <cell r="E134">
            <v>8</v>
          </cell>
        </row>
        <row r="135">
          <cell r="B135" t="str">
            <v>Máy sắc ký ion</v>
          </cell>
          <cell r="C135" t="str">
            <v>bộ</v>
          </cell>
          <cell r="D135">
            <v>865000000</v>
          </cell>
          <cell r="E135">
            <v>10</v>
          </cell>
        </row>
        <row r="136">
          <cell r="B136" t="str">
            <v>Hệ thống ICP</v>
          </cell>
          <cell r="C136" t="str">
            <v>bộ</v>
          </cell>
          <cell r="D136">
            <v>5580000000</v>
          </cell>
          <cell r="E136">
            <v>10</v>
          </cell>
        </row>
        <row r="137">
          <cell r="B137" t="str">
            <v>Thiết bị đo chênh áp</v>
          </cell>
          <cell r="C137" t="str">
            <v>Bộ</v>
          </cell>
          <cell r="D137">
            <v>16923000</v>
          </cell>
          <cell r="E137">
            <v>8</v>
          </cell>
        </row>
        <row r="138">
          <cell r="B138" t="str">
            <v>Thiết bị điều khiển lấy mẫu bụi</v>
          </cell>
          <cell r="C138" t="str">
            <v>bộ</v>
          </cell>
          <cell r="D138">
            <v>300000000</v>
          </cell>
          <cell r="E138">
            <v>10</v>
          </cell>
        </row>
        <row r="139">
          <cell r="B139" t="str">
            <v>Thiết bị lấy mẫu khí Oxy</v>
          </cell>
          <cell r="C139" t="str">
            <v>Bộ</v>
          </cell>
          <cell r="D139">
            <v>55000000</v>
          </cell>
          <cell r="E139">
            <v>8</v>
          </cell>
        </row>
        <row r="140">
          <cell r="B140" t="str">
            <v>Thiết bị lấy mẫu khí CO</v>
          </cell>
          <cell r="C140" t="str">
            <v>Bộ</v>
          </cell>
          <cell r="D140">
            <v>40500000</v>
          </cell>
          <cell r="E140">
            <v>8</v>
          </cell>
        </row>
        <row r="141">
          <cell r="B141" t="str">
            <v>Thiết bị lấy mẫu khí CO2</v>
          </cell>
          <cell r="C141" t="str">
            <v>Bộ</v>
          </cell>
          <cell r="D141">
            <v>50000000</v>
          </cell>
          <cell r="E141">
            <v>8</v>
          </cell>
        </row>
        <row r="142">
          <cell r="B142" t="str">
            <v>Thiết bị lấy mẫu khí NO</v>
          </cell>
          <cell r="C142" t="str">
            <v>Bộ</v>
          </cell>
          <cell r="D142">
            <v>52000000</v>
          </cell>
          <cell r="E142">
            <v>8</v>
          </cell>
        </row>
        <row r="143">
          <cell r="B143" t="str">
            <v>Thiết bị lấy mẫu khí NO2</v>
          </cell>
          <cell r="C143" t="str">
            <v>Bộ</v>
          </cell>
          <cell r="D143">
            <v>48000000</v>
          </cell>
          <cell r="E143">
            <v>8</v>
          </cell>
        </row>
        <row r="144">
          <cell r="B144" t="str">
            <v>Thiết bị lấy mẫu khí NOx</v>
          </cell>
          <cell r="C144" t="str">
            <v>Bộ</v>
          </cell>
          <cell r="D144">
            <v>56500000</v>
          </cell>
          <cell r="E144">
            <v>8</v>
          </cell>
        </row>
        <row r="145">
          <cell r="B145" t="str">
            <v xml:space="preserve">Thiết bị lấy mẫu khí SO2 </v>
          </cell>
          <cell r="C145" t="str">
            <v>Bộ</v>
          </cell>
          <cell r="D145">
            <v>40500000</v>
          </cell>
          <cell r="E145">
            <v>8</v>
          </cell>
        </row>
        <row r="146">
          <cell r="B146" t="str">
            <v xml:space="preserve">Cân phân tích </v>
          </cell>
          <cell r="C146" t="str">
            <v>Cái</v>
          </cell>
          <cell r="D146">
            <v>53130000</v>
          </cell>
          <cell r="E146">
            <v>8</v>
          </cell>
        </row>
        <row r="147">
          <cell r="B147" t="str">
            <v>Máy vi tính</v>
          </cell>
          <cell r="C147" t="str">
            <v>bộ</v>
          </cell>
          <cell r="D147">
            <v>12000000</v>
          </cell>
          <cell r="E147">
            <v>8</v>
          </cell>
        </row>
        <row r="148">
          <cell r="B148" t="str">
            <v>Máy lấy mẫu TESTO 350XL hoặc TESTO 512 (giá TESTO 350XL)</v>
          </cell>
          <cell r="C148" t="str">
            <v>Bộ</v>
          </cell>
          <cell r="D148">
            <v>447887261.09600002</v>
          </cell>
          <cell r="E148">
            <v>10</v>
          </cell>
        </row>
        <row r="149">
          <cell r="B149" t="str">
            <v xml:space="preserve">Nồi nấu có bộ phận lắc </v>
          </cell>
          <cell r="C149" t="str">
            <v>Bộ</v>
          </cell>
          <cell r="D149">
            <v>50342000</v>
          </cell>
          <cell r="E149">
            <v>10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g.gia Dungcu"/>
      <sheetName val="Ng.gia vatlieu"/>
      <sheetName val="Ng.gia thiêtbi"/>
    </sheetNames>
    <sheetDataSet>
      <sheetData sheetId="0" refreshError="1"/>
      <sheetData sheetId="1" refreshError="1"/>
      <sheetData sheetId="2" refreshError="1">
        <row r="3">
          <cell r="B3" t="str">
            <v>Ác quy 6v</v>
          </cell>
          <cell r="C3" t="str">
            <v>cái</v>
          </cell>
          <cell r="D3">
            <v>300000</v>
          </cell>
          <cell r="E3">
            <v>5</v>
          </cell>
        </row>
        <row r="4">
          <cell r="B4" t="str">
            <v>Áp kế</v>
          </cell>
          <cell r="C4" t="str">
            <v>cái</v>
          </cell>
          <cell r="D4">
            <v>5215100</v>
          </cell>
          <cell r="E4">
            <v>10</v>
          </cell>
        </row>
        <row r="5">
          <cell r="B5" t="str">
            <v>Ẩm kế Asman</v>
          </cell>
          <cell r="C5" t="str">
            <v>bộ</v>
          </cell>
          <cell r="D5">
            <v>931000</v>
          </cell>
          <cell r="E5">
            <v>5</v>
          </cell>
        </row>
        <row r="6">
          <cell r="B6" t="str">
            <v>Bể ổn định nhiệt</v>
          </cell>
          <cell r="C6" t="str">
            <v>cái</v>
          </cell>
          <cell r="D6">
            <v>131250000</v>
          </cell>
          <cell r="E6">
            <v>5</v>
          </cell>
        </row>
        <row r="7">
          <cell r="B7" t="str">
            <v>Bể siêu âm</v>
          </cell>
          <cell r="C7" t="str">
            <v>cái</v>
          </cell>
          <cell r="D7">
            <v>49350000</v>
          </cell>
          <cell r="E7">
            <v>5</v>
          </cell>
        </row>
        <row r="8">
          <cell r="B8" t="str">
            <v>Bếp cách cát</v>
          </cell>
          <cell r="C8" t="str">
            <v>cái</v>
          </cell>
          <cell r="D8">
            <v>8800000</v>
          </cell>
          <cell r="E8">
            <v>5</v>
          </cell>
        </row>
        <row r="9">
          <cell r="B9" t="str">
            <v>Bếp cách thủy</v>
          </cell>
          <cell r="C9" t="str">
            <v>Cái</v>
          </cell>
          <cell r="D9">
            <v>63628000</v>
          </cell>
          <cell r="E9">
            <v>5</v>
          </cell>
        </row>
        <row r="10">
          <cell r="B10" t="str">
            <v>Bếp điều chỉnh nhiệt</v>
          </cell>
          <cell r="C10" t="str">
            <v>Cái</v>
          </cell>
          <cell r="D10">
            <v>8800000</v>
          </cell>
          <cell r="E10">
            <v>5</v>
          </cell>
        </row>
        <row r="11">
          <cell r="B11" t="str">
            <v>Bình hút ẩm</v>
          </cell>
          <cell r="C11" t="str">
            <v>Cái</v>
          </cell>
          <cell r="D11">
            <v>10500000</v>
          </cell>
          <cell r="E11">
            <v>5</v>
          </cell>
        </row>
        <row r="12">
          <cell r="B12" t="str">
            <v>Bộ lấy mẫu khí</v>
          </cell>
          <cell r="C12" t="str">
            <v>bộ</v>
          </cell>
          <cell r="D12">
            <v>49350000</v>
          </cell>
          <cell r="E12">
            <v>5</v>
          </cell>
        </row>
        <row r="13">
          <cell r="B13" t="str">
            <v>Bộ lọc hút chân không</v>
          </cell>
          <cell r="C13" t="str">
            <v>bộ</v>
          </cell>
          <cell r="D13">
            <v>52500000</v>
          </cell>
          <cell r="E13">
            <v>5</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5</v>
          </cell>
        </row>
        <row r="17">
          <cell r="B17" t="str">
            <v>Bơm chân không</v>
          </cell>
          <cell r="C17" t="str">
            <v>cái</v>
          </cell>
          <cell r="D17">
            <v>32340000</v>
          </cell>
          <cell r="E17">
            <v>5</v>
          </cell>
        </row>
        <row r="18">
          <cell r="B18" t="str">
            <v>Bơm hút</v>
          </cell>
          <cell r="C18" t="str">
            <v>cái</v>
          </cell>
          <cell r="D18">
            <v>3000000</v>
          </cell>
          <cell r="E18">
            <v>5</v>
          </cell>
        </row>
        <row r="19">
          <cell r="B19" t="str">
            <v>Cân phân tích mẫu</v>
          </cell>
          <cell r="C19" t="str">
            <v>Cái</v>
          </cell>
          <cell r="D19">
            <v>53130000</v>
          </cell>
          <cell r="E19">
            <v>5</v>
          </cell>
        </row>
        <row r="20">
          <cell r="B20" t="str">
            <v>Đầu đo nhiệt độ</v>
          </cell>
          <cell r="C20" t="str">
            <v>cái</v>
          </cell>
          <cell r="D20">
            <v>3300000.0000000005</v>
          </cell>
          <cell r="E20">
            <v>5</v>
          </cell>
        </row>
        <row r="21">
          <cell r="B21" t="str">
            <v>Đĩa Sechi</v>
          </cell>
          <cell r="C21" t="str">
            <v>bộ</v>
          </cell>
          <cell r="D21">
            <v>30000</v>
          </cell>
          <cell r="E21">
            <v>5</v>
          </cell>
        </row>
        <row r="22">
          <cell r="B22" t="str">
            <v>Thiết bị đo độ rung</v>
          </cell>
          <cell r="C22" t="str">
            <v>Bộ</v>
          </cell>
          <cell r="D22">
            <v>35000000</v>
          </cell>
          <cell r="E22">
            <v>1</v>
          </cell>
        </row>
        <row r="23">
          <cell r="B23" t="str">
            <v>Điện năng</v>
          </cell>
          <cell r="C23" t="str">
            <v>m2</v>
          </cell>
          <cell r="D23">
            <v>1784</v>
          </cell>
        </row>
        <row r="24">
          <cell r="B24" t="str">
            <v>FPP-15</v>
          </cell>
          <cell r="C24" t="str">
            <v>m2</v>
          </cell>
          <cell r="D24">
            <v>600000</v>
          </cell>
          <cell r="E24">
            <v>5</v>
          </cell>
        </row>
        <row r="25">
          <cell r="B25" t="str">
            <v>GC-FID</v>
          </cell>
          <cell r="C25" t="str">
            <v>bộ</v>
          </cell>
          <cell r="D25">
            <v>1204690000</v>
          </cell>
          <cell r="E25">
            <v>10</v>
          </cell>
        </row>
        <row r="26">
          <cell r="B26" t="str">
            <v>Hệ đếm tổng alpha, Bêta phông thấp</v>
          </cell>
          <cell r="C26" t="str">
            <v>Bộ</v>
          </cell>
          <cell r="D26">
            <v>450000000</v>
          </cell>
          <cell r="E26">
            <v>5</v>
          </cell>
        </row>
        <row r="27">
          <cell r="B27" t="str">
            <v>Hệ phổ kế Gamma phông thấp</v>
          </cell>
          <cell r="C27" t="str">
            <v>Bộ</v>
          </cell>
          <cell r="D27">
            <v>2200000000</v>
          </cell>
          <cell r="E27">
            <v>5</v>
          </cell>
        </row>
        <row r="28">
          <cell r="B28" t="str">
            <v>Hệ thống nạp mẫu khí</v>
          </cell>
          <cell r="C28" t="str">
            <v>bộ</v>
          </cell>
          <cell r="D28">
            <v>7500000</v>
          </cell>
          <cell r="E28">
            <v>5</v>
          </cell>
        </row>
        <row r="29">
          <cell r="B29" t="str">
            <v>Kích 5 tấn</v>
          </cell>
          <cell r="C29" t="str">
            <v>cái</v>
          </cell>
          <cell r="D29">
            <v>7000000</v>
          </cell>
          <cell r="E29">
            <v>5</v>
          </cell>
        </row>
        <row r="30">
          <cell r="B30" t="str">
            <v>Kính hiển vi</v>
          </cell>
          <cell r="C30" t="str">
            <v>cái</v>
          </cell>
          <cell r="D30">
            <v>61000000</v>
          </cell>
          <cell r="E30">
            <v>5</v>
          </cell>
        </row>
        <row r="31">
          <cell r="B31" t="str">
            <v>Kính hiển vi độ phóng đại 1000 lần</v>
          </cell>
          <cell r="C31" t="str">
            <v>cái</v>
          </cell>
          <cell r="D31">
            <v>445000000</v>
          </cell>
          <cell r="E31">
            <v>5</v>
          </cell>
        </row>
        <row r="32">
          <cell r="B32" t="str">
            <v>Kính hiển vi soi nổi độ phóng đại 400 lần</v>
          </cell>
          <cell r="C32" t="str">
            <v>cái</v>
          </cell>
          <cell r="D32">
            <v>320000000</v>
          </cell>
          <cell r="E32">
            <v>5</v>
          </cell>
        </row>
        <row r="33">
          <cell r="B33" t="str">
            <v>Khay hứng chuyên dụng</v>
          </cell>
          <cell r="C33" t="str">
            <v>cái</v>
          </cell>
          <cell r="D33">
            <v>30000000</v>
          </cell>
          <cell r="E33">
            <v>5</v>
          </cell>
        </row>
        <row r="34">
          <cell r="B34" t="str">
            <v>Khoan nhỏ</v>
          </cell>
          <cell r="C34" t="str">
            <v>cái</v>
          </cell>
          <cell r="D34">
            <v>10000000</v>
          </cell>
          <cell r="E34">
            <v>5</v>
          </cell>
        </row>
        <row r="35">
          <cell r="B35" t="str">
            <v>LF 197</v>
          </cell>
          <cell r="C35" t="str">
            <v>cái</v>
          </cell>
          <cell r="D35">
            <v>40000000</v>
          </cell>
          <cell r="E35">
            <v>5</v>
          </cell>
        </row>
        <row r="36">
          <cell r="B36" t="str">
            <v>LF 197S</v>
          </cell>
          <cell r="C36" t="str">
            <v>cái</v>
          </cell>
          <cell r="D36">
            <v>42000000</v>
          </cell>
          <cell r="E36">
            <v>5</v>
          </cell>
        </row>
        <row r="37">
          <cell r="B37" t="str">
            <v>Lò chuyển hóa</v>
          </cell>
          <cell r="C37" t="str">
            <v>bộ</v>
          </cell>
          <cell r="D37">
            <v>150000000</v>
          </cell>
          <cell r="E37">
            <v>5</v>
          </cell>
        </row>
        <row r="38">
          <cell r="B38" t="str">
            <v>Lò nung</v>
          </cell>
          <cell r="C38" t="str">
            <v>Cái</v>
          </cell>
          <cell r="D38">
            <v>6400000</v>
          </cell>
          <cell r="E38">
            <v>10</v>
          </cell>
        </row>
        <row r="39">
          <cell r="B39" t="str">
            <v>Lò vi sóng</v>
          </cell>
          <cell r="C39" t="str">
            <v>Cái</v>
          </cell>
          <cell r="D39">
            <v>317240000</v>
          </cell>
          <cell r="E39">
            <v>5</v>
          </cell>
        </row>
        <row r="40">
          <cell r="B40" t="str">
            <v>Máy nghiền</v>
          </cell>
          <cell r="C40" t="str">
            <v>Cái</v>
          </cell>
          <cell r="D40">
            <v>2500000</v>
          </cell>
          <cell r="E40">
            <v>5</v>
          </cell>
        </row>
        <row r="41">
          <cell r="B41" t="str">
            <v>Máy cất cô chân không</v>
          </cell>
          <cell r="C41" t="str">
            <v>Cái</v>
          </cell>
          <cell r="D41">
            <v>97230000</v>
          </cell>
          <cell r="E41">
            <v>5</v>
          </cell>
        </row>
        <row r="42">
          <cell r="B42" t="str">
            <v>Máy cất Nitơ</v>
          </cell>
          <cell r="C42" t="str">
            <v>Cái</v>
          </cell>
          <cell r="D42">
            <v>162000000</v>
          </cell>
          <cell r="E42">
            <v>5</v>
          </cell>
        </row>
        <row r="43">
          <cell r="B43" t="str">
            <v>Máy cất quay chân không</v>
          </cell>
          <cell r="C43" t="str">
            <v>Cái</v>
          </cell>
          <cell r="D43">
            <v>97230000</v>
          </cell>
          <cell r="E43">
            <v>5</v>
          </cell>
        </row>
        <row r="44">
          <cell r="B44" t="str">
            <v>Máy cô nitơ</v>
          </cell>
          <cell r="C44" t="str">
            <v>bộ</v>
          </cell>
          <cell r="D44">
            <v>70000000</v>
          </cell>
          <cell r="E44">
            <v>5</v>
          </cell>
        </row>
        <row r="45">
          <cell r="B45" t="str">
            <v>Máy đếm Coliform</v>
          </cell>
          <cell r="C45" t="str">
            <v>cái</v>
          </cell>
          <cell r="D45">
            <v>41600000</v>
          </cell>
          <cell r="E45">
            <v>5</v>
          </cell>
        </row>
        <row r="46">
          <cell r="B46" t="str">
            <v>Máy điều hòa nhiệt độ</v>
          </cell>
          <cell r="C46" t="str">
            <v>cái</v>
          </cell>
          <cell r="D46">
            <v>12000000</v>
          </cell>
          <cell r="E46">
            <v>5</v>
          </cell>
        </row>
        <row r="47">
          <cell r="B47" t="str">
            <v>Máy định vị GPS</v>
          </cell>
          <cell r="C47" t="str">
            <v>bộ</v>
          </cell>
          <cell r="D47">
            <v>10450000</v>
          </cell>
          <cell r="E47">
            <v>5</v>
          </cell>
        </row>
        <row r="48">
          <cell r="B48" t="str">
            <v>Máy định vị GPS cầm tay</v>
          </cell>
          <cell r="C48" t="str">
            <v xml:space="preserve">cái </v>
          </cell>
          <cell r="D48">
            <v>10450000</v>
          </cell>
          <cell r="E48">
            <v>5</v>
          </cell>
        </row>
        <row r="49">
          <cell r="B49" t="str">
            <v xml:space="preserve">Máy đo độ đục </v>
          </cell>
          <cell r="C49" t="str">
            <v xml:space="preserve">cái </v>
          </cell>
          <cell r="D49">
            <v>26250000</v>
          </cell>
          <cell r="E49">
            <v>5</v>
          </cell>
        </row>
        <row r="50">
          <cell r="B50" t="str">
            <v>Máy đo EC</v>
          </cell>
          <cell r="C50" t="str">
            <v>bộ</v>
          </cell>
          <cell r="D50">
            <v>44100000</v>
          </cell>
          <cell r="E50">
            <v>5</v>
          </cell>
        </row>
        <row r="51">
          <cell r="B51" t="str">
            <v>Máy đo gió cầm tay</v>
          </cell>
          <cell r="C51" t="str">
            <v>bộ</v>
          </cell>
          <cell r="D51">
            <v>17850000</v>
          </cell>
          <cell r="E51">
            <v>5</v>
          </cell>
        </row>
        <row r="52">
          <cell r="B52" t="str">
            <v>Máy đo hàm lượng Radon</v>
          </cell>
          <cell r="C52" t="str">
            <v>bộ</v>
          </cell>
          <cell r="D52">
            <v>400000000</v>
          </cell>
          <cell r="E52">
            <v>5</v>
          </cell>
        </row>
        <row r="53">
          <cell r="B53" t="str">
            <v>Máy đo nhiệt độ</v>
          </cell>
          <cell r="C53" t="str">
            <v>bộ</v>
          </cell>
          <cell r="D53">
            <v>3385000</v>
          </cell>
          <cell r="E53">
            <v>5</v>
          </cell>
        </row>
        <row r="54">
          <cell r="B54" t="str">
            <v>Máy đo pH</v>
          </cell>
          <cell r="C54" t="str">
            <v>bộ</v>
          </cell>
          <cell r="D54">
            <v>34650000</v>
          </cell>
          <cell r="E54">
            <v>5</v>
          </cell>
        </row>
        <row r="55">
          <cell r="B55" t="str">
            <v>Máy đo quang DR 2010</v>
          </cell>
          <cell r="C55" t="str">
            <v>bộ</v>
          </cell>
          <cell r="D55">
            <v>101538000</v>
          </cell>
          <cell r="E55">
            <v>5</v>
          </cell>
        </row>
        <row r="56">
          <cell r="B56" t="str">
            <v>Máy đo quang DR 2400</v>
          </cell>
          <cell r="C56" t="str">
            <v>bộ</v>
          </cell>
          <cell r="D56">
            <v>135385000</v>
          </cell>
          <cell r="E56">
            <v>5</v>
          </cell>
        </row>
        <row r="57">
          <cell r="B57" t="str">
            <v>Máy đo xuất liều bức xạ cầm tay</v>
          </cell>
          <cell r="C57" t="str">
            <v>cái</v>
          </cell>
          <cell r="D57">
            <v>70000000</v>
          </cell>
          <cell r="E57">
            <v>5</v>
          </cell>
        </row>
        <row r="58">
          <cell r="B58" t="str">
            <v>Máy hút khí</v>
          </cell>
          <cell r="C58" t="str">
            <v>cái</v>
          </cell>
          <cell r="D58">
            <v>350000000</v>
          </cell>
          <cell r="E58">
            <v>5</v>
          </cell>
        </row>
        <row r="59">
          <cell r="B59" t="str">
            <v>Máy khuấy</v>
          </cell>
          <cell r="C59" t="str">
            <v>Cái</v>
          </cell>
          <cell r="D59">
            <v>49875000</v>
          </cell>
          <cell r="E59">
            <v>5</v>
          </cell>
        </row>
        <row r="60">
          <cell r="B60" t="str">
            <v>Máy khuấy từ</v>
          </cell>
          <cell r="C60" t="str">
            <v>cái</v>
          </cell>
          <cell r="D60">
            <v>22000000</v>
          </cell>
          <cell r="E60">
            <v>5</v>
          </cell>
        </row>
        <row r="61">
          <cell r="B61" t="str">
            <v>Máy lắc xoay tròn</v>
          </cell>
          <cell r="C61" t="str">
            <v>cái</v>
          </cell>
          <cell r="D61">
            <v>80000000</v>
          </cell>
          <cell r="E61">
            <v>5</v>
          </cell>
        </row>
        <row r="62">
          <cell r="B62" t="str">
            <v>Máy lắc</v>
          </cell>
          <cell r="C62" t="str">
            <v>bộ</v>
          </cell>
          <cell r="D62">
            <v>33846000</v>
          </cell>
          <cell r="E62">
            <v>5</v>
          </cell>
        </row>
        <row r="63">
          <cell r="B63" t="str">
            <v>Máy lấy mẫu TESTO 350XL hoặc TESTO 512</v>
          </cell>
          <cell r="C63" t="str">
            <v>bộ</v>
          </cell>
          <cell r="D63">
            <v>447887261.09600002</v>
          </cell>
          <cell r="E63">
            <v>5</v>
          </cell>
        </row>
        <row r="64">
          <cell r="B64" t="str">
            <v>Máy lọc chân không</v>
          </cell>
          <cell r="C64" t="str">
            <v>bộ</v>
          </cell>
          <cell r="D64">
            <v>6500000</v>
          </cell>
          <cell r="E64">
            <v>5</v>
          </cell>
        </row>
        <row r="65">
          <cell r="B65" t="str">
            <v>Máy nén khí</v>
          </cell>
          <cell r="C65" t="str">
            <v>bộ</v>
          </cell>
          <cell r="D65">
            <v>17850000</v>
          </cell>
          <cell r="E65">
            <v>5</v>
          </cell>
        </row>
        <row r="66">
          <cell r="B66" t="str">
            <v>Máy phân tích quang phổ</v>
          </cell>
          <cell r="C66" t="str">
            <v>bộ</v>
          </cell>
          <cell r="D66">
            <v>120750000</v>
          </cell>
          <cell r="E66">
            <v>10</v>
          </cell>
        </row>
        <row r="67">
          <cell r="B67" t="str">
            <v>Máy phân tích quang phổ AAS</v>
          </cell>
          <cell r="C67" t="str">
            <v>bộ</v>
          </cell>
          <cell r="D67">
            <v>1058000000</v>
          </cell>
          <cell r="E67">
            <v>10</v>
          </cell>
        </row>
        <row r="68">
          <cell r="B68" t="str">
            <v>Máy phân tích quang phổ AAS hoặc cực phổ</v>
          </cell>
          <cell r="C68" t="str">
            <v>bộ</v>
          </cell>
          <cell r="D68">
            <v>1058000000</v>
          </cell>
          <cell r="E68">
            <v>10</v>
          </cell>
        </row>
        <row r="69">
          <cell r="B69" t="str">
            <v>Máy phân tích sắc ký GC</v>
          </cell>
          <cell r="C69" t="str">
            <v>bộ</v>
          </cell>
          <cell r="D69">
            <v>1204690000</v>
          </cell>
          <cell r="E69">
            <v>10</v>
          </cell>
        </row>
        <row r="70">
          <cell r="B70" t="str">
            <v>Máy phân tích trắc quang</v>
          </cell>
          <cell r="C70" t="str">
            <v>bộ</v>
          </cell>
          <cell r="D70">
            <v>120750000</v>
          </cell>
          <cell r="E70">
            <v>10</v>
          </cell>
        </row>
        <row r="71">
          <cell r="B71" t="str">
            <v>Máy quang kế ngọn lửa</v>
          </cell>
          <cell r="C71" t="str">
            <v>bộ</v>
          </cell>
          <cell r="D71">
            <v>310869600</v>
          </cell>
          <cell r="E71">
            <v>10</v>
          </cell>
        </row>
        <row r="72">
          <cell r="B72" t="str">
            <v>Máy quang phổ AAS</v>
          </cell>
          <cell r="C72" t="str">
            <v>bộ</v>
          </cell>
          <cell r="D72">
            <v>1058000000</v>
          </cell>
          <cell r="E72">
            <v>10</v>
          </cell>
        </row>
        <row r="73">
          <cell r="B73" t="str">
            <v>Máy quang phổ ngọn lửa</v>
          </cell>
          <cell r="C73" t="str">
            <v>bộ</v>
          </cell>
          <cell r="D73">
            <v>310869600</v>
          </cell>
          <cell r="E73">
            <v>10</v>
          </cell>
        </row>
        <row r="74">
          <cell r="B74" t="str">
            <v>Máy quang phổ UV-1601</v>
          </cell>
          <cell r="C74" t="str">
            <v>bộ</v>
          </cell>
          <cell r="D74">
            <v>156171600</v>
          </cell>
          <cell r="E74">
            <v>10</v>
          </cell>
        </row>
        <row r="75">
          <cell r="B75" t="str">
            <v>Máy quang phổ UV-VIS</v>
          </cell>
          <cell r="C75" t="str">
            <v>bộ</v>
          </cell>
          <cell r="D75">
            <v>120750000</v>
          </cell>
          <cell r="E75">
            <v>10</v>
          </cell>
        </row>
        <row r="76">
          <cell r="B76" t="str">
            <v>Máy sắc ký khí GC</v>
          </cell>
          <cell r="C76" t="str">
            <v>cái</v>
          </cell>
          <cell r="D76">
            <v>1204690000</v>
          </cell>
          <cell r="E76">
            <v>10</v>
          </cell>
        </row>
        <row r="77">
          <cell r="B77" t="str">
            <v>Máy sắc ký lỏng cao áp</v>
          </cell>
          <cell r="C77" t="str">
            <v>bộ</v>
          </cell>
          <cell r="D77">
            <v>865000000</v>
          </cell>
          <cell r="E77">
            <v>10</v>
          </cell>
        </row>
        <row r="78">
          <cell r="B78" t="str">
            <v>Máy sắc khí</v>
          </cell>
          <cell r="C78" t="str">
            <v>cái</v>
          </cell>
          <cell r="D78">
            <v>1204690000</v>
          </cell>
          <cell r="E78">
            <v>10</v>
          </cell>
        </row>
        <row r="79">
          <cell r="B79" t="str">
            <v>Thiết bị phân tích IC</v>
          </cell>
          <cell r="C79" t="str">
            <v>bộ</v>
          </cell>
          <cell r="D79">
            <v>900000000</v>
          </cell>
          <cell r="E79">
            <v>10</v>
          </cell>
        </row>
        <row r="80">
          <cell r="B80" t="str">
            <v>Máy tính xử lý số liệu</v>
          </cell>
          <cell r="C80" t="str">
            <v>bộ</v>
          </cell>
          <cell r="D80">
            <v>12000000</v>
          </cell>
          <cell r="E80">
            <v>5</v>
          </cell>
        </row>
        <row r="81">
          <cell r="B81" t="str">
            <v>Máy trắc quang</v>
          </cell>
          <cell r="C81" t="str">
            <v>bộ</v>
          </cell>
          <cell r="D81">
            <v>75000000</v>
          </cell>
          <cell r="E81">
            <v>10</v>
          </cell>
        </row>
        <row r="82">
          <cell r="B82" t="str">
            <v>Nồi hấp</v>
          </cell>
          <cell r="C82" t="str">
            <v>Cái</v>
          </cell>
          <cell r="D82">
            <v>67200000</v>
          </cell>
          <cell r="E82">
            <v>5</v>
          </cell>
        </row>
        <row r="83">
          <cell r="B83" t="str">
            <v>Nồi nấu có bộ phận lắc</v>
          </cell>
          <cell r="C83" t="str">
            <v>bộ</v>
          </cell>
          <cell r="D83">
            <v>50342000</v>
          </cell>
          <cell r="E83">
            <v>5</v>
          </cell>
        </row>
        <row r="84">
          <cell r="B84" t="str">
            <v>Nhiệt ẩm kế Asman</v>
          </cell>
          <cell r="C84" t="str">
            <v>cái</v>
          </cell>
          <cell r="D84">
            <v>800000</v>
          </cell>
          <cell r="E84">
            <v>5</v>
          </cell>
        </row>
        <row r="85">
          <cell r="B85" t="str">
            <v>Nhiệt kế thủy ngân</v>
          </cell>
          <cell r="C85" t="str">
            <v>bộ</v>
          </cell>
          <cell r="D85">
            <v>3045000</v>
          </cell>
          <cell r="E85">
            <v>5</v>
          </cell>
        </row>
        <row r="86">
          <cell r="B86" t="str">
            <v>Oxi 197</v>
          </cell>
          <cell r="C86" t="str">
            <v>bộ</v>
          </cell>
          <cell r="D86">
            <v>50769000</v>
          </cell>
          <cell r="E86">
            <v>5</v>
          </cell>
        </row>
        <row r="87">
          <cell r="B87" t="str">
            <v>Oxi 197S</v>
          </cell>
          <cell r="C87" t="str">
            <v xml:space="preserve">cái </v>
          </cell>
          <cell r="D87">
            <v>60923000</v>
          </cell>
          <cell r="E87">
            <v>5</v>
          </cell>
        </row>
        <row r="88">
          <cell r="B88" t="str">
            <v>pH 197</v>
          </cell>
          <cell r="C88" t="str">
            <v xml:space="preserve">cái </v>
          </cell>
          <cell r="D88">
            <v>50769000</v>
          </cell>
          <cell r="E88">
            <v>5</v>
          </cell>
        </row>
        <row r="89">
          <cell r="B89" t="str">
            <v>pH 197S</v>
          </cell>
          <cell r="C89" t="str">
            <v xml:space="preserve">cái </v>
          </cell>
          <cell r="D89">
            <v>60923000</v>
          </cell>
          <cell r="E89">
            <v>5</v>
          </cell>
        </row>
        <row r="90">
          <cell r="B90" t="str">
            <v>Pin 1.5v</v>
          </cell>
          <cell r="C90" t="str">
            <v>cái</v>
          </cell>
          <cell r="D90">
            <v>20000</v>
          </cell>
          <cell r="E90">
            <v>5</v>
          </cell>
        </row>
        <row r="91">
          <cell r="B91" t="str">
            <v>Pito type</v>
          </cell>
          <cell r="C91" t="str">
            <v>cái</v>
          </cell>
          <cell r="D91">
            <v>16291366.52</v>
          </cell>
          <cell r="E91">
            <v>5</v>
          </cell>
        </row>
        <row r="92">
          <cell r="B92" t="str">
            <v xml:space="preserve">Popylon </v>
          </cell>
          <cell r="C92" t="str">
            <v>cái</v>
          </cell>
          <cell r="D92">
            <v>200000000</v>
          </cell>
          <cell r="E92">
            <v>5</v>
          </cell>
        </row>
        <row r="93">
          <cell r="B93" t="str">
            <v xml:space="preserve">Quyntox </v>
          </cell>
          <cell r="C93" t="str">
            <v>bộ</v>
          </cell>
          <cell r="D93">
            <v>131087890.8</v>
          </cell>
          <cell r="E93">
            <v>5</v>
          </cell>
        </row>
        <row r="94">
          <cell r="B94" t="str">
            <v>Testo 350</v>
          </cell>
          <cell r="C94" t="str">
            <v>bộ</v>
          </cell>
          <cell r="D94">
            <v>447387261</v>
          </cell>
          <cell r="E94">
            <v>5</v>
          </cell>
        </row>
        <row r="95">
          <cell r="B95" t="str">
            <v>TESTO 512 hoặc thiết bị Metlab</v>
          </cell>
          <cell r="C95" t="str">
            <v>bộ</v>
          </cell>
          <cell r="D95">
            <v>33323249.699999999</v>
          </cell>
          <cell r="E95">
            <v>5</v>
          </cell>
        </row>
        <row r="96">
          <cell r="B96" t="str">
            <v>Tủ ấm</v>
          </cell>
          <cell r="C96" t="str">
            <v>cái</v>
          </cell>
          <cell r="D96">
            <v>46200000</v>
          </cell>
          <cell r="E96">
            <v>10</v>
          </cell>
        </row>
        <row r="97">
          <cell r="B97" t="str">
            <v>Tủ cấy vi sinh</v>
          </cell>
          <cell r="C97" t="str">
            <v>cái</v>
          </cell>
          <cell r="D97">
            <v>419580000</v>
          </cell>
          <cell r="E97">
            <v>5</v>
          </cell>
        </row>
        <row r="98">
          <cell r="B98" t="str">
            <v>Tủ hút</v>
          </cell>
          <cell r="C98" t="str">
            <v>cái</v>
          </cell>
          <cell r="D98">
            <v>144900000</v>
          </cell>
          <cell r="E98">
            <v>5</v>
          </cell>
        </row>
        <row r="99">
          <cell r="B99" t="str">
            <v>Tủ lạnh lưu chất chuẩn</v>
          </cell>
          <cell r="C99" t="str">
            <v>Cái</v>
          </cell>
          <cell r="D99">
            <v>204750000</v>
          </cell>
          <cell r="E99">
            <v>5</v>
          </cell>
        </row>
        <row r="100">
          <cell r="B100" t="str">
            <v>Tủ bảo quản mẫu</v>
          </cell>
          <cell r="C100" t="str">
            <v xml:space="preserve">cái </v>
          </cell>
          <cell r="D100">
            <v>58800000</v>
          </cell>
          <cell r="E100">
            <v>8</v>
          </cell>
        </row>
        <row r="101">
          <cell r="B101" t="str">
            <v>Tủ lưu chất chuẩn</v>
          </cell>
          <cell r="C101" t="str">
            <v>bộ</v>
          </cell>
          <cell r="D101">
            <v>58800000</v>
          </cell>
          <cell r="E101">
            <v>5</v>
          </cell>
        </row>
        <row r="102">
          <cell r="B102" t="str">
            <v>Tủ lưu hóa chất</v>
          </cell>
          <cell r="C102" t="str">
            <v>cái</v>
          </cell>
          <cell r="D102">
            <v>58800000</v>
          </cell>
          <cell r="E102">
            <v>5</v>
          </cell>
        </row>
        <row r="103">
          <cell r="B103" t="str">
            <v>Tủ lưu hóa chất chuẩn</v>
          </cell>
          <cell r="C103" t="str">
            <v>Cái</v>
          </cell>
          <cell r="D103">
            <v>58800000</v>
          </cell>
          <cell r="E103">
            <v>5</v>
          </cell>
        </row>
        <row r="104">
          <cell r="B104" t="str">
            <v>Tủ sấy</v>
          </cell>
          <cell r="C104" t="str">
            <v>cái</v>
          </cell>
          <cell r="D104">
            <v>55650000</v>
          </cell>
          <cell r="E104">
            <v>10</v>
          </cell>
        </row>
        <row r="105">
          <cell r="B105" t="str">
            <v>Tủ sấy mẫu</v>
          </cell>
          <cell r="C105" t="str">
            <v>cái</v>
          </cell>
          <cell r="D105">
            <v>55650000</v>
          </cell>
          <cell r="E105">
            <v>10</v>
          </cell>
        </row>
        <row r="106">
          <cell r="B106" t="str">
            <v>Tủ ủ BOD</v>
          </cell>
          <cell r="C106" t="str">
            <v>cái</v>
          </cell>
          <cell r="D106">
            <v>57750000</v>
          </cell>
          <cell r="E106">
            <v>5</v>
          </cell>
        </row>
        <row r="107">
          <cell r="B107" t="str">
            <v>Thiết bị chuyên dụng</v>
          </cell>
          <cell r="C107" t="str">
            <v>bộ</v>
          </cell>
          <cell r="D107">
            <v>64000000</v>
          </cell>
          <cell r="E107">
            <v>10</v>
          </cell>
        </row>
        <row r="108">
          <cell r="B108" t="str">
            <v>Thiết bị chưng cất</v>
          </cell>
          <cell r="C108" t="str">
            <v>bộ</v>
          </cell>
          <cell r="D108">
            <v>97230000</v>
          </cell>
          <cell r="E108">
            <v>5</v>
          </cell>
        </row>
        <row r="109">
          <cell r="B109" t="str">
            <v>Thiết bị điện hóa</v>
          </cell>
          <cell r="C109" t="str">
            <v>bộ</v>
          </cell>
          <cell r="D109">
            <v>52500000</v>
          </cell>
          <cell r="E109">
            <v>10</v>
          </cell>
        </row>
        <row r="110">
          <cell r="B110" t="str">
            <v>Thiết bị định vị GPS</v>
          </cell>
          <cell r="C110" t="str">
            <v>bộ</v>
          </cell>
          <cell r="D110">
            <v>10450000</v>
          </cell>
          <cell r="E110">
            <v>5</v>
          </cell>
        </row>
        <row r="111">
          <cell r="B111" t="str">
            <v>Thiết bị đo (BOD)</v>
          </cell>
          <cell r="C111" t="str">
            <v>bộ</v>
          </cell>
          <cell r="D111">
            <v>72975000</v>
          </cell>
          <cell r="E111">
            <v>5</v>
          </cell>
        </row>
        <row r="112">
          <cell r="B112" t="str">
            <v>Thiết bị đo độ trong suốt</v>
          </cell>
          <cell r="C112" t="str">
            <v>bộ</v>
          </cell>
          <cell r="D112">
            <v>4000000</v>
          </cell>
          <cell r="E112">
            <v>5</v>
          </cell>
        </row>
        <row r="113">
          <cell r="B113" t="str">
            <v>Thiết bị đo EC</v>
          </cell>
          <cell r="C113" t="str">
            <v>bộ</v>
          </cell>
          <cell r="D113">
            <v>44100000</v>
          </cell>
          <cell r="E113">
            <v>5</v>
          </cell>
        </row>
        <row r="114">
          <cell r="B114" t="str">
            <v>Thiết bị đo gió cầm tay</v>
          </cell>
          <cell r="C114" t="str">
            <v>bộ</v>
          </cell>
          <cell r="D114">
            <v>16923000</v>
          </cell>
          <cell r="E114">
            <v>5</v>
          </cell>
        </row>
        <row r="115">
          <cell r="B115" t="str">
            <v>Thiết bị đo hiện số</v>
          </cell>
          <cell r="C115" t="str">
            <v>bộ</v>
          </cell>
          <cell r="D115">
            <v>16923000</v>
          </cell>
          <cell r="E115">
            <v>5</v>
          </cell>
        </row>
        <row r="116">
          <cell r="B116" t="str">
            <v>Thiết bị đo pH</v>
          </cell>
          <cell r="C116" t="str">
            <v>bộ</v>
          </cell>
          <cell r="D116">
            <v>33846000</v>
          </cell>
          <cell r="E116">
            <v>5</v>
          </cell>
        </row>
        <row r="117">
          <cell r="B117" t="str">
            <v>Thiết bị đo tiếng ồn tích phân</v>
          </cell>
          <cell r="C117" t="str">
            <v>bộ</v>
          </cell>
          <cell r="D117">
            <v>11970000</v>
          </cell>
          <cell r="E117">
            <v>5</v>
          </cell>
        </row>
        <row r="118">
          <cell r="B118" t="str">
            <v>Thiết bị hấp tiệt trùng</v>
          </cell>
          <cell r="C118" t="str">
            <v>bộ</v>
          </cell>
          <cell r="D118">
            <v>67200000</v>
          </cell>
          <cell r="E118">
            <v>5</v>
          </cell>
        </row>
        <row r="119">
          <cell r="B119" t="str">
            <v>Bộ chuẩn lưu lượng</v>
          </cell>
          <cell r="C119" t="str">
            <v>bộ</v>
          </cell>
          <cell r="D119">
            <v>31500000</v>
          </cell>
          <cell r="E119">
            <v>5</v>
          </cell>
        </row>
        <row r="120">
          <cell r="B120" t="str">
            <v>Thiết bị lấy mẫu</v>
          </cell>
          <cell r="C120" t="str">
            <v>Cái</v>
          </cell>
          <cell r="D120">
            <v>50600000</v>
          </cell>
          <cell r="E120">
            <v>5</v>
          </cell>
        </row>
        <row r="121">
          <cell r="B121" t="str">
            <v>Thiết bị lấy mẫu bụi</v>
          </cell>
          <cell r="C121" t="str">
            <v>bộ</v>
          </cell>
          <cell r="D121">
            <v>50000000</v>
          </cell>
          <cell r="E121">
            <v>10</v>
          </cell>
        </row>
        <row r="122">
          <cell r="B122" t="str">
            <v xml:space="preserve">Thiết bị lấy mẫu khí </v>
          </cell>
          <cell r="C122" t="str">
            <v>bộ</v>
          </cell>
          <cell r="D122">
            <v>57700000</v>
          </cell>
          <cell r="E122">
            <v>5</v>
          </cell>
        </row>
        <row r="123">
          <cell r="B123" t="str">
            <v>Thiết bị lấy mẫu khí thải</v>
          </cell>
          <cell r="C123" t="str">
            <v>bộ</v>
          </cell>
          <cell r="D123">
            <v>550000000</v>
          </cell>
          <cell r="E123">
            <v>5</v>
          </cell>
        </row>
        <row r="124">
          <cell r="B124" t="str">
            <v>Thiết bị lấy mẫu nước</v>
          </cell>
          <cell r="C124" t="str">
            <v>bộ</v>
          </cell>
          <cell r="D124">
            <v>51450000</v>
          </cell>
          <cell r="E124">
            <v>5</v>
          </cell>
        </row>
        <row r="125">
          <cell r="B125" t="str">
            <v>Thiết bị lọc</v>
          </cell>
          <cell r="C125" t="str">
            <v>bộ</v>
          </cell>
          <cell r="D125">
            <v>54000000</v>
          </cell>
          <cell r="E125">
            <v>5</v>
          </cell>
        </row>
        <row r="126">
          <cell r="B126" t="str">
            <v>Thiết bị lọc nước siêu sạch</v>
          </cell>
          <cell r="C126" t="str">
            <v>bộ</v>
          </cell>
          <cell r="D126">
            <v>129150000</v>
          </cell>
          <cell r="E126">
            <v>5</v>
          </cell>
        </row>
        <row r="127">
          <cell r="B127" t="str">
            <v>Thiết bị picnomet</v>
          </cell>
          <cell r="C127" t="str">
            <v>bộ</v>
          </cell>
          <cell r="D127">
            <v>21000000</v>
          </cell>
          <cell r="E127">
            <v>5</v>
          </cell>
        </row>
        <row r="128">
          <cell r="B128" t="str">
            <v>Thiết bị phá mẫu</v>
          </cell>
          <cell r="C128" t="str">
            <v>bộ</v>
          </cell>
          <cell r="D128">
            <v>28350000</v>
          </cell>
          <cell r="E128">
            <v>5</v>
          </cell>
        </row>
        <row r="129">
          <cell r="B129" t="str">
            <v>Thiết bị phá mẫu bằng vi sóng</v>
          </cell>
          <cell r="C129" t="str">
            <v>bộ</v>
          </cell>
          <cell r="D129">
            <v>317240000</v>
          </cell>
          <cell r="E129">
            <v>5</v>
          </cell>
        </row>
        <row r="130">
          <cell r="B130" t="str">
            <v>Thiết bị phản ứng COD</v>
          </cell>
          <cell r="C130" t="str">
            <v>bộ</v>
          </cell>
          <cell r="D130">
            <v>55650000</v>
          </cell>
          <cell r="E130">
            <v>5</v>
          </cell>
        </row>
        <row r="131">
          <cell r="B131" t="str">
            <v>Thiết bị phân tích</v>
          </cell>
          <cell r="C131" t="str">
            <v>bộ</v>
          </cell>
          <cell r="D131">
            <v>500000000</v>
          </cell>
          <cell r="E131">
            <v>10</v>
          </cell>
        </row>
        <row r="132">
          <cell r="B132" t="str">
            <v>Thiết bị sàng rây</v>
          </cell>
          <cell r="C132" t="str">
            <v>bộ</v>
          </cell>
          <cell r="D132">
            <v>67200000</v>
          </cell>
          <cell r="E132">
            <v>5</v>
          </cell>
        </row>
        <row r="133">
          <cell r="B133" t="str">
            <v>Thiết bị sinh khí chuẩn</v>
          </cell>
          <cell r="C133" t="str">
            <v>bộ</v>
          </cell>
          <cell r="D133">
            <v>60000000</v>
          </cell>
          <cell r="E133">
            <v>5</v>
          </cell>
        </row>
        <row r="134">
          <cell r="B134" t="str">
            <v>Thiết bị sinh khí zero</v>
          </cell>
          <cell r="C134" t="str">
            <v>bộ</v>
          </cell>
          <cell r="D134">
            <v>45000000</v>
          </cell>
          <cell r="E134">
            <v>5</v>
          </cell>
        </row>
        <row r="135">
          <cell r="B135" t="str">
            <v>Thiết bị Sóng ký</v>
          </cell>
          <cell r="C135" t="str">
            <v>bộ</v>
          </cell>
          <cell r="D135">
            <v>120000</v>
          </cell>
          <cell r="E135">
            <v>5</v>
          </cell>
        </row>
        <row r="136">
          <cell r="B136" t="str">
            <v>Thước dây</v>
          </cell>
          <cell r="C136" t="str">
            <v>cái</v>
          </cell>
          <cell r="D136">
            <v>533500</v>
          </cell>
          <cell r="E136">
            <v>5</v>
          </cell>
        </row>
        <row r="137">
          <cell r="B137" t="str">
            <v>U20XD</v>
          </cell>
          <cell r="C137" t="str">
            <v>bộ</v>
          </cell>
          <cell r="D137">
            <v>190000000</v>
          </cell>
          <cell r="E137">
            <v>5</v>
          </cell>
        </row>
        <row r="138">
          <cell r="B138" t="str">
            <v>YSI 6820</v>
          </cell>
          <cell r="C138" t="str">
            <v>bộ</v>
          </cell>
          <cell r="D138">
            <v>19960000</v>
          </cell>
          <cell r="E138">
            <v>5</v>
          </cell>
        </row>
        <row r="139">
          <cell r="B139" t="str">
            <v>Máy sắc ký ion</v>
          </cell>
          <cell r="C139" t="str">
            <v>bộ</v>
          </cell>
          <cell r="D139">
            <v>865000000</v>
          </cell>
          <cell r="E139">
            <v>10</v>
          </cell>
        </row>
        <row r="140">
          <cell r="B140" t="str">
            <v>Hệ thống ICP</v>
          </cell>
          <cell r="C140" t="str">
            <v>bộ</v>
          </cell>
          <cell r="D140">
            <v>5580000000</v>
          </cell>
          <cell r="E140">
            <v>10</v>
          </cell>
        </row>
        <row r="141">
          <cell r="B141" t="str">
            <v>Thiết bị đo chênh áp</v>
          </cell>
          <cell r="C141" t="str">
            <v>Bộ</v>
          </cell>
          <cell r="D141">
            <v>16923000</v>
          </cell>
          <cell r="E141">
            <v>5</v>
          </cell>
        </row>
        <row r="142">
          <cell r="B142" t="str">
            <v>Thiết bị điều khiển lấy mẫu bụi</v>
          </cell>
          <cell r="C142" t="str">
            <v>bộ</v>
          </cell>
          <cell r="D142">
            <v>300000000</v>
          </cell>
          <cell r="E142">
            <v>10</v>
          </cell>
        </row>
        <row r="143">
          <cell r="B143" t="str">
            <v>Thiết bị lấy mẫu khí Oxy</v>
          </cell>
          <cell r="C143" t="str">
            <v>Bộ</v>
          </cell>
          <cell r="D143">
            <v>55000000</v>
          </cell>
          <cell r="E143">
            <v>5</v>
          </cell>
        </row>
        <row r="144">
          <cell r="B144" t="str">
            <v>Thiết bị lấy mẫu khí CO</v>
          </cell>
          <cell r="C144" t="str">
            <v>Bộ</v>
          </cell>
          <cell r="D144">
            <v>40500000</v>
          </cell>
          <cell r="E144">
            <v>5</v>
          </cell>
        </row>
        <row r="145">
          <cell r="B145" t="str">
            <v>Thiết bị lấy mẫu khí CO2</v>
          </cell>
          <cell r="C145" t="str">
            <v>Bộ</v>
          </cell>
          <cell r="D145">
            <v>50000000</v>
          </cell>
          <cell r="E145">
            <v>5</v>
          </cell>
        </row>
        <row r="146">
          <cell r="B146" t="str">
            <v>Thiết bị lấy mẫu khí NO</v>
          </cell>
          <cell r="C146" t="str">
            <v>Bộ</v>
          </cell>
          <cell r="D146">
            <v>52000000</v>
          </cell>
          <cell r="E146">
            <v>5</v>
          </cell>
        </row>
        <row r="147">
          <cell r="B147" t="str">
            <v>Thiết bị lấy mẫu khí NO2</v>
          </cell>
          <cell r="C147" t="str">
            <v>Bộ</v>
          </cell>
          <cell r="D147">
            <v>48000000</v>
          </cell>
          <cell r="E147">
            <v>5</v>
          </cell>
        </row>
        <row r="148">
          <cell r="B148" t="str">
            <v>Thiết bị lấy mẫu khí NOx</v>
          </cell>
          <cell r="C148" t="str">
            <v>Bộ</v>
          </cell>
          <cell r="D148">
            <v>56500000</v>
          </cell>
          <cell r="E148">
            <v>5</v>
          </cell>
        </row>
        <row r="149">
          <cell r="B149" t="str">
            <v xml:space="preserve">Thiết bị lấy mẫu khí SO2 </v>
          </cell>
          <cell r="C149" t="str">
            <v>Bộ</v>
          </cell>
          <cell r="D149">
            <v>40500000</v>
          </cell>
          <cell r="E149">
            <v>5</v>
          </cell>
        </row>
        <row r="150">
          <cell r="B150" t="str">
            <v xml:space="preserve">Cân phân tích </v>
          </cell>
          <cell r="C150" t="str">
            <v>Cái</v>
          </cell>
          <cell r="D150">
            <v>53130000</v>
          </cell>
          <cell r="E150">
            <v>5</v>
          </cell>
        </row>
        <row r="151">
          <cell r="B151" t="str">
            <v>Máy vi tính</v>
          </cell>
          <cell r="C151" t="str">
            <v>bộ</v>
          </cell>
          <cell r="D151">
            <v>12000000</v>
          </cell>
          <cell r="E151">
            <v>5</v>
          </cell>
        </row>
        <row r="152">
          <cell r="B152" t="str">
            <v>Máy lấy mẫu TESTO 350XL hoặc TESTO 512 (giá TESTO 350XL)</v>
          </cell>
          <cell r="C152" t="str">
            <v>Bộ</v>
          </cell>
          <cell r="D152">
            <v>447887261.09600002</v>
          </cell>
          <cell r="E152">
            <v>10</v>
          </cell>
        </row>
        <row r="153">
          <cell r="B153" t="str">
            <v xml:space="preserve">Nồi nấu có bộ phận lắc </v>
          </cell>
          <cell r="C153" t="str">
            <v>Bộ</v>
          </cell>
          <cell r="D153">
            <v>50342000</v>
          </cell>
          <cell r="E153">
            <v>10</v>
          </cell>
        </row>
        <row r="154">
          <cell r="B154" t="str">
            <v>Thiết bị đo độ rung gia tốc</v>
          </cell>
          <cell r="C154" t="str">
            <v>Bộ</v>
          </cell>
          <cell r="D154">
            <v>20000000</v>
          </cell>
          <cell r="E154">
            <v>5</v>
          </cell>
        </row>
        <row r="155">
          <cell r="B155" t="str">
            <v xml:space="preserve">Thiết bị hút mẫu </v>
          </cell>
          <cell r="C155" t="str">
            <v>Bộ</v>
          </cell>
          <cell r="D155">
            <v>20000000</v>
          </cell>
          <cell r="E155">
            <v>5</v>
          </cell>
        </row>
        <row r="156">
          <cell r="B156" t="str">
            <v>Thiết bị lấy mẫu</v>
          </cell>
          <cell r="C156" t="str">
            <v>Bộ</v>
          </cell>
          <cell r="D156">
            <v>250000000</v>
          </cell>
          <cell r="E156">
            <v>10</v>
          </cell>
        </row>
        <row r="157">
          <cell r="B157" t="str">
            <v>Thiết bị điều khiển lấy mẫu</v>
          </cell>
          <cell r="C157" t="str">
            <v>Bộ</v>
          </cell>
          <cell r="D157">
            <v>250000000</v>
          </cell>
          <cell r="E157">
            <v>10</v>
          </cell>
        </row>
        <row r="158">
          <cell r="B158" t="str">
            <v xml:space="preserve">Thiết bị đo lưu lượng khí </v>
          </cell>
          <cell r="C158" t="str">
            <v>Bộ</v>
          </cell>
          <cell r="D158">
            <v>25000000</v>
          </cell>
          <cell r="E158">
            <v>5</v>
          </cell>
        </row>
        <row r="159">
          <cell r="B159" t="str">
            <v>Máy ảnh kỹ thuật số</v>
          </cell>
          <cell r="C159" t="str">
            <v>cái</v>
          </cell>
          <cell r="D159">
            <v>10000000</v>
          </cell>
          <cell r="E159">
            <v>5</v>
          </cell>
        </row>
        <row r="160">
          <cell r="B160" t="str">
            <v>Modul phân tích khí CO</v>
          </cell>
          <cell r="C160" t="str">
            <v>cái</v>
          </cell>
          <cell r="D160">
            <v>350000000</v>
          </cell>
          <cell r="E160">
            <v>5</v>
          </cell>
        </row>
        <row r="161">
          <cell r="B161" t="str">
            <v>Máy tạo đa khí chuẩn</v>
          </cell>
          <cell r="C161" t="str">
            <v>cái</v>
          </cell>
          <cell r="D161">
            <v>90000000</v>
          </cell>
          <cell r="E161">
            <v>5</v>
          </cell>
        </row>
        <row r="162">
          <cell r="B162" t="str">
            <v>Bộ tạo khí 0 (zezo)</v>
          </cell>
          <cell r="C162" t="str">
            <v>bộ</v>
          </cell>
          <cell r="D162">
            <v>45000000</v>
          </cell>
          <cell r="E162">
            <v>5</v>
          </cell>
        </row>
        <row r="163">
          <cell r="B163" t="str">
            <v>Máy ảnh kỹ thuật số</v>
          </cell>
          <cell r="C163" t="str">
            <v>cái</v>
          </cell>
        </row>
        <row r="164">
          <cell r="B164" t="str">
            <v>Bộ lưu giữ số liệu (Data logger)</v>
          </cell>
          <cell r="C164" t="str">
            <v>bộ</v>
          </cell>
          <cell r="D164">
            <v>250000000</v>
          </cell>
          <cell r="E164">
            <v>5</v>
          </cell>
        </row>
        <row r="165">
          <cell r="B165" t="str">
            <v xml:space="preserve">Máy phát điện 15 KVA 220V </v>
          </cell>
          <cell r="C165" t="str">
            <v>cái</v>
          </cell>
          <cell r="D165">
            <v>125000000</v>
          </cell>
          <cell r="E165">
            <v>5</v>
          </cell>
        </row>
        <row r="166">
          <cell r="B166" t="str">
            <v>Bơm hút mẫu</v>
          </cell>
          <cell r="D166">
            <v>94943000</v>
          </cell>
          <cell r="E166">
            <v>5</v>
          </cell>
        </row>
        <row r="167">
          <cell r="B167" t="str">
            <v>Đường ống dẫn lấy mẫu khí</v>
          </cell>
          <cell r="C167" t="str">
            <v>bôộ</v>
          </cell>
          <cell r="D167">
            <v>60000000</v>
          </cell>
          <cell r="E167">
            <v>5</v>
          </cell>
        </row>
        <row r="168">
          <cell r="B168" t="str">
            <v>Đường ống dẫn lấy mẫu nước</v>
          </cell>
          <cell r="C168" t="str">
            <v>bôộ</v>
          </cell>
          <cell r="D168">
            <v>60000000</v>
          </cell>
          <cell r="E168">
            <v>5</v>
          </cell>
        </row>
        <row r="169">
          <cell r="B169" t="str">
            <v>Hệ thống báo động chống trộm</v>
          </cell>
          <cell r="C169" t="str">
            <v>bộ</v>
          </cell>
          <cell r="D169">
            <v>15000000</v>
          </cell>
          <cell r="E169">
            <v>2</v>
          </cell>
        </row>
        <row r="170">
          <cell r="B170" t="str">
            <v>Hệ thống cảnh báo cháy</v>
          </cell>
          <cell r="C170" t="str">
            <v>bộ</v>
          </cell>
          <cell r="D170">
            <v>18500000</v>
          </cell>
          <cell r="E170">
            <v>5</v>
          </cell>
        </row>
        <row r="171">
          <cell r="B171" t="str">
            <v>Hệ thống chống sét theo đường điện cấp cho trạm</v>
          </cell>
          <cell r="C171" t="str">
            <v>bộ</v>
          </cell>
          <cell r="D171">
            <v>20000000</v>
          </cell>
          <cell r="E171">
            <v>5</v>
          </cell>
        </row>
        <row r="172">
          <cell r="B172" t="str">
            <v>Hệ thống chống sét theo đường truyền số liệu</v>
          </cell>
          <cell r="D172">
            <v>20000000</v>
          </cell>
          <cell r="E172">
            <v>5</v>
          </cell>
        </row>
        <row r="173">
          <cell r="B173" t="str">
            <v>Máy in</v>
          </cell>
          <cell r="C173" t="str">
            <v>bộ</v>
          </cell>
          <cell r="D173">
            <v>5000000</v>
          </cell>
          <cell r="E173">
            <v>5</v>
          </cell>
        </row>
        <row r="174">
          <cell r="B174" t="str">
            <v>Bộ chuyển đổi dữ liệu</v>
          </cell>
          <cell r="D174">
            <v>250000000</v>
          </cell>
          <cell r="E174">
            <v>5</v>
          </cell>
        </row>
        <row r="175">
          <cell r="B175" t="str">
            <v>Sensor đo nhiệt độ/độ ẩm</v>
          </cell>
          <cell r="D175">
            <v>150000000</v>
          </cell>
          <cell r="E175">
            <v>5</v>
          </cell>
        </row>
        <row r="176">
          <cell r="B176" t="str">
            <v>Bộ thu thập, xử lý và lưu giữ số liệu (Data Logger)</v>
          </cell>
          <cell r="D176">
            <v>65000000</v>
          </cell>
          <cell r="E176">
            <v>5</v>
          </cell>
        </row>
        <row r="177">
          <cell r="B177" t="str">
            <v>Bộ truyền dữ liệu qua modem điện thoại hoặc Internet/mạng GSM/ qua vệ tinh</v>
          </cell>
          <cell r="D177">
            <v>150000000</v>
          </cell>
          <cell r="E177">
            <v>5</v>
          </cell>
        </row>
        <row r="178">
          <cell r="B178" t="str">
            <v>Cột treo sensor</v>
          </cell>
          <cell r="D178">
            <v>5000000</v>
          </cell>
          <cell r="E178">
            <v>3</v>
          </cell>
        </row>
        <row r="179">
          <cell r="B179" t="str">
            <v>Thiết bị đo tốc độ gió, hướng gió</v>
          </cell>
          <cell r="D179">
            <v>150000000</v>
          </cell>
          <cell r="E179">
            <v>5</v>
          </cell>
        </row>
        <row r="180">
          <cell r="B180" t="str">
            <v>Sensor đo đọ ẩm, áp suất</v>
          </cell>
          <cell r="D180">
            <v>150000000</v>
          </cell>
          <cell r="E180">
            <v>5</v>
          </cell>
        </row>
        <row r="181">
          <cell r="B181" t="str">
            <v>Thiết bị đo bức xạ mặt trời</v>
          </cell>
          <cell r="D181">
            <v>150000000</v>
          </cell>
          <cell r="E181">
            <v>5</v>
          </cell>
        </row>
        <row r="182">
          <cell r="B182" t="str">
            <v>Bộ máy chủ lưu trữ số liệu</v>
          </cell>
          <cell r="D182">
            <v>165000000</v>
          </cell>
          <cell r="E182">
            <v>5</v>
          </cell>
        </row>
        <row r="183">
          <cell r="B183" t="str">
            <v>Bộ cáp nối tín hiệu các modul</v>
          </cell>
          <cell r="D183">
            <v>65000000</v>
          </cell>
          <cell r="E183">
            <v>5</v>
          </cell>
        </row>
        <row r="184">
          <cell r="B184" t="str">
            <v>Máy đo bụi lơ lửng PM10 và TSP</v>
          </cell>
          <cell r="D184">
            <v>150000000</v>
          </cell>
          <cell r="E184">
            <v>5</v>
          </cell>
        </row>
        <row r="185">
          <cell r="B185" t="str">
            <v>Modul phân tích NO-NO2 - NOx</v>
          </cell>
          <cell r="D185">
            <v>150000000</v>
          </cell>
          <cell r="E185">
            <v>5</v>
          </cell>
        </row>
        <row r="186">
          <cell r="B186" t="str">
            <v>Modul phân tích khí SO2</v>
          </cell>
          <cell r="D186">
            <v>150000000</v>
          </cell>
          <cell r="E186">
            <v>5</v>
          </cell>
        </row>
        <row r="187">
          <cell r="B187" t="str">
            <v>Modul phân tích khí O3</v>
          </cell>
          <cell r="D187">
            <v>150000000</v>
          </cell>
          <cell r="E187">
            <v>5</v>
          </cell>
        </row>
        <row r="188">
          <cell r="B188" t="str">
            <v>Modul phân tích khí THC</v>
          </cell>
          <cell r="D188">
            <v>150000000</v>
          </cell>
          <cell r="E188">
            <v>5</v>
          </cell>
        </row>
        <row r="189">
          <cell r="B189" t="str">
            <v>Modul phân tích khí BTX</v>
          </cell>
          <cell r="D189">
            <v>150000000</v>
          </cell>
          <cell r="E189">
            <v>5</v>
          </cell>
        </row>
        <row r="190">
          <cell r="B190" t="str">
            <v>Thiết bị đo nhiệt độ/ độ ẩm</v>
          </cell>
          <cell r="D190">
            <v>150000000</v>
          </cell>
          <cell r="E190">
            <v>5</v>
          </cell>
        </row>
        <row r="191">
          <cell r="B191" t="str">
            <v>Thiết bị đo  tốc độ gió</v>
          </cell>
          <cell r="D191">
            <v>150000000</v>
          </cell>
          <cell r="E191">
            <v>5</v>
          </cell>
        </row>
        <row r="192">
          <cell r="B192" t="str">
            <v>Thiết bị đo hướng gió</v>
          </cell>
          <cell r="D192">
            <v>150000000</v>
          </cell>
          <cell r="E192">
            <v>5</v>
          </cell>
        </row>
        <row r="193">
          <cell r="B193" t="str">
            <v>Thiết bị đo áp suất khí quyển</v>
          </cell>
          <cell r="D193">
            <v>150000000</v>
          </cell>
          <cell r="E193">
            <v>5</v>
          </cell>
        </row>
        <row r="194">
          <cell r="B194" t="str">
            <v xml:space="preserve">Modul phân tích khí O­3 </v>
          </cell>
          <cell r="D194">
            <v>150000000</v>
          </cell>
          <cell r="E194">
            <v>5</v>
          </cell>
        </row>
        <row r="195">
          <cell r="B195" t="str">
            <v>Modul phân tích khí CxHy</v>
          </cell>
          <cell r="D195">
            <v>150000000</v>
          </cell>
          <cell r="E195">
            <v>5</v>
          </cell>
        </row>
        <row r="196">
          <cell r="B196" t="str">
            <v>Hệ thống lấy mẫu nước</v>
          </cell>
          <cell r="D196">
            <v>65000000</v>
          </cell>
          <cell r="E196">
            <v>5</v>
          </cell>
        </row>
        <row r="197">
          <cell r="B197" t="str">
            <v>Bộ pin mặt trời</v>
          </cell>
          <cell r="D197">
            <v>6000000</v>
          </cell>
          <cell r="E197">
            <v>1</v>
          </cell>
        </row>
        <row r="198">
          <cell r="B198" t="str">
            <v>Bộ xạc pin dự phòng</v>
          </cell>
          <cell r="D198">
            <v>1800000</v>
          </cell>
          <cell r="E198">
            <v>2</v>
          </cell>
        </row>
        <row r="199">
          <cell r="B199" t="str">
            <v>Thuyền máy (ca nô)</v>
          </cell>
          <cell r="D199">
            <v>150000000</v>
          </cell>
          <cell r="E199">
            <v>5</v>
          </cell>
        </row>
        <row r="200">
          <cell r="B200" t="str">
            <v>Thiết bị lấy mẫu bui (ống probe)</v>
          </cell>
          <cell r="D200">
            <v>150000000</v>
          </cell>
          <cell r="E200">
            <v>5</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NgGia dcu"/>
      <sheetName val="NgGia Tbi"/>
      <sheetName val="NgGia Vlieu"/>
      <sheetName val="DGluong"/>
      <sheetName val="LĐ"/>
      <sheetName val="Dungcu"/>
      <sheetName val="thietbi"/>
      <sheetName val="VL"/>
      <sheetName val="Nangluong"/>
      <sheetName val="Don gia 10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0">
          <cell r="R10">
            <v>81270.161764102551</v>
          </cell>
        </row>
        <row r="32">
          <cell r="R32">
            <v>619198.02508923074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FF0000"/>
  </sheetPr>
  <dimension ref="A1:C21"/>
  <sheetViews>
    <sheetView zoomScale="75" zoomScaleNormal="70" workbookViewId="0">
      <pane ySplit="3" topLeftCell="A10" activePane="bottomLeft" state="frozen"/>
      <selection pane="bottomLeft" activeCell="C20" sqref="C20"/>
    </sheetView>
  </sheetViews>
  <sheetFormatPr defaultRowHeight="17.100000000000001" customHeight="1"/>
  <cols>
    <col min="1" max="1" width="12" style="241" customWidth="1"/>
    <col min="2" max="2" width="58.85546875" style="242" customWidth="1"/>
    <col min="3" max="3" width="34.5703125" style="243" customWidth="1"/>
    <col min="4" max="256" width="9.140625" style="229"/>
    <col min="257" max="257" width="12" style="229" customWidth="1"/>
    <col min="258" max="258" width="58.85546875" style="229" customWidth="1"/>
    <col min="259" max="259" width="30.7109375" style="229" customWidth="1"/>
    <col min="260" max="512" width="9.140625" style="229"/>
    <col min="513" max="513" width="12" style="229" customWidth="1"/>
    <col min="514" max="514" width="58.85546875" style="229" customWidth="1"/>
    <col min="515" max="515" width="30.7109375" style="229" customWidth="1"/>
    <col min="516" max="768" width="9.140625" style="229"/>
    <col min="769" max="769" width="12" style="229" customWidth="1"/>
    <col min="770" max="770" width="58.85546875" style="229" customWidth="1"/>
    <col min="771" max="771" width="30.7109375" style="229" customWidth="1"/>
    <col min="772" max="1024" width="9.140625" style="229"/>
    <col min="1025" max="1025" width="12" style="229" customWidth="1"/>
    <col min="1026" max="1026" width="58.85546875" style="229" customWidth="1"/>
    <col min="1027" max="1027" width="30.7109375" style="229" customWidth="1"/>
    <col min="1028" max="1280" width="9.140625" style="229"/>
    <col min="1281" max="1281" width="12" style="229" customWidth="1"/>
    <col min="1282" max="1282" width="58.85546875" style="229" customWidth="1"/>
    <col min="1283" max="1283" width="30.7109375" style="229" customWidth="1"/>
    <col min="1284" max="1536" width="9.140625" style="229"/>
    <col min="1537" max="1537" width="12" style="229" customWidth="1"/>
    <col min="1538" max="1538" width="58.85546875" style="229" customWidth="1"/>
    <col min="1539" max="1539" width="30.7109375" style="229" customWidth="1"/>
    <col min="1540" max="1792" width="9.140625" style="229"/>
    <col min="1793" max="1793" width="12" style="229" customWidth="1"/>
    <col min="1794" max="1794" width="58.85546875" style="229" customWidth="1"/>
    <col min="1795" max="1795" width="30.7109375" style="229" customWidth="1"/>
    <col min="1796" max="2048" width="9.140625" style="229"/>
    <col min="2049" max="2049" width="12" style="229" customWidth="1"/>
    <col min="2050" max="2050" width="58.85546875" style="229" customWidth="1"/>
    <col min="2051" max="2051" width="30.7109375" style="229" customWidth="1"/>
    <col min="2052" max="2304" width="9.140625" style="229"/>
    <col min="2305" max="2305" width="12" style="229" customWidth="1"/>
    <col min="2306" max="2306" width="58.85546875" style="229" customWidth="1"/>
    <col min="2307" max="2307" width="30.7109375" style="229" customWidth="1"/>
    <col min="2308" max="2560" width="9.140625" style="229"/>
    <col min="2561" max="2561" width="12" style="229" customWidth="1"/>
    <col min="2562" max="2562" width="58.85546875" style="229" customWidth="1"/>
    <col min="2563" max="2563" width="30.7109375" style="229" customWidth="1"/>
    <col min="2564" max="2816" width="9.140625" style="229"/>
    <col min="2817" max="2817" width="12" style="229" customWidth="1"/>
    <col min="2818" max="2818" width="58.85546875" style="229" customWidth="1"/>
    <col min="2819" max="2819" width="30.7109375" style="229" customWidth="1"/>
    <col min="2820" max="3072" width="9.140625" style="229"/>
    <col min="3073" max="3073" width="12" style="229" customWidth="1"/>
    <col min="3074" max="3074" width="58.85546875" style="229" customWidth="1"/>
    <col min="3075" max="3075" width="30.7109375" style="229" customWidth="1"/>
    <col min="3076" max="3328" width="9.140625" style="229"/>
    <col min="3329" max="3329" width="12" style="229" customWidth="1"/>
    <col min="3330" max="3330" width="58.85546875" style="229" customWidth="1"/>
    <col min="3331" max="3331" width="30.7109375" style="229" customWidth="1"/>
    <col min="3332" max="3584" width="9.140625" style="229"/>
    <col min="3585" max="3585" width="12" style="229" customWidth="1"/>
    <col min="3586" max="3586" width="58.85546875" style="229" customWidth="1"/>
    <col min="3587" max="3587" width="30.7109375" style="229" customWidth="1"/>
    <col min="3588" max="3840" width="9.140625" style="229"/>
    <col min="3841" max="3841" width="12" style="229" customWidth="1"/>
    <col min="3842" max="3842" width="58.85546875" style="229" customWidth="1"/>
    <col min="3843" max="3843" width="30.7109375" style="229" customWidth="1"/>
    <col min="3844" max="4096" width="9.140625" style="229"/>
    <col min="4097" max="4097" width="12" style="229" customWidth="1"/>
    <col min="4098" max="4098" width="58.85546875" style="229" customWidth="1"/>
    <col min="4099" max="4099" width="30.7109375" style="229" customWidth="1"/>
    <col min="4100" max="4352" width="9.140625" style="229"/>
    <col min="4353" max="4353" width="12" style="229" customWidth="1"/>
    <col min="4354" max="4354" width="58.85546875" style="229" customWidth="1"/>
    <col min="4355" max="4355" width="30.7109375" style="229" customWidth="1"/>
    <col min="4356" max="4608" width="9.140625" style="229"/>
    <col min="4609" max="4609" width="12" style="229" customWidth="1"/>
    <col min="4610" max="4610" width="58.85546875" style="229" customWidth="1"/>
    <col min="4611" max="4611" width="30.7109375" style="229" customWidth="1"/>
    <col min="4612" max="4864" width="9.140625" style="229"/>
    <col min="4865" max="4865" width="12" style="229" customWidth="1"/>
    <col min="4866" max="4866" width="58.85546875" style="229" customWidth="1"/>
    <col min="4867" max="4867" width="30.7109375" style="229" customWidth="1"/>
    <col min="4868" max="5120" width="9.140625" style="229"/>
    <col min="5121" max="5121" width="12" style="229" customWidth="1"/>
    <col min="5122" max="5122" width="58.85546875" style="229" customWidth="1"/>
    <col min="5123" max="5123" width="30.7109375" style="229" customWidth="1"/>
    <col min="5124" max="5376" width="9.140625" style="229"/>
    <col min="5377" max="5377" width="12" style="229" customWidth="1"/>
    <col min="5378" max="5378" width="58.85546875" style="229" customWidth="1"/>
    <col min="5379" max="5379" width="30.7109375" style="229" customWidth="1"/>
    <col min="5380" max="5632" width="9.140625" style="229"/>
    <col min="5633" max="5633" width="12" style="229" customWidth="1"/>
    <col min="5634" max="5634" width="58.85546875" style="229" customWidth="1"/>
    <col min="5635" max="5635" width="30.7109375" style="229" customWidth="1"/>
    <col min="5636" max="5888" width="9.140625" style="229"/>
    <col min="5889" max="5889" width="12" style="229" customWidth="1"/>
    <col min="5890" max="5890" width="58.85546875" style="229" customWidth="1"/>
    <col min="5891" max="5891" width="30.7109375" style="229" customWidth="1"/>
    <col min="5892" max="6144" width="9.140625" style="229"/>
    <col min="6145" max="6145" width="12" style="229" customWidth="1"/>
    <col min="6146" max="6146" width="58.85546875" style="229" customWidth="1"/>
    <col min="6147" max="6147" width="30.7109375" style="229" customWidth="1"/>
    <col min="6148" max="6400" width="9.140625" style="229"/>
    <col min="6401" max="6401" width="12" style="229" customWidth="1"/>
    <col min="6402" max="6402" width="58.85546875" style="229" customWidth="1"/>
    <col min="6403" max="6403" width="30.7109375" style="229" customWidth="1"/>
    <col min="6404" max="6656" width="9.140625" style="229"/>
    <col min="6657" max="6657" width="12" style="229" customWidth="1"/>
    <col min="6658" max="6658" width="58.85546875" style="229" customWidth="1"/>
    <col min="6659" max="6659" width="30.7109375" style="229" customWidth="1"/>
    <col min="6660" max="6912" width="9.140625" style="229"/>
    <col min="6913" max="6913" width="12" style="229" customWidth="1"/>
    <col min="6914" max="6914" width="58.85546875" style="229" customWidth="1"/>
    <col min="6915" max="6915" width="30.7109375" style="229" customWidth="1"/>
    <col min="6916" max="7168" width="9.140625" style="229"/>
    <col min="7169" max="7169" width="12" style="229" customWidth="1"/>
    <col min="7170" max="7170" width="58.85546875" style="229" customWidth="1"/>
    <col min="7171" max="7171" width="30.7109375" style="229" customWidth="1"/>
    <col min="7172" max="7424" width="9.140625" style="229"/>
    <col min="7425" max="7425" width="12" style="229" customWidth="1"/>
    <col min="7426" max="7426" width="58.85546875" style="229" customWidth="1"/>
    <col min="7427" max="7427" width="30.7109375" style="229" customWidth="1"/>
    <col min="7428" max="7680" width="9.140625" style="229"/>
    <col min="7681" max="7681" width="12" style="229" customWidth="1"/>
    <col min="7682" max="7682" width="58.85546875" style="229" customWidth="1"/>
    <col min="7683" max="7683" width="30.7109375" style="229" customWidth="1"/>
    <col min="7684" max="7936" width="9.140625" style="229"/>
    <col min="7937" max="7937" width="12" style="229" customWidth="1"/>
    <col min="7938" max="7938" width="58.85546875" style="229" customWidth="1"/>
    <col min="7939" max="7939" width="30.7109375" style="229" customWidth="1"/>
    <col min="7940" max="8192" width="9.140625" style="229"/>
    <col min="8193" max="8193" width="12" style="229" customWidth="1"/>
    <col min="8194" max="8194" width="58.85546875" style="229" customWidth="1"/>
    <col min="8195" max="8195" width="30.7109375" style="229" customWidth="1"/>
    <col min="8196" max="8448" width="9.140625" style="229"/>
    <col min="8449" max="8449" width="12" style="229" customWidth="1"/>
    <col min="8450" max="8450" width="58.85546875" style="229" customWidth="1"/>
    <col min="8451" max="8451" width="30.7109375" style="229" customWidth="1"/>
    <col min="8452" max="8704" width="9.140625" style="229"/>
    <col min="8705" max="8705" width="12" style="229" customWidth="1"/>
    <col min="8706" max="8706" width="58.85546875" style="229" customWidth="1"/>
    <col min="8707" max="8707" width="30.7109375" style="229" customWidth="1"/>
    <col min="8708" max="8960" width="9.140625" style="229"/>
    <col min="8961" max="8961" width="12" style="229" customWidth="1"/>
    <col min="8962" max="8962" width="58.85546875" style="229" customWidth="1"/>
    <col min="8963" max="8963" width="30.7109375" style="229" customWidth="1"/>
    <col min="8964" max="9216" width="9.140625" style="229"/>
    <col min="9217" max="9217" width="12" style="229" customWidth="1"/>
    <col min="9218" max="9218" width="58.85546875" style="229" customWidth="1"/>
    <col min="9219" max="9219" width="30.7109375" style="229" customWidth="1"/>
    <col min="9220" max="9472" width="9.140625" style="229"/>
    <col min="9473" max="9473" width="12" style="229" customWidth="1"/>
    <col min="9474" max="9474" width="58.85546875" style="229" customWidth="1"/>
    <col min="9475" max="9475" width="30.7109375" style="229" customWidth="1"/>
    <col min="9476" max="9728" width="9.140625" style="229"/>
    <col min="9729" max="9729" width="12" style="229" customWidth="1"/>
    <col min="9730" max="9730" width="58.85546875" style="229" customWidth="1"/>
    <col min="9731" max="9731" width="30.7109375" style="229" customWidth="1"/>
    <col min="9732" max="9984" width="9.140625" style="229"/>
    <col min="9985" max="9985" width="12" style="229" customWidth="1"/>
    <col min="9986" max="9986" width="58.85546875" style="229" customWidth="1"/>
    <col min="9987" max="9987" width="30.7109375" style="229" customWidth="1"/>
    <col min="9988" max="10240" width="9.140625" style="229"/>
    <col min="10241" max="10241" width="12" style="229" customWidth="1"/>
    <col min="10242" max="10242" width="58.85546875" style="229" customWidth="1"/>
    <col min="10243" max="10243" width="30.7109375" style="229" customWidth="1"/>
    <col min="10244" max="10496" width="9.140625" style="229"/>
    <col min="10497" max="10497" width="12" style="229" customWidth="1"/>
    <col min="10498" max="10498" width="58.85546875" style="229" customWidth="1"/>
    <col min="10499" max="10499" width="30.7109375" style="229" customWidth="1"/>
    <col min="10500" max="10752" width="9.140625" style="229"/>
    <col min="10753" max="10753" width="12" style="229" customWidth="1"/>
    <col min="10754" max="10754" width="58.85546875" style="229" customWidth="1"/>
    <col min="10755" max="10755" width="30.7109375" style="229" customWidth="1"/>
    <col min="10756" max="11008" width="9.140625" style="229"/>
    <col min="11009" max="11009" width="12" style="229" customWidth="1"/>
    <col min="11010" max="11010" width="58.85546875" style="229" customWidth="1"/>
    <col min="11011" max="11011" width="30.7109375" style="229" customWidth="1"/>
    <col min="11012" max="11264" width="9.140625" style="229"/>
    <col min="11265" max="11265" width="12" style="229" customWidth="1"/>
    <col min="11266" max="11266" width="58.85546875" style="229" customWidth="1"/>
    <col min="11267" max="11267" width="30.7109375" style="229" customWidth="1"/>
    <col min="11268" max="11520" width="9.140625" style="229"/>
    <col min="11521" max="11521" width="12" style="229" customWidth="1"/>
    <col min="11522" max="11522" width="58.85546875" style="229" customWidth="1"/>
    <col min="11523" max="11523" width="30.7109375" style="229" customWidth="1"/>
    <col min="11524" max="11776" width="9.140625" style="229"/>
    <col min="11777" max="11777" width="12" style="229" customWidth="1"/>
    <col min="11778" max="11778" width="58.85546875" style="229" customWidth="1"/>
    <col min="11779" max="11779" width="30.7109375" style="229" customWidth="1"/>
    <col min="11780" max="12032" width="9.140625" style="229"/>
    <col min="12033" max="12033" width="12" style="229" customWidth="1"/>
    <col min="12034" max="12034" width="58.85546875" style="229" customWidth="1"/>
    <col min="12035" max="12035" width="30.7109375" style="229" customWidth="1"/>
    <col min="12036" max="12288" width="9.140625" style="229"/>
    <col min="12289" max="12289" width="12" style="229" customWidth="1"/>
    <col min="12290" max="12290" width="58.85546875" style="229" customWidth="1"/>
    <col min="12291" max="12291" width="30.7109375" style="229" customWidth="1"/>
    <col min="12292" max="12544" width="9.140625" style="229"/>
    <col min="12545" max="12545" width="12" style="229" customWidth="1"/>
    <col min="12546" max="12546" width="58.85546875" style="229" customWidth="1"/>
    <col min="12547" max="12547" width="30.7109375" style="229" customWidth="1"/>
    <col min="12548" max="12800" width="9.140625" style="229"/>
    <col min="12801" max="12801" width="12" style="229" customWidth="1"/>
    <col min="12802" max="12802" width="58.85546875" style="229" customWidth="1"/>
    <col min="12803" max="12803" width="30.7109375" style="229" customWidth="1"/>
    <col min="12804" max="13056" width="9.140625" style="229"/>
    <col min="13057" max="13057" width="12" style="229" customWidth="1"/>
    <col min="13058" max="13058" width="58.85546875" style="229" customWidth="1"/>
    <col min="13059" max="13059" width="30.7109375" style="229" customWidth="1"/>
    <col min="13060" max="13312" width="9.140625" style="229"/>
    <col min="13313" max="13313" width="12" style="229" customWidth="1"/>
    <col min="13314" max="13314" width="58.85546875" style="229" customWidth="1"/>
    <col min="13315" max="13315" width="30.7109375" style="229" customWidth="1"/>
    <col min="13316" max="13568" width="9.140625" style="229"/>
    <col min="13569" max="13569" width="12" style="229" customWidth="1"/>
    <col min="13570" max="13570" width="58.85546875" style="229" customWidth="1"/>
    <col min="13571" max="13571" width="30.7109375" style="229" customWidth="1"/>
    <col min="13572" max="13824" width="9.140625" style="229"/>
    <col min="13825" max="13825" width="12" style="229" customWidth="1"/>
    <col min="13826" max="13826" width="58.85546875" style="229" customWidth="1"/>
    <col min="13827" max="13827" width="30.7109375" style="229" customWidth="1"/>
    <col min="13828" max="14080" width="9.140625" style="229"/>
    <col min="14081" max="14081" width="12" style="229" customWidth="1"/>
    <col min="14082" max="14082" width="58.85546875" style="229" customWidth="1"/>
    <col min="14083" max="14083" width="30.7109375" style="229" customWidth="1"/>
    <col min="14084" max="14336" width="9.140625" style="229"/>
    <col min="14337" max="14337" width="12" style="229" customWidth="1"/>
    <col min="14338" max="14338" width="58.85546875" style="229" customWidth="1"/>
    <col min="14339" max="14339" width="30.7109375" style="229" customWidth="1"/>
    <col min="14340" max="14592" width="9.140625" style="229"/>
    <col min="14593" max="14593" width="12" style="229" customWidth="1"/>
    <col min="14594" max="14594" width="58.85546875" style="229" customWidth="1"/>
    <col min="14595" max="14595" width="30.7109375" style="229" customWidth="1"/>
    <col min="14596" max="14848" width="9.140625" style="229"/>
    <col min="14849" max="14849" width="12" style="229" customWidth="1"/>
    <col min="14850" max="14850" width="58.85546875" style="229" customWidth="1"/>
    <col min="14851" max="14851" width="30.7109375" style="229" customWidth="1"/>
    <col min="14852" max="15104" width="9.140625" style="229"/>
    <col min="15105" max="15105" width="12" style="229" customWidth="1"/>
    <col min="15106" max="15106" width="58.85546875" style="229" customWidth="1"/>
    <col min="15107" max="15107" width="30.7109375" style="229" customWidth="1"/>
    <col min="15108" max="15360" width="9.140625" style="229"/>
    <col min="15361" max="15361" width="12" style="229" customWidth="1"/>
    <col min="15362" max="15362" width="58.85546875" style="229" customWidth="1"/>
    <col min="15363" max="15363" width="30.7109375" style="229" customWidth="1"/>
    <col min="15364" max="15616" width="9.140625" style="229"/>
    <col min="15617" max="15617" width="12" style="229" customWidth="1"/>
    <col min="15618" max="15618" width="58.85546875" style="229" customWidth="1"/>
    <col min="15619" max="15619" width="30.7109375" style="229" customWidth="1"/>
    <col min="15620" max="15872" width="9.140625" style="229"/>
    <col min="15873" max="15873" width="12" style="229" customWidth="1"/>
    <col min="15874" max="15874" width="58.85546875" style="229" customWidth="1"/>
    <col min="15875" max="15875" width="30.7109375" style="229" customWidth="1"/>
    <col min="15876" max="16128" width="9.140625" style="229"/>
    <col min="16129" max="16129" width="12" style="229" customWidth="1"/>
    <col min="16130" max="16130" width="58.85546875" style="229" customWidth="1"/>
    <col min="16131" max="16131" width="30.7109375" style="229" customWidth="1"/>
    <col min="16132" max="16384" width="9.140625" style="229"/>
  </cols>
  <sheetData>
    <row r="1" spans="1:3" ht="46.5" customHeight="1">
      <c r="A1" s="363" t="s">
        <v>393</v>
      </c>
      <c r="B1" s="363"/>
      <c r="C1" s="363"/>
    </row>
    <row r="2" spans="1:3" s="233" customFormat="1" ht="33.75" customHeight="1">
      <c r="A2" s="230" t="s">
        <v>156</v>
      </c>
      <c r="B2" s="231" t="s">
        <v>197</v>
      </c>
      <c r="C2" s="232" t="s">
        <v>342</v>
      </c>
    </row>
    <row r="3" spans="1:3" s="237" customFormat="1" ht="23.25" customHeight="1">
      <c r="A3" s="234" t="s">
        <v>207</v>
      </c>
      <c r="B3" s="235" t="s">
        <v>209</v>
      </c>
      <c r="C3" s="236"/>
    </row>
    <row r="4" spans="1:3" s="233" customFormat="1" ht="30.75" customHeight="1">
      <c r="A4" s="83" t="s">
        <v>207</v>
      </c>
      <c r="B4" s="364" t="s">
        <v>343</v>
      </c>
      <c r="C4" s="364"/>
    </row>
    <row r="5" spans="1:3" ht="18.75" customHeight="1">
      <c r="A5" s="238">
        <v>1</v>
      </c>
      <c r="B5" s="92" t="s">
        <v>216</v>
      </c>
      <c r="C5" s="239" t="s">
        <v>344</v>
      </c>
    </row>
    <row r="6" spans="1:3" ht="18.75" customHeight="1">
      <c r="A6" s="238">
        <v>2</v>
      </c>
      <c r="B6" s="244" t="s">
        <v>379</v>
      </c>
      <c r="C6" s="239" t="s">
        <v>345</v>
      </c>
    </row>
    <row r="7" spans="1:3" ht="18.75" customHeight="1">
      <c r="A7" s="238">
        <v>3</v>
      </c>
      <c r="B7" s="245" t="s">
        <v>12</v>
      </c>
      <c r="C7" s="239" t="s">
        <v>381</v>
      </c>
    </row>
    <row r="8" spans="1:3" ht="25.5" customHeight="1">
      <c r="A8" s="238">
        <v>4</v>
      </c>
      <c r="B8" s="245" t="s">
        <v>13</v>
      </c>
      <c r="C8" s="236" t="s">
        <v>382</v>
      </c>
    </row>
    <row r="9" spans="1:3" ht="24.75" customHeight="1">
      <c r="A9" s="238">
        <v>5</v>
      </c>
      <c r="B9" s="95" t="s">
        <v>218</v>
      </c>
      <c r="C9" s="239" t="s">
        <v>348</v>
      </c>
    </row>
    <row r="10" spans="1:3" ht="21.75" customHeight="1">
      <c r="A10" s="238">
        <v>6</v>
      </c>
      <c r="B10" s="95" t="s">
        <v>219</v>
      </c>
      <c r="C10" s="240" t="s">
        <v>349</v>
      </c>
    </row>
    <row r="11" spans="1:3" ht="33.75" customHeight="1">
      <c r="A11" s="238">
        <v>7</v>
      </c>
      <c r="B11" s="245" t="s">
        <v>213</v>
      </c>
      <c r="C11" s="236" t="s">
        <v>384</v>
      </c>
    </row>
    <row r="12" spans="1:3" ht="30.75" customHeight="1">
      <c r="A12" s="238">
        <v>8</v>
      </c>
      <c r="B12" s="246" t="s">
        <v>6</v>
      </c>
      <c r="C12" s="236" t="s">
        <v>351</v>
      </c>
    </row>
    <row r="13" spans="1:3" ht="36" customHeight="1">
      <c r="A13" s="238">
        <v>9</v>
      </c>
      <c r="B13" s="246" t="s">
        <v>7</v>
      </c>
      <c r="C13" s="236" t="s">
        <v>352</v>
      </c>
    </row>
    <row r="14" spans="1:3" ht="36" customHeight="1">
      <c r="A14" s="238">
        <v>10</v>
      </c>
      <c r="B14" s="246" t="s">
        <v>9</v>
      </c>
      <c r="C14" s="236" t="s">
        <v>353</v>
      </c>
    </row>
    <row r="15" spans="1:3" ht="18.75" customHeight="1">
      <c r="A15" s="238">
        <v>11</v>
      </c>
      <c r="B15" s="95" t="s">
        <v>217</v>
      </c>
      <c r="C15" s="239" t="s">
        <v>355</v>
      </c>
    </row>
    <row r="16" spans="1:3" ht="36" customHeight="1">
      <c r="A16" s="238">
        <v>12</v>
      </c>
      <c r="B16" s="246" t="s">
        <v>373</v>
      </c>
      <c r="C16" s="239" t="s">
        <v>383</v>
      </c>
    </row>
    <row r="17" spans="1:3" ht="18.75" customHeight="1">
      <c r="A17" s="238">
        <v>13</v>
      </c>
      <c r="B17" s="246" t="s">
        <v>214</v>
      </c>
      <c r="C17" s="239" t="s">
        <v>383</v>
      </c>
    </row>
    <row r="18" spans="1:3" ht="26.25" customHeight="1">
      <c r="A18" s="238">
        <v>14</v>
      </c>
      <c r="B18" s="94" t="s">
        <v>215</v>
      </c>
      <c r="C18" s="239" t="s">
        <v>383</v>
      </c>
    </row>
    <row r="19" spans="1:3" ht="27" customHeight="1">
      <c r="A19" s="238">
        <v>15</v>
      </c>
      <c r="B19" s="246" t="s">
        <v>10</v>
      </c>
      <c r="C19" s="239" t="s">
        <v>383</v>
      </c>
    </row>
    <row r="20" spans="1:3" ht="29.25" customHeight="1">
      <c r="A20" s="238">
        <v>16</v>
      </c>
      <c r="B20" s="244" t="s">
        <v>11</v>
      </c>
      <c r="C20" s="239" t="s">
        <v>383</v>
      </c>
    </row>
    <row r="21" spans="1:3" ht="24" customHeight="1">
      <c r="A21" s="238">
        <v>17</v>
      </c>
      <c r="B21" s="245" t="s">
        <v>385</v>
      </c>
      <c r="C21" s="236" t="s">
        <v>366</v>
      </c>
    </row>
  </sheetData>
  <mergeCells count="2">
    <mergeCell ref="A1:C1"/>
    <mergeCell ref="B4:C4"/>
  </mergeCells>
  <pageMargins left="0.5" right="0.25" top="0.5" bottom="0.5" header="0.25" footer="0.25"/>
  <pageSetup paperSize="9" orientation="landscape" r:id="rId1"/>
  <headerFooter alignWithMargins="0">
    <oddFooter>&amp;C&amp;"t,Regular"&amp;9&amp;P - KK-NM</oddFooter>
  </headerFooter>
</worksheet>
</file>

<file path=xl/worksheets/sheet2.xml><?xml version="1.0" encoding="utf-8"?>
<worksheet xmlns="http://schemas.openxmlformats.org/spreadsheetml/2006/main" xmlns:r="http://schemas.openxmlformats.org/officeDocument/2006/relationships">
  <dimension ref="A1:M19"/>
  <sheetViews>
    <sheetView topLeftCell="A3" zoomScale="80" zoomScaleNormal="80" workbookViewId="0">
      <selection activeCell="L12" sqref="L12"/>
    </sheetView>
  </sheetViews>
  <sheetFormatPr defaultRowHeight="15.75"/>
  <cols>
    <col min="1" max="1" width="5.85546875" style="40" customWidth="1"/>
    <col min="2" max="2" width="14.42578125" style="40" customWidth="1"/>
    <col min="3" max="3" width="30" style="39" customWidth="1"/>
    <col min="4" max="4" width="7.85546875" style="40" customWidth="1"/>
    <col min="5" max="5" width="11.5703125" style="41" customWidth="1"/>
    <col min="6" max="6" width="11.28515625" style="41" customWidth="1"/>
    <col min="7" max="7" width="11.42578125" style="41" customWidth="1"/>
    <col min="8" max="8" width="10.85546875" style="41" customWidth="1"/>
    <col min="9" max="10" width="12.140625" style="41" customWidth="1"/>
    <col min="11" max="11" width="15" style="41" customWidth="1"/>
    <col min="12" max="12" width="18.5703125" style="41" customWidth="1"/>
    <col min="13" max="13" width="13.85546875" style="41" customWidth="1"/>
    <col min="14" max="258" width="9.140625" style="39"/>
    <col min="259" max="259" width="5.85546875" style="39" customWidth="1"/>
    <col min="260" max="260" width="30" style="39" customWidth="1"/>
    <col min="261" max="261" width="7.85546875" style="39" customWidth="1"/>
    <col min="262" max="262" width="11.5703125" style="39" customWidth="1"/>
    <col min="263" max="263" width="11.28515625" style="39" customWidth="1"/>
    <col min="264" max="264" width="11.42578125" style="39" customWidth="1"/>
    <col min="265" max="265" width="10.85546875" style="39" customWidth="1"/>
    <col min="266" max="266" width="12.140625" style="39" customWidth="1"/>
    <col min="267" max="267" width="11.7109375" style="39" customWidth="1"/>
    <col min="268" max="268" width="12.85546875" style="39" customWidth="1"/>
    <col min="269" max="269" width="13.85546875" style="39" customWidth="1"/>
    <col min="270" max="514" width="9.140625" style="39"/>
    <col min="515" max="515" width="5.85546875" style="39" customWidth="1"/>
    <col min="516" max="516" width="30" style="39" customWidth="1"/>
    <col min="517" max="517" width="7.85546875" style="39" customWidth="1"/>
    <col min="518" max="518" width="11.5703125" style="39" customWidth="1"/>
    <col min="519" max="519" width="11.28515625" style="39" customWidth="1"/>
    <col min="520" max="520" width="11.42578125" style="39" customWidth="1"/>
    <col min="521" max="521" width="10.85546875" style="39" customWidth="1"/>
    <col min="522" max="522" width="12.140625" style="39" customWidth="1"/>
    <col min="523" max="523" width="11.7109375" style="39" customWidth="1"/>
    <col min="524" max="524" width="12.85546875" style="39" customWidth="1"/>
    <col min="525" max="525" width="13.85546875" style="39" customWidth="1"/>
    <col min="526" max="770" width="9.140625" style="39"/>
    <col min="771" max="771" width="5.85546875" style="39" customWidth="1"/>
    <col min="772" max="772" width="30" style="39" customWidth="1"/>
    <col min="773" max="773" width="7.85546875" style="39" customWidth="1"/>
    <col min="774" max="774" width="11.5703125" style="39" customWidth="1"/>
    <col min="775" max="775" width="11.28515625" style="39" customWidth="1"/>
    <col min="776" max="776" width="11.42578125" style="39" customWidth="1"/>
    <col min="777" max="777" width="10.85546875" style="39" customWidth="1"/>
    <col min="778" max="778" width="12.140625" style="39" customWidth="1"/>
    <col min="779" max="779" width="11.7109375" style="39" customWidth="1"/>
    <col min="780" max="780" width="12.85546875" style="39" customWidth="1"/>
    <col min="781" max="781" width="13.85546875" style="39" customWidth="1"/>
    <col min="782" max="1026" width="9.140625" style="39"/>
    <col min="1027" max="1027" width="5.85546875" style="39" customWidth="1"/>
    <col min="1028" max="1028" width="30" style="39" customWidth="1"/>
    <col min="1029" max="1029" width="7.85546875" style="39" customWidth="1"/>
    <col min="1030" max="1030" width="11.5703125" style="39" customWidth="1"/>
    <col min="1031" max="1031" width="11.28515625" style="39" customWidth="1"/>
    <col min="1032" max="1032" width="11.42578125" style="39" customWidth="1"/>
    <col min="1033" max="1033" width="10.85546875" style="39" customWidth="1"/>
    <col min="1034" max="1034" width="12.140625" style="39" customWidth="1"/>
    <col min="1035" max="1035" width="11.7109375" style="39" customWidth="1"/>
    <col min="1036" max="1036" width="12.85546875" style="39" customWidth="1"/>
    <col min="1037" max="1037" width="13.85546875" style="39" customWidth="1"/>
    <col min="1038" max="1282" width="9.140625" style="39"/>
    <col min="1283" max="1283" width="5.85546875" style="39" customWidth="1"/>
    <col min="1284" max="1284" width="30" style="39" customWidth="1"/>
    <col min="1285" max="1285" width="7.85546875" style="39" customWidth="1"/>
    <col min="1286" max="1286" width="11.5703125" style="39" customWidth="1"/>
    <col min="1287" max="1287" width="11.28515625" style="39" customWidth="1"/>
    <col min="1288" max="1288" width="11.42578125" style="39" customWidth="1"/>
    <col min="1289" max="1289" width="10.85546875" style="39" customWidth="1"/>
    <col min="1290" max="1290" width="12.140625" style="39" customWidth="1"/>
    <col min="1291" max="1291" width="11.7109375" style="39" customWidth="1"/>
    <col min="1292" max="1292" width="12.85546875" style="39" customWidth="1"/>
    <col min="1293" max="1293" width="13.85546875" style="39" customWidth="1"/>
    <col min="1294" max="1538" width="9.140625" style="39"/>
    <col min="1539" max="1539" width="5.85546875" style="39" customWidth="1"/>
    <col min="1540" max="1540" width="30" style="39" customWidth="1"/>
    <col min="1541" max="1541" width="7.85546875" style="39" customWidth="1"/>
    <col min="1542" max="1542" width="11.5703125" style="39" customWidth="1"/>
    <col min="1543" max="1543" width="11.28515625" style="39" customWidth="1"/>
    <col min="1544" max="1544" width="11.42578125" style="39" customWidth="1"/>
    <col min="1545" max="1545" width="10.85546875" style="39" customWidth="1"/>
    <col min="1546" max="1546" width="12.140625" style="39" customWidth="1"/>
    <col min="1547" max="1547" width="11.7109375" style="39" customWidth="1"/>
    <col min="1548" max="1548" width="12.85546875" style="39" customWidth="1"/>
    <col min="1549" max="1549" width="13.85546875" style="39" customWidth="1"/>
    <col min="1550" max="1794" width="9.140625" style="39"/>
    <col min="1795" max="1795" width="5.85546875" style="39" customWidth="1"/>
    <col min="1796" max="1796" width="30" style="39" customWidth="1"/>
    <col min="1797" max="1797" width="7.85546875" style="39" customWidth="1"/>
    <col min="1798" max="1798" width="11.5703125" style="39" customWidth="1"/>
    <col min="1799" max="1799" width="11.28515625" style="39" customWidth="1"/>
    <col min="1800" max="1800" width="11.42578125" style="39" customWidth="1"/>
    <col min="1801" max="1801" width="10.85546875" style="39" customWidth="1"/>
    <col min="1802" max="1802" width="12.140625" style="39" customWidth="1"/>
    <col min="1803" max="1803" width="11.7109375" style="39" customWidth="1"/>
    <col min="1804" max="1804" width="12.85546875" style="39" customWidth="1"/>
    <col min="1805" max="1805" width="13.85546875" style="39" customWidth="1"/>
    <col min="1806" max="2050" width="9.140625" style="39"/>
    <col min="2051" max="2051" width="5.85546875" style="39" customWidth="1"/>
    <col min="2052" max="2052" width="30" style="39" customWidth="1"/>
    <col min="2053" max="2053" width="7.85546875" style="39" customWidth="1"/>
    <col min="2054" max="2054" width="11.5703125" style="39" customWidth="1"/>
    <col min="2055" max="2055" width="11.28515625" style="39" customWidth="1"/>
    <col min="2056" max="2056" width="11.42578125" style="39" customWidth="1"/>
    <col min="2057" max="2057" width="10.85546875" style="39" customWidth="1"/>
    <col min="2058" max="2058" width="12.140625" style="39" customWidth="1"/>
    <col min="2059" max="2059" width="11.7109375" style="39" customWidth="1"/>
    <col min="2060" max="2060" width="12.85546875" style="39" customWidth="1"/>
    <col min="2061" max="2061" width="13.85546875" style="39" customWidth="1"/>
    <col min="2062" max="2306" width="9.140625" style="39"/>
    <col min="2307" max="2307" width="5.85546875" style="39" customWidth="1"/>
    <col min="2308" max="2308" width="30" style="39" customWidth="1"/>
    <col min="2309" max="2309" width="7.85546875" style="39" customWidth="1"/>
    <col min="2310" max="2310" width="11.5703125" style="39" customWidth="1"/>
    <col min="2311" max="2311" width="11.28515625" style="39" customWidth="1"/>
    <col min="2312" max="2312" width="11.42578125" style="39" customWidth="1"/>
    <col min="2313" max="2313" width="10.85546875" style="39" customWidth="1"/>
    <col min="2314" max="2314" width="12.140625" style="39" customWidth="1"/>
    <col min="2315" max="2315" width="11.7109375" style="39" customWidth="1"/>
    <col min="2316" max="2316" width="12.85546875" style="39" customWidth="1"/>
    <col min="2317" max="2317" width="13.85546875" style="39" customWidth="1"/>
    <col min="2318" max="2562" width="9.140625" style="39"/>
    <col min="2563" max="2563" width="5.85546875" style="39" customWidth="1"/>
    <col min="2564" max="2564" width="30" style="39" customWidth="1"/>
    <col min="2565" max="2565" width="7.85546875" style="39" customWidth="1"/>
    <col min="2566" max="2566" width="11.5703125" style="39" customWidth="1"/>
    <col min="2567" max="2567" width="11.28515625" style="39" customWidth="1"/>
    <col min="2568" max="2568" width="11.42578125" style="39" customWidth="1"/>
    <col min="2569" max="2569" width="10.85546875" style="39" customWidth="1"/>
    <col min="2570" max="2570" width="12.140625" style="39" customWidth="1"/>
    <col min="2571" max="2571" width="11.7109375" style="39" customWidth="1"/>
    <col min="2572" max="2572" width="12.85546875" style="39" customWidth="1"/>
    <col min="2573" max="2573" width="13.85546875" style="39" customWidth="1"/>
    <col min="2574" max="2818" width="9.140625" style="39"/>
    <col min="2819" max="2819" width="5.85546875" style="39" customWidth="1"/>
    <col min="2820" max="2820" width="30" style="39" customWidth="1"/>
    <col min="2821" max="2821" width="7.85546875" style="39" customWidth="1"/>
    <col min="2822" max="2822" width="11.5703125" style="39" customWidth="1"/>
    <col min="2823" max="2823" width="11.28515625" style="39" customWidth="1"/>
    <col min="2824" max="2824" width="11.42578125" style="39" customWidth="1"/>
    <col min="2825" max="2825" width="10.85546875" style="39" customWidth="1"/>
    <col min="2826" max="2826" width="12.140625" style="39" customWidth="1"/>
    <col min="2827" max="2827" width="11.7109375" style="39" customWidth="1"/>
    <col min="2828" max="2828" width="12.85546875" style="39" customWidth="1"/>
    <col min="2829" max="2829" width="13.85546875" style="39" customWidth="1"/>
    <col min="2830" max="3074" width="9.140625" style="39"/>
    <col min="3075" max="3075" width="5.85546875" style="39" customWidth="1"/>
    <col min="3076" max="3076" width="30" style="39" customWidth="1"/>
    <col min="3077" max="3077" width="7.85546875" style="39" customWidth="1"/>
    <col min="3078" max="3078" width="11.5703125" style="39" customWidth="1"/>
    <col min="3079" max="3079" width="11.28515625" style="39" customWidth="1"/>
    <col min="3080" max="3080" width="11.42578125" style="39" customWidth="1"/>
    <col min="3081" max="3081" width="10.85546875" style="39" customWidth="1"/>
    <col min="3082" max="3082" width="12.140625" style="39" customWidth="1"/>
    <col min="3083" max="3083" width="11.7109375" style="39" customWidth="1"/>
    <col min="3084" max="3084" width="12.85546875" style="39" customWidth="1"/>
    <col min="3085" max="3085" width="13.85546875" style="39" customWidth="1"/>
    <col min="3086" max="3330" width="9.140625" style="39"/>
    <col min="3331" max="3331" width="5.85546875" style="39" customWidth="1"/>
    <col min="3332" max="3332" width="30" style="39" customWidth="1"/>
    <col min="3333" max="3333" width="7.85546875" style="39" customWidth="1"/>
    <col min="3334" max="3334" width="11.5703125" style="39" customWidth="1"/>
    <col min="3335" max="3335" width="11.28515625" style="39" customWidth="1"/>
    <col min="3336" max="3336" width="11.42578125" style="39" customWidth="1"/>
    <col min="3337" max="3337" width="10.85546875" style="39" customWidth="1"/>
    <col min="3338" max="3338" width="12.140625" style="39" customWidth="1"/>
    <col min="3339" max="3339" width="11.7109375" style="39" customWidth="1"/>
    <col min="3340" max="3340" width="12.85546875" style="39" customWidth="1"/>
    <col min="3341" max="3341" width="13.85546875" style="39" customWidth="1"/>
    <col min="3342" max="3586" width="9.140625" style="39"/>
    <col min="3587" max="3587" width="5.85546875" style="39" customWidth="1"/>
    <col min="3588" max="3588" width="30" style="39" customWidth="1"/>
    <col min="3589" max="3589" width="7.85546875" style="39" customWidth="1"/>
    <col min="3590" max="3590" width="11.5703125" style="39" customWidth="1"/>
    <col min="3591" max="3591" width="11.28515625" style="39" customWidth="1"/>
    <col min="3592" max="3592" width="11.42578125" style="39" customWidth="1"/>
    <col min="3593" max="3593" width="10.85546875" style="39" customWidth="1"/>
    <col min="3594" max="3594" width="12.140625" style="39" customWidth="1"/>
    <col min="3595" max="3595" width="11.7109375" style="39" customWidth="1"/>
    <col min="3596" max="3596" width="12.85546875" style="39" customWidth="1"/>
    <col min="3597" max="3597" width="13.85546875" style="39" customWidth="1"/>
    <col min="3598" max="3842" width="9.140625" style="39"/>
    <col min="3843" max="3843" width="5.85546875" style="39" customWidth="1"/>
    <col min="3844" max="3844" width="30" style="39" customWidth="1"/>
    <col min="3845" max="3845" width="7.85546875" style="39" customWidth="1"/>
    <col min="3846" max="3846" width="11.5703125" style="39" customWidth="1"/>
    <col min="3847" max="3847" width="11.28515625" style="39" customWidth="1"/>
    <col min="3848" max="3848" width="11.42578125" style="39" customWidth="1"/>
    <col min="3849" max="3849" width="10.85546875" style="39" customWidth="1"/>
    <col min="3850" max="3850" width="12.140625" style="39" customWidth="1"/>
    <col min="3851" max="3851" width="11.7109375" style="39" customWidth="1"/>
    <col min="3852" max="3852" width="12.85546875" style="39" customWidth="1"/>
    <col min="3853" max="3853" width="13.85546875" style="39" customWidth="1"/>
    <col min="3854" max="4098" width="9.140625" style="39"/>
    <col min="4099" max="4099" width="5.85546875" style="39" customWidth="1"/>
    <col min="4100" max="4100" width="30" style="39" customWidth="1"/>
    <col min="4101" max="4101" width="7.85546875" style="39" customWidth="1"/>
    <col min="4102" max="4102" width="11.5703125" style="39" customWidth="1"/>
    <col min="4103" max="4103" width="11.28515625" style="39" customWidth="1"/>
    <col min="4104" max="4104" width="11.42578125" style="39" customWidth="1"/>
    <col min="4105" max="4105" width="10.85546875" style="39" customWidth="1"/>
    <col min="4106" max="4106" width="12.140625" style="39" customWidth="1"/>
    <col min="4107" max="4107" width="11.7109375" style="39" customWidth="1"/>
    <col min="4108" max="4108" width="12.85546875" style="39" customWidth="1"/>
    <col min="4109" max="4109" width="13.85546875" style="39" customWidth="1"/>
    <col min="4110" max="4354" width="9.140625" style="39"/>
    <col min="4355" max="4355" width="5.85546875" style="39" customWidth="1"/>
    <col min="4356" max="4356" width="30" style="39" customWidth="1"/>
    <col min="4357" max="4357" width="7.85546875" style="39" customWidth="1"/>
    <col min="4358" max="4358" width="11.5703125" style="39" customWidth="1"/>
    <col min="4359" max="4359" width="11.28515625" style="39" customWidth="1"/>
    <col min="4360" max="4360" width="11.42578125" style="39" customWidth="1"/>
    <col min="4361" max="4361" width="10.85546875" style="39" customWidth="1"/>
    <col min="4362" max="4362" width="12.140625" style="39" customWidth="1"/>
    <col min="4363" max="4363" width="11.7109375" style="39" customWidth="1"/>
    <col min="4364" max="4364" width="12.85546875" style="39" customWidth="1"/>
    <col min="4365" max="4365" width="13.85546875" style="39" customWidth="1"/>
    <col min="4366" max="4610" width="9.140625" style="39"/>
    <col min="4611" max="4611" width="5.85546875" style="39" customWidth="1"/>
    <col min="4612" max="4612" width="30" style="39" customWidth="1"/>
    <col min="4613" max="4613" width="7.85546875" style="39" customWidth="1"/>
    <col min="4614" max="4614" width="11.5703125" style="39" customWidth="1"/>
    <col min="4615" max="4615" width="11.28515625" style="39" customWidth="1"/>
    <col min="4616" max="4616" width="11.42578125" style="39" customWidth="1"/>
    <col min="4617" max="4617" width="10.85546875" style="39" customWidth="1"/>
    <col min="4618" max="4618" width="12.140625" style="39" customWidth="1"/>
    <col min="4619" max="4619" width="11.7109375" style="39" customWidth="1"/>
    <col min="4620" max="4620" width="12.85546875" style="39" customWidth="1"/>
    <col min="4621" max="4621" width="13.85546875" style="39" customWidth="1"/>
    <col min="4622" max="4866" width="9.140625" style="39"/>
    <col min="4867" max="4867" width="5.85546875" style="39" customWidth="1"/>
    <col min="4868" max="4868" width="30" style="39" customWidth="1"/>
    <col min="4869" max="4869" width="7.85546875" style="39" customWidth="1"/>
    <col min="4870" max="4870" width="11.5703125" style="39" customWidth="1"/>
    <col min="4871" max="4871" width="11.28515625" style="39" customWidth="1"/>
    <col min="4872" max="4872" width="11.42578125" style="39" customWidth="1"/>
    <col min="4873" max="4873" width="10.85546875" style="39" customWidth="1"/>
    <col min="4874" max="4874" width="12.140625" style="39" customWidth="1"/>
    <col min="4875" max="4875" width="11.7109375" style="39" customWidth="1"/>
    <col min="4876" max="4876" width="12.85546875" style="39" customWidth="1"/>
    <col min="4877" max="4877" width="13.85546875" style="39" customWidth="1"/>
    <col min="4878" max="5122" width="9.140625" style="39"/>
    <col min="5123" max="5123" width="5.85546875" style="39" customWidth="1"/>
    <col min="5124" max="5124" width="30" style="39" customWidth="1"/>
    <col min="5125" max="5125" width="7.85546875" style="39" customWidth="1"/>
    <col min="5126" max="5126" width="11.5703125" style="39" customWidth="1"/>
    <col min="5127" max="5127" width="11.28515625" style="39" customWidth="1"/>
    <col min="5128" max="5128" width="11.42578125" style="39" customWidth="1"/>
    <col min="5129" max="5129" width="10.85546875" style="39" customWidth="1"/>
    <col min="5130" max="5130" width="12.140625" style="39" customWidth="1"/>
    <col min="5131" max="5131" width="11.7109375" style="39" customWidth="1"/>
    <col min="5132" max="5132" width="12.85546875" style="39" customWidth="1"/>
    <col min="5133" max="5133" width="13.85546875" style="39" customWidth="1"/>
    <col min="5134" max="5378" width="9.140625" style="39"/>
    <col min="5379" max="5379" width="5.85546875" style="39" customWidth="1"/>
    <col min="5380" max="5380" width="30" style="39" customWidth="1"/>
    <col min="5381" max="5381" width="7.85546875" style="39" customWidth="1"/>
    <col min="5382" max="5382" width="11.5703125" style="39" customWidth="1"/>
    <col min="5383" max="5383" width="11.28515625" style="39" customWidth="1"/>
    <col min="5384" max="5384" width="11.42578125" style="39" customWidth="1"/>
    <col min="5385" max="5385" width="10.85546875" style="39" customWidth="1"/>
    <col min="5386" max="5386" width="12.140625" style="39" customWidth="1"/>
    <col min="5387" max="5387" width="11.7109375" style="39" customWidth="1"/>
    <col min="5388" max="5388" width="12.85546875" style="39" customWidth="1"/>
    <col min="5389" max="5389" width="13.85546875" style="39" customWidth="1"/>
    <col min="5390" max="5634" width="9.140625" style="39"/>
    <col min="5635" max="5635" width="5.85546875" style="39" customWidth="1"/>
    <col min="5636" max="5636" width="30" style="39" customWidth="1"/>
    <col min="5637" max="5637" width="7.85546875" style="39" customWidth="1"/>
    <col min="5638" max="5638" width="11.5703125" style="39" customWidth="1"/>
    <col min="5639" max="5639" width="11.28515625" style="39" customWidth="1"/>
    <col min="5640" max="5640" width="11.42578125" style="39" customWidth="1"/>
    <col min="5641" max="5641" width="10.85546875" style="39" customWidth="1"/>
    <col min="5642" max="5642" width="12.140625" style="39" customWidth="1"/>
    <col min="5643" max="5643" width="11.7109375" style="39" customWidth="1"/>
    <col min="5644" max="5644" width="12.85546875" style="39" customWidth="1"/>
    <col min="5645" max="5645" width="13.85546875" style="39" customWidth="1"/>
    <col min="5646" max="5890" width="9.140625" style="39"/>
    <col min="5891" max="5891" width="5.85546875" style="39" customWidth="1"/>
    <col min="5892" max="5892" width="30" style="39" customWidth="1"/>
    <col min="5893" max="5893" width="7.85546875" style="39" customWidth="1"/>
    <col min="5894" max="5894" width="11.5703125" style="39" customWidth="1"/>
    <col min="5895" max="5895" width="11.28515625" style="39" customWidth="1"/>
    <col min="5896" max="5896" width="11.42578125" style="39" customWidth="1"/>
    <col min="5897" max="5897" width="10.85546875" style="39" customWidth="1"/>
    <col min="5898" max="5898" width="12.140625" style="39" customWidth="1"/>
    <col min="5899" max="5899" width="11.7109375" style="39" customWidth="1"/>
    <col min="5900" max="5900" width="12.85546875" style="39" customWidth="1"/>
    <col min="5901" max="5901" width="13.85546875" style="39" customWidth="1"/>
    <col min="5902" max="6146" width="9.140625" style="39"/>
    <col min="6147" max="6147" width="5.85546875" style="39" customWidth="1"/>
    <col min="6148" max="6148" width="30" style="39" customWidth="1"/>
    <col min="6149" max="6149" width="7.85546875" style="39" customWidth="1"/>
    <col min="6150" max="6150" width="11.5703125" style="39" customWidth="1"/>
    <col min="6151" max="6151" width="11.28515625" style="39" customWidth="1"/>
    <col min="6152" max="6152" width="11.42578125" style="39" customWidth="1"/>
    <col min="6153" max="6153" width="10.85546875" style="39" customWidth="1"/>
    <col min="6154" max="6154" width="12.140625" style="39" customWidth="1"/>
    <col min="6155" max="6155" width="11.7109375" style="39" customWidth="1"/>
    <col min="6156" max="6156" width="12.85546875" style="39" customWidth="1"/>
    <col min="6157" max="6157" width="13.85546875" style="39" customWidth="1"/>
    <col min="6158" max="6402" width="9.140625" style="39"/>
    <col min="6403" max="6403" width="5.85546875" style="39" customWidth="1"/>
    <col min="6404" max="6404" width="30" style="39" customWidth="1"/>
    <col min="6405" max="6405" width="7.85546875" style="39" customWidth="1"/>
    <col min="6406" max="6406" width="11.5703125" style="39" customWidth="1"/>
    <col min="6407" max="6407" width="11.28515625" style="39" customWidth="1"/>
    <col min="6408" max="6408" width="11.42578125" style="39" customWidth="1"/>
    <col min="6409" max="6409" width="10.85546875" style="39" customWidth="1"/>
    <col min="6410" max="6410" width="12.140625" style="39" customWidth="1"/>
    <col min="6411" max="6411" width="11.7109375" style="39" customWidth="1"/>
    <col min="6412" max="6412" width="12.85546875" style="39" customWidth="1"/>
    <col min="6413" max="6413" width="13.85546875" style="39" customWidth="1"/>
    <col min="6414" max="6658" width="9.140625" style="39"/>
    <col min="6659" max="6659" width="5.85546875" style="39" customWidth="1"/>
    <col min="6660" max="6660" width="30" style="39" customWidth="1"/>
    <col min="6661" max="6661" width="7.85546875" style="39" customWidth="1"/>
    <col min="6662" max="6662" width="11.5703125" style="39" customWidth="1"/>
    <col min="6663" max="6663" width="11.28515625" style="39" customWidth="1"/>
    <col min="6664" max="6664" width="11.42578125" style="39" customWidth="1"/>
    <col min="6665" max="6665" width="10.85546875" style="39" customWidth="1"/>
    <col min="6666" max="6666" width="12.140625" style="39" customWidth="1"/>
    <col min="6667" max="6667" width="11.7109375" style="39" customWidth="1"/>
    <col min="6668" max="6668" width="12.85546875" style="39" customWidth="1"/>
    <col min="6669" max="6669" width="13.85546875" style="39" customWidth="1"/>
    <col min="6670" max="6914" width="9.140625" style="39"/>
    <col min="6915" max="6915" width="5.85546875" style="39" customWidth="1"/>
    <col min="6916" max="6916" width="30" style="39" customWidth="1"/>
    <col min="6917" max="6917" width="7.85546875" style="39" customWidth="1"/>
    <col min="6918" max="6918" width="11.5703125" style="39" customWidth="1"/>
    <col min="6919" max="6919" width="11.28515625" style="39" customWidth="1"/>
    <col min="6920" max="6920" width="11.42578125" style="39" customWidth="1"/>
    <col min="6921" max="6921" width="10.85546875" style="39" customWidth="1"/>
    <col min="6922" max="6922" width="12.140625" style="39" customWidth="1"/>
    <col min="6923" max="6923" width="11.7109375" style="39" customWidth="1"/>
    <col min="6924" max="6924" width="12.85546875" style="39" customWidth="1"/>
    <col min="6925" max="6925" width="13.85546875" style="39" customWidth="1"/>
    <col min="6926" max="7170" width="9.140625" style="39"/>
    <col min="7171" max="7171" width="5.85546875" style="39" customWidth="1"/>
    <col min="7172" max="7172" width="30" style="39" customWidth="1"/>
    <col min="7173" max="7173" width="7.85546875" style="39" customWidth="1"/>
    <col min="7174" max="7174" width="11.5703125" style="39" customWidth="1"/>
    <col min="7175" max="7175" width="11.28515625" style="39" customWidth="1"/>
    <col min="7176" max="7176" width="11.42578125" style="39" customWidth="1"/>
    <col min="7177" max="7177" width="10.85546875" style="39" customWidth="1"/>
    <col min="7178" max="7178" width="12.140625" style="39" customWidth="1"/>
    <col min="7179" max="7179" width="11.7109375" style="39" customWidth="1"/>
    <col min="7180" max="7180" width="12.85546875" style="39" customWidth="1"/>
    <col min="7181" max="7181" width="13.85546875" style="39" customWidth="1"/>
    <col min="7182" max="7426" width="9.140625" style="39"/>
    <col min="7427" max="7427" width="5.85546875" style="39" customWidth="1"/>
    <col min="7428" max="7428" width="30" style="39" customWidth="1"/>
    <col min="7429" max="7429" width="7.85546875" style="39" customWidth="1"/>
    <col min="7430" max="7430" width="11.5703125" style="39" customWidth="1"/>
    <col min="7431" max="7431" width="11.28515625" style="39" customWidth="1"/>
    <col min="7432" max="7432" width="11.42578125" style="39" customWidth="1"/>
    <col min="7433" max="7433" width="10.85546875" style="39" customWidth="1"/>
    <col min="7434" max="7434" width="12.140625" style="39" customWidth="1"/>
    <col min="7435" max="7435" width="11.7109375" style="39" customWidth="1"/>
    <col min="7436" max="7436" width="12.85546875" style="39" customWidth="1"/>
    <col min="7437" max="7437" width="13.85546875" style="39" customWidth="1"/>
    <col min="7438" max="7682" width="9.140625" style="39"/>
    <col min="7683" max="7683" width="5.85546875" style="39" customWidth="1"/>
    <col min="7684" max="7684" width="30" style="39" customWidth="1"/>
    <col min="7685" max="7685" width="7.85546875" style="39" customWidth="1"/>
    <col min="7686" max="7686" width="11.5703125" style="39" customWidth="1"/>
    <col min="7687" max="7687" width="11.28515625" style="39" customWidth="1"/>
    <col min="7688" max="7688" width="11.42578125" style="39" customWidth="1"/>
    <col min="7689" max="7689" width="10.85546875" style="39" customWidth="1"/>
    <col min="7690" max="7690" width="12.140625" style="39" customWidth="1"/>
    <col min="7691" max="7691" width="11.7109375" style="39" customWidth="1"/>
    <col min="7692" max="7692" width="12.85546875" style="39" customWidth="1"/>
    <col min="7693" max="7693" width="13.85546875" style="39" customWidth="1"/>
    <col min="7694" max="7938" width="9.140625" style="39"/>
    <col min="7939" max="7939" width="5.85546875" style="39" customWidth="1"/>
    <col min="7940" max="7940" width="30" style="39" customWidth="1"/>
    <col min="7941" max="7941" width="7.85546875" style="39" customWidth="1"/>
    <col min="7942" max="7942" width="11.5703125" style="39" customWidth="1"/>
    <col min="7943" max="7943" width="11.28515625" style="39" customWidth="1"/>
    <col min="7944" max="7944" width="11.42578125" style="39" customWidth="1"/>
    <col min="7945" max="7945" width="10.85546875" style="39" customWidth="1"/>
    <col min="7946" max="7946" width="12.140625" style="39" customWidth="1"/>
    <col min="7947" max="7947" width="11.7109375" style="39" customWidth="1"/>
    <col min="7948" max="7948" width="12.85546875" style="39" customWidth="1"/>
    <col min="7949" max="7949" width="13.85546875" style="39" customWidth="1"/>
    <col min="7950" max="8194" width="9.140625" style="39"/>
    <col min="8195" max="8195" width="5.85546875" style="39" customWidth="1"/>
    <col min="8196" max="8196" width="30" style="39" customWidth="1"/>
    <col min="8197" max="8197" width="7.85546875" style="39" customWidth="1"/>
    <col min="8198" max="8198" width="11.5703125" style="39" customWidth="1"/>
    <col min="8199" max="8199" width="11.28515625" style="39" customWidth="1"/>
    <col min="8200" max="8200" width="11.42578125" style="39" customWidth="1"/>
    <col min="8201" max="8201" width="10.85546875" style="39" customWidth="1"/>
    <col min="8202" max="8202" width="12.140625" style="39" customWidth="1"/>
    <col min="8203" max="8203" width="11.7109375" style="39" customWidth="1"/>
    <col min="8204" max="8204" width="12.85546875" style="39" customWidth="1"/>
    <col min="8205" max="8205" width="13.85546875" style="39" customWidth="1"/>
    <col min="8206" max="8450" width="9.140625" style="39"/>
    <col min="8451" max="8451" width="5.85546875" style="39" customWidth="1"/>
    <col min="8452" max="8452" width="30" style="39" customWidth="1"/>
    <col min="8453" max="8453" width="7.85546875" style="39" customWidth="1"/>
    <col min="8454" max="8454" width="11.5703125" style="39" customWidth="1"/>
    <col min="8455" max="8455" width="11.28515625" style="39" customWidth="1"/>
    <col min="8456" max="8456" width="11.42578125" style="39" customWidth="1"/>
    <col min="8457" max="8457" width="10.85546875" style="39" customWidth="1"/>
    <col min="8458" max="8458" width="12.140625" style="39" customWidth="1"/>
    <col min="8459" max="8459" width="11.7109375" style="39" customWidth="1"/>
    <col min="8460" max="8460" width="12.85546875" style="39" customWidth="1"/>
    <col min="8461" max="8461" width="13.85546875" style="39" customWidth="1"/>
    <col min="8462" max="8706" width="9.140625" style="39"/>
    <col min="8707" max="8707" width="5.85546875" style="39" customWidth="1"/>
    <col min="8708" max="8708" width="30" style="39" customWidth="1"/>
    <col min="8709" max="8709" width="7.85546875" style="39" customWidth="1"/>
    <col min="8710" max="8710" width="11.5703125" style="39" customWidth="1"/>
    <col min="8711" max="8711" width="11.28515625" style="39" customWidth="1"/>
    <col min="8712" max="8712" width="11.42578125" style="39" customWidth="1"/>
    <col min="8713" max="8713" width="10.85546875" style="39" customWidth="1"/>
    <col min="8714" max="8714" width="12.140625" style="39" customWidth="1"/>
    <col min="8715" max="8715" width="11.7109375" style="39" customWidth="1"/>
    <col min="8716" max="8716" width="12.85546875" style="39" customWidth="1"/>
    <col min="8717" max="8717" width="13.85546875" style="39" customWidth="1"/>
    <col min="8718" max="8962" width="9.140625" style="39"/>
    <col min="8963" max="8963" width="5.85546875" style="39" customWidth="1"/>
    <col min="8964" max="8964" width="30" style="39" customWidth="1"/>
    <col min="8965" max="8965" width="7.85546875" style="39" customWidth="1"/>
    <col min="8966" max="8966" width="11.5703125" style="39" customWidth="1"/>
    <col min="8967" max="8967" width="11.28515625" style="39" customWidth="1"/>
    <col min="8968" max="8968" width="11.42578125" style="39" customWidth="1"/>
    <col min="8969" max="8969" width="10.85546875" style="39" customWidth="1"/>
    <col min="8970" max="8970" width="12.140625" style="39" customWidth="1"/>
    <col min="8971" max="8971" width="11.7109375" style="39" customWidth="1"/>
    <col min="8972" max="8972" width="12.85546875" style="39" customWidth="1"/>
    <col min="8973" max="8973" width="13.85546875" style="39" customWidth="1"/>
    <col min="8974" max="9218" width="9.140625" style="39"/>
    <col min="9219" max="9219" width="5.85546875" style="39" customWidth="1"/>
    <col min="9220" max="9220" width="30" style="39" customWidth="1"/>
    <col min="9221" max="9221" width="7.85546875" style="39" customWidth="1"/>
    <col min="9222" max="9222" width="11.5703125" style="39" customWidth="1"/>
    <col min="9223" max="9223" width="11.28515625" style="39" customWidth="1"/>
    <col min="9224" max="9224" width="11.42578125" style="39" customWidth="1"/>
    <col min="9225" max="9225" width="10.85546875" style="39" customWidth="1"/>
    <col min="9226" max="9226" width="12.140625" style="39" customWidth="1"/>
    <col min="9227" max="9227" width="11.7109375" style="39" customWidth="1"/>
    <col min="9228" max="9228" width="12.85546875" style="39" customWidth="1"/>
    <col min="9229" max="9229" width="13.85546875" style="39" customWidth="1"/>
    <col min="9230" max="9474" width="9.140625" style="39"/>
    <col min="9475" max="9475" width="5.85546875" style="39" customWidth="1"/>
    <col min="9476" max="9476" width="30" style="39" customWidth="1"/>
    <col min="9477" max="9477" width="7.85546875" style="39" customWidth="1"/>
    <col min="9478" max="9478" width="11.5703125" style="39" customWidth="1"/>
    <col min="9479" max="9479" width="11.28515625" style="39" customWidth="1"/>
    <col min="9480" max="9480" width="11.42578125" style="39" customWidth="1"/>
    <col min="9481" max="9481" width="10.85546875" style="39" customWidth="1"/>
    <col min="9482" max="9482" width="12.140625" style="39" customWidth="1"/>
    <col min="9483" max="9483" width="11.7109375" style="39" customWidth="1"/>
    <col min="9484" max="9484" width="12.85546875" style="39" customWidth="1"/>
    <col min="9485" max="9485" width="13.85546875" style="39" customWidth="1"/>
    <col min="9486" max="9730" width="9.140625" style="39"/>
    <col min="9731" max="9731" width="5.85546875" style="39" customWidth="1"/>
    <col min="9732" max="9732" width="30" style="39" customWidth="1"/>
    <col min="9733" max="9733" width="7.85546875" style="39" customWidth="1"/>
    <col min="9734" max="9734" width="11.5703125" style="39" customWidth="1"/>
    <col min="9735" max="9735" width="11.28515625" style="39" customWidth="1"/>
    <col min="9736" max="9736" width="11.42578125" style="39" customWidth="1"/>
    <col min="9737" max="9737" width="10.85546875" style="39" customWidth="1"/>
    <col min="9738" max="9738" width="12.140625" style="39" customWidth="1"/>
    <col min="9739" max="9739" width="11.7109375" style="39" customWidth="1"/>
    <col min="9740" max="9740" width="12.85546875" style="39" customWidth="1"/>
    <col min="9741" max="9741" width="13.85546875" style="39" customWidth="1"/>
    <col min="9742" max="9986" width="9.140625" style="39"/>
    <col min="9987" max="9987" width="5.85546875" style="39" customWidth="1"/>
    <col min="9988" max="9988" width="30" style="39" customWidth="1"/>
    <col min="9989" max="9989" width="7.85546875" style="39" customWidth="1"/>
    <col min="9990" max="9990" width="11.5703125" style="39" customWidth="1"/>
    <col min="9991" max="9991" width="11.28515625" style="39" customWidth="1"/>
    <col min="9992" max="9992" width="11.42578125" style="39" customWidth="1"/>
    <col min="9993" max="9993" width="10.85546875" style="39" customWidth="1"/>
    <col min="9994" max="9994" width="12.140625" style="39" customWidth="1"/>
    <col min="9995" max="9995" width="11.7109375" style="39" customWidth="1"/>
    <col min="9996" max="9996" width="12.85546875" style="39" customWidth="1"/>
    <col min="9997" max="9997" width="13.85546875" style="39" customWidth="1"/>
    <col min="9998" max="10242" width="9.140625" style="39"/>
    <col min="10243" max="10243" width="5.85546875" style="39" customWidth="1"/>
    <col min="10244" max="10244" width="30" style="39" customWidth="1"/>
    <col min="10245" max="10245" width="7.85546875" style="39" customWidth="1"/>
    <col min="10246" max="10246" width="11.5703125" style="39" customWidth="1"/>
    <col min="10247" max="10247" width="11.28515625" style="39" customWidth="1"/>
    <col min="10248" max="10248" width="11.42578125" style="39" customWidth="1"/>
    <col min="10249" max="10249" width="10.85546875" style="39" customWidth="1"/>
    <col min="10250" max="10250" width="12.140625" style="39" customWidth="1"/>
    <col min="10251" max="10251" width="11.7109375" style="39" customWidth="1"/>
    <col min="10252" max="10252" width="12.85546875" style="39" customWidth="1"/>
    <col min="10253" max="10253" width="13.85546875" style="39" customWidth="1"/>
    <col min="10254" max="10498" width="9.140625" style="39"/>
    <col min="10499" max="10499" width="5.85546875" style="39" customWidth="1"/>
    <col min="10500" max="10500" width="30" style="39" customWidth="1"/>
    <col min="10501" max="10501" width="7.85546875" style="39" customWidth="1"/>
    <col min="10502" max="10502" width="11.5703125" style="39" customWidth="1"/>
    <col min="10503" max="10503" width="11.28515625" style="39" customWidth="1"/>
    <col min="10504" max="10504" width="11.42578125" style="39" customWidth="1"/>
    <col min="10505" max="10505" width="10.85546875" style="39" customWidth="1"/>
    <col min="10506" max="10506" width="12.140625" style="39" customWidth="1"/>
    <col min="10507" max="10507" width="11.7109375" style="39" customWidth="1"/>
    <col min="10508" max="10508" width="12.85546875" style="39" customWidth="1"/>
    <col min="10509" max="10509" width="13.85546875" style="39" customWidth="1"/>
    <col min="10510" max="10754" width="9.140625" style="39"/>
    <col min="10755" max="10755" width="5.85546875" style="39" customWidth="1"/>
    <col min="10756" max="10756" width="30" style="39" customWidth="1"/>
    <col min="10757" max="10757" width="7.85546875" style="39" customWidth="1"/>
    <col min="10758" max="10758" width="11.5703125" style="39" customWidth="1"/>
    <col min="10759" max="10759" width="11.28515625" style="39" customWidth="1"/>
    <col min="10760" max="10760" width="11.42578125" style="39" customWidth="1"/>
    <col min="10761" max="10761" width="10.85546875" style="39" customWidth="1"/>
    <col min="10762" max="10762" width="12.140625" style="39" customWidth="1"/>
    <col min="10763" max="10763" width="11.7109375" style="39" customWidth="1"/>
    <col min="10764" max="10764" width="12.85546875" style="39" customWidth="1"/>
    <col min="10765" max="10765" width="13.85546875" style="39" customWidth="1"/>
    <col min="10766" max="11010" width="9.140625" style="39"/>
    <col min="11011" max="11011" width="5.85546875" style="39" customWidth="1"/>
    <col min="11012" max="11012" width="30" style="39" customWidth="1"/>
    <col min="11013" max="11013" width="7.85546875" style="39" customWidth="1"/>
    <col min="11014" max="11014" width="11.5703125" style="39" customWidth="1"/>
    <col min="11015" max="11015" width="11.28515625" style="39" customWidth="1"/>
    <col min="11016" max="11016" width="11.42578125" style="39" customWidth="1"/>
    <col min="11017" max="11017" width="10.85546875" style="39" customWidth="1"/>
    <col min="11018" max="11018" width="12.140625" style="39" customWidth="1"/>
    <col min="11019" max="11019" width="11.7109375" style="39" customWidth="1"/>
    <col min="11020" max="11020" width="12.85546875" style="39" customWidth="1"/>
    <col min="11021" max="11021" width="13.85546875" style="39" customWidth="1"/>
    <col min="11022" max="11266" width="9.140625" style="39"/>
    <col min="11267" max="11267" width="5.85546875" style="39" customWidth="1"/>
    <col min="11268" max="11268" width="30" style="39" customWidth="1"/>
    <col min="11269" max="11269" width="7.85546875" style="39" customWidth="1"/>
    <col min="11270" max="11270" width="11.5703125" style="39" customWidth="1"/>
    <col min="11271" max="11271" width="11.28515625" style="39" customWidth="1"/>
    <col min="11272" max="11272" width="11.42578125" style="39" customWidth="1"/>
    <col min="11273" max="11273" width="10.85546875" style="39" customWidth="1"/>
    <col min="11274" max="11274" width="12.140625" style="39" customWidth="1"/>
    <col min="11275" max="11275" width="11.7109375" style="39" customWidth="1"/>
    <col min="11276" max="11276" width="12.85546875" style="39" customWidth="1"/>
    <col min="11277" max="11277" width="13.85546875" style="39" customWidth="1"/>
    <col min="11278" max="11522" width="9.140625" style="39"/>
    <col min="11523" max="11523" width="5.85546875" style="39" customWidth="1"/>
    <col min="11524" max="11524" width="30" style="39" customWidth="1"/>
    <col min="11525" max="11525" width="7.85546875" style="39" customWidth="1"/>
    <col min="11526" max="11526" width="11.5703125" style="39" customWidth="1"/>
    <col min="11527" max="11527" width="11.28515625" style="39" customWidth="1"/>
    <col min="11528" max="11528" width="11.42578125" style="39" customWidth="1"/>
    <col min="11529" max="11529" width="10.85546875" style="39" customWidth="1"/>
    <col min="11530" max="11530" width="12.140625" style="39" customWidth="1"/>
    <col min="11531" max="11531" width="11.7109375" style="39" customWidth="1"/>
    <col min="11532" max="11532" width="12.85546875" style="39" customWidth="1"/>
    <col min="11533" max="11533" width="13.85546875" style="39" customWidth="1"/>
    <col min="11534" max="11778" width="9.140625" style="39"/>
    <col min="11779" max="11779" width="5.85546875" style="39" customWidth="1"/>
    <col min="11780" max="11780" width="30" style="39" customWidth="1"/>
    <col min="11781" max="11781" width="7.85546875" style="39" customWidth="1"/>
    <col min="11782" max="11782" width="11.5703125" style="39" customWidth="1"/>
    <col min="11783" max="11783" width="11.28515625" style="39" customWidth="1"/>
    <col min="11784" max="11784" width="11.42578125" style="39" customWidth="1"/>
    <col min="11785" max="11785" width="10.85546875" style="39" customWidth="1"/>
    <col min="11786" max="11786" width="12.140625" style="39" customWidth="1"/>
    <col min="11787" max="11787" width="11.7109375" style="39" customWidth="1"/>
    <col min="11788" max="11788" width="12.85546875" style="39" customWidth="1"/>
    <col min="11789" max="11789" width="13.85546875" style="39" customWidth="1"/>
    <col min="11790" max="12034" width="9.140625" style="39"/>
    <col min="12035" max="12035" width="5.85546875" style="39" customWidth="1"/>
    <col min="12036" max="12036" width="30" style="39" customWidth="1"/>
    <col min="12037" max="12037" width="7.85546875" style="39" customWidth="1"/>
    <col min="12038" max="12038" width="11.5703125" style="39" customWidth="1"/>
    <col min="12039" max="12039" width="11.28515625" style="39" customWidth="1"/>
    <col min="12040" max="12040" width="11.42578125" style="39" customWidth="1"/>
    <col min="12041" max="12041" width="10.85546875" style="39" customWidth="1"/>
    <col min="12042" max="12042" width="12.140625" style="39" customWidth="1"/>
    <col min="12043" max="12043" width="11.7109375" style="39" customWidth="1"/>
    <col min="12044" max="12044" width="12.85546875" style="39" customWidth="1"/>
    <col min="12045" max="12045" width="13.85546875" style="39" customWidth="1"/>
    <col min="12046" max="12290" width="9.140625" style="39"/>
    <col min="12291" max="12291" width="5.85546875" style="39" customWidth="1"/>
    <col min="12292" max="12292" width="30" style="39" customWidth="1"/>
    <col min="12293" max="12293" width="7.85546875" style="39" customWidth="1"/>
    <col min="12294" max="12294" width="11.5703125" style="39" customWidth="1"/>
    <col min="12295" max="12295" width="11.28515625" style="39" customWidth="1"/>
    <col min="12296" max="12296" width="11.42578125" style="39" customWidth="1"/>
    <col min="12297" max="12297" width="10.85546875" style="39" customWidth="1"/>
    <col min="12298" max="12298" width="12.140625" style="39" customWidth="1"/>
    <col min="12299" max="12299" width="11.7109375" style="39" customWidth="1"/>
    <col min="12300" max="12300" width="12.85546875" style="39" customWidth="1"/>
    <col min="12301" max="12301" width="13.85546875" style="39" customWidth="1"/>
    <col min="12302" max="12546" width="9.140625" style="39"/>
    <col min="12547" max="12547" width="5.85546875" style="39" customWidth="1"/>
    <col min="12548" max="12548" width="30" style="39" customWidth="1"/>
    <col min="12549" max="12549" width="7.85546875" style="39" customWidth="1"/>
    <col min="12550" max="12550" width="11.5703125" style="39" customWidth="1"/>
    <col min="12551" max="12551" width="11.28515625" style="39" customWidth="1"/>
    <col min="12552" max="12552" width="11.42578125" style="39" customWidth="1"/>
    <col min="12553" max="12553" width="10.85546875" style="39" customWidth="1"/>
    <col min="12554" max="12554" width="12.140625" style="39" customWidth="1"/>
    <col min="12555" max="12555" width="11.7109375" style="39" customWidth="1"/>
    <col min="12556" max="12556" width="12.85546875" style="39" customWidth="1"/>
    <col min="12557" max="12557" width="13.85546875" style="39" customWidth="1"/>
    <col min="12558" max="12802" width="9.140625" style="39"/>
    <col min="12803" max="12803" width="5.85546875" style="39" customWidth="1"/>
    <col min="12804" max="12804" width="30" style="39" customWidth="1"/>
    <col min="12805" max="12805" width="7.85546875" style="39" customWidth="1"/>
    <col min="12806" max="12806" width="11.5703125" style="39" customWidth="1"/>
    <col min="12807" max="12807" width="11.28515625" style="39" customWidth="1"/>
    <col min="12808" max="12808" width="11.42578125" style="39" customWidth="1"/>
    <col min="12809" max="12809" width="10.85546875" style="39" customWidth="1"/>
    <col min="12810" max="12810" width="12.140625" style="39" customWidth="1"/>
    <col min="12811" max="12811" width="11.7109375" style="39" customWidth="1"/>
    <col min="12812" max="12812" width="12.85546875" style="39" customWidth="1"/>
    <col min="12813" max="12813" width="13.85546875" style="39" customWidth="1"/>
    <col min="12814" max="13058" width="9.140625" style="39"/>
    <col min="13059" max="13059" width="5.85546875" style="39" customWidth="1"/>
    <col min="13060" max="13060" width="30" style="39" customWidth="1"/>
    <col min="13061" max="13061" width="7.85546875" style="39" customWidth="1"/>
    <col min="13062" max="13062" width="11.5703125" style="39" customWidth="1"/>
    <col min="13063" max="13063" width="11.28515625" style="39" customWidth="1"/>
    <col min="13064" max="13064" width="11.42578125" style="39" customWidth="1"/>
    <col min="13065" max="13065" width="10.85546875" style="39" customWidth="1"/>
    <col min="13066" max="13066" width="12.140625" style="39" customWidth="1"/>
    <col min="13067" max="13067" width="11.7109375" style="39" customWidth="1"/>
    <col min="13068" max="13068" width="12.85546875" style="39" customWidth="1"/>
    <col min="13069" max="13069" width="13.85546875" style="39" customWidth="1"/>
    <col min="13070" max="13314" width="9.140625" style="39"/>
    <col min="13315" max="13315" width="5.85546875" style="39" customWidth="1"/>
    <col min="13316" max="13316" width="30" style="39" customWidth="1"/>
    <col min="13317" max="13317" width="7.85546875" style="39" customWidth="1"/>
    <col min="13318" max="13318" width="11.5703125" style="39" customWidth="1"/>
    <col min="13319" max="13319" width="11.28515625" style="39" customWidth="1"/>
    <col min="13320" max="13320" width="11.42578125" style="39" customWidth="1"/>
    <col min="13321" max="13321" width="10.85546875" style="39" customWidth="1"/>
    <col min="13322" max="13322" width="12.140625" style="39" customWidth="1"/>
    <col min="13323" max="13323" width="11.7109375" style="39" customWidth="1"/>
    <col min="13324" max="13324" width="12.85546875" style="39" customWidth="1"/>
    <col min="13325" max="13325" width="13.85546875" style="39" customWidth="1"/>
    <col min="13326" max="13570" width="9.140625" style="39"/>
    <col min="13571" max="13571" width="5.85546875" style="39" customWidth="1"/>
    <col min="13572" max="13572" width="30" style="39" customWidth="1"/>
    <col min="13573" max="13573" width="7.85546875" style="39" customWidth="1"/>
    <col min="13574" max="13574" width="11.5703125" style="39" customWidth="1"/>
    <col min="13575" max="13575" width="11.28515625" style="39" customWidth="1"/>
    <col min="13576" max="13576" width="11.42578125" style="39" customWidth="1"/>
    <col min="13577" max="13577" width="10.85546875" style="39" customWidth="1"/>
    <col min="13578" max="13578" width="12.140625" style="39" customWidth="1"/>
    <col min="13579" max="13579" width="11.7109375" style="39" customWidth="1"/>
    <col min="13580" max="13580" width="12.85546875" style="39" customWidth="1"/>
    <col min="13581" max="13581" width="13.85546875" style="39" customWidth="1"/>
    <col min="13582" max="13826" width="9.140625" style="39"/>
    <col min="13827" max="13827" width="5.85546875" style="39" customWidth="1"/>
    <col min="13828" max="13828" width="30" style="39" customWidth="1"/>
    <col min="13829" max="13829" width="7.85546875" style="39" customWidth="1"/>
    <col min="13830" max="13830" width="11.5703125" style="39" customWidth="1"/>
    <col min="13831" max="13831" width="11.28515625" style="39" customWidth="1"/>
    <col min="13832" max="13832" width="11.42578125" style="39" customWidth="1"/>
    <col min="13833" max="13833" width="10.85546875" style="39" customWidth="1"/>
    <col min="13834" max="13834" width="12.140625" style="39" customWidth="1"/>
    <col min="13835" max="13835" width="11.7109375" style="39" customWidth="1"/>
    <col min="13836" max="13836" width="12.85546875" style="39" customWidth="1"/>
    <col min="13837" max="13837" width="13.85546875" style="39" customWidth="1"/>
    <col min="13838" max="14082" width="9.140625" style="39"/>
    <col min="14083" max="14083" width="5.85546875" style="39" customWidth="1"/>
    <col min="14084" max="14084" width="30" style="39" customWidth="1"/>
    <col min="14085" max="14085" width="7.85546875" style="39" customWidth="1"/>
    <col min="14086" max="14086" width="11.5703125" style="39" customWidth="1"/>
    <col min="14087" max="14087" width="11.28515625" style="39" customWidth="1"/>
    <col min="14088" max="14088" width="11.42578125" style="39" customWidth="1"/>
    <col min="14089" max="14089" width="10.85546875" style="39" customWidth="1"/>
    <col min="14090" max="14090" width="12.140625" style="39" customWidth="1"/>
    <col min="14091" max="14091" width="11.7109375" style="39" customWidth="1"/>
    <col min="14092" max="14092" width="12.85546875" style="39" customWidth="1"/>
    <col min="14093" max="14093" width="13.85546875" style="39" customWidth="1"/>
    <col min="14094" max="14338" width="9.140625" style="39"/>
    <col min="14339" max="14339" width="5.85546875" style="39" customWidth="1"/>
    <col min="14340" max="14340" width="30" style="39" customWidth="1"/>
    <col min="14341" max="14341" width="7.85546875" style="39" customWidth="1"/>
    <col min="14342" max="14342" width="11.5703125" style="39" customWidth="1"/>
    <col min="14343" max="14343" width="11.28515625" style="39" customWidth="1"/>
    <col min="14344" max="14344" width="11.42578125" style="39" customWidth="1"/>
    <col min="14345" max="14345" width="10.85546875" style="39" customWidth="1"/>
    <col min="14346" max="14346" width="12.140625" style="39" customWidth="1"/>
    <col min="14347" max="14347" width="11.7109375" style="39" customWidth="1"/>
    <col min="14348" max="14348" width="12.85546875" style="39" customWidth="1"/>
    <col min="14349" max="14349" width="13.85546875" style="39" customWidth="1"/>
    <col min="14350" max="14594" width="9.140625" style="39"/>
    <col min="14595" max="14595" width="5.85546875" style="39" customWidth="1"/>
    <col min="14596" max="14596" width="30" style="39" customWidth="1"/>
    <col min="14597" max="14597" width="7.85546875" style="39" customWidth="1"/>
    <col min="14598" max="14598" width="11.5703125" style="39" customWidth="1"/>
    <col min="14599" max="14599" width="11.28515625" style="39" customWidth="1"/>
    <col min="14600" max="14600" width="11.42578125" style="39" customWidth="1"/>
    <col min="14601" max="14601" width="10.85546875" style="39" customWidth="1"/>
    <col min="14602" max="14602" width="12.140625" style="39" customWidth="1"/>
    <col min="14603" max="14603" width="11.7109375" style="39" customWidth="1"/>
    <col min="14604" max="14604" width="12.85546875" style="39" customWidth="1"/>
    <col min="14605" max="14605" width="13.85546875" style="39" customWidth="1"/>
    <col min="14606" max="14850" width="9.140625" style="39"/>
    <col min="14851" max="14851" width="5.85546875" style="39" customWidth="1"/>
    <col min="14852" max="14852" width="30" style="39" customWidth="1"/>
    <col min="14853" max="14853" width="7.85546875" style="39" customWidth="1"/>
    <col min="14854" max="14854" width="11.5703125" style="39" customWidth="1"/>
    <col min="14855" max="14855" width="11.28515625" style="39" customWidth="1"/>
    <col min="14856" max="14856" width="11.42578125" style="39" customWidth="1"/>
    <col min="14857" max="14857" width="10.85546875" style="39" customWidth="1"/>
    <col min="14858" max="14858" width="12.140625" style="39" customWidth="1"/>
    <col min="14859" max="14859" width="11.7109375" style="39" customWidth="1"/>
    <col min="14860" max="14860" width="12.85546875" style="39" customWidth="1"/>
    <col min="14861" max="14861" width="13.85546875" style="39" customWidth="1"/>
    <col min="14862" max="15106" width="9.140625" style="39"/>
    <col min="15107" max="15107" width="5.85546875" style="39" customWidth="1"/>
    <col min="15108" max="15108" width="30" style="39" customWidth="1"/>
    <col min="15109" max="15109" width="7.85546875" style="39" customWidth="1"/>
    <col min="15110" max="15110" width="11.5703125" style="39" customWidth="1"/>
    <col min="15111" max="15111" width="11.28515625" style="39" customWidth="1"/>
    <col min="15112" max="15112" width="11.42578125" style="39" customWidth="1"/>
    <col min="15113" max="15113" width="10.85546875" style="39" customWidth="1"/>
    <col min="15114" max="15114" width="12.140625" style="39" customWidth="1"/>
    <col min="15115" max="15115" width="11.7109375" style="39" customWidth="1"/>
    <col min="15116" max="15116" width="12.85546875" style="39" customWidth="1"/>
    <col min="15117" max="15117" width="13.85546875" style="39" customWidth="1"/>
    <col min="15118" max="15362" width="9.140625" style="39"/>
    <col min="15363" max="15363" width="5.85546875" style="39" customWidth="1"/>
    <col min="15364" max="15364" width="30" style="39" customWidth="1"/>
    <col min="15365" max="15365" width="7.85546875" style="39" customWidth="1"/>
    <col min="15366" max="15366" width="11.5703125" style="39" customWidth="1"/>
    <col min="15367" max="15367" width="11.28515625" style="39" customWidth="1"/>
    <col min="15368" max="15368" width="11.42578125" style="39" customWidth="1"/>
    <col min="15369" max="15369" width="10.85546875" style="39" customWidth="1"/>
    <col min="15370" max="15370" width="12.140625" style="39" customWidth="1"/>
    <col min="15371" max="15371" width="11.7109375" style="39" customWidth="1"/>
    <col min="15372" max="15372" width="12.85546875" style="39" customWidth="1"/>
    <col min="15373" max="15373" width="13.85546875" style="39" customWidth="1"/>
    <col min="15374" max="15618" width="9.140625" style="39"/>
    <col min="15619" max="15619" width="5.85546875" style="39" customWidth="1"/>
    <col min="15620" max="15620" width="30" style="39" customWidth="1"/>
    <col min="15621" max="15621" width="7.85546875" style="39" customWidth="1"/>
    <col min="15622" max="15622" width="11.5703125" style="39" customWidth="1"/>
    <col min="15623" max="15623" width="11.28515625" style="39" customWidth="1"/>
    <col min="15624" max="15624" width="11.42578125" style="39" customWidth="1"/>
    <col min="15625" max="15625" width="10.85546875" style="39" customWidth="1"/>
    <col min="15626" max="15626" width="12.140625" style="39" customWidth="1"/>
    <col min="15627" max="15627" width="11.7109375" style="39" customWidth="1"/>
    <col min="15628" max="15628" width="12.85546875" style="39" customWidth="1"/>
    <col min="15629" max="15629" width="13.85546875" style="39" customWidth="1"/>
    <col min="15630" max="15874" width="9.140625" style="39"/>
    <col min="15875" max="15875" width="5.85546875" style="39" customWidth="1"/>
    <col min="15876" max="15876" width="30" style="39" customWidth="1"/>
    <col min="15877" max="15877" width="7.85546875" style="39" customWidth="1"/>
    <col min="15878" max="15878" width="11.5703125" style="39" customWidth="1"/>
    <col min="15879" max="15879" width="11.28515625" style="39" customWidth="1"/>
    <col min="15880" max="15880" width="11.42578125" style="39" customWidth="1"/>
    <col min="15881" max="15881" width="10.85546875" style="39" customWidth="1"/>
    <col min="15882" max="15882" width="12.140625" style="39" customWidth="1"/>
    <col min="15883" max="15883" width="11.7109375" style="39" customWidth="1"/>
    <col min="15884" max="15884" width="12.85546875" style="39" customWidth="1"/>
    <col min="15885" max="15885" width="13.85546875" style="39" customWidth="1"/>
    <col min="15886" max="16130" width="9.140625" style="39"/>
    <col min="16131" max="16131" width="5.85546875" style="39" customWidth="1"/>
    <col min="16132" max="16132" width="30" style="39" customWidth="1"/>
    <col min="16133" max="16133" width="7.85546875" style="39" customWidth="1"/>
    <col min="16134" max="16134" width="11.5703125" style="39" customWidth="1"/>
    <col min="16135" max="16135" width="11.28515625" style="39" customWidth="1"/>
    <col min="16136" max="16136" width="11.42578125" style="39" customWidth="1"/>
    <col min="16137" max="16137" width="10.85546875" style="39" customWidth="1"/>
    <col min="16138" max="16138" width="12.140625" style="39" customWidth="1"/>
    <col min="16139" max="16139" width="11.7109375" style="39" customWidth="1"/>
    <col min="16140" max="16140" width="12.85546875" style="39" customWidth="1"/>
    <col min="16141" max="16141" width="13.85546875" style="39" customWidth="1"/>
    <col min="16142" max="16384" width="9.140625" style="39"/>
  </cols>
  <sheetData>
    <row r="1" spans="1:13" s="38" customFormat="1" ht="23.25" customHeight="1">
      <c r="A1" s="366" t="s">
        <v>155</v>
      </c>
      <c r="B1" s="366"/>
      <c r="C1" s="366"/>
      <c r="D1" s="366"/>
      <c r="E1" s="366"/>
      <c r="F1" s="366"/>
      <c r="G1" s="366"/>
      <c r="H1" s="366"/>
      <c r="I1" s="366"/>
      <c r="J1" s="366"/>
      <c r="K1" s="366"/>
      <c r="L1" s="366"/>
      <c r="M1" s="366"/>
    </row>
    <row r="2" spans="1:13" s="38" customFormat="1" ht="120.75" customHeight="1">
      <c r="A2" s="367" t="s">
        <v>407</v>
      </c>
      <c r="B2" s="367"/>
      <c r="C2" s="368"/>
      <c r="D2" s="368"/>
      <c r="E2" s="368"/>
      <c r="F2" s="368"/>
      <c r="G2" s="368"/>
      <c r="H2" s="368"/>
      <c r="I2" s="368"/>
      <c r="J2" s="368"/>
      <c r="K2" s="368"/>
      <c r="L2" s="368"/>
      <c r="M2" s="368"/>
    </row>
    <row r="3" spans="1:13" ht="23.25" customHeight="1">
      <c r="A3" s="39"/>
      <c r="B3" s="39"/>
      <c r="K3" s="42">
        <v>26</v>
      </c>
      <c r="L3" s="42">
        <v>1300000</v>
      </c>
    </row>
    <row r="4" spans="1:13" s="43" customFormat="1" ht="30.75" customHeight="1">
      <c r="A4" s="369" t="s">
        <v>156</v>
      </c>
      <c r="B4" s="372" t="s">
        <v>61</v>
      </c>
      <c r="C4" s="369" t="s">
        <v>157</v>
      </c>
      <c r="D4" s="370" t="s">
        <v>158</v>
      </c>
      <c r="E4" s="371" t="s">
        <v>159</v>
      </c>
      <c r="F4" s="371" t="s">
        <v>160</v>
      </c>
      <c r="G4" s="371" t="s">
        <v>161</v>
      </c>
      <c r="H4" s="371" t="s">
        <v>162</v>
      </c>
      <c r="I4" s="371" t="s">
        <v>163</v>
      </c>
      <c r="J4" s="374" t="s">
        <v>471</v>
      </c>
      <c r="K4" s="365" t="s">
        <v>164</v>
      </c>
      <c r="L4" s="365" t="s">
        <v>165</v>
      </c>
      <c r="M4" s="365" t="s">
        <v>166</v>
      </c>
    </row>
    <row r="5" spans="1:13" s="43" customFormat="1" ht="17.25" customHeight="1">
      <c r="A5" s="369"/>
      <c r="B5" s="373"/>
      <c r="C5" s="369"/>
      <c r="D5" s="370"/>
      <c r="E5" s="371"/>
      <c r="F5" s="371"/>
      <c r="G5" s="371"/>
      <c r="H5" s="371"/>
      <c r="I5" s="371"/>
      <c r="J5" s="375"/>
      <c r="K5" s="365"/>
      <c r="L5" s="365"/>
      <c r="M5" s="365"/>
    </row>
    <row r="6" spans="1:13" s="40" customFormat="1" ht="29.25" customHeight="1">
      <c r="A6" s="44" t="s">
        <v>167</v>
      </c>
      <c r="B6" s="44"/>
      <c r="C6" s="44" t="s">
        <v>168</v>
      </c>
      <c r="D6" s="44" t="s">
        <v>169</v>
      </c>
      <c r="E6" s="44" t="s">
        <v>170</v>
      </c>
      <c r="F6" s="44" t="s">
        <v>171</v>
      </c>
      <c r="G6" s="44" t="s">
        <v>172</v>
      </c>
      <c r="H6" s="44" t="s">
        <v>173</v>
      </c>
      <c r="I6" s="44" t="s">
        <v>174</v>
      </c>
      <c r="J6" s="359" t="s">
        <v>472</v>
      </c>
      <c r="K6" s="360" t="s">
        <v>473</v>
      </c>
      <c r="L6" s="360" t="s">
        <v>474</v>
      </c>
      <c r="M6" s="360" t="s">
        <v>475</v>
      </c>
    </row>
    <row r="7" spans="1:13" s="50" customFormat="1" ht="21.75" customHeight="1">
      <c r="A7" s="45" t="s">
        <v>175</v>
      </c>
      <c r="B7" s="45"/>
      <c r="C7" s="46" t="s">
        <v>176</v>
      </c>
      <c r="D7" s="47"/>
      <c r="E7" s="48"/>
      <c r="F7" s="49">
        <v>0.11</v>
      </c>
      <c r="G7" s="49">
        <v>0.4</v>
      </c>
      <c r="H7" s="49">
        <v>0.1</v>
      </c>
      <c r="I7" s="48"/>
      <c r="J7" s="361"/>
      <c r="K7" s="362">
        <v>0.23499999999999999</v>
      </c>
      <c r="L7" s="361"/>
      <c r="M7" s="361"/>
    </row>
    <row r="8" spans="1:13" s="50" customFormat="1" ht="36.75" customHeight="1">
      <c r="A8" s="47">
        <v>1</v>
      </c>
      <c r="B8" s="306" t="s">
        <v>408</v>
      </c>
      <c r="C8" s="306" t="s">
        <v>409</v>
      </c>
      <c r="D8" s="51">
        <v>2.41</v>
      </c>
      <c r="E8" s="52">
        <f t="shared" ref="E8:E11" si="0">$L$3*D8</f>
        <v>3133000</v>
      </c>
      <c r="F8" s="48">
        <f>E8*$F$7</f>
        <v>344630</v>
      </c>
      <c r="G8" s="48">
        <f t="shared" ref="G8:G11" si="1">$L$3*$G$7</f>
        <v>520000</v>
      </c>
      <c r="H8" s="48">
        <f t="shared" ref="H8:H11" si="2">$L$3*$H$7</f>
        <v>130000</v>
      </c>
      <c r="I8" s="48">
        <f t="shared" ref="I8:I11" si="3">$L$3*0.2/5</f>
        <v>52000</v>
      </c>
      <c r="J8" s="48">
        <f>SUM(E8:I8)</f>
        <v>4179630</v>
      </c>
      <c r="K8" s="52">
        <f>E8*$K$7</f>
        <v>736255</v>
      </c>
      <c r="L8" s="52">
        <f>K8+J8</f>
        <v>4915885</v>
      </c>
      <c r="M8" s="53">
        <f t="shared" ref="M8:M11" si="4">L8/$K$3</f>
        <v>189072.5</v>
      </c>
    </row>
    <row r="9" spans="1:13" s="50" customFormat="1" ht="36" customHeight="1">
      <c r="A9" s="47">
        <v>2</v>
      </c>
      <c r="B9" s="306" t="s">
        <v>410</v>
      </c>
      <c r="C9" s="306" t="s">
        <v>411</v>
      </c>
      <c r="D9" s="51">
        <v>2.72</v>
      </c>
      <c r="E9" s="52">
        <f t="shared" si="0"/>
        <v>3536000.0000000005</v>
      </c>
      <c r="F9" s="48">
        <f t="shared" ref="F9:F16" si="5">E9*$F$7</f>
        <v>388960.00000000006</v>
      </c>
      <c r="G9" s="48">
        <f t="shared" si="1"/>
        <v>520000</v>
      </c>
      <c r="H9" s="48">
        <f t="shared" si="2"/>
        <v>130000</v>
      </c>
      <c r="I9" s="48">
        <f t="shared" si="3"/>
        <v>52000</v>
      </c>
      <c r="J9" s="48">
        <f t="shared" ref="J9:J16" si="6">SUM(E9:I9)</f>
        <v>4626960</v>
      </c>
      <c r="K9" s="52">
        <f t="shared" ref="K9:K16" si="7">E9*$K$7</f>
        <v>830960.00000000012</v>
      </c>
      <c r="L9" s="52">
        <f t="shared" ref="L9:L16" si="8">K9+J9</f>
        <v>5457920</v>
      </c>
      <c r="M9" s="53">
        <f t="shared" si="4"/>
        <v>209920</v>
      </c>
    </row>
    <row r="10" spans="1:13" s="50" customFormat="1" ht="30.75" customHeight="1">
      <c r="A10" s="47">
        <v>3</v>
      </c>
      <c r="B10" s="306" t="s">
        <v>412</v>
      </c>
      <c r="C10" s="306" t="s">
        <v>413</v>
      </c>
      <c r="D10" s="51">
        <v>2.34</v>
      </c>
      <c r="E10" s="52">
        <f t="shared" si="0"/>
        <v>3042000</v>
      </c>
      <c r="F10" s="48">
        <f t="shared" si="5"/>
        <v>334620</v>
      </c>
      <c r="G10" s="48">
        <f t="shared" si="1"/>
        <v>520000</v>
      </c>
      <c r="H10" s="48">
        <f t="shared" si="2"/>
        <v>130000</v>
      </c>
      <c r="I10" s="48">
        <f t="shared" si="3"/>
        <v>52000</v>
      </c>
      <c r="J10" s="48">
        <f t="shared" si="6"/>
        <v>4078620</v>
      </c>
      <c r="K10" s="52">
        <f t="shared" si="7"/>
        <v>714870</v>
      </c>
      <c r="L10" s="52">
        <f t="shared" si="8"/>
        <v>4793490</v>
      </c>
      <c r="M10" s="53">
        <f t="shared" si="4"/>
        <v>184365</v>
      </c>
    </row>
    <row r="11" spans="1:13" s="50" customFormat="1" ht="35.25" customHeight="1">
      <c r="A11" s="47">
        <v>4</v>
      </c>
      <c r="B11" s="306" t="s">
        <v>414</v>
      </c>
      <c r="C11" s="306" t="s">
        <v>415</v>
      </c>
      <c r="D11" s="51">
        <v>2.67</v>
      </c>
      <c r="E11" s="52">
        <f t="shared" si="0"/>
        <v>3471000</v>
      </c>
      <c r="F11" s="48">
        <f t="shared" si="5"/>
        <v>381810</v>
      </c>
      <c r="G11" s="48">
        <f t="shared" si="1"/>
        <v>520000</v>
      </c>
      <c r="H11" s="48">
        <f t="shared" si="2"/>
        <v>130000</v>
      </c>
      <c r="I11" s="48">
        <f t="shared" si="3"/>
        <v>52000</v>
      </c>
      <c r="J11" s="48">
        <f t="shared" si="6"/>
        <v>4554810</v>
      </c>
      <c r="K11" s="52">
        <f t="shared" si="7"/>
        <v>815685</v>
      </c>
      <c r="L11" s="52">
        <f t="shared" si="8"/>
        <v>5370495</v>
      </c>
      <c r="M11" s="53">
        <f t="shared" si="4"/>
        <v>206557.5</v>
      </c>
    </row>
    <row r="12" spans="1:13" s="50" customFormat="1" ht="21.75" customHeight="1">
      <c r="A12" s="45" t="s">
        <v>177</v>
      </c>
      <c r="B12" s="45"/>
      <c r="C12" s="46" t="s">
        <v>178</v>
      </c>
      <c r="D12" s="47"/>
      <c r="E12" s="48"/>
      <c r="F12" s="48"/>
      <c r="G12" s="49"/>
      <c r="H12" s="49"/>
      <c r="I12" s="48"/>
      <c r="J12" s="48"/>
      <c r="K12" s="52"/>
      <c r="L12" s="52"/>
      <c r="M12" s="48"/>
    </row>
    <row r="13" spans="1:13" s="50" customFormat="1" ht="30.75" customHeight="1">
      <c r="A13" s="47">
        <v>1</v>
      </c>
      <c r="B13" s="306" t="s">
        <v>408</v>
      </c>
      <c r="C13" s="306" t="s">
        <v>409</v>
      </c>
      <c r="D13" s="47">
        <v>2.41</v>
      </c>
      <c r="E13" s="52">
        <f t="shared" ref="E13:E16" si="9">$L$3*D13</f>
        <v>3133000</v>
      </c>
      <c r="F13" s="48">
        <f t="shared" si="5"/>
        <v>344630</v>
      </c>
      <c r="G13" s="48">
        <f>0*$L$3</f>
        <v>0</v>
      </c>
      <c r="H13" s="48">
        <f t="shared" ref="H13:H16" si="10">$L$3*$H$7</f>
        <v>130000</v>
      </c>
      <c r="I13" s="48">
        <f t="shared" ref="I13:I16" si="11">($L$3*0.2)/5</f>
        <v>52000</v>
      </c>
      <c r="J13" s="48">
        <f t="shared" si="6"/>
        <v>3659630</v>
      </c>
      <c r="K13" s="52">
        <f t="shared" si="7"/>
        <v>736255</v>
      </c>
      <c r="L13" s="52">
        <f t="shared" si="8"/>
        <v>4395885</v>
      </c>
      <c r="M13" s="53">
        <f t="shared" ref="M13:M16" si="12">L13/$K$3</f>
        <v>169072.5</v>
      </c>
    </row>
    <row r="14" spans="1:13" s="50" customFormat="1" ht="30.75" customHeight="1">
      <c r="A14" s="47">
        <v>2</v>
      </c>
      <c r="B14" s="306" t="s">
        <v>412</v>
      </c>
      <c r="C14" s="306" t="s">
        <v>413</v>
      </c>
      <c r="D14" s="47">
        <v>2.34</v>
      </c>
      <c r="E14" s="52">
        <f t="shared" si="9"/>
        <v>3042000</v>
      </c>
      <c r="F14" s="48">
        <f t="shared" si="5"/>
        <v>334620</v>
      </c>
      <c r="G14" s="48">
        <v>0</v>
      </c>
      <c r="H14" s="48">
        <f t="shared" si="10"/>
        <v>130000</v>
      </c>
      <c r="I14" s="48">
        <f t="shared" si="11"/>
        <v>52000</v>
      </c>
      <c r="J14" s="48">
        <f t="shared" si="6"/>
        <v>3558620</v>
      </c>
      <c r="K14" s="52">
        <f t="shared" si="7"/>
        <v>714870</v>
      </c>
      <c r="L14" s="52">
        <f t="shared" si="8"/>
        <v>4273490</v>
      </c>
      <c r="M14" s="53">
        <f t="shared" si="12"/>
        <v>164365</v>
      </c>
    </row>
    <row r="15" spans="1:13" s="50" customFormat="1" ht="30.75" customHeight="1">
      <c r="A15" s="47">
        <v>3</v>
      </c>
      <c r="B15" s="306" t="s">
        <v>414</v>
      </c>
      <c r="C15" s="306" t="s">
        <v>415</v>
      </c>
      <c r="D15" s="51">
        <v>2.67</v>
      </c>
      <c r="E15" s="52">
        <f t="shared" si="9"/>
        <v>3471000</v>
      </c>
      <c r="F15" s="48">
        <f t="shared" si="5"/>
        <v>381810</v>
      </c>
      <c r="G15" s="48">
        <f>0*$L$3</f>
        <v>0</v>
      </c>
      <c r="H15" s="48">
        <f t="shared" si="10"/>
        <v>130000</v>
      </c>
      <c r="I15" s="48">
        <f t="shared" si="11"/>
        <v>52000</v>
      </c>
      <c r="J15" s="48">
        <f t="shared" si="6"/>
        <v>4034810</v>
      </c>
      <c r="K15" s="52">
        <f t="shared" si="7"/>
        <v>815685</v>
      </c>
      <c r="L15" s="52">
        <f t="shared" si="8"/>
        <v>4850495</v>
      </c>
      <c r="M15" s="53">
        <f t="shared" si="12"/>
        <v>186557.5</v>
      </c>
    </row>
    <row r="16" spans="1:13" s="50" customFormat="1" ht="30.75" customHeight="1">
      <c r="A16" s="47">
        <v>4</v>
      </c>
      <c r="B16" s="306" t="s">
        <v>416</v>
      </c>
      <c r="C16" s="306" t="s">
        <v>417</v>
      </c>
      <c r="D16" s="51">
        <v>3</v>
      </c>
      <c r="E16" s="52">
        <f t="shared" si="9"/>
        <v>3900000</v>
      </c>
      <c r="F16" s="48">
        <f t="shared" si="5"/>
        <v>429000</v>
      </c>
      <c r="G16" s="48">
        <f>0*$L$3</f>
        <v>0</v>
      </c>
      <c r="H16" s="48">
        <f t="shared" si="10"/>
        <v>130000</v>
      </c>
      <c r="I16" s="48">
        <f t="shared" si="11"/>
        <v>52000</v>
      </c>
      <c r="J16" s="48">
        <f t="shared" si="6"/>
        <v>4511000</v>
      </c>
      <c r="K16" s="52">
        <f t="shared" si="7"/>
        <v>916500</v>
      </c>
      <c r="L16" s="52">
        <f t="shared" si="8"/>
        <v>5427500</v>
      </c>
      <c r="M16" s="53">
        <f t="shared" si="12"/>
        <v>208750</v>
      </c>
    </row>
    <row r="19" spans="5:5">
      <c r="E19" s="54"/>
    </row>
  </sheetData>
  <mergeCells count="15">
    <mergeCell ref="K4:K5"/>
    <mergeCell ref="L4:L5"/>
    <mergeCell ref="M4:M5"/>
    <mergeCell ref="A1:M1"/>
    <mergeCell ref="A2:M2"/>
    <mergeCell ref="A4:A5"/>
    <mergeCell ref="C4:C5"/>
    <mergeCell ref="D4:D5"/>
    <mergeCell ref="E4:E5"/>
    <mergeCell ref="F4:F5"/>
    <mergeCell ref="G4:G5"/>
    <mergeCell ref="H4:H5"/>
    <mergeCell ref="I4:I5"/>
    <mergeCell ref="B4:B5"/>
    <mergeCell ref="J4:J5"/>
  </mergeCells>
  <printOptions horizontalCentered="1"/>
  <pageMargins left="1.1599999999999999" right="0.25" top="0.59" bottom="0.47" header="0.5" footer="0.25"/>
  <pageSetup paperSize="9" scale="95" orientation="landscape" r:id="rId1"/>
  <headerFooter alignWithMargins="0">
    <oddFooter>&amp;C&amp;P - Đơn giá tiền lương</oddFooter>
  </headerFooter>
</worksheet>
</file>

<file path=xl/worksheets/sheet3.xml><?xml version="1.0" encoding="utf-8"?>
<worksheet xmlns="http://schemas.openxmlformats.org/spreadsheetml/2006/main" xmlns:r="http://schemas.openxmlformats.org/officeDocument/2006/relationships">
  <dimension ref="A1:G53"/>
  <sheetViews>
    <sheetView tabSelected="1" topLeftCell="A45" workbookViewId="0">
      <selection activeCell="J51" sqref="J51"/>
    </sheetView>
  </sheetViews>
  <sheetFormatPr defaultRowHeight="24" customHeight="1"/>
  <cols>
    <col min="1" max="1" width="9.140625" style="302"/>
    <col min="2" max="2" width="9" style="303" customWidth="1"/>
    <col min="3" max="3" width="38.140625" style="293" customWidth="1"/>
    <col min="4" max="4" width="12.5703125" style="293" customWidth="1"/>
    <col min="5" max="5" width="9.140625" style="293"/>
    <col min="6" max="6" width="12.7109375" style="293" customWidth="1"/>
    <col min="7" max="7" width="11.5703125" style="293" customWidth="1"/>
    <col min="8" max="16384" width="9.140625" style="57"/>
  </cols>
  <sheetData>
    <row r="1" spans="1:7" ht="39.75" customHeight="1">
      <c r="A1" s="379" t="s">
        <v>180</v>
      </c>
      <c r="B1" s="379"/>
      <c r="C1" s="379"/>
      <c r="D1" s="379"/>
      <c r="E1" s="379"/>
      <c r="F1" s="379"/>
      <c r="G1" s="379"/>
    </row>
    <row r="2" spans="1:7" ht="24" customHeight="1">
      <c r="A2" s="293"/>
      <c r="B2" s="294"/>
      <c r="F2" s="380" t="s">
        <v>179</v>
      </c>
      <c r="G2" s="380"/>
    </row>
    <row r="3" spans="1:7" ht="24" customHeight="1">
      <c r="A3" s="383" t="s">
        <v>0</v>
      </c>
      <c r="B3" s="385" t="s">
        <v>1</v>
      </c>
      <c r="C3" s="386" t="s">
        <v>2</v>
      </c>
      <c r="D3" s="387" t="s">
        <v>3</v>
      </c>
      <c r="E3" s="387" t="s">
        <v>4</v>
      </c>
      <c r="F3" s="381" t="s">
        <v>181</v>
      </c>
      <c r="G3" s="382" t="s">
        <v>182</v>
      </c>
    </row>
    <row r="4" spans="1:7" ht="21" customHeight="1">
      <c r="A4" s="384"/>
      <c r="B4" s="385"/>
      <c r="C4" s="386"/>
      <c r="D4" s="387"/>
      <c r="E4" s="387"/>
      <c r="F4" s="381"/>
      <c r="G4" s="382"/>
    </row>
    <row r="5" spans="1:7" s="158" customFormat="1" ht="21.75" customHeight="1">
      <c r="A5" s="24" t="s">
        <v>207</v>
      </c>
      <c r="B5" s="388" t="s">
        <v>367</v>
      </c>
      <c r="C5" s="388"/>
      <c r="D5" s="388"/>
      <c r="E5" s="388"/>
      <c r="F5" s="388"/>
      <c r="G5" s="388"/>
    </row>
    <row r="6" spans="1:7" s="158" customFormat="1" ht="21" customHeight="1">
      <c r="A6" s="22" t="s">
        <v>288</v>
      </c>
      <c r="B6" s="376" t="s">
        <v>370</v>
      </c>
      <c r="C6" s="377"/>
      <c r="D6" s="377"/>
      <c r="E6" s="377"/>
      <c r="F6" s="228">
        <v>1.2</v>
      </c>
      <c r="G6" s="29"/>
    </row>
    <row r="7" spans="1:7" ht="33.75" customHeight="1">
      <c r="A7" s="295">
        <v>1</v>
      </c>
      <c r="B7" s="92" t="s">
        <v>299</v>
      </c>
      <c r="C7" s="92" t="s">
        <v>216</v>
      </c>
      <c r="D7" s="306" t="s">
        <v>412</v>
      </c>
      <c r="E7" s="96">
        <v>0.4</v>
      </c>
      <c r="F7" s="287">
        <f>VLOOKUP(D7,DGl!$B$8:$M$199,12,0)</f>
        <v>184365</v>
      </c>
      <c r="G7" s="222">
        <f>E7*F7*$F$6</f>
        <v>88495.2</v>
      </c>
    </row>
    <row r="8" spans="1:7" ht="33.75" customHeight="1">
      <c r="A8" s="295">
        <v>2</v>
      </c>
      <c r="B8" s="296" t="s">
        <v>300</v>
      </c>
      <c r="C8" s="137" t="s">
        <v>386</v>
      </c>
      <c r="D8" s="306" t="s">
        <v>412</v>
      </c>
      <c r="E8" s="96">
        <v>0.4</v>
      </c>
      <c r="F8" s="287">
        <f>VLOOKUP(D8,DGl!$B$8:$M$199,12,0)</f>
        <v>184365</v>
      </c>
      <c r="G8" s="222">
        <f t="shared" ref="G8:G29" si="0">E8*F8*$F$6</f>
        <v>88495.2</v>
      </c>
    </row>
    <row r="9" spans="1:7" ht="33.75" customHeight="1">
      <c r="A9" s="295">
        <v>3</v>
      </c>
      <c r="B9" s="297" t="s">
        <v>301</v>
      </c>
      <c r="C9" s="248" t="s">
        <v>12</v>
      </c>
      <c r="D9" s="306" t="s">
        <v>414</v>
      </c>
      <c r="E9" s="96">
        <v>0.35</v>
      </c>
      <c r="F9" s="287">
        <f>VLOOKUP(D9,DGl!$B$8:$M$199,12,0)</f>
        <v>206557.5</v>
      </c>
      <c r="G9" s="222">
        <f t="shared" si="0"/>
        <v>86754.15</v>
      </c>
    </row>
    <row r="10" spans="1:7" ht="33.75" customHeight="1">
      <c r="A10" s="295">
        <v>4</v>
      </c>
      <c r="B10" s="5" t="s">
        <v>302</v>
      </c>
      <c r="C10" s="248" t="s">
        <v>13</v>
      </c>
      <c r="D10" s="306" t="s">
        <v>414</v>
      </c>
      <c r="E10" s="96">
        <v>0.35</v>
      </c>
      <c r="F10" s="287">
        <f>VLOOKUP(D10,DGl!$B$8:$M$199,12,0)</f>
        <v>206557.5</v>
      </c>
      <c r="G10" s="222">
        <f t="shared" si="0"/>
        <v>86754.15</v>
      </c>
    </row>
    <row r="11" spans="1:7" ht="33.75" customHeight="1">
      <c r="A11" s="295">
        <v>5</v>
      </c>
      <c r="B11" s="296" t="s">
        <v>303</v>
      </c>
      <c r="C11" s="106" t="s">
        <v>218</v>
      </c>
      <c r="D11" s="306" t="s">
        <v>414</v>
      </c>
      <c r="E11" s="96">
        <v>0.35</v>
      </c>
      <c r="F11" s="287">
        <f>VLOOKUP(D11,DGl!$B$8:$M$199,12,0)</f>
        <v>206557.5</v>
      </c>
      <c r="G11" s="222">
        <f t="shared" si="0"/>
        <v>86754.15</v>
      </c>
    </row>
    <row r="12" spans="1:7" ht="33.75" customHeight="1">
      <c r="A12" s="295">
        <v>6</v>
      </c>
      <c r="B12" s="296" t="s">
        <v>304</v>
      </c>
      <c r="C12" s="106" t="s">
        <v>219</v>
      </c>
      <c r="D12" s="306" t="s">
        <v>414</v>
      </c>
      <c r="E12" s="96">
        <v>0.35</v>
      </c>
      <c r="F12" s="287">
        <f>VLOOKUP(D12,DGl!$B$8:$M$199,12,0)</f>
        <v>206557.5</v>
      </c>
      <c r="G12" s="222">
        <f t="shared" si="0"/>
        <v>86754.15</v>
      </c>
    </row>
    <row r="13" spans="1:7" ht="33.75" customHeight="1">
      <c r="A13" s="295">
        <v>7</v>
      </c>
      <c r="B13" s="296" t="s">
        <v>305</v>
      </c>
      <c r="C13" s="248" t="s">
        <v>213</v>
      </c>
      <c r="D13" s="306" t="s">
        <v>414</v>
      </c>
      <c r="E13" s="96">
        <v>0.35</v>
      </c>
      <c r="F13" s="287">
        <f>VLOOKUP(D13,DGl!$B$8:$M$199,12,0)</f>
        <v>206557.5</v>
      </c>
      <c r="G13" s="222">
        <f t="shared" si="0"/>
        <v>86754.15</v>
      </c>
    </row>
    <row r="14" spans="1:7" ht="33.75" customHeight="1">
      <c r="A14" s="295">
        <v>8</v>
      </c>
      <c r="B14" s="296" t="s">
        <v>419</v>
      </c>
      <c r="C14" s="150" t="s">
        <v>420</v>
      </c>
      <c r="D14" s="306" t="s">
        <v>414</v>
      </c>
      <c r="E14" s="96">
        <v>0.35</v>
      </c>
      <c r="F14" s="287">
        <f>VLOOKUP(D14,DGl!$B$8:$M$199,12,0)</f>
        <v>206557.5</v>
      </c>
      <c r="G14" s="222">
        <f t="shared" si="0"/>
        <v>86754.15</v>
      </c>
    </row>
    <row r="15" spans="1:7" ht="33.75" customHeight="1">
      <c r="A15" s="308">
        <v>9</v>
      </c>
      <c r="B15" s="296" t="s">
        <v>421</v>
      </c>
      <c r="C15" s="150" t="s">
        <v>422</v>
      </c>
      <c r="D15" s="306" t="s">
        <v>414</v>
      </c>
      <c r="E15" s="96">
        <v>0.35</v>
      </c>
      <c r="F15" s="287">
        <f>VLOOKUP(D15,DGl!$B$8:$M$199,12,0)</f>
        <v>206557.5</v>
      </c>
      <c r="G15" s="222">
        <f t="shared" ref="G15" si="1">E15*F15*$F$6</f>
        <v>86754.15</v>
      </c>
    </row>
    <row r="16" spans="1:7" ht="33.75" customHeight="1">
      <c r="A16" s="308">
        <v>10</v>
      </c>
      <c r="B16" s="296" t="s">
        <v>424</v>
      </c>
      <c r="C16" s="150" t="s">
        <v>426</v>
      </c>
      <c r="D16" s="306" t="s">
        <v>414</v>
      </c>
      <c r="E16" s="96">
        <v>0.35</v>
      </c>
      <c r="F16" s="287">
        <f>VLOOKUP(D16,DGl!$B$8:$M$199,12,0)</f>
        <v>206557.5</v>
      </c>
      <c r="G16" s="222">
        <f t="shared" si="0"/>
        <v>86754.15</v>
      </c>
    </row>
    <row r="17" spans="1:7" ht="33.75" customHeight="1">
      <c r="A17" s="308">
        <v>11</v>
      </c>
      <c r="B17" s="296" t="s">
        <v>425</v>
      </c>
      <c r="C17" s="150" t="s">
        <v>423</v>
      </c>
      <c r="D17" s="306" t="s">
        <v>414</v>
      </c>
      <c r="E17" s="96">
        <v>0.35</v>
      </c>
      <c r="F17" s="287">
        <f>VLOOKUP(D17,DGl!$B$8:$M$199,12,0)</f>
        <v>206557.5</v>
      </c>
      <c r="G17" s="222">
        <f t="shared" ref="G17" si="2">E17*F17*$F$6</f>
        <v>86754.15</v>
      </c>
    </row>
    <row r="18" spans="1:7" ht="33.75" customHeight="1">
      <c r="A18" s="308">
        <v>12</v>
      </c>
      <c r="B18" s="296" t="s">
        <v>427</v>
      </c>
      <c r="C18" s="150" t="s">
        <v>429</v>
      </c>
      <c r="D18" s="306" t="s">
        <v>414</v>
      </c>
      <c r="E18" s="96">
        <v>0.35</v>
      </c>
      <c r="F18" s="287">
        <f>VLOOKUP(D18,DGl!$B$8:$M$199,12,0)</f>
        <v>206557.5</v>
      </c>
      <c r="G18" s="222">
        <f t="shared" si="0"/>
        <v>86754.15</v>
      </c>
    </row>
    <row r="19" spans="1:7" ht="33.75" customHeight="1">
      <c r="A19" s="308">
        <v>13</v>
      </c>
      <c r="B19" s="296" t="s">
        <v>433</v>
      </c>
      <c r="C19" s="150" t="s">
        <v>428</v>
      </c>
      <c r="D19" s="306" t="s">
        <v>414</v>
      </c>
      <c r="E19" s="96">
        <v>0.35</v>
      </c>
      <c r="F19" s="287">
        <f>VLOOKUP(D19,DGl!$B$8:$M$199,12,0)</f>
        <v>206557.5</v>
      </c>
      <c r="G19" s="222">
        <f t="shared" ref="G19:G22" si="3">E19*F19*$F$6</f>
        <v>86754.15</v>
      </c>
    </row>
    <row r="20" spans="1:7" ht="33.75" customHeight="1">
      <c r="A20" s="308">
        <v>14</v>
      </c>
      <c r="B20" s="296" t="s">
        <v>434</v>
      </c>
      <c r="C20" s="150" t="s">
        <v>430</v>
      </c>
      <c r="D20" s="306" t="s">
        <v>414</v>
      </c>
      <c r="E20" s="96">
        <v>0.35</v>
      </c>
      <c r="F20" s="287">
        <f>VLOOKUP(D20,DGl!$B$8:$M$199,12,0)</f>
        <v>206557.5</v>
      </c>
      <c r="G20" s="222">
        <f t="shared" si="3"/>
        <v>86754.15</v>
      </c>
    </row>
    <row r="21" spans="1:7" ht="33.75" customHeight="1">
      <c r="A21" s="308">
        <v>15</v>
      </c>
      <c r="B21" s="296" t="s">
        <v>435</v>
      </c>
      <c r="C21" s="150" t="s">
        <v>431</v>
      </c>
      <c r="D21" s="306" t="s">
        <v>414</v>
      </c>
      <c r="E21" s="96">
        <v>0.35</v>
      </c>
      <c r="F21" s="287">
        <f>VLOOKUP(D21,DGl!$B$8:$M$199,12,0)</f>
        <v>206557.5</v>
      </c>
      <c r="G21" s="222">
        <f t="shared" si="3"/>
        <v>86754.15</v>
      </c>
    </row>
    <row r="22" spans="1:7" ht="33.75" customHeight="1">
      <c r="A22" s="308">
        <v>16</v>
      </c>
      <c r="B22" s="296" t="s">
        <v>436</v>
      </c>
      <c r="C22" s="150" t="s">
        <v>432</v>
      </c>
      <c r="D22" s="306" t="s">
        <v>414</v>
      </c>
      <c r="E22" s="96">
        <v>0.35</v>
      </c>
      <c r="F22" s="287">
        <f>VLOOKUP(D22,DGl!$B$8:$M$199,12,0)</f>
        <v>206557.5</v>
      </c>
      <c r="G22" s="222">
        <f t="shared" si="3"/>
        <v>86754.15</v>
      </c>
    </row>
    <row r="23" spans="1:7" ht="33.75" customHeight="1">
      <c r="A23" s="308">
        <v>17</v>
      </c>
      <c r="B23" s="296" t="s">
        <v>306</v>
      </c>
      <c r="C23" s="106" t="s">
        <v>406</v>
      </c>
      <c r="D23" s="306" t="s">
        <v>412</v>
      </c>
      <c r="E23" s="96">
        <v>0.35</v>
      </c>
      <c r="F23" s="287">
        <f>VLOOKUP(D23,DGl!$B$8:$M$199,12,0)</f>
        <v>184365</v>
      </c>
      <c r="G23" s="222">
        <f t="shared" si="0"/>
        <v>77433.299999999988</v>
      </c>
    </row>
    <row r="24" spans="1:7" ht="33.75" customHeight="1">
      <c r="A24" s="308">
        <v>18</v>
      </c>
      <c r="B24" s="296" t="s">
        <v>307</v>
      </c>
      <c r="C24" s="150" t="s">
        <v>8</v>
      </c>
      <c r="D24" s="306" t="s">
        <v>414</v>
      </c>
      <c r="E24" s="93">
        <v>0.35</v>
      </c>
      <c r="F24" s="287">
        <f>VLOOKUP(D24,DGl!$B$8:$M$199,12,0)</f>
        <v>206557.5</v>
      </c>
      <c r="G24" s="222">
        <f t="shared" si="0"/>
        <v>86754.15</v>
      </c>
    </row>
    <row r="25" spans="1:7" ht="33.75" customHeight="1">
      <c r="A25" s="308">
        <v>19</v>
      </c>
      <c r="B25" s="296" t="s">
        <v>308</v>
      </c>
      <c r="C25" s="150" t="s">
        <v>214</v>
      </c>
      <c r="D25" s="306" t="s">
        <v>414</v>
      </c>
      <c r="E25" s="93">
        <v>0.35</v>
      </c>
      <c r="F25" s="287">
        <f>VLOOKUP(D25,DGl!$B$8:$M$199,12,0)</f>
        <v>206557.5</v>
      </c>
      <c r="G25" s="222">
        <f t="shared" si="0"/>
        <v>86754.15</v>
      </c>
    </row>
    <row r="26" spans="1:7" ht="33.75" customHeight="1">
      <c r="A26" s="308">
        <v>20</v>
      </c>
      <c r="B26" s="296" t="s">
        <v>309</v>
      </c>
      <c r="C26" s="298" t="s">
        <v>215</v>
      </c>
      <c r="D26" s="306" t="s">
        <v>414</v>
      </c>
      <c r="E26" s="93">
        <v>0.35</v>
      </c>
      <c r="F26" s="287">
        <f>VLOOKUP(D26,DGl!$B$8:$M$199,12,0)</f>
        <v>206557.5</v>
      </c>
      <c r="G26" s="222">
        <f t="shared" si="0"/>
        <v>86754.15</v>
      </c>
    </row>
    <row r="27" spans="1:7" ht="33.75" customHeight="1">
      <c r="A27" s="308">
        <v>21</v>
      </c>
      <c r="B27" s="296" t="s">
        <v>310</v>
      </c>
      <c r="C27" s="150" t="s">
        <v>10</v>
      </c>
      <c r="D27" s="306" t="s">
        <v>414</v>
      </c>
      <c r="E27" s="93">
        <v>0.35</v>
      </c>
      <c r="F27" s="287">
        <f>VLOOKUP(D27,DGl!$B$8:$M$199,12,0)</f>
        <v>206557.5</v>
      </c>
      <c r="G27" s="222">
        <f t="shared" si="0"/>
        <v>86754.15</v>
      </c>
    </row>
    <row r="28" spans="1:7" ht="33.75" customHeight="1">
      <c r="A28" s="308">
        <v>22</v>
      </c>
      <c r="B28" s="296" t="s">
        <v>311</v>
      </c>
      <c r="C28" s="137" t="s">
        <v>11</v>
      </c>
      <c r="D28" s="306" t="s">
        <v>414</v>
      </c>
      <c r="E28" s="93">
        <v>0.35</v>
      </c>
      <c r="F28" s="287">
        <f>VLOOKUP(D28,DGl!$B$8:$M$199,12,0)</f>
        <v>206557.5</v>
      </c>
      <c r="G28" s="222">
        <f t="shared" si="0"/>
        <v>86754.15</v>
      </c>
    </row>
    <row r="29" spans="1:7" ht="33.75" customHeight="1">
      <c r="A29" s="308">
        <v>23</v>
      </c>
      <c r="B29" s="299" t="s">
        <v>312</v>
      </c>
      <c r="C29" s="300" t="s">
        <v>341</v>
      </c>
      <c r="D29" s="306" t="s">
        <v>414</v>
      </c>
      <c r="E29" s="93">
        <v>0.35</v>
      </c>
      <c r="F29" s="287">
        <f>VLOOKUP(D29,DGl!$B$8:$M$199,12,0)</f>
        <v>206557.5</v>
      </c>
      <c r="G29" s="222">
        <f t="shared" si="0"/>
        <v>86754.15</v>
      </c>
    </row>
    <row r="30" spans="1:7" ht="33.75" customHeight="1">
      <c r="A30" s="295" t="s">
        <v>183</v>
      </c>
      <c r="B30" s="376" t="s">
        <v>211</v>
      </c>
      <c r="C30" s="377"/>
      <c r="D30" s="378"/>
      <c r="E30" s="145">
        <v>1</v>
      </c>
      <c r="F30" s="289"/>
      <c r="G30" s="289"/>
    </row>
    <row r="31" spans="1:7" ht="33" customHeight="1">
      <c r="A31" s="295">
        <v>1</v>
      </c>
      <c r="B31" s="92" t="s">
        <v>290</v>
      </c>
      <c r="C31" s="92" t="s">
        <v>216</v>
      </c>
      <c r="D31" s="306" t="s">
        <v>412</v>
      </c>
      <c r="E31" s="96">
        <v>0.6</v>
      </c>
      <c r="F31" s="287">
        <f>VLOOKUP(D31,DGl!$B$8:$M$199,12,0)</f>
        <v>184365</v>
      </c>
      <c r="G31" s="97">
        <f>F31*E31</f>
        <v>110619</v>
      </c>
    </row>
    <row r="32" spans="1:7" ht="33" customHeight="1">
      <c r="A32" s="295">
        <v>2</v>
      </c>
      <c r="B32" s="296" t="s">
        <v>298</v>
      </c>
      <c r="C32" s="137" t="s">
        <v>379</v>
      </c>
      <c r="D32" s="306" t="s">
        <v>416</v>
      </c>
      <c r="E32" s="93">
        <v>0.6</v>
      </c>
      <c r="F32" s="287">
        <f>VLOOKUP(D32,DGl!$B$8:$M$199,12,0)</f>
        <v>208750</v>
      </c>
      <c r="G32" s="301">
        <f>E32*F32</f>
        <v>125250</v>
      </c>
    </row>
    <row r="33" spans="1:7" ht="33" customHeight="1">
      <c r="A33" s="202">
        <v>3</v>
      </c>
      <c r="B33" s="297" t="s">
        <v>313</v>
      </c>
      <c r="C33" s="248" t="s">
        <v>12</v>
      </c>
      <c r="D33" s="306" t="s">
        <v>414</v>
      </c>
      <c r="E33" s="149">
        <v>1</v>
      </c>
      <c r="F33" s="287">
        <f>VLOOKUP(D33,DGl!$B$8:$M$199,12,0)</f>
        <v>206557.5</v>
      </c>
      <c r="G33" s="301">
        <f t="shared" ref="G33:G53" si="4">E33*F33</f>
        <v>206557.5</v>
      </c>
    </row>
    <row r="34" spans="1:7" ht="33" customHeight="1">
      <c r="A34" s="202">
        <v>4</v>
      </c>
      <c r="B34" s="5" t="s">
        <v>314</v>
      </c>
      <c r="C34" s="248" t="s">
        <v>13</v>
      </c>
      <c r="D34" s="306" t="s">
        <v>414</v>
      </c>
      <c r="E34" s="149">
        <v>1</v>
      </c>
      <c r="F34" s="287">
        <f>VLOOKUP(D34,DGl!$B$8:$M$199,12,0)</f>
        <v>206557.5</v>
      </c>
      <c r="G34" s="301">
        <f t="shared" si="4"/>
        <v>206557.5</v>
      </c>
    </row>
    <row r="35" spans="1:7" ht="33" customHeight="1">
      <c r="A35" s="295">
        <v>5</v>
      </c>
      <c r="B35" s="296" t="s">
        <v>315</v>
      </c>
      <c r="C35" s="106" t="s">
        <v>218</v>
      </c>
      <c r="D35" s="306" t="s">
        <v>414</v>
      </c>
      <c r="E35" s="149">
        <v>0.75</v>
      </c>
      <c r="F35" s="287">
        <f>VLOOKUP(D35,DGl!$B$8:$M$199,12,0)</f>
        <v>206557.5</v>
      </c>
      <c r="G35" s="301">
        <f t="shared" si="4"/>
        <v>154918.125</v>
      </c>
    </row>
    <row r="36" spans="1:7" ht="33" customHeight="1">
      <c r="A36" s="295">
        <v>6</v>
      </c>
      <c r="B36" s="296" t="s">
        <v>316</v>
      </c>
      <c r="C36" s="106" t="s">
        <v>219</v>
      </c>
      <c r="D36" s="306" t="s">
        <v>414</v>
      </c>
      <c r="E36" s="149">
        <v>0.75</v>
      </c>
      <c r="F36" s="287">
        <f>VLOOKUP(D36,DGl!$B$8:$M$199,12,0)</f>
        <v>206557.5</v>
      </c>
      <c r="G36" s="301">
        <f t="shared" si="4"/>
        <v>154918.125</v>
      </c>
    </row>
    <row r="37" spans="1:7" ht="33" customHeight="1">
      <c r="A37" s="202">
        <v>7</v>
      </c>
      <c r="B37" s="296" t="s">
        <v>317</v>
      </c>
      <c r="C37" s="248" t="s">
        <v>213</v>
      </c>
      <c r="D37" s="306" t="s">
        <v>416</v>
      </c>
      <c r="E37" s="149">
        <v>1</v>
      </c>
      <c r="F37" s="287">
        <f>VLOOKUP(D37,DGl!$B$8:$M$199,12,0)</f>
        <v>208750</v>
      </c>
      <c r="G37" s="301">
        <f t="shared" si="4"/>
        <v>208750</v>
      </c>
    </row>
    <row r="38" spans="1:7" ht="33" customHeight="1">
      <c r="A38" s="202">
        <v>8</v>
      </c>
      <c r="B38" s="296" t="s">
        <v>437</v>
      </c>
      <c r="C38" s="150" t="s">
        <v>420</v>
      </c>
      <c r="D38" s="306" t="s">
        <v>416</v>
      </c>
      <c r="E38" s="149">
        <v>0.8</v>
      </c>
      <c r="F38" s="287">
        <f>VLOOKUP(D38,DGl!$B$8:$M$199,12,0)</f>
        <v>208750</v>
      </c>
      <c r="G38" s="301">
        <f t="shared" si="4"/>
        <v>167000</v>
      </c>
    </row>
    <row r="39" spans="1:7" ht="33" customHeight="1">
      <c r="A39" s="308">
        <v>9</v>
      </c>
      <c r="B39" s="296" t="s">
        <v>438</v>
      </c>
      <c r="C39" s="150" t="s">
        <v>422</v>
      </c>
      <c r="D39" s="306" t="s">
        <v>416</v>
      </c>
      <c r="E39" s="149">
        <v>0.8</v>
      </c>
      <c r="F39" s="287">
        <f>VLOOKUP(D39,DGl!$B$8:$M$199,12,0)</f>
        <v>208750</v>
      </c>
      <c r="G39" s="301">
        <f t="shared" ref="G39" si="5">E39*F39</f>
        <v>167000</v>
      </c>
    </row>
    <row r="40" spans="1:7" ht="33" customHeight="1">
      <c r="A40" s="202">
        <v>10</v>
      </c>
      <c r="B40" s="296" t="s">
        <v>439</v>
      </c>
      <c r="C40" s="150" t="s">
        <v>426</v>
      </c>
      <c r="D40" s="306" t="s">
        <v>416</v>
      </c>
      <c r="E40" s="149">
        <v>1</v>
      </c>
      <c r="F40" s="287">
        <f>VLOOKUP(D40,DGl!$B$8:$M$199,12,0)</f>
        <v>208750</v>
      </c>
      <c r="G40" s="301">
        <f t="shared" si="4"/>
        <v>208750</v>
      </c>
    </row>
    <row r="41" spans="1:7" ht="33" customHeight="1">
      <c r="A41" s="202">
        <v>11</v>
      </c>
      <c r="B41" s="296" t="s">
        <v>440</v>
      </c>
      <c r="C41" s="150" t="s">
        <v>423</v>
      </c>
      <c r="D41" s="306" t="s">
        <v>416</v>
      </c>
      <c r="E41" s="149">
        <v>1</v>
      </c>
      <c r="F41" s="287">
        <f>VLOOKUP(D41,DGl!$B$8:$M$199,12,0)</f>
        <v>208750</v>
      </c>
      <c r="G41" s="301">
        <f t="shared" ref="G41" si="6">E41*F41</f>
        <v>208750</v>
      </c>
    </row>
    <row r="42" spans="1:7" ht="33" customHeight="1">
      <c r="A42" s="308">
        <v>12</v>
      </c>
      <c r="B42" s="296" t="s">
        <v>441</v>
      </c>
      <c r="C42" s="150" t="s">
        <v>452</v>
      </c>
      <c r="D42" s="306" t="s">
        <v>414</v>
      </c>
      <c r="E42" s="149">
        <v>0.8</v>
      </c>
      <c r="F42" s="287">
        <f>VLOOKUP(D42,DGl!$B$8:$M$199,12,0)</f>
        <v>206557.5</v>
      </c>
      <c r="G42" s="301">
        <f t="shared" si="4"/>
        <v>165246</v>
      </c>
    </row>
    <row r="43" spans="1:7" ht="33" customHeight="1">
      <c r="A43" s="202">
        <v>13</v>
      </c>
      <c r="B43" s="296" t="s">
        <v>442</v>
      </c>
      <c r="C43" s="150" t="s">
        <v>453</v>
      </c>
      <c r="D43" s="306" t="s">
        <v>414</v>
      </c>
      <c r="E43" s="149">
        <v>0.8</v>
      </c>
      <c r="F43" s="287">
        <f>VLOOKUP(D43,DGl!$B$8:$M$199,12,0)</f>
        <v>206557.5</v>
      </c>
      <c r="G43" s="301">
        <f t="shared" ref="G43:G46" si="7">E43*F43</f>
        <v>165246</v>
      </c>
    </row>
    <row r="44" spans="1:7" ht="33" customHeight="1">
      <c r="A44" s="202">
        <v>14</v>
      </c>
      <c r="B44" s="296" t="s">
        <v>443</v>
      </c>
      <c r="C44" s="150" t="s">
        <v>454</v>
      </c>
      <c r="D44" s="306" t="s">
        <v>414</v>
      </c>
      <c r="E44" s="149">
        <v>0.8</v>
      </c>
      <c r="F44" s="287">
        <f>VLOOKUP(D44,DGl!$B$8:$M$199,12,0)</f>
        <v>206557.5</v>
      </c>
      <c r="G44" s="301">
        <f t="shared" si="7"/>
        <v>165246</v>
      </c>
    </row>
    <row r="45" spans="1:7" ht="33" customHeight="1">
      <c r="A45" s="308">
        <v>15</v>
      </c>
      <c r="B45" s="296" t="s">
        <v>444</v>
      </c>
      <c r="C45" s="150" t="s">
        <v>455</v>
      </c>
      <c r="D45" s="306" t="s">
        <v>414</v>
      </c>
      <c r="E45" s="149">
        <v>0.8</v>
      </c>
      <c r="F45" s="287">
        <f>VLOOKUP(D45,DGl!$B$8:$M$199,12,0)</f>
        <v>206557.5</v>
      </c>
      <c r="G45" s="301">
        <f t="shared" si="7"/>
        <v>165246</v>
      </c>
    </row>
    <row r="46" spans="1:7" ht="33" customHeight="1">
      <c r="A46" s="202">
        <v>16</v>
      </c>
      <c r="B46" s="296" t="s">
        <v>445</v>
      </c>
      <c r="C46" s="150" t="s">
        <v>456</v>
      </c>
      <c r="D46" s="306" t="s">
        <v>414</v>
      </c>
      <c r="E46" s="149">
        <v>0.8</v>
      </c>
      <c r="F46" s="287">
        <f>VLOOKUP(D46,DGl!$B$8:$M$199,12,0)</f>
        <v>206557.5</v>
      </c>
      <c r="G46" s="301">
        <f t="shared" si="7"/>
        <v>165246</v>
      </c>
    </row>
    <row r="47" spans="1:7" ht="33" customHeight="1">
      <c r="A47" s="202">
        <v>17</v>
      </c>
      <c r="B47" s="296" t="s">
        <v>318</v>
      </c>
      <c r="C47" s="106" t="s">
        <v>406</v>
      </c>
      <c r="D47" s="306" t="s">
        <v>412</v>
      </c>
      <c r="E47" s="149">
        <v>0.5</v>
      </c>
      <c r="F47" s="287">
        <f>VLOOKUP(D47,DGl!$B$8:$M$199,12,0)</f>
        <v>184365</v>
      </c>
      <c r="G47" s="301">
        <f t="shared" si="4"/>
        <v>92182.5</v>
      </c>
    </row>
    <row r="48" spans="1:7" ht="33" customHeight="1">
      <c r="A48" s="308">
        <v>18</v>
      </c>
      <c r="B48" s="296" t="s">
        <v>220</v>
      </c>
      <c r="C48" s="150" t="s">
        <v>8</v>
      </c>
      <c r="D48" s="306" t="s">
        <v>416</v>
      </c>
      <c r="E48" s="149">
        <v>1.2</v>
      </c>
      <c r="F48" s="287">
        <f>VLOOKUP(D48,DGl!$B$8:$M$199,12,0)</f>
        <v>208750</v>
      </c>
      <c r="G48" s="301">
        <f t="shared" si="4"/>
        <v>250500</v>
      </c>
    </row>
    <row r="49" spans="1:7" ht="33" customHeight="1">
      <c r="A49" s="202">
        <v>19</v>
      </c>
      <c r="B49" s="296" t="s">
        <v>319</v>
      </c>
      <c r="C49" s="150" t="s">
        <v>214</v>
      </c>
      <c r="D49" s="306" t="s">
        <v>416</v>
      </c>
      <c r="E49" s="149">
        <v>1.2</v>
      </c>
      <c r="F49" s="287">
        <f>VLOOKUP(D49,DGl!$B$8:$M$199,12,0)</f>
        <v>208750</v>
      </c>
      <c r="G49" s="301">
        <f t="shared" si="4"/>
        <v>250500</v>
      </c>
    </row>
    <row r="50" spans="1:7" ht="33" customHeight="1">
      <c r="A50" s="202">
        <v>20</v>
      </c>
      <c r="B50" s="296" t="s">
        <v>320</v>
      </c>
      <c r="C50" s="298" t="s">
        <v>215</v>
      </c>
      <c r="D50" s="306" t="s">
        <v>416</v>
      </c>
      <c r="E50" s="149">
        <v>1.2</v>
      </c>
      <c r="F50" s="287">
        <f>VLOOKUP(D50,DGl!$B$8:$M$199,12,0)</f>
        <v>208750</v>
      </c>
      <c r="G50" s="301">
        <f t="shared" ref="G50" si="8">E50*F50</f>
        <v>250500</v>
      </c>
    </row>
    <row r="51" spans="1:7" ht="33" customHeight="1">
      <c r="A51" s="308">
        <v>21</v>
      </c>
      <c r="B51" s="296" t="s">
        <v>321</v>
      </c>
      <c r="C51" s="150" t="s">
        <v>10</v>
      </c>
      <c r="D51" s="306" t="s">
        <v>416</v>
      </c>
      <c r="E51" s="149">
        <v>1.2</v>
      </c>
      <c r="F51" s="287">
        <f>VLOOKUP(D51,DGl!$B$8:$M$199,12,0)</f>
        <v>208750</v>
      </c>
      <c r="G51" s="301">
        <f t="shared" si="4"/>
        <v>250500</v>
      </c>
    </row>
    <row r="52" spans="1:7" ht="33" customHeight="1">
      <c r="A52" s="202">
        <v>22</v>
      </c>
      <c r="B52" s="296" t="s">
        <v>322</v>
      </c>
      <c r="C52" s="137" t="s">
        <v>11</v>
      </c>
      <c r="D52" s="306" t="s">
        <v>416</v>
      </c>
      <c r="E52" s="149">
        <v>1.2</v>
      </c>
      <c r="F52" s="287">
        <f>VLOOKUP(D52,DGl!$B$8:$M$199,12,0)</f>
        <v>208750</v>
      </c>
      <c r="G52" s="301">
        <f t="shared" si="4"/>
        <v>250500</v>
      </c>
    </row>
    <row r="53" spans="1:7" ht="33" customHeight="1">
      <c r="A53" s="202">
        <v>23</v>
      </c>
      <c r="B53" s="299" t="s">
        <v>5</v>
      </c>
      <c r="C53" s="300" t="s">
        <v>380</v>
      </c>
      <c r="D53" s="306" t="s">
        <v>416</v>
      </c>
      <c r="E53" s="304">
        <v>1.1000000000000001</v>
      </c>
      <c r="F53" s="287">
        <f>VLOOKUP(D53,DGl!$B$8:$M$199,12,0)</f>
        <v>208750</v>
      </c>
      <c r="G53" s="301">
        <f t="shared" si="4"/>
        <v>229625.00000000003</v>
      </c>
    </row>
  </sheetData>
  <mergeCells count="12">
    <mergeCell ref="B30:D30"/>
    <mergeCell ref="A1:G1"/>
    <mergeCell ref="F2:G2"/>
    <mergeCell ref="F3:F4"/>
    <mergeCell ref="G3:G4"/>
    <mergeCell ref="A3:A4"/>
    <mergeCell ref="B3:B4"/>
    <mergeCell ref="C3:C4"/>
    <mergeCell ref="D3:D4"/>
    <mergeCell ref="E3:E4"/>
    <mergeCell ref="B5:G5"/>
    <mergeCell ref="B6:E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510"/>
  <sheetViews>
    <sheetView topLeftCell="A496" workbookViewId="0">
      <selection activeCell="E471" sqref="E471"/>
    </sheetView>
  </sheetViews>
  <sheetFormatPr defaultRowHeight="22.5" customHeight="1"/>
  <cols>
    <col min="1" max="1" width="5" style="186" customWidth="1"/>
    <col min="2" max="2" width="9.42578125" style="37" customWidth="1"/>
    <col min="3" max="3" width="38.42578125" style="37" customWidth="1"/>
    <col min="4" max="4" width="8.85546875" style="37" customWidth="1"/>
    <col min="5" max="6" width="9.140625" style="37" customWidth="1"/>
    <col min="7" max="7" width="11.28515625" style="37" customWidth="1"/>
    <col min="8" max="8" width="12.28515625" style="37" customWidth="1"/>
    <col min="9" max="16384" width="9.140625" style="37"/>
  </cols>
  <sheetData>
    <row r="1" spans="1:8" ht="33.75" customHeight="1">
      <c r="A1" s="408" t="s">
        <v>184</v>
      </c>
      <c r="B1" s="408"/>
      <c r="C1" s="408"/>
      <c r="D1" s="408"/>
      <c r="E1" s="408"/>
      <c r="F1" s="408"/>
      <c r="G1" s="408"/>
    </row>
    <row r="2" spans="1:8" ht="22.5" customHeight="1">
      <c r="F2" s="409" t="s">
        <v>185</v>
      </c>
      <c r="G2" s="409"/>
      <c r="H2" s="409"/>
    </row>
    <row r="3" spans="1:8" ht="36" customHeight="1">
      <c r="A3" s="27" t="s">
        <v>60</v>
      </c>
      <c r="B3" s="153" t="s">
        <v>61</v>
      </c>
      <c r="C3" s="155" t="s">
        <v>62</v>
      </c>
      <c r="D3" s="155" t="s">
        <v>63</v>
      </c>
      <c r="E3" s="155" t="s">
        <v>64</v>
      </c>
      <c r="F3" s="128" t="s">
        <v>4</v>
      </c>
      <c r="G3" s="24" t="s">
        <v>186</v>
      </c>
      <c r="H3" s="188" t="s">
        <v>187</v>
      </c>
    </row>
    <row r="4" spans="1:8" s="165" customFormat="1" ht="21.75" customHeight="1">
      <c r="A4" s="184" t="s">
        <v>207</v>
      </c>
      <c r="B4" s="410" t="s">
        <v>367</v>
      </c>
      <c r="C4" s="410"/>
      <c r="D4" s="410"/>
      <c r="E4" s="410"/>
      <c r="F4" s="410"/>
      <c r="G4" s="410"/>
      <c r="H4" s="410"/>
    </row>
    <row r="5" spans="1:8" s="165" customFormat="1" ht="21" customHeight="1">
      <c r="A5" s="185" t="s">
        <v>288</v>
      </c>
      <c r="B5" s="391" t="s">
        <v>368</v>
      </c>
      <c r="C5" s="391"/>
      <c r="D5" s="391"/>
      <c r="E5" s="391"/>
      <c r="F5" s="391"/>
      <c r="G5" s="29"/>
      <c r="H5" s="140"/>
    </row>
    <row r="6" spans="1:8" s="175" customFormat="1" ht="21" customHeight="1">
      <c r="A6" s="189">
        <v>1</v>
      </c>
      <c r="B6" s="176" t="s">
        <v>299</v>
      </c>
      <c r="C6" s="176" t="s">
        <v>324</v>
      </c>
      <c r="D6" s="177"/>
      <c r="E6" s="177"/>
      <c r="F6" s="178"/>
      <c r="G6" s="179"/>
      <c r="H6" s="171">
        <f>SUM(H7:H14)*1.1</f>
        <v>5923.0769230769229</v>
      </c>
    </row>
    <row r="7" spans="1:8" s="57" customFormat="1" ht="21" customHeight="1">
      <c r="A7" s="189"/>
      <c r="B7" s="93">
        <v>1</v>
      </c>
      <c r="C7" s="199" t="s">
        <v>326</v>
      </c>
      <c r="D7" s="34" t="s">
        <v>48</v>
      </c>
      <c r="E7" s="290">
        <f>VLOOKUP(C7,[1]Dcu!$B$3:$D$510,3,0)</f>
        <v>5</v>
      </c>
      <c r="F7" s="160">
        <v>0.2</v>
      </c>
      <c r="G7" s="288">
        <f>VLOOKUP(C7,[1]Dcu!$B$3:$E$510,4,0)</f>
        <v>800000</v>
      </c>
      <c r="H7" s="56">
        <f>G7/(E7*26)*F7</f>
        <v>1230.7692307692309</v>
      </c>
    </row>
    <row r="8" spans="1:8" s="57" customFormat="1" ht="21" customHeight="1">
      <c r="A8" s="189"/>
      <c r="B8" s="93">
        <v>2</v>
      </c>
      <c r="C8" s="31" t="s">
        <v>292</v>
      </c>
      <c r="D8" s="34" t="s">
        <v>293</v>
      </c>
      <c r="E8" s="290">
        <f>VLOOKUP(C8,[1]Dcu!$B$3:$D$510,3,0)</f>
        <v>1</v>
      </c>
      <c r="F8" s="161">
        <v>0.25</v>
      </c>
      <c r="G8" s="288">
        <f>VLOOKUP(C8,[1]Dcu!$B$3:$E$510,4,0)</f>
        <v>300000</v>
      </c>
      <c r="H8" s="56">
        <f t="shared" ref="H8:H16" si="0">G8/(E8*26)*F8</f>
        <v>2884.6153846153848</v>
      </c>
    </row>
    <row r="9" spans="1:8" s="57" customFormat="1" ht="21" customHeight="1">
      <c r="A9" s="189"/>
      <c r="B9" s="93">
        <v>3</v>
      </c>
      <c r="C9" s="2" t="s">
        <v>294</v>
      </c>
      <c r="D9" s="34" t="s">
        <v>39</v>
      </c>
      <c r="E9" s="290">
        <f>VLOOKUP(C9,[1]Dcu!$B$3:$D$510,3,0)</f>
        <v>6</v>
      </c>
      <c r="F9" s="161">
        <v>0.25</v>
      </c>
      <c r="G9" s="288">
        <f>VLOOKUP(C9,[1]Dcu!$B$3:$E$510,4,0)</f>
        <v>50000</v>
      </c>
      <c r="H9" s="56">
        <f t="shared" si="0"/>
        <v>80.128205128205124</v>
      </c>
    </row>
    <row r="10" spans="1:8" s="57" customFormat="1" ht="21" customHeight="1">
      <c r="A10" s="189"/>
      <c r="B10" s="93">
        <v>4</v>
      </c>
      <c r="C10" s="7" t="s">
        <v>392</v>
      </c>
      <c r="D10" s="34" t="s">
        <v>57</v>
      </c>
      <c r="E10" s="290">
        <f>VLOOKUP(C10,[1]Dcu!$B$3:$D$510,3,0)</f>
        <v>12</v>
      </c>
      <c r="F10" s="161">
        <v>0.25</v>
      </c>
      <c r="G10" s="288">
        <f>VLOOKUP(C10,[1]Dcu!$B$3:$E$510,4,0)</f>
        <v>55000</v>
      </c>
      <c r="H10" s="56">
        <f t="shared" si="0"/>
        <v>44.070512820512818</v>
      </c>
    </row>
    <row r="11" spans="1:8" s="57" customFormat="1" ht="21" customHeight="1">
      <c r="A11" s="189"/>
      <c r="B11" s="93">
        <v>5</v>
      </c>
      <c r="C11" s="2" t="s">
        <v>295</v>
      </c>
      <c r="D11" s="34" t="s">
        <v>57</v>
      </c>
      <c r="E11" s="290">
        <f>VLOOKUP(C11,[1]Dcu!$B$3:$D$510,3,0)</f>
        <v>6</v>
      </c>
      <c r="F11" s="161">
        <v>0.25</v>
      </c>
      <c r="G11" s="288">
        <f>VLOOKUP(C11,[1]Dcu!$B$3:$E$510,4,0)</f>
        <v>7000</v>
      </c>
      <c r="H11" s="56">
        <f t="shared" si="0"/>
        <v>11.217948717948717</v>
      </c>
    </row>
    <row r="12" spans="1:8" s="57" customFormat="1" ht="21" customHeight="1">
      <c r="A12" s="189"/>
      <c r="B12" s="93">
        <v>6</v>
      </c>
      <c r="C12" s="2" t="s">
        <v>296</v>
      </c>
      <c r="D12" s="34" t="s">
        <v>48</v>
      </c>
      <c r="E12" s="290">
        <f>VLOOKUP(C12,[1]Dcu!$B$3:$D$510,3,0)</f>
        <v>3</v>
      </c>
      <c r="F12" s="161">
        <v>0.25</v>
      </c>
      <c r="G12" s="288">
        <f>VLOOKUP(C12,[1]Dcu!$B$3:$E$510,4,0)</f>
        <v>20000</v>
      </c>
      <c r="H12" s="56">
        <f t="shared" si="0"/>
        <v>64.102564102564102</v>
      </c>
    </row>
    <row r="13" spans="1:8" s="57" customFormat="1" ht="21" customHeight="1">
      <c r="A13" s="189"/>
      <c r="B13" s="93">
        <v>7</v>
      </c>
      <c r="C13" s="2" t="s">
        <v>297</v>
      </c>
      <c r="D13" s="34" t="s">
        <v>48</v>
      </c>
      <c r="E13" s="290">
        <f>VLOOKUP(C13,[1]Dcu!$B$3:$D$510,3,0)</f>
        <v>24</v>
      </c>
      <c r="F13" s="161">
        <v>0.25</v>
      </c>
      <c r="G13" s="288">
        <f>VLOOKUP(C13,[1]Dcu!$B$3:$E$510,4,0)</f>
        <v>110000</v>
      </c>
      <c r="H13" s="56">
        <f t="shared" si="0"/>
        <v>44.070512820512818</v>
      </c>
    </row>
    <row r="14" spans="1:8" s="57" customFormat="1" ht="21" customHeight="1">
      <c r="A14" s="189"/>
      <c r="B14" s="93">
        <v>8</v>
      </c>
      <c r="C14" s="200" t="s">
        <v>388</v>
      </c>
      <c r="D14" s="34" t="s">
        <v>86</v>
      </c>
      <c r="E14" s="290">
        <f>VLOOKUP(C14,[1]Dcu!$B$3:$D$510,3,0)</f>
        <v>0.3</v>
      </c>
      <c r="F14" s="161">
        <v>0.02</v>
      </c>
      <c r="G14" s="288">
        <f>VLOOKUP(C14,[1]Dcu!$B$3:$E$510,4,0)</f>
        <v>400000</v>
      </c>
      <c r="H14" s="56">
        <f t="shared" si="0"/>
        <v>1025.6410256410256</v>
      </c>
    </row>
    <row r="15" spans="1:8" s="175" customFormat="1" ht="21" customHeight="1">
      <c r="A15" s="189">
        <v>2</v>
      </c>
      <c r="B15" s="167" t="s">
        <v>300</v>
      </c>
      <c r="C15" s="396" t="s">
        <v>387</v>
      </c>
      <c r="D15" s="396"/>
      <c r="E15" s="396"/>
      <c r="F15" s="396"/>
      <c r="G15" s="55"/>
      <c r="H15" s="201">
        <f>SUM(H16:H23)*1.1</f>
        <v>5923.0769230769229</v>
      </c>
    </row>
    <row r="16" spans="1:8" s="57" customFormat="1" ht="21" customHeight="1">
      <c r="A16" s="189"/>
      <c r="B16" s="93">
        <v>1</v>
      </c>
      <c r="C16" s="199" t="s">
        <v>326</v>
      </c>
      <c r="D16" s="34" t="s">
        <v>48</v>
      </c>
      <c r="E16" s="290">
        <f>VLOOKUP(C16,[1]Dcu!$B$3:$D$510,3,0)</f>
        <v>5</v>
      </c>
      <c r="F16" s="160">
        <v>0.2</v>
      </c>
      <c r="G16" s="288">
        <f>VLOOKUP(C16,[1]Dcu!$B$3:$E$510,4,0)</f>
        <v>800000</v>
      </c>
      <c r="H16" s="56">
        <f t="shared" si="0"/>
        <v>1230.7692307692309</v>
      </c>
    </row>
    <row r="17" spans="1:8" s="57" customFormat="1" ht="21" customHeight="1">
      <c r="A17" s="189"/>
      <c r="B17" s="93">
        <v>2</v>
      </c>
      <c r="C17" s="31" t="s">
        <v>292</v>
      </c>
      <c r="D17" s="34" t="s">
        <v>293</v>
      </c>
      <c r="E17" s="290">
        <f>VLOOKUP(C17,[1]Dcu!$B$3:$D$510,3,0)</f>
        <v>1</v>
      </c>
      <c r="F17" s="161">
        <v>0.25</v>
      </c>
      <c r="G17" s="288">
        <f>VLOOKUP(C17,[1]Dcu!$B$3:$E$510,4,0)</f>
        <v>300000</v>
      </c>
      <c r="H17" s="56">
        <f t="shared" ref="H17:H26" si="1">G17/(E17*26)*F17</f>
        <v>2884.6153846153848</v>
      </c>
    </row>
    <row r="18" spans="1:8" s="57" customFormat="1" ht="21" customHeight="1">
      <c r="A18" s="189"/>
      <c r="B18" s="93">
        <v>3</v>
      </c>
      <c r="C18" s="2" t="s">
        <v>294</v>
      </c>
      <c r="D18" s="34" t="s">
        <v>39</v>
      </c>
      <c r="E18" s="290">
        <f>VLOOKUP(C18,[1]Dcu!$B$3:$D$510,3,0)</f>
        <v>6</v>
      </c>
      <c r="F18" s="161">
        <v>0.25</v>
      </c>
      <c r="G18" s="288">
        <f>VLOOKUP(C18,[1]Dcu!$B$3:$E$510,4,0)</f>
        <v>50000</v>
      </c>
      <c r="H18" s="56">
        <f t="shared" si="1"/>
        <v>80.128205128205124</v>
      </c>
    </row>
    <row r="19" spans="1:8" s="57" customFormat="1" ht="21" customHeight="1">
      <c r="A19" s="189"/>
      <c r="B19" s="93">
        <v>4</v>
      </c>
      <c r="C19" s="7" t="s">
        <v>392</v>
      </c>
      <c r="D19" s="34" t="s">
        <v>57</v>
      </c>
      <c r="E19" s="290">
        <f>VLOOKUP(C19,[1]Dcu!$B$3:$D$510,3,0)</f>
        <v>12</v>
      </c>
      <c r="F19" s="161">
        <v>0.25</v>
      </c>
      <c r="G19" s="288">
        <f>VLOOKUP(C19,[1]Dcu!$B$3:$E$510,4,0)</f>
        <v>55000</v>
      </c>
      <c r="H19" s="56">
        <f t="shared" si="1"/>
        <v>44.070512820512818</v>
      </c>
    </row>
    <row r="20" spans="1:8" s="57" customFormat="1" ht="21" customHeight="1">
      <c r="A20" s="189"/>
      <c r="B20" s="93">
        <v>5</v>
      </c>
      <c r="C20" s="2" t="s">
        <v>295</v>
      </c>
      <c r="D20" s="34" t="s">
        <v>57</v>
      </c>
      <c r="E20" s="290">
        <f>VLOOKUP(C20,[1]Dcu!$B$3:$D$510,3,0)</f>
        <v>6</v>
      </c>
      <c r="F20" s="161">
        <v>0.25</v>
      </c>
      <c r="G20" s="288">
        <f>VLOOKUP(C20,[1]Dcu!$B$3:$E$510,4,0)</f>
        <v>7000</v>
      </c>
      <c r="H20" s="56">
        <f t="shared" si="1"/>
        <v>11.217948717948717</v>
      </c>
    </row>
    <row r="21" spans="1:8" s="57" customFormat="1" ht="21" customHeight="1">
      <c r="A21" s="189"/>
      <c r="B21" s="93">
        <v>6</v>
      </c>
      <c r="C21" s="2" t="s">
        <v>296</v>
      </c>
      <c r="D21" s="34" t="s">
        <v>48</v>
      </c>
      <c r="E21" s="290">
        <f>VLOOKUP(C21,[1]Dcu!$B$3:$D$510,3,0)</f>
        <v>3</v>
      </c>
      <c r="F21" s="161">
        <v>0.25</v>
      </c>
      <c r="G21" s="288">
        <f>VLOOKUP(C21,[1]Dcu!$B$3:$E$510,4,0)</f>
        <v>20000</v>
      </c>
      <c r="H21" s="56">
        <f t="shared" si="1"/>
        <v>64.102564102564102</v>
      </c>
    </row>
    <row r="22" spans="1:8" s="57" customFormat="1" ht="21" customHeight="1">
      <c r="A22" s="189"/>
      <c r="B22" s="93">
        <v>7</v>
      </c>
      <c r="C22" s="2" t="s">
        <v>297</v>
      </c>
      <c r="D22" s="34" t="s">
        <v>48</v>
      </c>
      <c r="E22" s="290">
        <f>VLOOKUP(C22,[1]Dcu!$B$3:$D$510,3,0)</f>
        <v>24</v>
      </c>
      <c r="F22" s="161">
        <v>0.25</v>
      </c>
      <c r="G22" s="288">
        <f>VLOOKUP(C22,[1]Dcu!$B$3:$E$510,4,0)</f>
        <v>110000</v>
      </c>
      <c r="H22" s="56">
        <f t="shared" si="1"/>
        <v>44.070512820512818</v>
      </c>
    </row>
    <row r="23" spans="1:8" s="57" customFormat="1" ht="21" customHeight="1">
      <c r="A23" s="189"/>
      <c r="B23" s="93">
        <v>8</v>
      </c>
      <c r="C23" s="200" t="s">
        <v>388</v>
      </c>
      <c r="D23" s="34" t="s">
        <v>86</v>
      </c>
      <c r="E23" s="290">
        <f>VLOOKUP(C23,[1]Dcu!$B$3:$D$510,3,0)</f>
        <v>0.3</v>
      </c>
      <c r="F23" s="161">
        <v>0.02</v>
      </c>
      <c r="G23" s="288">
        <f>VLOOKUP(C23,[1]Dcu!$B$3:$E$510,4,0)</f>
        <v>400000</v>
      </c>
      <c r="H23" s="56">
        <f t="shared" si="1"/>
        <v>1025.6410256410256</v>
      </c>
    </row>
    <row r="24" spans="1:8" s="169" customFormat="1" ht="21" customHeight="1">
      <c r="A24" s="189">
        <v>3</v>
      </c>
      <c r="B24" s="170" t="s">
        <v>301</v>
      </c>
      <c r="C24" s="173" t="s">
        <v>12</v>
      </c>
      <c r="D24" s="135"/>
      <c r="E24" s="174"/>
      <c r="F24" s="171"/>
      <c r="G24" s="55"/>
      <c r="H24" s="201">
        <f>SUM(H25:H32)*1.1</f>
        <v>5923.0769230769229</v>
      </c>
    </row>
    <row r="25" spans="1:8" s="57" customFormat="1" ht="21" customHeight="1">
      <c r="A25" s="189"/>
      <c r="B25" s="93">
        <v>1</v>
      </c>
      <c r="C25" s="199" t="s">
        <v>326</v>
      </c>
      <c r="D25" s="34" t="s">
        <v>48</v>
      </c>
      <c r="E25" s="290">
        <f>VLOOKUP(C25,[1]Dcu!$B$3:$D$510,3,0)</f>
        <v>5</v>
      </c>
      <c r="F25" s="160">
        <v>0.2</v>
      </c>
      <c r="G25" s="288">
        <f>VLOOKUP(C25,[1]Dcu!$B$3:$E$510,4,0)</f>
        <v>800000</v>
      </c>
      <c r="H25" s="56">
        <f t="shared" si="1"/>
        <v>1230.7692307692309</v>
      </c>
    </row>
    <row r="26" spans="1:8" s="57" customFormat="1" ht="21" customHeight="1">
      <c r="A26" s="189"/>
      <c r="B26" s="93">
        <v>2</v>
      </c>
      <c r="C26" s="31" t="s">
        <v>292</v>
      </c>
      <c r="D26" s="34" t="s">
        <v>293</v>
      </c>
      <c r="E26" s="290">
        <f>VLOOKUP(C26,[1]Dcu!$B$3:$D$510,3,0)</f>
        <v>1</v>
      </c>
      <c r="F26" s="161">
        <v>0.25</v>
      </c>
      <c r="G26" s="288">
        <f>VLOOKUP(C26,[1]Dcu!$B$3:$E$510,4,0)</f>
        <v>300000</v>
      </c>
      <c r="H26" s="56">
        <f t="shared" si="1"/>
        <v>2884.6153846153848</v>
      </c>
    </row>
    <row r="27" spans="1:8" s="57" customFormat="1" ht="21" customHeight="1">
      <c r="A27" s="189"/>
      <c r="B27" s="93">
        <v>3</v>
      </c>
      <c r="C27" s="2" t="s">
        <v>294</v>
      </c>
      <c r="D27" s="34" t="s">
        <v>39</v>
      </c>
      <c r="E27" s="290">
        <f>VLOOKUP(C27,[1]Dcu!$B$3:$D$510,3,0)</f>
        <v>6</v>
      </c>
      <c r="F27" s="161">
        <v>0.25</v>
      </c>
      <c r="G27" s="288">
        <f>VLOOKUP(C27,[1]Dcu!$B$3:$E$510,4,0)</f>
        <v>50000</v>
      </c>
      <c r="H27" s="56">
        <f t="shared" ref="H27:H41" si="2">G27/(E27*26)*F27</f>
        <v>80.128205128205124</v>
      </c>
    </row>
    <row r="28" spans="1:8" s="57" customFormat="1" ht="21" customHeight="1">
      <c r="A28" s="189"/>
      <c r="B28" s="93">
        <v>4</v>
      </c>
      <c r="C28" s="7" t="s">
        <v>392</v>
      </c>
      <c r="D28" s="34" t="s">
        <v>57</v>
      </c>
      <c r="E28" s="290">
        <f>VLOOKUP(C28,[1]Dcu!$B$3:$D$510,3,0)</f>
        <v>12</v>
      </c>
      <c r="F28" s="161">
        <v>0.25</v>
      </c>
      <c r="G28" s="288">
        <f>VLOOKUP(C28,[1]Dcu!$B$3:$E$510,4,0)</f>
        <v>55000</v>
      </c>
      <c r="H28" s="56">
        <f t="shared" si="2"/>
        <v>44.070512820512818</v>
      </c>
    </row>
    <row r="29" spans="1:8" s="57" customFormat="1" ht="21" customHeight="1">
      <c r="A29" s="189"/>
      <c r="B29" s="93">
        <v>5</v>
      </c>
      <c r="C29" s="2" t="s">
        <v>295</v>
      </c>
      <c r="D29" s="34" t="s">
        <v>57</v>
      </c>
      <c r="E29" s="290">
        <f>VLOOKUP(C29,[1]Dcu!$B$3:$D$510,3,0)</f>
        <v>6</v>
      </c>
      <c r="F29" s="161">
        <v>0.25</v>
      </c>
      <c r="G29" s="288">
        <f>VLOOKUP(C29,[1]Dcu!$B$3:$E$510,4,0)</f>
        <v>7000</v>
      </c>
      <c r="H29" s="56">
        <f t="shared" si="2"/>
        <v>11.217948717948717</v>
      </c>
    </row>
    <row r="30" spans="1:8" s="57" customFormat="1" ht="21" customHeight="1">
      <c r="A30" s="189"/>
      <c r="B30" s="93">
        <v>6</v>
      </c>
      <c r="C30" s="2" t="s">
        <v>296</v>
      </c>
      <c r="D30" s="34" t="s">
        <v>48</v>
      </c>
      <c r="E30" s="290">
        <f>VLOOKUP(C30,[1]Dcu!$B$3:$D$510,3,0)</f>
        <v>3</v>
      </c>
      <c r="F30" s="161">
        <v>0.25</v>
      </c>
      <c r="G30" s="288">
        <f>VLOOKUP(C30,[1]Dcu!$B$3:$E$510,4,0)</f>
        <v>20000</v>
      </c>
      <c r="H30" s="56">
        <f t="shared" si="2"/>
        <v>64.102564102564102</v>
      </c>
    </row>
    <row r="31" spans="1:8" s="57" customFormat="1" ht="21" customHeight="1">
      <c r="A31" s="189"/>
      <c r="B31" s="93">
        <v>7</v>
      </c>
      <c r="C31" s="2" t="s">
        <v>297</v>
      </c>
      <c r="D31" s="34" t="s">
        <v>48</v>
      </c>
      <c r="E31" s="290">
        <f>VLOOKUP(C31,[1]Dcu!$B$3:$D$510,3,0)</f>
        <v>24</v>
      </c>
      <c r="F31" s="161">
        <v>0.25</v>
      </c>
      <c r="G31" s="288">
        <f>VLOOKUP(C31,[1]Dcu!$B$3:$E$510,4,0)</f>
        <v>110000</v>
      </c>
      <c r="H31" s="56">
        <f t="shared" si="2"/>
        <v>44.070512820512818</v>
      </c>
    </row>
    <row r="32" spans="1:8" s="57" customFormat="1" ht="21" customHeight="1">
      <c r="A32" s="189"/>
      <c r="B32" s="93">
        <v>8</v>
      </c>
      <c r="C32" s="200" t="s">
        <v>388</v>
      </c>
      <c r="D32" s="34" t="s">
        <v>86</v>
      </c>
      <c r="E32" s="290">
        <f>VLOOKUP(C32,[1]Dcu!$B$3:$D$510,3,0)</f>
        <v>0.3</v>
      </c>
      <c r="F32" s="161">
        <v>0.02</v>
      </c>
      <c r="G32" s="288">
        <f>VLOOKUP(C32,[1]Dcu!$B$3:$E$510,4,0)</f>
        <v>400000</v>
      </c>
      <c r="H32" s="56">
        <f t="shared" si="2"/>
        <v>1025.6410256410256</v>
      </c>
    </row>
    <row r="33" spans="1:8" s="169" customFormat="1" ht="21" customHeight="1">
      <c r="A33" s="189">
        <v>4</v>
      </c>
      <c r="B33" s="170" t="s">
        <v>302</v>
      </c>
      <c r="C33" s="411" t="s">
        <v>323</v>
      </c>
      <c r="D33" s="411"/>
      <c r="E33" s="411"/>
      <c r="F33" s="171"/>
      <c r="G33" s="55"/>
      <c r="H33" s="201">
        <f>SUM(H34:H41)*1.1</f>
        <v>5923.0769230769229</v>
      </c>
    </row>
    <row r="34" spans="1:8" s="57" customFormat="1" ht="21" customHeight="1">
      <c r="A34" s="189"/>
      <c r="B34" s="93">
        <v>1</v>
      </c>
      <c r="C34" s="199" t="s">
        <v>326</v>
      </c>
      <c r="D34" s="34" t="s">
        <v>48</v>
      </c>
      <c r="E34" s="290">
        <f>VLOOKUP(C34,[1]Dcu!$B$3:$D$510,3,0)</f>
        <v>5</v>
      </c>
      <c r="F34" s="160">
        <v>0.2</v>
      </c>
      <c r="G34" s="288">
        <f>VLOOKUP(C34,[1]Dcu!$B$3:$E$510,4,0)</f>
        <v>800000</v>
      </c>
      <c r="H34" s="56">
        <f t="shared" si="2"/>
        <v>1230.7692307692309</v>
      </c>
    </row>
    <row r="35" spans="1:8" s="57" customFormat="1" ht="21" customHeight="1">
      <c r="A35" s="189"/>
      <c r="B35" s="93">
        <v>2</v>
      </c>
      <c r="C35" s="31" t="s">
        <v>292</v>
      </c>
      <c r="D35" s="34" t="s">
        <v>293</v>
      </c>
      <c r="E35" s="290">
        <f>VLOOKUP(C35,[1]Dcu!$B$3:$D$510,3,0)</f>
        <v>1</v>
      </c>
      <c r="F35" s="161">
        <v>0.25</v>
      </c>
      <c r="G35" s="288">
        <f>VLOOKUP(C35,[1]Dcu!$B$3:$E$510,4,0)</f>
        <v>300000</v>
      </c>
      <c r="H35" s="56">
        <f t="shared" si="2"/>
        <v>2884.6153846153848</v>
      </c>
    </row>
    <row r="36" spans="1:8" s="57" customFormat="1" ht="21" customHeight="1">
      <c r="A36" s="189"/>
      <c r="B36" s="93">
        <v>3</v>
      </c>
      <c r="C36" s="2" t="s">
        <v>294</v>
      </c>
      <c r="D36" s="34" t="s">
        <v>39</v>
      </c>
      <c r="E36" s="290">
        <f>VLOOKUP(C36,[1]Dcu!$B$3:$D$510,3,0)</f>
        <v>6</v>
      </c>
      <c r="F36" s="161">
        <v>0.25</v>
      </c>
      <c r="G36" s="288">
        <f>VLOOKUP(C36,[1]Dcu!$B$3:$E$510,4,0)</f>
        <v>50000</v>
      </c>
      <c r="H36" s="56">
        <f t="shared" si="2"/>
        <v>80.128205128205124</v>
      </c>
    </row>
    <row r="37" spans="1:8" s="57" customFormat="1" ht="21" customHeight="1">
      <c r="A37" s="189"/>
      <c r="B37" s="93">
        <v>4</v>
      </c>
      <c r="C37" s="7" t="s">
        <v>392</v>
      </c>
      <c r="D37" s="34" t="s">
        <v>57</v>
      </c>
      <c r="E37" s="290">
        <f>VLOOKUP(C37,[1]Dcu!$B$3:$D$510,3,0)</f>
        <v>12</v>
      </c>
      <c r="F37" s="161">
        <v>0.25</v>
      </c>
      <c r="G37" s="288">
        <f>VLOOKUP(C37,[1]Dcu!$B$3:$E$510,4,0)</f>
        <v>55000</v>
      </c>
      <c r="H37" s="56">
        <f t="shared" si="2"/>
        <v>44.070512820512818</v>
      </c>
    </row>
    <row r="38" spans="1:8" s="57" customFormat="1" ht="21" customHeight="1">
      <c r="A38" s="189"/>
      <c r="B38" s="93">
        <v>5</v>
      </c>
      <c r="C38" s="2" t="s">
        <v>295</v>
      </c>
      <c r="D38" s="34" t="s">
        <v>57</v>
      </c>
      <c r="E38" s="290">
        <f>VLOOKUP(C38,[1]Dcu!$B$3:$D$510,3,0)</f>
        <v>6</v>
      </c>
      <c r="F38" s="161">
        <v>0.25</v>
      </c>
      <c r="G38" s="288">
        <f>VLOOKUP(C38,[1]Dcu!$B$3:$E$510,4,0)</f>
        <v>7000</v>
      </c>
      <c r="H38" s="56">
        <f t="shared" si="2"/>
        <v>11.217948717948717</v>
      </c>
    </row>
    <row r="39" spans="1:8" s="57" customFormat="1" ht="21" customHeight="1">
      <c r="A39" s="189"/>
      <c r="B39" s="93">
        <v>6</v>
      </c>
      <c r="C39" s="2" t="s">
        <v>296</v>
      </c>
      <c r="D39" s="34" t="s">
        <v>48</v>
      </c>
      <c r="E39" s="290">
        <f>VLOOKUP(C39,[1]Dcu!$B$3:$D$510,3,0)</f>
        <v>3</v>
      </c>
      <c r="F39" s="161">
        <v>0.25</v>
      </c>
      <c r="G39" s="288">
        <f>VLOOKUP(C39,[1]Dcu!$B$3:$E$510,4,0)</f>
        <v>20000</v>
      </c>
      <c r="H39" s="56">
        <f t="shared" si="2"/>
        <v>64.102564102564102</v>
      </c>
    </row>
    <row r="40" spans="1:8" s="57" customFormat="1" ht="21" customHeight="1">
      <c r="A40" s="189"/>
      <c r="B40" s="93">
        <v>7</v>
      </c>
      <c r="C40" s="2" t="s">
        <v>297</v>
      </c>
      <c r="D40" s="34" t="s">
        <v>48</v>
      </c>
      <c r="E40" s="290">
        <f>VLOOKUP(C40,[1]Dcu!$B$3:$D$510,3,0)</f>
        <v>24</v>
      </c>
      <c r="F40" s="161">
        <v>0.25</v>
      </c>
      <c r="G40" s="288">
        <f>VLOOKUP(C40,[1]Dcu!$B$3:$E$510,4,0)</f>
        <v>110000</v>
      </c>
      <c r="H40" s="56">
        <f t="shared" si="2"/>
        <v>44.070512820512818</v>
      </c>
    </row>
    <row r="41" spans="1:8" s="57" customFormat="1" ht="21" customHeight="1">
      <c r="A41" s="189"/>
      <c r="B41" s="93">
        <v>8</v>
      </c>
      <c r="C41" s="200" t="s">
        <v>388</v>
      </c>
      <c r="D41" s="34" t="s">
        <v>86</v>
      </c>
      <c r="E41" s="290">
        <f>VLOOKUP(C41,[1]Dcu!$B$3:$D$510,3,0)</f>
        <v>0.3</v>
      </c>
      <c r="F41" s="161">
        <v>0.02</v>
      </c>
      <c r="G41" s="288">
        <f>VLOOKUP(C41,[1]Dcu!$B$3:$E$510,4,0)</f>
        <v>400000</v>
      </c>
      <c r="H41" s="56">
        <f t="shared" si="2"/>
        <v>1025.6410256410256</v>
      </c>
    </row>
    <row r="42" spans="1:8" s="169" customFormat="1" ht="19.5" customHeight="1">
      <c r="A42" s="189">
        <v>5</v>
      </c>
      <c r="B42" s="170" t="s">
        <v>303</v>
      </c>
      <c r="C42" s="392" t="s">
        <v>375</v>
      </c>
      <c r="D42" s="392"/>
      <c r="E42" s="392"/>
      <c r="F42" s="392"/>
      <c r="G42" s="55"/>
      <c r="H42" s="201">
        <f>SUM(H43:H50)*1.1</f>
        <v>5923.0769230769229</v>
      </c>
    </row>
    <row r="43" spans="1:8" s="57" customFormat="1" ht="21" customHeight="1">
      <c r="A43" s="189"/>
      <c r="B43" s="93">
        <v>1</v>
      </c>
      <c r="C43" s="199" t="s">
        <v>326</v>
      </c>
      <c r="D43" s="34" t="s">
        <v>48</v>
      </c>
      <c r="E43" s="290">
        <f>VLOOKUP(C43,[1]Dcu!$B$3:$D$510,3,0)</f>
        <v>5</v>
      </c>
      <c r="F43" s="160">
        <v>0.2</v>
      </c>
      <c r="G43" s="288">
        <f>VLOOKUP(C43,[1]Dcu!$B$3:$E$510,4,0)</f>
        <v>800000</v>
      </c>
      <c r="H43" s="56">
        <f t="shared" ref="H43" si="3">G43/(E43*26)*F43</f>
        <v>1230.7692307692309</v>
      </c>
    </row>
    <row r="44" spans="1:8" s="57" customFormat="1" ht="21" customHeight="1">
      <c r="A44" s="189"/>
      <c r="B44" s="93">
        <v>2</v>
      </c>
      <c r="C44" s="31" t="s">
        <v>292</v>
      </c>
      <c r="D44" s="34" t="s">
        <v>293</v>
      </c>
      <c r="E44" s="290">
        <f>VLOOKUP(C44,[1]Dcu!$B$3:$D$510,3,0)</f>
        <v>1</v>
      </c>
      <c r="F44" s="161">
        <v>0.25</v>
      </c>
      <c r="G44" s="288">
        <f>VLOOKUP(C44,[1]Dcu!$B$3:$E$510,4,0)</f>
        <v>300000</v>
      </c>
      <c r="H44" s="56">
        <f t="shared" ref="H44:H71" si="4">G44/(E44*26)*F44</f>
        <v>2884.6153846153848</v>
      </c>
    </row>
    <row r="45" spans="1:8" s="57" customFormat="1" ht="21" customHeight="1">
      <c r="A45" s="189"/>
      <c r="B45" s="93">
        <v>3</v>
      </c>
      <c r="C45" s="2" t="s">
        <v>294</v>
      </c>
      <c r="D45" s="34" t="s">
        <v>39</v>
      </c>
      <c r="E45" s="290">
        <f>VLOOKUP(C45,[1]Dcu!$B$3:$D$510,3,0)</f>
        <v>6</v>
      </c>
      <c r="F45" s="161">
        <v>0.25</v>
      </c>
      <c r="G45" s="288">
        <f>VLOOKUP(C45,[1]Dcu!$B$3:$E$510,4,0)</f>
        <v>50000</v>
      </c>
      <c r="H45" s="56">
        <f t="shared" si="4"/>
        <v>80.128205128205124</v>
      </c>
    </row>
    <row r="46" spans="1:8" s="57" customFormat="1" ht="21" customHeight="1">
      <c r="A46" s="189"/>
      <c r="B46" s="93">
        <v>4</v>
      </c>
      <c r="C46" s="7" t="s">
        <v>392</v>
      </c>
      <c r="D46" s="34" t="s">
        <v>57</v>
      </c>
      <c r="E46" s="290">
        <f>VLOOKUP(C46,[1]Dcu!$B$3:$D$510,3,0)</f>
        <v>12</v>
      </c>
      <c r="F46" s="161">
        <v>0.25</v>
      </c>
      <c r="G46" s="288">
        <f>VLOOKUP(C46,[1]Dcu!$B$3:$E$510,4,0)</f>
        <v>55000</v>
      </c>
      <c r="H46" s="56">
        <f t="shared" si="4"/>
        <v>44.070512820512818</v>
      </c>
    </row>
    <row r="47" spans="1:8" s="57" customFormat="1" ht="21" customHeight="1">
      <c r="A47" s="189"/>
      <c r="B47" s="93">
        <v>5</v>
      </c>
      <c r="C47" s="2" t="s">
        <v>295</v>
      </c>
      <c r="D47" s="34" t="s">
        <v>57</v>
      </c>
      <c r="E47" s="290">
        <f>VLOOKUP(C47,[1]Dcu!$B$3:$D$510,3,0)</f>
        <v>6</v>
      </c>
      <c r="F47" s="161">
        <v>0.25</v>
      </c>
      <c r="G47" s="288">
        <f>VLOOKUP(C47,[1]Dcu!$B$3:$E$510,4,0)</f>
        <v>7000</v>
      </c>
      <c r="H47" s="56">
        <f t="shared" si="4"/>
        <v>11.217948717948717</v>
      </c>
    </row>
    <row r="48" spans="1:8" s="57" customFormat="1" ht="21" customHeight="1">
      <c r="A48" s="189"/>
      <c r="B48" s="93">
        <v>6</v>
      </c>
      <c r="C48" s="2" t="s">
        <v>296</v>
      </c>
      <c r="D48" s="34" t="s">
        <v>48</v>
      </c>
      <c r="E48" s="290">
        <f>VLOOKUP(C48,[1]Dcu!$B$3:$D$510,3,0)</f>
        <v>3</v>
      </c>
      <c r="F48" s="161">
        <v>0.25</v>
      </c>
      <c r="G48" s="288">
        <f>VLOOKUP(C48,[1]Dcu!$B$3:$E$510,4,0)</f>
        <v>20000</v>
      </c>
      <c r="H48" s="56">
        <f t="shared" si="4"/>
        <v>64.102564102564102</v>
      </c>
    </row>
    <row r="49" spans="1:8" s="57" customFormat="1" ht="21" customHeight="1">
      <c r="A49" s="189"/>
      <c r="B49" s="93">
        <v>7</v>
      </c>
      <c r="C49" s="2" t="s">
        <v>297</v>
      </c>
      <c r="D49" s="34" t="s">
        <v>48</v>
      </c>
      <c r="E49" s="290">
        <f>VLOOKUP(C49,[1]Dcu!$B$3:$D$510,3,0)</f>
        <v>24</v>
      </c>
      <c r="F49" s="161">
        <v>0.25</v>
      </c>
      <c r="G49" s="288">
        <f>VLOOKUP(C49,[1]Dcu!$B$3:$E$510,4,0)</f>
        <v>110000</v>
      </c>
      <c r="H49" s="56">
        <f t="shared" si="4"/>
        <v>44.070512820512818</v>
      </c>
    </row>
    <row r="50" spans="1:8" s="57" customFormat="1" ht="21" customHeight="1">
      <c r="A50" s="189"/>
      <c r="B50" s="93">
        <v>8</v>
      </c>
      <c r="C50" s="200" t="s">
        <v>388</v>
      </c>
      <c r="D50" s="34" t="s">
        <v>86</v>
      </c>
      <c r="E50" s="290">
        <f>VLOOKUP(C50,[1]Dcu!$B$3:$D$510,3,0)</f>
        <v>0.3</v>
      </c>
      <c r="F50" s="161">
        <v>0.02</v>
      </c>
      <c r="G50" s="288">
        <f>VLOOKUP(C50,[1]Dcu!$B$3:$E$510,4,0)</f>
        <v>400000</v>
      </c>
      <c r="H50" s="56">
        <f t="shared" si="4"/>
        <v>1025.6410256410256</v>
      </c>
    </row>
    <row r="51" spans="1:8" s="57" customFormat="1" ht="21" customHeight="1">
      <c r="A51" s="189">
        <v>6</v>
      </c>
      <c r="B51" s="260" t="s">
        <v>304</v>
      </c>
      <c r="C51" s="263" t="s">
        <v>347</v>
      </c>
      <c r="D51" s="264"/>
      <c r="E51" s="397" t="s">
        <v>374</v>
      </c>
      <c r="F51" s="397"/>
      <c r="G51" s="398"/>
      <c r="H51" s="201">
        <f>H42</f>
        <v>5923.0769230769229</v>
      </c>
    </row>
    <row r="52" spans="1:8" s="57" customFormat="1" ht="21" customHeight="1">
      <c r="A52" s="189">
        <v>7</v>
      </c>
      <c r="B52" s="260" t="s">
        <v>305</v>
      </c>
      <c r="C52" s="173" t="s">
        <v>213</v>
      </c>
      <c r="D52" s="264"/>
      <c r="E52" s="397" t="s">
        <v>374</v>
      </c>
      <c r="F52" s="397"/>
      <c r="G52" s="398"/>
      <c r="H52" s="201">
        <f>H42</f>
        <v>5923.0769230769229</v>
      </c>
    </row>
    <row r="53" spans="1:8" s="57" customFormat="1" ht="21" customHeight="1">
      <c r="A53" s="189">
        <v>8</v>
      </c>
      <c r="B53" s="317" t="s">
        <v>419</v>
      </c>
      <c r="C53" s="265" t="s">
        <v>462</v>
      </c>
      <c r="D53" s="264"/>
      <c r="E53" s="397" t="s">
        <v>374</v>
      </c>
      <c r="F53" s="397"/>
      <c r="G53" s="398"/>
      <c r="H53" s="201">
        <f>H42</f>
        <v>5923.0769230769229</v>
      </c>
    </row>
    <row r="54" spans="1:8" s="57" customFormat="1" ht="21" customHeight="1">
      <c r="A54" s="189">
        <v>9</v>
      </c>
      <c r="B54" s="317" t="s">
        <v>421</v>
      </c>
      <c r="C54" s="265" t="s">
        <v>448</v>
      </c>
      <c r="D54" s="309"/>
      <c r="E54" s="397" t="s">
        <v>374</v>
      </c>
      <c r="F54" s="397"/>
      <c r="G54" s="398"/>
      <c r="H54" s="201">
        <f>H53</f>
        <v>5923.0769230769229</v>
      </c>
    </row>
    <row r="55" spans="1:8" s="57" customFormat="1" ht="21" customHeight="1">
      <c r="A55" s="189">
        <v>10</v>
      </c>
      <c r="B55" s="317" t="s">
        <v>424</v>
      </c>
      <c r="C55" s="265" t="s">
        <v>463</v>
      </c>
      <c r="D55" s="264"/>
      <c r="E55" s="397" t="s">
        <v>374</v>
      </c>
      <c r="F55" s="397"/>
      <c r="G55" s="398"/>
      <c r="H55" s="201">
        <f>H52</f>
        <v>5923.0769230769229</v>
      </c>
    </row>
    <row r="56" spans="1:8" s="57" customFormat="1" ht="21" customHeight="1">
      <c r="A56" s="189">
        <v>11</v>
      </c>
      <c r="B56" s="317" t="s">
        <v>425</v>
      </c>
      <c r="C56" s="265" t="s">
        <v>464</v>
      </c>
      <c r="D56" s="309"/>
      <c r="E56" s="397" t="s">
        <v>374</v>
      </c>
      <c r="F56" s="397"/>
      <c r="G56" s="398"/>
      <c r="H56" s="201">
        <f>H52</f>
        <v>5923.0769230769229</v>
      </c>
    </row>
    <row r="57" spans="1:8" s="57" customFormat="1" ht="21" customHeight="1">
      <c r="A57" s="189">
        <v>12</v>
      </c>
      <c r="B57" s="317" t="s">
        <v>427</v>
      </c>
      <c r="C57" s="265" t="s">
        <v>451</v>
      </c>
      <c r="D57" s="264"/>
      <c r="E57" s="397" t="s">
        <v>374</v>
      </c>
      <c r="F57" s="397"/>
      <c r="G57" s="398"/>
      <c r="H57" s="201">
        <f>H52</f>
        <v>5923.0769230769229</v>
      </c>
    </row>
    <row r="58" spans="1:8" s="57" customFormat="1" ht="21" customHeight="1">
      <c r="A58" s="189">
        <v>13</v>
      </c>
      <c r="B58" s="317" t="s">
        <v>433</v>
      </c>
      <c r="C58" s="265" t="s">
        <v>457</v>
      </c>
      <c r="D58" s="309"/>
      <c r="E58" s="397" t="s">
        <v>374</v>
      </c>
      <c r="F58" s="397"/>
      <c r="G58" s="398"/>
      <c r="H58" s="201">
        <f>H52</f>
        <v>5923.0769230769229</v>
      </c>
    </row>
    <row r="59" spans="1:8" s="57" customFormat="1" ht="21" customHeight="1">
      <c r="A59" s="189">
        <v>14</v>
      </c>
      <c r="B59" s="317" t="s">
        <v>434</v>
      </c>
      <c r="C59" s="265" t="s">
        <v>458</v>
      </c>
      <c r="D59" s="309"/>
      <c r="E59" s="397" t="s">
        <v>374</v>
      </c>
      <c r="F59" s="397"/>
      <c r="G59" s="398"/>
      <c r="H59" s="201">
        <f>H52</f>
        <v>5923.0769230769229</v>
      </c>
    </row>
    <row r="60" spans="1:8" s="57" customFormat="1" ht="21" customHeight="1">
      <c r="A60" s="189">
        <v>15</v>
      </c>
      <c r="B60" s="317" t="s">
        <v>435</v>
      </c>
      <c r="C60" s="265" t="s">
        <v>459</v>
      </c>
      <c r="D60" s="309"/>
      <c r="E60" s="397" t="s">
        <v>374</v>
      </c>
      <c r="F60" s="397"/>
      <c r="G60" s="398"/>
      <c r="H60" s="201">
        <f>H52</f>
        <v>5923.0769230769229</v>
      </c>
    </row>
    <row r="61" spans="1:8" s="57" customFormat="1" ht="21" customHeight="1">
      <c r="A61" s="189">
        <v>16</v>
      </c>
      <c r="B61" s="317" t="s">
        <v>436</v>
      </c>
      <c r="C61" s="265" t="s">
        <v>460</v>
      </c>
      <c r="D61" s="309"/>
      <c r="E61" s="397" t="s">
        <v>374</v>
      </c>
      <c r="F61" s="397"/>
      <c r="G61" s="398"/>
      <c r="H61" s="201">
        <f t="shared" ref="H61" si="5">H50</f>
        <v>1025.6410256410256</v>
      </c>
    </row>
    <row r="62" spans="1:8" s="57" customFormat="1" ht="21" customHeight="1">
      <c r="A62" s="189">
        <v>17</v>
      </c>
      <c r="B62" s="317" t="s">
        <v>306</v>
      </c>
      <c r="C62" s="95" t="s">
        <v>217</v>
      </c>
      <c r="D62" s="264"/>
      <c r="E62" s="397" t="s">
        <v>374</v>
      </c>
      <c r="F62" s="397"/>
      <c r="G62" s="398"/>
      <c r="H62" s="201">
        <f>H57</f>
        <v>5923.0769230769229</v>
      </c>
    </row>
    <row r="63" spans="1:8" s="169" customFormat="1" ht="22.5" customHeight="1">
      <c r="A63" s="189">
        <v>18</v>
      </c>
      <c r="B63" s="167" t="s">
        <v>307</v>
      </c>
      <c r="C63" s="393" t="s">
        <v>8</v>
      </c>
      <c r="D63" s="394"/>
      <c r="E63" s="394"/>
      <c r="F63" s="395"/>
      <c r="G63" s="55"/>
      <c r="H63" s="201">
        <f>SUM(H64:H71)*1.1</f>
        <v>5923.0769230769229</v>
      </c>
    </row>
    <row r="64" spans="1:8" s="57" customFormat="1" ht="21" customHeight="1">
      <c r="A64" s="189"/>
      <c r="B64" s="93">
        <v>1</v>
      </c>
      <c r="C64" s="199" t="s">
        <v>326</v>
      </c>
      <c r="D64" s="34" t="s">
        <v>48</v>
      </c>
      <c r="E64" s="290">
        <f>VLOOKUP(C64,[1]Dcu!$B$3:$D$510,3,0)</f>
        <v>5</v>
      </c>
      <c r="F64" s="160">
        <v>0.2</v>
      </c>
      <c r="G64" s="288">
        <f>VLOOKUP(C64,[1]Dcu!$B$3:$E$510,4,0)</f>
        <v>800000</v>
      </c>
      <c r="H64" s="56">
        <f t="shared" si="4"/>
        <v>1230.7692307692309</v>
      </c>
    </row>
    <row r="65" spans="1:8" s="57" customFormat="1" ht="21" customHeight="1">
      <c r="A65" s="189"/>
      <c r="B65" s="93">
        <v>2</v>
      </c>
      <c r="C65" s="31" t="s">
        <v>292</v>
      </c>
      <c r="D65" s="34" t="s">
        <v>293</v>
      </c>
      <c r="E65" s="290">
        <f>VLOOKUP(C65,[1]Dcu!$B$3:$D$510,3,0)</f>
        <v>1</v>
      </c>
      <c r="F65" s="161">
        <v>0.25</v>
      </c>
      <c r="G65" s="288">
        <f>VLOOKUP(C65,[1]Dcu!$B$3:$E$510,4,0)</f>
        <v>300000</v>
      </c>
      <c r="H65" s="56">
        <f t="shared" si="4"/>
        <v>2884.6153846153848</v>
      </c>
    </row>
    <row r="66" spans="1:8" s="57" customFormat="1" ht="21" customHeight="1">
      <c r="A66" s="189"/>
      <c r="B66" s="93">
        <v>3</v>
      </c>
      <c r="C66" s="2" t="s">
        <v>294</v>
      </c>
      <c r="D66" s="34" t="s">
        <v>39</v>
      </c>
      <c r="E66" s="290">
        <f>VLOOKUP(C66,[1]Dcu!$B$3:$D$510,3,0)</f>
        <v>6</v>
      </c>
      <c r="F66" s="161">
        <v>0.25</v>
      </c>
      <c r="G66" s="288">
        <f>VLOOKUP(C66,[1]Dcu!$B$3:$E$510,4,0)</f>
        <v>50000</v>
      </c>
      <c r="H66" s="56">
        <f t="shared" si="4"/>
        <v>80.128205128205124</v>
      </c>
    </row>
    <row r="67" spans="1:8" s="57" customFormat="1" ht="21" customHeight="1">
      <c r="A67" s="189"/>
      <c r="B67" s="93">
        <v>4</v>
      </c>
      <c r="C67" s="7" t="s">
        <v>392</v>
      </c>
      <c r="D67" s="34" t="s">
        <v>57</v>
      </c>
      <c r="E67" s="290">
        <f>VLOOKUP(C67,[1]Dcu!$B$3:$D$510,3,0)</f>
        <v>12</v>
      </c>
      <c r="F67" s="161">
        <v>0.25</v>
      </c>
      <c r="G67" s="288">
        <f>VLOOKUP(C67,[1]Dcu!$B$3:$E$510,4,0)</f>
        <v>55000</v>
      </c>
      <c r="H67" s="56">
        <f t="shared" si="4"/>
        <v>44.070512820512818</v>
      </c>
    </row>
    <row r="68" spans="1:8" s="57" customFormat="1" ht="21" customHeight="1">
      <c r="A68" s="189"/>
      <c r="B68" s="93">
        <v>5</v>
      </c>
      <c r="C68" s="2" t="s">
        <v>295</v>
      </c>
      <c r="D68" s="34" t="s">
        <v>57</v>
      </c>
      <c r="E68" s="290">
        <f>VLOOKUP(C68,[1]Dcu!$B$3:$D$510,3,0)</f>
        <v>6</v>
      </c>
      <c r="F68" s="161">
        <v>0.25</v>
      </c>
      <c r="G68" s="288">
        <f>VLOOKUP(C68,[1]Dcu!$B$3:$E$510,4,0)</f>
        <v>7000</v>
      </c>
      <c r="H68" s="56">
        <f t="shared" si="4"/>
        <v>11.217948717948717</v>
      </c>
    </row>
    <row r="69" spans="1:8" s="57" customFormat="1" ht="21" customHeight="1">
      <c r="A69" s="189"/>
      <c r="B69" s="93">
        <v>6</v>
      </c>
      <c r="C69" s="2" t="s">
        <v>296</v>
      </c>
      <c r="D69" s="34" t="s">
        <v>48</v>
      </c>
      <c r="E69" s="290">
        <f>VLOOKUP(C69,[1]Dcu!$B$3:$D$510,3,0)</f>
        <v>3</v>
      </c>
      <c r="F69" s="161">
        <v>0.25</v>
      </c>
      <c r="G69" s="288">
        <f>VLOOKUP(C69,[1]Dcu!$B$3:$E$510,4,0)</f>
        <v>20000</v>
      </c>
      <c r="H69" s="56">
        <f t="shared" si="4"/>
        <v>64.102564102564102</v>
      </c>
    </row>
    <row r="70" spans="1:8" s="57" customFormat="1" ht="21" customHeight="1">
      <c r="A70" s="189"/>
      <c r="B70" s="93">
        <v>7</v>
      </c>
      <c r="C70" s="2" t="s">
        <v>297</v>
      </c>
      <c r="D70" s="34" t="s">
        <v>48</v>
      </c>
      <c r="E70" s="290">
        <f>VLOOKUP(C70,[1]Dcu!$B$3:$D$510,3,0)</f>
        <v>24</v>
      </c>
      <c r="F70" s="161">
        <v>0.25</v>
      </c>
      <c r="G70" s="288">
        <f>VLOOKUP(C70,[1]Dcu!$B$3:$E$510,4,0)</f>
        <v>110000</v>
      </c>
      <c r="H70" s="56">
        <f t="shared" si="4"/>
        <v>44.070512820512818</v>
      </c>
    </row>
    <row r="71" spans="1:8" s="57" customFormat="1" ht="21" customHeight="1">
      <c r="A71" s="189"/>
      <c r="B71" s="93">
        <v>8</v>
      </c>
      <c r="C71" s="200" t="s">
        <v>388</v>
      </c>
      <c r="D71" s="34" t="s">
        <v>86</v>
      </c>
      <c r="E71" s="290">
        <f>VLOOKUP(C71,[1]Dcu!$B$3:$D$510,3,0)</f>
        <v>0.3</v>
      </c>
      <c r="F71" s="161">
        <v>0.02</v>
      </c>
      <c r="G71" s="288">
        <f>VLOOKUP(C71,[1]Dcu!$B$3:$E$510,4,0)</f>
        <v>400000</v>
      </c>
      <c r="H71" s="56">
        <f t="shared" si="4"/>
        <v>1025.6410256410256</v>
      </c>
    </row>
    <row r="72" spans="1:8" s="57" customFormat="1" ht="21" customHeight="1">
      <c r="A72" s="189">
        <v>19</v>
      </c>
      <c r="B72" s="260" t="s">
        <v>308</v>
      </c>
      <c r="C72" s="265" t="s">
        <v>214</v>
      </c>
      <c r="D72" s="261"/>
      <c r="E72" s="399" t="s">
        <v>376</v>
      </c>
      <c r="F72" s="397"/>
      <c r="G72" s="398"/>
      <c r="H72" s="201">
        <f>H63</f>
        <v>5923.0769230769229</v>
      </c>
    </row>
    <row r="73" spans="1:8" s="57" customFormat="1" ht="21" customHeight="1">
      <c r="A73" s="189">
        <v>20</v>
      </c>
      <c r="B73" s="260" t="s">
        <v>309</v>
      </c>
      <c r="C73" s="266" t="s">
        <v>215</v>
      </c>
      <c r="D73" s="261"/>
      <c r="E73" s="399" t="s">
        <v>376</v>
      </c>
      <c r="F73" s="397"/>
      <c r="G73" s="398"/>
      <c r="H73" s="201">
        <f>H63</f>
        <v>5923.0769230769229</v>
      </c>
    </row>
    <row r="74" spans="1:8" s="57" customFormat="1" ht="27.75" customHeight="1">
      <c r="A74" s="189">
        <v>21</v>
      </c>
      <c r="B74" s="260" t="s">
        <v>310</v>
      </c>
      <c r="C74" s="265" t="s">
        <v>10</v>
      </c>
      <c r="D74" s="261"/>
      <c r="E74" s="399" t="s">
        <v>376</v>
      </c>
      <c r="F74" s="397"/>
      <c r="G74" s="398"/>
      <c r="H74" s="201">
        <f>H63</f>
        <v>5923.0769230769229</v>
      </c>
    </row>
    <row r="75" spans="1:8" s="57" customFormat="1" ht="21" customHeight="1">
      <c r="A75" s="189">
        <v>22</v>
      </c>
      <c r="B75" s="260" t="s">
        <v>311</v>
      </c>
      <c r="C75" s="267" t="s">
        <v>11</v>
      </c>
      <c r="D75" s="261"/>
      <c r="E75" s="399" t="s">
        <v>376</v>
      </c>
      <c r="F75" s="397"/>
      <c r="G75" s="398"/>
      <c r="H75" s="201">
        <f>H63</f>
        <v>5923.0769230769229</v>
      </c>
    </row>
    <row r="76" spans="1:8" ht="24" customHeight="1">
      <c r="A76" s="27" t="s">
        <v>183</v>
      </c>
      <c r="B76" s="388" t="s">
        <v>325</v>
      </c>
      <c r="C76" s="388"/>
      <c r="D76" s="388"/>
      <c r="E76" s="388"/>
      <c r="F76" s="388"/>
      <c r="G76" s="388"/>
      <c r="H76" s="388"/>
    </row>
    <row r="77" spans="1:8" ht="22.5" customHeight="1">
      <c r="A77" s="17">
        <v>1</v>
      </c>
      <c r="B77" s="17" t="s">
        <v>290</v>
      </c>
      <c r="C77" s="389" t="s">
        <v>225</v>
      </c>
      <c r="D77" s="389"/>
      <c r="E77" s="389"/>
      <c r="F77" s="128"/>
      <c r="G77" s="190"/>
      <c r="H77" s="191">
        <f>SUM(H78:H95)*1.1+H96</f>
        <v>30247.232589743591</v>
      </c>
    </row>
    <row r="78" spans="1:8" ht="22.5" customHeight="1">
      <c r="A78" s="174"/>
      <c r="B78" s="93">
        <v>1</v>
      </c>
      <c r="C78" s="132" t="s">
        <v>14</v>
      </c>
      <c r="D78" s="34" t="s">
        <v>48</v>
      </c>
      <c r="E78" s="290">
        <f>VLOOKUP(C78,[1]Dcu!$B$3:$D$510,3,0)</f>
        <v>6</v>
      </c>
      <c r="F78" s="104">
        <v>0.28000000000000003</v>
      </c>
      <c r="G78" s="288">
        <f>VLOOKUP(C78,[1]Dcu!$B$3:$E$510,4,0)</f>
        <v>100000</v>
      </c>
      <c r="H78" s="56">
        <f>G78/(E78*26)*F78</f>
        <v>179.4871794871795</v>
      </c>
    </row>
    <row r="79" spans="1:8" ht="22.5" customHeight="1">
      <c r="A79" s="174"/>
      <c r="B79" s="93">
        <v>2</v>
      </c>
      <c r="C79" s="132" t="s">
        <v>66</v>
      </c>
      <c r="D79" s="34" t="s">
        <v>48</v>
      </c>
      <c r="E79" s="290">
        <f>VLOOKUP(C79,[1]Dcu!$B$3:$D$510,3,0)</f>
        <v>1</v>
      </c>
      <c r="F79" s="104">
        <v>0.28000000000000003</v>
      </c>
      <c r="G79" s="288">
        <f>VLOOKUP(C79,[1]Dcu!$B$3:$E$510,4,0)</f>
        <v>2000</v>
      </c>
      <c r="H79" s="56">
        <f t="shared" ref="H79:H95" si="6">G79/(E79*26)*F79</f>
        <v>21.53846153846154</v>
      </c>
    </row>
    <row r="80" spans="1:8" ht="22.5" customHeight="1">
      <c r="A80" s="174"/>
      <c r="B80" s="93">
        <v>3</v>
      </c>
      <c r="C80" s="132" t="s">
        <v>67</v>
      </c>
      <c r="D80" s="34" t="s">
        <v>48</v>
      </c>
      <c r="E80" s="290">
        <f>VLOOKUP(C80,[1]Dcu!$B$3:$D$510,3,0)</f>
        <v>1.5</v>
      </c>
      <c r="F80" s="104">
        <v>0.28000000000000003</v>
      </c>
      <c r="G80" s="288">
        <f>VLOOKUP(C80,[1]Dcu!$B$3:$E$510,4,0)</f>
        <v>14000</v>
      </c>
      <c r="H80" s="56">
        <f t="shared" si="6"/>
        <v>100.51282051282051</v>
      </c>
    </row>
    <row r="81" spans="1:8" ht="22.5" customHeight="1">
      <c r="A81" s="174"/>
      <c r="B81" s="93">
        <v>4</v>
      </c>
      <c r="C81" s="132" t="s">
        <v>226</v>
      </c>
      <c r="D81" s="34" t="s">
        <v>48</v>
      </c>
      <c r="E81" s="290">
        <f>VLOOKUP(C81,[1]Dcu!$B$3:$D$510,3,0)</f>
        <v>6</v>
      </c>
      <c r="F81" s="104">
        <v>0.28000000000000003</v>
      </c>
      <c r="G81" s="288">
        <f>VLOOKUP(C81,[1]Dcu!$B$3:$E$510,4,0)</f>
        <v>13000000</v>
      </c>
      <c r="H81" s="56">
        <f t="shared" si="6"/>
        <v>23333.333333333336</v>
      </c>
    </row>
    <row r="82" spans="1:8" ht="22.5" customHeight="1">
      <c r="A82" s="174"/>
      <c r="B82" s="93">
        <v>5</v>
      </c>
      <c r="C82" s="132" t="s">
        <v>53</v>
      </c>
      <c r="D82" s="34" t="s">
        <v>48</v>
      </c>
      <c r="E82" s="290">
        <f>VLOOKUP(C82,[1]Dcu!$B$3:$D$510,3,0)</f>
        <v>6</v>
      </c>
      <c r="F82" s="104">
        <v>0.28000000000000003</v>
      </c>
      <c r="G82" s="288">
        <f>VLOOKUP(C82,[1]Dcu!$B$3:$E$510,4,0)</f>
        <v>80000</v>
      </c>
      <c r="H82" s="56">
        <f t="shared" si="6"/>
        <v>143.58974358974359</v>
      </c>
    </row>
    <row r="83" spans="1:8" ht="22.5" customHeight="1">
      <c r="A83" s="174"/>
      <c r="B83" s="93">
        <v>6</v>
      </c>
      <c r="C83" s="132" t="s">
        <v>21</v>
      </c>
      <c r="D83" s="34" t="s">
        <v>48</v>
      </c>
      <c r="E83" s="290">
        <f>VLOOKUP(C83,[1]Dcu!$B$3:$D$510,3,0)</f>
        <v>6</v>
      </c>
      <c r="F83" s="104">
        <v>0.28000000000000003</v>
      </c>
      <c r="G83" s="288">
        <f>VLOOKUP(C83,[1]Dcu!$B$3:$E$510,4,0)</f>
        <v>180000</v>
      </c>
      <c r="H83" s="56">
        <f t="shared" si="6"/>
        <v>323.07692307692309</v>
      </c>
    </row>
    <row r="84" spans="1:8" ht="22.5" customHeight="1">
      <c r="A84" s="174"/>
      <c r="B84" s="93">
        <v>7</v>
      </c>
      <c r="C84" s="132" t="s">
        <v>72</v>
      </c>
      <c r="D84" s="34" t="s">
        <v>48</v>
      </c>
      <c r="E84" s="290">
        <f>VLOOKUP(C84,[1]Dcu!$B$3:$D$510,3,0)</f>
        <v>6</v>
      </c>
      <c r="F84" s="104">
        <v>0.28000000000000003</v>
      </c>
      <c r="G84" s="288">
        <f>VLOOKUP(C84,[1]Dcu!$B$3:$E$510,4,0)</f>
        <v>75000</v>
      </c>
      <c r="H84" s="56">
        <f t="shared" si="6"/>
        <v>134.61538461538464</v>
      </c>
    </row>
    <row r="85" spans="1:8" ht="22.5" customHeight="1">
      <c r="A85" s="174"/>
      <c r="B85" s="93">
        <v>8</v>
      </c>
      <c r="C85" s="132" t="s">
        <v>396</v>
      </c>
      <c r="D85" s="34" t="s">
        <v>48</v>
      </c>
      <c r="E85" s="290">
        <f>VLOOKUP(C85,[1]Dcu!$B$3:$D$510,3,0)</f>
        <v>12</v>
      </c>
      <c r="F85" s="104">
        <v>0.4</v>
      </c>
      <c r="G85" s="288">
        <f>VLOOKUP(C85,[1]Dcu!$B$3:$E$510,4,0)</f>
        <v>30000</v>
      </c>
      <c r="H85" s="56">
        <f t="shared" si="6"/>
        <v>38.461538461538467</v>
      </c>
    </row>
    <row r="86" spans="1:8" ht="22.5" customHeight="1">
      <c r="A86" s="174"/>
      <c r="B86" s="93">
        <v>10</v>
      </c>
      <c r="C86" s="200" t="s">
        <v>388</v>
      </c>
      <c r="D86" s="34" t="s">
        <v>86</v>
      </c>
      <c r="E86" s="290">
        <f>VLOOKUP(C86,[1]Dcu!$B$3:$D$510,3,0)</f>
        <v>0.3</v>
      </c>
      <c r="F86" s="161">
        <v>0.02</v>
      </c>
      <c r="G86" s="288">
        <f>VLOOKUP(C86,[1]Dcu!$B$3:$E$510,4,0)</f>
        <v>400000</v>
      </c>
      <c r="H86" s="56">
        <f t="shared" si="6"/>
        <v>1025.6410256410256</v>
      </c>
    </row>
    <row r="87" spans="1:8" ht="22.5" customHeight="1">
      <c r="A87" s="174"/>
      <c r="B87" s="93">
        <v>11</v>
      </c>
      <c r="C87" s="132" t="s">
        <v>33</v>
      </c>
      <c r="D87" s="34" t="s">
        <v>86</v>
      </c>
      <c r="E87" s="290">
        <f>VLOOKUP(C87,[1]Dcu!$B$3:$D$510,3,0)</f>
        <v>0.3</v>
      </c>
      <c r="F87" s="161">
        <v>0.02</v>
      </c>
      <c r="G87" s="288">
        <f>VLOOKUP(C87,[1]Dcu!$B$3:$E$510,4,0)</f>
        <v>380000</v>
      </c>
      <c r="H87" s="56">
        <f t="shared" si="6"/>
        <v>974.35897435897436</v>
      </c>
    </row>
    <row r="88" spans="1:8" ht="22.5" customHeight="1">
      <c r="A88" s="174"/>
      <c r="B88" s="93">
        <v>12</v>
      </c>
      <c r="C88" s="132" t="s">
        <v>34</v>
      </c>
      <c r="D88" s="34" t="s">
        <v>48</v>
      </c>
      <c r="E88" s="290">
        <f>VLOOKUP(C88,[1]Dcu!$B$3:$D$510,3,0)</f>
        <v>36</v>
      </c>
      <c r="F88" s="104">
        <v>6.7000000000000004E-2</v>
      </c>
      <c r="G88" s="288">
        <f>VLOOKUP(C88,[1]Dcu!$B$3:$E$510,4,0)</f>
        <v>500000</v>
      </c>
      <c r="H88" s="56">
        <f t="shared" si="6"/>
        <v>35.79059829059829</v>
      </c>
    </row>
    <row r="89" spans="1:8" ht="22.5" customHeight="1">
      <c r="A89" s="174"/>
      <c r="B89" s="93">
        <v>13</v>
      </c>
      <c r="C89" s="132" t="s">
        <v>35</v>
      </c>
      <c r="D89" s="34" t="s">
        <v>48</v>
      </c>
      <c r="E89" s="290">
        <f>VLOOKUP(C89,[1]Dcu!$B$3:$D$510,3,0)</f>
        <v>36</v>
      </c>
      <c r="F89" s="104">
        <v>6.7000000000000004E-2</v>
      </c>
      <c r="G89" s="288">
        <f>VLOOKUP(C89,[1]Dcu!$B$3:$E$510,4,0)</f>
        <v>250000</v>
      </c>
      <c r="H89" s="56">
        <f t="shared" si="6"/>
        <v>17.895299145299145</v>
      </c>
    </row>
    <row r="90" spans="1:8" ht="22.5" customHeight="1">
      <c r="A90" s="174"/>
      <c r="B90" s="93">
        <v>14</v>
      </c>
      <c r="C90" s="132" t="s">
        <v>36</v>
      </c>
      <c r="D90" s="34" t="s">
        <v>48</v>
      </c>
      <c r="E90" s="290">
        <f>VLOOKUP(C90,[1]Dcu!$B$3:$D$510,3,0)</f>
        <v>60</v>
      </c>
      <c r="F90" s="104">
        <v>3.0000000000000001E-3</v>
      </c>
      <c r="G90" s="288">
        <f>VLOOKUP(C90,[1]Dcu!$B$3:$E$510,4,0)</f>
        <v>1600000</v>
      </c>
      <c r="H90" s="56">
        <f t="shared" si="6"/>
        <v>3.0769230769230771</v>
      </c>
    </row>
    <row r="91" spans="1:8" ht="22.5" customHeight="1">
      <c r="A91" s="174"/>
      <c r="B91" s="93">
        <v>15</v>
      </c>
      <c r="C91" s="132" t="s">
        <v>37</v>
      </c>
      <c r="D91" s="34" t="s">
        <v>48</v>
      </c>
      <c r="E91" s="290">
        <f>VLOOKUP(C91,[1]Dcu!$B$3:$D$510,3,0)</f>
        <v>36</v>
      </c>
      <c r="F91" s="104">
        <v>2.5000000000000001E-2</v>
      </c>
      <c r="G91" s="288">
        <f>VLOOKUP(C91,[1]Dcu!$B$3:$E$510,4,0)</f>
        <v>1500000</v>
      </c>
      <c r="H91" s="56">
        <f t="shared" si="6"/>
        <v>40.064102564102569</v>
      </c>
    </row>
    <row r="92" spans="1:8" ht="22.5" customHeight="1">
      <c r="A92" s="174"/>
      <c r="B92" s="93">
        <v>17</v>
      </c>
      <c r="C92" s="132" t="s">
        <v>38</v>
      </c>
      <c r="D92" s="34" t="s">
        <v>39</v>
      </c>
      <c r="E92" s="290">
        <f>VLOOKUP(C92,[1]Dcu!$B$3:$D$510,3,0)</f>
        <v>24</v>
      </c>
      <c r="F92" s="104">
        <v>0.4</v>
      </c>
      <c r="G92" s="288">
        <f>VLOOKUP(C92,[1]Dcu!$B$3:$E$510,4,0)</f>
        <v>40000</v>
      </c>
      <c r="H92" s="56">
        <f t="shared" si="6"/>
        <v>25.641025641025642</v>
      </c>
    </row>
    <row r="93" spans="1:8" ht="22.5" customHeight="1">
      <c r="A93" s="174"/>
      <c r="B93" s="93">
        <v>18</v>
      </c>
      <c r="C93" s="132" t="s">
        <v>40</v>
      </c>
      <c r="D93" s="34" t="s">
        <v>48</v>
      </c>
      <c r="E93" s="290">
        <f>VLOOKUP(C93,[1]Dcu!$B$3:$D$510,3,0)</f>
        <v>72</v>
      </c>
      <c r="F93" s="104">
        <v>0.1</v>
      </c>
      <c r="G93" s="288">
        <f>VLOOKUP(C93,[1]Dcu!$B$3:$E$510,4,0)</f>
        <v>1000000</v>
      </c>
      <c r="H93" s="56">
        <f t="shared" si="6"/>
        <v>53.418803418803421</v>
      </c>
    </row>
    <row r="94" spans="1:8" ht="22.5" customHeight="1">
      <c r="A94" s="174"/>
      <c r="B94" s="93">
        <v>19</v>
      </c>
      <c r="C94" s="132" t="s">
        <v>41</v>
      </c>
      <c r="D94" s="34" t="s">
        <v>48</v>
      </c>
      <c r="E94" s="290">
        <f>VLOOKUP(C94,[1]Dcu!$B$3:$D$510,3,0)</f>
        <v>72</v>
      </c>
      <c r="F94" s="104">
        <v>0.4</v>
      </c>
      <c r="G94" s="288">
        <f>VLOOKUP(C94,[1]Dcu!$B$3:$E$510,4,0)</f>
        <v>300000</v>
      </c>
      <c r="H94" s="56">
        <f t="shared" si="6"/>
        <v>64.102564102564102</v>
      </c>
    </row>
    <row r="95" spans="1:8" ht="22.5" customHeight="1">
      <c r="A95" s="174"/>
      <c r="B95" s="93">
        <v>20</v>
      </c>
      <c r="C95" s="132" t="s">
        <v>42</v>
      </c>
      <c r="D95" s="34" t="s">
        <v>48</v>
      </c>
      <c r="E95" s="290">
        <f>VLOOKUP(C95,[1]Dcu!$B$3:$D$510,3,0)</f>
        <v>72</v>
      </c>
      <c r="F95" s="104">
        <v>0.4</v>
      </c>
      <c r="G95" s="288">
        <f>VLOOKUP(C95,[1]Dcu!$B$3:$E$510,4,0)</f>
        <v>80000</v>
      </c>
      <c r="H95" s="56">
        <f t="shared" si="6"/>
        <v>17.094017094017094</v>
      </c>
    </row>
    <row r="96" spans="1:8" ht="22.5" customHeight="1">
      <c r="A96" s="174"/>
      <c r="B96" s="93">
        <v>21</v>
      </c>
      <c r="C96" s="132" t="s">
        <v>43</v>
      </c>
      <c r="D96" s="34" t="s">
        <v>44</v>
      </c>
      <c r="E96" s="34"/>
      <c r="F96" s="104">
        <v>0.57799999999999996</v>
      </c>
      <c r="G96" s="288">
        <f>VLOOKUP(C96,[1]Dcu!$B$3:$E$510,4,0)</f>
        <v>1838</v>
      </c>
      <c r="H96" s="56">
        <f>G96*F96</f>
        <v>1062.364</v>
      </c>
    </row>
    <row r="97" spans="1:8" ht="22.5" customHeight="1">
      <c r="A97" s="17">
        <v>2</v>
      </c>
      <c r="B97" s="17" t="s">
        <v>298</v>
      </c>
      <c r="C97" s="390" t="s">
        <v>387</v>
      </c>
      <c r="D97" s="390"/>
      <c r="E97" s="390"/>
      <c r="F97" s="128"/>
      <c r="G97" s="190"/>
      <c r="H97" s="191">
        <f>SUM(H98:H122)*1.1+H123</f>
        <v>15060.463358974361</v>
      </c>
    </row>
    <row r="98" spans="1:8" ht="22.5" customHeight="1">
      <c r="A98" s="174"/>
      <c r="B98" s="93">
        <v>1</v>
      </c>
      <c r="C98" s="132" t="s">
        <v>14</v>
      </c>
      <c r="D98" s="34" t="s">
        <v>48</v>
      </c>
      <c r="E98" s="290">
        <f>VLOOKUP(C98,[1]Dcu!$B$3:$D$510,3,0)</f>
        <v>6</v>
      </c>
      <c r="F98" s="104">
        <v>0.28000000000000003</v>
      </c>
      <c r="G98" s="288">
        <f>VLOOKUP(C98,[1]Dcu!$B$3:$E$510,4,0)</f>
        <v>100000</v>
      </c>
      <c r="H98" s="56">
        <f>G98/(E98*26)*F98</f>
        <v>179.4871794871795</v>
      </c>
    </row>
    <row r="99" spans="1:8" ht="22.5" customHeight="1">
      <c r="A99" s="174"/>
      <c r="B99" s="93">
        <v>2</v>
      </c>
      <c r="C99" s="132" t="s">
        <v>66</v>
      </c>
      <c r="D99" s="34" t="s">
        <v>48</v>
      </c>
      <c r="E99" s="290">
        <f>VLOOKUP(C99,[1]Dcu!$B$3:$D$510,3,0)</f>
        <v>1</v>
      </c>
      <c r="F99" s="104">
        <v>0.28000000000000003</v>
      </c>
      <c r="G99" s="288">
        <f>VLOOKUP(C99,[1]Dcu!$B$3:$E$510,4,0)</f>
        <v>2000</v>
      </c>
      <c r="H99" s="56">
        <f t="shared" ref="H99:H125" si="7">G99/(E99*26)*F99</f>
        <v>21.53846153846154</v>
      </c>
    </row>
    <row r="100" spans="1:8" ht="22.5" customHeight="1">
      <c r="A100" s="174"/>
      <c r="B100" s="93">
        <v>3</v>
      </c>
      <c r="C100" s="132" t="s">
        <v>67</v>
      </c>
      <c r="D100" s="34" t="s">
        <v>48</v>
      </c>
      <c r="E100" s="290">
        <f>VLOOKUP(C100,[1]Dcu!$B$3:$D$510,3,0)</f>
        <v>1.5</v>
      </c>
      <c r="F100" s="104">
        <v>0.28000000000000003</v>
      </c>
      <c r="G100" s="288">
        <f>VLOOKUP(C100,[1]Dcu!$B$3:$E$510,4,0)</f>
        <v>14000</v>
      </c>
      <c r="H100" s="56">
        <f t="shared" si="7"/>
        <v>100.51282051282051</v>
      </c>
    </row>
    <row r="101" spans="1:8" ht="22.5" customHeight="1">
      <c r="A101" s="174"/>
      <c r="B101" s="93">
        <v>4</v>
      </c>
      <c r="C101" s="132" t="s">
        <v>68</v>
      </c>
      <c r="D101" s="34" t="s">
        <v>48</v>
      </c>
      <c r="E101" s="290">
        <f>VLOOKUP(C101,[1]Dcu!$B$3:$D$510,3,0)</f>
        <v>6</v>
      </c>
      <c r="F101" s="104">
        <v>0.28000000000000003</v>
      </c>
      <c r="G101" s="288">
        <f>VLOOKUP(C101,[1]Dcu!$B$3:$E$510,4,0)</f>
        <v>3500000</v>
      </c>
      <c r="H101" s="56">
        <f t="shared" si="7"/>
        <v>6282.0512820512831</v>
      </c>
    </row>
    <row r="102" spans="1:8" ht="22.5" customHeight="1">
      <c r="A102" s="174"/>
      <c r="B102" s="93">
        <v>5</v>
      </c>
      <c r="C102" s="132" t="s">
        <v>53</v>
      </c>
      <c r="D102" s="34" t="s">
        <v>48</v>
      </c>
      <c r="E102" s="290">
        <f>VLOOKUP(C102,[1]Dcu!$B$3:$D$510,3,0)</f>
        <v>6</v>
      </c>
      <c r="F102" s="104">
        <v>0.28000000000000003</v>
      </c>
      <c r="G102" s="288">
        <f>VLOOKUP(C102,[1]Dcu!$B$3:$E$510,4,0)</f>
        <v>80000</v>
      </c>
      <c r="H102" s="56">
        <f t="shared" si="7"/>
        <v>143.58974358974359</v>
      </c>
    </row>
    <row r="103" spans="1:8" ht="22.5" customHeight="1">
      <c r="A103" s="174"/>
      <c r="B103" s="93">
        <v>6</v>
      </c>
      <c r="C103" s="132" t="s">
        <v>21</v>
      </c>
      <c r="D103" s="34" t="s">
        <v>48</v>
      </c>
      <c r="E103" s="290">
        <f>VLOOKUP(C103,[1]Dcu!$B$3:$D$510,3,0)</f>
        <v>6</v>
      </c>
      <c r="F103" s="104">
        <v>0.28000000000000003</v>
      </c>
      <c r="G103" s="288">
        <f>VLOOKUP(C103,[1]Dcu!$B$3:$E$510,4,0)</f>
        <v>180000</v>
      </c>
      <c r="H103" s="56">
        <f t="shared" si="7"/>
        <v>323.07692307692309</v>
      </c>
    </row>
    <row r="104" spans="1:8" ht="22.5" customHeight="1">
      <c r="A104" s="174"/>
      <c r="B104" s="93">
        <v>7</v>
      </c>
      <c r="C104" s="132" t="s">
        <v>69</v>
      </c>
      <c r="D104" s="34" t="s">
        <v>48</v>
      </c>
      <c r="E104" s="290">
        <f>VLOOKUP(C104,[1]Dcu!$B$3:$D$510,3,0)</f>
        <v>6</v>
      </c>
      <c r="F104" s="104">
        <v>0.28000000000000003</v>
      </c>
      <c r="G104" s="288">
        <f>VLOOKUP(C104,[1]Dcu!$B$3:$E$510,4,0)</f>
        <v>200000</v>
      </c>
      <c r="H104" s="56">
        <f t="shared" si="7"/>
        <v>358.97435897435901</v>
      </c>
    </row>
    <row r="105" spans="1:8" ht="22.5" customHeight="1">
      <c r="A105" s="174"/>
      <c r="B105" s="93">
        <v>8</v>
      </c>
      <c r="C105" s="132" t="s">
        <v>20</v>
      </c>
      <c r="D105" s="34" t="s">
        <v>48</v>
      </c>
      <c r="E105" s="290">
        <f>VLOOKUP(C105,[1]Dcu!$B$3:$D$510,3,0)</f>
        <v>6</v>
      </c>
      <c r="F105" s="104">
        <v>0.28000000000000003</v>
      </c>
      <c r="G105" s="288">
        <f>VLOOKUP(C105,[1]Dcu!$B$3:$E$510,4,0)</f>
        <v>170000</v>
      </c>
      <c r="H105" s="56">
        <f t="shared" si="7"/>
        <v>305.1282051282052</v>
      </c>
    </row>
    <row r="106" spans="1:8" ht="22.5" customHeight="1">
      <c r="A106" s="174"/>
      <c r="B106" s="93">
        <v>9</v>
      </c>
      <c r="C106" s="132" t="s">
        <v>70</v>
      </c>
      <c r="D106" s="34" t="s">
        <v>48</v>
      </c>
      <c r="E106" s="290">
        <f>VLOOKUP(C106,[1]Dcu!$B$3:$D$510,3,0)</f>
        <v>6</v>
      </c>
      <c r="F106" s="104">
        <v>0.28000000000000003</v>
      </c>
      <c r="G106" s="288">
        <f>VLOOKUP(C106,[1]Dcu!$B$3:$E$510,4,0)</f>
        <v>320000</v>
      </c>
      <c r="H106" s="56">
        <f t="shared" si="7"/>
        <v>574.35897435897436</v>
      </c>
    </row>
    <row r="107" spans="1:8" ht="22.5" customHeight="1">
      <c r="A107" s="174"/>
      <c r="B107" s="93">
        <v>10</v>
      </c>
      <c r="C107" s="132" t="s">
        <v>71</v>
      </c>
      <c r="D107" s="34" t="s">
        <v>48</v>
      </c>
      <c r="E107" s="290">
        <f>VLOOKUP(C107,[1]Dcu!$B$3:$D$510,3,0)</f>
        <v>1</v>
      </c>
      <c r="F107" s="104">
        <v>0.28000000000000003</v>
      </c>
      <c r="G107" s="288">
        <f>VLOOKUP(C107,[1]Dcu!$B$3:$E$510,4,0)</f>
        <v>3000</v>
      </c>
      <c r="H107" s="56">
        <f t="shared" si="7"/>
        <v>32.307692307692314</v>
      </c>
    </row>
    <row r="108" spans="1:8" ht="22.5" customHeight="1">
      <c r="A108" s="174"/>
      <c r="B108" s="93">
        <v>11</v>
      </c>
      <c r="C108" s="132" t="s">
        <v>72</v>
      </c>
      <c r="D108" s="34" t="s">
        <v>48</v>
      </c>
      <c r="E108" s="290">
        <f>VLOOKUP(C108,[1]Dcu!$B$3:$D$510,3,0)</f>
        <v>6</v>
      </c>
      <c r="F108" s="104">
        <v>0.28000000000000003</v>
      </c>
      <c r="G108" s="288">
        <f>VLOOKUP(C108,[1]Dcu!$B$3:$E$510,4,0)</f>
        <v>75000</v>
      </c>
      <c r="H108" s="56">
        <f t="shared" si="7"/>
        <v>134.61538461538464</v>
      </c>
    </row>
    <row r="109" spans="1:8" ht="22.5" customHeight="1">
      <c r="A109" s="174"/>
      <c r="B109" s="93">
        <v>12</v>
      </c>
      <c r="C109" s="132" t="s">
        <v>30</v>
      </c>
      <c r="D109" s="34" t="s">
        <v>48</v>
      </c>
      <c r="E109" s="290">
        <f>VLOOKUP(C109,[1]Dcu!$B$3:$D$510,3,0)</f>
        <v>6</v>
      </c>
      <c r="F109" s="104">
        <v>0.28000000000000003</v>
      </c>
      <c r="G109" s="288">
        <f>VLOOKUP(C109,[1]Dcu!$B$3:$E$510,4,0)</f>
        <v>340000</v>
      </c>
      <c r="H109" s="56">
        <f t="shared" si="7"/>
        <v>610.25641025641039</v>
      </c>
    </row>
    <row r="110" spans="1:8" ht="22.5" customHeight="1">
      <c r="A110" s="174"/>
      <c r="B110" s="93">
        <v>13</v>
      </c>
      <c r="C110" s="132" t="s">
        <v>31</v>
      </c>
      <c r="D110" s="34" t="s">
        <v>48</v>
      </c>
      <c r="E110" s="290">
        <f>VLOOKUP(C110,[1]Dcu!$B$3:$D$510,3,0)</f>
        <v>6</v>
      </c>
      <c r="F110" s="104">
        <v>0.28000000000000003</v>
      </c>
      <c r="G110" s="288">
        <f>VLOOKUP(C110,[1]Dcu!$B$3:$E$510,4,0)</f>
        <v>700000</v>
      </c>
      <c r="H110" s="56">
        <f t="shared" si="7"/>
        <v>1256.4102564102566</v>
      </c>
    </row>
    <row r="111" spans="1:8" ht="22.5" customHeight="1">
      <c r="A111" s="174"/>
      <c r="B111" s="93">
        <v>14</v>
      </c>
      <c r="C111" s="132" t="s">
        <v>56</v>
      </c>
      <c r="D111" s="34" t="s">
        <v>48</v>
      </c>
      <c r="E111" s="290">
        <f>VLOOKUP(C111,[1]Dcu!$B$3:$D$510,3,0)</f>
        <v>6</v>
      </c>
      <c r="F111" s="104">
        <v>0.28000000000000003</v>
      </c>
      <c r="G111" s="288">
        <f>VLOOKUP(C111,[1]Dcu!$B$3:$E$510,4,0)</f>
        <v>60000</v>
      </c>
      <c r="H111" s="56">
        <f t="shared" si="7"/>
        <v>107.69230769230771</v>
      </c>
    </row>
    <row r="112" spans="1:8" ht="22.5" customHeight="1">
      <c r="A112" s="174"/>
      <c r="B112" s="93">
        <v>15</v>
      </c>
      <c r="C112" s="132" t="s">
        <v>396</v>
      </c>
      <c r="D112" s="34" t="s">
        <v>48</v>
      </c>
      <c r="E112" s="290">
        <f>VLOOKUP(C112,[1]Dcu!$B$3:$D$510,3,0)</f>
        <v>12</v>
      </c>
      <c r="F112" s="104">
        <v>0.4</v>
      </c>
      <c r="G112" s="288">
        <f>VLOOKUP(C112,[1]Dcu!$B$3:$E$510,4,0)</f>
        <v>30000</v>
      </c>
      <c r="H112" s="56">
        <f t="shared" si="7"/>
        <v>38.461538461538467</v>
      </c>
    </row>
    <row r="113" spans="1:8" ht="22.5" customHeight="1">
      <c r="A113" s="174"/>
      <c r="B113" s="93">
        <v>17</v>
      </c>
      <c r="C113" s="200" t="s">
        <v>388</v>
      </c>
      <c r="D113" s="34" t="s">
        <v>86</v>
      </c>
      <c r="E113" s="290">
        <f>VLOOKUP(C113,[1]Dcu!$B$3:$D$510,3,0)</f>
        <v>0.3</v>
      </c>
      <c r="F113" s="161">
        <v>0.02</v>
      </c>
      <c r="G113" s="288">
        <f>VLOOKUP(C113,[1]Dcu!$B$3:$E$510,4,0)</f>
        <v>400000</v>
      </c>
      <c r="H113" s="56">
        <f t="shared" si="7"/>
        <v>1025.6410256410256</v>
      </c>
    </row>
    <row r="114" spans="1:8" ht="22.5" customHeight="1">
      <c r="A114" s="174"/>
      <c r="B114" s="93">
        <v>18</v>
      </c>
      <c r="C114" s="132" t="s">
        <v>33</v>
      </c>
      <c r="D114" s="34" t="s">
        <v>86</v>
      </c>
      <c r="E114" s="290">
        <f>VLOOKUP(C114,[1]Dcu!$B$3:$D$510,3,0)</f>
        <v>0.3</v>
      </c>
      <c r="F114" s="161">
        <v>0.02</v>
      </c>
      <c r="G114" s="288">
        <f>VLOOKUP(C114,[1]Dcu!$B$3:$E$510,4,0)</f>
        <v>380000</v>
      </c>
      <c r="H114" s="56">
        <f t="shared" si="7"/>
        <v>974.35897435897436</v>
      </c>
    </row>
    <row r="115" spans="1:8" ht="22.5" customHeight="1">
      <c r="A115" s="174"/>
      <c r="B115" s="93">
        <v>19</v>
      </c>
      <c r="C115" s="132" t="s">
        <v>34</v>
      </c>
      <c r="D115" s="34" t="s">
        <v>48</v>
      </c>
      <c r="E115" s="290">
        <f>VLOOKUP(C115,[1]Dcu!$B$3:$D$510,3,0)</f>
        <v>36</v>
      </c>
      <c r="F115" s="104">
        <v>6.7000000000000004E-2</v>
      </c>
      <c r="G115" s="288">
        <f>VLOOKUP(C115,[1]Dcu!$B$3:$E$510,4,0)</f>
        <v>500000</v>
      </c>
      <c r="H115" s="56">
        <f t="shared" si="7"/>
        <v>35.79059829059829</v>
      </c>
    </row>
    <row r="116" spans="1:8" ht="22.5" customHeight="1">
      <c r="A116" s="174"/>
      <c r="B116" s="93">
        <v>20</v>
      </c>
      <c r="C116" s="132" t="s">
        <v>35</v>
      </c>
      <c r="D116" s="34" t="s">
        <v>48</v>
      </c>
      <c r="E116" s="290">
        <f>VLOOKUP(C116,[1]Dcu!$B$3:$D$510,3,0)</f>
        <v>36</v>
      </c>
      <c r="F116" s="104">
        <v>6.7000000000000004E-2</v>
      </c>
      <c r="G116" s="288">
        <f>VLOOKUP(C116,[1]Dcu!$B$3:$E$510,4,0)</f>
        <v>250000</v>
      </c>
      <c r="H116" s="56">
        <f t="shared" si="7"/>
        <v>17.895299145299145</v>
      </c>
    </row>
    <row r="117" spans="1:8" ht="22.5" customHeight="1">
      <c r="A117" s="174"/>
      <c r="B117" s="93">
        <v>21</v>
      </c>
      <c r="C117" s="132" t="s">
        <v>36</v>
      </c>
      <c r="D117" s="34" t="s">
        <v>48</v>
      </c>
      <c r="E117" s="290">
        <f>VLOOKUP(C117,[1]Dcu!$B$3:$D$510,3,0)</f>
        <v>60</v>
      </c>
      <c r="F117" s="104">
        <v>3.0000000000000001E-3</v>
      </c>
      <c r="G117" s="288">
        <f>VLOOKUP(C117,[1]Dcu!$B$3:$E$510,4,0)</f>
        <v>1600000</v>
      </c>
      <c r="H117" s="56">
        <f t="shared" si="7"/>
        <v>3.0769230769230771</v>
      </c>
    </row>
    <row r="118" spans="1:8" ht="22.5" customHeight="1">
      <c r="A118" s="174"/>
      <c r="B118" s="93">
        <v>22</v>
      </c>
      <c r="C118" s="132" t="s">
        <v>37</v>
      </c>
      <c r="D118" s="34" t="s">
        <v>48</v>
      </c>
      <c r="E118" s="290">
        <f>VLOOKUP(C118,[1]Dcu!$B$3:$D$510,3,0)</f>
        <v>36</v>
      </c>
      <c r="F118" s="104">
        <v>2.5000000000000001E-2</v>
      </c>
      <c r="G118" s="288">
        <f>VLOOKUP(C118,[1]Dcu!$B$3:$E$510,4,0)</f>
        <v>1500000</v>
      </c>
      <c r="H118" s="56">
        <f t="shared" si="7"/>
        <v>40.064102564102569</v>
      </c>
    </row>
    <row r="119" spans="1:8" ht="22.5" customHeight="1">
      <c r="A119" s="174"/>
      <c r="B119" s="93">
        <v>24</v>
      </c>
      <c r="C119" s="132" t="s">
        <v>38</v>
      </c>
      <c r="D119" s="34" t="s">
        <v>39</v>
      </c>
      <c r="E119" s="290">
        <f>VLOOKUP(C119,[1]Dcu!$B$3:$D$510,3,0)</f>
        <v>24</v>
      </c>
      <c r="F119" s="104">
        <v>0.4</v>
      </c>
      <c r="G119" s="288">
        <f>VLOOKUP(C119,[1]Dcu!$B$3:$E$510,4,0)</f>
        <v>40000</v>
      </c>
      <c r="H119" s="56">
        <f t="shared" si="7"/>
        <v>25.641025641025642</v>
      </c>
    </row>
    <row r="120" spans="1:8" ht="22.5" customHeight="1">
      <c r="A120" s="174"/>
      <c r="B120" s="93">
        <v>25</v>
      </c>
      <c r="C120" s="132" t="s">
        <v>40</v>
      </c>
      <c r="D120" s="34" t="s">
        <v>48</v>
      </c>
      <c r="E120" s="290">
        <f>VLOOKUP(C120,[1]Dcu!$B$3:$D$510,3,0)</f>
        <v>72</v>
      </c>
      <c r="F120" s="104">
        <v>0.1</v>
      </c>
      <c r="G120" s="288">
        <f>VLOOKUP(C120,[1]Dcu!$B$3:$E$510,4,0)</f>
        <v>1000000</v>
      </c>
      <c r="H120" s="56">
        <f t="shared" si="7"/>
        <v>53.418803418803421</v>
      </c>
    </row>
    <row r="121" spans="1:8" ht="22.5" customHeight="1">
      <c r="A121" s="174"/>
      <c r="B121" s="93">
        <v>26</v>
      </c>
      <c r="C121" s="132" t="s">
        <v>41</v>
      </c>
      <c r="D121" s="34" t="s">
        <v>48</v>
      </c>
      <c r="E121" s="290">
        <f>VLOOKUP(C121,[1]Dcu!$B$3:$D$510,3,0)</f>
        <v>72</v>
      </c>
      <c r="F121" s="104">
        <v>0.4</v>
      </c>
      <c r="G121" s="288">
        <f>VLOOKUP(C121,[1]Dcu!$B$3:$E$510,4,0)</f>
        <v>300000</v>
      </c>
      <c r="H121" s="56">
        <f t="shared" si="7"/>
        <v>64.102564102564102</v>
      </c>
    </row>
    <row r="122" spans="1:8" ht="22.5" customHeight="1">
      <c r="A122" s="174"/>
      <c r="B122" s="93">
        <v>27</v>
      </c>
      <c r="C122" s="132" t="s">
        <v>42</v>
      </c>
      <c r="D122" s="34" t="s">
        <v>48</v>
      </c>
      <c r="E122" s="290">
        <f>VLOOKUP(C122,[1]Dcu!$B$3:$D$510,3,0)</f>
        <v>72</v>
      </c>
      <c r="F122" s="104">
        <v>0.4</v>
      </c>
      <c r="G122" s="288">
        <f>VLOOKUP(C122,[1]Dcu!$B$3:$E$510,4,0)</f>
        <v>80000</v>
      </c>
      <c r="H122" s="56">
        <f t="shared" si="7"/>
        <v>17.094017094017094</v>
      </c>
    </row>
    <row r="123" spans="1:8" ht="22.5" customHeight="1">
      <c r="A123" s="174"/>
      <c r="B123" s="93">
        <v>28</v>
      </c>
      <c r="C123" s="132" t="s">
        <v>43</v>
      </c>
      <c r="D123" s="34" t="s">
        <v>44</v>
      </c>
      <c r="E123" s="34"/>
      <c r="F123" s="104">
        <v>0.57799999999999996</v>
      </c>
      <c r="G123" s="288">
        <f>VLOOKUP(C123,[1]Dcu!$B$3:$E$510,4,0)</f>
        <v>1838</v>
      </c>
      <c r="H123" s="56">
        <f>G123*F123</f>
        <v>1062.364</v>
      </c>
    </row>
    <row r="124" spans="1:8" ht="22.5" customHeight="1">
      <c r="A124" s="174">
        <v>3</v>
      </c>
      <c r="B124" s="172" t="s">
        <v>313</v>
      </c>
      <c r="C124" s="192" t="s">
        <v>346</v>
      </c>
      <c r="D124" s="119"/>
      <c r="E124" s="119"/>
      <c r="F124" s="193"/>
      <c r="G124" s="55"/>
      <c r="H124" s="191">
        <f>SUM(H125:H150)*1.1+H151</f>
        <v>17182.899256410259</v>
      </c>
    </row>
    <row r="125" spans="1:8" ht="22.5" customHeight="1">
      <c r="A125" s="174"/>
      <c r="B125" s="93">
        <v>1</v>
      </c>
      <c r="C125" s="132" t="s">
        <v>14</v>
      </c>
      <c r="D125" s="34" t="s">
        <v>48</v>
      </c>
      <c r="E125" s="290">
        <f>VLOOKUP(C125,[1]Dcu!$B$3:$D$510,3,0)</f>
        <v>6</v>
      </c>
      <c r="F125" s="104">
        <v>0.28000000000000003</v>
      </c>
      <c r="G125" s="288">
        <f>VLOOKUP(C125,[1]Dcu!$B$3:$E$510,4,0)</f>
        <v>100000</v>
      </c>
      <c r="H125" s="56">
        <f t="shared" si="7"/>
        <v>179.4871794871795</v>
      </c>
    </row>
    <row r="126" spans="1:8" ht="22.5" customHeight="1">
      <c r="A126" s="174"/>
      <c r="B126" s="93">
        <v>2</v>
      </c>
      <c r="C126" s="132" t="s">
        <v>66</v>
      </c>
      <c r="D126" s="34" t="s">
        <v>48</v>
      </c>
      <c r="E126" s="290">
        <f>VLOOKUP(C126,[1]Dcu!$B$3:$D$510,3,0)</f>
        <v>1</v>
      </c>
      <c r="F126" s="104">
        <v>0.28000000000000003</v>
      </c>
      <c r="G126" s="288">
        <f>VLOOKUP(C126,[1]Dcu!$B$3:$E$510,4,0)</f>
        <v>2000</v>
      </c>
      <c r="H126" s="56">
        <f t="shared" ref="H126:H297" si="8">G126/(E126*26)*F126</f>
        <v>21.53846153846154</v>
      </c>
    </row>
    <row r="127" spans="1:8" ht="22.5" customHeight="1">
      <c r="A127" s="174"/>
      <c r="B127" s="93">
        <v>3</v>
      </c>
      <c r="C127" s="132" t="s">
        <v>67</v>
      </c>
      <c r="D127" s="34" t="s">
        <v>48</v>
      </c>
      <c r="E127" s="290">
        <f>VLOOKUP(C127,[1]Dcu!$B$3:$D$510,3,0)</f>
        <v>1.5</v>
      </c>
      <c r="F127" s="104">
        <v>0.28000000000000003</v>
      </c>
      <c r="G127" s="288">
        <f>VLOOKUP(C127,[1]Dcu!$B$3:$E$510,4,0)</f>
        <v>14000</v>
      </c>
      <c r="H127" s="56">
        <f t="shared" si="8"/>
        <v>100.51282051282051</v>
      </c>
    </row>
    <row r="128" spans="1:8" ht="22.5" customHeight="1">
      <c r="A128" s="174"/>
      <c r="B128" s="93">
        <v>4</v>
      </c>
      <c r="C128" s="132" t="s">
        <v>68</v>
      </c>
      <c r="D128" s="34" t="s">
        <v>48</v>
      </c>
      <c r="E128" s="290">
        <f>VLOOKUP(C128,[1]Dcu!$B$3:$D$510,3,0)</f>
        <v>6</v>
      </c>
      <c r="F128" s="104">
        <v>0.28000000000000003</v>
      </c>
      <c r="G128" s="288">
        <f>VLOOKUP(C128,[1]Dcu!$B$3:$E$510,4,0)</f>
        <v>3500000</v>
      </c>
      <c r="H128" s="56">
        <f t="shared" si="8"/>
        <v>6282.0512820512831</v>
      </c>
    </row>
    <row r="129" spans="1:8" ht="22.5" customHeight="1">
      <c r="A129" s="174"/>
      <c r="B129" s="93">
        <v>5</v>
      </c>
      <c r="C129" s="132" t="s">
        <v>53</v>
      </c>
      <c r="D129" s="34" t="s">
        <v>48</v>
      </c>
      <c r="E129" s="290">
        <f>VLOOKUP(C129,[1]Dcu!$B$3:$D$510,3,0)</f>
        <v>6</v>
      </c>
      <c r="F129" s="104">
        <v>0.28000000000000003</v>
      </c>
      <c r="G129" s="288">
        <f>VLOOKUP(C129,[1]Dcu!$B$3:$E$510,4,0)</f>
        <v>80000</v>
      </c>
      <c r="H129" s="56">
        <f t="shared" si="8"/>
        <v>143.58974358974359</v>
      </c>
    </row>
    <row r="130" spans="1:8" ht="22.5" customHeight="1">
      <c r="A130" s="174"/>
      <c r="B130" s="93">
        <v>6</v>
      </c>
      <c r="C130" s="132" t="s">
        <v>21</v>
      </c>
      <c r="D130" s="34" t="s">
        <v>48</v>
      </c>
      <c r="E130" s="290">
        <f>VLOOKUP(C130,[1]Dcu!$B$3:$D$510,3,0)</f>
        <v>6</v>
      </c>
      <c r="F130" s="104">
        <v>0.28000000000000003</v>
      </c>
      <c r="G130" s="288">
        <f>VLOOKUP(C130,[1]Dcu!$B$3:$E$510,4,0)</f>
        <v>180000</v>
      </c>
      <c r="H130" s="56">
        <f t="shared" si="8"/>
        <v>323.07692307692309</v>
      </c>
    </row>
    <row r="131" spans="1:8" ht="22.5" customHeight="1">
      <c r="A131" s="174"/>
      <c r="B131" s="93">
        <v>7</v>
      </c>
      <c r="C131" s="132" t="s">
        <v>69</v>
      </c>
      <c r="D131" s="34" t="s">
        <v>48</v>
      </c>
      <c r="E131" s="290">
        <f>VLOOKUP(C131,[1]Dcu!$B$3:$D$510,3,0)</f>
        <v>6</v>
      </c>
      <c r="F131" s="104">
        <v>0.28000000000000003</v>
      </c>
      <c r="G131" s="288">
        <f>VLOOKUP(C131,[1]Dcu!$B$3:$E$510,4,0)</f>
        <v>200000</v>
      </c>
      <c r="H131" s="56">
        <f t="shared" si="8"/>
        <v>358.97435897435901</v>
      </c>
    </row>
    <row r="132" spans="1:8" ht="22.5" customHeight="1">
      <c r="A132" s="174"/>
      <c r="B132" s="93">
        <v>8</v>
      </c>
      <c r="C132" s="132" t="s">
        <v>470</v>
      </c>
      <c r="D132" s="34" t="s">
        <v>48</v>
      </c>
      <c r="E132" s="290">
        <f>VLOOKUP(C132,[1]Dcu!$B$3:$D$510,3,0)</f>
        <v>6</v>
      </c>
      <c r="F132" s="104">
        <v>0.28000000000000003</v>
      </c>
      <c r="G132" s="288">
        <f>VLOOKUP(C132,[1]Dcu!$B$3:$E$510,4,0)</f>
        <v>25000</v>
      </c>
      <c r="H132" s="56">
        <f t="shared" ref="H132" si="9">G132/(E132*26)*F132</f>
        <v>44.871794871794876</v>
      </c>
    </row>
    <row r="133" spans="1:8" ht="22.5" customHeight="1">
      <c r="A133" s="174"/>
      <c r="B133" s="93">
        <v>9</v>
      </c>
      <c r="C133" s="132" t="s">
        <v>20</v>
      </c>
      <c r="D133" s="34" t="s">
        <v>48</v>
      </c>
      <c r="E133" s="290">
        <f>VLOOKUP(C133,[1]Dcu!$B$3:$D$510,3,0)</f>
        <v>6</v>
      </c>
      <c r="F133" s="104">
        <v>0.28000000000000003</v>
      </c>
      <c r="G133" s="288">
        <f>VLOOKUP(C133,[1]Dcu!$B$3:$E$510,4,0)</f>
        <v>170000</v>
      </c>
      <c r="H133" s="56">
        <f t="shared" si="8"/>
        <v>305.1282051282052</v>
      </c>
    </row>
    <row r="134" spans="1:8" ht="22.5" customHeight="1">
      <c r="A134" s="174"/>
      <c r="B134" s="93">
        <v>10</v>
      </c>
      <c r="C134" s="132" t="s">
        <v>70</v>
      </c>
      <c r="D134" s="34" t="s">
        <v>48</v>
      </c>
      <c r="E134" s="290">
        <f>VLOOKUP(C134,[1]Dcu!$B$3:$D$510,3,0)</f>
        <v>6</v>
      </c>
      <c r="F134" s="104">
        <v>0.28000000000000003</v>
      </c>
      <c r="G134" s="288">
        <f>VLOOKUP(C134,[1]Dcu!$B$3:$E$510,4,0)</f>
        <v>320000</v>
      </c>
      <c r="H134" s="56">
        <f t="shared" si="8"/>
        <v>574.35897435897436</v>
      </c>
    </row>
    <row r="135" spans="1:8" ht="22.5" customHeight="1">
      <c r="A135" s="174"/>
      <c r="B135" s="93">
        <v>11</v>
      </c>
      <c r="C135" s="132" t="s">
        <v>71</v>
      </c>
      <c r="D135" s="34" t="s">
        <v>48</v>
      </c>
      <c r="E135" s="290">
        <f>VLOOKUP(C135,[1]Dcu!$B$3:$D$510,3,0)</f>
        <v>1</v>
      </c>
      <c r="F135" s="104">
        <v>0.28000000000000003</v>
      </c>
      <c r="G135" s="288">
        <f>VLOOKUP(C135,[1]Dcu!$B$3:$E$510,4,0)</f>
        <v>3000</v>
      </c>
      <c r="H135" s="56">
        <f t="shared" si="8"/>
        <v>32.307692307692314</v>
      </c>
    </row>
    <row r="136" spans="1:8" ht="22.5" customHeight="1">
      <c r="A136" s="174"/>
      <c r="B136" s="93">
        <v>12</v>
      </c>
      <c r="C136" s="132" t="s">
        <v>72</v>
      </c>
      <c r="D136" s="34" t="s">
        <v>48</v>
      </c>
      <c r="E136" s="290">
        <f>VLOOKUP(C136,[1]Dcu!$B$3:$D$510,3,0)</f>
        <v>6</v>
      </c>
      <c r="F136" s="104">
        <v>0.28000000000000003</v>
      </c>
      <c r="G136" s="288">
        <f>VLOOKUP(C136,[1]Dcu!$B$3:$E$510,4,0)</f>
        <v>75000</v>
      </c>
      <c r="H136" s="56">
        <f t="shared" si="8"/>
        <v>134.61538461538464</v>
      </c>
    </row>
    <row r="137" spans="1:8" ht="22.5" customHeight="1">
      <c r="A137" s="174"/>
      <c r="B137" s="93">
        <v>13</v>
      </c>
      <c r="C137" s="132" t="s">
        <v>30</v>
      </c>
      <c r="D137" s="34" t="s">
        <v>48</v>
      </c>
      <c r="E137" s="290">
        <f>VLOOKUP(C137,[1]Dcu!$B$3:$D$510,3,0)</f>
        <v>6</v>
      </c>
      <c r="F137" s="104">
        <v>0.28000000000000003</v>
      </c>
      <c r="G137" s="288">
        <f>VLOOKUP(C137,[1]Dcu!$B$3:$E$510,4,0)</f>
        <v>340000</v>
      </c>
      <c r="H137" s="56">
        <f t="shared" si="8"/>
        <v>610.25641025641039</v>
      </c>
    </row>
    <row r="138" spans="1:8" ht="22.5" customHeight="1">
      <c r="A138" s="174"/>
      <c r="B138" s="93">
        <v>14</v>
      </c>
      <c r="C138" s="21" t="s">
        <v>52</v>
      </c>
      <c r="D138" s="34" t="s">
        <v>48</v>
      </c>
      <c r="E138" s="290">
        <f>VLOOKUP(C138,[1]Dcu!$B$3:$D$510,3,0)</f>
        <v>6</v>
      </c>
      <c r="F138" s="104">
        <v>0.28000000000000003</v>
      </c>
      <c r="G138" s="288">
        <f>VLOOKUP(C138,[1]Dcu!$B$3:$E$510,4,0)</f>
        <v>1750000</v>
      </c>
      <c r="H138" s="56">
        <f t="shared" si="8"/>
        <v>3141.0256410256416</v>
      </c>
    </row>
    <row r="139" spans="1:8" ht="22.5" customHeight="1">
      <c r="A139" s="174"/>
      <c r="B139" s="93">
        <v>15</v>
      </c>
      <c r="C139" s="132" t="s">
        <v>56</v>
      </c>
      <c r="D139" s="34" t="s">
        <v>48</v>
      </c>
      <c r="E139" s="290">
        <f>VLOOKUP(C139,[1]Dcu!$B$3:$D$510,3,0)</f>
        <v>6</v>
      </c>
      <c r="F139" s="104">
        <v>0.28000000000000003</v>
      </c>
      <c r="G139" s="288">
        <f>VLOOKUP(C139,[1]Dcu!$B$3:$E$510,4,0)</f>
        <v>60000</v>
      </c>
      <c r="H139" s="56">
        <f t="shared" si="8"/>
        <v>107.69230769230771</v>
      </c>
    </row>
    <row r="140" spans="1:8" ht="22.5" customHeight="1">
      <c r="A140" s="174"/>
      <c r="B140" s="93">
        <v>16</v>
      </c>
      <c r="C140" s="132" t="s">
        <v>396</v>
      </c>
      <c r="D140" s="34" t="s">
        <v>48</v>
      </c>
      <c r="E140" s="290">
        <f>VLOOKUP(C140,[1]Dcu!$B$3:$D$510,3,0)</f>
        <v>12</v>
      </c>
      <c r="F140" s="104">
        <v>0.4</v>
      </c>
      <c r="G140" s="288">
        <f>VLOOKUP(C140,[1]Dcu!$B$3:$E$510,4,0)</f>
        <v>30000</v>
      </c>
      <c r="H140" s="56">
        <f t="shared" si="8"/>
        <v>38.461538461538467</v>
      </c>
    </row>
    <row r="141" spans="1:8" ht="22.5" customHeight="1">
      <c r="A141" s="174"/>
      <c r="B141" s="93">
        <v>17</v>
      </c>
      <c r="C141" s="200" t="s">
        <v>388</v>
      </c>
      <c r="D141" s="34" t="s">
        <v>86</v>
      </c>
      <c r="E141" s="290">
        <f>VLOOKUP(C141,[1]Dcu!$B$3:$D$510,3,0)</f>
        <v>0.3</v>
      </c>
      <c r="F141" s="161">
        <v>0.02</v>
      </c>
      <c r="G141" s="288">
        <f>VLOOKUP(C141,[1]Dcu!$B$3:$E$510,4,0)</f>
        <v>400000</v>
      </c>
      <c r="H141" s="56">
        <f t="shared" si="8"/>
        <v>1025.6410256410256</v>
      </c>
    </row>
    <row r="142" spans="1:8" ht="22.5" customHeight="1">
      <c r="A142" s="174"/>
      <c r="B142" s="93">
        <v>18</v>
      </c>
      <c r="C142" s="132" t="s">
        <v>33</v>
      </c>
      <c r="D142" s="34" t="s">
        <v>86</v>
      </c>
      <c r="E142" s="290">
        <f>VLOOKUP(C142,[1]Dcu!$B$3:$D$510,3,0)</f>
        <v>0.3</v>
      </c>
      <c r="F142" s="161">
        <v>0.02</v>
      </c>
      <c r="G142" s="288">
        <f>VLOOKUP(C142,[1]Dcu!$B$3:$E$510,4,0)</f>
        <v>380000</v>
      </c>
      <c r="H142" s="56">
        <f t="shared" si="8"/>
        <v>974.35897435897436</v>
      </c>
    </row>
    <row r="143" spans="1:8" ht="22.5" customHeight="1">
      <c r="A143" s="174"/>
      <c r="B143" s="93">
        <v>19</v>
      </c>
      <c r="C143" s="132" t="s">
        <v>34</v>
      </c>
      <c r="D143" s="34" t="s">
        <v>48</v>
      </c>
      <c r="E143" s="290">
        <f>VLOOKUP(C143,[1]Dcu!$B$3:$D$510,3,0)</f>
        <v>36</v>
      </c>
      <c r="F143" s="104">
        <v>6.7000000000000004E-2</v>
      </c>
      <c r="G143" s="288">
        <f>VLOOKUP(C143,[1]Dcu!$B$3:$E$510,4,0)</f>
        <v>500000</v>
      </c>
      <c r="H143" s="56">
        <f t="shared" si="8"/>
        <v>35.79059829059829</v>
      </c>
    </row>
    <row r="144" spans="1:8" ht="22.5" customHeight="1">
      <c r="A144" s="174"/>
      <c r="B144" s="93">
        <v>20</v>
      </c>
      <c r="C144" s="132" t="s">
        <v>35</v>
      </c>
      <c r="D144" s="34" t="s">
        <v>48</v>
      </c>
      <c r="E144" s="290">
        <f>VLOOKUP(C144,[1]Dcu!$B$3:$D$510,3,0)</f>
        <v>36</v>
      </c>
      <c r="F144" s="104">
        <v>6.7000000000000004E-2</v>
      </c>
      <c r="G144" s="288">
        <f>VLOOKUP(C144,[1]Dcu!$B$3:$E$510,4,0)</f>
        <v>250000</v>
      </c>
      <c r="H144" s="56">
        <f t="shared" si="8"/>
        <v>17.895299145299145</v>
      </c>
    </row>
    <row r="145" spans="1:8" ht="22.5" customHeight="1">
      <c r="A145" s="174"/>
      <c r="B145" s="93">
        <v>21</v>
      </c>
      <c r="C145" s="132" t="s">
        <v>36</v>
      </c>
      <c r="D145" s="34" t="s">
        <v>48</v>
      </c>
      <c r="E145" s="290">
        <f>VLOOKUP(C145,[1]Dcu!$B$3:$D$510,3,0)</f>
        <v>60</v>
      </c>
      <c r="F145" s="104">
        <v>3.0000000000000001E-3</v>
      </c>
      <c r="G145" s="288">
        <f>VLOOKUP(C145,[1]Dcu!$B$3:$E$510,4,0)</f>
        <v>1600000</v>
      </c>
      <c r="H145" s="56">
        <f t="shared" si="8"/>
        <v>3.0769230769230771</v>
      </c>
    </row>
    <row r="146" spans="1:8" ht="22.5" customHeight="1">
      <c r="A146" s="174"/>
      <c r="B146" s="93">
        <v>22</v>
      </c>
      <c r="C146" s="132" t="s">
        <v>37</v>
      </c>
      <c r="D146" s="34" t="s">
        <v>48</v>
      </c>
      <c r="E146" s="290">
        <f>VLOOKUP(C146,[1]Dcu!$B$3:$D$510,3,0)</f>
        <v>36</v>
      </c>
      <c r="F146" s="104">
        <v>2.5000000000000001E-2</v>
      </c>
      <c r="G146" s="288">
        <f>VLOOKUP(C146,[1]Dcu!$B$3:$E$510,4,0)</f>
        <v>1500000</v>
      </c>
      <c r="H146" s="56">
        <f t="shared" si="8"/>
        <v>40.064102564102569</v>
      </c>
    </row>
    <row r="147" spans="1:8" ht="22.5" customHeight="1">
      <c r="A147" s="174"/>
      <c r="B147" s="93">
        <v>23</v>
      </c>
      <c r="C147" s="132" t="s">
        <v>38</v>
      </c>
      <c r="D147" s="34" t="s">
        <v>39</v>
      </c>
      <c r="E147" s="290">
        <f>VLOOKUP(C147,[1]Dcu!$B$3:$D$510,3,0)</f>
        <v>24</v>
      </c>
      <c r="F147" s="104">
        <v>0.4</v>
      </c>
      <c r="G147" s="288">
        <f>VLOOKUP(C147,[1]Dcu!$B$3:$E$510,4,0)</f>
        <v>40000</v>
      </c>
      <c r="H147" s="56">
        <f t="shared" si="8"/>
        <v>25.641025641025642</v>
      </c>
    </row>
    <row r="148" spans="1:8" ht="22.5" customHeight="1">
      <c r="A148" s="174"/>
      <c r="B148" s="93">
        <v>24</v>
      </c>
      <c r="C148" s="132" t="s">
        <v>40</v>
      </c>
      <c r="D148" s="34" t="s">
        <v>48</v>
      </c>
      <c r="E148" s="290">
        <f>VLOOKUP(C148,[1]Dcu!$B$3:$D$510,3,0)</f>
        <v>72</v>
      </c>
      <c r="F148" s="104">
        <v>0.1</v>
      </c>
      <c r="G148" s="288">
        <f>VLOOKUP(C148,[1]Dcu!$B$3:$E$510,4,0)</f>
        <v>1000000</v>
      </c>
      <c r="H148" s="56">
        <f t="shared" si="8"/>
        <v>53.418803418803421</v>
      </c>
    </row>
    <row r="149" spans="1:8" ht="22.5" customHeight="1">
      <c r="A149" s="174"/>
      <c r="B149" s="93">
        <v>25</v>
      </c>
      <c r="C149" s="132" t="s">
        <v>41</v>
      </c>
      <c r="D149" s="34" t="s">
        <v>48</v>
      </c>
      <c r="E149" s="290">
        <f>VLOOKUP(C149,[1]Dcu!$B$3:$D$510,3,0)</f>
        <v>72</v>
      </c>
      <c r="F149" s="104">
        <v>0.4</v>
      </c>
      <c r="G149" s="288">
        <f>VLOOKUP(C149,[1]Dcu!$B$3:$E$510,4,0)</f>
        <v>300000</v>
      </c>
      <c r="H149" s="56">
        <f t="shared" si="8"/>
        <v>64.102564102564102</v>
      </c>
    </row>
    <row r="150" spans="1:8" ht="22.5" customHeight="1">
      <c r="A150" s="174"/>
      <c r="B150" s="93">
        <v>26</v>
      </c>
      <c r="C150" s="132" t="s">
        <v>42</v>
      </c>
      <c r="D150" s="34" t="s">
        <v>48</v>
      </c>
      <c r="E150" s="290">
        <f>VLOOKUP(C150,[1]Dcu!$B$3:$D$510,3,0)</f>
        <v>72</v>
      </c>
      <c r="F150" s="104">
        <v>0.4</v>
      </c>
      <c r="G150" s="288">
        <f>VLOOKUP(C150,[1]Dcu!$B$3:$E$510,4,0)</f>
        <v>80000</v>
      </c>
      <c r="H150" s="56">
        <f t="shared" si="8"/>
        <v>17.094017094017094</v>
      </c>
    </row>
    <row r="151" spans="1:8" ht="22.5" customHeight="1">
      <c r="A151" s="174"/>
      <c r="B151" s="93">
        <v>27</v>
      </c>
      <c r="C151" s="132" t="s">
        <v>43</v>
      </c>
      <c r="D151" s="34" t="s">
        <v>44</v>
      </c>
      <c r="E151" s="34"/>
      <c r="F151" s="104">
        <v>0.57799999999999996</v>
      </c>
      <c r="G151" s="288">
        <f>VLOOKUP(C151,[1]Dcu!$B$3:$E$510,4,0)</f>
        <v>1838</v>
      </c>
      <c r="H151" s="56">
        <f>G151*F151</f>
        <v>1062.364</v>
      </c>
    </row>
    <row r="152" spans="1:8" ht="22.5" customHeight="1">
      <c r="A152" s="174">
        <v>4</v>
      </c>
      <c r="B152" s="172" t="s">
        <v>314</v>
      </c>
      <c r="C152" s="401" t="s">
        <v>13</v>
      </c>
      <c r="D152" s="401"/>
      <c r="E152" s="401"/>
      <c r="F152" s="401"/>
      <c r="G152" s="55"/>
      <c r="H152" s="191">
        <f>SUM(H153:H180)*1.1+H181</f>
        <v>31941.232589743599</v>
      </c>
    </row>
    <row r="153" spans="1:8" ht="22.5" customHeight="1">
      <c r="A153" s="174"/>
      <c r="B153" s="93">
        <v>1</v>
      </c>
      <c r="C153" s="132" t="s">
        <v>14</v>
      </c>
      <c r="D153" s="34" t="s">
        <v>48</v>
      </c>
      <c r="E153" s="290">
        <f>VLOOKUP(C153,[1]Dcu!$B$3:$D$510,3,0)</f>
        <v>6</v>
      </c>
      <c r="F153" s="104">
        <v>0.28000000000000003</v>
      </c>
      <c r="G153" s="288">
        <f>VLOOKUP(C153,[1]Dcu!$B$3:$E$510,4,0)</f>
        <v>100000</v>
      </c>
      <c r="H153" s="56">
        <f t="shared" ref="H153:H180" si="10">G153/(E153*26)*F153</f>
        <v>179.4871794871795</v>
      </c>
    </row>
    <row r="154" spans="1:8" ht="22.5" customHeight="1">
      <c r="A154" s="174"/>
      <c r="B154" s="93">
        <v>2</v>
      </c>
      <c r="C154" s="132" t="s">
        <v>66</v>
      </c>
      <c r="D154" s="34" t="s">
        <v>48</v>
      </c>
      <c r="E154" s="290">
        <f>VLOOKUP(C154,[1]Dcu!$B$3:$D$510,3,0)</f>
        <v>1</v>
      </c>
      <c r="F154" s="104">
        <v>0.28000000000000003</v>
      </c>
      <c r="G154" s="288">
        <f>VLOOKUP(C154,[1]Dcu!$B$3:$E$510,4,0)</f>
        <v>2000</v>
      </c>
      <c r="H154" s="56">
        <f t="shared" si="10"/>
        <v>21.53846153846154</v>
      </c>
    </row>
    <row r="155" spans="1:8" ht="22.5" customHeight="1">
      <c r="A155" s="174"/>
      <c r="B155" s="93">
        <v>3</v>
      </c>
      <c r="C155" s="132" t="s">
        <v>67</v>
      </c>
      <c r="D155" s="34" t="s">
        <v>48</v>
      </c>
      <c r="E155" s="290">
        <f>VLOOKUP(C155,[1]Dcu!$B$3:$D$510,3,0)</f>
        <v>1.5</v>
      </c>
      <c r="F155" s="104">
        <v>0.28000000000000003</v>
      </c>
      <c r="G155" s="288">
        <f>VLOOKUP(C155,[1]Dcu!$B$3:$E$510,4,0)</f>
        <v>14000</v>
      </c>
      <c r="H155" s="56">
        <f t="shared" si="10"/>
        <v>100.51282051282051</v>
      </c>
    </row>
    <row r="156" spans="1:8" ht="22.5" customHeight="1">
      <c r="A156" s="174"/>
      <c r="B156" s="93">
        <v>4</v>
      </c>
      <c r="C156" s="132" t="s">
        <v>68</v>
      </c>
      <c r="D156" s="34" t="s">
        <v>48</v>
      </c>
      <c r="E156" s="290">
        <f>VLOOKUP(C156,[1]Dcu!$B$3:$D$510,3,0)</f>
        <v>6</v>
      </c>
      <c r="F156" s="104">
        <v>0.28000000000000003</v>
      </c>
      <c r="G156" s="288">
        <f>VLOOKUP(C156,[1]Dcu!$B$3:$E$510,4,0)</f>
        <v>3500000</v>
      </c>
      <c r="H156" s="56">
        <f t="shared" si="10"/>
        <v>6282.0512820512831</v>
      </c>
    </row>
    <row r="157" spans="1:8" ht="22.5" customHeight="1">
      <c r="A157" s="174"/>
      <c r="B157" s="93">
        <v>5</v>
      </c>
      <c r="C157" s="132" t="s">
        <v>53</v>
      </c>
      <c r="D157" s="34" t="s">
        <v>48</v>
      </c>
      <c r="E157" s="290">
        <f>VLOOKUP(C157,[1]Dcu!$B$3:$D$510,3,0)</f>
        <v>6</v>
      </c>
      <c r="F157" s="104">
        <v>0.28000000000000003</v>
      </c>
      <c r="G157" s="288">
        <f>VLOOKUP(C157,[1]Dcu!$B$3:$E$510,4,0)</f>
        <v>80000</v>
      </c>
      <c r="H157" s="56">
        <f t="shared" si="10"/>
        <v>143.58974358974359</v>
      </c>
    </row>
    <row r="158" spans="1:8" ht="22.5" customHeight="1">
      <c r="A158" s="174"/>
      <c r="B158" s="93">
        <v>6</v>
      </c>
      <c r="C158" s="132" t="s">
        <v>21</v>
      </c>
      <c r="D158" s="34" t="s">
        <v>48</v>
      </c>
      <c r="E158" s="290">
        <f>VLOOKUP(C158,[1]Dcu!$B$3:$D$510,3,0)</f>
        <v>6</v>
      </c>
      <c r="F158" s="104">
        <v>0.28000000000000003</v>
      </c>
      <c r="G158" s="288">
        <f>VLOOKUP(C158,[1]Dcu!$B$3:$E$510,4,0)</f>
        <v>180000</v>
      </c>
      <c r="H158" s="56">
        <f t="shared" si="10"/>
        <v>323.07692307692309</v>
      </c>
    </row>
    <row r="159" spans="1:8" ht="22.5" customHeight="1">
      <c r="A159" s="174"/>
      <c r="B159" s="93">
        <v>7</v>
      </c>
      <c r="C159" s="132" t="s">
        <v>69</v>
      </c>
      <c r="D159" s="34" t="s">
        <v>48</v>
      </c>
      <c r="E159" s="290">
        <f>VLOOKUP(C159,[1]Dcu!$B$3:$D$510,3,0)</f>
        <v>6</v>
      </c>
      <c r="F159" s="104">
        <v>0.28000000000000003</v>
      </c>
      <c r="G159" s="288">
        <f>VLOOKUP(C159,[1]Dcu!$B$3:$E$510,4,0)</f>
        <v>200000</v>
      </c>
      <c r="H159" s="56">
        <f t="shared" si="10"/>
        <v>358.97435897435901</v>
      </c>
    </row>
    <row r="160" spans="1:8" ht="22.5" customHeight="1">
      <c r="A160" s="174"/>
      <c r="B160" s="93">
        <v>8</v>
      </c>
      <c r="C160" s="132" t="s">
        <v>20</v>
      </c>
      <c r="D160" s="34" t="s">
        <v>48</v>
      </c>
      <c r="E160" s="290">
        <f>VLOOKUP(C160,[1]Dcu!$B$3:$D$510,3,0)</f>
        <v>6</v>
      </c>
      <c r="F160" s="104">
        <v>0.28000000000000003</v>
      </c>
      <c r="G160" s="288">
        <f>VLOOKUP(C160,[1]Dcu!$B$3:$E$510,4,0)</f>
        <v>170000</v>
      </c>
      <c r="H160" s="56">
        <f t="shared" si="10"/>
        <v>305.1282051282052</v>
      </c>
    </row>
    <row r="161" spans="1:8" ht="22.5" customHeight="1">
      <c r="A161" s="174"/>
      <c r="B161" s="93">
        <v>9</v>
      </c>
      <c r="C161" s="132" t="s">
        <v>70</v>
      </c>
      <c r="D161" s="34" t="s">
        <v>48</v>
      </c>
      <c r="E161" s="290">
        <f>VLOOKUP(C161,[1]Dcu!$B$3:$D$510,3,0)</f>
        <v>6</v>
      </c>
      <c r="F161" s="104">
        <v>0.28000000000000003</v>
      </c>
      <c r="G161" s="288">
        <f>VLOOKUP(C161,[1]Dcu!$B$3:$E$510,4,0)</f>
        <v>320000</v>
      </c>
      <c r="H161" s="56">
        <f t="shared" si="10"/>
        <v>574.35897435897436</v>
      </c>
    </row>
    <row r="162" spans="1:8" ht="22.5" customHeight="1">
      <c r="A162" s="174"/>
      <c r="B162" s="93">
        <v>10</v>
      </c>
      <c r="C162" s="132" t="s">
        <v>71</v>
      </c>
      <c r="D162" s="34" t="s">
        <v>48</v>
      </c>
      <c r="E162" s="290">
        <f>VLOOKUP(C162,[1]Dcu!$B$3:$D$510,3,0)</f>
        <v>1</v>
      </c>
      <c r="F162" s="104">
        <v>0.28000000000000003</v>
      </c>
      <c r="G162" s="288">
        <f>VLOOKUP(C162,[1]Dcu!$B$3:$E$510,4,0)</f>
        <v>3000</v>
      </c>
      <c r="H162" s="56">
        <f t="shared" si="10"/>
        <v>32.307692307692314</v>
      </c>
    </row>
    <row r="163" spans="1:8" ht="22.5" customHeight="1">
      <c r="A163" s="174"/>
      <c r="B163" s="93">
        <v>11</v>
      </c>
      <c r="C163" s="132" t="s">
        <v>72</v>
      </c>
      <c r="D163" s="34" t="s">
        <v>48</v>
      </c>
      <c r="E163" s="290">
        <f>VLOOKUP(C163,[1]Dcu!$B$3:$D$510,3,0)</f>
        <v>6</v>
      </c>
      <c r="F163" s="104">
        <v>0.28000000000000003</v>
      </c>
      <c r="G163" s="288">
        <f>VLOOKUP(C163,[1]Dcu!$B$3:$E$510,4,0)</f>
        <v>75000</v>
      </c>
      <c r="H163" s="56">
        <f t="shared" si="10"/>
        <v>134.61538461538464</v>
      </c>
    </row>
    <row r="164" spans="1:8" ht="22.5" customHeight="1">
      <c r="A164" s="174"/>
      <c r="B164" s="93">
        <v>12</v>
      </c>
      <c r="C164" s="132" t="s">
        <v>73</v>
      </c>
      <c r="D164" s="34" t="s">
        <v>48</v>
      </c>
      <c r="E164" s="290">
        <f>VLOOKUP(C164,[1]Dcu!$B$3:$D$510,3,0)</f>
        <v>24</v>
      </c>
      <c r="F164" s="104">
        <v>0.28000000000000003</v>
      </c>
      <c r="G164" s="288">
        <f>VLOOKUP(C164,[1]Dcu!$B$3:$E$510,4,0)</f>
        <v>21000000</v>
      </c>
      <c r="H164" s="56">
        <f t="shared" si="10"/>
        <v>9423.0769230769238</v>
      </c>
    </row>
    <row r="165" spans="1:8" ht="22.5" customHeight="1">
      <c r="A165" s="174"/>
      <c r="B165" s="93">
        <v>13</v>
      </c>
      <c r="C165" s="132" t="s">
        <v>74</v>
      </c>
      <c r="D165" s="34" t="s">
        <v>48</v>
      </c>
      <c r="E165" s="290">
        <f>VLOOKUP(C165,[1]Dcu!$B$3:$D$510,3,0)</f>
        <v>24</v>
      </c>
      <c r="F165" s="104">
        <v>0.28000000000000003</v>
      </c>
      <c r="G165" s="288">
        <f>VLOOKUP(C165,[1]Dcu!$B$3:$E$510,4,0)</f>
        <v>10000000</v>
      </c>
      <c r="H165" s="56">
        <f t="shared" si="10"/>
        <v>4487.1794871794873</v>
      </c>
    </row>
    <row r="166" spans="1:8" ht="22.5" customHeight="1">
      <c r="A166" s="174"/>
      <c r="B166" s="93">
        <v>14</v>
      </c>
      <c r="C166" s="132" t="s">
        <v>75</v>
      </c>
      <c r="D166" s="34" t="s">
        <v>48</v>
      </c>
      <c r="E166" s="290">
        <f>VLOOKUP(C166,[1]Dcu!$B$3:$D$510,3,0)</f>
        <v>12</v>
      </c>
      <c r="F166" s="104">
        <v>0.28000000000000003</v>
      </c>
      <c r="G166" s="288">
        <f>VLOOKUP(C166,[1]Dcu!$B$3:$E$510,4,0)</f>
        <v>1600000</v>
      </c>
      <c r="H166" s="56">
        <f t="shared" si="10"/>
        <v>1435.897435897436</v>
      </c>
    </row>
    <row r="167" spans="1:8" ht="22.5" customHeight="1">
      <c r="A167" s="174"/>
      <c r="B167" s="93">
        <v>15</v>
      </c>
      <c r="C167" s="132" t="s">
        <v>30</v>
      </c>
      <c r="D167" s="34" t="s">
        <v>48</v>
      </c>
      <c r="E167" s="290">
        <f>VLOOKUP(C167,[1]Dcu!$B$3:$D$510,3,0)</f>
        <v>6</v>
      </c>
      <c r="F167" s="104">
        <v>0.28000000000000003</v>
      </c>
      <c r="G167" s="288">
        <f>VLOOKUP(C167,[1]Dcu!$B$3:$E$510,4,0)</f>
        <v>340000</v>
      </c>
      <c r="H167" s="56">
        <f t="shared" si="10"/>
        <v>610.25641025641039</v>
      </c>
    </row>
    <row r="168" spans="1:8" ht="22.5" customHeight="1">
      <c r="A168" s="174"/>
      <c r="B168" s="93">
        <v>16</v>
      </c>
      <c r="C168" s="132" t="s">
        <v>31</v>
      </c>
      <c r="D168" s="34" t="s">
        <v>48</v>
      </c>
      <c r="E168" s="290">
        <f>VLOOKUP(C168,[1]Dcu!$B$3:$D$510,3,0)</f>
        <v>6</v>
      </c>
      <c r="F168" s="104">
        <v>0.28000000000000003</v>
      </c>
      <c r="G168" s="288">
        <f>VLOOKUP(C168,[1]Dcu!$B$3:$E$510,4,0)</f>
        <v>700000</v>
      </c>
      <c r="H168" s="56">
        <f t="shared" si="10"/>
        <v>1256.4102564102566</v>
      </c>
    </row>
    <row r="169" spans="1:8" ht="22.5" customHeight="1">
      <c r="A169" s="174"/>
      <c r="B169" s="93">
        <v>17</v>
      </c>
      <c r="C169" s="132" t="s">
        <v>56</v>
      </c>
      <c r="D169" s="34" t="s">
        <v>48</v>
      </c>
      <c r="E169" s="290">
        <f>VLOOKUP(C169,[1]Dcu!$B$3:$D$510,3,0)</f>
        <v>6</v>
      </c>
      <c r="F169" s="104">
        <v>0.28000000000000003</v>
      </c>
      <c r="G169" s="288">
        <f>VLOOKUP(C169,[1]Dcu!$B$3:$E$510,4,0)</f>
        <v>60000</v>
      </c>
      <c r="H169" s="56">
        <f t="shared" si="10"/>
        <v>107.69230769230771</v>
      </c>
    </row>
    <row r="170" spans="1:8" ht="22.5" customHeight="1">
      <c r="A170" s="174"/>
      <c r="B170" s="93">
        <v>18</v>
      </c>
      <c r="C170" s="132" t="s">
        <v>396</v>
      </c>
      <c r="D170" s="34" t="s">
        <v>48</v>
      </c>
      <c r="E170" s="290">
        <f>VLOOKUP(C170,[1]Dcu!$B$3:$D$510,3,0)</f>
        <v>12</v>
      </c>
      <c r="F170" s="104">
        <v>0.4</v>
      </c>
      <c r="G170" s="288">
        <f>VLOOKUP(C170,[1]Dcu!$B$3:$E$510,4,0)</f>
        <v>30000</v>
      </c>
      <c r="H170" s="56">
        <f t="shared" si="10"/>
        <v>38.461538461538467</v>
      </c>
    </row>
    <row r="171" spans="1:8" ht="22.5" customHeight="1">
      <c r="A171" s="174"/>
      <c r="B171" s="93">
        <v>20</v>
      </c>
      <c r="C171" s="200" t="s">
        <v>388</v>
      </c>
      <c r="D171" s="34" t="s">
        <v>86</v>
      </c>
      <c r="E171" s="290">
        <f>VLOOKUP(C171,[1]Dcu!$B$3:$D$510,3,0)</f>
        <v>0.3</v>
      </c>
      <c r="F171" s="161">
        <v>0.02</v>
      </c>
      <c r="G171" s="288">
        <f>VLOOKUP(C171,[1]Dcu!$B$3:$E$510,4,0)</f>
        <v>400000</v>
      </c>
      <c r="H171" s="56">
        <f t="shared" si="10"/>
        <v>1025.6410256410256</v>
      </c>
    </row>
    <row r="172" spans="1:8" ht="22.5" customHeight="1">
      <c r="A172" s="174"/>
      <c r="B172" s="93">
        <v>21</v>
      </c>
      <c r="C172" s="132" t="s">
        <v>33</v>
      </c>
      <c r="D172" s="34" t="s">
        <v>86</v>
      </c>
      <c r="E172" s="290">
        <f>VLOOKUP(C172,[1]Dcu!$B$3:$D$510,3,0)</f>
        <v>0.3</v>
      </c>
      <c r="F172" s="161">
        <v>0.02</v>
      </c>
      <c r="G172" s="288">
        <f>VLOOKUP(C172,[1]Dcu!$B$3:$E$510,4,0)</f>
        <v>380000</v>
      </c>
      <c r="H172" s="56">
        <f t="shared" si="10"/>
        <v>974.35897435897436</v>
      </c>
    </row>
    <row r="173" spans="1:8" ht="22.5" customHeight="1">
      <c r="A173" s="174"/>
      <c r="B173" s="93">
        <v>22</v>
      </c>
      <c r="C173" s="132" t="s">
        <v>34</v>
      </c>
      <c r="D173" s="34" t="s">
        <v>48</v>
      </c>
      <c r="E173" s="290">
        <f>VLOOKUP(C173,[1]Dcu!$B$3:$D$510,3,0)</f>
        <v>36</v>
      </c>
      <c r="F173" s="104">
        <v>6.7000000000000004E-2</v>
      </c>
      <c r="G173" s="288">
        <f>VLOOKUP(C173,[1]Dcu!$B$3:$E$510,4,0)</f>
        <v>500000</v>
      </c>
      <c r="H173" s="56">
        <f t="shared" si="10"/>
        <v>35.79059829059829</v>
      </c>
    </row>
    <row r="174" spans="1:8" ht="22.5" customHeight="1">
      <c r="A174" s="174"/>
      <c r="B174" s="93">
        <v>23</v>
      </c>
      <c r="C174" s="132" t="s">
        <v>35</v>
      </c>
      <c r="D174" s="34" t="s">
        <v>48</v>
      </c>
      <c r="E174" s="290">
        <f>VLOOKUP(C174,[1]Dcu!$B$3:$D$510,3,0)</f>
        <v>36</v>
      </c>
      <c r="F174" s="104">
        <v>6.7000000000000004E-2</v>
      </c>
      <c r="G174" s="288">
        <f>VLOOKUP(C174,[1]Dcu!$B$3:$E$510,4,0)</f>
        <v>250000</v>
      </c>
      <c r="H174" s="56">
        <f t="shared" si="10"/>
        <v>17.895299145299145</v>
      </c>
    </row>
    <row r="175" spans="1:8" ht="22.5" customHeight="1">
      <c r="A175" s="174"/>
      <c r="B175" s="93">
        <v>24</v>
      </c>
      <c r="C175" s="132" t="s">
        <v>36</v>
      </c>
      <c r="D175" s="34" t="s">
        <v>48</v>
      </c>
      <c r="E175" s="290">
        <f>VLOOKUP(C175,[1]Dcu!$B$3:$D$510,3,0)</f>
        <v>60</v>
      </c>
      <c r="F175" s="104">
        <v>3.0000000000000001E-3</v>
      </c>
      <c r="G175" s="288">
        <f>VLOOKUP(C175,[1]Dcu!$B$3:$E$510,4,0)</f>
        <v>1600000</v>
      </c>
      <c r="H175" s="56">
        <f t="shared" si="10"/>
        <v>3.0769230769230771</v>
      </c>
    </row>
    <row r="176" spans="1:8" ht="22.5" customHeight="1">
      <c r="A176" s="174"/>
      <c r="B176" s="93">
        <v>25</v>
      </c>
      <c r="C176" s="132" t="s">
        <v>37</v>
      </c>
      <c r="D176" s="34" t="s">
        <v>48</v>
      </c>
      <c r="E176" s="290">
        <f>VLOOKUP(C176,[1]Dcu!$B$3:$D$510,3,0)</f>
        <v>36</v>
      </c>
      <c r="F176" s="104">
        <v>2.5000000000000001E-2</v>
      </c>
      <c r="G176" s="288">
        <f>VLOOKUP(C176,[1]Dcu!$B$3:$E$510,4,0)</f>
        <v>1500000</v>
      </c>
      <c r="H176" s="56">
        <f t="shared" si="10"/>
        <v>40.064102564102569</v>
      </c>
    </row>
    <row r="177" spans="1:8" ht="22.5" customHeight="1">
      <c r="A177" s="174"/>
      <c r="B177" s="93">
        <v>27</v>
      </c>
      <c r="C177" s="132" t="s">
        <v>38</v>
      </c>
      <c r="D177" s="34" t="s">
        <v>39</v>
      </c>
      <c r="E177" s="290">
        <f>VLOOKUP(C177,[1]Dcu!$B$3:$D$510,3,0)</f>
        <v>24</v>
      </c>
      <c r="F177" s="104">
        <v>0.4</v>
      </c>
      <c r="G177" s="288">
        <f>VLOOKUP(C177,[1]Dcu!$B$3:$E$510,4,0)</f>
        <v>40000</v>
      </c>
      <c r="H177" s="56">
        <f t="shared" si="10"/>
        <v>25.641025641025642</v>
      </c>
    </row>
    <row r="178" spans="1:8" ht="22.5" customHeight="1">
      <c r="A178" s="174"/>
      <c r="B178" s="93">
        <v>28</v>
      </c>
      <c r="C178" s="132" t="s">
        <v>40</v>
      </c>
      <c r="D178" s="34" t="s">
        <v>48</v>
      </c>
      <c r="E178" s="290">
        <f>VLOOKUP(C178,[1]Dcu!$B$3:$D$510,3,0)</f>
        <v>72</v>
      </c>
      <c r="F178" s="104">
        <v>0.1</v>
      </c>
      <c r="G178" s="288">
        <f>VLOOKUP(C178,[1]Dcu!$B$3:$E$510,4,0)</f>
        <v>1000000</v>
      </c>
      <c r="H178" s="56">
        <f t="shared" si="10"/>
        <v>53.418803418803421</v>
      </c>
    </row>
    <row r="179" spans="1:8" ht="22.5" customHeight="1">
      <c r="A179" s="174"/>
      <c r="B179" s="93">
        <v>29</v>
      </c>
      <c r="C179" s="132" t="s">
        <v>41</v>
      </c>
      <c r="D179" s="34" t="s">
        <v>48</v>
      </c>
      <c r="E179" s="290">
        <f>VLOOKUP(C179,[1]Dcu!$B$3:$D$510,3,0)</f>
        <v>72</v>
      </c>
      <c r="F179" s="104">
        <v>0.4</v>
      </c>
      <c r="G179" s="288">
        <f>VLOOKUP(C179,[1]Dcu!$B$3:$E$510,4,0)</f>
        <v>300000</v>
      </c>
      <c r="H179" s="56">
        <f t="shared" si="10"/>
        <v>64.102564102564102</v>
      </c>
    </row>
    <row r="180" spans="1:8" ht="22.5" customHeight="1">
      <c r="A180" s="174"/>
      <c r="B180" s="93">
        <v>30</v>
      </c>
      <c r="C180" s="132" t="s">
        <v>42</v>
      </c>
      <c r="D180" s="34" t="s">
        <v>48</v>
      </c>
      <c r="E180" s="290">
        <f>VLOOKUP(C180,[1]Dcu!$B$3:$D$510,3,0)</f>
        <v>72</v>
      </c>
      <c r="F180" s="104">
        <v>0.4</v>
      </c>
      <c r="G180" s="288">
        <f>VLOOKUP(C180,[1]Dcu!$B$3:$E$510,4,0)</f>
        <v>80000</v>
      </c>
      <c r="H180" s="56">
        <f t="shared" si="10"/>
        <v>17.094017094017094</v>
      </c>
    </row>
    <row r="181" spans="1:8" ht="22.5" customHeight="1">
      <c r="A181" s="174"/>
      <c r="B181" s="93">
        <v>31</v>
      </c>
      <c r="C181" s="132" t="s">
        <v>43</v>
      </c>
      <c r="D181" s="34" t="s">
        <v>44</v>
      </c>
      <c r="E181" s="34"/>
      <c r="F181" s="104">
        <v>0.57799999999999996</v>
      </c>
      <c r="G181" s="288">
        <f>VLOOKUP(C181,[1]Dcu!$B$3:$E$510,4,0)</f>
        <v>1838</v>
      </c>
      <c r="H181" s="56">
        <f>G181*F181</f>
        <v>1062.364</v>
      </c>
    </row>
    <row r="182" spans="1:8" ht="22.5" customHeight="1">
      <c r="A182" s="174">
        <v>5</v>
      </c>
      <c r="B182" s="174" t="s">
        <v>315</v>
      </c>
      <c r="C182" s="156" t="s">
        <v>347</v>
      </c>
      <c r="D182" s="17"/>
      <c r="E182" s="17"/>
      <c r="F182" s="18"/>
      <c r="G182" s="181"/>
      <c r="H182" s="191">
        <f>SUM(H183:H208)*1.1+H209</f>
        <v>51963.771051282041</v>
      </c>
    </row>
    <row r="183" spans="1:8" ht="22.5" customHeight="1">
      <c r="A183" s="174"/>
      <c r="B183" s="93">
        <v>1</v>
      </c>
      <c r="C183" s="132" t="s">
        <v>14</v>
      </c>
      <c r="D183" s="34" t="s">
        <v>48</v>
      </c>
      <c r="E183" s="290">
        <f>VLOOKUP(C183,[1]Dcu!$B$3:$D$510,3,0)</f>
        <v>6</v>
      </c>
      <c r="F183" s="104">
        <v>0.48</v>
      </c>
      <c r="G183" s="288">
        <f>VLOOKUP(C183,[1]Dcu!$B$3:$E$510,4,0)</f>
        <v>100000</v>
      </c>
      <c r="H183" s="56">
        <f t="shared" ref="H183:H242" si="11">G183/(E183*26)*F183</f>
        <v>307.69230769230768</v>
      </c>
    </row>
    <row r="184" spans="1:8" ht="22.5" customHeight="1">
      <c r="A184" s="174"/>
      <c r="B184" s="93">
        <v>2</v>
      </c>
      <c r="C184" s="132" t="s">
        <v>68</v>
      </c>
      <c r="D184" s="34" t="s">
        <v>48</v>
      </c>
      <c r="E184" s="290">
        <f>VLOOKUP(C184,[1]Dcu!$B$3:$D$510,3,0)</f>
        <v>6</v>
      </c>
      <c r="F184" s="104">
        <v>0.48</v>
      </c>
      <c r="G184" s="288">
        <f>VLOOKUP(C184,[1]Dcu!$B$3:$E$510,4,0)</f>
        <v>3500000</v>
      </c>
      <c r="H184" s="56">
        <f t="shared" si="11"/>
        <v>10769.23076923077</v>
      </c>
    </row>
    <row r="185" spans="1:8" ht="22.5" customHeight="1">
      <c r="A185" s="174"/>
      <c r="B185" s="93">
        <v>3</v>
      </c>
      <c r="C185" s="132" t="s">
        <v>53</v>
      </c>
      <c r="D185" s="34" t="s">
        <v>48</v>
      </c>
      <c r="E185" s="290">
        <f>VLOOKUP(C185,[1]Dcu!$B$3:$D$510,3,0)</f>
        <v>6</v>
      </c>
      <c r="F185" s="104">
        <v>0.48</v>
      </c>
      <c r="G185" s="288">
        <f>VLOOKUP(C185,[1]Dcu!$B$3:$E$510,4,0)</f>
        <v>80000</v>
      </c>
      <c r="H185" s="56">
        <f t="shared" si="11"/>
        <v>246.15384615384613</v>
      </c>
    </row>
    <row r="186" spans="1:8" ht="22.5" customHeight="1">
      <c r="A186" s="174"/>
      <c r="B186" s="93">
        <v>4</v>
      </c>
      <c r="C186" s="132" t="s">
        <v>21</v>
      </c>
      <c r="D186" s="34" t="s">
        <v>48</v>
      </c>
      <c r="E186" s="290">
        <f>VLOOKUP(C186,[1]Dcu!$B$3:$D$510,3,0)</f>
        <v>6</v>
      </c>
      <c r="F186" s="104">
        <v>0.48</v>
      </c>
      <c r="G186" s="288">
        <f>VLOOKUP(C186,[1]Dcu!$B$3:$E$510,4,0)</f>
        <v>180000</v>
      </c>
      <c r="H186" s="56">
        <f t="shared" si="11"/>
        <v>553.84615384615381</v>
      </c>
    </row>
    <row r="187" spans="1:8" ht="22.5" customHeight="1">
      <c r="A187" s="174"/>
      <c r="B187" s="93">
        <v>5</v>
      </c>
      <c r="C187" s="132" t="s">
        <v>69</v>
      </c>
      <c r="D187" s="34" t="s">
        <v>48</v>
      </c>
      <c r="E187" s="290">
        <f>VLOOKUP(C187,[1]Dcu!$B$3:$D$510,3,0)</f>
        <v>6</v>
      </c>
      <c r="F187" s="104">
        <v>0.48</v>
      </c>
      <c r="G187" s="288">
        <f>VLOOKUP(C187,[1]Dcu!$B$3:$E$510,4,0)</f>
        <v>200000</v>
      </c>
      <c r="H187" s="56">
        <f t="shared" si="11"/>
        <v>615.38461538461536</v>
      </c>
    </row>
    <row r="188" spans="1:8" ht="22.5" customHeight="1">
      <c r="A188" s="174"/>
      <c r="B188" s="93">
        <v>6</v>
      </c>
      <c r="C188" s="132" t="s">
        <v>20</v>
      </c>
      <c r="D188" s="34" t="s">
        <v>48</v>
      </c>
      <c r="E188" s="290">
        <f>VLOOKUP(C188,[1]Dcu!$B$3:$D$510,3,0)</f>
        <v>6</v>
      </c>
      <c r="F188" s="104">
        <v>0.48</v>
      </c>
      <c r="G188" s="288">
        <f>VLOOKUP(C188,[1]Dcu!$B$3:$E$510,4,0)</f>
        <v>170000</v>
      </c>
      <c r="H188" s="56">
        <f t="shared" si="11"/>
        <v>523.07692307692309</v>
      </c>
    </row>
    <row r="189" spans="1:8" ht="22.5" customHeight="1">
      <c r="A189" s="174"/>
      <c r="B189" s="93">
        <v>7</v>
      </c>
      <c r="C189" s="132" t="s">
        <v>70</v>
      </c>
      <c r="D189" s="34" t="s">
        <v>48</v>
      </c>
      <c r="E189" s="290">
        <f>VLOOKUP(C189,[1]Dcu!$B$3:$D$510,3,0)</f>
        <v>6</v>
      </c>
      <c r="F189" s="104">
        <v>0.48</v>
      </c>
      <c r="G189" s="288">
        <f>VLOOKUP(C189,[1]Dcu!$B$3:$E$510,4,0)</f>
        <v>320000</v>
      </c>
      <c r="H189" s="56">
        <f t="shared" si="11"/>
        <v>984.61538461538453</v>
      </c>
    </row>
    <row r="190" spans="1:8" ht="22.5" customHeight="1">
      <c r="A190" s="174"/>
      <c r="B190" s="93">
        <v>8</v>
      </c>
      <c r="C190" s="132" t="s">
        <v>71</v>
      </c>
      <c r="D190" s="34" t="s">
        <v>48</v>
      </c>
      <c r="E190" s="290">
        <f>VLOOKUP(C190,[1]Dcu!$B$3:$D$510,3,0)</f>
        <v>1</v>
      </c>
      <c r="F190" s="104">
        <v>0.48</v>
      </c>
      <c r="G190" s="288">
        <f>VLOOKUP(C190,[1]Dcu!$B$3:$E$510,4,0)</f>
        <v>3000</v>
      </c>
      <c r="H190" s="56">
        <f t="shared" si="11"/>
        <v>55.384615384615387</v>
      </c>
    </row>
    <row r="191" spans="1:8" ht="22.5" customHeight="1">
      <c r="A191" s="174"/>
      <c r="B191" s="93">
        <v>9</v>
      </c>
      <c r="C191" s="132" t="s">
        <v>72</v>
      </c>
      <c r="D191" s="34" t="s">
        <v>48</v>
      </c>
      <c r="E191" s="290">
        <f>VLOOKUP(C191,[1]Dcu!$B$3:$D$510,3,0)</f>
        <v>6</v>
      </c>
      <c r="F191" s="104">
        <v>0.48</v>
      </c>
      <c r="G191" s="288">
        <f>VLOOKUP(C191,[1]Dcu!$B$3:$E$510,4,0)</f>
        <v>75000</v>
      </c>
      <c r="H191" s="56">
        <f t="shared" si="11"/>
        <v>230.76923076923077</v>
      </c>
    </row>
    <row r="192" spans="1:8" ht="22.5" customHeight="1">
      <c r="A192" s="174"/>
      <c r="B192" s="93">
        <v>10</v>
      </c>
      <c r="C192" s="132" t="s">
        <v>73</v>
      </c>
      <c r="D192" s="34" t="s">
        <v>48</v>
      </c>
      <c r="E192" s="290">
        <f>VLOOKUP(C192,[1]Dcu!$B$3:$D$510,3,0)</f>
        <v>24</v>
      </c>
      <c r="F192" s="104">
        <v>0.48</v>
      </c>
      <c r="G192" s="288">
        <f>VLOOKUP(C192,[1]Dcu!$B$3:$E$510,4,0)</f>
        <v>21000000</v>
      </c>
      <c r="H192" s="56">
        <f t="shared" si="11"/>
        <v>16153.846153846154</v>
      </c>
    </row>
    <row r="193" spans="1:8" ht="22.5" customHeight="1">
      <c r="A193" s="174"/>
      <c r="B193" s="93">
        <v>11</v>
      </c>
      <c r="C193" s="132" t="s">
        <v>74</v>
      </c>
      <c r="D193" s="34" t="s">
        <v>48</v>
      </c>
      <c r="E193" s="290">
        <f>VLOOKUP(C193,[1]Dcu!$B$3:$D$510,3,0)</f>
        <v>24</v>
      </c>
      <c r="F193" s="104">
        <v>0.48</v>
      </c>
      <c r="G193" s="288">
        <f>VLOOKUP(C193,[1]Dcu!$B$3:$E$510,4,0)</f>
        <v>10000000</v>
      </c>
      <c r="H193" s="56">
        <f t="shared" si="11"/>
        <v>7692.3076923076915</v>
      </c>
    </row>
    <row r="194" spans="1:8" ht="22.5" customHeight="1">
      <c r="A194" s="174"/>
      <c r="B194" s="93">
        <v>12</v>
      </c>
      <c r="C194" s="132" t="s">
        <v>75</v>
      </c>
      <c r="D194" s="34" t="s">
        <v>48</v>
      </c>
      <c r="E194" s="290">
        <f>VLOOKUP(C194,[1]Dcu!$B$3:$D$510,3,0)</f>
        <v>12</v>
      </c>
      <c r="F194" s="104">
        <v>0.48</v>
      </c>
      <c r="G194" s="288">
        <f>VLOOKUP(C194,[1]Dcu!$B$3:$E$510,4,0)</f>
        <v>1600000</v>
      </c>
      <c r="H194" s="56">
        <f t="shared" si="11"/>
        <v>2461.5384615384614</v>
      </c>
    </row>
    <row r="195" spans="1:8" ht="22.5" customHeight="1">
      <c r="A195" s="174"/>
      <c r="B195" s="93">
        <v>13</v>
      </c>
      <c r="C195" s="132" t="s">
        <v>30</v>
      </c>
      <c r="D195" s="34" t="s">
        <v>48</v>
      </c>
      <c r="E195" s="290">
        <f>VLOOKUP(C195,[1]Dcu!$B$3:$D$510,3,0)</f>
        <v>6</v>
      </c>
      <c r="F195" s="104">
        <v>0.48</v>
      </c>
      <c r="G195" s="288">
        <f>VLOOKUP(C195,[1]Dcu!$B$3:$E$510,4,0)</f>
        <v>340000</v>
      </c>
      <c r="H195" s="56">
        <f t="shared" si="11"/>
        <v>1046.1538461538462</v>
      </c>
    </row>
    <row r="196" spans="1:8" ht="22.5" customHeight="1">
      <c r="A196" s="174"/>
      <c r="B196" s="93">
        <v>14</v>
      </c>
      <c r="C196" s="132" t="s">
        <v>31</v>
      </c>
      <c r="D196" s="34" t="s">
        <v>48</v>
      </c>
      <c r="E196" s="290">
        <f>VLOOKUP(C196,[1]Dcu!$B$3:$D$510,3,0)</f>
        <v>6</v>
      </c>
      <c r="F196" s="104">
        <v>0.48</v>
      </c>
      <c r="G196" s="288">
        <f>VLOOKUP(C196,[1]Dcu!$B$3:$E$510,4,0)</f>
        <v>700000</v>
      </c>
      <c r="H196" s="56">
        <f t="shared" si="11"/>
        <v>2153.8461538461538</v>
      </c>
    </row>
    <row r="197" spans="1:8" ht="22.5" customHeight="1">
      <c r="A197" s="174"/>
      <c r="B197" s="93">
        <v>15</v>
      </c>
      <c r="C197" s="132" t="s">
        <v>56</v>
      </c>
      <c r="D197" s="34" t="s">
        <v>48</v>
      </c>
      <c r="E197" s="290">
        <f>VLOOKUP(C197,[1]Dcu!$B$3:$D$510,3,0)</f>
        <v>6</v>
      </c>
      <c r="F197" s="104">
        <v>0.48</v>
      </c>
      <c r="G197" s="288">
        <f>VLOOKUP(C197,[1]Dcu!$B$3:$E$510,4,0)</f>
        <v>60000</v>
      </c>
      <c r="H197" s="56">
        <f t="shared" si="11"/>
        <v>184.61538461538461</v>
      </c>
    </row>
    <row r="198" spans="1:8" ht="22.5" customHeight="1">
      <c r="A198" s="174"/>
      <c r="B198" s="93">
        <v>16</v>
      </c>
      <c r="C198" s="132" t="s">
        <v>396</v>
      </c>
      <c r="D198" s="34" t="s">
        <v>48</v>
      </c>
      <c r="E198" s="290">
        <f>VLOOKUP(C198,[1]Dcu!$B$3:$D$510,3,0)</f>
        <v>12</v>
      </c>
      <c r="F198" s="104">
        <v>0.4</v>
      </c>
      <c r="G198" s="288">
        <f>VLOOKUP(C198,[1]Dcu!$B$3:$E$510,4,0)</f>
        <v>30000</v>
      </c>
      <c r="H198" s="56">
        <f t="shared" si="11"/>
        <v>38.461538461538467</v>
      </c>
    </row>
    <row r="199" spans="1:8" ht="22.5" customHeight="1">
      <c r="A199" s="174"/>
      <c r="B199" s="93">
        <v>18</v>
      </c>
      <c r="C199" s="200" t="s">
        <v>388</v>
      </c>
      <c r="D199" s="34" t="s">
        <v>86</v>
      </c>
      <c r="E199" s="290">
        <f>VLOOKUP(C199,[1]Dcu!$B$3:$D$510,3,0)</f>
        <v>0.3</v>
      </c>
      <c r="F199" s="161">
        <v>0.02</v>
      </c>
      <c r="G199" s="288">
        <f>VLOOKUP(C199,[1]Dcu!$B$3:$E$510,4,0)</f>
        <v>400000</v>
      </c>
      <c r="H199" s="56">
        <f t="shared" si="11"/>
        <v>1025.6410256410256</v>
      </c>
    </row>
    <row r="200" spans="1:8" ht="22.5" customHeight="1">
      <c r="A200" s="174"/>
      <c r="B200" s="93">
        <v>19</v>
      </c>
      <c r="C200" s="132" t="s">
        <v>33</v>
      </c>
      <c r="D200" s="34" t="s">
        <v>86</v>
      </c>
      <c r="E200" s="290">
        <f>VLOOKUP(C200,[1]Dcu!$B$3:$D$510,3,0)</f>
        <v>0.3</v>
      </c>
      <c r="F200" s="161">
        <v>0.02</v>
      </c>
      <c r="G200" s="288">
        <f>VLOOKUP(C200,[1]Dcu!$B$3:$E$510,4,0)</f>
        <v>380000</v>
      </c>
      <c r="H200" s="56">
        <f t="shared" si="11"/>
        <v>974.35897435897436</v>
      </c>
    </row>
    <row r="201" spans="1:8" ht="22.5" customHeight="1">
      <c r="A201" s="174"/>
      <c r="B201" s="93">
        <v>20</v>
      </c>
      <c r="C201" s="132" t="s">
        <v>34</v>
      </c>
      <c r="D201" s="34" t="s">
        <v>48</v>
      </c>
      <c r="E201" s="290">
        <f>VLOOKUP(C201,[1]Dcu!$B$3:$D$510,3,0)</f>
        <v>36</v>
      </c>
      <c r="F201" s="104">
        <v>6.7000000000000004E-2</v>
      </c>
      <c r="G201" s="288">
        <f>VLOOKUP(C201,[1]Dcu!$B$3:$E$510,4,0)</f>
        <v>500000</v>
      </c>
      <c r="H201" s="56">
        <f t="shared" si="11"/>
        <v>35.79059829059829</v>
      </c>
    </row>
    <row r="202" spans="1:8" ht="22.5" customHeight="1">
      <c r="A202" s="174"/>
      <c r="B202" s="93">
        <v>21</v>
      </c>
      <c r="C202" s="132" t="s">
        <v>35</v>
      </c>
      <c r="D202" s="34" t="s">
        <v>48</v>
      </c>
      <c r="E202" s="290">
        <f>VLOOKUP(C202,[1]Dcu!$B$3:$D$510,3,0)</f>
        <v>36</v>
      </c>
      <c r="F202" s="104">
        <v>6.7000000000000004E-2</v>
      </c>
      <c r="G202" s="288">
        <f>VLOOKUP(C202,[1]Dcu!$B$3:$E$510,4,0)</f>
        <v>250000</v>
      </c>
      <c r="H202" s="56">
        <f t="shared" si="11"/>
        <v>17.895299145299145</v>
      </c>
    </row>
    <row r="203" spans="1:8" ht="22.5" customHeight="1">
      <c r="A203" s="174"/>
      <c r="B203" s="93">
        <v>22</v>
      </c>
      <c r="C203" s="132" t="s">
        <v>36</v>
      </c>
      <c r="D203" s="34" t="s">
        <v>48</v>
      </c>
      <c r="E203" s="290">
        <f>VLOOKUP(C203,[1]Dcu!$B$3:$D$510,3,0)</f>
        <v>60</v>
      </c>
      <c r="F203" s="104">
        <v>3.0000000000000001E-3</v>
      </c>
      <c r="G203" s="288">
        <f>VLOOKUP(C203,[1]Dcu!$B$3:$E$510,4,0)</f>
        <v>1600000</v>
      </c>
      <c r="H203" s="56">
        <f t="shared" si="11"/>
        <v>3.0769230769230771</v>
      </c>
    </row>
    <row r="204" spans="1:8" ht="22.5" customHeight="1">
      <c r="A204" s="174"/>
      <c r="B204" s="93">
        <v>23</v>
      </c>
      <c r="C204" s="132" t="s">
        <v>37</v>
      </c>
      <c r="D204" s="34" t="s">
        <v>48</v>
      </c>
      <c r="E204" s="290">
        <f>VLOOKUP(C204,[1]Dcu!$B$3:$D$510,3,0)</f>
        <v>36</v>
      </c>
      <c r="F204" s="104">
        <v>2.5000000000000001E-2</v>
      </c>
      <c r="G204" s="288">
        <f>VLOOKUP(C204,[1]Dcu!$B$3:$E$510,4,0)</f>
        <v>1500000</v>
      </c>
      <c r="H204" s="56">
        <f t="shared" si="11"/>
        <v>40.064102564102569</v>
      </c>
    </row>
    <row r="205" spans="1:8" ht="22.5" customHeight="1">
      <c r="A205" s="174"/>
      <c r="B205" s="93">
        <v>25</v>
      </c>
      <c r="C205" s="132" t="s">
        <v>38</v>
      </c>
      <c r="D205" s="34" t="s">
        <v>39</v>
      </c>
      <c r="E205" s="290">
        <f>VLOOKUP(C205,[1]Dcu!$B$3:$D$510,3,0)</f>
        <v>24</v>
      </c>
      <c r="F205" s="104">
        <v>0.4</v>
      </c>
      <c r="G205" s="288">
        <f>VLOOKUP(C205,[1]Dcu!$B$3:$E$510,4,0)</f>
        <v>40000</v>
      </c>
      <c r="H205" s="56">
        <f t="shared" si="11"/>
        <v>25.641025641025642</v>
      </c>
    </row>
    <row r="206" spans="1:8" ht="22.5" customHeight="1">
      <c r="A206" s="174"/>
      <c r="B206" s="93">
        <v>26</v>
      </c>
      <c r="C206" s="132" t="s">
        <v>40</v>
      </c>
      <c r="D206" s="34" t="s">
        <v>48</v>
      </c>
      <c r="E206" s="290">
        <f>VLOOKUP(C206,[1]Dcu!$B$3:$D$510,3,0)</f>
        <v>72</v>
      </c>
      <c r="F206" s="104">
        <v>0.1</v>
      </c>
      <c r="G206" s="288">
        <f>VLOOKUP(C206,[1]Dcu!$B$3:$E$510,4,0)</f>
        <v>1000000</v>
      </c>
      <c r="H206" s="56">
        <f t="shared" si="11"/>
        <v>53.418803418803421</v>
      </c>
    </row>
    <row r="207" spans="1:8" ht="22.5" customHeight="1">
      <c r="A207" s="174"/>
      <c r="B207" s="93">
        <v>27</v>
      </c>
      <c r="C207" s="132" t="s">
        <v>41</v>
      </c>
      <c r="D207" s="34" t="s">
        <v>48</v>
      </c>
      <c r="E207" s="290">
        <f>VLOOKUP(C207,[1]Dcu!$B$3:$D$510,3,0)</f>
        <v>72</v>
      </c>
      <c r="F207" s="104">
        <v>0.4</v>
      </c>
      <c r="G207" s="288">
        <f>VLOOKUP(C207,[1]Dcu!$B$3:$E$510,4,0)</f>
        <v>300000</v>
      </c>
      <c r="H207" s="56">
        <f t="shared" si="11"/>
        <v>64.102564102564102</v>
      </c>
    </row>
    <row r="208" spans="1:8" ht="22.5" customHeight="1">
      <c r="A208" s="174"/>
      <c r="B208" s="93">
        <v>28</v>
      </c>
      <c r="C208" s="132" t="s">
        <v>42</v>
      </c>
      <c r="D208" s="34" t="s">
        <v>48</v>
      </c>
      <c r="E208" s="290">
        <f>VLOOKUP(C208,[1]Dcu!$B$3:$D$510,3,0)</f>
        <v>72</v>
      </c>
      <c r="F208" s="104">
        <v>0.4</v>
      </c>
      <c r="G208" s="288">
        <f>VLOOKUP(C208,[1]Dcu!$B$3:$E$510,4,0)</f>
        <v>80000</v>
      </c>
      <c r="H208" s="56">
        <f t="shared" si="11"/>
        <v>17.094017094017094</v>
      </c>
    </row>
    <row r="209" spans="1:8" ht="22.5" customHeight="1">
      <c r="A209" s="174"/>
      <c r="B209" s="93">
        <v>29</v>
      </c>
      <c r="C209" s="132" t="s">
        <v>43</v>
      </c>
      <c r="D209" s="34" t="s">
        <v>44</v>
      </c>
      <c r="E209" s="34"/>
      <c r="F209" s="104">
        <v>0.57799999999999996</v>
      </c>
      <c r="G209" s="288">
        <f>VLOOKUP(C209,[1]Dcu!$B$3:$E$510,4,0)</f>
        <v>1838</v>
      </c>
      <c r="H209" s="56">
        <f>G209*F209</f>
        <v>1062.364</v>
      </c>
    </row>
    <row r="210" spans="1:8" s="186" customFormat="1" ht="22.5" customHeight="1">
      <c r="A210" s="174">
        <v>6</v>
      </c>
      <c r="B210" s="17" t="s">
        <v>316</v>
      </c>
      <c r="C210" s="390" t="s">
        <v>219</v>
      </c>
      <c r="D210" s="390"/>
      <c r="E210" s="390"/>
      <c r="F210" s="18"/>
      <c r="G210" s="181"/>
      <c r="H210" s="191">
        <f>SUM(H211:H238)*1.1+H239</f>
        <v>51620.331273504271</v>
      </c>
    </row>
    <row r="211" spans="1:8" ht="22.5" customHeight="1">
      <c r="A211" s="174"/>
      <c r="B211" s="93">
        <v>1</v>
      </c>
      <c r="C211" s="132" t="s">
        <v>14</v>
      </c>
      <c r="D211" s="34" t="s">
        <v>48</v>
      </c>
      <c r="E211" s="290">
        <f>VLOOKUP(C211,[1]Dcu!$B$3:$D$510,3,0)</f>
        <v>6</v>
      </c>
      <c r="F211" s="107">
        <v>0.6</v>
      </c>
      <c r="G211" s="288">
        <f>VLOOKUP(C211,[1]Dcu!$B$3:$E$510,4,0)</f>
        <v>100000</v>
      </c>
      <c r="H211" s="56">
        <f t="shared" si="11"/>
        <v>384.61538461538458</v>
      </c>
    </row>
    <row r="212" spans="1:8" ht="22.5" customHeight="1">
      <c r="A212" s="174"/>
      <c r="B212" s="93">
        <v>2</v>
      </c>
      <c r="C212" s="132" t="s">
        <v>234</v>
      </c>
      <c r="D212" s="34" t="s">
        <v>48</v>
      </c>
      <c r="E212" s="290">
        <f>VLOOKUP(C212,[1]Dcu!$B$3:$D$510,3,0)</f>
        <v>6</v>
      </c>
      <c r="F212" s="107">
        <v>0.6</v>
      </c>
      <c r="G212" s="288">
        <f>VLOOKUP(C212,[1]Dcu!$B$3:$E$510,4,0)</f>
        <v>60000</v>
      </c>
      <c r="H212" s="56">
        <f t="shared" si="11"/>
        <v>230.76923076923077</v>
      </c>
    </row>
    <row r="213" spans="1:8" ht="22.5" customHeight="1">
      <c r="A213" s="174"/>
      <c r="B213" s="93">
        <v>3</v>
      </c>
      <c r="C213" s="132" t="s">
        <v>68</v>
      </c>
      <c r="D213" s="34" t="s">
        <v>48</v>
      </c>
      <c r="E213" s="290">
        <f>VLOOKUP(C213,[1]Dcu!$B$3:$D$510,3,0)</f>
        <v>6</v>
      </c>
      <c r="F213" s="107">
        <v>0.6</v>
      </c>
      <c r="G213" s="288">
        <f>VLOOKUP(C213,[1]Dcu!$B$3:$E$510,4,0)</f>
        <v>3500000</v>
      </c>
      <c r="H213" s="56">
        <f t="shared" si="11"/>
        <v>13461.538461538463</v>
      </c>
    </row>
    <row r="214" spans="1:8" ht="22.5" customHeight="1">
      <c r="A214" s="174"/>
      <c r="B214" s="93">
        <v>4</v>
      </c>
      <c r="C214" s="132" t="s">
        <v>53</v>
      </c>
      <c r="D214" s="34" t="s">
        <v>48</v>
      </c>
      <c r="E214" s="290">
        <f>VLOOKUP(C214,[1]Dcu!$B$3:$D$510,3,0)</f>
        <v>6</v>
      </c>
      <c r="F214" s="107">
        <v>0.6</v>
      </c>
      <c r="G214" s="288">
        <f>VLOOKUP(C214,[1]Dcu!$B$3:$E$510,4,0)</f>
        <v>80000</v>
      </c>
      <c r="H214" s="56">
        <f t="shared" si="11"/>
        <v>307.69230769230768</v>
      </c>
    </row>
    <row r="215" spans="1:8" ht="22.5" customHeight="1">
      <c r="A215" s="174"/>
      <c r="B215" s="93">
        <v>5</v>
      </c>
      <c r="C215" s="132" t="s">
        <v>21</v>
      </c>
      <c r="D215" s="34" t="s">
        <v>48</v>
      </c>
      <c r="E215" s="290">
        <f>VLOOKUP(C215,[1]Dcu!$B$3:$D$510,3,0)</f>
        <v>6</v>
      </c>
      <c r="F215" s="107">
        <v>0.6</v>
      </c>
      <c r="G215" s="288">
        <f>VLOOKUP(C215,[1]Dcu!$B$3:$E$510,4,0)</f>
        <v>180000</v>
      </c>
      <c r="H215" s="56">
        <f t="shared" si="11"/>
        <v>692.30769230769226</v>
      </c>
    </row>
    <row r="216" spans="1:8" ht="22.5" customHeight="1">
      <c r="A216" s="174"/>
      <c r="B216" s="93">
        <v>6</v>
      </c>
      <c r="C216" s="132" t="s">
        <v>69</v>
      </c>
      <c r="D216" s="34" t="s">
        <v>48</v>
      </c>
      <c r="E216" s="290">
        <f>VLOOKUP(C216,[1]Dcu!$B$3:$D$510,3,0)</f>
        <v>6</v>
      </c>
      <c r="F216" s="107">
        <v>0.6</v>
      </c>
      <c r="G216" s="288">
        <f>VLOOKUP(C216,[1]Dcu!$B$3:$E$510,4,0)</f>
        <v>200000</v>
      </c>
      <c r="H216" s="56">
        <f t="shared" si="11"/>
        <v>769.23076923076917</v>
      </c>
    </row>
    <row r="217" spans="1:8" ht="22.5" customHeight="1">
      <c r="A217" s="174"/>
      <c r="B217" s="93">
        <v>7</v>
      </c>
      <c r="C217" s="132" t="s">
        <v>20</v>
      </c>
      <c r="D217" s="34" t="s">
        <v>48</v>
      </c>
      <c r="E217" s="290">
        <f>VLOOKUP(C217,[1]Dcu!$B$3:$D$510,3,0)</f>
        <v>6</v>
      </c>
      <c r="F217" s="107">
        <v>0.6</v>
      </c>
      <c r="G217" s="288">
        <f>VLOOKUP(C217,[1]Dcu!$B$3:$E$510,4,0)</f>
        <v>170000</v>
      </c>
      <c r="H217" s="56">
        <f t="shared" si="11"/>
        <v>653.84615384615392</v>
      </c>
    </row>
    <row r="218" spans="1:8" ht="22.5" customHeight="1">
      <c r="A218" s="174"/>
      <c r="B218" s="93">
        <v>8</v>
      </c>
      <c r="C218" s="132" t="s">
        <v>71</v>
      </c>
      <c r="D218" s="34" t="s">
        <v>48</v>
      </c>
      <c r="E218" s="290">
        <f>VLOOKUP(C218,[1]Dcu!$B$3:$D$510,3,0)</f>
        <v>1</v>
      </c>
      <c r="F218" s="107">
        <v>0.6</v>
      </c>
      <c r="G218" s="288">
        <f>VLOOKUP(C218,[1]Dcu!$B$3:$E$510,4,0)</f>
        <v>3000</v>
      </c>
      <c r="H218" s="56">
        <f t="shared" si="11"/>
        <v>69.230769230769226</v>
      </c>
    </row>
    <row r="219" spans="1:8" ht="22.5" customHeight="1">
      <c r="A219" s="174"/>
      <c r="B219" s="93">
        <v>9</v>
      </c>
      <c r="C219" s="132" t="s">
        <v>72</v>
      </c>
      <c r="D219" s="34" t="s">
        <v>48</v>
      </c>
      <c r="E219" s="290">
        <f>VLOOKUP(C219,[1]Dcu!$B$3:$D$510,3,0)</f>
        <v>6</v>
      </c>
      <c r="F219" s="107">
        <v>0.6</v>
      </c>
      <c r="G219" s="288">
        <f>VLOOKUP(C219,[1]Dcu!$B$3:$E$510,4,0)</f>
        <v>75000</v>
      </c>
      <c r="H219" s="56">
        <f t="shared" si="11"/>
        <v>288.46153846153845</v>
      </c>
    </row>
    <row r="220" spans="1:8" ht="22.5" customHeight="1">
      <c r="A220" s="174"/>
      <c r="B220" s="93">
        <v>10</v>
      </c>
      <c r="C220" s="132" t="s">
        <v>24</v>
      </c>
      <c r="D220" s="34" t="s">
        <v>48</v>
      </c>
      <c r="E220" s="290">
        <f>VLOOKUP(C220,[1]Dcu!$B$3:$D$510,3,0)</f>
        <v>6</v>
      </c>
      <c r="F220" s="107">
        <v>0.6</v>
      </c>
      <c r="G220" s="288">
        <f>VLOOKUP(C220,[1]Dcu!$B$3:$E$510,4,0)</f>
        <v>15000</v>
      </c>
      <c r="H220" s="56">
        <f t="shared" si="11"/>
        <v>57.692307692307693</v>
      </c>
    </row>
    <row r="221" spans="1:8" ht="22.5" customHeight="1">
      <c r="A221" s="174"/>
      <c r="B221" s="93">
        <v>11</v>
      </c>
      <c r="C221" s="132" t="s">
        <v>19</v>
      </c>
      <c r="D221" s="34" t="s">
        <v>48</v>
      </c>
      <c r="E221" s="290">
        <f>VLOOKUP(C221,[1]Dcu!$B$3:$D$510,3,0)</f>
        <v>6</v>
      </c>
      <c r="F221" s="107">
        <v>0.6</v>
      </c>
      <c r="G221" s="288">
        <f>VLOOKUP(C221,[1]Dcu!$B$3:$E$510,4,0)</f>
        <v>110000</v>
      </c>
      <c r="H221" s="56">
        <f t="shared" si="11"/>
        <v>423.07692307692304</v>
      </c>
    </row>
    <row r="222" spans="1:8" ht="22.5" customHeight="1">
      <c r="A222" s="174"/>
      <c r="B222" s="93">
        <v>12</v>
      </c>
      <c r="C222" s="151" t="s">
        <v>27</v>
      </c>
      <c r="D222" s="34" t="s">
        <v>48</v>
      </c>
      <c r="E222" s="290">
        <f>VLOOKUP(C222,[1]Dcu!$B$3:$D$510,3,0)</f>
        <v>24</v>
      </c>
      <c r="F222" s="107">
        <v>0.6</v>
      </c>
      <c r="G222" s="288">
        <f>VLOOKUP(C222,[1]Dcu!$B$3:$E$510,4,0)</f>
        <v>15000000</v>
      </c>
      <c r="H222" s="56">
        <f t="shared" si="11"/>
        <v>14423.076923076924</v>
      </c>
    </row>
    <row r="223" spans="1:8" ht="22.5" customHeight="1">
      <c r="A223" s="174"/>
      <c r="B223" s="93">
        <v>13</v>
      </c>
      <c r="C223" s="151" t="s">
        <v>28</v>
      </c>
      <c r="D223" s="34" t="s">
        <v>48</v>
      </c>
      <c r="E223" s="290">
        <f>VLOOKUP(C223,[1]Dcu!$B$3:$D$510,3,0)</f>
        <v>24</v>
      </c>
      <c r="F223" s="107">
        <v>0.6</v>
      </c>
      <c r="G223" s="288">
        <f>VLOOKUP(C223,[1]Dcu!$B$3:$E$510,4,0)</f>
        <v>4500000</v>
      </c>
      <c r="H223" s="56">
        <f t="shared" si="11"/>
        <v>4326.9230769230771</v>
      </c>
    </row>
    <row r="224" spans="1:8" ht="22.5" customHeight="1">
      <c r="A224" s="174"/>
      <c r="B224" s="93">
        <v>14</v>
      </c>
      <c r="C224" s="132" t="s">
        <v>75</v>
      </c>
      <c r="D224" s="34" t="s">
        <v>48</v>
      </c>
      <c r="E224" s="290">
        <f>VLOOKUP(C224,[1]Dcu!$B$3:$D$510,3,0)</f>
        <v>12</v>
      </c>
      <c r="F224" s="107">
        <v>0.6</v>
      </c>
      <c r="G224" s="288">
        <f>VLOOKUP(C224,[1]Dcu!$B$3:$E$510,4,0)</f>
        <v>1600000</v>
      </c>
      <c r="H224" s="56">
        <f t="shared" si="11"/>
        <v>3076.9230769230767</v>
      </c>
    </row>
    <row r="225" spans="1:8" ht="22.5" customHeight="1">
      <c r="A225" s="174"/>
      <c r="B225" s="93">
        <v>15</v>
      </c>
      <c r="C225" s="132" t="s">
        <v>30</v>
      </c>
      <c r="D225" s="34" t="s">
        <v>48</v>
      </c>
      <c r="E225" s="290">
        <f>VLOOKUP(C225,[1]Dcu!$B$3:$D$510,3,0)</f>
        <v>6</v>
      </c>
      <c r="F225" s="107">
        <v>0.6</v>
      </c>
      <c r="G225" s="288">
        <f>VLOOKUP(C225,[1]Dcu!$B$3:$E$510,4,0)</f>
        <v>340000</v>
      </c>
      <c r="H225" s="56">
        <f t="shared" si="11"/>
        <v>1307.6923076923078</v>
      </c>
    </row>
    <row r="226" spans="1:8" ht="22.5" customHeight="1">
      <c r="A226" s="174"/>
      <c r="B226" s="93">
        <v>16</v>
      </c>
      <c r="C226" s="132" t="s">
        <v>31</v>
      </c>
      <c r="D226" s="34" t="s">
        <v>48</v>
      </c>
      <c r="E226" s="290">
        <f>VLOOKUP(C226,[1]Dcu!$B$3:$D$510,3,0)</f>
        <v>6</v>
      </c>
      <c r="F226" s="107">
        <v>0.6</v>
      </c>
      <c r="G226" s="288">
        <f>VLOOKUP(C226,[1]Dcu!$B$3:$E$510,4,0)</f>
        <v>700000</v>
      </c>
      <c r="H226" s="56">
        <f t="shared" si="11"/>
        <v>2692.3076923076924</v>
      </c>
    </row>
    <row r="227" spans="1:8" ht="22.5" customHeight="1">
      <c r="A227" s="174"/>
      <c r="B227" s="93">
        <v>17</v>
      </c>
      <c r="C227" s="132" t="s">
        <v>56</v>
      </c>
      <c r="D227" s="34" t="s">
        <v>48</v>
      </c>
      <c r="E227" s="290">
        <f>VLOOKUP(C227,[1]Dcu!$B$3:$D$510,3,0)</f>
        <v>6</v>
      </c>
      <c r="F227" s="107">
        <v>0.6</v>
      </c>
      <c r="G227" s="288">
        <f>VLOOKUP(C227,[1]Dcu!$B$3:$E$510,4,0)</f>
        <v>60000</v>
      </c>
      <c r="H227" s="56">
        <f t="shared" si="11"/>
        <v>230.76923076923077</v>
      </c>
    </row>
    <row r="228" spans="1:8" ht="22.5" customHeight="1">
      <c r="A228" s="174"/>
      <c r="B228" s="93">
        <v>18</v>
      </c>
      <c r="C228" s="132" t="s">
        <v>396</v>
      </c>
      <c r="D228" s="34" t="s">
        <v>48</v>
      </c>
      <c r="E228" s="290">
        <f>VLOOKUP(C228,[1]Dcu!$B$3:$D$510,3,0)</f>
        <v>12</v>
      </c>
      <c r="F228" s="107">
        <v>0.6</v>
      </c>
      <c r="G228" s="288">
        <f>VLOOKUP(C228,[1]Dcu!$B$3:$E$510,4,0)</f>
        <v>30000</v>
      </c>
      <c r="H228" s="56">
        <f t="shared" si="11"/>
        <v>57.692307692307693</v>
      </c>
    </row>
    <row r="229" spans="1:8" ht="22.5" customHeight="1">
      <c r="A229" s="174"/>
      <c r="B229" s="93">
        <v>20</v>
      </c>
      <c r="C229" s="200" t="s">
        <v>388</v>
      </c>
      <c r="D229" s="34" t="s">
        <v>86</v>
      </c>
      <c r="E229" s="290">
        <f>VLOOKUP(C229,[1]Dcu!$B$3:$D$510,3,0)</f>
        <v>0.3</v>
      </c>
      <c r="F229" s="161">
        <v>0.02</v>
      </c>
      <c r="G229" s="288">
        <f>VLOOKUP(C229,[1]Dcu!$B$3:$E$510,4,0)</f>
        <v>400000</v>
      </c>
      <c r="H229" s="56">
        <f t="shared" si="11"/>
        <v>1025.6410256410256</v>
      </c>
    </row>
    <row r="230" spans="1:8" ht="22.5" customHeight="1">
      <c r="A230" s="174"/>
      <c r="B230" s="93">
        <v>21</v>
      </c>
      <c r="C230" s="132" t="s">
        <v>33</v>
      </c>
      <c r="D230" s="34" t="s">
        <v>86</v>
      </c>
      <c r="E230" s="290">
        <f>VLOOKUP(C230,[1]Dcu!$B$3:$D$510,3,0)</f>
        <v>0.3</v>
      </c>
      <c r="F230" s="161">
        <v>0.02</v>
      </c>
      <c r="G230" s="288">
        <f>VLOOKUP(C230,[1]Dcu!$B$3:$E$510,4,0)</f>
        <v>380000</v>
      </c>
      <c r="H230" s="56">
        <f t="shared" si="11"/>
        <v>974.35897435897436</v>
      </c>
    </row>
    <row r="231" spans="1:8" ht="22.5" customHeight="1">
      <c r="A231" s="174"/>
      <c r="B231" s="93">
        <v>22</v>
      </c>
      <c r="C231" s="132" t="s">
        <v>34</v>
      </c>
      <c r="D231" s="34" t="s">
        <v>48</v>
      </c>
      <c r="E231" s="290">
        <f>VLOOKUP(C231,[1]Dcu!$B$3:$D$510,3,0)</f>
        <v>36</v>
      </c>
      <c r="F231" s="107">
        <v>0.107</v>
      </c>
      <c r="G231" s="288">
        <f>VLOOKUP(C231,[1]Dcu!$B$3:$E$510,4,0)</f>
        <v>500000</v>
      </c>
      <c r="H231" s="56">
        <f t="shared" si="11"/>
        <v>57.158119658119659</v>
      </c>
    </row>
    <row r="232" spans="1:8" ht="22.5" customHeight="1">
      <c r="A232" s="174"/>
      <c r="B232" s="93">
        <v>23</v>
      </c>
      <c r="C232" s="132" t="s">
        <v>35</v>
      </c>
      <c r="D232" s="34" t="s">
        <v>48</v>
      </c>
      <c r="E232" s="290">
        <f>VLOOKUP(C232,[1]Dcu!$B$3:$D$510,3,0)</f>
        <v>36</v>
      </c>
      <c r="F232" s="107">
        <v>0.107</v>
      </c>
      <c r="G232" s="288">
        <f>VLOOKUP(C232,[1]Dcu!$B$3:$E$510,4,0)</f>
        <v>250000</v>
      </c>
      <c r="H232" s="56">
        <f t="shared" si="11"/>
        <v>28.57905982905983</v>
      </c>
    </row>
    <row r="233" spans="1:8" ht="22.5" customHeight="1">
      <c r="A233" s="174"/>
      <c r="B233" s="93">
        <v>24</v>
      </c>
      <c r="C233" s="132" t="s">
        <v>36</v>
      </c>
      <c r="D233" s="34" t="s">
        <v>48</v>
      </c>
      <c r="E233" s="290">
        <f>VLOOKUP(C233,[1]Dcu!$B$3:$D$510,3,0)</f>
        <v>60</v>
      </c>
      <c r="F233" s="107">
        <v>5.0000000000000001E-3</v>
      </c>
      <c r="G233" s="288">
        <f>VLOOKUP(C233,[1]Dcu!$B$3:$E$510,4,0)</f>
        <v>1600000</v>
      </c>
      <c r="H233" s="56">
        <f t="shared" ref="H233:H238" si="12">G233/(E233*26)*F231</f>
        <v>109.74358974358974</v>
      </c>
    </row>
    <row r="234" spans="1:8" ht="22.5" customHeight="1">
      <c r="A234" s="174"/>
      <c r="B234" s="93">
        <v>25</v>
      </c>
      <c r="C234" s="132" t="s">
        <v>37</v>
      </c>
      <c r="D234" s="34" t="s">
        <v>48</v>
      </c>
      <c r="E234" s="290">
        <f>VLOOKUP(C234,[1]Dcu!$B$3:$D$510,3,0)</f>
        <v>36</v>
      </c>
      <c r="F234" s="107">
        <v>0.04</v>
      </c>
      <c r="G234" s="288">
        <f>VLOOKUP(C234,[1]Dcu!$B$3:$E$510,4,0)</f>
        <v>1500000</v>
      </c>
      <c r="H234" s="56">
        <f t="shared" si="12"/>
        <v>171.47435897435898</v>
      </c>
    </row>
    <row r="235" spans="1:8" ht="22.5" customHeight="1">
      <c r="A235" s="174"/>
      <c r="B235" s="93">
        <v>27</v>
      </c>
      <c r="C235" s="132" t="s">
        <v>38</v>
      </c>
      <c r="D235" s="34" t="s">
        <v>39</v>
      </c>
      <c r="E235" s="290">
        <f>VLOOKUP(C235,[1]Dcu!$B$3:$D$510,3,0)</f>
        <v>24</v>
      </c>
      <c r="F235" s="107">
        <v>0.16</v>
      </c>
      <c r="G235" s="288">
        <f>VLOOKUP(C235,[1]Dcu!$B$3:$E$510,4,0)</f>
        <v>40000</v>
      </c>
      <c r="H235" s="56">
        <f>G235/(E235*26)*F234</f>
        <v>2.5641025641025643</v>
      </c>
    </row>
    <row r="236" spans="1:8" ht="22.5" customHeight="1">
      <c r="A236" s="174"/>
      <c r="B236" s="93">
        <v>28</v>
      </c>
      <c r="C236" s="132" t="s">
        <v>40</v>
      </c>
      <c r="D236" s="34" t="s">
        <v>48</v>
      </c>
      <c r="E236" s="290">
        <f>VLOOKUP(C236,[1]Dcu!$B$3:$D$510,3,0)</f>
        <v>72</v>
      </c>
      <c r="F236" s="107">
        <v>0.6</v>
      </c>
      <c r="G236" s="288">
        <f>VLOOKUP(C236,[1]Dcu!$B$3:$E$510,4,0)</f>
        <v>1000000</v>
      </c>
      <c r="H236" s="56">
        <f>G236/(E236*26)*F235</f>
        <v>85.470085470085465</v>
      </c>
    </row>
    <row r="237" spans="1:8" ht="22.5" customHeight="1">
      <c r="A237" s="174"/>
      <c r="B237" s="93">
        <v>29</v>
      </c>
      <c r="C237" s="132" t="s">
        <v>41</v>
      </c>
      <c r="D237" s="34" t="s">
        <v>48</v>
      </c>
      <c r="E237" s="290">
        <f>VLOOKUP(C237,[1]Dcu!$B$3:$D$510,3,0)</f>
        <v>72</v>
      </c>
      <c r="F237" s="107">
        <v>0.6</v>
      </c>
      <c r="G237" s="288">
        <f>VLOOKUP(C237,[1]Dcu!$B$3:$E$510,4,0)</f>
        <v>300000</v>
      </c>
      <c r="H237" s="56">
        <f t="shared" si="12"/>
        <v>25.641025641025639</v>
      </c>
    </row>
    <row r="238" spans="1:8" ht="22.5" customHeight="1">
      <c r="A238" s="174"/>
      <c r="B238" s="93">
        <v>30</v>
      </c>
      <c r="C238" s="132" t="s">
        <v>42</v>
      </c>
      <c r="D238" s="34" t="s">
        <v>48</v>
      </c>
      <c r="E238" s="290">
        <f>VLOOKUP(C238,[1]Dcu!$B$3:$D$510,3,0)</f>
        <v>72</v>
      </c>
      <c r="F238" s="107">
        <v>0.6</v>
      </c>
      <c r="G238" s="288">
        <f>VLOOKUP(C238,[1]Dcu!$B$3:$E$510,4,0)</f>
        <v>80000</v>
      </c>
      <c r="H238" s="56">
        <f t="shared" si="12"/>
        <v>25.641025641025639</v>
      </c>
    </row>
    <row r="239" spans="1:8" ht="22.5" customHeight="1">
      <c r="A239" s="174"/>
      <c r="B239" s="93">
        <v>31</v>
      </c>
      <c r="C239" s="132" t="s">
        <v>43</v>
      </c>
      <c r="D239" s="34" t="s">
        <v>44</v>
      </c>
      <c r="E239" s="34"/>
      <c r="F239" s="107">
        <v>0.57899999999999996</v>
      </c>
      <c r="G239" s="288">
        <f>VLOOKUP(C239,[1]Dcu!$B$3:$E$510,4,0)</f>
        <v>1838</v>
      </c>
      <c r="H239" s="56">
        <f>G239*F239</f>
        <v>1064.202</v>
      </c>
    </row>
    <row r="240" spans="1:8" s="186" customFormat="1" ht="18" customHeight="1">
      <c r="A240" s="174">
        <v>7</v>
      </c>
      <c r="B240" s="174" t="s">
        <v>317</v>
      </c>
      <c r="C240" s="389" t="s">
        <v>350</v>
      </c>
      <c r="D240" s="389"/>
      <c r="E240" s="389"/>
      <c r="F240" s="182"/>
      <c r="G240" s="183"/>
      <c r="H240" s="191">
        <f>SUM(H241:H266)*1.1+H267</f>
        <v>100801.25761538463</v>
      </c>
    </row>
    <row r="241" spans="1:8" ht="22.5" customHeight="1">
      <c r="A241" s="174"/>
      <c r="B241" s="29">
        <v>1</v>
      </c>
      <c r="C241" s="2" t="s">
        <v>14</v>
      </c>
      <c r="D241" s="3" t="s">
        <v>48</v>
      </c>
      <c r="E241" s="290">
        <f>VLOOKUP(C241,[1]Dcu!$B$3:$D$510,3,0)</f>
        <v>6</v>
      </c>
      <c r="F241" s="104">
        <v>1.6</v>
      </c>
      <c r="G241" s="288">
        <f>VLOOKUP(C241,[1]Dcu!$B$3:$E$510,4,0)</f>
        <v>100000</v>
      </c>
      <c r="H241" s="56">
        <f t="shared" si="11"/>
        <v>1025.6410256410256</v>
      </c>
    </row>
    <row r="242" spans="1:8" ht="22.5" customHeight="1">
      <c r="A242" s="174"/>
      <c r="B242" s="29">
        <v>2</v>
      </c>
      <c r="C242" s="2" t="s">
        <v>54</v>
      </c>
      <c r="D242" s="3" t="s">
        <v>48</v>
      </c>
      <c r="E242" s="290">
        <f>VLOOKUP(C242,[1]Dcu!$B$3:$D$510,3,0)</f>
        <v>6</v>
      </c>
      <c r="F242" s="104">
        <v>1.6</v>
      </c>
      <c r="G242" s="288">
        <f>VLOOKUP(C242,[1]Dcu!$B$3:$E$510,4,0)</f>
        <v>3500000</v>
      </c>
      <c r="H242" s="56">
        <f t="shared" si="11"/>
        <v>35897.435897435898</v>
      </c>
    </row>
    <row r="243" spans="1:8" ht="22.5" customHeight="1">
      <c r="A243" s="174"/>
      <c r="B243" s="29">
        <v>3</v>
      </c>
      <c r="C243" s="2" t="s">
        <v>235</v>
      </c>
      <c r="D243" s="3" t="s">
        <v>48</v>
      </c>
      <c r="E243" s="290">
        <f>VLOOKUP(C243,[1]Dcu!$B$3:$D$510,3,0)</f>
        <v>6</v>
      </c>
      <c r="F243" s="104">
        <v>1.6</v>
      </c>
      <c r="G243" s="288">
        <f>VLOOKUP(C243,[1]Dcu!$B$3:$E$510,4,0)</f>
        <v>70000</v>
      </c>
      <c r="H243" s="56">
        <f t="shared" ref="H243:H266" si="13">G243/(E243*26)*F243</f>
        <v>717.94871794871801</v>
      </c>
    </row>
    <row r="244" spans="1:8" ht="19.5" customHeight="1">
      <c r="A244" s="174"/>
      <c r="B244" s="29">
        <v>4</v>
      </c>
      <c r="C244" s="2" t="s">
        <v>19</v>
      </c>
      <c r="D244" s="3" t="s">
        <v>48</v>
      </c>
      <c r="E244" s="290">
        <f>VLOOKUP(C244,[1]Dcu!$B$3:$D$510,3,0)</f>
        <v>6</v>
      </c>
      <c r="F244" s="104">
        <v>1.6</v>
      </c>
      <c r="G244" s="288">
        <f>VLOOKUP(C244,[1]Dcu!$B$3:$E$510,4,0)</f>
        <v>110000</v>
      </c>
      <c r="H244" s="56">
        <f t="shared" si="13"/>
        <v>1128.2051282051282</v>
      </c>
    </row>
    <row r="245" spans="1:8" ht="22.5" customHeight="1">
      <c r="A245" s="174"/>
      <c r="B245" s="29">
        <v>5</v>
      </c>
      <c r="C245" s="2" t="s">
        <v>236</v>
      </c>
      <c r="D245" s="3" t="s">
        <v>48</v>
      </c>
      <c r="E245" s="290">
        <f>VLOOKUP(C245,[1]Dcu!$B$3:$D$510,3,0)</f>
        <v>6</v>
      </c>
      <c r="F245" s="104">
        <v>1.6</v>
      </c>
      <c r="G245" s="288">
        <f>VLOOKUP(C245,[1]Dcu!$B$3:$E$510,4,0)</f>
        <v>250000</v>
      </c>
      <c r="H245" s="56">
        <f t="shared" si="13"/>
        <v>2564.1025641025644</v>
      </c>
    </row>
    <row r="246" spans="1:8" ht="22.5" customHeight="1">
      <c r="A246" s="174"/>
      <c r="B246" s="29">
        <v>6</v>
      </c>
      <c r="C246" s="2" t="s">
        <v>25</v>
      </c>
      <c r="D246" s="3" t="s">
        <v>48</v>
      </c>
      <c r="E246" s="290">
        <f>VLOOKUP(C246,[1]Dcu!$B$3:$D$510,3,0)</f>
        <v>6</v>
      </c>
      <c r="F246" s="104">
        <v>1.6</v>
      </c>
      <c r="G246" s="288">
        <f>VLOOKUP(C246,[1]Dcu!$B$3:$E$510,4,0)</f>
        <v>120000</v>
      </c>
      <c r="H246" s="56">
        <f t="shared" si="13"/>
        <v>1230.7692307692309</v>
      </c>
    </row>
    <row r="247" spans="1:8" ht="22.5" customHeight="1">
      <c r="A247" s="174"/>
      <c r="B247" s="29">
        <v>7</v>
      </c>
      <c r="C247" s="2" t="s">
        <v>23</v>
      </c>
      <c r="D247" s="3" t="s">
        <v>48</v>
      </c>
      <c r="E247" s="290">
        <f>VLOOKUP(C247,[1]Dcu!$B$3:$D$510,3,0)</f>
        <v>6</v>
      </c>
      <c r="F247" s="104">
        <v>1.6</v>
      </c>
      <c r="G247" s="288">
        <f>VLOOKUP(C247,[1]Dcu!$B$3:$E$510,4,0)</f>
        <v>90000</v>
      </c>
      <c r="H247" s="56">
        <f t="shared" si="13"/>
        <v>923.07692307692309</v>
      </c>
    </row>
    <row r="248" spans="1:8" ht="22.5" customHeight="1">
      <c r="A248" s="174"/>
      <c r="B248" s="29">
        <v>8</v>
      </c>
      <c r="C248" s="2" t="s">
        <v>69</v>
      </c>
      <c r="D248" s="3" t="s">
        <v>48</v>
      </c>
      <c r="E248" s="290">
        <f>VLOOKUP(C248,[1]Dcu!$B$3:$D$510,3,0)</f>
        <v>6</v>
      </c>
      <c r="F248" s="104">
        <v>1.6</v>
      </c>
      <c r="G248" s="288">
        <f>VLOOKUP(C248,[1]Dcu!$B$3:$E$510,4,0)</f>
        <v>200000</v>
      </c>
      <c r="H248" s="56">
        <f t="shared" si="13"/>
        <v>2051.2820512820513</v>
      </c>
    </row>
    <row r="249" spans="1:8" ht="19.5" customHeight="1">
      <c r="A249" s="174"/>
      <c r="B249" s="29">
        <v>9</v>
      </c>
      <c r="C249" s="2" t="s">
        <v>70</v>
      </c>
      <c r="D249" s="3" t="s">
        <v>237</v>
      </c>
      <c r="E249" s="290">
        <f>VLOOKUP(C249,[1]Dcu!$B$3:$D$510,3,0)</f>
        <v>6</v>
      </c>
      <c r="F249" s="104">
        <v>1.6</v>
      </c>
      <c r="G249" s="288">
        <f>VLOOKUP(C249,[1]Dcu!$B$3:$E$510,4,0)</f>
        <v>320000</v>
      </c>
      <c r="H249" s="56">
        <f t="shared" si="13"/>
        <v>3282.0512820512822</v>
      </c>
    </row>
    <row r="250" spans="1:8" ht="19.5" customHeight="1">
      <c r="A250" s="174"/>
      <c r="B250" s="29">
        <v>10</v>
      </c>
      <c r="C250" s="2" t="s">
        <v>27</v>
      </c>
      <c r="D250" s="3" t="s">
        <v>15</v>
      </c>
      <c r="E250" s="290">
        <f>VLOOKUP(C250,[1]Dcu!$B$3:$D$510,3,0)</f>
        <v>24</v>
      </c>
      <c r="F250" s="30">
        <v>0.4</v>
      </c>
      <c r="G250" s="288">
        <f>VLOOKUP(C250,[1]Dcu!$B$3:$E$510,4,0)</f>
        <v>15000000</v>
      </c>
      <c r="H250" s="56">
        <f t="shared" si="13"/>
        <v>9615.3846153846152</v>
      </c>
    </row>
    <row r="251" spans="1:8" ht="22.5" customHeight="1">
      <c r="A251" s="174"/>
      <c r="B251" s="29">
        <v>11</v>
      </c>
      <c r="C251" s="2" t="s">
        <v>28</v>
      </c>
      <c r="D251" s="3" t="s">
        <v>15</v>
      </c>
      <c r="E251" s="290">
        <f>VLOOKUP(C251,[1]Dcu!$B$3:$D$510,3,0)</f>
        <v>24</v>
      </c>
      <c r="F251" s="30">
        <v>0.4</v>
      </c>
      <c r="G251" s="288">
        <f>VLOOKUP(C251,[1]Dcu!$B$3:$E$510,4,0)</f>
        <v>4500000</v>
      </c>
      <c r="H251" s="56">
        <f t="shared" si="13"/>
        <v>2884.6153846153848</v>
      </c>
    </row>
    <row r="252" spans="1:8" ht="19.5" customHeight="1">
      <c r="A252" s="174"/>
      <c r="B252" s="29">
        <v>12</v>
      </c>
      <c r="C252" s="2" t="s">
        <v>75</v>
      </c>
      <c r="D252" s="3" t="s">
        <v>15</v>
      </c>
      <c r="E252" s="290">
        <f>VLOOKUP(C252,[1]Dcu!$B$3:$D$510,3,0)</f>
        <v>12</v>
      </c>
      <c r="F252" s="30">
        <v>0.4</v>
      </c>
      <c r="G252" s="288">
        <f>VLOOKUP(C252,[1]Dcu!$B$3:$E$510,4,0)</f>
        <v>1600000</v>
      </c>
      <c r="H252" s="56">
        <f t="shared" si="13"/>
        <v>2051.2820512820513</v>
      </c>
    </row>
    <row r="253" spans="1:8" ht="18.75" customHeight="1">
      <c r="A253" s="174"/>
      <c r="B253" s="29">
        <v>13</v>
      </c>
      <c r="C253" s="2" t="s">
        <v>24</v>
      </c>
      <c r="D253" s="3" t="s">
        <v>48</v>
      </c>
      <c r="E253" s="290">
        <f>VLOOKUP(C253,[1]Dcu!$B$3:$D$510,3,0)</f>
        <v>6</v>
      </c>
      <c r="F253" s="104">
        <v>1.6</v>
      </c>
      <c r="G253" s="288">
        <f>VLOOKUP(C253,[1]Dcu!$B$3:$E$510,4,0)</f>
        <v>15000</v>
      </c>
      <c r="H253" s="56">
        <f t="shared" si="13"/>
        <v>153.84615384615387</v>
      </c>
    </row>
    <row r="254" spans="1:8" ht="22.5" customHeight="1">
      <c r="A254" s="174"/>
      <c r="B254" s="29">
        <v>14</v>
      </c>
      <c r="C254" s="2" t="s">
        <v>30</v>
      </c>
      <c r="D254" s="3" t="s">
        <v>48</v>
      </c>
      <c r="E254" s="290">
        <f>VLOOKUP(C254,[1]Dcu!$B$3:$D$510,3,0)</f>
        <v>6</v>
      </c>
      <c r="F254" s="104">
        <v>1.6</v>
      </c>
      <c r="G254" s="288">
        <f>VLOOKUP(C254,[1]Dcu!$B$3:$E$510,4,0)</f>
        <v>340000</v>
      </c>
      <c r="H254" s="56">
        <f t="shared" si="13"/>
        <v>3487.1794871794878</v>
      </c>
    </row>
    <row r="255" spans="1:8" ht="22.5" customHeight="1">
      <c r="A255" s="174"/>
      <c r="B255" s="29">
        <v>15</v>
      </c>
      <c r="C255" s="21" t="s">
        <v>52</v>
      </c>
      <c r="D255" s="3" t="s">
        <v>48</v>
      </c>
      <c r="E255" s="290">
        <f>VLOOKUP(C255,[1]Dcu!$B$3:$D$510,3,0)</f>
        <v>6</v>
      </c>
      <c r="F255" s="104">
        <v>1.6</v>
      </c>
      <c r="G255" s="288">
        <f>VLOOKUP(C255,[1]Dcu!$B$3:$E$510,4,0)</f>
        <v>1750000</v>
      </c>
      <c r="H255" s="56">
        <f t="shared" si="13"/>
        <v>17948.717948717949</v>
      </c>
    </row>
    <row r="256" spans="1:8" ht="22.5" customHeight="1">
      <c r="A256" s="174"/>
      <c r="B256" s="29">
        <v>16</v>
      </c>
      <c r="C256" s="132" t="s">
        <v>396</v>
      </c>
      <c r="D256" s="3" t="s">
        <v>48</v>
      </c>
      <c r="E256" s="290">
        <f>VLOOKUP(C256,[1]Dcu!$B$3:$D$510,3,0)</f>
        <v>12</v>
      </c>
      <c r="F256" s="104">
        <v>1.6</v>
      </c>
      <c r="G256" s="288">
        <f>VLOOKUP(C256,[1]Dcu!$B$3:$E$510,4,0)</f>
        <v>30000</v>
      </c>
      <c r="H256" s="56">
        <f t="shared" si="13"/>
        <v>153.84615384615387</v>
      </c>
    </row>
    <row r="257" spans="1:8" ht="22.5" customHeight="1">
      <c r="A257" s="174"/>
      <c r="B257" s="29">
        <v>18</v>
      </c>
      <c r="C257" s="200" t="s">
        <v>388</v>
      </c>
      <c r="D257" s="34" t="s">
        <v>86</v>
      </c>
      <c r="E257" s="290">
        <f>VLOOKUP(C257,[1]Dcu!$B$3:$D$510,3,0)</f>
        <v>0.3</v>
      </c>
      <c r="F257" s="161">
        <v>0.02</v>
      </c>
      <c r="G257" s="288">
        <f>VLOOKUP(C257,[1]Dcu!$B$3:$E$510,4,0)</f>
        <v>400000</v>
      </c>
      <c r="H257" s="56">
        <f t="shared" si="13"/>
        <v>1025.6410256410256</v>
      </c>
    </row>
    <row r="258" spans="1:8" ht="22.5" customHeight="1">
      <c r="A258" s="174"/>
      <c r="B258" s="29">
        <v>19</v>
      </c>
      <c r="C258" s="2" t="s">
        <v>33</v>
      </c>
      <c r="D258" s="34" t="s">
        <v>86</v>
      </c>
      <c r="E258" s="290">
        <f>VLOOKUP(C258,[1]Dcu!$B$3:$D$510,3,0)</f>
        <v>0.3</v>
      </c>
      <c r="F258" s="161">
        <v>0.02</v>
      </c>
      <c r="G258" s="288">
        <f>VLOOKUP(C258,[1]Dcu!$B$3:$E$510,4,0)</f>
        <v>380000</v>
      </c>
      <c r="H258" s="56">
        <f t="shared" si="13"/>
        <v>974.35897435897436</v>
      </c>
    </row>
    <row r="259" spans="1:8" ht="22.5" customHeight="1">
      <c r="A259" s="174"/>
      <c r="B259" s="29">
        <v>20</v>
      </c>
      <c r="C259" s="2" t="s">
        <v>34</v>
      </c>
      <c r="D259" s="3" t="s">
        <v>48</v>
      </c>
      <c r="E259" s="290">
        <f>VLOOKUP(C259,[1]Dcu!$B$3:$D$510,3,0)</f>
        <v>36</v>
      </c>
      <c r="F259" s="104">
        <v>0.26700000000000002</v>
      </c>
      <c r="G259" s="288">
        <f>VLOOKUP(C259,[1]Dcu!$B$3:$E$510,4,0)</f>
        <v>500000</v>
      </c>
      <c r="H259" s="56">
        <f t="shared" si="13"/>
        <v>142.62820512820514</v>
      </c>
    </row>
    <row r="260" spans="1:8" ht="22.5" customHeight="1">
      <c r="A260" s="174"/>
      <c r="B260" s="29">
        <v>21</v>
      </c>
      <c r="C260" s="2" t="s">
        <v>35</v>
      </c>
      <c r="D260" s="3" t="s">
        <v>48</v>
      </c>
      <c r="E260" s="290">
        <f>VLOOKUP(C260,[1]Dcu!$B$3:$D$510,3,0)</f>
        <v>36</v>
      </c>
      <c r="F260" s="104">
        <v>0.26700000000000002</v>
      </c>
      <c r="G260" s="288">
        <f>VLOOKUP(C260,[1]Dcu!$B$3:$E$510,4,0)</f>
        <v>250000</v>
      </c>
      <c r="H260" s="56">
        <f t="shared" si="13"/>
        <v>71.314102564102569</v>
      </c>
    </row>
    <row r="261" spans="1:8" ht="22.5" customHeight="1">
      <c r="A261" s="174"/>
      <c r="B261" s="29">
        <v>22</v>
      </c>
      <c r="C261" s="2" t="s">
        <v>36</v>
      </c>
      <c r="D261" s="3" t="s">
        <v>48</v>
      </c>
      <c r="E261" s="290">
        <f>VLOOKUP(C261,[1]Dcu!$B$3:$D$510,3,0)</f>
        <v>60</v>
      </c>
      <c r="F261" s="104">
        <v>1.2999999999999999E-2</v>
      </c>
      <c r="G261" s="288">
        <f>VLOOKUP(C261,[1]Dcu!$B$3:$E$510,4,0)</f>
        <v>1600000</v>
      </c>
      <c r="H261" s="56">
        <f t="shared" si="13"/>
        <v>13.333333333333332</v>
      </c>
    </row>
    <row r="262" spans="1:8" ht="22.5" customHeight="1">
      <c r="A262" s="174"/>
      <c r="B262" s="29">
        <v>23</v>
      </c>
      <c r="C262" s="2" t="s">
        <v>37</v>
      </c>
      <c r="D262" s="3" t="s">
        <v>48</v>
      </c>
      <c r="E262" s="290">
        <f>VLOOKUP(C262,[1]Dcu!$B$3:$D$510,3,0)</f>
        <v>36</v>
      </c>
      <c r="F262" s="104">
        <v>0.1</v>
      </c>
      <c r="G262" s="288">
        <f>VLOOKUP(C262,[1]Dcu!$B$3:$E$510,4,0)</f>
        <v>1500000</v>
      </c>
      <c r="H262" s="56">
        <f t="shared" si="13"/>
        <v>160.25641025641028</v>
      </c>
    </row>
    <row r="263" spans="1:8" ht="22.5" customHeight="1">
      <c r="A263" s="174"/>
      <c r="B263" s="29">
        <v>25</v>
      </c>
      <c r="C263" s="2" t="s">
        <v>38</v>
      </c>
      <c r="D263" s="3" t="s">
        <v>39</v>
      </c>
      <c r="E263" s="290">
        <f>VLOOKUP(C263,[1]Dcu!$B$3:$D$510,3,0)</f>
        <v>24</v>
      </c>
      <c r="F263" s="104">
        <v>0.8</v>
      </c>
      <c r="G263" s="288">
        <f>VLOOKUP(C263,[1]Dcu!$B$3:$E$510,4,0)</f>
        <v>40000</v>
      </c>
      <c r="H263" s="56">
        <f t="shared" si="13"/>
        <v>51.282051282051285</v>
      </c>
    </row>
    <row r="264" spans="1:8" ht="22.5" customHeight="1">
      <c r="A264" s="174"/>
      <c r="B264" s="29">
        <v>26</v>
      </c>
      <c r="C264" s="2" t="s">
        <v>40</v>
      </c>
      <c r="D264" s="3" t="s">
        <v>48</v>
      </c>
      <c r="E264" s="290">
        <f>VLOOKUP(C264,[1]Dcu!$B$3:$D$510,3,0)</f>
        <v>72</v>
      </c>
      <c r="F264" s="104">
        <v>0.08</v>
      </c>
      <c r="G264" s="288">
        <f>VLOOKUP(C264,[1]Dcu!$B$3:$E$510,4,0)</f>
        <v>1000000</v>
      </c>
      <c r="H264" s="56">
        <f t="shared" si="13"/>
        <v>42.735042735042732</v>
      </c>
    </row>
    <row r="265" spans="1:8" ht="22.5" customHeight="1">
      <c r="A265" s="174"/>
      <c r="B265" s="29">
        <v>27</v>
      </c>
      <c r="C265" s="2" t="s">
        <v>41</v>
      </c>
      <c r="D265" s="3" t="s">
        <v>48</v>
      </c>
      <c r="E265" s="290">
        <f>VLOOKUP(C265,[1]Dcu!$B$3:$D$510,3,0)</f>
        <v>72</v>
      </c>
      <c r="F265" s="104">
        <v>0.8</v>
      </c>
      <c r="G265" s="288">
        <f>VLOOKUP(C265,[1]Dcu!$B$3:$E$510,4,0)</f>
        <v>300000</v>
      </c>
      <c r="H265" s="56">
        <f t="shared" si="13"/>
        <v>128.2051282051282</v>
      </c>
    </row>
    <row r="266" spans="1:8" ht="22.5" customHeight="1">
      <c r="A266" s="174"/>
      <c r="B266" s="29">
        <v>28</v>
      </c>
      <c r="C266" s="2" t="s">
        <v>42</v>
      </c>
      <c r="D266" s="3" t="s">
        <v>48</v>
      </c>
      <c r="E266" s="290">
        <f>VLOOKUP(C266,[1]Dcu!$B$3:$D$510,3,0)</f>
        <v>72</v>
      </c>
      <c r="F266" s="104">
        <v>0.8</v>
      </c>
      <c r="G266" s="288">
        <f>VLOOKUP(C266,[1]Dcu!$B$3:$E$510,4,0)</f>
        <v>80000</v>
      </c>
      <c r="H266" s="56">
        <f t="shared" si="13"/>
        <v>34.188034188034187</v>
      </c>
    </row>
    <row r="267" spans="1:8" ht="22.5" customHeight="1">
      <c r="A267" s="174"/>
      <c r="B267" s="29">
        <v>29</v>
      </c>
      <c r="C267" s="2" t="s">
        <v>43</v>
      </c>
      <c r="D267" s="3" t="s">
        <v>59</v>
      </c>
      <c r="E267" s="3"/>
      <c r="F267" s="104">
        <v>2.3210000000000002</v>
      </c>
      <c r="G267" s="288">
        <f>VLOOKUP(C267,[1]Dcu!$B$3:$E$510,4,0)</f>
        <v>1838</v>
      </c>
      <c r="H267" s="56">
        <f>G267*F267</f>
        <v>4265.9980000000005</v>
      </c>
    </row>
    <row r="268" spans="1:8" ht="22.5" customHeight="1">
      <c r="A268" s="174">
        <v>8</v>
      </c>
      <c r="B268" s="174" t="s">
        <v>437</v>
      </c>
      <c r="C268" s="319" t="s">
        <v>447</v>
      </c>
      <c r="D268" s="320"/>
      <c r="E268" s="321"/>
      <c r="F268" s="187"/>
      <c r="G268" s="55"/>
      <c r="H268" s="191">
        <f>SUM(H269:H297)*1.1+H298</f>
        <v>135641.78074358974</v>
      </c>
    </row>
    <row r="269" spans="1:8" ht="22.5" customHeight="1">
      <c r="A269" s="174"/>
      <c r="B269" s="93">
        <v>1</v>
      </c>
      <c r="C269" s="2" t="s">
        <v>14</v>
      </c>
      <c r="D269" s="3" t="s">
        <v>15</v>
      </c>
      <c r="E269" s="290">
        <f>VLOOKUP(C269,[1]Dcu!$B$3:$D$510,3,0)</f>
        <v>6</v>
      </c>
      <c r="F269" s="30">
        <v>0.6</v>
      </c>
      <c r="G269" s="288">
        <f>VLOOKUP(C269,[1]Dcu!$B$3:$E$510,4,0)</f>
        <v>100000</v>
      </c>
      <c r="H269" s="56">
        <f t="shared" si="8"/>
        <v>384.61538461538458</v>
      </c>
    </row>
    <row r="270" spans="1:8" ht="22.5" customHeight="1">
      <c r="A270" s="174"/>
      <c r="B270" s="93">
        <v>2</v>
      </c>
      <c r="C270" s="2" t="s">
        <v>16</v>
      </c>
      <c r="D270" s="3" t="s">
        <v>15</v>
      </c>
      <c r="E270" s="290">
        <f>VLOOKUP(C270,[1]Dcu!$B$3:$D$510,3,0)</f>
        <v>6</v>
      </c>
      <c r="F270" s="30">
        <v>0.6</v>
      </c>
      <c r="G270" s="288">
        <f>VLOOKUP(C270,[1]Dcu!$B$3:$E$510,4,0)</f>
        <v>70000</v>
      </c>
      <c r="H270" s="56">
        <f t="shared" si="8"/>
        <v>269.23076923076923</v>
      </c>
    </row>
    <row r="271" spans="1:8" ht="22.5" customHeight="1">
      <c r="A271" s="174"/>
      <c r="B271" s="93">
        <v>3</v>
      </c>
      <c r="C271" s="2" t="s">
        <v>17</v>
      </c>
      <c r="D271" s="3" t="s">
        <v>15</v>
      </c>
      <c r="E271" s="290">
        <f>VLOOKUP(C271,[1]Dcu!$B$3:$D$510,3,0)</f>
        <v>6</v>
      </c>
      <c r="F271" s="30">
        <v>0.6</v>
      </c>
      <c r="G271" s="288">
        <f>VLOOKUP(C271,[1]Dcu!$B$3:$E$510,4,0)</f>
        <v>3500000</v>
      </c>
      <c r="H271" s="56">
        <f t="shared" si="8"/>
        <v>13461.538461538463</v>
      </c>
    </row>
    <row r="272" spans="1:8" ht="22.5" customHeight="1">
      <c r="A272" s="174"/>
      <c r="B272" s="93">
        <v>4</v>
      </c>
      <c r="C272" s="2" t="s">
        <v>18</v>
      </c>
      <c r="D272" s="3" t="s">
        <v>15</v>
      </c>
      <c r="E272" s="290">
        <f>VLOOKUP(C272,[1]Dcu!$B$3:$D$510,3,0)</f>
        <v>1</v>
      </c>
      <c r="F272" s="30">
        <v>0.6</v>
      </c>
      <c r="G272" s="288">
        <f>VLOOKUP(C272,[1]Dcu!$B$3:$E$510,4,0)</f>
        <v>3000</v>
      </c>
      <c r="H272" s="56">
        <f t="shared" si="8"/>
        <v>69.230769230769226</v>
      </c>
    </row>
    <row r="273" spans="1:8" ht="22.5" customHeight="1">
      <c r="A273" s="174"/>
      <c r="B273" s="93">
        <v>5</v>
      </c>
      <c r="C273" s="2" t="s">
        <v>19</v>
      </c>
      <c r="D273" s="3" t="s">
        <v>15</v>
      </c>
      <c r="E273" s="290">
        <f>VLOOKUP(C273,[1]Dcu!$B$3:$D$510,3,0)</f>
        <v>6</v>
      </c>
      <c r="F273" s="30">
        <v>0.6</v>
      </c>
      <c r="G273" s="288">
        <f>VLOOKUP(C273,[1]Dcu!$B$3:$E$510,4,0)</f>
        <v>110000</v>
      </c>
      <c r="H273" s="56">
        <f t="shared" si="8"/>
        <v>423.07692307692304</v>
      </c>
    </row>
    <row r="274" spans="1:8" ht="22.5" customHeight="1">
      <c r="A274" s="174"/>
      <c r="B274" s="93">
        <v>6</v>
      </c>
      <c r="C274" s="2" t="s">
        <v>20</v>
      </c>
      <c r="D274" s="3" t="s">
        <v>15</v>
      </c>
      <c r="E274" s="290">
        <f>VLOOKUP(C274,[1]Dcu!$B$3:$D$510,3,0)</f>
        <v>6</v>
      </c>
      <c r="F274" s="30">
        <v>0.6</v>
      </c>
      <c r="G274" s="288">
        <f>VLOOKUP(C274,[1]Dcu!$B$3:$E$510,4,0)</f>
        <v>170000</v>
      </c>
      <c r="H274" s="56">
        <f t="shared" si="8"/>
        <v>653.84615384615392</v>
      </c>
    </row>
    <row r="275" spans="1:8" ht="22.5" customHeight="1">
      <c r="A275" s="174"/>
      <c r="B275" s="93">
        <v>7</v>
      </c>
      <c r="C275" s="2" t="s">
        <v>21</v>
      </c>
      <c r="D275" s="3" t="s">
        <v>15</v>
      </c>
      <c r="E275" s="290">
        <f>VLOOKUP(C275,[1]Dcu!$B$3:$D$510,3,0)</f>
        <v>6</v>
      </c>
      <c r="F275" s="30">
        <v>0.6</v>
      </c>
      <c r="G275" s="288">
        <f>VLOOKUP(C275,[1]Dcu!$B$3:$E$510,4,0)</f>
        <v>180000</v>
      </c>
      <c r="H275" s="56">
        <f t="shared" si="8"/>
        <v>692.30769230769226</v>
      </c>
    </row>
    <row r="276" spans="1:8" ht="22.5" customHeight="1">
      <c r="A276" s="174"/>
      <c r="B276" s="93">
        <v>8</v>
      </c>
      <c r="C276" s="2" t="s">
        <v>22</v>
      </c>
      <c r="D276" s="3" t="s">
        <v>15</v>
      </c>
      <c r="E276" s="290">
        <f>VLOOKUP(C276,[1]Dcu!$B$3:$D$510,3,0)</f>
        <v>6</v>
      </c>
      <c r="F276" s="30">
        <v>0.6</v>
      </c>
      <c r="G276" s="288">
        <f>VLOOKUP(C276,[1]Dcu!$B$3:$E$510,4,0)</f>
        <v>700000</v>
      </c>
      <c r="H276" s="56">
        <f t="shared" si="8"/>
        <v>2692.3076923076924</v>
      </c>
    </row>
    <row r="277" spans="1:8" ht="22.5" customHeight="1">
      <c r="A277" s="174"/>
      <c r="B277" s="93">
        <v>9</v>
      </c>
      <c r="C277" s="2" t="s">
        <v>23</v>
      </c>
      <c r="D277" s="3" t="s">
        <v>15</v>
      </c>
      <c r="E277" s="290">
        <f>VLOOKUP(C277,[1]Dcu!$B$3:$D$510,3,0)</f>
        <v>6</v>
      </c>
      <c r="F277" s="30">
        <v>0.6</v>
      </c>
      <c r="G277" s="288">
        <f>VLOOKUP(C277,[1]Dcu!$B$3:$E$510,4,0)</f>
        <v>90000</v>
      </c>
      <c r="H277" s="56">
        <f t="shared" si="8"/>
        <v>346.15384615384613</v>
      </c>
    </row>
    <row r="278" spans="1:8" ht="22.5" customHeight="1">
      <c r="A278" s="174"/>
      <c r="B278" s="93">
        <v>10</v>
      </c>
      <c r="C278" s="2" t="s">
        <v>24</v>
      </c>
      <c r="D278" s="3" t="s">
        <v>15</v>
      </c>
      <c r="E278" s="290">
        <f>VLOOKUP(C278,[1]Dcu!$B$3:$D$510,3,0)</f>
        <v>6</v>
      </c>
      <c r="F278" s="30">
        <v>0.6</v>
      </c>
      <c r="G278" s="288">
        <f>VLOOKUP(C278,[1]Dcu!$B$3:$E$510,4,0)</f>
        <v>15000</v>
      </c>
      <c r="H278" s="56">
        <f t="shared" si="8"/>
        <v>57.692307692307693</v>
      </c>
    </row>
    <row r="279" spans="1:8" ht="22.5" customHeight="1">
      <c r="A279" s="174"/>
      <c r="B279" s="93">
        <v>11</v>
      </c>
      <c r="C279" s="2" t="s">
        <v>25</v>
      </c>
      <c r="D279" s="3" t="s">
        <v>15</v>
      </c>
      <c r="E279" s="290">
        <f>VLOOKUP(C279,[1]Dcu!$B$3:$D$510,3,0)</f>
        <v>6</v>
      </c>
      <c r="F279" s="30">
        <v>0.6</v>
      </c>
      <c r="G279" s="288">
        <f>VLOOKUP(C279,[1]Dcu!$B$3:$E$510,4,0)</f>
        <v>120000</v>
      </c>
      <c r="H279" s="56">
        <f t="shared" si="8"/>
        <v>461.53846153846155</v>
      </c>
    </row>
    <row r="280" spans="1:8" ht="22.5" customHeight="1">
      <c r="A280" s="17"/>
      <c r="B280" s="34">
        <v>12</v>
      </c>
      <c r="C280" s="2" t="s">
        <v>26</v>
      </c>
      <c r="D280" s="3" t="s">
        <v>15</v>
      </c>
      <c r="E280" s="290">
        <f>VLOOKUP(C280,[1]Dcu!$B$3:$D$510,3,0)</f>
        <v>1</v>
      </c>
      <c r="F280" s="30">
        <v>0.3</v>
      </c>
      <c r="G280" s="288">
        <f>VLOOKUP(C280,[1]Dcu!$B$3:$E$510,4,0)</f>
        <v>5000000</v>
      </c>
      <c r="H280" s="56">
        <f t="shared" si="8"/>
        <v>57692.307692307695</v>
      </c>
    </row>
    <row r="281" spans="1:8" ht="22.5" customHeight="1">
      <c r="A281" s="17"/>
      <c r="B281" s="34">
        <v>13</v>
      </c>
      <c r="C281" s="2" t="s">
        <v>27</v>
      </c>
      <c r="D281" s="3" t="s">
        <v>15</v>
      </c>
      <c r="E281" s="290">
        <f>VLOOKUP(C281,[1]Dcu!$B$3:$D$510,3,0)</f>
        <v>24</v>
      </c>
      <c r="F281" s="30">
        <v>0.6</v>
      </c>
      <c r="G281" s="288">
        <f>VLOOKUP(C281,[1]Dcu!$B$3:$E$510,4,0)</f>
        <v>15000000</v>
      </c>
      <c r="H281" s="56">
        <f t="shared" si="8"/>
        <v>14423.076923076924</v>
      </c>
    </row>
    <row r="282" spans="1:8" ht="22.5" customHeight="1">
      <c r="A282" s="17"/>
      <c r="B282" s="34">
        <v>14</v>
      </c>
      <c r="C282" s="2" t="s">
        <v>28</v>
      </c>
      <c r="D282" s="3" t="s">
        <v>15</v>
      </c>
      <c r="E282" s="290">
        <f>VLOOKUP(C282,[1]Dcu!$B$3:$D$510,3,0)</f>
        <v>24</v>
      </c>
      <c r="F282" s="30">
        <v>0.6</v>
      </c>
      <c r="G282" s="288">
        <f>VLOOKUP(C282,[1]Dcu!$B$3:$E$510,4,0)</f>
        <v>4500000</v>
      </c>
      <c r="H282" s="56">
        <f t="shared" si="8"/>
        <v>4326.9230769230771</v>
      </c>
    </row>
    <row r="283" spans="1:8" ht="22.5" customHeight="1">
      <c r="A283" s="17"/>
      <c r="B283" s="34">
        <v>15</v>
      </c>
      <c r="C283" s="2" t="s">
        <v>29</v>
      </c>
      <c r="D283" s="3" t="s">
        <v>15</v>
      </c>
      <c r="E283" s="290">
        <f>VLOOKUP(C283,[1]Dcu!$B$3:$D$510,3,0)</f>
        <v>24</v>
      </c>
      <c r="F283" s="30">
        <v>0.6</v>
      </c>
      <c r="G283" s="288">
        <f>VLOOKUP(C283,[1]Dcu!$B$3:$E$510,4,0)</f>
        <v>19000000</v>
      </c>
      <c r="H283" s="56">
        <f t="shared" si="8"/>
        <v>18269.23076923077</v>
      </c>
    </row>
    <row r="284" spans="1:8" ht="22.5" customHeight="1">
      <c r="A284" s="174"/>
      <c r="B284" s="93">
        <v>16</v>
      </c>
      <c r="C284" s="2" t="s">
        <v>30</v>
      </c>
      <c r="D284" s="3" t="s">
        <v>15</v>
      </c>
      <c r="E284" s="290">
        <f>VLOOKUP(C284,[1]Dcu!$B$3:$D$510,3,0)</f>
        <v>6</v>
      </c>
      <c r="F284" s="30">
        <v>0.6</v>
      </c>
      <c r="G284" s="288">
        <f>VLOOKUP(C284,[1]Dcu!$B$3:$E$510,4,0)</f>
        <v>340000</v>
      </c>
      <c r="H284" s="56">
        <f t="shared" si="8"/>
        <v>1307.6923076923078</v>
      </c>
    </row>
    <row r="285" spans="1:8" ht="22.5" customHeight="1">
      <c r="A285" s="174"/>
      <c r="B285" s="93">
        <v>17</v>
      </c>
      <c r="C285" s="2" t="s">
        <v>31</v>
      </c>
      <c r="D285" s="3" t="s">
        <v>15</v>
      </c>
      <c r="E285" s="290">
        <f>VLOOKUP(C285,[1]Dcu!$B$3:$D$510,3,0)</f>
        <v>6</v>
      </c>
      <c r="F285" s="30">
        <v>0.6</v>
      </c>
      <c r="G285" s="288">
        <f>VLOOKUP(C285,[1]Dcu!$B$3:$E$510,4,0)</f>
        <v>700000</v>
      </c>
      <c r="H285" s="56">
        <f t="shared" si="8"/>
        <v>2692.3076923076924</v>
      </c>
    </row>
    <row r="286" spans="1:8" ht="22.5" customHeight="1">
      <c r="A286" s="174"/>
      <c r="B286" s="93">
        <v>18</v>
      </c>
      <c r="C286" s="2" t="s">
        <v>32</v>
      </c>
      <c r="D286" s="3" t="s">
        <v>15</v>
      </c>
      <c r="E286" s="290">
        <f>VLOOKUP(C286,[1]Dcu!$B$3:$D$510,3,0)</f>
        <v>6</v>
      </c>
      <c r="F286" s="30">
        <v>0.6</v>
      </c>
      <c r="G286" s="288">
        <f>VLOOKUP(C286,[1]Dcu!$B$3:$E$510,4,0)</f>
        <v>110000</v>
      </c>
      <c r="H286" s="56">
        <f t="shared" si="8"/>
        <v>423.07692307692304</v>
      </c>
    </row>
    <row r="287" spans="1:8" ht="22.5" customHeight="1">
      <c r="A287" s="174"/>
      <c r="B287" s="93">
        <v>19</v>
      </c>
      <c r="C287" s="132" t="s">
        <v>396</v>
      </c>
      <c r="D287" s="3" t="s">
        <v>15</v>
      </c>
      <c r="E287" s="290">
        <f>VLOOKUP(C287,[1]Dcu!$B$3:$D$510,3,0)</f>
        <v>12</v>
      </c>
      <c r="F287" s="30">
        <v>0.6</v>
      </c>
      <c r="G287" s="288">
        <f>VLOOKUP(C287,[1]Dcu!$B$3:$E$510,4,0)</f>
        <v>30000</v>
      </c>
      <c r="H287" s="56">
        <f t="shared" si="8"/>
        <v>57.692307692307693</v>
      </c>
    </row>
    <row r="288" spans="1:8" ht="22.5" customHeight="1">
      <c r="A288" s="174"/>
      <c r="B288" s="93">
        <v>21</v>
      </c>
      <c r="C288" s="200" t="s">
        <v>388</v>
      </c>
      <c r="D288" s="34" t="s">
        <v>86</v>
      </c>
      <c r="E288" s="290">
        <f>VLOOKUP(C288,[1]Dcu!$B$3:$D$510,3,0)</f>
        <v>0.3</v>
      </c>
      <c r="F288" s="161">
        <v>0.02</v>
      </c>
      <c r="G288" s="288">
        <f>VLOOKUP(C288,[1]Dcu!$B$3:$E$510,4,0)</f>
        <v>400000</v>
      </c>
      <c r="H288" s="56">
        <f t="shared" si="8"/>
        <v>1025.6410256410256</v>
      </c>
    </row>
    <row r="289" spans="1:8" ht="22.5" customHeight="1">
      <c r="A289" s="174"/>
      <c r="B289" s="93">
        <v>22</v>
      </c>
      <c r="C289" s="2" t="s">
        <v>33</v>
      </c>
      <c r="D289" s="34" t="s">
        <v>86</v>
      </c>
      <c r="E289" s="290">
        <f>VLOOKUP(C289,[1]Dcu!$B$3:$D$510,3,0)</f>
        <v>0.3</v>
      </c>
      <c r="F289" s="161">
        <v>0.02</v>
      </c>
      <c r="G289" s="288">
        <f>VLOOKUP(C289,[1]Dcu!$B$3:$E$510,4,0)</f>
        <v>380000</v>
      </c>
      <c r="H289" s="56">
        <f t="shared" si="8"/>
        <v>974.35897435897436</v>
      </c>
    </row>
    <row r="290" spans="1:8" ht="22.5" customHeight="1">
      <c r="A290" s="174"/>
      <c r="B290" s="93">
        <v>23</v>
      </c>
      <c r="C290" s="2" t="s">
        <v>34</v>
      </c>
      <c r="D290" s="3" t="s">
        <v>15</v>
      </c>
      <c r="E290" s="290">
        <f>VLOOKUP(C290,[1]Dcu!$B$3:$D$510,3,0)</f>
        <v>36</v>
      </c>
      <c r="F290" s="30">
        <v>0.13300000000000001</v>
      </c>
      <c r="G290" s="288">
        <f>VLOOKUP(C290,[1]Dcu!$B$3:$E$510,4,0)</f>
        <v>500000</v>
      </c>
      <c r="H290" s="56">
        <f t="shared" si="8"/>
        <v>71.047008547008545</v>
      </c>
    </row>
    <row r="291" spans="1:8" ht="22.5" customHeight="1">
      <c r="A291" s="174"/>
      <c r="B291" s="93">
        <v>24</v>
      </c>
      <c r="C291" s="2" t="s">
        <v>35</v>
      </c>
      <c r="D291" s="3" t="s">
        <v>15</v>
      </c>
      <c r="E291" s="290">
        <f>VLOOKUP(C291,[1]Dcu!$B$3:$D$510,3,0)</f>
        <v>36</v>
      </c>
      <c r="F291" s="30">
        <v>0.13300000000000001</v>
      </c>
      <c r="G291" s="288">
        <f>VLOOKUP(C291,[1]Dcu!$B$3:$E$510,4,0)</f>
        <v>250000</v>
      </c>
      <c r="H291" s="56">
        <f t="shared" si="8"/>
        <v>35.523504273504273</v>
      </c>
    </row>
    <row r="292" spans="1:8" ht="22.5" customHeight="1">
      <c r="A292" s="174"/>
      <c r="B292" s="93">
        <v>25</v>
      </c>
      <c r="C292" s="2" t="s">
        <v>36</v>
      </c>
      <c r="D292" s="3" t="s">
        <v>15</v>
      </c>
      <c r="E292" s="290">
        <f>VLOOKUP(C292,[1]Dcu!$B$3:$D$510,3,0)</f>
        <v>60</v>
      </c>
      <c r="F292" s="30">
        <v>6.0000000000000001E-3</v>
      </c>
      <c r="G292" s="288">
        <f>VLOOKUP(C292,[1]Dcu!$B$3:$E$510,4,0)</f>
        <v>1600000</v>
      </c>
      <c r="H292" s="56">
        <f t="shared" si="8"/>
        <v>6.1538461538461542</v>
      </c>
    </row>
    <row r="293" spans="1:8" ht="22.5" customHeight="1">
      <c r="A293" s="174"/>
      <c r="B293" s="93">
        <v>26</v>
      </c>
      <c r="C293" s="2" t="s">
        <v>37</v>
      </c>
      <c r="D293" s="3" t="s">
        <v>15</v>
      </c>
      <c r="E293" s="290">
        <f>VLOOKUP(C293,[1]Dcu!$B$3:$D$510,3,0)</f>
        <v>36</v>
      </c>
      <c r="F293" s="30">
        <v>0.05</v>
      </c>
      <c r="G293" s="288">
        <f>VLOOKUP(C293,[1]Dcu!$B$3:$E$510,4,0)</f>
        <v>1500000</v>
      </c>
      <c r="H293" s="56">
        <f t="shared" si="8"/>
        <v>80.128205128205138</v>
      </c>
    </row>
    <row r="294" spans="1:8" ht="22.5" customHeight="1">
      <c r="A294" s="174"/>
      <c r="B294" s="93">
        <v>27</v>
      </c>
      <c r="C294" s="2" t="s">
        <v>38</v>
      </c>
      <c r="D294" s="3" t="s">
        <v>39</v>
      </c>
      <c r="E294" s="290">
        <f>VLOOKUP(C294,[1]Dcu!$B$3:$D$510,3,0)</f>
        <v>24</v>
      </c>
      <c r="F294" s="30">
        <v>0.6</v>
      </c>
      <c r="G294" s="288">
        <f>VLOOKUP(C294,[1]Dcu!$B$3:$E$510,4,0)</f>
        <v>40000</v>
      </c>
      <c r="H294" s="56">
        <f t="shared" si="8"/>
        <v>38.46153846153846</v>
      </c>
    </row>
    <row r="295" spans="1:8" ht="22.5" customHeight="1">
      <c r="A295" s="174"/>
      <c r="B295" s="93">
        <v>28</v>
      </c>
      <c r="C295" s="2" t="s">
        <v>40</v>
      </c>
      <c r="D295" s="3" t="s">
        <v>15</v>
      </c>
      <c r="E295" s="290">
        <f>VLOOKUP(C295,[1]Dcu!$B$3:$D$510,3,0)</f>
        <v>72</v>
      </c>
      <c r="F295" s="30">
        <v>0.6</v>
      </c>
      <c r="G295" s="288">
        <f>VLOOKUP(C295,[1]Dcu!$B$3:$E$510,4,0)</f>
        <v>1000000</v>
      </c>
      <c r="H295" s="56">
        <f t="shared" si="8"/>
        <v>320.5128205128205</v>
      </c>
    </row>
    <row r="296" spans="1:8" ht="22.5" customHeight="1">
      <c r="A296" s="174"/>
      <c r="B296" s="93">
        <v>29</v>
      </c>
      <c r="C296" s="2" t="s">
        <v>41</v>
      </c>
      <c r="D296" s="3" t="s">
        <v>15</v>
      </c>
      <c r="E296" s="290">
        <f>VLOOKUP(C296,[1]Dcu!$B$3:$D$510,3,0)</f>
        <v>72</v>
      </c>
      <c r="F296" s="30">
        <v>0.6</v>
      </c>
      <c r="G296" s="288">
        <f>VLOOKUP(C296,[1]Dcu!$B$3:$E$510,4,0)</f>
        <v>300000</v>
      </c>
      <c r="H296" s="56">
        <f t="shared" si="8"/>
        <v>96.153846153846146</v>
      </c>
    </row>
    <row r="297" spans="1:8" ht="22.5" customHeight="1">
      <c r="A297" s="174"/>
      <c r="B297" s="93">
        <v>30</v>
      </c>
      <c r="C297" s="2" t="s">
        <v>42</v>
      </c>
      <c r="D297" s="3" t="s">
        <v>15</v>
      </c>
      <c r="E297" s="290">
        <f>VLOOKUP(C297,[1]Dcu!$B$3:$D$510,3,0)</f>
        <v>72</v>
      </c>
      <c r="F297" s="30">
        <v>0.6</v>
      </c>
      <c r="G297" s="288">
        <f>VLOOKUP(C297,[1]Dcu!$B$3:$E$510,4,0)</f>
        <v>80000</v>
      </c>
      <c r="H297" s="56">
        <f t="shared" si="8"/>
        <v>25.641025641025639</v>
      </c>
    </row>
    <row r="298" spans="1:8" ht="22.5" customHeight="1">
      <c r="A298" s="174"/>
      <c r="B298" s="93">
        <v>32</v>
      </c>
      <c r="C298" s="2" t="s">
        <v>43</v>
      </c>
      <c r="D298" s="3" t="s">
        <v>44</v>
      </c>
      <c r="E298" s="3"/>
      <c r="F298" s="30">
        <v>1.157</v>
      </c>
      <c r="G298" s="288">
        <f>VLOOKUP(C298,[1]Dcu!$B$3:$E$510,4,0)</f>
        <v>1838</v>
      </c>
      <c r="H298" s="56">
        <f>G298*F298</f>
        <v>2126.5660000000003</v>
      </c>
    </row>
    <row r="299" spans="1:8" ht="22.5" customHeight="1">
      <c r="A299" s="174">
        <v>9</v>
      </c>
      <c r="B299" s="311" t="s">
        <v>438</v>
      </c>
      <c r="C299" s="265" t="s">
        <v>448</v>
      </c>
      <c r="D299" s="402" t="s">
        <v>446</v>
      </c>
      <c r="E299" s="403"/>
      <c r="F299" s="404"/>
      <c r="G299" s="318"/>
      <c r="H299" s="201">
        <f>H268</f>
        <v>135641.78074358974</v>
      </c>
    </row>
    <row r="300" spans="1:8" s="16" customFormat="1" ht="22.5" customHeight="1">
      <c r="A300" s="174">
        <v>10</v>
      </c>
      <c r="B300" s="172" t="s">
        <v>439</v>
      </c>
      <c r="C300" s="312" t="s">
        <v>449</v>
      </c>
      <c r="D300" s="157"/>
      <c r="E300" s="157"/>
      <c r="F300" s="157"/>
      <c r="G300" s="180"/>
      <c r="H300" s="194">
        <f>SUM(H301:H330)*1.1+H331</f>
        <v>188094.12774358978</v>
      </c>
    </row>
    <row r="301" spans="1:8" ht="22.5" customHeight="1">
      <c r="A301" s="174"/>
      <c r="B301" s="93">
        <v>1</v>
      </c>
      <c r="C301" s="2" t="s">
        <v>14</v>
      </c>
      <c r="D301" s="3" t="s">
        <v>15</v>
      </c>
      <c r="E301" s="290">
        <f>VLOOKUP(C301,[1]Dcu!$B$3:$D$510,3,0)</f>
        <v>6</v>
      </c>
      <c r="F301" s="30">
        <v>0.9</v>
      </c>
      <c r="G301" s="288">
        <f>VLOOKUP(C301,[1]Dcu!$B$3:$E$510,4,0)</f>
        <v>100000</v>
      </c>
      <c r="H301" s="56">
        <f t="shared" ref="H301:H361" si="14">G301/(E301*26)*F301</f>
        <v>576.92307692307691</v>
      </c>
    </row>
    <row r="302" spans="1:8" ht="22.5" customHeight="1">
      <c r="A302" s="174"/>
      <c r="B302" s="93">
        <v>2</v>
      </c>
      <c r="C302" s="2" t="s">
        <v>16</v>
      </c>
      <c r="D302" s="3" t="s">
        <v>15</v>
      </c>
      <c r="E302" s="290">
        <f>VLOOKUP(C302,[1]Dcu!$B$3:$D$510,3,0)</f>
        <v>6</v>
      </c>
      <c r="F302" s="30">
        <v>0.9</v>
      </c>
      <c r="G302" s="288">
        <f>VLOOKUP(C302,[1]Dcu!$B$3:$E$510,4,0)</f>
        <v>70000</v>
      </c>
      <c r="H302" s="56">
        <f t="shared" si="14"/>
        <v>403.84615384615387</v>
      </c>
    </row>
    <row r="303" spans="1:8" ht="22.5" customHeight="1">
      <c r="A303" s="174"/>
      <c r="B303" s="93">
        <v>3</v>
      </c>
      <c r="C303" s="2" t="s">
        <v>17</v>
      </c>
      <c r="D303" s="3" t="s">
        <v>15</v>
      </c>
      <c r="E303" s="290">
        <f>VLOOKUP(C303,[1]Dcu!$B$3:$D$510,3,0)</f>
        <v>6</v>
      </c>
      <c r="F303" s="30">
        <v>0.9</v>
      </c>
      <c r="G303" s="288">
        <f>VLOOKUP(C303,[1]Dcu!$B$3:$E$510,4,0)</f>
        <v>3500000</v>
      </c>
      <c r="H303" s="56">
        <f t="shared" si="14"/>
        <v>20192.307692307695</v>
      </c>
    </row>
    <row r="304" spans="1:8" ht="22.5" customHeight="1">
      <c r="A304" s="174"/>
      <c r="B304" s="93">
        <v>4</v>
      </c>
      <c r="C304" s="2" t="s">
        <v>18</v>
      </c>
      <c r="D304" s="3" t="s">
        <v>15</v>
      </c>
      <c r="E304" s="290">
        <f>VLOOKUP(C304,[1]Dcu!$B$3:$D$510,3,0)</f>
        <v>1</v>
      </c>
      <c r="F304" s="30">
        <v>0.9</v>
      </c>
      <c r="G304" s="288">
        <f>VLOOKUP(C304,[1]Dcu!$B$3:$E$510,4,0)</f>
        <v>3000</v>
      </c>
      <c r="H304" s="56">
        <f t="shared" si="14"/>
        <v>103.84615384615385</v>
      </c>
    </row>
    <row r="305" spans="1:8" ht="22.5" customHeight="1">
      <c r="A305" s="174"/>
      <c r="B305" s="93">
        <v>5</v>
      </c>
      <c r="C305" s="2" t="s">
        <v>19</v>
      </c>
      <c r="D305" s="3" t="s">
        <v>15</v>
      </c>
      <c r="E305" s="290">
        <f>VLOOKUP(C305,[1]Dcu!$B$3:$D$510,3,0)</f>
        <v>6</v>
      </c>
      <c r="F305" s="30">
        <v>0.9</v>
      </c>
      <c r="G305" s="288">
        <f>VLOOKUP(C305,[1]Dcu!$B$3:$E$510,4,0)</f>
        <v>110000</v>
      </c>
      <c r="H305" s="56">
        <f t="shared" si="14"/>
        <v>634.61538461538464</v>
      </c>
    </row>
    <row r="306" spans="1:8" ht="22.5" customHeight="1">
      <c r="A306" s="174"/>
      <c r="B306" s="93">
        <v>6</v>
      </c>
      <c r="C306" s="2" t="s">
        <v>20</v>
      </c>
      <c r="D306" s="3" t="s">
        <v>15</v>
      </c>
      <c r="E306" s="290">
        <f>VLOOKUP(C306,[1]Dcu!$B$3:$D$510,3,0)</f>
        <v>6</v>
      </c>
      <c r="F306" s="30">
        <v>0.9</v>
      </c>
      <c r="G306" s="288">
        <f>VLOOKUP(C306,[1]Dcu!$B$3:$E$510,4,0)</f>
        <v>170000</v>
      </c>
      <c r="H306" s="56">
        <f t="shared" si="14"/>
        <v>980.76923076923083</v>
      </c>
    </row>
    <row r="307" spans="1:8" ht="22.5" customHeight="1">
      <c r="A307" s="174"/>
      <c r="B307" s="93">
        <v>7</v>
      </c>
      <c r="C307" s="2" t="s">
        <v>21</v>
      </c>
      <c r="D307" s="3" t="s">
        <v>15</v>
      </c>
      <c r="E307" s="290">
        <f>VLOOKUP(C307,[1]Dcu!$B$3:$D$510,3,0)</f>
        <v>6</v>
      </c>
      <c r="F307" s="30">
        <v>0.9</v>
      </c>
      <c r="G307" s="288">
        <f>VLOOKUP(C307,[1]Dcu!$B$3:$E$510,4,0)</f>
        <v>180000</v>
      </c>
      <c r="H307" s="56">
        <f t="shared" si="14"/>
        <v>1038.4615384615386</v>
      </c>
    </row>
    <row r="308" spans="1:8" ht="22.5" customHeight="1">
      <c r="A308" s="174"/>
      <c r="B308" s="93">
        <v>8</v>
      </c>
      <c r="C308" s="2" t="s">
        <v>22</v>
      </c>
      <c r="D308" s="3" t="s">
        <v>15</v>
      </c>
      <c r="E308" s="290">
        <f>VLOOKUP(C308,[1]Dcu!$B$3:$D$510,3,0)</f>
        <v>6</v>
      </c>
      <c r="F308" s="30">
        <v>0.9</v>
      </c>
      <c r="G308" s="288">
        <f>VLOOKUP(C308,[1]Dcu!$B$3:$E$510,4,0)</f>
        <v>700000</v>
      </c>
      <c r="H308" s="56">
        <f t="shared" si="14"/>
        <v>4038.4615384615386</v>
      </c>
    </row>
    <row r="309" spans="1:8" ht="22.5" customHeight="1">
      <c r="A309" s="174"/>
      <c r="B309" s="93">
        <v>9</v>
      </c>
      <c r="C309" s="2" t="s">
        <v>23</v>
      </c>
      <c r="D309" s="3" t="s">
        <v>15</v>
      </c>
      <c r="E309" s="290">
        <f>VLOOKUP(C309,[1]Dcu!$B$3:$D$510,3,0)</f>
        <v>6</v>
      </c>
      <c r="F309" s="30">
        <v>0.9</v>
      </c>
      <c r="G309" s="288">
        <f>VLOOKUP(C309,[1]Dcu!$B$3:$E$510,4,0)</f>
        <v>90000</v>
      </c>
      <c r="H309" s="56">
        <f t="shared" si="14"/>
        <v>519.23076923076928</v>
      </c>
    </row>
    <row r="310" spans="1:8" ht="22.5" customHeight="1">
      <c r="A310" s="174"/>
      <c r="B310" s="93">
        <v>10</v>
      </c>
      <c r="C310" s="2" t="s">
        <v>24</v>
      </c>
      <c r="D310" s="3" t="s">
        <v>15</v>
      </c>
      <c r="E310" s="290">
        <f>VLOOKUP(C310,[1]Dcu!$B$3:$D$510,3,0)</f>
        <v>6</v>
      </c>
      <c r="F310" s="30">
        <v>0.9</v>
      </c>
      <c r="G310" s="288">
        <f>VLOOKUP(C310,[1]Dcu!$B$3:$E$510,4,0)</f>
        <v>15000</v>
      </c>
      <c r="H310" s="56">
        <f t="shared" si="14"/>
        <v>86.538461538461547</v>
      </c>
    </row>
    <row r="311" spans="1:8" ht="22.5" customHeight="1">
      <c r="A311" s="174"/>
      <c r="B311" s="93">
        <v>11</v>
      </c>
      <c r="C311" s="2" t="s">
        <v>25</v>
      </c>
      <c r="D311" s="3" t="s">
        <v>15</v>
      </c>
      <c r="E311" s="290">
        <f>VLOOKUP(C311,[1]Dcu!$B$3:$D$510,3,0)</f>
        <v>6</v>
      </c>
      <c r="F311" s="30">
        <v>0.9</v>
      </c>
      <c r="G311" s="288">
        <f>VLOOKUP(C311,[1]Dcu!$B$3:$E$510,4,0)</f>
        <v>120000</v>
      </c>
      <c r="H311" s="56">
        <f t="shared" si="14"/>
        <v>692.30769230769238</v>
      </c>
    </row>
    <row r="312" spans="1:8" ht="22.5" customHeight="1">
      <c r="A312" s="17"/>
      <c r="B312" s="34">
        <v>12</v>
      </c>
      <c r="C312" s="2" t="s">
        <v>45</v>
      </c>
      <c r="D312" s="3" t="s">
        <v>15</v>
      </c>
      <c r="E312" s="290">
        <f>VLOOKUP(C312,[1]Dcu!$B$3:$D$510,3,0)</f>
        <v>12</v>
      </c>
      <c r="F312" s="30">
        <v>0.7</v>
      </c>
      <c r="G312" s="288">
        <f>VLOOKUP(C312,[1]Dcu!$B$3:$E$510,4,0)</f>
        <v>35000000</v>
      </c>
      <c r="H312" s="56">
        <f t="shared" si="14"/>
        <v>78525.641025641016</v>
      </c>
    </row>
    <row r="313" spans="1:8" ht="22.5" customHeight="1">
      <c r="A313" s="17"/>
      <c r="B313" s="34">
        <v>13</v>
      </c>
      <c r="C313" s="2" t="s">
        <v>27</v>
      </c>
      <c r="D313" s="3" t="s">
        <v>15</v>
      </c>
      <c r="E313" s="290">
        <f>VLOOKUP(C313,[1]Dcu!$B$3:$D$510,3,0)</f>
        <v>24</v>
      </c>
      <c r="F313" s="30">
        <v>0.7</v>
      </c>
      <c r="G313" s="288">
        <f>VLOOKUP(C313,[1]Dcu!$B$3:$E$510,4,0)</f>
        <v>15000000</v>
      </c>
      <c r="H313" s="56">
        <f t="shared" si="14"/>
        <v>16826.923076923078</v>
      </c>
    </row>
    <row r="314" spans="1:8" ht="22.5" customHeight="1">
      <c r="A314" s="17"/>
      <c r="B314" s="34">
        <v>14</v>
      </c>
      <c r="C314" s="5" t="s">
        <v>46</v>
      </c>
      <c r="D314" s="6" t="s">
        <v>15</v>
      </c>
      <c r="E314" s="290">
        <f>VLOOKUP(C314,[1]Dcu!$B$3:$D$510,3,0)</f>
        <v>2</v>
      </c>
      <c r="F314" s="30">
        <v>0.5</v>
      </c>
      <c r="G314" s="288">
        <f>VLOOKUP(C314,[1]Dcu!$B$3:$E$510,4,0)</f>
        <v>1450000</v>
      </c>
      <c r="H314" s="56">
        <f t="shared" si="14"/>
        <v>13942.307692307691</v>
      </c>
    </row>
    <row r="315" spans="1:8" ht="22.5" customHeight="1">
      <c r="A315" s="17"/>
      <c r="B315" s="34">
        <v>15</v>
      </c>
      <c r="C315" s="2" t="s">
        <v>28</v>
      </c>
      <c r="D315" s="3" t="s">
        <v>15</v>
      </c>
      <c r="E315" s="290">
        <f>VLOOKUP(C315,[1]Dcu!$B$3:$D$510,3,0)</f>
        <v>24</v>
      </c>
      <c r="F315" s="30">
        <v>0.7</v>
      </c>
      <c r="G315" s="288">
        <f>VLOOKUP(C315,[1]Dcu!$B$3:$E$510,4,0)</f>
        <v>4500000</v>
      </c>
      <c r="H315" s="56">
        <f t="shared" si="14"/>
        <v>5048.0769230769229</v>
      </c>
    </row>
    <row r="316" spans="1:8" ht="22.5" customHeight="1">
      <c r="A316" s="17"/>
      <c r="B316" s="34">
        <v>16</v>
      </c>
      <c r="C316" s="2" t="s">
        <v>47</v>
      </c>
      <c r="D316" s="3" t="s">
        <v>15</v>
      </c>
      <c r="E316" s="290">
        <f>VLOOKUP(C316,[1]Dcu!$B$3:$D$510,3,0)</f>
        <v>24</v>
      </c>
      <c r="F316" s="30">
        <v>0.7</v>
      </c>
      <c r="G316" s="288">
        <f>VLOOKUP(C316,[1]Dcu!$B$3:$E$510,4,0)</f>
        <v>14000000</v>
      </c>
      <c r="H316" s="56">
        <f t="shared" si="14"/>
        <v>15705.128205128205</v>
      </c>
    </row>
    <row r="317" spans="1:8" ht="22.5" customHeight="1">
      <c r="A317" s="174"/>
      <c r="B317" s="93">
        <v>17</v>
      </c>
      <c r="C317" s="2" t="s">
        <v>30</v>
      </c>
      <c r="D317" s="3" t="s">
        <v>15</v>
      </c>
      <c r="E317" s="290">
        <f>VLOOKUP(C317,[1]Dcu!$B$3:$D$510,3,0)</f>
        <v>6</v>
      </c>
      <c r="F317" s="30">
        <v>0.9</v>
      </c>
      <c r="G317" s="288">
        <f>VLOOKUP(C317,[1]Dcu!$B$3:$E$510,4,0)</f>
        <v>340000</v>
      </c>
      <c r="H317" s="56">
        <f t="shared" si="14"/>
        <v>1961.5384615384617</v>
      </c>
    </row>
    <row r="318" spans="1:8" ht="22.5" customHeight="1">
      <c r="A318" s="174"/>
      <c r="B318" s="93">
        <v>18</v>
      </c>
      <c r="C318" s="2" t="s">
        <v>31</v>
      </c>
      <c r="D318" s="3" t="s">
        <v>15</v>
      </c>
      <c r="E318" s="290">
        <f>VLOOKUP(C318,[1]Dcu!$B$3:$D$510,3,0)</f>
        <v>6</v>
      </c>
      <c r="F318" s="30">
        <v>0.9</v>
      </c>
      <c r="G318" s="288">
        <f>VLOOKUP(C318,[1]Dcu!$B$3:$E$510,4,0)</f>
        <v>700000</v>
      </c>
      <c r="H318" s="56">
        <f t="shared" si="14"/>
        <v>4038.4615384615386</v>
      </c>
    </row>
    <row r="319" spans="1:8" ht="22.5" customHeight="1">
      <c r="A319" s="174"/>
      <c r="B319" s="93">
        <v>19</v>
      </c>
      <c r="C319" s="2" t="s">
        <v>32</v>
      </c>
      <c r="D319" s="3" t="s">
        <v>15</v>
      </c>
      <c r="E319" s="290">
        <f>VLOOKUP(C319,[1]Dcu!$B$3:$D$510,3,0)</f>
        <v>6</v>
      </c>
      <c r="F319" s="30">
        <v>0.9</v>
      </c>
      <c r="G319" s="288">
        <f>VLOOKUP(C319,[1]Dcu!$B$3:$E$510,4,0)</f>
        <v>110000</v>
      </c>
      <c r="H319" s="56">
        <f t="shared" si="14"/>
        <v>634.61538461538464</v>
      </c>
    </row>
    <row r="320" spans="1:8" ht="22.5" customHeight="1">
      <c r="A320" s="174"/>
      <c r="B320" s="93">
        <v>20</v>
      </c>
      <c r="C320" s="132" t="s">
        <v>396</v>
      </c>
      <c r="D320" s="3" t="s">
        <v>15</v>
      </c>
      <c r="E320" s="290">
        <f>VLOOKUP(C320,[1]Dcu!$B$3:$D$510,3,0)</f>
        <v>12</v>
      </c>
      <c r="F320" s="30">
        <v>0.9</v>
      </c>
      <c r="G320" s="288">
        <f>VLOOKUP(C320,[1]Dcu!$B$3:$E$510,4,0)</f>
        <v>30000</v>
      </c>
      <c r="H320" s="56">
        <f t="shared" si="14"/>
        <v>86.538461538461547</v>
      </c>
    </row>
    <row r="321" spans="1:8" ht="22.5" customHeight="1">
      <c r="A321" s="174"/>
      <c r="B321" s="93">
        <v>22</v>
      </c>
      <c r="C321" s="200" t="s">
        <v>388</v>
      </c>
      <c r="D321" s="34" t="s">
        <v>86</v>
      </c>
      <c r="E321" s="290">
        <f>VLOOKUP(C321,[1]Dcu!$B$3:$D$510,3,0)</f>
        <v>0.3</v>
      </c>
      <c r="F321" s="161">
        <v>0.02</v>
      </c>
      <c r="G321" s="288">
        <f>VLOOKUP(C321,[1]Dcu!$B$3:$E$510,4,0)</f>
        <v>400000</v>
      </c>
      <c r="H321" s="56">
        <f t="shared" si="14"/>
        <v>1025.6410256410256</v>
      </c>
    </row>
    <row r="322" spans="1:8" ht="22.5" customHeight="1">
      <c r="A322" s="174"/>
      <c r="B322" s="93">
        <v>23</v>
      </c>
      <c r="C322" s="2" t="s">
        <v>33</v>
      </c>
      <c r="D322" s="34" t="s">
        <v>86</v>
      </c>
      <c r="E322" s="290">
        <f>VLOOKUP(C322,[1]Dcu!$B$3:$D$510,3,0)</f>
        <v>0.3</v>
      </c>
      <c r="F322" s="161">
        <v>0.02</v>
      </c>
      <c r="G322" s="288">
        <f>VLOOKUP(C322,[1]Dcu!$B$3:$E$510,4,0)</f>
        <v>380000</v>
      </c>
      <c r="H322" s="56">
        <f t="shared" si="14"/>
        <v>974.35897435897436</v>
      </c>
    </row>
    <row r="323" spans="1:8" ht="22.5" customHeight="1">
      <c r="A323" s="174"/>
      <c r="B323" s="93">
        <v>24</v>
      </c>
      <c r="C323" s="2" t="s">
        <v>34</v>
      </c>
      <c r="D323" s="3" t="s">
        <v>15</v>
      </c>
      <c r="E323" s="290">
        <f>VLOOKUP(C323,[1]Dcu!$B$3:$D$510,3,0)</f>
        <v>36</v>
      </c>
      <c r="F323" s="30">
        <v>0.16</v>
      </c>
      <c r="G323" s="288">
        <f>VLOOKUP(C323,[1]Dcu!$B$3:$E$510,4,0)</f>
        <v>500000</v>
      </c>
      <c r="H323" s="56">
        <f t="shared" si="14"/>
        <v>85.470085470085465</v>
      </c>
    </row>
    <row r="324" spans="1:8" ht="22.5" customHeight="1">
      <c r="A324" s="174"/>
      <c r="B324" s="93">
        <v>25</v>
      </c>
      <c r="C324" s="2" t="s">
        <v>35</v>
      </c>
      <c r="D324" s="3" t="s">
        <v>15</v>
      </c>
      <c r="E324" s="290">
        <f>VLOOKUP(C324,[1]Dcu!$B$3:$D$510,3,0)</f>
        <v>36</v>
      </c>
      <c r="F324" s="30">
        <v>0.16</v>
      </c>
      <c r="G324" s="288">
        <f>VLOOKUP(C324,[1]Dcu!$B$3:$E$510,4,0)</f>
        <v>250000</v>
      </c>
      <c r="H324" s="56">
        <f t="shared" si="14"/>
        <v>42.735042735042732</v>
      </c>
    </row>
    <row r="325" spans="1:8" ht="22.5" customHeight="1">
      <c r="A325" s="174"/>
      <c r="B325" s="93">
        <v>26</v>
      </c>
      <c r="C325" s="2" t="s">
        <v>36</v>
      </c>
      <c r="D325" s="3" t="s">
        <v>15</v>
      </c>
      <c r="E325" s="290">
        <f>VLOOKUP(C325,[1]Dcu!$B$3:$D$510,3,0)</f>
        <v>60</v>
      </c>
      <c r="F325" s="30">
        <v>8.0000000000000002E-3</v>
      </c>
      <c r="G325" s="288">
        <f>VLOOKUP(C325,[1]Dcu!$B$3:$E$510,4,0)</f>
        <v>1600000</v>
      </c>
      <c r="H325" s="56">
        <f t="shared" si="14"/>
        <v>8.2051282051282044</v>
      </c>
    </row>
    <row r="326" spans="1:8" ht="22.5" customHeight="1">
      <c r="A326" s="174"/>
      <c r="B326" s="93">
        <v>27</v>
      </c>
      <c r="C326" s="2" t="s">
        <v>37</v>
      </c>
      <c r="D326" s="3" t="s">
        <v>15</v>
      </c>
      <c r="E326" s="290">
        <f>VLOOKUP(C326,[1]Dcu!$B$3:$D$510,3,0)</f>
        <v>36</v>
      </c>
      <c r="F326" s="30">
        <v>0.06</v>
      </c>
      <c r="G326" s="288">
        <f>VLOOKUP(C326,[1]Dcu!$B$3:$E$510,4,0)</f>
        <v>1500000</v>
      </c>
      <c r="H326" s="56">
        <f t="shared" si="14"/>
        <v>96.153846153846146</v>
      </c>
    </row>
    <row r="327" spans="1:8" ht="22.5" customHeight="1">
      <c r="A327" s="174"/>
      <c r="B327" s="93">
        <v>28</v>
      </c>
      <c r="C327" s="2" t="s">
        <v>38</v>
      </c>
      <c r="D327" s="3" t="s">
        <v>39</v>
      </c>
      <c r="E327" s="290">
        <f>VLOOKUP(C327,[1]Dcu!$B$3:$D$510,3,0)</f>
        <v>24</v>
      </c>
      <c r="F327" s="30">
        <v>0.96</v>
      </c>
      <c r="G327" s="288">
        <f>VLOOKUP(C327,[1]Dcu!$B$3:$E$510,4,0)</f>
        <v>40000</v>
      </c>
      <c r="H327" s="56">
        <f t="shared" si="14"/>
        <v>61.538461538461533</v>
      </c>
    </row>
    <row r="328" spans="1:8" ht="22.5" customHeight="1">
      <c r="A328" s="174"/>
      <c r="B328" s="93">
        <v>29</v>
      </c>
      <c r="C328" s="2" t="s">
        <v>40</v>
      </c>
      <c r="D328" s="3" t="s">
        <v>15</v>
      </c>
      <c r="E328" s="290">
        <f>VLOOKUP(C328,[1]Dcu!$B$3:$D$510,3,0)</f>
        <v>72</v>
      </c>
      <c r="F328" s="30">
        <v>0.24</v>
      </c>
      <c r="G328" s="288">
        <f>VLOOKUP(C328,[1]Dcu!$B$3:$E$510,4,0)</f>
        <v>1000000</v>
      </c>
      <c r="H328" s="56">
        <f t="shared" si="14"/>
        <v>128.2051282051282</v>
      </c>
    </row>
    <row r="329" spans="1:8" ht="22.5" customHeight="1">
      <c r="A329" s="174"/>
      <c r="B329" s="93">
        <v>30</v>
      </c>
      <c r="C329" s="2" t="s">
        <v>41</v>
      </c>
      <c r="D329" s="3" t="s">
        <v>15</v>
      </c>
      <c r="E329" s="290">
        <f>VLOOKUP(C329,[1]Dcu!$B$3:$D$510,3,0)</f>
        <v>72</v>
      </c>
      <c r="F329" s="30">
        <v>0.96</v>
      </c>
      <c r="G329" s="288">
        <f>VLOOKUP(C329,[1]Dcu!$B$3:$E$510,4,0)</f>
        <v>300000</v>
      </c>
      <c r="H329" s="56">
        <f t="shared" si="14"/>
        <v>153.84615384615384</v>
      </c>
    </row>
    <row r="330" spans="1:8" ht="22.5" customHeight="1">
      <c r="A330" s="174"/>
      <c r="B330" s="93">
        <v>31</v>
      </c>
      <c r="C330" s="2" t="s">
        <v>42</v>
      </c>
      <c r="D330" s="3" t="s">
        <v>15</v>
      </c>
      <c r="E330" s="290">
        <f>VLOOKUP(C330,[1]Dcu!$B$3:$D$510,3,0)</f>
        <v>72</v>
      </c>
      <c r="F330" s="30">
        <v>0.96</v>
      </c>
      <c r="G330" s="288">
        <f>VLOOKUP(C330,[1]Dcu!$B$3:$E$510,4,0)</f>
        <v>80000</v>
      </c>
      <c r="H330" s="56">
        <f t="shared" si="14"/>
        <v>41.025641025641022</v>
      </c>
    </row>
    <row r="331" spans="1:8" ht="22.5" customHeight="1">
      <c r="A331" s="174"/>
      <c r="B331" s="93">
        <v>33</v>
      </c>
      <c r="C331" s="2" t="s">
        <v>43</v>
      </c>
      <c r="D331" s="3" t="s">
        <v>44</v>
      </c>
      <c r="E331" s="3"/>
      <c r="F331" s="30">
        <v>1.401</v>
      </c>
      <c r="G331" s="288">
        <f>VLOOKUP(C331,[1]Dcu!$B$3:$E$510,4,0)</f>
        <v>1838</v>
      </c>
      <c r="H331" s="56">
        <f>G331*F331</f>
        <v>2575.038</v>
      </c>
    </row>
    <row r="332" spans="1:8" ht="22.5" customHeight="1">
      <c r="A332" s="174">
        <v>11</v>
      </c>
      <c r="B332" s="174" t="s">
        <v>440</v>
      </c>
      <c r="C332" s="310" t="s">
        <v>465</v>
      </c>
      <c r="D332" s="402" t="s">
        <v>450</v>
      </c>
      <c r="E332" s="403"/>
      <c r="F332" s="403"/>
      <c r="G332" s="404"/>
      <c r="H332" s="201">
        <f>H300</f>
        <v>188094.12774358978</v>
      </c>
    </row>
    <row r="333" spans="1:8" ht="22.5" customHeight="1">
      <c r="A333" s="174">
        <v>12</v>
      </c>
      <c r="B333" s="174" t="s">
        <v>441</v>
      </c>
      <c r="C333" s="312" t="s">
        <v>451</v>
      </c>
      <c r="D333" s="157"/>
      <c r="E333" s="157"/>
      <c r="F333" s="18"/>
      <c r="G333" s="55"/>
      <c r="H333" s="191">
        <f>SUM(H334:H361)*1.1+H362</f>
        <v>60285.423615384614</v>
      </c>
    </row>
    <row r="334" spans="1:8" ht="22.5" customHeight="1">
      <c r="A334" s="174"/>
      <c r="B334" s="93">
        <v>1</v>
      </c>
      <c r="C334" s="2" t="s">
        <v>14</v>
      </c>
      <c r="D334" s="3" t="s">
        <v>15</v>
      </c>
      <c r="E334" s="290">
        <f>VLOOKUP(C334,[1]Dcu!$B$3:$D$510,3,0)</f>
        <v>6</v>
      </c>
      <c r="F334" s="30">
        <v>0.5</v>
      </c>
      <c r="G334" s="288">
        <f>VLOOKUP(C334,[1]Dcu!$B$3:$E$510,4,0)</f>
        <v>100000</v>
      </c>
      <c r="H334" s="56">
        <f t="shared" si="14"/>
        <v>320.5128205128205</v>
      </c>
    </row>
    <row r="335" spans="1:8" ht="22.5" customHeight="1">
      <c r="A335" s="174"/>
      <c r="B335" s="93">
        <v>2</v>
      </c>
      <c r="C335" s="2" t="s">
        <v>16</v>
      </c>
      <c r="D335" s="3" t="s">
        <v>15</v>
      </c>
      <c r="E335" s="290">
        <f>VLOOKUP(C335,[1]Dcu!$B$3:$D$510,3,0)</f>
        <v>6</v>
      </c>
      <c r="F335" s="30">
        <v>0.5</v>
      </c>
      <c r="G335" s="288">
        <f>VLOOKUP(C335,[1]Dcu!$B$3:$E$510,4,0)</f>
        <v>70000</v>
      </c>
      <c r="H335" s="56">
        <f t="shared" si="14"/>
        <v>224.35897435897436</v>
      </c>
    </row>
    <row r="336" spans="1:8" ht="22.5" customHeight="1">
      <c r="A336" s="174"/>
      <c r="B336" s="93">
        <v>3</v>
      </c>
      <c r="C336" s="2" t="s">
        <v>17</v>
      </c>
      <c r="D336" s="3" t="s">
        <v>15</v>
      </c>
      <c r="E336" s="290">
        <f>VLOOKUP(C336,[1]Dcu!$B$3:$D$510,3,0)</f>
        <v>6</v>
      </c>
      <c r="F336" s="30">
        <v>0.5</v>
      </c>
      <c r="G336" s="288">
        <f>VLOOKUP(C336,[1]Dcu!$B$3:$E$510,4,0)</f>
        <v>3500000</v>
      </c>
      <c r="H336" s="56">
        <f t="shared" si="14"/>
        <v>11217.948717948719</v>
      </c>
    </row>
    <row r="337" spans="1:8" ht="22.5" customHeight="1">
      <c r="A337" s="174"/>
      <c r="B337" s="93">
        <v>4</v>
      </c>
      <c r="C337" s="2" t="s">
        <v>18</v>
      </c>
      <c r="D337" s="3" t="s">
        <v>15</v>
      </c>
      <c r="E337" s="290">
        <f>VLOOKUP(C337,[1]Dcu!$B$3:$D$510,3,0)</f>
        <v>1</v>
      </c>
      <c r="F337" s="30">
        <v>0.5</v>
      </c>
      <c r="G337" s="288">
        <f>VLOOKUP(C337,[1]Dcu!$B$3:$E$510,4,0)</f>
        <v>3000</v>
      </c>
      <c r="H337" s="56">
        <f t="shared" si="14"/>
        <v>57.692307692307693</v>
      </c>
    </row>
    <row r="338" spans="1:8" ht="22.5" customHeight="1">
      <c r="A338" s="174"/>
      <c r="B338" s="93">
        <v>5</v>
      </c>
      <c r="C338" s="2" t="s">
        <v>19</v>
      </c>
      <c r="D338" s="3" t="s">
        <v>15</v>
      </c>
      <c r="E338" s="290">
        <f>VLOOKUP(C338,[1]Dcu!$B$3:$D$510,3,0)</f>
        <v>6</v>
      </c>
      <c r="F338" s="30">
        <v>0.5</v>
      </c>
      <c r="G338" s="288">
        <f>VLOOKUP(C338,[1]Dcu!$B$3:$E$510,4,0)</f>
        <v>110000</v>
      </c>
      <c r="H338" s="56">
        <f t="shared" si="14"/>
        <v>352.56410256410254</v>
      </c>
    </row>
    <row r="339" spans="1:8" ht="22.5" customHeight="1">
      <c r="A339" s="174"/>
      <c r="B339" s="93">
        <v>6</v>
      </c>
      <c r="C339" s="2" t="s">
        <v>20</v>
      </c>
      <c r="D339" s="3" t="s">
        <v>15</v>
      </c>
      <c r="E339" s="290">
        <f>VLOOKUP(C339,[1]Dcu!$B$3:$D$510,3,0)</f>
        <v>6</v>
      </c>
      <c r="F339" s="30">
        <v>0.5</v>
      </c>
      <c r="G339" s="288">
        <f>VLOOKUP(C339,[1]Dcu!$B$3:$E$510,4,0)</f>
        <v>170000</v>
      </c>
      <c r="H339" s="56">
        <f t="shared" si="14"/>
        <v>544.87179487179492</v>
      </c>
    </row>
    <row r="340" spans="1:8" ht="22.5" customHeight="1">
      <c r="A340" s="174"/>
      <c r="B340" s="93">
        <v>7</v>
      </c>
      <c r="C340" s="2" t="s">
        <v>21</v>
      </c>
      <c r="D340" s="3" t="s">
        <v>15</v>
      </c>
      <c r="E340" s="290">
        <f>VLOOKUP(C340,[1]Dcu!$B$3:$D$510,3,0)</f>
        <v>6</v>
      </c>
      <c r="F340" s="30">
        <v>0.5</v>
      </c>
      <c r="G340" s="288">
        <f>VLOOKUP(C340,[1]Dcu!$B$3:$E$510,4,0)</f>
        <v>180000</v>
      </c>
      <c r="H340" s="56">
        <f t="shared" si="14"/>
        <v>576.92307692307691</v>
      </c>
    </row>
    <row r="341" spans="1:8" ht="22.5" customHeight="1">
      <c r="A341" s="174"/>
      <c r="B341" s="93">
        <v>8</v>
      </c>
      <c r="C341" s="2" t="s">
        <v>22</v>
      </c>
      <c r="D341" s="3" t="s">
        <v>15</v>
      </c>
      <c r="E341" s="290">
        <f>VLOOKUP(C341,[1]Dcu!$B$3:$D$510,3,0)</f>
        <v>6</v>
      </c>
      <c r="F341" s="30">
        <v>0.5</v>
      </c>
      <c r="G341" s="288">
        <f>VLOOKUP(C341,[1]Dcu!$B$3:$E$510,4,0)</f>
        <v>700000</v>
      </c>
      <c r="H341" s="56">
        <f t="shared" si="14"/>
        <v>2243.5897435897436</v>
      </c>
    </row>
    <row r="342" spans="1:8" ht="22.5" customHeight="1">
      <c r="A342" s="174"/>
      <c r="B342" s="93">
        <v>9</v>
      </c>
      <c r="C342" s="2" t="s">
        <v>23</v>
      </c>
      <c r="D342" s="3" t="s">
        <v>15</v>
      </c>
      <c r="E342" s="290">
        <f>VLOOKUP(C342,[1]Dcu!$B$3:$D$510,3,0)</f>
        <v>6</v>
      </c>
      <c r="F342" s="30">
        <v>0.5</v>
      </c>
      <c r="G342" s="288">
        <f>VLOOKUP(C342,[1]Dcu!$B$3:$E$510,4,0)</f>
        <v>90000</v>
      </c>
      <c r="H342" s="56">
        <f t="shared" si="14"/>
        <v>288.46153846153845</v>
      </c>
    </row>
    <row r="343" spans="1:8" ht="22.5" customHeight="1">
      <c r="A343" s="174"/>
      <c r="B343" s="93">
        <v>10</v>
      </c>
      <c r="C343" s="2" t="s">
        <v>24</v>
      </c>
      <c r="D343" s="3" t="s">
        <v>15</v>
      </c>
      <c r="E343" s="290">
        <f>VLOOKUP(C343,[1]Dcu!$B$3:$D$510,3,0)</f>
        <v>6</v>
      </c>
      <c r="F343" s="30">
        <v>0.5</v>
      </c>
      <c r="G343" s="288">
        <f>VLOOKUP(C343,[1]Dcu!$B$3:$E$510,4,0)</f>
        <v>15000</v>
      </c>
      <c r="H343" s="56">
        <f t="shared" si="14"/>
        <v>48.07692307692308</v>
      </c>
    </row>
    <row r="344" spans="1:8" ht="22.5" customHeight="1">
      <c r="A344" s="174"/>
      <c r="B344" s="93">
        <v>11</v>
      </c>
      <c r="C344" s="2" t="s">
        <v>25</v>
      </c>
      <c r="D344" s="3" t="s">
        <v>15</v>
      </c>
      <c r="E344" s="290">
        <f>VLOOKUP(C344,[1]Dcu!$B$3:$D$510,3,0)</f>
        <v>6</v>
      </c>
      <c r="F344" s="30">
        <v>0.5</v>
      </c>
      <c r="G344" s="288">
        <f>VLOOKUP(C344,[1]Dcu!$B$3:$E$510,4,0)</f>
        <v>120000</v>
      </c>
      <c r="H344" s="56">
        <f t="shared" si="14"/>
        <v>384.61538461538464</v>
      </c>
    </row>
    <row r="345" spans="1:8" ht="22.5" customHeight="1">
      <c r="A345" s="174"/>
      <c r="B345" s="93">
        <v>12</v>
      </c>
      <c r="C345" s="2" t="s">
        <v>27</v>
      </c>
      <c r="D345" s="3" t="s">
        <v>15</v>
      </c>
      <c r="E345" s="290">
        <f>VLOOKUP(C345,[1]Dcu!$B$3:$D$510,3,0)</f>
        <v>24</v>
      </c>
      <c r="F345" s="30">
        <v>0.5</v>
      </c>
      <c r="G345" s="288">
        <f>VLOOKUP(C345,[1]Dcu!$B$3:$E$510,4,0)</f>
        <v>15000000</v>
      </c>
      <c r="H345" s="56">
        <f t="shared" si="14"/>
        <v>12019.23076923077</v>
      </c>
    </row>
    <row r="346" spans="1:8" ht="22.5" customHeight="1">
      <c r="A346" s="174"/>
      <c r="B346" s="93">
        <v>13</v>
      </c>
      <c r="C346" s="2" t="s">
        <v>28</v>
      </c>
      <c r="D346" s="3" t="s">
        <v>15</v>
      </c>
      <c r="E346" s="290">
        <f>VLOOKUP(C346,[1]Dcu!$B$3:$D$510,3,0)</f>
        <v>24</v>
      </c>
      <c r="F346" s="30">
        <v>0.5</v>
      </c>
      <c r="G346" s="288">
        <f>VLOOKUP(C346,[1]Dcu!$B$3:$E$510,4,0)</f>
        <v>4500000</v>
      </c>
      <c r="H346" s="56">
        <f t="shared" si="14"/>
        <v>3605.7692307692309</v>
      </c>
    </row>
    <row r="347" spans="1:8" ht="22.5" customHeight="1">
      <c r="A347" s="174"/>
      <c r="B347" s="93">
        <v>14</v>
      </c>
      <c r="C347" s="2" t="s">
        <v>29</v>
      </c>
      <c r="D347" s="3" t="s">
        <v>15</v>
      </c>
      <c r="E347" s="290">
        <f>VLOOKUP(C347,[1]Dcu!$B$3:$D$510,3,0)</f>
        <v>24</v>
      </c>
      <c r="F347" s="30">
        <v>0.5</v>
      </c>
      <c r="G347" s="288">
        <f>VLOOKUP(C347,[1]Dcu!$B$3:$E$510,4,0)</f>
        <v>19000000</v>
      </c>
      <c r="H347" s="56">
        <f t="shared" si="14"/>
        <v>15224.358974358975</v>
      </c>
    </row>
    <row r="348" spans="1:8" ht="22.5" customHeight="1">
      <c r="A348" s="174"/>
      <c r="B348" s="93">
        <v>15</v>
      </c>
      <c r="C348" s="2" t="s">
        <v>30</v>
      </c>
      <c r="D348" s="3" t="s">
        <v>15</v>
      </c>
      <c r="E348" s="290">
        <f>VLOOKUP(C348,[1]Dcu!$B$3:$D$510,3,0)</f>
        <v>6</v>
      </c>
      <c r="F348" s="30">
        <v>0.5</v>
      </c>
      <c r="G348" s="288">
        <f>VLOOKUP(C348,[1]Dcu!$B$3:$E$510,4,0)</f>
        <v>340000</v>
      </c>
      <c r="H348" s="56">
        <f t="shared" si="14"/>
        <v>1089.7435897435898</v>
      </c>
    </row>
    <row r="349" spans="1:8" ht="22.5" customHeight="1">
      <c r="A349" s="174"/>
      <c r="B349" s="93">
        <v>16</v>
      </c>
      <c r="C349" s="2" t="s">
        <v>31</v>
      </c>
      <c r="D349" s="3" t="s">
        <v>15</v>
      </c>
      <c r="E349" s="290">
        <f>VLOOKUP(C349,[1]Dcu!$B$3:$D$510,3,0)</f>
        <v>6</v>
      </c>
      <c r="F349" s="30">
        <v>0.5</v>
      </c>
      <c r="G349" s="288">
        <f>VLOOKUP(C349,[1]Dcu!$B$3:$E$510,4,0)</f>
        <v>700000</v>
      </c>
      <c r="H349" s="56">
        <f t="shared" si="14"/>
        <v>2243.5897435897436</v>
      </c>
    </row>
    <row r="350" spans="1:8" ht="22.5" customHeight="1">
      <c r="A350" s="174"/>
      <c r="B350" s="93">
        <v>17</v>
      </c>
      <c r="C350" s="2" t="s">
        <v>32</v>
      </c>
      <c r="D350" s="3" t="s">
        <v>15</v>
      </c>
      <c r="E350" s="290">
        <f>VLOOKUP(C350,[1]Dcu!$B$3:$D$510,3,0)</f>
        <v>6</v>
      </c>
      <c r="F350" s="30">
        <v>0.5</v>
      </c>
      <c r="G350" s="288">
        <f>VLOOKUP(C350,[1]Dcu!$B$3:$E$510,4,0)</f>
        <v>110000</v>
      </c>
      <c r="H350" s="56">
        <f t="shared" si="14"/>
        <v>352.56410256410254</v>
      </c>
    </row>
    <row r="351" spans="1:8" ht="22.5" customHeight="1">
      <c r="A351" s="174"/>
      <c r="B351" s="93">
        <v>18</v>
      </c>
      <c r="C351" s="132" t="s">
        <v>396</v>
      </c>
      <c r="D351" s="3" t="s">
        <v>15</v>
      </c>
      <c r="E351" s="290">
        <f>VLOOKUP(C351,[1]Dcu!$B$3:$D$510,3,0)</f>
        <v>12</v>
      </c>
      <c r="F351" s="30">
        <v>0.5</v>
      </c>
      <c r="G351" s="288">
        <f>VLOOKUP(C351,[1]Dcu!$B$3:$E$510,4,0)</f>
        <v>30000</v>
      </c>
      <c r="H351" s="56">
        <f t="shared" si="14"/>
        <v>48.07692307692308</v>
      </c>
    </row>
    <row r="352" spans="1:8" ht="22.5" customHeight="1">
      <c r="A352" s="174"/>
      <c r="B352" s="93">
        <v>20</v>
      </c>
      <c r="C352" s="200" t="s">
        <v>388</v>
      </c>
      <c r="D352" s="34" t="s">
        <v>86</v>
      </c>
      <c r="E352" s="290">
        <f>VLOOKUP(C352,[1]Dcu!$B$3:$D$510,3,0)</f>
        <v>0.3</v>
      </c>
      <c r="F352" s="161">
        <v>0.02</v>
      </c>
      <c r="G352" s="288">
        <f>VLOOKUP(C352,[1]Dcu!$B$3:$E$510,4,0)</f>
        <v>400000</v>
      </c>
      <c r="H352" s="56">
        <f t="shared" si="14"/>
        <v>1025.6410256410256</v>
      </c>
    </row>
    <row r="353" spans="1:8" ht="22.5" customHeight="1">
      <c r="A353" s="174"/>
      <c r="B353" s="93">
        <v>21</v>
      </c>
      <c r="C353" s="2" t="s">
        <v>33</v>
      </c>
      <c r="D353" s="34" t="s">
        <v>86</v>
      </c>
      <c r="E353" s="290">
        <f>VLOOKUP(C353,[1]Dcu!$B$3:$D$510,3,0)</f>
        <v>0.3</v>
      </c>
      <c r="F353" s="161">
        <v>0.02</v>
      </c>
      <c r="G353" s="288">
        <f>VLOOKUP(C353,[1]Dcu!$B$3:$E$510,4,0)</f>
        <v>380000</v>
      </c>
      <c r="H353" s="56">
        <f t="shared" si="14"/>
        <v>974.35897435897436</v>
      </c>
    </row>
    <row r="354" spans="1:8" ht="22.5" customHeight="1">
      <c r="A354" s="174"/>
      <c r="B354" s="93">
        <v>22</v>
      </c>
      <c r="C354" s="2" t="s">
        <v>34</v>
      </c>
      <c r="D354" s="3" t="s">
        <v>15</v>
      </c>
      <c r="E354" s="290">
        <f>VLOOKUP(C354,[1]Dcu!$B$3:$D$510,3,0)</f>
        <v>36</v>
      </c>
      <c r="F354" s="30">
        <v>0.107</v>
      </c>
      <c r="G354" s="288">
        <f>VLOOKUP(C354,[1]Dcu!$B$3:$E$510,4,0)</f>
        <v>500000</v>
      </c>
      <c r="H354" s="56">
        <f t="shared" si="14"/>
        <v>57.158119658119659</v>
      </c>
    </row>
    <row r="355" spans="1:8" ht="22.5" customHeight="1">
      <c r="A355" s="174"/>
      <c r="B355" s="93">
        <v>23</v>
      </c>
      <c r="C355" s="2" t="s">
        <v>35</v>
      </c>
      <c r="D355" s="3" t="s">
        <v>15</v>
      </c>
      <c r="E355" s="290">
        <f>VLOOKUP(C355,[1]Dcu!$B$3:$D$510,3,0)</f>
        <v>36</v>
      </c>
      <c r="F355" s="30">
        <v>0.107</v>
      </c>
      <c r="G355" s="288">
        <f>VLOOKUP(C355,[1]Dcu!$B$3:$E$510,4,0)</f>
        <v>250000</v>
      </c>
      <c r="H355" s="56">
        <f t="shared" si="14"/>
        <v>28.57905982905983</v>
      </c>
    </row>
    <row r="356" spans="1:8" ht="22.5" customHeight="1">
      <c r="A356" s="174"/>
      <c r="B356" s="93">
        <v>24</v>
      </c>
      <c r="C356" s="2" t="s">
        <v>36</v>
      </c>
      <c r="D356" s="3" t="s">
        <v>15</v>
      </c>
      <c r="E356" s="290">
        <f>VLOOKUP(C356,[1]Dcu!$B$3:$D$510,3,0)</f>
        <v>60</v>
      </c>
      <c r="F356" s="30">
        <v>5.0000000000000001E-3</v>
      </c>
      <c r="G356" s="288">
        <f>VLOOKUP(C356,[1]Dcu!$B$3:$E$510,4,0)</f>
        <v>1600000</v>
      </c>
      <c r="H356" s="56">
        <f t="shared" si="14"/>
        <v>5.1282051282051286</v>
      </c>
    </row>
    <row r="357" spans="1:8" ht="22.5" customHeight="1">
      <c r="A357" s="174"/>
      <c r="B357" s="93">
        <v>25</v>
      </c>
      <c r="C357" s="2" t="s">
        <v>37</v>
      </c>
      <c r="D357" s="3" t="s">
        <v>15</v>
      </c>
      <c r="E357" s="290">
        <f>VLOOKUP(C357,[1]Dcu!$B$3:$D$510,3,0)</f>
        <v>36</v>
      </c>
      <c r="F357" s="30">
        <v>0.04</v>
      </c>
      <c r="G357" s="288">
        <f>VLOOKUP(C357,[1]Dcu!$B$3:$E$510,4,0)</f>
        <v>1500000</v>
      </c>
      <c r="H357" s="56">
        <f t="shared" si="14"/>
        <v>64.102564102564102</v>
      </c>
    </row>
    <row r="358" spans="1:8" ht="22.5" customHeight="1">
      <c r="A358" s="174"/>
      <c r="B358" s="93">
        <v>26</v>
      </c>
      <c r="C358" s="2" t="s">
        <v>38</v>
      </c>
      <c r="D358" s="3" t="s">
        <v>39</v>
      </c>
      <c r="E358" s="290">
        <f>VLOOKUP(C358,[1]Dcu!$B$3:$D$510,3,0)</f>
        <v>24</v>
      </c>
      <c r="F358" s="30">
        <v>0.64</v>
      </c>
      <c r="G358" s="288">
        <f>VLOOKUP(C358,[1]Dcu!$B$3:$E$510,4,0)</f>
        <v>40000</v>
      </c>
      <c r="H358" s="56">
        <f t="shared" si="14"/>
        <v>41.025641025641029</v>
      </c>
    </row>
    <row r="359" spans="1:8" ht="22.5" customHeight="1">
      <c r="A359" s="174"/>
      <c r="B359" s="93">
        <v>27</v>
      </c>
      <c r="C359" s="2" t="s">
        <v>40</v>
      </c>
      <c r="D359" s="3" t="s">
        <v>15</v>
      </c>
      <c r="E359" s="290">
        <f>VLOOKUP(C359,[1]Dcu!$B$3:$D$510,3,0)</f>
        <v>72</v>
      </c>
      <c r="F359" s="30">
        <v>0.16</v>
      </c>
      <c r="G359" s="288">
        <f>VLOOKUP(C359,[1]Dcu!$B$3:$E$510,4,0)</f>
        <v>1000000</v>
      </c>
      <c r="H359" s="56">
        <f t="shared" si="14"/>
        <v>85.470085470085465</v>
      </c>
    </row>
    <row r="360" spans="1:8" ht="22.5" customHeight="1">
      <c r="A360" s="174"/>
      <c r="B360" s="93">
        <v>28</v>
      </c>
      <c r="C360" s="2" t="s">
        <v>41</v>
      </c>
      <c r="D360" s="3" t="s">
        <v>15</v>
      </c>
      <c r="E360" s="290">
        <f>VLOOKUP(C360,[1]Dcu!$B$3:$D$510,3,0)</f>
        <v>72</v>
      </c>
      <c r="F360" s="30">
        <v>0.64</v>
      </c>
      <c r="G360" s="288">
        <f>VLOOKUP(C360,[1]Dcu!$B$3:$E$510,4,0)</f>
        <v>300000</v>
      </c>
      <c r="H360" s="56">
        <f t="shared" si="14"/>
        <v>102.56410256410255</v>
      </c>
    </row>
    <row r="361" spans="1:8" ht="22.5" customHeight="1">
      <c r="A361" s="174"/>
      <c r="B361" s="93">
        <v>29</v>
      </c>
      <c r="C361" s="2" t="s">
        <v>42</v>
      </c>
      <c r="D361" s="3" t="s">
        <v>15</v>
      </c>
      <c r="E361" s="290">
        <f>VLOOKUP(C361,[1]Dcu!$B$3:$D$510,3,0)</f>
        <v>72</v>
      </c>
      <c r="F361" s="30">
        <v>0.64</v>
      </c>
      <c r="G361" s="288">
        <f>VLOOKUP(C361,[1]Dcu!$B$3:$E$510,4,0)</f>
        <v>80000</v>
      </c>
      <c r="H361" s="56">
        <f t="shared" si="14"/>
        <v>27.350427350427349</v>
      </c>
    </row>
    <row r="362" spans="1:8" ht="22.5" customHeight="1">
      <c r="A362" s="174"/>
      <c r="B362" s="93">
        <v>31</v>
      </c>
      <c r="C362" s="2" t="s">
        <v>43</v>
      </c>
      <c r="D362" s="3" t="s">
        <v>44</v>
      </c>
      <c r="E362" s="3"/>
      <c r="F362" s="30">
        <v>0.92800000000000005</v>
      </c>
      <c r="G362" s="288">
        <f>VLOOKUP(C362,[1]Dcu!$B$3:$E$510,4,0)</f>
        <v>1838</v>
      </c>
      <c r="H362" s="56">
        <f>G362*F362</f>
        <v>1705.664</v>
      </c>
    </row>
    <row r="363" spans="1:8" ht="22.5" customHeight="1">
      <c r="A363" s="174">
        <v>13</v>
      </c>
      <c r="B363" s="174" t="s">
        <v>442</v>
      </c>
      <c r="C363" s="312" t="s">
        <v>457</v>
      </c>
      <c r="D363" s="405" t="s">
        <v>461</v>
      </c>
      <c r="E363" s="406"/>
      <c r="F363" s="407"/>
      <c r="G363" s="288"/>
      <c r="H363" s="201">
        <f>H333</f>
        <v>60285.423615384614</v>
      </c>
    </row>
    <row r="364" spans="1:8" ht="22.5" customHeight="1">
      <c r="A364" s="174">
        <v>14</v>
      </c>
      <c r="B364" s="174" t="s">
        <v>443</v>
      </c>
      <c r="C364" s="312" t="s">
        <v>458</v>
      </c>
      <c r="D364" s="405" t="s">
        <v>461</v>
      </c>
      <c r="E364" s="406"/>
      <c r="F364" s="407"/>
      <c r="G364" s="288"/>
      <c r="H364" s="201">
        <f>H333</f>
        <v>60285.423615384614</v>
      </c>
    </row>
    <row r="365" spans="1:8" ht="22.5" customHeight="1">
      <c r="A365" s="174">
        <v>15</v>
      </c>
      <c r="B365" s="174" t="s">
        <v>444</v>
      </c>
      <c r="C365" s="312" t="s">
        <v>459</v>
      </c>
      <c r="D365" s="405" t="s">
        <v>461</v>
      </c>
      <c r="E365" s="406"/>
      <c r="F365" s="407"/>
      <c r="G365" s="288"/>
      <c r="H365" s="201">
        <f>H333</f>
        <v>60285.423615384614</v>
      </c>
    </row>
    <row r="366" spans="1:8" ht="22.5" customHeight="1">
      <c r="A366" s="174">
        <v>16</v>
      </c>
      <c r="B366" s="174" t="s">
        <v>445</v>
      </c>
      <c r="C366" s="312" t="s">
        <v>460</v>
      </c>
      <c r="D366" s="405" t="s">
        <v>461</v>
      </c>
      <c r="E366" s="406"/>
      <c r="F366" s="407"/>
      <c r="G366" s="288"/>
      <c r="H366" s="201">
        <f>H333</f>
        <v>60285.423615384614</v>
      </c>
    </row>
    <row r="367" spans="1:8" s="186" customFormat="1" ht="22.5" customHeight="1">
      <c r="A367" s="174">
        <v>17</v>
      </c>
      <c r="B367" s="17" t="s">
        <v>318</v>
      </c>
      <c r="C367" s="390" t="s">
        <v>354</v>
      </c>
      <c r="D367" s="390"/>
      <c r="E367" s="390"/>
      <c r="F367" s="195"/>
      <c r="G367" s="181"/>
      <c r="H367" s="191">
        <f>SUM(H368:H396)*1.1+H397</f>
        <v>32213.694128205138</v>
      </c>
    </row>
    <row r="368" spans="1:8" ht="22.5" customHeight="1">
      <c r="A368" s="174"/>
      <c r="B368" s="93">
        <v>1</v>
      </c>
      <c r="C368" s="132" t="s">
        <v>14</v>
      </c>
      <c r="D368" s="34" t="s">
        <v>48</v>
      </c>
      <c r="E368" s="290">
        <f>VLOOKUP(C368,[1]Dcu!$B$3:$D$510,3,0)</f>
        <v>6</v>
      </c>
      <c r="F368" s="104">
        <v>0.28000000000000003</v>
      </c>
      <c r="G368" s="288">
        <f>VLOOKUP(C368,[1]Dcu!$B$3:$E$510,4,0)</f>
        <v>100000</v>
      </c>
      <c r="H368" s="56">
        <f t="shared" ref="H368" si="15">G368/(E368*26)*F368</f>
        <v>179.4871794871795</v>
      </c>
    </row>
    <row r="369" spans="1:8" ht="22.5" customHeight="1">
      <c r="A369" s="174"/>
      <c r="B369" s="93">
        <v>2</v>
      </c>
      <c r="C369" s="132" t="s">
        <v>67</v>
      </c>
      <c r="D369" s="34" t="s">
        <v>48</v>
      </c>
      <c r="E369" s="290">
        <f>VLOOKUP(C369,[1]Dcu!$B$3:$D$510,3,0)</f>
        <v>1.5</v>
      </c>
      <c r="F369" s="104">
        <v>0.28000000000000003</v>
      </c>
      <c r="G369" s="288">
        <f>VLOOKUP(C369,[1]Dcu!$B$3:$E$510,4,0)</f>
        <v>14000</v>
      </c>
      <c r="H369" s="56">
        <f t="shared" ref="H369:H396" si="16">G369/(E369*26)*F369</f>
        <v>100.51282051282051</v>
      </c>
    </row>
    <row r="370" spans="1:8" ht="22.5" customHeight="1">
      <c r="A370" s="174"/>
      <c r="B370" s="93">
        <v>3</v>
      </c>
      <c r="C370" s="132" t="s">
        <v>234</v>
      </c>
      <c r="D370" s="34" t="s">
        <v>48</v>
      </c>
      <c r="E370" s="290">
        <f>VLOOKUP(C370,[1]Dcu!$B$3:$D$510,3,0)</f>
        <v>6</v>
      </c>
      <c r="F370" s="104">
        <v>0.28000000000000003</v>
      </c>
      <c r="G370" s="288">
        <f>VLOOKUP(C370,[1]Dcu!$B$3:$E$510,4,0)</f>
        <v>60000</v>
      </c>
      <c r="H370" s="56">
        <f t="shared" si="16"/>
        <v>107.69230769230771</v>
      </c>
    </row>
    <row r="371" spans="1:8" ht="22.5" customHeight="1">
      <c r="A371" s="174"/>
      <c r="B371" s="93">
        <v>4</v>
      </c>
      <c r="C371" s="132" t="s">
        <v>68</v>
      </c>
      <c r="D371" s="34" t="s">
        <v>48</v>
      </c>
      <c r="E371" s="290">
        <f>VLOOKUP(C371,[1]Dcu!$B$3:$D$510,3,0)</f>
        <v>6</v>
      </c>
      <c r="F371" s="104">
        <v>0.28000000000000003</v>
      </c>
      <c r="G371" s="288">
        <f>VLOOKUP(C371,[1]Dcu!$B$3:$E$510,4,0)</f>
        <v>3500000</v>
      </c>
      <c r="H371" s="56">
        <f t="shared" si="16"/>
        <v>6282.0512820512831</v>
      </c>
    </row>
    <row r="372" spans="1:8" ht="22.5" customHeight="1">
      <c r="A372" s="174"/>
      <c r="B372" s="93">
        <v>5</v>
      </c>
      <c r="C372" s="132" t="s">
        <v>53</v>
      </c>
      <c r="D372" s="34" t="s">
        <v>48</v>
      </c>
      <c r="E372" s="290">
        <f>VLOOKUP(C372,[1]Dcu!$B$3:$D$510,3,0)</f>
        <v>6</v>
      </c>
      <c r="F372" s="104">
        <v>0.28000000000000003</v>
      </c>
      <c r="G372" s="288">
        <f>VLOOKUP(C372,[1]Dcu!$B$3:$E$510,4,0)</f>
        <v>80000</v>
      </c>
      <c r="H372" s="56">
        <f t="shared" si="16"/>
        <v>143.58974358974359</v>
      </c>
    </row>
    <row r="373" spans="1:8" ht="22.5" customHeight="1">
      <c r="A373" s="174"/>
      <c r="B373" s="93">
        <v>6</v>
      </c>
      <c r="C373" s="132" t="s">
        <v>69</v>
      </c>
      <c r="D373" s="34" t="s">
        <v>48</v>
      </c>
      <c r="E373" s="290">
        <f>VLOOKUP(C373,[1]Dcu!$B$3:$D$510,3,0)</f>
        <v>6</v>
      </c>
      <c r="F373" s="104">
        <v>0.28000000000000003</v>
      </c>
      <c r="G373" s="288">
        <f>VLOOKUP(C373,[1]Dcu!$B$3:$E$510,4,0)</f>
        <v>200000</v>
      </c>
      <c r="H373" s="56">
        <f t="shared" si="16"/>
        <v>358.97435897435901</v>
      </c>
    </row>
    <row r="374" spans="1:8" ht="22.5" customHeight="1">
      <c r="A374" s="174"/>
      <c r="B374" s="93">
        <v>7</v>
      </c>
      <c r="C374" s="132" t="s">
        <v>20</v>
      </c>
      <c r="D374" s="34" t="s">
        <v>48</v>
      </c>
      <c r="E374" s="290">
        <f>VLOOKUP(C374,[1]Dcu!$B$3:$D$510,3,0)</f>
        <v>6</v>
      </c>
      <c r="F374" s="104">
        <v>0.28000000000000003</v>
      </c>
      <c r="G374" s="288">
        <f>VLOOKUP(C374,[1]Dcu!$B$3:$E$510,4,0)</f>
        <v>170000</v>
      </c>
      <c r="H374" s="56">
        <f t="shared" si="16"/>
        <v>305.1282051282052</v>
      </c>
    </row>
    <row r="375" spans="1:8" ht="22.5" customHeight="1">
      <c r="A375" s="174"/>
      <c r="B375" s="93">
        <v>8</v>
      </c>
      <c r="C375" s="132" t="s">
        <v>70</v>
      </c>
      <c r="D375" s="34" t="s">
        <v>48</v>
      </c>
      <c r="E375" s="290">
        <f>VLOOKUP(C375,[1]Dcu!$B$3:$D$510,3,0)</f>
        <v>6</v>
      </c>
      <c r="F375" s="104">
        <v>0.28000000000000003</v>
      </c>
      <c r="G375" s="288">
        <f>VLOOKUP(C375,[1]Dcu!$B$3:$E$510,4,0)</f>
        <v>320000</v>
      </c>
      <c r="H375" s="56">
        <f t="shared" si="16"/>
        <v>574.35897435897436</v>
      </c>
    </row>
    <row r="376" spans="1:8" ht="22.5" customHeight="1">
      <c r="A376" s="174"/>
      <c r="B376" s="93">
        <v>9</v>
      </c>
      <c r="C376" s="132" t="s">
        <v>71</v>
      </c>
      <c r="D376" s="34" t="s">
        <v>48</v>
      </c>
      <c r="E376" s="290">
        <f>VLOOKUP(C376,[1]Dcu!$B$3:$D$510,3,0)</f>
        <v>1</v>
      </c>
      <c r="F376" s="104">
        <v>0.28000000000000003</v>
      </c>
      <c r="G376" s="288">
        <f>VLOOKUP(C376,[1]Dcu!$B$3:$E$510,4,0)</f>
        <v>3000</v>
      </c>
      <c r="H376" s="56">
        <f t="shared" si="16"/>
        <v>32.307692307692314</v>
      </c>
    </row>
    <row r="377" spans="1:8" ht="22.5" customHeight="1">
      <c r="A377" s="174"/>
      <c r="B377" s="93">
        <v>10</v>
      </c>
      <c r="C377" s="132" t="s">
        <v>238</v>
      </c>
      <c r="D377" s="34" t="s">
        <v>48</v>
      </c>
      <c r="E377" s="290">
        <f>VLOOKUP(C377,[1]Dcu!$B$3:$D$510,3,0)</f>
        <v>3</v>
      </c>
      <c r="F377" s="104">
        <v>0.28000000000000003</v>
      </c>
      <c r="G377" s="288">
        <f>VLOOKUP(C377,[1]Dcu!$B$3:$E$510,4,0)</f>
        <v>80000</v>
      </c>
      <c r="H377" s="56">
        <f t="shared" si="16"/>
        <v>287.17948717948718</v>
      </c>
    </row>
    <row r="378" spans="1:8" ht="22.5" customHeight="1">
      <c r="A378" s="174"/>
      <c r="B378" s="93">
        <v>11</v>
      </c>
      <c r="C378" s="132" t="s">
        <v>72</v>
      </c>
      <c r="D378" s="34" t="s">
        <v>48</v>
      </c>
      <c r="E378" s="290">
        <f>VLOOKUP(C378,[1]Dcu!$B$3:$D$510,3,0)</f>
        <v>6</v>
      </c>
      <c r="F378" s="104">
        <v>0.28000000000000003</v>
      </c>
      <c r="G378" s="288">
        <f>VLOOKUP(C378,[1]Dcu!$B$3:$E$510,4,0)</f>
        <v>75000</v>
      </c>
      <c r="H378" s="56">
        <f t="shared" si="16"/>
        <v>134.61538461538464</v>
      </c>
    </row>
    <row r="379" spans="1:8" ht="22.5" customHeight="1">
      <c r="A379" s="174"/>
      <c r="B379" s="93">
        <v>12</v>
      </c>
      <c r="C379" s="132" t="s">
        <v>19</v>
      </c>
      <c r="D379" s="34" t="s">
        <v>48</v>
      </c>
      <c r="E379" s="290">
        <f>VLOOKUP(C379,[1]Dcu!$B$3:$D$510,3,0)</f>
        <v>6</v>
      </c>
      <c r="F379" s="104">
        <v>0.28000000000000003</v>
      </c>
      <c r="G379" s="288">
        <f>VLOOKUP(C379,[1]Dcu!$B$3:$E$510,4,0)</f>
        <v>110000</v>
      </c>
      <c r="H379" s="56">
        <f t="shared" si="16"/>
        <v>197.43589743589743</v>
      </c>
    </row>
    <row r="380" spans="1:8" ht="22.5" customHeight="1">
      <c r="A380" s="174"/>
      <c r="B380" s="93">
        <v>13</v>
      </c>
      <c r="C380" s="132" t="s">
        <v>73</v>
      </c>
      <c r="D380" s="34" t="s">
        <v>48</v>
      </c>
      <c r="E380" s="290">
        <f>VLOOKUP(C380,[1]Dcu!$B$3:$D$510,3,0)</f>
        <v>24</v>
      </c>
      <c r="F380" s="104">
        <v>0.28000000000000003</v>
      </c>
      <c r="G380" s="288">
        <f>VLOOKUP(C380,[1]Dcu!$B$3:$E$510,4,0)</f>
        <v>21000000</v>
      </c>
      <c r="H380" s="56">
        <f t="shared" si="16"/>
        <v>9423.0769230769238</v>
      </c>
    </row>
    <row r="381" spans="1:8" ht="22.5" customHeight="1">
      <c r="A381" s="174"/>
      <c r="B381" s="93">
        <v>14</v>
      </c>
      <c r="C381" s="132" t="s">
        <v>74</v>
      </c>
      <c r="D381" s="34" t="s">
        <v>48</v>
      </c>
      <c r="E381" s="290">
        <f>VLOOKUP(C381,[1]Dcu!$B$3:$D$510,3,0)</f>
        <v>24</v>
      </c>
      <c r="F381" s="104">
        <v>0.28000000000000003</v>
      </c>
      <c r="G381" s="288">
        <f>VLOOKUP(C381,[1]Dcu!$B$3:$E$510,4,0)</f>
        <v>10000000</v>
      </c>
      <c r="H381" s="56">
        <f t="shared" si="16"/>
        <v>4487.1794871794873</v>
      </c>
    </row>
    <row r="382" spans="1:8" ht="22.5" customHeight="1">
      <c r="A382" s="174"/>
      <c r="B382" s="93">
        <v>15</v>
      </c>
      <c r="C382" s="132" t="s">
        <v>75</v>
      </c>
      <c r="D382" s="34" t="s">
        <v>48</v>
      </c>
      <c r="E382" s="290">
        <f>VLOOKUP(C382,[1]Dcu!$B$3:$D$510,3,0)</f>
        <v>12</v>
      </c>
      <c r="F382" s="104">
        <v>0.28000000000000003</v>
      </c>
      <c r="G382" s="288">
        <f>VLOOKUP(C382,[1]Dcu!$B$3:$E$510,4,0)</f>
        <v>1600000</v>
      </c>
      <c r="H382" s="56">
        <f t="shared" si="16"/>
        <v>1435.897435897436</v>
      </c>
    </row>
    <row r="383" spans="1:8" ht="22.5" customHeight="1">
      <c r="A383" s="174"/>
      <c r="B383" s="93">
        <v>16</v>
      </c>
      <c r="C383" s="132" t="s">
        <v>30</v>
      </c>
      <c r="D383" s="34" t="s">
        <v>48</v>
      </c>
      <c r="E383" s="290">
        <f>VLOOKUP(C383,[1]Dcu!$B$3:$D$510,3,0)</f>
        <v>6</v>
      </c>
      <c r="F383" s="104">
        <v>0.28000000000000003</v>
      </c>
      <c r="G383" s="288">
        <f>VLOOKUP(C383,[1]Dcu!$B$3:$E$510,4,0)</f>
        <v>340000</v>
      </c>
      <c r="H383" s="56">
        <f t="shared" si="16"/>
        <v>610.25641025641039</v>
      </c>
    </row>
    <row r="384" spans="1:8" ht="22.5" customHeight="1">
      <c r="A384" s="174"/>
      <c r="B384" s="93">
        <v>17</v>
      </c>
      <c r="C384" s="132" t="s">
        <v>31</v>
      </c>
      <c r="D384" s="34" t="s">
        <v>48</v>
      </c>
      <c r="E384" s="290">
        <f>VLOOKUP(C384,[1]Dcu!$B$3:$D$510,3,0)</f>
        <v>6</v>
      </c>
      <c r="F384" s="104">
        <v>0.28000000000000003</v>
      </c>
      <c r="G384" s="288">
        <f>VLOOKUP(C384,[1]Dcu!$B$3:$E$510,4,0)</f>
        <v>700000</v>
      </c>
      <c r="H384" s="56">
        <f t="shared" si="16"/>
        <v>1256.4102564102566</v>
      </c>
    </row>
    <row r="385" spans="1:8" ht="22.5" customHeight="1">
      <c r="A385" s="174"/>
      <c r="B385" s="93">
        <v>18</v>
      </c>
      <c r="C385" s="132" t="s">
        <v>56</v>
      </c>
      <c r="D385" s="34" t="s">
        <v>48</v>
      </c>
      <c r="E385" s="290">
        <f>VLOOKUP(C385,[1]Dcu!$B$3:$D$510,3,0)</f>
        <v>6</v>
      </c>
      <c r="F385" s="104">
        <v>0.28000000000000003</v>
      </c>
      <c r="G385" s="288">
        <f>VLOOKUP(C385,[1]Dcu!$B$3:$E$510,4,0)</f>
        <v>60000</v>
      </c>
      <c r="H385" s="56">
        <f t="shared" si="16"/>
        <v>107.69230769230771</v>
      </c>
    </row>
    <row r="386" spans="1:8" ht="22.5" customHeight="1">
      <c r="A386" s="174"/>
      <c r="B386" s="93">
        <v>19</v>
      </c>
      <c r="C386" s="132" t="s">
        <v>396</v>
      </c>
      <c r="D386" s="34" t="s">
        <v>48</v>
      </c>
      <c r="E386" s="290">
        <f>VLOOKUP(C386,[1]Dcu!$B$3:$D$510,3,0)</f>
        <v>12</v>
      </c>
      <c r="F386" s="104">
        <v>0.4</v>
      </c>
      <c r="G386" s="288">
        <f>VLOOKUP(C386,[1]Dcu!$B$3:$E$510,4,0)</f>
        <v>30000</v>
      </c>
      <c r="H386" s="56">
        <f t="shared" si="16"/>
        <v>38.461538461538467</v>
      </c>
    </row>
    <row r="387" spans="1:8" ht="22.5" customHeight="1">
      <c r="A387" s="174"/>
      <c r="B387" s="93">
        <v>21</v>
      </c>
      <c r="C387" s="200" t="s">
        <v>388</v>
      </c>
      <c r="D387" s="34" t="s">
        <v>86</v>
      </c>
      <c r="E387" s="290">
        <f>VLOOKUP(C387,[1]Dcu!$B$3:$D$510,3,0)</f>
        <v>0.3</v>
      </c>
      <c r="F387" s="161">
        <v>0.02</v>
      </c>
      <c r="G387" s="288">
        <f>VLOOKUP(C387,[1]Dcu!$B$3:$E$510,4,0)</f>
        <v>400000</v>
      </c>
      <c r="H387" s="56">
        <f t="shared" si="16"/>
        <v>1025.6410256410256</v>
      </c>
    </row>
    <row r="388" spans="1:8" ht="22.5" customHeight="1">
      <c r="A388" s="174"/>
      <c r="B388" s="93">
        <v>22</v>
      </c>
      <c r="C388" s="132" t="s">
        <v>33</v>
      </c>
      <c r="D388" s="34" t="s">
        <v>86</v>
      </c>
      <c r="E388" s="290">
        <f>VLOOKUP(C388,[1]Dcu!$B$3:$D$510,3,0)</f>
        <v>0.3</v>
      </c>
      <c r="F388" s="161">
        <v>0.02</v>
      </c>
      <c r="G388" s="288">
        <f>VLOOKUP(C388,[1]Dcu!$B$3:$E$510,4,0)</f>
        <v>380000</v>
      </c>
      <c r="H388" s="56">
        <f t="shared" si="16"/>
        <v>974.35897435897436</v>
      </c>
    </row>
    <row r="389" spans="1:8" ht="22.5" customHeight="1">
      <c r="A389" s="174"/>
      <c r="B389" s="93">
        <v>23</v>
      </c>
      <c r="C389" s="132" t="s">
        <v>34</v>
      </c>
      <c r="D389" s="34" t="s">
        <v>48</v>
      </c>
      <c r="E389" s="290">
        <f>VLOOKUP(C389,[1]Dcu!$B$3:$D$510,3,0)</f>
        <v>36</v>
      </c>
      <c r="F389" s="104">
        <v>6.7000000000000004E-2</v>
      </c>
      <c r="G389" s="288">
        <f>VLOOKUP(C389,[1]Dcu!$B$3:$E$510,4,0)</f>
        <v>500000</v>
      </c>
      <c r="H389" s="56">
        <f t="shared" si="16"/>
        <v>35.79059829059829</v>
      </c>
    </row>
    <row r="390" spans="1:8" ht="22.5" customHeight="1">
      <c r="A390" s="174"/>
      <c r="B390" s="93">
        <v>24</v>
      </c>
      <c r="C390" s="132" t="s">
        <v>35</v>
      </c>
      <c r="D390" s="34" t="s">
        <v>48</v>
      </c>
      <c r="E390" s="290">
        <f>VLOOKUP(C390,[1]Dcu!$B$3:$D$510,3,0)</f>
        <v>36</v>
      </c>
      <c r="F390" s="104">
        <v>6.7000000000000004E-2</v>
      </c>
      <c r="G390" s="288">
        <f>VLOOKUP(C390,[1]Dcu!$B$3:$E$510,4,0)</f>
        <v>250000</v>
      </c>
      <c r="H390" s="56">
        <f t="shared" si="16"/>
        <v>17.895299145299145</v>
      </c>
    </row>
    <row r="391" spans="1:8" ht="22.5" customHeight="1">
      <c r="A391" s="174"/>
      <c r="B391" s="93">
        <v>25</v>
      </c>
      <c r="C391" s="132" t="s">
        <v>36</v>
      </c>
      <c r="D391" s="34" t="s">
        <v>48</v>
      </c>
      <c r="E391" s="290">
        <f>VLOOKUP(C391,[1]Dcu!$B$3:$D$510,3,0)</f>
        <v>60</v>
      </c>
      <c r="F391" s="104">
        <v>3.0000000000000001E-3</v>
      </c>
      <c r="G391" s="288">
        <f>VLOOKUP(C391,[1]Dcu!$B$3:$E$510,4,0)</f>
        <v>1600000</v>
      </c>
      <c r="H391" s="56">
        <f t="shared" si="16"/>
        <v>3.0769230769230771</v>
      </c>
    </row>
    <row r="392" spans="1:8" ht="22.5" customHeight="1">
      <c r="A392" s="174"/>
      <c r="B392" s="93">
        <v>26</v>
      </c>
      <c r="C392" s="132" t="s">
        <v>37</v>
      </c>
      <c r="D392" s="34" t="s">
        <v>48</v>
      </c>
      <c r="E392" s="290">
        <f>VLOOKUP(C392,[1]Dcu!$B$3:$D$510,3,0)</f>
        <v>36</v>
      </c>
      <c r="F392" s="104">
        <v>2.5000000000000001E-2</v>
      </c>
      <c r="G392" s="288">
        <f>VLOOKUP(C392,[1]Dcu!$B$3:$E$510,4,0)</f>
        <v>1500000</v>
      </c>
      <c r="H392" s="56">
        <f t="shared" si="16"/>
        <v>40.064102564102569</v>
      </c>
    </row>
    <row r="393" spans="1:8" ht="22.5" customHeight="1">
      <c r="A393" s="174"/>
      <c r="B393" s="93">
        <v>28</v>
      </c>
      <c r="C393" s="132" t="s">
        <v>38</v>
      </c>
      <c r="D393" s="34" t="s">
        <v>39</v>
      </c>
      <c r="E393" s="290">
        <f>VLOOKUP(C393,[1]Dcu!$B$3:$D$510,3,0)</f>
        <v>24</v>
      </c>
      <c r="F393" s="104">
        <v>0.4</v>
      </c>
      <c r="G393" s="288">
        <f>VLOOKUP(C393,[1]Dcu!$B$3:$E$510,4,0)</f>
        <v>40000</v>
      </c>
      <c r="H393" s="56">
        <f t="shared" si="16"/>
        <v>25.641025641025642</v>
      </c>
    </row>
    <row r="394" spans="1:8" ht="22.5" customHeight="1">
      <c r="A394" s="174"/>
      <c r="B394" s="93">
        <v>29</v>
      </c>
      <c r="C394" s="132" t="s">
        <v>40</v>
      </c>
      <c r="D394" s="34" t="s">
        <v>48</v>
      </c>
      <c r="E394" s="290">
        <f>VLOOKUP(C394,[1]Dcu!$B$3:$D$510,3,0)</f>
        <v>72</v>
      </c>
      <c r="F394" s="104">
        <v>0.1</v>
      </c>
      <c r="G394" s="288">
        <f>VLOOKUP(C394,[1]Dcu!$B$3:$E$510,4,0)</f>
        <v>1000000</v>
      </c>
      <c r="H394" s="56">
        <f t="shared" si="16"/>
        <v>53.418803418803421</v>
      </c>
    </row>
    <row r="395" spans="1:8" ht="22.5" customHeight="1">
      <c r="A395" s="174"/>
      <c r="B395" s="93">
        <v>30</v>
      </c>
      <c r="C395" s="132" t="s">
        <v>41</v>
      </c>
      <c r="D395" s="34" t="s">
        <v>48</v>
      </c>
      <c r="E395" s="290">
        <f>VLOOKUP(C395,[1]Dcu!$B$3:$D$510,3,0)</f>
        <v>72</v>
      </c>
      <c r="F395" s="104">
        <v>0.4</v>
      </c>
      <c r="G395" s="288">
        <f>VLOOKUP(C395,[1]Dcu!$B$3:$E$510,4,0)</f>
        <v>300000</v>
      </c>
      <c r="H395" s="56">
        <f t="shared" si="16"/>
        <v>64.102564102564102</v>
      </c>
    </row>
    <row r="396" spans="1:8" ht="22.5" customHeight="1">
      <c r="A396" s="174"/>
      <c r="B396" s="93">
        <v>31</v>
      </c>
      <c r="C396" s="132" t="s">
        <v>42</v>
      </c>
      <c r="D396" s="34" t="s">
        <v>48</v>
      </c>
      <c r="E396" s="290">
        <f>VLOOKUP(C396,[1]Dcu!$B$3:$D$510,3,0)</f>
        <v>72</v>
      </c>
      <c r="F396" s="104">
        <v>0.4</v>
      </c>
      <c r="G396" s="288">
        <f>VLOOKUP(C396,[1]Dcu!$B$3:$E$510,4,0)</f>
        <v>80000</v>
      </c>
      <c r="H396" s="56">
        <f t="shared" si="16"/>
        <v>17.094017094017094</v>
      </c>
    </row>
    <row r="397" spans="1:8" ht="22.5" customHeight="1">
      <c r="A397" s="174"/>
      <c r="B397" s="93">
        <v>32</v>
      </c>
      <c r="C397" s="132" t="s">
        <v>43</v>
      </c>
      <c r="D397" s="34" t="s">
        <v>44</v>
      </c>
      <c r="E397" s="34"/>
      <c r="F397" s="104">
        <v>0.57799999999999996</v>
      </c>
      <c r="G397" s="288">
        <f>VLOOKUP(C397,[1]Dcu!$B$3:$E$510,4,0)</f>
        <v>1838</v>
      </c>
      <c r="H397" s="56">
        <f>G397*F397</f>
        <v>1062.364</v>
      </c>
    </row>
    <row r="398" spans="1:8" ht="22.5" customHeight="1">
      <c r="A398" s="174">
        <v>18</v>
      </c>
      <c r="B398" s="174" t="s">
        <v>220</v>
      </c>
      <c r="C398" s="400" t="s">
        <v>397</v>
      </c>
      <c r="D398" s="400"/>
      <c r="E398" s="400"/>
      <c r="F398" s="400"/>
      <c r="G398" s="400"/>
      <c r="H398" s="191">
        <f>SUM(H399:H424)*1.1+H425</f>
        <v>230197.58347008549</v>
      </c>
    </row>
    <row r="399" spans="1:8" ht="22.5" customHeight="1">
      <c r="A399" s="174"/>
      <c r="B399" s="93">
        <v>1</v>
      </c>
      <c r="C399" s="7" t="s">
        <v>14</v>
      </c>
      <c r="D399" s="3" t="s">
        <v>48</v>
      </c>
      <c r="E399" s="290">
        <f>VLOOKUP(C399,[1]Dcu!$B$3:$D$510,3,0)</f>
        <v>6</v>
      </c>
      <c r="F399" s="30">
        <v>1.2</v>
      </c>
      <c r="G399" s="288">
        <f>VLOOKUP(C399,[1]Dcu!$B$3:$E$510,4,0)</f>
        <v>100000</v>
      </c>
      <c r="H399" s="56">
        <f t="shared" ref="H399:H458" si="17">G399/(E399*26)*F399</f>
        <v>769.23076923076917</v>
      </c>
    </row>
    <row r="400" spans="1:8" ht="22.5" customHeight="1">
      <c r="A400" s="174"/>
      <c r="B400" s="93">
        <v>2</v>
      </c>
      <c r="C400" s="7" t="s">
        <v>49</v>
      </c>
      <c r="D400" s="3" t="s">
        <v>48</v>
      </c>
      <c r="E400" s="290">
        <f>VLOOKUP(C400,[1]Dcu!$B$3:$D$510,3,0)</f>
        <v>6</v>
      </c>
      <c r="F400" s="30">
        <v>1.2</v>
      </c>
      <c r="G400" s="288">
        <f>VLOOKUP(C400,[1]Dcu!$B$3:$E$510,4,0)</f>
        <v>1900000</v>
      </c>
      <c r="H400" s="56">
        <f t="shared" si="17"/>
        <v>14615.384615384615</v>
      </c>
    </row>
    <row r="401" spans="1:8" ht="22.5" customHeight="1">
      <c r="A401" s="174"/>
      <c r="B401" s="93">
        <v>3</v>
      </c>
      <c r="C401" s="7" t="s">
        <v>50</v>
      </c>
      <c r="D401" s="3" t="s">
        <v>48</v>
      </c>
      <c r="E401" s="290">
        <f>VLOOKUP(C401,[1]Dcu!$B$3:$D$510,3,0)</f>
        <v>12</v>
      </c>
      <c r="F401" s="30">
        <v>1.2</v>
      </c>
      <c r="G401" s="288">
        <f>VLOOKUP(C401,[1]Dcu!$B$3:$E$510,4,0)</f>
        <v>27000000</v>
      </c>
      <c r="H401" s="56">
        <f t="shared" si="17"/>
        <v>103846.15384615383</v>
      </c>
    </row>
    <row r="402" spans="1:8" ht="22.5" customHeight="1">
      <c r="A402" s="174"/>
      <c r="B402" s="93">
        <v>4</v>
      </c>
      <c r="C402" s="7" t="s">
        <v>51</v>
      </c>
      <c r="D402" s="3" t="s">
        <v>48</v>
      </c>
      <c r="E402" s="290">
        <f>VLOOKUP(C402,[1]Dcu!$B$3:$D$510,3,0)</f>
        <v>6</v>
      </c>
      <c r="F402" s="30">
        <v>1.2</v>
      </c>
      <c r="G402" s="288">
        <f>VLOOKUP(C402,[1]Dcu!$B$3:$E$510,4,0)</f>
        <v>1350000</v>
      </c>
      <c r="H402" s="56">
        <f t="shared" si="17"/>
        <v>10384.615384615385</v>
      </c>
    </row>
    <row r="403" spans="1:8" ht="22.5" customHeight="1">
      <c r="A403" s="174"/>
      <c r="B403" s="93">
        <v>5</v>
      </c>
      <c r="C403" s="7" t="s">
        <v>52</v>
      </c>
      <c r="D403" s="3" t="s">
        <v>48</v>
      </c>
      <c r="E403" s="290">
        <f>VLOOKUP(C403,[1]Dcu!$B$3:$D$510,3,0)</f>
        <v>6</v>
      </c>
      <c r="F403" s="30">
        <v>1.2</v>
      </c>
      <c r="G403" s="288">
        <f>VLOOKUP(C403,[1]Dcu!$B$3:$E$510,4,0)</f>
        <v>1750000</v>
      </c>
      <c r="H403" s="56">
        <f t="shared" si="17"/>
        <v>13461.538461538463</v>
      </c>
    </row>
    <row r="404" spans="1:8" ht="22.5" customHeight="1">
      <c r="A404" s="174"/>
      <c r="B404" s="93">
        <v>6</v>
      </c>
      <c r="C404" s="7" t="s">
        <v>53</v>
      </c>
      <c r="D404" s="3" t="s">
        <v>48</v>
      </c>
      <c r="E404" s="290">
        <f>VLOOKUP(C404,[1]Dcu!$B$3:$D$510,3,0)</f>
        <v>6</v>
      </c>
      <c r="F404" s="30">
        <v>1.2</v>
      </c>
      <c r="G404" s="288">
        <f>VLOOKUP(C404,[1]Dcu!$B$3:$E$510,4,0)</f>
        <v>80000</v>
      </c>
      <c r="H404" s="56">
        <f t="shared" si="17"/>
        <v>615.38461538461536</v>
      </c>
    </row>
    <row r="405" spans="1:8" ht="22.5" customHeight="1">
      <c r="A405" s="174"/>
      <c r="B405" s="93">
        <v>7</v>
      </c>
      <c r="C405" s="7" t="s">
        <v>54</v>
      </c>
      <c r="D405" s="3" t="s">
        <v>48</v>
      </c>
      <c r="E405" s="290">
        <f>VLOOKUP(C405,[1]Dcu!$B$3:$D$510,3,0)</f>
        <v>6</v>
      </c>
      <c r="F405" s="30">
        <v>1.2</v>
      </c>
      <c r="G405" s="288">
        <f>VLOOKUP(C405,[1]Dcu!$B$3:$E$510,4,0)</f>
        <v>3500000</v>
      </c>
      <c r="H405" s="56">
        <f t="shared" si="17"/>
        <v>26923.076923076926</v>
      </c>
    </row>
    <row r="406" spans="1:8" ht="22.5" customHeight="1">
      <c r="A406" s="174"/>
      <c r="B406" s="93">
        <v>8</v>
      </c>
      <c r="C406" s="7" t="s">
        <v>23</v>
      </c>
      <c r="D406" s="3" t="s">
        <v>48</v>
      </c>
      <c r="E406" s="290">
        <f>VLOOKUP(C406,[1]Dcu!$B$3:$D$510,3,0)</f>
        <v>6</v>
      </c>
      <c r="F406" s="30">
        <v>1.2</v>
      </c>
      <c r="G406" s="288">
        <f>VLOOKUP(C406,[1]Dcu!$B$3:$E$510,4,0)</f>
        <v>90000</v>
      </c>
      <c r="H406" s="56">
        <f t="shared" si="17"/>
        <v>692.30769230769226</v>
      </c>
    </row>
    <row r="407" spans="1:8" ht="22.5" customHeight="1">
      <c r="A407" s="174"/>
      <c r="B407" s="93">
        <v>9</v>
      </c>
      <c r="C407" s="7" t="s">
        <v>21</v>
      </c>
      <c r="D407" s="3" t="s">
        <v>48</v>
      </c>
      <c r="E407" s="290">
        <f>VLOOKUP(C407,[1]Dcu!$B$3:$D$510,3,0)</f>
        <v>6</v>
      </c>
      <c r="F407" s="30">
        <v>1.2</v>
      </c>
      <c r="G407" s="288">
        <f>VLOOKUP(C407,[1]Dcu!$B$3:$E$510,4,0)</f>
        <v>180000</v>
      </c>
      <c r="H407" s="56">
        <f t="shared" si="17"/>
        <v>1384.6153846153845</v>
      </c>
    </row>
    <row r="408" spans="1:8" ht="22.5" customHeight="1">
      <c r="A408" s="174"/>
      <c r="B408" s="93">
        <v>10</v>
      </c>
      <c r="C408" s="7" t="s">
        <v>55</v>
      </c>
      <c r="D408" s="3" t="s">
        <v>48</v>
      </c>
      <c r="E408" s="290">
        <f>VLOOKUP(C408,[1]Dcu!$B$3:$D$510,3,0)</f>
        <v>6</v>
      </c>
      <c r="F408" s="30">
        <v>1.2</v>
      </c>
      <c r="G408" s="288">
        <f>VLOOKUP(C408,[1]Dcu!$B$3:$E$510,4,0)</f>
        <v>450000</v>
      </c>
      <c r="H408" s="56">
        <f t="shared" si="17"/>
        <v>3461.5384615384614</v>
      </c>
    </row>
    <row r="409" spans="1:8" ht="22.5" customHeight="1">
      <c r="A409" s="174"/>
      <c r="B409" s="93">
        <v>11</v>
      </c>
      <c r="C409" s="7" t="s">
        <v>22</v>
      </c>
      <c r="D409" s="3" t="s">
        <v>48</v>
      </c>
      <c r="E409" s="290">
        <f>VLOOKUP(C409,[1]Dcu!$B$3:$D$510,3,0)</f>
        <v>6</v>
      </c>
      <c r="F409" s="30">
        <v>1.2</v>
      </c>
      <c r="G409" s="288">
        <f>VLOOKUP(C409,[1]Dcu!$B$3:$E$510,4,0)</f>
        <v>700000</v>
      </c>
      <c r="H409" s="56">
        <f t="shared" si="17"/>
        <v>5384.6153846153848</v>
      </c>
    </row>
    <row r="410" spans="1:8" ht="22.5" customHeight="1">
      <c r="A410" s="174"/>
      <c r="B410" s="93">
        <v>12</v>
      </c>
      <c r="C410" s="7" t="s">
        <v>30</v>
      </c>
      <c r="D410" s="3" t="s">
        <v>48</v>
      </c>
      <c r="E410" s="290">
        <f>VLOOKUP(C410,[1]Dcu!$B$3:$D$510,3,0)</f>
        <v>6</v>
      </c>
      <c r="F410" s="30">
        <v>1.2</v>
      </c>
      <c r="G410" s="288">
        <f>VLOOKUP(C410,[1]Dcu!$B$3:$E$510,4,0)</f>
        <v>340000</v>
      </c>
      <c r="H410" s="56">
        <f t="shared" si="17"/>
        <v>2615.3846153846157</v>
      </c>
    </row>
    <row r="411" spans="1:8" ht="22.5" customHeight="1">
      <c r="A411" s="174"/>
      <c r="B411" s="93">
        <v>13</v>
      </c>
      <c r="C411" s="7" t="s">
        <v>31</v>
      </c>
      <c r="D411" s="3" t="s">
        <v>48</v>
      </c>
      <c r="E411" s="290">
        <f>VLOOKUP(C411,[1]Dcu!$B$3:$D$510,3,0)</f>
        <v>6</v>
      </c>
      <c r="F411" s="30">
        <v>1.2</v>
      </c>
      <c r="G411" s="288">
        <f>VLOOKUP(C411,[1]Dcu!$B$3:$E$510,4,0)</f>
        <v>700000</v>
      </c>
      <c r="H411" s="56">
        <f t="shared" si="17"/>
        <v>5384.6153846153848</v>
      </c>
    </row>
    <row r="412" spans="1:8" ht="22.5" customHeight="1">
      <c r="A412" s="174"/>
      <c r="B412" s="93">
        <v>14</v>
      </c>
      <c r="C412" s="7" t="s">
        <v>56</v>
      </c>
      <c r="D412" s="3" t="s">
        <v>48</v>
      </c>
      <c r="E412" s="290">
        <f>VLOOKUP(C412,[1]Dcu!$B$3:$D$510,3,0)</f>
        <v>6</v>
      </c>
      <c r="F412" s="30">
        <v>1.2</v>
      </c>
      <c r="G412" s="288">
        <f>VLOOKUP(C412,[1]Dcu!$B$3:$E$510,4,0)</f>
        <v>60000</v>
      </c>
      <c r="H412" s="56">
        <f t="shared" si="17"/>
        <v>461.53846153846155</v>
      </c>
    </row>
    <row r="413" spans="1:8" ht="22.5" customHeight="1">
      <c r="A413" s="174"/>
      <c r="B413" s="93">
        <v>15</v>
      </c>
      <c r="C413" s="132" t="s">
        <v>396</v>
      </c>
      <c r="D413" s="3" t="s">
        <v>48</v>
      </c>
      <c r="E413" s="290">
        <f>VLOOKUP(C413,[1]Dcu!$B$3:$D$510,3,0)</f>
        <v>12</v>
      </c>
      <c r="F413" s="30">
        <v>1.2</v>
      </c>
      <c r="G413" s="288">
        <f>VLOOKUP(C413,[1]Dcu!$B$3:$E$510,4,0)</f>
        <v>30000</v>
      </c>
      <c r="H413" s="56">
        <f t="shared" si="17"/>
        <v>115.38461538461539</v>
      </c>
    </row>
    <row r="414" spans="1:8" ht="22.5" customHeight="1">
      <c r="A414" s="174"/>
      <c r="B414" s="93">
        <v>17</v>
      </c>
      <c r="C414" s="200" t="s">
        <v>388</v>
      </c>
      <c r="D414" s="34" t="s">
        <v>86</v>
      </c>
      <c r="E414" s="290">
        <f>VLOOKUP(C414,[1]Dcu!$B$3:$D$510,3,0)</f>
        <v>0.3</v>
      </c>
      <c r="F414" s="161">
        <v>0.02</v>
      </c>
      <c r="G414" s="288">
        <f>VLOOKUP(C414,[1]Dcu!$B$3:$E$510,4,0)</f>
        <v>400000</v>
      </c>
      <c r="H414" s="56">
        <f t="shared" si="17"/>
        <v>1025.6410256410256</v>
      </c>
    </row>
    <row r="415" spans="1:8" ht="22.5" customHeight="1">
      <c r="A415" s="174"/>
      <c r="B415" s="93">
        <v>18</v>
      </c>
      <c r="C415" s="7" t="s">
        <v>33</v>
      </c>
      <c r="D415" s="34" t="s">
        <v>86</v>
      </c>
      <c r="E415" s="290">
        <f>VLOOKUP(C415,[1]Dcu!$B$3:$D$510,3,0)</f>
        <v>0.3</v>
      </c>
      <c r="F415" s="161">
        <v>0.02</v>
      </c>
      <c r="G415" s="288">
        <f>VLOOKUP(C415,[1]Dcu!$B$3:$E$510,4,0)</f>
        <v>380000</v>
      </c>
      <c r="H415" s="56">
        <f t="shared" si="17"/>
        <v>974.35897435897436</v>
      </c>
    </row>
    <row r="416" spans="1:8" ht="22.5" customHeight="1">
      <c r="A416" s="174"/>
      <c r="B416" s="93">
        <v>19</v>
      </c>
      <c r="C416" s="7" t="s">
        <v>58</v>
      </c>
      <c r="D416" s="3" t="s">
        <v>48</v>
      </c>
      <c r="E416" s="290">
        <f>VLOOKUP(C416,[1]Dcu!$B$3:$D$510,3,0)</f>
        <v>6</v>
      </c>
      <c r="F416" s="30">
        <v>1.2</v>
      </c>
      <c r="G416" s="288">
        <f>VLOOKUP(C416,[1]Dcu!$B$3:$E$510,4,0)</f>
        <v>1600000</v>
      </c>
      <c r="H416" s="56">
        <f t="shared" si="17"/>
        <v>12307.692307692307</v>
      </c>
    </row>
    <row r="417" spans="1:8" ht="22.5" customHeight="1">
      <c r="A417" s="174"/>
      <c r="B417" s="93">
        <v>20</v>
      </c>
      <c r="C417" s="7" t="s">
        <v>34</v>
      </c>
      <c r="D417" s="3" t="s">
        <v>48</v>
      </c>
      <c r="E417" s="290">
        <f>VLOOKUP(C417,[1]Dcu!$B$3:$D$510,3,0)</f>
        <v>36</v>
      </c>
      <c r="F417" s="30">
        <v>0.4</v>
      </c>
      <c r="G417" s="288">
        <f>VLOOKUP(C417,[1]Dcu!$B$3:$E$510,4,0)</f>
        <v>500000</v>
      </c>
      <c r="H417" s="56">
        <f t="shared" si="17"/>
        <v>213.67521367521368</v>
      </c>
    </row>
    <row r="418" spans="1:8" ht="22.5" customHeight="1">
      <c r="A418" s="174"/>
      <c r="B418" s="93">
        <v>21</v>
      </c>
      <c r="C418" s="7" t="s">
        <v>35</v>
      </c>
      <c r="D418" s="3" t="s">
        <v>48</v>
      </c>
      <c r="E418" s="290">
        <f>VLOOKUP(C418,[1]Dcu!$B$3:$D$510,3,0)</f>
        <v>36</v>
      </c>
      <c r="F418" s="30">
        <v>0.4</v>
      </c>
      <c r="G418" s="288">
        <f>VLOOKUP(C418,[1]Dcu!$B$3:$E$510,4,0)</f>
        <v>250000</v>
      </c>
      <c r="H418" s="56">
        <f t="shared" si="17"/>
        <v>106.83760683760684</v>
      </c>
    </row>
    <row r="419" spans="1:8" ht="22.5" customHeight="1">
      <c r="A419" s="174"/>
      <c r="B419" s="93">
        <v>22</v>
      </c>
      <c r="C419" s="7" t="s">
        <v>36</v>
      </c>
      <c r="D419" s="3" t="s">
        <v>48</v>
      </c>
      <c r="E419" s="290">
        <f>VLOOKUP(C419,[1]Dcu!$B$3:$D$510,3,0)</f>
        <v>60</v>
      </c>
      <c r="F419" s="30">
        <v>1.9E-2</v>
      </c>
      <c r="G419" s="288">
        <f>VLOOKUP(C419,[1]Dcu!$B$3:$E$510,4,0)</f>
        <v>1600000</v>
      </c>
      <c r="H419" s="56">
        <f t="shared" si="17"/>
        <v>19.487179487179485</v>
      </c>
    </row>
    <row r="420" spans="1:8" ht="22.5" customHeight="1">
      <c r="A420" s="174"/>
      <c r="B420" s="93">
        <v>23</v>
      </c>
      <c r="C420" s="7" t="s">
        <v>37</v>
      </c>
      <c r="D420" s="3" t="s">
        <v>48</v>
      </c>
      <c r="E420" s="290">
        <f>VLOOKUP(C420,[1]Dcu!$B$3:$D$510,3,0)</f>
        <v>36</v>
      </c>
      <c r="F420" s="30">
        <v>0.15</v>
      </c>
      <c r="G420" s="288">
        <f>VLOOKUP(C420,[1]Dcu!$B$3:$E$510,4,0)</f>
        <v>1500000</v>
      </c>
      <c r="H420" s="56">
        <f t="shared" si="17"/>
        <v>240.38461538461536</v>
      </c>
    </row>
    <row r="421" spans="1:8" ht="22.5" customHeight="1">
      <c r="A421" s="174"/>
      <c r="B421" s="93">
        <v>25</v>
      </c>
      <c r="C421" s="7" t="s">
        <v>38</v>
      </c>
      <c r="D421" s="3" t="s">
        <v>39</v>
      </c>
      <c r="E421" s="290">
        <f>VLOOKUP(C421,[1]Dcu!$B$3:$D$510,3,0)</f>
        <v>24</v>
      </c>
      <c r="F421" s="30">
        <v>1.6</v>
      </c>
      <c r="G421" s="288">
        <f>VLOOKUP(C421,[1]Dcu!$B$3:$E$510,4,0)</f>
        <v>40000</v>
      </c>
      <c r="H421" s="56">
        <f t="shared" si="17"/>
        <v>102.56410256410257</v>
      </c>
    </row>
    <row r="422" spans="1:8" ht="22.5" customHeight="1">
      <c r="A422" s="174"/>
      <c r="B422" s="93">
        <v>26</v>
      </c>
      <c r="C422" s="7" t="s">
        <v>40</v>
      </c>
      <c r="D422" s="3" t="s">
        <v>48</v>
      </c>
      <c r="E422" s="290">
        <f>VLOOKUP(C422,[1]Dcu!$B$3:$D$510,3,0)</f>
        <v>72</v>
      </c>
      <c r="F422" s="30">
        <v>0.08</v>
      </c>
      <c r="G422" s="288">
        <f>VLOOKUP(C422,[1]Dcu!$B$3:$E$510,4,0)</f>
        <v>1000000</v>
      </c>
      <c r="H422" s="56">
        <f t="shared" si="17"/>
        <v>42.735042735042732</v>
      </c>
    </row>
    <row r="423" spans="1:8" ht="22.5" customHeight="1">
      <c r="A423" s="174"/>
      <c r="B423" s="93">
        <v>27</v>
      </c>
      <c r="C423" s="7" t="s">
        <v>41</v>
      </c>
      <c r="D423" s="3" t="s">
        <v>48</v>
      </c>
      <c r="E423" s="290">
        <f>VLOOKUP(C423,[1]Dcu!$B$3:$D$510,3,0)</f>
        <v>72</v>
      </c>
      <c r="F423" s="30">
        <v>1.2</v>
      </c>
      <c r="G423" s="288">
        <f>VLOOKUP(C423,[1]Dcu!$B$3:$E$510,4,0)</f>
        <v>300000</v>
      </c>
      <c r="H423" s="56">
        <f t="shared" si="17"/>
        <v>192.30769230769229</v>
      </c>
    </row>
    <row r="424" spans="1:8" ht="22.5" customHeight="1">
      <c r="A424" s="174"/>
      <c r="B424" s="93">
        <v>28</v>
      </c>
      <c r="C424" s="7" t="s">
        <v>42</v>
      </c>
      <c r="D424" s="3" t="s">
        <v>48</v>
      </c>
      <c r="E424" s="290">
        <f>VLOOKUP(C424,[1]Dcu!$B$3:$D$510,3,0)</f>
        <v>72</v>
      </c>
      <c r="F424" s="30">
        <v>1.2</v>
      </c>
      <c r="G424" s="288">
        <f>VLOOKUP(C424,[1]Dcu!$B$3:$E$510,4,0)</f>
        <v>80000</v>
      </c>
      <c r="H424" s="56">
        <f t="shared" si="17"/>
        <v>51.282051282051277</v>
      </c>
    </row>
    <row r="425" spans="1:8" ht="22.5" customHeight="1">
      <c r="A425" s="174"/>
      <c r="B425" s="93">
        <v>29</v>
      </c>
      <c r="C425" s="7" t="s">
        <v>43</v>
      </c>
      <c r="D425" s="3" t="s">
        <v>59</v>
      </c>
      <c r="E425" s="3"/>
      <c r="F425" s="30">
        <v>2.3210000000000002</v>
      </c>
      <c r="G425" s="288">
        <f>VLOOKUP(C425,[1]Dcu!$B$3:$E$510,4,0)</f>
        <v>1838</v>
      </c>
      <c r="H425" s="56">
        <f>G425*F425</f>
        <v>4265.9980000000005</v>
      </c>
    </row>
    <row r="426" spans="1:8" ht="22.5" customHeight="1">
      <c r="A426" s="174">
        <v>19</v>
      </c>
      <c r="B426" s="172" t="s">
        <v>319</v>
      </c>
      <c r="C426" s="413" t="s">
        <v>356</v>
      </c>
      <c r="D426" s="413"/>
      <c r="E426" s="413"/>
      <c r="F426" s="410" t="s">
        <v>154</v>
      </c>
      <c r="G426" s="410"/>
      <c r="H426" s="196">
        <f>H398</f>
        <v>230197.58347008549</v>
      </c>
    </row>
    <row r="427" spans="1:8" ht="21.75" customHeight="1">
      <c r="A427" s="174">
        <v>20</v>
      </c>
      <c r="B427" s="172" t="s">
        <v>320</v>
      </c>
      <c r="C427" s="413" t="s">
        <v>357</v>
      </c>
      <c r="D427" s="413"/>
      <c r="E427" s="413"/>
      <c r="F427" s="410" t="s">
        <v>154</v>
      </c>
      <c r="G427" s="410"/>
      <c r="H427" s="196">
        <f>H398</f>
        <v>230197.58347008549</v>
      </c>
    </row>
    <row r="428" spans="1:8" s="16" customFormat="1" ht="22.5" customHeight="1">
      <c r="A428" s="174">
        <v>21</v>
      </c>
      <c r="B428" s="172" t="s">
        <v>321</v>
      </c>
      <c r="C428" s="413" t="s">
        <v>358</v>
      </c>
      <c r="D428" s="413"/>
      <c r="E428" s="413"/>
      <c r="F428" s="413"/>
      <c r="G428" s="55"/>
      <c r="H428" s="191">
        <f>SUM(H429:H454)*1.1+H455</f>
        <v>230197.58347008549</v>
      </c>
    </row>
    <row r="429" spans="1:8" ht="22.5" customHeight="1">
      <c r="A429" s="174"/>
      <c r="B429" s="93">
        <v>1</v>
      </c>
      <c r="C429" s="7" t="s">
        <v>14</v>
      </c>
      <c r="D429" s="3" t="s">
        <v>48</v>
      </c>
      <c r="E429" s="290">
        <f>VLOOKUP(C429,[1]Dcu!$B$3:$D$510,3,0)</f>
        <v>6</v>
      </c>
      <c r="F429" s="30">
        <v>1.2</v>
      </c>
      <c r="G429" s="288">
        <f>VLOOKUP(C429,[1]Dcu!$B$3:$E$510,4,0)</f>
        <v>100000</v>
      </c>
      <c r="H429" s="56">
        <f t="shared" si="17"/>
        <v>769.23076923076917</v>
      </c>
    </row>
    <row r="430" spans="1:8" ht="22.5" customHeight="1">
      <c r="A430" s="174"/>
      <c r="B430" s="93">
        <v>2</v>
      </c>
      <c r="C430" s="7" t="s">
        <v>49</v>
      </c>
      <c r="D430" s="3" t="s">
        <v>48</v>
      </c>
      <c r="E430" s="290">
        <f>VLOOKUP(C430,[1]Dcu!$B$3:$D$510,3,0)</f>
        <v>6</v>
      </c>
      <c r="F430" s="30">
        <v>1.2</v>
      </c>
      <c r="G430" s="288">
        <f>VLOOKUP(C430,[1]Dcu!$B$3:$E$510,4,0)</f>
        <v>1900000</v>
      </c>
      <c r="H430" s="56">
        <f t="shared" si="17"/>
        <v>14615.384615384615</v>
      </c>
    </row>
    <row r="431" spans="1:8" ht="22.5" customHeight="1">
      <c r="A431" s="174"/>
      <c r="B431" s="93">
        <v>3</v>
      </c>
      <c r="C431" s="7" t="s">
        <v>50</v>
      </c>
      <c r="D431" s="3" t="s">
        <v>48</v>
      </c>
      <c r="E431" s="290">
        <f>VLOOKUP(C431,[1]Dcu!$B$3:$D$510,3,0)</f>
        <v>12</v>
      </c>
      <c r="F431" s="30">
        <v>1.2</v>
      </c>
      <c r="G431" s="288">
        <f>VLOOKUP(C431,[1]Dcu!$B$3:$E$510,4,0)</f>
        <v>27000000</v>
      </c>
      <c r="H431" s="56">
        <f t="shared" si="17"/>
        <v>103846.15384615383</v>
      </c>
    </row>
    <row r="432" spans="1:8" ht="22.5" customHeight="1">
      <c r="A432" s="174"/>
      <c r="B432" s="93">
        <v>4</v>
      </c>
      <c r="C432" s="7" t="s">
        <v>51</v>
      </c>
      <c r="D432" s="3" t="s">
        <v>48</v>
      </c>
      <c r="E432" s="290">
        <f>VLOOKUP(C432,[1]Dcu!$B$3:$D$510,3,0)</f>
        <v>6</v>
      </c>
      <c r="F432" s="30">
        <v>1.2</v>
      </c>
      <c r="G432" s="288">
        <f>VLOOKUP(C432,[1]Dcu!$B$3:$E$510,4,0)</f>
        <v>1350000</v>
      </c>
      <c r="H432" s="56">
        <f t="shared" si="17"/>
        <v>10384.615384615385</v>
      </c>
    </row>
    <row r="433" spans="1:8" ht="22.5" customHeight="1">
      <c r="A433" s="174"/>
      <c r="B433" s="93">
        <v>5</v>
      </c>
      <c r="C433" s="7" t="s">
        <v>52</v>
      </c>
      <c r="D433" s="3" t="s">
        <v>48</v>
      </c>
      <c r="E433" s="290">
        <f>VLOOKUP(C433,[1]Dcu!$B$3:$D$510,3,0)</f>
        <v>6</v>
      </c>
      <c r="F433" s="30">
        <v>1.2</v>
      </c>
      <c r="G433" s="288">
        <f>VLOOKUP(C433,[1]Dcu!$B$3:$E$510,4,0)</f>
        <v>1750000</v>
      </c>
      <c r="H433" s="56">
        <f t="shared" si="17"/>
        <v>13461.538461538463</v>
      </c>
    </row>
    <row r="434" spans="1:8" ht="22.5" customHeight="1">
      <c r="A434" s="174"/>
      <c r="B434" s="93">
        <v>6</v>
      </c>
      <c r="C434" s="7" t="s">
        <v>53</v>
      </c>
      <c r="D434" s="3" t="s">
        <v>48</v>
      </c>
      <c r="E434" s="290">
        <f>VLOOKUP(C434,[1]Dcu!$B$3:$D$510,3,0)</f>
        <v>6</v>
      </c>
      <c r="F434" s="30">
        <v>1.2</v>
      </c>
      <c r="G434" s="288">
        <f>VLOOKUP(C434,[1]Dcu!$B$3:$E$510,4,0)</f>
        <v>80000</v>
      </c>
      <c r="H434" s="56">
        <f t="shared" si="17"/>
        <v>615.38461538461536</v>
      </c>
    </row>
    <row r="435" spans="1:8" ht="22.5" customHeight="1">
      <c r="A435" s="174"/>
      <c r="B435" s="93">
        <v>7</v>
      </c>
      <c r="C435" s="7" t="s">
        <v>54</v>
      </c>
      <c r="D435" s="3" t="s">
        <v>48</v>
      </c>
      <c r="E435" s="290">
        <f>VLOOKUP(C435,[1]Dcu!$B$3:$D$510,3,0)</f>
        <v>6</v>
      </c>
      <c r="F435" s="30">
        <v>1.2</v>
      </c>
      <c r="G435" s="288">
        <f>VLOOKUP(C435,[1]Dcu!$B$3:$E$510,4,0)</f>
        <v>3500000</v>
      </c>
      <c r="H435" s="56">
        <f t="shared" si="17"/>
        <v>26923.076923076926</v>
      </c>
    </row>
    <row r="436" spans="1:8" ht="22.5" customHeight="1">
      <c r="A436" s="174"/>
      <c r="B436" s="93">
        <v>8</v>
      </c>
      <c r="C436" s="7" t="s">
        <v>23</v>
      </c>
      <c r="D436" s="3" t="s">
        <v>48</v>
      </c>
      <c r="E436" s="290">
        <f>VLOOKUP(C436,[1]Dcu!$B$3:$D$510,3,0)</f>
        <v>6</v>
      </c>
      <c r="F436" s="30">
        <v>1.2</v>
      </c>
      <c r="G436" s="288">
        <f>VLOOKUP(C436,[1]Dcu!$B$3:$E$510,4,0)</f>
        <v>90000</v>
      </c>
      <c r="H436" s="56">
        <f t="shared" si="17"/>
        <v>692.30769230769226</v>
      </c>
    </row>
    <row r="437" spans="1:8" ht="22.5" customHeight="1">
      <c r="A437" s="174"/>
      <c r="B437" s="93">
        <v>9</v>
      </c>
      <c r="C437" s="7" t="s">
        <v>21</v>
      </c>
      <c r="D437" s="3" t="s">
        <v>48</v>
      </c>
      <c r="E437" s="290">
        <f>VLOOKUP(C437,[1]Dcu!$B$3:$D$510,3,0)</f>
        <v>6</v>
      </c>
      <c r="F437" s="30">
        <v>1.2</v>
      </c>
      <c r="G437" s="288">
        <f>VLOOKUP(C437,[1]Dcu!$B$3:$E$510,4,0)</f>
        <v>180000</v>
      </c>
      <c r="H437" s="56">
        <f t="shared" si="17"/>
        <v>1384.6153846153845</v>
      </c>
    </row>
    <row r="438" spans="1:8" ht="22.5" customHeight="1">
      <c r="A438" s="174"/>
      <c r="B438" s="93">
        <v>10</v>
      </c>
      <c r="C438" s="7" t="s">
        <v>55</v>
      </c>
      <c r="D438" s="3" t="s">
        <v>48</v>
      </c>
      <c r="E438" s="290">
        <f>VLOOKUP(C438,[1]Dcu!$B$3:$D$510,3,0)</f>
        <v>6</v>
      </c>
      <c r="F438" s="30">
        <v>1.2</v>
      </c>
      <c r="G438" s="288">
        <f>VLOOKUP(C438,[1]Dcu!$B$3:$E$510,4,0)</f>
        <v>450000</v>
      </c>
      <c r="H438" s="56">
        <f t="shared" si="17"/>
        <v>3461.5384615384614</v>
      </c>
    </row>
    <row r="439" spans="1:8" ht="22.5" customHeight="1">
      <c r="A439" s="174"/>
      <c r="B439" s="93">
        <v>11</v>
      </c>
      <c r="C439" s="7" t="s">
        <v>22</v>
      </c>
      <c r="D439" s="3" t="s">
        <v>48</v>
      </c>
      <c r="E439" s="290">
        <f>VLOOKUP(C439,[1]Dcu!$B$3:$D$510,3,0)</f>
        <v>6</v>
      </c>
      <c r="F439" s="30">
        <v>1.2</v>
      </c>
      <c r="G439" s="288">
        <f>VLOOKUP(C439,[1]Dcu!$B$3:$E$510,4,0)</f>
        <v>700000</v>
      </c>
      <c r="H439" s="56">
        <f t="shared" si="17"/>
        <v>5384.6153846153848</v>
      </c>
    </row>
    <row r="440" spans="1:8" ht="22.5" customHeight="1">
      <c r="A440" s="174"/>
      <c r="B440" s="93">
        <v>12</v>
      </c>
      <c r="C440" s="7" t="s">
        <v>30</v>
      </c>
      <c r="D440" s="3" t="s">
        <v>48</v>
      </c>
      <c r="E440" s="290">
        <f>VLOOKUP(C440,[1]Dcu!$B$3:$D$510,3,0)</f>
        <v>6</v>
      </c>
      <c r="F440" s="30">
        <v>1.2</v>
      </c>
      <c r="G440" s="288">
        <f>VLOOKUP(C440,[1]Dcu!$B$3:$E$510,4,0)</f>
        <v>340000</v>
      </c>
      <c r="H440" s="56">
        <f t="shared" si="17"/>
        <v>2615.3846153846157</v>
      </c>
    </row>
    <row r="441" spans="1:8" ht="22.5" customHeight="1">
      <c r="A441" s="174"/>
      <c r="B441" s="93">
        <v>13</v>
      </c>
      <c r="C441" s="7" t="s">
        <v>31</v>
      </c>
      <c r="D441" s="3" t="s">
        <v>48</v>
      </c>
      <c r="E441" s="290">
        <f>VLOOKUP(C441,[1]Dcu!$B$3:$D$510,3,0)</f>
        <v>6</v>
      </c>
      <c r="F441" s="30">
        <v>1.2</v>
      </c>
      <c r="G441" s="288">
        <f>VLOOKUP(C441,[1]Dcu!$B$3:$E$510,4,0)</f>
        <v>700000</v>
      </c>
      <c r="H441" s="56">
        <f t="shared" si="17"/>
        <v>5384.6153846153848</v>
      </c>
    </row>
    <row r="442" spans="1:8" ht="22.5" customHeight="1">
      <c r="A442" s="174"/>
      <c r="B442" s="93">
        <v>14</v>
      </c>
      <c r="C442" s="7" t="s">
        <v>56</v>
      </c>
      <c r="D442" s="3" t="s">
        <v>48</v>
      </c>
      <c r="E442" s="290">
        <f>VLOOKUP(C442,[1]Dcu!$B$3:$D$510,3,0)</f>
        <v>6</v>
      </c>
      <c r="F442" s="30">
        <v>1.2</v>
      </c>
      <c r="G442" s="288">
        <f>VLOOKUP(C442,[1]Dcu!$B$3:$E$510,4,0)</f>
        <v>60000</v>
      </c>
      <c r="H442" s="56">
        <f t="shared" si="17"/>
        <v>461.53846153846155</v>
      </c>
    </row>
    <row r="443" spans="1:8" ht="22.5" customHeight="1">
      <c r="A443" s="174"/>
      <c r="B443" s="93">
        <v>15</v>
      </c>
      <c r="C443" s="132" t="s">
        <v>396</v>
      </c>
      <c r="D443" s="3" t="s">
        <v>48</v>
      </c>
      <c r="E443" s="290">
        <f>VLOOKUP(C443,[1]Dcu!$B$3:$D$510,3,0)</f>
        <v>12</v>
      </c>
      <c r="F443" s="30">
        <v>1.2</v>
      </c>
      <c r="G443" s="288">
        <f>VLOOKUP(C443,[1]Dcu!$B$3:$E$510,4,0)</f>
        <v>30000</v>
      </c>
      <c r="H443" s="56">
        <f t="shared" si="17"/>
        <v>115.38461538461539</v>
      </c>
    </row>
    <row r="444" spans="1:8" ht="22.5" customHeight="1">
      <c r="A444" s="174"/>
      <c r="B444" s="93">
        <v>17</v>
      </c>
      <c r="C444" s="200" t="s">
        <v>388</v>
      </c>
      <c r="D444" s="34" t="s">
        <v>86</v>
      </c>
      <c r="E444" s="290">
        <f>VLOOKUP(C444,[1]Dcu!$B$3:$D$510,3,0)</f>
        <v>0.3</v>
      </c>
      <c r="F444" s="161">
        <v>0.02</v>
      </c>
      <c r="G444" s="288">
        <f>VLOOKUP(C444,[1]Dcu!$B$3:$E$510,4,0)</f>
        <v>400000</v>
      </c>
      <c r="H444" s="56">
        <f t="shared" si="17"/>
        <v>1025.6410256410256</v>
      </c>
    </row>
    <row r="445" spans="1:8" ht="22.5" customHeight="1">
      <c r="A445" s="174"/>
      <c r="B445" s="93">
        <v>18</v>
      </c>
      <c r="C445" s="7" t="s">
        <v>33</v>
      </c>
      <c r="D445" s="34" t="s">
        <v>86</v>
      </c>
      <c r="E445" s="290">
        <f>VLOOKUP(C445,[1]Dcu!$B$3:$D$510,3,0)</f>
        <v>0.3</v>
      </c>
      <c r="F445" s="161">
        <v>0.02</v>
      </c>
      <c r="G445" s="288">
        <f>VLOOKUP(C445,[1]Dcu!$B$3:$E$510,4,0)</f>
        <v>380000</v>
      </c>
      <c r="H445" s="56">
        <f t="shared" si="17"/>
        <v>974.35897435897436</v>
      </c>
    </row>
    <row r="446" spans="1:8" ht="22.5" customHeight="1">
      <c r="A446" s="174"/>
      <c r="B446" s="93">
        <v>19</v>
      </c>
      <c r="C446" s="7" t="s">
        <v>58</v>
      </c>
      <c r="D446" s="3" t="s">
        <v>48</v>
      </c>
      <c r="E446" s="290">
        <f>VLOOKUP(C446,[1]Dcu!$B$3:$D$510,3,0)</f>
        <v>6</v>
      </c>
      <c r="F446" s="30">
        <v>1.2</v>
      </c>
      <c r="G446" s="288">
        <f>VLOOKUP(C446,[1]Dcu!$B$3:$E$510,4,0)</f>
        <v>1600000</v>
      </c>
      <c r="H446" s="56">
        <f t="shared" si="17"/>
        <v>12307.692307692307</v>
      </c>
    </row>
    <row r="447" spans="1:8" ht="22.5" customHeight="1">
      <c r="A447" s="174"/>
      <c r="B447" s="93">
        <v>20</v>
      </c>
      <c r="C447" s="7" t="s">
        <v>34</v>
      </c>
      <c r="D447" s="3" t="s">
        <v>48</v>
      </c>
      <c r="E447" s="290">
        <f>VLOOKUP(C447,[1]Dcu!$B$3:$D$510,3,0)</f>
        <v>36</v>
      </c>
      <c r="F447" s="30">
        <v>0.4</v>
      </c>
      <c r="G447" s="288">
        <f>VLOOKUP(C447,[1]Dcu!$B$3:$E$510,4,0)</f>
        <v>500000</v>
      </c>
      <c r="H447" s="56">
        <f t="shared" si="17"/>
        <v>213.67521367521368</v>
      </c>
    </row>
    <row r="448" spans="1:8" ht="22.5" customHeight="1">
      <c r="A448" s="174"/>
      <c r="B448" s="93">
        <v>21</v>
      </c>
      <c r="C448" s="7" t="s">
        <v>35</v>
      </c>
      <c r="D448" s="3" t="s">
        <v>48</v>
      </c>
      <c r="E448" s="290">
        <f>VLOOKUP(C448,[1]Dcu!$B$3:$D$510,3,0)</f>
        <v>36</v>
      </c>
      <c r="F448" s="30">
        <v>0.4</v>
      </c>
      <c r="G448" s="288">
        <f>VLOOKUP(C448,[1]Dcu!$B$3:$E$510,4,0)</f>
        <v>250000</v>
      </c>
      <c r="H448" s="56">
        <f t="shared" si="17"/>
        <v>106.83760683760684</v>
      </c>
    </row>
    <row r="449" spans="1:8" ht="22.5" customHeight="1">
      <c r="A449" s="174"/>
      <c r="B449" s="93">
        <v>22</v>
      </c>
      <c r="C449" s="7" t="s">
        <v>36</v>
      </c>
      <c r="D449" s="3" t="s">
        <v>48</v>
      </c>
      <c r="E449" s="290">
        <f>VLOOKUP(C449,[1]Dcu!$B$3:$D$510,3,0)</f>
        <v>60</v>
      </c>
      <c r="F449" s="30">
        <v>1.9E-2</v>
      </c>
      <c r="G449" s="288">
        <f>VLOOKUP(C449,[1]Dcu!$B$3:$E$510,4,0)</f>
        <v>1600000</v>
      </c>
      <c r="H449" s="56">
        <f t="shared" si="17"/>
        <v>19.487179487179485</v>
      </c>
    </row>
    <row r="450" spans="1:8" ht="22.5" customHeight="1">
      <c r="A450" s="174"/>
      <c r="B450" s="93">
        <v>23</v>
      </c>
      <c r="C450" s="7" t="s">
        <v>37</v>
      </c>
      <c r="D450" s="3" t="s">
        <v>48</v>
      </c>
      <c r="E450" s="290">
        <f>VLOOKUP(C450,[1]Dcu!$B$3:$D$510,3,0)</f>
        <v>36</v>
      </c>
      <c r="F450" s="30">
        <v>0.15</v>
      </c>
      <c r="G450" s="288">
        <f>VLOOKUP(C450,[1]Dcu!$B$3:$E$510,4,0)</f>
        <v>1500000</v>
      </c>
      <c r="H450" s="56">
        <f t="shared" si="17"/>
        <v>240.38461538461536</v>
      </c>
    </row>
    <row r="451" spans="1:8" ht="22.5" customHeight="1">
      <c r="A451" s="174"/>
      <c r="B451" s="93">
        <v>25</v>
      </c>
      <c r="C451" s="7" t="s">
        <v>38</v>
      </c>
      <c r="D451" s="3" t="s">
        <v>39</v>
      </c>
      <c r="E451" s="290">
        <f>VLOOKUP(C451,[1]Dcu!$B$3:$D$510,3,0)</f>
        <v>24</v>
      </c>
      <c r="F451" s="30">
        <v>1.6</v>
      </c>
      <c r="G451" s="288">
        <f>VLOOKUP(C451,[1]Dcu!$B$3:$E$510,4,0)</f>
        <v>40000</v>
      </c>
      <c r="H451" s="56">
        <f t="shared" si="17"/>
        <v>102.56410256410257</v>
      </c>
    </row>
    <row r="452" spans="1:8" ht="22.5" customHeight="1">
      <c r="A452" s="174"/>
      <c r="B452" s="93">
        <v>26</v>
      </c>
      <c r="C452" s="7" t="s">
        <v>40</v>
      </c>
      <c r="D452" s="3" t="s">
        <v>48</v>
      </c>
      <c r="E452" s="290">
        <f>VLOOKUP(C452,[1]Dcu!$B$3:$D$510,3,0)</f>
        <v>72</v>
      </c>
      <c r="F452" s="30">
        <v>0.08</v>
      </c>
      <c r="G452" s="288">
        <f>VLOOKUP(C452,[1]Dcu!$B$3:$E$510,4,0)</f>
        <v>1000000</v>
      </c>
      <c r="H452" s="56">
        <f t="shared" si="17"/>
        <v>42.735042735042732</v>
      </c>
    </row>
    <row r="453" spans="1:8" ht="22.5" customHeight="1">
      <c r="A453" s="174"/>
      <c r="B453" s="93">
        <v>27</v>
      </c>
      <c r="C453" s="7" t="s">
        <v>41</v>
      </c>
      <c r="D453" s="3" t="s">
        <v>48</v>
      </c>
      <c r="E453" s="290">
        <f>VLOOKUP(C453,[1]Dcu!$B$3:$D$510,3,0)</f>
        <v>72</v>
      </c>
      <c r="F453" s="30">
        <v>1.2</v>
      </c>
      <c r="G453" s="288">
        <f>VLOOKUP(C453,[1]Dcu!$B$3:$E$510,4,0)</f>
        <v>300000</v>
      </c>
      <c r="H453" s="56">
        <f t="shared" si="17"/>
        <v>192.30769230769229</v>
      </c>
    </row>
    <row r="454" spans="1:8" ht="22.5" customHeight="1">
      <c r="A454" s="174"/>
      <c r="B454" s="93">
        <v>28</v>
      </c>
      <c r="C454" s="7" t="s">
        <v>42</v>
      </c>
      <c r="D454" s="3" t="s">
        <v>48</v>
      </c>
      <c r="E454" s="290">
        <f>VLOOKUP(C454,[1]Dcu!$B$3:$D$510,3,0)</f>
        <v>72</v>
      </c>
      <c r="F454" s="30">
        <v>1.2</v>
      </c>
      <c r="G454" s="288">
        <f>VLOOKUP(C454,[1]Dcu!$B$3:$E$510,4,0)</f>
        <v>80000</v>
      </c>
      <c r="H454" s="56">
        <f t="shared" si="17"/>
        <v>51.282051282051277</v>
      </c>
    </row>
    <row r="455" spans="1:8" ht="22.5" customHeight="1">
      <c r="A455" s="174"/>
      <c r="B455" s="93">
        <v>29</v>
      </c>
      <c r="C455" s="7" t="s">
        <v>43</v>
      </c>
      <c r="D455" s="3" t="s">
        <v>59</v>
      </c>
      <c r="E455" s="3"/>
      <c r="F455" s="30">
        <v>2.3210000000000002</v>
      </c>
      <c r="G455" s="288">
        <f>VLOOKUP(C455,[1]Dcu!$B$3:$E$510,4,0)</f>
        <v>1838</v>
      </c>
      <c r="H455" s="56">
        <f>G455*F455</f>
        <v>4265.9980000000005</v>
      </c>
    </row>
    <row r="456" spans="1:8" ht="22.5" customHeight="1">
      <c r="A456" s="174">
        <v>22</v>
      </c>
      <c r="B456" s="174" t="s">
        <v>322</v>
      </c>
      <c r="C456" s="400" t="s">
        <v>359</v>
      </c>
      <c r="D456" s="400"/>
      <c r="E456" s="400"/>
      <c r="F456" s="400"/>
      <c r="G456" s="55"/>
      <c r="H456" s="191">
        <f>SUM(H457:H482)*1.1+H483</f>
        <v>230197.58347008549</v>
      </c>
    </row>
    <row r="457" spans="1:8" ht="22.5" customHeight="1">
      <c r="A457" s="174"/>
      <c r="B457" s="93">
        <v>1</v>
      </c>
      <c r="C457" s="7" t="s">
        <v>14</v>
      </c>
      <c r="D457" s="3" t="s">
        <v>48</v>
      </c>
      <c r="E457" s="290">
        <f>VLOOKUP(C457,[1]Dcu!$B$3:$D$510,3,0)</f>
        <v>6</v>
      </c>
      <c r="F457" s="30">
        <v>1.2</v>
      </c>
      <c r="G457" s="288">
        <f>VLOOKUP(C457,[1]Dcu!$B$3:$E$510,4,0)</f>
        <v>100000</v>
      </c>
      <c r="H457" s="56">
        <f t="shared" si="17"/>
        <v>769.23076923076917</v>
      </c>
    </row>
    <row r="458" spans="1:8" ht="22.5" customHeight="1">
      <c r="A458" s="174"/>
      <c r="B458" s="93">
        <v>2</v>
      </c>
      <c r="C458" s="7" t="s">
        <v>49</v>
      </c>
      <c r="D458" s="3" t="s">
        <v>48</v>
      </c>
      <c r="E458" s="290">
        <f>VLOOKUP(C458,[1]Dcu!$B$3:$D$510,3,0)</f>
        <v>6</v>
      </c>
      <c r="F458" s="30">
        <v>1.2</v>
      </c>
      <c r="G458" s="288">
        <f>VLOOKUP(C458,[1]Dcu!$B$3:$E$510,4,0)</f>
        <v>1900000</v>
      </c>
      <c r="H458" s="56">
        <f t="shared" si="17"/>
        <v>14615.384615384615</v>
      </c>
    </row>
    <row r="459" spans="1:8" ht="22.5" customHeight="1">
      <c r="A459" s="174"/>
      <c r="B459" s="93">
        <v>3</v>
      </c>
      <c r="C459" s="7" t="s">
        <v>50</v>
      </c>
      <c r="D459" s="3" t="s">
        <v>48</v>
      </c>
      <c r="E459" s="290">
        <f>VLOOKUP(C459,[1]Dcu!$B$3:$D$510,3,0)</f>
        <v>12</v>
      </c>
      <c r="F459" s="30">
        <v>1.2</v>
      </c>
      <c r="G459" s="288">
        <f>VLOOKUP(C459,[1]Dcu!$B$3:$E$510,4,0)</f>
        <v>27000000</v>
      </c>
      <c r="H459" s="56">
        <f t="shared" ref="H459:H482" si="18">G459/(E459*26)*F459</f>
        <v>103846.15384615383</v>
      </c>
    </row>
    <row r="460" spans="1:8" ht="22.5" customHeight="1">
      <c r="A460" s="174"/>
      <c r="B460" s="93">
        <v>4</v>
      </c>
      <c r="C460" s="7" t="s">
        <v>51</v>
      </c>
      <c r="D460" s="3" t="s">
        <v>48</v>
      </c>
      <c r="E460" s="290">
        <f>VLOOKUP(C460,[1]Dcu!$B$3:$D$510,3,0)</f>
        <v>6</v>
      </c>
      <c r="F460" s="30">
        <v>1.2</v>
      </c>
      <c r="G460" s="288">
        <f>VLOOKUP(C460,[1]Dcu!$B$3:$E$510,4,0)</f>
        <v>1350000</v>
      </c>
      <c r="H460" s="56">
        <f t="shared" si="18"/>
        <v>10384.615384615385</v>
      </c>
    </row>
    <row r="461" spans="1:8" ht="22.5" customHeight="1">
      <c r="A461" s="174"/>
      <c r="B461" s="93">
        <v>5</v>
      </c>
      <c r="C461" s="7" t="s">
        <v>52</v>
      </c>
      <c r="D461" s="3" t="s">
        <v>48</v>
      </c>
      <c r="E461" s="290">
        <f>VLOOKUP(C461,[1]Dcu!$B$3:$D$510,3,0)</f>
        <v>6</v>
      </c>
      <c r="F461" s="30">
        <v>1.2</v>
      </c>
      <c r="G461" s="288">
        <f>VLOOKUP(C461,[1]Dcu!$B$3:$E$510,4,0)</f>
        <v>1750000</v>
      </c>
      <c r="H461" s="56">
        <f t="shared" si="18"/>
        <v>13461.538461538463</v>
      </c>
    </row>
    <row r="462" spans="1:8" ht="22.5" customHeight="1">
      <c r="A462" s="174"/>
      <c r="B462" s="93">
        <v>6</v>
      </c>
      <c r="C462" s="7" t="s">
        <v>53</v>
      </c>
      <c r="D462" s="3" t="s">
        <v>48</v>
      </c>
      <c r="E462" s="290">
        <f>VLOOKUP(C462,[1]Dcu!$B$3:$D$510,3,0)</f>
        <v>6</v>
      </c>
      <c r="F462" s="30">
        <v>1.2</v>
      </c>
      <c r="G462" s="288">
        <f>VLOOKUP(C462,[1]Dcu!$B$3:$E$510,4,0)</f>
        <v>80000</v>
      </c>
      <c r="H462" s="56">
        <f t="shared" si="18"/>
        <v>615.38461538461536</v>
      </c>
    </row>
    <row r="463" spans="1:8" ht="22.5" customHeight="1">
      <c r="A463" s="174"/>
      <c r="B463" s="93">
        <v>7</v>
      </c>
      <c r="C463" s="7" t="s">
        <v>54</v>
      </c>
      <c r="D463" s="3" t="s">
        <v>48</v>
      </c>
      <c r="E463" s="290">
        <f>VLOOKUP(C463,[1]Dcu!$B$3:$D$510,3,0)</f>
        <v>6</v>
      </c>
      <c r="F463" s="30">
        <v>1.2</v>
      </c>
      <c r="G463" s="288">
        <f>VLOOKUP(C463,[1]Dcu!$B$3:$E$510,4,0)</f>
        <v>3500000</v>
      </c>
      <c r="H463" s="56">
        <f t="shared" si="18"/>
        <v>26923.076923076926</v>
      </c>
    </row>
    <row r="464" spans="1:8" ht="22.5" customHeight="1">
      <c r="A464" s="174"/>
      <c r="B464" s="93">
        <v>8</v>
      </c>
      <c r="C464" s="7" t="s">
        <v>23</v>
      </c>
      <c r="D464" s="3" t="s">
        <v>48</v>
      </c>
      <c r="E464" s="290">
        <f>VLOOKUP(C464,[1]Dcu!$B$3:$D$510,3,0)</f>
        <v>6</v>
      </c>
      <c r="F464" s="30">
        <v>1.2</v>
      </c>
      <c r="G464" s="288">
        <f>VLOOKUP(C464,[1]Dcu!$B$3:$E$510,4,0)</f>
        <v>90000</v>
      </c>
      <c r="H464" s="56">
        <f t="shared" si="18"/>
        <v>692.30769230769226</v>
      </c>
    </row>
    <row r="465" spans="1:8" ht="22.5" customHeight="1">
      <c r="A465" s="174"/>
      <c r="B465" s="93">
        <v>9</v>
      </c>
      <c r="C465" s="7" t="s">
        <v>21</v>
      </c>
      <c r="D465" s="3" t="s">
        <v>48</v>
      </c>
      <c r="E465" s="290">
        <f>VLOOKUP(C465,[1]Dcu!$B$3:$D$510,3,0)</f>
        <v>6</v>
      </c>
      <c r="F465" s="30">
        <v>1.2</v>
      </c>
      <c r="G465" s="288">
        <f>VLOOKUP(C465,[1]Dcu!$B$3:$E$510,4,0)</f>
        <v>180000</v>
      </c>
      <c r="H465" s="56">
        <f t="shared" si="18"/>
        <v>1384.6153846153845</v>
      </c>
    </row>
    <row r="466" spans="1:8" ht="22.5" customHeight="1">
      <c r="A466" s="174"/>
      <c r="B466" s="93">
        <v>10</v>
      </c>
      <c r="C466" s="7" t="s">
        <v>55</v>
      </c>
      <c r="D466" s="3" t="s">
        <v>48</v>
      </c>
      <c r="E466" s="290">
        <f>VLOOKUP(C466,[1]Dcu!$B$3:$D$510,3,0)</f>
        <v>6</v>
      </c>
      <c r="F466" s="30">
        <v>1.2</v>
      </c>
      <c r="G466" s="288">
        <f>VLOOKUP(C466,[1]Dcu!$B$3:$E$510,4,0)</f>
        <v>450000</v>
      </c>
      <c r="H466" s="56">
        <f t="shared" si="18"/>
        <v>3461.5384615384614</v>
      </c>
    </row>
    <row r="467" spans="1:8" ht="22.5" customHeight="1">
      <c r="A467" s="174"/>
      <c r="B467" s="93">
        <v>11</v>
      </c>
      <c r="C467" s="7" t="s">
        <v>22</v>
      </c>
      <c r="D467" s="3" t="s">
        <v>48</v>
      </c>
      <c r="E467" s="290">
        <f>VLOOKUP(C467,[1]Dcu!$B$3:$D$510,3,0)</f>
        <v>6</v>
      </c>
      <c r="F467" s="30">
        <v>1.2</v>
      </c>
      <c r="G467" s="288">
        <f>VLOOKUP(C467,[1]Dcu!$B$3:$E$510,4,0)</f>
        <v>700000</v>
      </c>
      <c r="H467" s="56">
        <f t="shared" si="18"/>
        <v>5384.6153846153848</v>
      </c>
    </row>
    <row r="468" spans="1:8" ht="22.5" customHeight="1">
      <c r="A468" s="174"/>
      <c r="B468" s="93">
        <v>12</v>
      </c>
      <c r="C468" s="7" t="s">
        <v>30</v>
      </c>
      <c r="D468" s="3" t="s">
        <v>48</v>
      </c>
      <c r="E468" s="290">
        <f>VLOOKUP(C468,[1]Dcu!$B$3:$D$510,3,0)</f>
        <v>6</v>
      </c>
      <c r="F468" s="30">
        <v>1.2</v>
      </c>
      <c r="G468" s="288">
        <f>VLOOKUP(C468,[1]Dcu!$B$3:$E$510,4,0)</f>
        <v>340000</v>
      </c>
      <c r="H468" s="56">
        <f t="shared" si="18"/>
        <v>2615.3846153846157</v>
      </c>
    </row>
    <row r="469" spans="1:8" ht="22.5" customHeight="1">
      <c r="A469" s="174"/>
      <c r="B469" s="93">
        <v>13</v>
      </c>
      <c r="C469" s="7" t="s">
        <v>31</v>
      </c>
      <c r="D469" s="3" t="s">
        <v>48</v>
      </c>
      <c r="E469" s="290">
        <f>VLOOKUP(C469,[1]Dcu!$B$3:$D$510,3,0)</f>
        <v>6</v>
      </c>
      <c r="F469" s="30">
        <v>1.2</v>
      </c>
      <c r="G469" s="288">
        <f>VLOOKUP(C469,[1]Dcu!$B$3:$E$510,4,0)</f>
        <v>700000</v>
      </c>
      <c r="H469" s="56">
        <f t="shared" si="18"/>
        <v>5384.6153846153848</v>
      </c>
    </row>
    <row r="470" spans="1:8" ht="22.5" customHeight="1">
      <c r="A470" s="174"/>
      <c r="B470" s="93">
        <v>14</v>
      </c>
      <c r="C470" s="7" t="s">
        <v>56</v>
      </c>
      <c r="D470" s="3" t="s">
        <v>48</v>
      </c>
      <c r="E470" s="290">
        <f>VLOOKUP(C470,[1]Dcu!$B$3:$D$510,3,0)</f>
        <v>6</v>
      </c>
      <c r="F470" s="30">
        <v>1.2</v>
      </c>
      <c r="G470" s="288">
        <f>VLOOKUP(C470,[1]Dcu!$B$3:$E$510,4,0)</f>
        <v>60000</v>
      </c>
      <c r="H470" s="56">
        <f t="shared" si="18"/>
        <v>461.53846153846155</v>
      </c>
    </row>
    <row r="471" spans="1:8" ht="22.5" customHeight="1">
      <c r="A471" s="174"/>
      <c r="B471" s="93">
        <v>15</v>
      </c>
      <c r="C471" s="132" t="s">
        <v>396</v>
      </c>
      <c r="D471" s="3" t="s">
        <v>48</v>
      </c>
      <c r="E471" s="290">
        <f>VLOOKUP(C471,[1]Dcu!$B$3:$D$510,3,0)</f>
        <v>12</v>
      </c>
      <c r="F471" s="30">
        <v>1.2</v>
      </c>
      <c r="G471" s="288">
        <f>VLOOKUP(C471,[1]Dcu!$B$3:$E$510,4,0)</f>
        <v>30000</v>
      </c>
      <c r="H471" s="56">
        <f t="shared" si="18"/>
        <v>115.38461538461539</v>
      </c>
    </row>
    <row r="472" spans="1:8" ht="22.5" customHeight="1">
      <c r="A472" s="174"/>
      <c r="B472" s="93">
        <v>17</v>
      </c>
      <c r="C472" s="200" t="s">
        <v>388</v>
      </c>
      <c r="D472" s="34" t="s">
        <v>86</v>
      </c>
      <c r="E472" s="290">
        <f>VLOOKUP(C472,[1]Dcu!$B$3:$D$510,3,0)</f>
        <v>0.3</v>
      </c>
      <c r="F472" s="161">
        <v>0.02</v>
      </c>
      <c r="G472" s="288">
        <f>VLOOKUP(C472,[1]Dcu!$B$3:$E$510,4,0)</f>
        <v>400000</v>
      </c>
      <c r="H472" s="56">
        <f t="shared" si="18"/>
        <v>1025.6410256410256</v>
      </c>
    </row>
    <row r="473" spans="1:8" ht="22.5" customHeight="1">
      <c r="A473" s="174"/>
      <c r="B473" s="93">
        <v>18</v>
      </c>
      <c r="C473" s="7" t="s">
        <v>33</v>
      </c>
      <c r="D473" s="34" t="s">
        <v>86</v>
      </c>
      <c r="E473" s="290">
        <f>VLOOKUP(C473,[1]Dcu!$B$3:$D$510,3,0)</f>
        <v>0.3</v>
      </c>
      <c r="F473" s="161">
        <v>0.02</v>
      </c>
      <c r="G473" s="288">
        <f>VLOOKUP(C473,[1]Dcu!$B$3:$E$510,4,0)</f>
        <v>380000</v>
      </c>
      <c r="H473" s="56">
        <f t="shared" si="18"/>
        <v>974.35897435897436</v>
      </c>
    </row>
    <row r="474" spans="1:8" ht="22.5" customHeight="1">
      <c r="A474" s="174"/>
      <c r="B474" s="93">
        <v>19</v>
      </c>
      <c r="C474" s="7" t="s">
        <v>58</v>
      </c>
      <c r="D474" s="3" t="s">
        <v>48</v>
      </c>
      <c r="E474" s="290">
        <f>VLOOKUP(C474,[1]Dcu!$B$3:$D$510,3,0)</f>
        <v>6</v>
      </c>
      <c r="F474" s="30">
        <v>1.2</v>
      </c>
      <c r="G474" s="288">
        <f>VLOOKUP(C474,[1]Dcu!$B$3:$E$510,4,0)</f>
        <v>1600000</v>
      </c>
      <c r="H474" s="56">
        <f t="shared" si="18"/>
        <v>12307.692307692307</v>
      </c>
    </row>
    <row r="475" spans="1:8" ht="22.5" customHeight="1">
      <c r="A475" s="174"/>
      <c r="B475" s="93">
        <v>20</v>
      </c>
      <c r="C475" s="7" t="s">
        <v>34</v>
      </c>
      <c r="D475" s="3" t="s">
        <v>48</v>
      </c>
      <c r="E475" s="290">
        <f>VLOOKUP(C475,[1]Dcu!$B$3:$D$510,3,0)</f>
        <v>36</v>
      </c>
      <c r="F475" s="30">
        <v>0.4</v>
      </c>
      <c r="G475" s="288">
        <f>VLOOKUP(C475,[1]Dcu!$B$3:$E$510,4,0)</f>
        <v>500000</v>
      </c>
      <c r="H475" s="56">
        <f t="shared" si="18"/>
        <v>213.67521367521368</v>
      </c>
    </row>
    <row r="476" spans="1:8" ht="22.5" customHeight="1">
      <c r="A476" s="174"/>
      <c r="B476" s="93">
        <v>21</v>
      </c>
      <c r="C476" s="7" t="s">
        <v>35</v>
      </c>
      <c r="D476" s="3" t="s">
        <v>48</v>
      </c>
      <c r="E476" s="290">
        <f>VLOOKUP(C476,[1]Dcu!$B$3:$D$510,3,0)</f>
        <v>36</v>
      </c>
      <c r="F476" s="30">
        <v>0.4</v>
      </c>
      <c r="G476" s="288">
        <f>VLOOKUP(C476,[1]Dcu!$B$3:$E$510,4,0)</f>
        <v>250000</v>
      </c>
      <c r="H476" s="56">
        <f t="shared" si="18"/>
        <v>106.83760683760684</v>
      </c>
    </row>
    <row r="477" spans="1:8" ht="22.5" customHeight="1">
      <c r="A477" s="174"/>
      <c r="B477" s="93">
        <v>22</v>
      </c>
      <c r="C477" s="7" t="s">
        <v>36</v>
      </c>
      <c r="D477" s="3" t="s">
        <v>48</v>
      </c>
      <c r="E477" s="290">
        <f>VLOOKUP(C477,[1]Dcu!$B$3:$D$510,3,0)</f>
        <v>60</v>
      </c>
      <c r="F477" s="30">
        <v>1.9E-2</v>
      </c>
      <c r="G477" s="288">
        <f>VLOOKUP(C477,[1]Dcu!$B$3:$E$510,4,0)</f>
        <v>1600000</v>
      </c>
      <c r="H477" s="56">
        <f t="shared" si="18"/>
        <v>19.487179487179485</v>
      </c>
    </row>
    <row r="478" spans="1:8" ht="22.5" customHeight="1">
      <c r="A478" s="174"/>
      <c r="B478" s="93">
        <v>23</v>
      </c>
      <c r="C478" s="7" t="s">
        <v>37</v>
      </c>
      <c r="D478" s="3" t="s">
        <v>48</v>
      </c>
      <c r="E478" s="290">
        <f>VLOOKUP(C478,[1]Dcu!$B$3:$D$510,3,0)</f>
        <v>36</v>
      </c>
      <c r="F478" s="30">
        <v>0.15</v>
      </c>
      <c r="G478" s="288">
        <f>VLOOKUP(C478,[1]Dcu!$B$3:$E$510,4,0)</f>
        <v>1500000</v>
      </c>
      <c r="H478" s="56">
        <f t="shared" si="18"/>
        <v>240.38461538461536</v>
      </c>
    </row>
    <row r="479" spans="1:8" ht="22.5" customHeight="1">
      <c r="A479" s="174"/>
      <c r="B479" s="93">
        <v>25</v>
      </c>
      <c r="C479" s="7" t="s">
        <v>38</v>
      </c>
      <c r="D479" s="3" t="s">
        <v>39</v>
      </c>
      <c r="E479" s="290">
        <f>VLOOKUP(C479,[1]Dcu!$B$3:$D$510,3,0)</f>
        <v>24</v>
      </c>
      <c r="F479" s="30">
        <v>1.6</v>
      </c>
      <c r="G479" s="288">
        <f>VLOOKUP(C479,[1]Dcu!$B$3:$E$510,4,0)</f>
        <v>40000</v>
      </c>
      <c r="H479" s="56">
        <f t="shared" si="18"/>
        <v>102.56410256410257</v>
      </c>
    </row>
    <row r="480" spans="1:8" ht="22.5" customHeight="1">
      <c r="A480" s="174"/>
      <c r="B480" s="93">
        <v>26</v>
      </c>
      <c r="C480" s="7" t="s">
        <v>40</v>
      </c>
      <c r="D480" s="3" t="s">
        <v>48</v>
      </c>
      <c r="E480" s="290">
        <f>VLOOKUP(C480,[1]Dcu!$B$3:$D$510,3,0)</f>
        <v>72</v>
      </c>
      <c r="F480" s="30">
        <v>0.08</v>
      </c>
      <c r="G480" s="288">
        <f>VLOOKUP(C480,[1]Dcu!$B$3:$E$510,4,0)</f>
        <v>1000000</v>
      </c>
      <c r="H480" s="56">
        <f t="shared" si="18"/>
        <v>42.735042735042732</v>
      </c>
    </row>
    <row r="481" spans="1:8" ht="22.5" customHeight="1">
      <c r="A481" s="174"/>
      <c r="B481" s="93">
        <v>27</v>
      </c>
      <c r="C481" s="7" t="s">
        <v>41</v>
      </c>
      <c r="D481" s="3" t="s">
        <v>48</v>
      </c>
      <c r="E481" s="290">
        <f>VLOOKUP(C481,[1]Dcu!$B$3:$D$510,3,0)</f>
        <v>72</v>
      </c>
      <c r="F481" s="30">
        <v>1.2</v>
      </c>
      <c r="G481" s="288">
        <f>VLOOKUP(C481,[1]Dcu!$B$3:$E$510,4,0)</f>
        <v>300000</v>
      </c>
      <c r="H481" s="56">
        <f t="shared" si="18"/>
        <v>192.30769230769229</v>
      </c>
    </row>
    <row r="482" spans="1:8" ht="22.5" customHeight="1">
      <c r="A482" s="174"/>
      <c r="B482" s="93">
        <v>28</v>
      </c>
      <c r="C482" s="7" t="s">
        <v>42</v>
      </c>
      <c r="D482" s="3" t="s">
        <v>48</v>
      </c>
      <c r="E482" s="290">
        <f>VLOOKUP(C482,[1]Dcu!$B$3:$D$510,3,0)</f>
        <v>72</v>
      </c>
      <c r="F482" s="30">
        <v>1.2</v>
      </c>
      <c r="G482" s="288">
        <f>VLOOKUP(C482,[1]Dcu!$B$3:$E$510,4,0)</f>
        <v>80000</v>
      </c>
      <c r="H482" s="56">
        <f t="shared" si="18"/>
        <v>51.282051282051277</v>
      </c>
    </row>
    <row r="483" spans="1:8" ht="22.5" customHeight="1">
      <c r="A483" s="174"/>
      <c r="B483" s="93">
        <v>29</v>
      </c>
      <c r="C483" s="7" t="s">
        <v>43</v>
      </c>
      <c r="D483" s="3" t="s">
        <v>59</v>
      </c>
      <c r="E483" s="3"/>
      <c r="F483" s="30">
        <v>2.3210000000000002</v>
      </c>
      <c r="G483" s="288">
        <f>VLOOKUP(C483,[1]Dcu!$B$3:$E$510,4,0)</f>
        <v>1838</v>
      </c>
      <c r="H483" s="56">
        <f>G483*F483</f>
        <v>4265.9980000000005</v>
      </c>
    </row>
    <row r="484" spans="1:8" s="16" customFormat="1" ht="22.5" customHeight="1">
      <c r="A484" s="197">
        <v>23</v>
      </c>
      <c r="B484" s="197" t="s">
        <v>5</v>
      </c>
      <c r="C484" s="412" t="s">
        <v>360</v>
      </c>
      <c r="D484" s="412"/>
      <c r="E484" s="412"/>
      <c r="F484" s="412"/>
      <c r="G484" s="197"/>
      <c r="H484" s="196">
        <f>SUM(H485:H510)*1.1</f>
        <v>45799.310897435891</v>
      </c>
    </row>
    <row r="485" spans="1:8" ht="22.5" customHeight="1">
      <c r="A485" s="198"/>
      <c r="B485" s="29">
        <v>1</v>
      </c>
      <c r="C485" s="120" t="s">
        <v>14</v>
      </c>
      <c r="D485" s="29" t="s">
        <v>15</v>
      </c>
      <c r="E485" s="290">
        <f>VLOOKUP(C485,[1]Dcu!$B$3:$D$510,3,0)</f>
        <v>6</v>
      </c>
      <c r="F485" s="121">
        <v>0.5</v>
      </c>
      <c r="G485" s="288">
        <f>VLOOKUP(C485,[1]Dcu!$B$3:$E$510,4,0)</f>
        <v>100000</v>
      </c>
      <c r="H485" s="56">
        <f t="shared" ref="H485" si="19">G485/(E485*26)*F485</f>
        <v>320.5128205128205</v>
      </c>
    </row>
    <row r="486" spans="1:8" ht="22.5" customHeight="1">
      <c r="A486" s="198"/>
      <c r="B486" s="29">
        <v>2</v>
      </c>
      <c r="C486" s="122" t="s">
        <v>274</v>
      </c>
      <c r="D486" s="102" t="s">
        <v>15</v>
      </c>
      <c r="E486" s="290">
        <f>VLOOKUP(C486,[1]Dcu!$B$3:$D$510,3,0)</f>
        <v>12</v>
      </c>
      <c r="F486" s="102">
        <v>0.5</v>
      </c>
      <c r="G486" s="288">
        <f>VLOOKUP(C486,[1]Dcu!$B$3:$E$510,4,0)</f>
        <v>12000000</v>
      </c>
      <c r="H486" s="56">
        <f t="shared" ref="H486:H510" si="20">G486/(E486*26)*F486</f>
        <v>19230.76923076923</v>
      </c>
    </row>
    <row r="487" spans="1:8" ht="22.5" customHeight="1">
      <c r="A487" s="198"/>
      <c r="B487" s="29">
        <v>3</v>
      </c>
      <c r="C487" s="122" t="s">
        <v>16</v>
      </c>
      <c r="D487" s="102" t="s">
        <v>15</v>
      </c>
      <c r="E487" s="290">
        <f>VLOOKUP(C487,[1]Dcu!$B$3:$D$510,3,0)</f>
        <v>6</v>
      </c>
      <c r="F487" s="102">
        <v>0.5</v>
      </c>
      <c r="G487" s="288">
        <f>VLOOKUP(C487,[1]Dcu!$B$3:$E$510,4,0)</f>
        <v>70000</v>
      </c>
      <c r="H487" s="56">
        <f t="shared" si="20"/>
        <v>224.35897435897436</v>
      </c>
    </row>
    <row r="488" spans="1:8" ht="22.5" customHeight="1">
      <c r="A488" s="198"/>
      <c r="B488" s="29">
        <v>4</v>
      </c>
      <c r="C488" s="122" t="s">
        <v>17</v>
      </c>
      <c r="D488" s="102" t="s">
        <v>15</v>
      </c>
      <c r="E488" s="290">
        <f>VLOOKUP(C488,[1]Dcu!$B$3:$D$510,3,0)</f>
        <v>6</v>
      </c>
      <c r="F488" s="102">
        <v>0.5</v>
      </c>
      <c r="G488" s="288">
        <f>VLOOKUP(C488,[1]Dcu!$B$3:$E$510,4,0)</f>
        <v>3500000</v>
      </c>
      <c r="H488" s="56">
        <f t="shared" si="20"/>
        <v>11217.948717948719</v>
      </c>
    </row>
    <row r="489" spans="1:8" ht="22.5" customHeight="1">
      <c r="A489" s="198"/>
      <c r="B489" s="29">
        <v>5</v>
      </c>
      <c r="C489" s="122" t="s">
        <v>18</v>
      </c>
      <c r="D489" s="102" t="s">
        <v>15</v>
      </c>
      <c r="E489" s="290">
        <f>VLOOKUP(C489,[1]Dcu!$B$3:$D$510,3,0)</f>
        <v>1</v>
      </c>
      <c r="F489" s="102">
        <v>0.5</v>
      </c>
      <c r="G489" s="288">
        <f>VLOOKUP(C489,[1]Dcu!$B$3:$E$510,4,0)</f>
        <v>3000</v>
      </c>
      <c r="H489" s="56">
        <f t="shared" si="20"/>
        <v>57.692307692307693</v>
      </c>
    </row>
    <row r="490" spans="1:8" ht="22.5" customHeight="1">
      <c r="A490" s="198"/>
      <c r="B490" s="29">
        <v>6</v>
      </c>
      <c r="C490" s="122" t="s">
        <v>19</v>
      </c>
      <c r="D490" s="102" t="s">
        <v>15</v>
      </c>
      <c r="E490" s="290">
        <f>VLOOKUP(C490,[1]Dcu!$B$3:$D$510,3,0)</f>
        <v>6</v>
      </c>
      <c r="F490" s="102">
        <v>0.5</v>
      </c>
      <c r="G490" s="288">
        <f>VLOOKUP(C490,[1]Dcu!$B$3:$E$510,4,0)</f>
        <v>110000</v>
      </c>
      <c r="H490" s="56">
        <f t="shared" si="20"/>
        <v>352.56410256410254</v>
      </c>
    </row>
    <row r="491" spans="1:8" ht="22.5" customHeight="1">
      <c r="A491" s="198"/>
      <c r="B491" s="29">
        <v>7</v>
      </c>
      <c r="C491" s="122" t="s">
        <v>20</v>
      </c>
      <c r="D491" s="102" t="s">
        <v>15</v>
      </c>
      <c r="E491" s="290">
        <f>VLOOKUP(C491,[1]Dcu!$B$3:$D$510,3,0)</f>
        <v>6</v>
      </c>
      <c r="F491" s="102">
        <v>0.5</v>
      </c>
      <c r="G491" s="288">
        <f>VLOOKUP(C491,[1]Dcu!$B$3:$E$510,4,0)</f>
        <v>170000</v>
      </c>
      <c r="H491" s="56">
        <f t="shared" si="20"/>
        <v>544.87179487179492</v>
      </c>
    </row>
    <row r="492" spans="1:8" ht="22.5" customHeight="1">
      <c r="A492" s="198"/>
      <c r="B492" s="29">
        <v>8</v>
      </c>
      <c r="C492" s="122" t="s">
        <v>21</v>
      </c>
      <c r="D492" s="102" t="s">
        <v>15</v>
      </c>
      <c r="E492" s="290">
        <f>VLOOKUP(C492,[1]Dcu!$B$3:$D$510,3,0)</f>
        <v>6</v>
      </c>
      <c r="F492" s="102">
        <v>0.5</v>
      </c>
      <c r="G492" s="288">
        <f>VLOOKUP(C492,[1]Dcu!$B$3:$E$510,4,0)</f>
        <v>180000</v>
      </c>
      <c r="H492" s="56">
        <f t="shared" si="20"/>
        <v>576.92307692307691</v>
      </c>
    </row>
    <row r="493" spans="1:8" ht="22.5" customHeight="1">
      <c r="A493" s="198"/>
      <c r="B493" s="29">
        <v>9</v>
      </c>
      <c r="C493" s="122" t="s">
        <v>22</v>
      </c>
      <c r="D493" s="102" t="s">
        <v>15</v>
      </c>
      <c r="E493" s="290">
        <f>VLOOKUP(C493,[1]Dcu!$B$3:$D$510,3,0)</f>
        <v>6</v>
      </c>
      <c r="F493" s="102">
        <v>0.5</v>
      </c>
      <c r="G493" s="288">
        <f>VLOOKUP(C493,[1]Dcu!$B$3:$E$510,4,0)</f>
        <v>700000</v>
      </c>
      <c r="H493" s="56">
        <f t="shared" si="20"/>
        <v>2243.5897435897436</v>
      </c>
    </row>
    <row r="494" spans="1:8" ht="22.5" customHeight="1">
      <c r="A494" s="198"/>
      <c r="B494" s="29">
        <v>10</v>
      </c>
      <c r="C494" s="122" t="s">
        <v>23</v>
      </c>
      <c r="D494" s="102" t="s">
        <v>15</v>
      </c>
      <c r="E494" s="290">
        <f>VLOOKUP(C494,[1]Dcu!$B$3:$D$510,3,0)</f>
        <v>6</v>
      </c>
      <c r="F494" s="102">
        <v>0.5</v>
      </c>
      <c r="G494" s="288">
        <f>VLOOKUP(C494,[1]Dcu!$B$3:$E$510,4,0)</f>
        <v>90000</v>
      </c>
      <c r="H494" s="56">
        <f t="shared" si="20"/>
        <v>288.46153846153845</v>
      </c>
    </row>
    <row r="495" spans="1:8" ht="22.5" customHeight="1">
      <c r="A495" s="198"/>
      <c r="B495" s="29">
        <v>11</v>
      </c>
      <c r="C495" s="122" t="s">
        <v>24</v>
      </c>
      <c r="D495" s="102" t="s">
        <v>15</v>
      </c>
      <c r="E495" s="290">
        <f>VLOOKUP(C495,[1]Dcu!$B$3:$D$510,3,0)</f>
        <v>6</v>
      </c>
      <c r="F495" s="102">
        <v>0.5</v>
      </c>
      <c r="G495" s="288">
        <f>VLOOKUP(C495,[1]Dcu!$B$3:$E$510,4,0)</f>
        <v>15000</v>
      </c>
      <c r="H495" s="56">
        <f t="shared" si="20"/>
        <v>48.07692307692308</v>
      </c>
    </row>
    <row r="496" spans="1:8" ht="22.5" customHeight="1">
      <c r="A496" s="198"/>
      <c r="B496" s="29">
        <v>12</v>
      </c>
      <c r="C496" s="122" t="s">
        <v>25</v>
      </c>
      <c r="D496" s="102" t="s">
        <v>15</v>
      </c>
      <c r="E496" s="290">
        <f>VLOOKUP(C496,[1]Dcu!$B$3:$D$510,3,0)</f>
        <v>6</v>
      </c>
      <c r="F496" s="102">
        <v>0.5</v>
      </c>
      <c r="G496" s="288">
        <f>VLOOKUP(C496,[1]Dcu!$B$3:$E$510,4,0)</f>
        <v>120000</v>
      </c>
      <c r="H496" s="56">
        <f t="shared" si="20"/>
        <v>384.61538461538464</v>
      </c>
    </row>
    <row r="497" spans="1:8" ht="22.5" customHeight="1">
      <c r="A497" s="198"/>
      <c r="B497" s="29">
        <v>13</v>
      </c>
      <c r="C497" s="122" t="s">
        <v>30</v>
      </c>
      <c r="D497" s="102" t="s">
        <v>15</v>
      </c>
      <c r="E497" s="290">
        <f>VLOOKUP(C497,[1]Dcu!$B$3:$D$510,3,0)</f>
        <v>6</v>
      </c>
      <c r="F497" s="102">
        <v>0.5</v>
      </c>
      <c r="G497" s="288">
        <f>VLOOKUP(C497,[1]Dcu!$B$3:$E$510,4,0)</f>
        <v>340000</v>
      </c>
      <c r="H497" s="56">
        <f t="shared" si="20"/>
        <v>1089.7435897435898</v>
      </c>
    </row>
    <row r="498" spans="1:8" ht="22.5" customHeight="1">
      <c r="A498" s="198"/>
      <c r="B498" s="29">
        <v>14</v>
      </c>
      <c r="C498" s="122" t="s">
        <v>31</v>
      </c>
      <c r="D498" s="102" t="s">
        <v>15</v>
      </c>
      <c r="E498" s="290">
        <f>VLOOKUP(C498,[1]Dcu!$B$3:$D$510,3,0)</f>
        <v>6</v>
      </c>
      <c r="F498" s="102">
        <v>0.5</v>
      </c>
      <c r="G498" s="288">
        <f>VLOOKUP(C498,[1]Dcu!$B$3:$E$510,4,0)</f>
        <v>700000</v>
      </c>
      <c r="H498" s="56">
        <f t="shared" si="20"/>
        <v>2243.5897435897436</v>
      </c>
    </row>
    <row r="499" spans="1:8" ht="22.5" customHeight="1">
      <c r="A499" s="198"/>
      <c r="B499" s="29">
        <v>15</v>
      </c>
      <c r="C499" s="122" t="s">
        <v>32</v>
      </c>
      <c r="D499" s="102" t="s">
        <v>15</v>
      </c>
      <c r="E499" s="290">
        <f>VLOOKUP(C499,[1]Dcu!$B$3:$D$510,3,0)</f>
        <v>6</v>
      </c>
      <c r="F499" s="102">
        <v>0.5</v>
      </c>
      <c r="G499" s="288">
        <f>VLOOKUP(C499,[1]Dcu!$B$3:$E$510,4,0)</f>
        <v>110000</v>
      </c>
      <c r="H499" s="56">
        <f t="shared" si="20"/>
        <v>352.56410256410254</v>
      </c>
    </row>
    <row r="500" spans="1:8" ht="22.5" customHeight="1">
      <c r="A500" s="198"/>
      <c r="B500" s="29">
        <v>16</v>
      </c>
      <c r="C500" s="132" t="s">
        <v>396</v>
      </c>
      <c r="D500" s="102" t="s">
        <v>15</v>
      </c>
      <c r="E500" s="290">
        <f>VLOOKUP(C500,[1]Dcu!$B$3:$D$510,3,0)</f>
        <v>12</v>
      </c>
      <c r="F500" s="102">
        <v>0.5</v>
      </c>
      <c r="G500" s="288">
        <f>VLOOKUP(C500,[1]Dcu!$B$3:$E$510,4,0)</f>
        <v>30000</v>
      </c>
      <c r="H500" s="56">
        <f t="shared" si="20"/>
        <v>48.07692307692308</v>
      </c>
    </row>
    <row r="501" spans="1:8" ht="22.5" customHeight="1">
      <c r="A501" s="198"/>
      <c r="B501" s="29">
        <v>18</v>
      </c>
      <c r="C501" s="200" t="s">
        <v>388</v>
      </c>
      <c r="D501" s="34" t="s">
        <v>86</v>
      </c>
      <c r="E501" s="290">
        <f>VLOOKUP(C501,[1]Dcu!$B$3:$D$510,3,0)</f>
        <v>0.3</v>
      </c>
      <c r="F501" s="161">
        <v>0.02</v>
      </c>
      <c r="G501" s="288">
        <f>VLOOKUP(C501,[1]Dcu!$B$3:$E$510,4,0)</f>
        <v>400000</v>
      </c>
      <c r="H501" s="56">
        <f t="shared" si="20"/>
        <v>1025.6410256410256</v>
      </c>
    </row>
    <row r="502" spans="1:8" ht="22.5" customHeight="1">
      <c r="A502" s="198"/>
      <c r="B502" s="29">
        <v>19</v>
      </c>
      <c r="C502" s="122" t="s">
        <v>33</v>
      </c>
      <c r="D502" s="34" t="s">
        <v>86</v>
      </c>
      <c r="E502" s="290">
        <f>VLOOKUP(C502,[1]Dcu!$B$3:$D$510,3,0)</f>
        <v>0.3</v>
      </c>
      <c r="F502" s="161">
        <v>0.02</v>
      </c>
      <c r="G502" s="288">
        <f>VLOOKUP(C502,[1]Dcu!$B$3:$E$510,4,0)</f>
        <v>380000</v>
      </c>
      <c r="H502" s="56">
        <f t="shared" si="20"/>
        <v>974.35897435897436</v>
      </c>
    </row>
    <row r="503" spans="1:8" ht="22.5" customHeight="1">
      <c r="A503" s="198"/>
      <c r="B503" s="29">
        <v>20</v>
      </c>
      <c r="C503" s="122" t="s">
        <v>34</v>
      </c>
      <c r="D503" s="102" t="s">
        <v>15</v>
      </c>
      <c r="E503" s="290">
        <f>VLOOKUP(C503,[1]Dcu!$B$3:$D$510,3,0)</f>
        <v>36</v>
      </c>
      <c r="F503" s="102">
        <v>0.107</v>
      </c>
      <c r="G503" s="288">
        <f>VLOOKUP(C503,[1]Dcu!$B$3:$E$510,4,0)</f>
        <v>500000</v>
      </c>
      <c r="H503" s="56">
        <f t="shared" si="20"/>
        <v>57.158119658119659</v>
      </c>
    </row>
    <row r="504" spans="1:8" ht="22.5" customHeight="1">
      <c r="A504" s="198"/>
      <c r="B504" s="29">
        <v>21</v>
      </c>
      <c r="C504" s="122" t="s">
        <v>35</v>
      </c>
      <c r="D504" s="102" t="s">
        <v>15</v>
      </c>
      <c r="E504" s="290">
        <f>VLOOKUP(C504,[1]Dcu!$B$3:$D$510,3,0)</f>
        <v>36</v>
      </c>
      <c r="F504" s="102">
        <v>0.107</v>
      </c>
      <c r="G504" s="288">
        <f>VLOOKUP(C504,[1]Dcu!$B$3:$E$510,4,0)</f>
        <v>250000</v>
      </c>
      <c r="H504" s="56">
        <f t="shared" si="20"/>
        <v>28.57905982905983</v>
      </c>
    </row>
    <row r="505" spans="1:8" ht="22.5" customHeight="1">
      <c r="A505" s="198"/>
      <c r="B505" s="29">
        <v>22</v>
      </c>
      <c r="C505" s="122" t="s">
        <v>36</v>
      </c>
      <c r="D505" s="102" t="s">
        <v>15</v>
      </c>
      <c r="E505" s="290">
        <f>VLOOKUP(C505,[1]Dcu!$B$3:$D$510,3,0)</f>
        <v>60</v>
      </c>
      <c r="F505" s="102">
        <v>5.0000000000000001E-3</v>
      </c>
      <c r="G505" s="288">
        <f>VLOOKUP(C505,[1]Dcu!$B$3:$E$510,4,0)</f>
        <v>1600000</v>
      </c>
      <c r="H505" s="56">
        <f t="shared" si="20"/>
        <v>5.1282051282051286</v>
      </c>
    </row>
    <row r="506" spans="1:8" ht="22.5" customHeight="1">
      <c r="A506" s="198"/>
      <c r="B506" s="29">
        <v>23</v>
      </c>
      <c r="C506" s="122" t="s">
        <v>37</v>
      </c>
      <c r="D506" s="102" t="s">
        <v>15</v>
      </c>
      <c r="E506" s="290">
        <f>VLOOKUP(C506,[1]Dcu!$B$3:$D$510,3,0)</f>
        <v>36</v>
      </c>
      <c r="F506" s="102">
        <v>0.04</v>
      </c>
      <c r="G506" s="288">
        <f>VLOOKUP(C506,[1]Dcu!$B$3:$E$510,4,0)</f>
        <v>1500000</v>
      </c>
      <c r="H506" s="56">
        <f t="shared" si="20"/>
        <v>64.102564102564102</v>
      </c>
    </row>
    <row r="507" spans="1:8" ht="22.5" customHeight="1">
      <c r="A507" s="198"/>
      <c r="B507" s="29">
        <v>24</v>
      </c>
      <c r="C507" s="122" t="s">
        <v>38</v>
      </c>
      <c r="D507" s="102" t="s">
        <v>39</v>
      </c>
      <c r="E507" s="290">
        <f>VLOOKUP(C507,[1]Dcu!$B$3:$D$510,3,0)</f>
        <v>24</v>
      </c>
      <c r="F507" s="102">
        <v>0.64</v>
      </c>
      <c r="G507" s="288">
        <f>VLOOKUP(C507,[1]Dcu!$B$3:$E$510,4,0)</f>
        <v>40000</v>
      </c>
      <c r="H507" s="56">
        <f t="shared" si="20"/>
        <v>41.025641025641029</v>
      </c>
    </row>
    <row r="508" spans="1:8" ht="22.5" customHeight="1">
      <c r="A508" s="198"/>
      <c r="B508" s="29">
        <v>25</v>
      </c>
      <c r="C508" s="122" t="s">
        <v>40</v>
      </c>
      <c r="D508" s="102" t="s">
        <v>15</v>
      </c>
      <c r="E508" s="290">
        <f>VLOOKUP(C508,[1]Dcu!$B$3:$D$510,3,0)</f>
        <v>72</v>
      </c>
      <c r="F508" s="102">
        <v>0.16</v>
      </c>
      <c r="G508" s="288">
        <f>VLOOKUP(C508,[1]Dcu!$B$3:$E$510,4,0)</f>
        <v>1000000</v>
      </c>
      <c r="H508" s="56">
        <f t="shared" si="20"/>
        <v>85.470085470085465</v>
      </c>
    </row>
    <row r="509" spans="1:8" ht="22.5" customHeight="1">
      <c r="A509" s="198"/>
      <c r="B509" s="29">
        <v>26</v>
      </c>
      <c r="C509" s="122" t="s">
        <v>41</v>
      </c>
      <c r="D509" s="102" t="s">
        <v>15</v>
      </c>
      <c r="E509" s="290">
        <f>VLOOKUP(C509,[1]Dcu!$B$3:$D$510,3,0)</f>
        <v>72</v>
      </c>
      <c r="F509" s="102">
        <v>0.64</v>
      </c>
      <c r="G509" s="288">
        <f>VLOOKUP(C509,[1]Dcu!$B$3:$E$510,4,0)</f>
        <v>300000</v>
      </c>
      <c r="H509" s="56">
        <f t="shared" si="20"/>
        <v>102.56410256410255</v>
      </c>
    </row>
    <row r="510" spans="1:8" ht="22.5" customHeight="1">
      <c r="A510" s="198"/>
      <c r="B510" s="29">
        <v>27</v>
      </c>
      <c r="C510" s="122" t="s">
        <v>42</v>
      </c>
      <c r="D510" s="102" t="s">
        <v>15</v>
      </c>
      <c r="E510" s="290">
        <f>VLOOKUP(C510,[1]Dcu!$B$3:$D$510,3,0)</f>
        <v>72</v>
      </c>
      <c r="F510" s="102">
        <v>0.64</v>
      </c>
      <c r="G510" s="288">
        <f>VLOOKUP(C510,[1]Dcu!$B$3:$E$510,4,0)</f>
        <v>80000</v>
      </c>
      <c r="H510" s="56">
        <f t="shared" si="20"/>
        <v>27.350427350427349</v>
      </c>
    </row>
  </sheetData>
  <autoFilter ref="C3:H510"/>
  <mergeCells count="45">
    <mergeCell ref="C484:F484"/>
    <mergeCell ref="C456:F456"/>
    <mergeCell ref="C428:F428"/>
    <mergeCell ref="C426:E426"/>
    <mergeCell ref="F426:G426"/>
    <mergeCell ref="C427:E427"/>
    <mergeCell ref="F427:G427"/>
    <mergeCell ref="A1:G1"/>
    <mergeCell ref="F2:H2"/>
    <mergeCell ref="B76:H76"/>
    <mergeCell ref="B4:H4"/>
    <mergeCell ref="E73:G73"/>
    <mergeCell ref="E74:G74"/>
    <mergeCell ref="E75:G75"/>
    <mergeCell ref="C33:E33"/>
    <mergeCell ref="E51:G51"/>
    <mergeCell ref="E52:G52"/>
    <mergeCell ref="E53:G53"/>
    <mergeCell ref="E55:G55"/>
    <mergeCell ref="E57:G57"/>
    <mergeCell ref="E54:G54"/>
    <mergeCell ref="E56:G56"/>
    <mergeCell ref="E58:G58"/>
    <mergeCell ref="C398:G398"/>
    <mergeCell ref="C210:E210"/>
    <mergeCell ref="C240:E240"/>
    <mergeCell ref="C367:E367"/>
    <mergeCell ref="C152:F152"/>
    <mergeCell ref="D299:F299"/>
    <mergeCell ref="D332:G332"/>
    <mergeCell ref="D363:F363"/>
    <mergeCell ref="D364:F364"/>
    <mergeCell ref="D365:F365"/>
    <mergeCell ref="D366:F366"/>
    <mergeCell ref="C77:E77"/>
    <mergeCell ref="C97:E97"/>
    <mergeCell ref="B5:F5"/>
    <mergeCell ref="C42:F42"/>
    <mergeCell ref="C63:F63"/>
    <mergeCell ref="C15:F15"/>
    <mergeCell ref="E62:G62"/>
    <mergeCell ref="E72:G72"/>
    <mergeCell ref="E59:G59"/>
    <mergeCell ref="E60:G60"/>
    <mergeCell ref="E61:G6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297"/>
  <sheetViews>
    <sheetView topLeftCell="A285" workbookViewId="0">
      <selection activeCell="C53" sqref="C53"/>
    </sheetView>
  </sheetViews>
  <sheetFormatPr defaultRowHeight="15"/>
  <cols>
    <col min="1" max="1" width="4.42578125" style="209" customWidth="1"/>
    <col min="2" max="2" width="9.42578125" style="272" customWidth="1"/>
    <col min="3" max="3" width="34.85546875" customWidth="1"/>
    <col min="6" max="6" width="13.28515625" customWidth="1"/>
    <col min="7" max="7" width="11.42578125" customWidth="1"/>
  </cols>
  <sheetData>
    <row r="1" spans="1:7" ht="15.75">
      <c r="A1" s="379" t="s">
        <v>189</v>
      </c>
      <c r="B1" s="379"/>
      <c r="C1" s="379"/>
      <c r="D1" s="379"/>
      <c r="E1" s="379"/>
      <c r="F1" s="379"/>
      <c r="G1" s="379"/>
    </row>
    <row r="2" spans="1:7" ht="15.75">
      <c r="A2" s="169"/>
      <c r="B2" s="258"/>
      <c r="C2" s="58"/>
      <c r="D2" s="58"/>
      <c r="E2" s="58"/>
      <c r="F2" s="417" t="s">
        <v>185</v>
      </c>
      <c r="G2" s="417"/>
    </row>
    <row r="3" spans="1:7" ht="31.5">
      <c r="A3" s="205" t="s">
        <v>60</v>
      </c>
      <c r="B3" s="271" t="s">
        <v>61</v>
      </c>
      <c r="C3" s="15" t="s">
        <v>89</v>
      </c>
      <c r="D3" s="15" t="s">
        <v>63</v>
      </c>
      <c r="E3" s="14" t="s">
        <v>4</v>
      </c>
      <c r="F3" s="59" t="s">
        <v>190</v>
      </c>
      <c r="G3" s="60" t="s">
        <v>191</v>
      </c>
    </row>
    <row r="4" spans="1:7" s="158" customFormat="1" ht="21.75" customHeight="1">
      <c r="A4" s="184" t="s">
        <v>207</v>
      </c>
      <c r="B4" s="388" t="s">
        <v>369</v>
      </c>
      <c r="C4" s="388"/>
      <c r="D4" s="388"/>
      <c r="E4" s="388"/>
      <c r="F4" s="388"/>
      <c r="G4" s="388"/>
    </row>
    <row r="5" spans="1:7" s="158" customFormat="1" ht="21" customHeight="1">
      <c r="A5" s="185" t="s">
        <v>288</v>
      </c>
      <c r="B5" s="376" t="s">
        <v>370</v>
      </c>
      <c r="C5" s="377"/>
      <c r="D5" s="377"/>
      <c r="E5" s="377"/>
      <c r="F5" s="378"/>
      <c r="G5" s="29"/>
    </row>
    <row r="6" spans="1:7" s="57" customFormat="1" ht="21" customHeight="1">
      <c r="A6" s="206">
        <v>1</v>
      </c>
      <c r="B6" s="282" t="s">
        <v>299</v>
      </c>
      <c r="C6" s="159" t="s">
        <v>291</v>
      </c>
      <c r="D6" s="96"/>
      <c r="E6" s="202"/>
      <c r="F6" s="146"/>
      <c r="G6" s="210">
        <f>SUM(G7:G13)*1.08</f>
        <v>10832.400000000001</v>
      </c>
    </row>
    <row r="7" spans="1:7" ht="15.75">
      <c r="A7" s="205"/>
      <c r="B7" s="272">
        <v>1</v>
      </c>
      <c r="C7" s="31" t="s">
        <v>327</v>
      </c>
      <c r="D7" s="4" t="s">
        <v>328</v>
      </c>
      <c r="E7" s="203">
        <v>2</v>
      </c>
      <c r="F7" s="61">
        <f>VLOOKUP(C7,[1]VL!$B$3:$D$523,3,0)</f>
        <v>3500</v>
      </c>
      <c r="G7" s="62">
        <f t="shared" ref="G7:G13" si="0">F7*E7</f>
        <v>7000</v>
      </c>
    </row>
    <row r="8" spans="1:7" ht="15.75">
      <c r="A8" s="205"/>
      <c r="B8" s="273">
        <v>2</v>
      </c>
      <c r="C8" s="162" t="s">
        <v>87</v>
      </c>
      <c r="D8" s="4" t="s">
        <v>88</v>
      </c>
      <c r="E8" s="203">
        <v>5.0000000000000001E-3</v>
      </c>
      <c r="F8" s="61">
        <f>VLOOKUP(C8,[1]VL!$B$3:$D$523,3,0)</f>
        <v>10000</v>
      </c>
      <c r="G8" s="62">
        <f t="shared" si="0"/>
        <v>50</v>
      </c>
    </row>
    <row r="9" spans="1:7" ht="15.75">
      <c r="A9" s="205"/>
      <c r="B9" s="273">
        <v>3</v>
      </c>
      <c r="C9" s="162" t="s">
        <v>90</v>
      </c>
      <c r="D9" s="4" t="s">
        <v>247</v>
      </c>
      <c r="E9" s="203">
        <v>0.01</v>
      </c>
      <c r="F9" s="61">
        <f>VLOOKUP(C9,[1]VL!$B$3:$D$523,3,0)</f>
        <v>80000</v>
      </c>
      <c r="G9" s="62">
        <f t="shared" si="0"/>
        <v>800</v>
      </c>
    </row>
    <row r="10" spans="1:7" ht="15.75">
      <c r="A10" s="205"/>
      <c r="B10" s="273">
        <v>4</v>
      </c>
      <c r="C10" s="162" t="s">
        <v>329</v>
      </c>
      <c r="D10" s="4" t="s">
        <v>247</v>
      </c>
      <c r="E10" s="203">
        <v>0.02</v>
      </c>
      <c r="F10" s="61">
        <f>VLOOKUP(C10,[1]VL!$B$3:$D$523,3,0)</f>
        <v>2000</v>
      </c>
      <c r="G10" s="62">
        <f t="shared" si="0"/>
        <v>40</v>
      </c>
    </row>
    <row r="11" spans="1:7" ht="15.75">
      <c r="A11" s="205"/>
      <c r="B11" s="273">
        <v>5</v>
      </c>
      <c r="C11" s="162" t="s">
        <v>330</v>
      </c>
      <c r="D11" s="4" t="s">
        <v>247</v>
      </c>
      <c r="E11" s="203">
        <v>0.02</v>
      </c>
      <c r="F11" s="61">
        <f>VLOOKUP(C11,[1]VL!$B$3:$D$523,3,0)</f>
        <v>2000</v>
      </c>
      <c r="G11" s="62">
        <f t="shared" si="0"/>
        <v>40</v>
      </c>
    </row>
    <row r="12" spans="1:7" ht="15.75">
      <c r="A12" s="205"/>
      <c r="B12" s="273">
        <v>6</v>
      </c>
      <c r="C12" s="19" t="s">
        <v>85</v>
      </c>
      <c r="D12" s="4" t="s">
        <v>80</v>
      </c>
      <c r="E12" s="203">
        <v>20</v>
      </c>
      <c r="F12" s="61">
        <f>VLOOKUP(C12,[1]VL!$B$3:$D$523,3,0)</f>
        <v>35</v>
      </c>
      <c r="G12" s="62">
        <f t="shared" si="0"/>
        <v>700</v>
      </c>
    </row>
    <row r="13" spans="1:7" ht="15.75">
      <c r="A13" s="205"/>
      <c r="B13" s="273">
        <v>7</v>
      </c>
      <c r="C13" s="31" t="s">
        <v>331</v>
      </c>
      <c r="D13" s="4" t="s">
        <v>332</v>
      </c>
      <c r="E13" s="203">
        <v>0.02</v>
      </c>
      <c r="F13" s="61">
        <f>VLOOKUP(C13,[1]VL!$B$3:$D$523,3,0)</f>
        <v>70000</v>
      </c>
      <c r="G13" s="62">
        <f t="shared" si="0"/>
        <v>1400</v>
      </c>
    </row>
    <row r="14" spans="1:7" ht="15.75">
      <c r="A14" s="206">
        <v>2</v>
      </c>
      <c r="B14" s="283" t="s">
        <v>300</v>
      </c>
      <c r="C14" s="421" t="s">
        <v>387</v>
      </c>
      <c r="D14" s="422"/>
      <c r="E14" s="422"/>
      <c r="F14" s="59"/>
      <c r="G14" s="210">
        <f>SUM(G15:G21)*1.08</f>
        <v>10832.400000000001</v>
      </c>
    </row>
    <row r="15" spans="1:7" ht="15.75">
      <c r="A15" s="205"/>
      <c r="B15" s="273">
        <v>2</v>
      </c>
      <c r="C15" s="31" t="s">
        <v>327</v>
      </c>
      <c r="D15" s="4" t="s">
        <v>328</v>
      </c>
      <c r="E15" s="203">
        <v>2</v>
      </c>
      <c r="F15" s="61">
        <f>VLOOKUP(C15,[1]VL!$B$3:$D$523,3,0)</f>
        <v>3500</v>
      </c>
      <c r="G15" s="62">
        <f t="shared" ref="G15:G37" si="1">F15*E15</f>
        <v>7000</v>
      </c>
    </row>
    <row r="16" spans="1:7" ht="15.75">
      <c r="A16" s="205"/>
      <c r="B16" s="273">
        <v>3</v>
      </c>
      <c r="C16" s="162" t="s">
        <v>87</v>
      </c>
      <c r="D16" s="4" t="s">
        <v>88</v>
      </c>
      <c r="E16" s="203">
        <v>5.0000000000000001E-3</v>
      </c>
      <c r="F16" s="61">
        <f>VLOOKUP(C16,[1]VL!$B$3:$D$523,3,0)</f>
        <v>10000</v>
      </c>
      <c r="G16" s="62">
        <f t="shared" si="1"/>
        <v>50</v>
      </c>
    </row>
    <row r="17" spans="1:7" ht="15.75">
      <c r="A17" s="205"/>
      <c r="B17" s="273">
        <v>4</v>
      </c>
      <c r="C17" s="162" t="s">
        <v>90</v>
      </c>
      <c r="D17" s="4" t="s">
        <v>247</v>
      </c>
      <c r="E17" s="203">
        <v>0.01</v>
      </c>
      <c r="F17" s="61">
        <f>VLOOKUP(C17,[1]VL!$B$3:$D$523,3,0)</f>
        <v>80000</v>
      </c>
      <c r="G17" s="62">
        <f t="shared" si="1"/>
        <v>800</v>
      </c>
    </row>
    <row r="18" spans="1:7" ht="15.75">
      <c r="A18" s="205"/>
      <c r="B18" s="273">
        <v>5</v>
      </c>
      <c r="C18" s="162" t="s">
        <v>329</v>
      </c>
      <c r="D18" s="4" t="s">
        <v>247</v>
      </c>
      <c r="E18" s="203">
        <v>0.02</v>
      </c>
      <c r="F18" s="61">
        <f>VLOOKUP(C18,[1]VL!$B$3:$D$523,3,0)</f>
        <v>2000</v>
      </c>
      <c r="G18" s="62">
        <f t="shared" si="1"/>
        <v>40</v>
      </c>
    </row>
    <row r="19" spans="1:7" ht="15.75">
      <c r="A19" s="205"/>
      <c r="B19" s="273">
        <v>6</v>
      </c>
      <c r="C19" s="162" t="s">
        <v>330</v>
      </c>
      <c r="D19" s="4" t="s">
        <v>247</v>
      </c>
      <c r="E19" s="203">
        <v>0.02</v>
      </c>
      <c r="F19" s="61">
        <f>VLOOKUP(C19,[1]VL!$B$3:$D$523,3,0)</f>
        <v>2000</v>
      </c>
      <c r="G19" s="62">
        <f t="shared" si="1"/>
        <v>40</v>
      </c>
    </row>
    <row r="20" spans="1:7" ht="15.75">
      <c r="A20" s="205"/>
      <c r="B20" s="273">
        <v>7</v>
      </c>
      <c r="C20" s="19" t="s">
        <v>85</v>
      </c>
      <c r="D20" s="4" t="s">
        <v>80</v>
      </c>
      <c r="E20" s="203">
        <v>20</v>
      </c>
      <c r="F20" s="61">
        <f>VLOOKUP(C20,[1]VL!$B$3:$D$523,3,0)</f>
        <v>35</v>
      </c>
      <c r="G20" s="62">
        <f t="shared" si="1"/>
        <v>700</v>
      </c>
    </row>
    <row r="21" spans="1:7" ht="15.75">
      <c r="A21" s="205"/>
      <c r="B21" s="273">
        <v>8</v>
      </c>
      <c r="C21" s="31" t="s">
        <v>331</v>
      </c>
      <c r="D21" s="4" t="s">
        <v>332</v>
      </c>
      <c r="E21" s="203">
        <v>0.02</v>
      </c>
      <c r="F21" s="61">
        <f>VLOOKUP(C21,[1]VL!$B$3:$D$523,3,0)</f>
        <v>70000</v>
      </c>
      <c r="G21" s="62">
        <f t="shared" si="1"/>
        <v>1400</v>
      </c>
    </row>
    <row r="22" spans="1:7" ht="15.75">
      <c r="A22" s="206">
        <v>3</v>
      </c>
      <c r="B22" s="283" t="s">
        <v>301</v>
      </c>
      <c r="C22" s="421" t="s">
        <v>323</v>
      </c>
      <c r="D22" s="422"/>
      <c r="E22" s="422"/>
      <c r="F22" s="61"/>
      <c r="G22" s="210">
        <f>SUM(G23:G29)*1.08</f>
        <v>10832.400000000001</v>
      </c>
    </row>
    <row r="23" spans="1:7" ht="15.75">
      <c r="A23" s="205"/>
      <c r="B23" s="273">
        <v>2</v>
      </c>
      <c r="C23" s="31" t="s">
        <v>327</v>
      </c>
      <c r="D23" s="4" t="s">
        <v>328</v>
      </c>
      <c r="E23" s="203">
        <v>2</v>
      </c>
      <c r="F23" s="61">
        <f>VLOOKUP(C23,[1]VL!$B$3:$D$523,3,0)</f>
        <v>3500</v>
      </c>
      <c r="G23" s="62">
        <f t="shared" si="1"/>
        <v>7000</v>
      </c>
    </row>
    <row r="24" spans="1:7" ht="15.75">
      <c r="A24" s="205"/>
      <c r="B24" s="273">
        <v>3</v>
      </c>
      <c r="C24" s="162" t="s">
        <v>87</v>
      </c>
      <c r="D24" s="4" t="s">
        <v>88</v>
      </c>
      <c r="E24" s="203">
        <v>5.0000000000000001E-3</v>
      </c>
      <c r="F24" s="61">
        <f>VLOOKUP(C24,[1]VL!$B$3:$D$523,3,0)</f>
        <v>10000</v>
      </c>
      <c r="G24" s="62">
        <f t="shared" si="1"/>
        <v>50</v>
      </c>
    </row>
    <row r="25" spans="1:7" ht="15.75">
      <c r="A25" s="205"/>
      <c r="B25" s="273">
        <v>4</v>
      </c>
      <c r="C25" s="162" t="s">
        <v>90</v>
      </c>
      <c r="D25" s="4" t="s">
        <v>247</v>
      </c>
      <c r="E25" s="203">
        <v>0.01</v>
      </c>
      <c r="F25" s="61">
        <f>VLOOKUP(C25,[1]VL!$B$3:$D$523,3,0)</f>
        <v>80000</v>
      </c>
      <c r="G25" s="62">
        <f t="shared" si="1"/>
        <v>800</v>
      </c>
    </row>
    <row r="26" spans="1:7" ht="15.75">
      <c r="A26" s="205"/>
      <c r="B26" s="273">
        <v>5</v>
      </c>
      <c r="C26" s="162" t="s">
        <v>329</v>
      </c>
      <c r="D26" s="4" t="s">
        <v>247</v>
      </c>
      <c r="E26" s="203">
        <v>0.02</v>
      </c>
      <c r="F26" s="61">
        <f>VLOOKUP(C26,[1]VL!$B$3:$D$523,3,0)</f>
        <v>2000</v>
      </c>
      <c r="G26" s="62">
        <f t="shared" si="1"/>
        <v>40</v>
      </c>
    </row>
    <row r="27" spans="1:7" ht="15.75">
      <c r="A27" s="205"/>
      <c r="B27" s="273">
        <v>6</v>
      </c>
      <c r="C27" s="162" t="s">
        <v>330</v>
      </c>
      <c r="D27" s="4" t="s">
        <v>247</v>
      </c>
      <c r="E27" s="203">
        <v>0.02</v>
      </c>
      <c r="F27" s="61">
        <f>VLOOKUP(C27,[1]VL!$B$3:$D$523,3,0)</f>
        <v>2000</v>
      </c>
      <c r="G27" s="62">
        <f t="shared" si="1"/>
        <v>40</v>
      </c>
    </row>
    <row r="28" spans="1:7" ht="15.75">
      <c r="A28" s="205"/>
      <c r="B28" s="273">
        <v>7</v>
      </c>
      <c r="C28" s="19" t="s">
        <v>85</v>
      </c>
      <c r="D28" s="4" t="s">
        <v>80</v>
      </c>
      <c r="E28" s="203">
        <v>20</v>
      </c>
      <c r="F28" s="61">
        <f>VLOOKUP(C28,[1]VL!$B$3:$D$523,3,0)</f>
        <v>35</v>
      </c>
      <c r="G28" s="62">
        <f t="shared" si="1"/>
        <v>700</v>
      </c>
    </row>
    <row r="29" spans="1:7" ht="15.75">
      <c r="A29" s="205"/>
      <c r="B29" s="273">
        <v>8</v>
      </c>
      <c r="C29" s="31" t="s">
        <v>331</v>
      </c>
      <c r="D29" s="4" t="s">
        <v>332</v>
      </c>
      <c r="E29" s="203">
        <v>0.02</v>
      </c>
      <c r="F29" s="61">
        <f>VLOOKUP(C29,[1]VL!$B$3:$D$523,3,0)</f>
        <v>70000</v>
      </c>
      <c r="G29" s="62">
        <f t="shared" si="1"/>
        <v>1400</v>
      </c>
    </row>
    <row r="30" spans="1:7" ht="15.75">
      <c r="A30" s="166">
        <v>4</v>
      </c>
      <c r="B30" s="284" t="s">
        <v>302</v>
      </c>
      <c r="C30" s="163" t="s">
        <v>12</v>
      </c>
      <c r="D30" s="204"/>
      <c r="E30" s="204"/>
      <c r="F30" s="61"/>
      <c r="G30" s="210">
        <f>SUM(G31:G37)*1.08</f>
        <v>10832.400000000001</v>
      </c>
    </row>
    <row r="31" spans="1:7" ht="15.75">
      <c r="A31" s="205"/>
      <c r="B31" s="273">
        <v>2</v>
      </c>
      <c r="C31" s="31" t="s">
        <v>327</v>
      </c>
      <c r="D31" s="4" t="s">
        <v>328</v>
      </c>
      <c r="E31" s="203">
        <v>2</v>
      </c>
      <c r="F31" s="61">
        <f>VLOOKUP(C31,[1]VL!$B$3:$D$523,3,0)</f>
        <v>3500</v>
      </c>
      <c r="G31" s="62">
        <f t="shared" si="1"/>
        <v>7000</v>
      </c>
    </row>
    <row r="32" spans="1:7" ht="15.75">
      <c r="A32" s="205"/>
      <c r="B32" s="273">
        <v>3</v>
      </c>
      <c r="C32" s="162" t="s">
        <v>87</v>
      </c>
      <c r="D32" s="4" t="s">
        <v>88</v>
      </c>
      <c r="E32" s="203">
        <v>5.0000000000000001E-3</v>
      </c>
      <c r="F32" s="61">
        <f>VLOOKUP(C32,[1]VL!$B$3:$D$523,3,0)</f>
        <v>10000</v>
      </c>
      <c r="G32" s="62">
        <f t="shared" si="1"/>
        <v>50</v>
      </c>
    </row>
    <row r="33" spans="1:7" ht="15.75">
      <c r="A33" s="205"/>
      <c r="B33" s="273">
        <v>4</v>
      </c>
      <c r="C33" s="162" t="s">
        <v>90</v>
      </c>
      <c r="D33" s="4" t="s">
        <v>247</v>
      </c>
      <c r="E33" s="203">
        <v>0.01</v>
      </c>
      <c r="F33" s="61">
        <f>VLOOKUP(C33,[1]VL!$B$3:$D$523,3,0)</f>
        <v>80000</v>
      </c>
      <c r="G33" s="62">
        <f t="shared" si="1"/>
        <v>800</v>
      </c>
    </row>
    <row r="34" spans="1:7" ht="15.75">
      <c r="A34" s="205"/>
      <c r="B34" s="273">
        <v>5</v>
      </c>
      <c r="C34" s="162" t="s">
        <v>329</v>
      </c>
      <c r="D34" s="4" t="s">
        <v>247</v>
      </c>
      <c r="E34" s="203">
        <v>0.02</v>
      </c>
      <c r="F34" s="61">
        <f>VLOOKUP(C34,[1]VL!$B$3:$D$523,3,0)</f>
        <v>2000</v>
      </c>
      <c r="G34" s="62">
        <f t="shared" si="1"/>
        <v>40</v>
      </c>
    </row>
    <row r="35" spans="1:7" ht="15.75">
      <c r="A35" s="205"/>
      <c r="B35" s="273">
        <v>6</v>
      </c>
      <c r="C35" s="162" t="s">
        <v>330</v>
      </c>
      <c r="D35" s="4" t="s">
        <v>247</v>
      </c>
      <c r="E35" s="203">
        <v>0.02</v>
      </c>
      <c r="F35" s="61">
        <f>VLOOKUP(C35,[1]VL!$B$3:$D$523,3,0)</f>
        <v>2000</v>
      </c>
      <c r="G35" s="62">
        <f t="shared" si="1"/>
        <v>40</v>
      </c>
    </row>
    <row r="36" spans="1:7" ht="15.75">
      <c r="A36" s="205"/>
      <c r="B36" s="273">
        <v>7</v>
      </c>
      <c r="C36" s="19" t="s">
        <v>85</v>
      </c>
      <c r="D36" s="4" t="s">
        <v>80</v>
      </c>
      <c r="E36" s="203">
        <v>20</v>
      </c>
      <c r="F36" s="61">
        <f>VLOOKUP(C36,[1]VL!$B$3:$D$523,3,0)</f>
        <v>35</v>
      </c>
      <c r="G36" s="62">
        <f t="shared" si="1"/>
        <v>700</v>
      </c>
    </row>
    <row r="37" spans="1:7" ht="15.75">
      <c r="A37" s="205"/>
      <c r="B37" s="273">
        <v>8</v>
      </c>
      <c r="C37" s="31" t="s">
        <v>331</v>
      </c>
      <c r="D37" s="4" t="s">
        <v>332</v>
      </c>
      <c r="E37" s="203">
        <v>0.02</v>
      </c>
      <c r="F37" s="61">
        <f>VLOOKUP(C37,[1]VL!$B$3:$D$523,3,0)</f>
        <v>70000</v>
      </c>
      <c r="G37" s="62">
        <f t="shared" si="1"/>
        <v>1400</v>
      </c>
    </row>
    <row r="38" spans="1:7" s="57" customFormat="1" ht="18.75" customHeight="1">
      <c r="A38" s="166">
        <v>5</v>
      </c>
      <c r="B38" s="284" t="s">
        <v>303</v>
      </c>
      <c r="C38" s="423" t="s">
        <v>375</v>
      </c>
      <c r="D38" s="424"/>
      <c r="E38" s="424"/>
      <c r="F38" s="425"/>
      <c r="G38" s="210">
        <f>SUM(G39:G46)*1.08</f>
        <v>11372.400000000001</v>
      </c>
    </row>
    <row r="39" spans="1:7" ht="15.75">
      <c r="A39" s="205"/>
      <c r="B39" s="273">
        <v>2</v>
      </c>
      <c r="C39" s="31" t="s">
        <v>333</v>
      </c>
      <c r="D39" s="4" t="s">
        <v>334</v>
      </c>
      <c r="E39" s="4">
        <v>1</v>
      </c>
      <c r="F39" s="61">
        <f>VLOOKUP(C39,[1]VL!$B$3:$D$523,3,0)</f>
        <v>500</v>
      </c>
      <c r="G39" s="62">
        <f t="shared" ref="G39:G46" si="2">F39*E39</f>
        <v>500</v>
      </c>
    </row>
    <row r="40" spans="1:7" ht="15.75">
      <c r="A40" s="205"/>
      <c r="B40" s="273">
        <v>3</v>
      </c>
      <c r="C40" s="31" t="s">
        <v>327</v>
      </c>
      <c r="D40" s="4" t="s">
        <v>328</v>
      </c>
      <c r="E40" s="4">
        <v>2</v>
      </c>
      <c r="F40" s="61">
        <f>VLOOKUP(C40,[1]VL!$B$3:$D$523,3,0)</f>
        <v>3500</v>
      </c>
      <c r="G40" s="62">
        <f t="shared" si="2"/>
        <v>7000</v>
      </c>
    </row>
    <row r="41" spans="1:7" ht="15.75">
      <c r="A41" s="205"/>
      <c r="B41" s="273">
        <v>4</v>
      </c>
      <c r="C41" s="162" t="s">
        <v>87</v>
      </c>
      <c r="D41" s="4" t="s">
        <v>88</v>
      </c>
      <c r="E41" s="4">
        <v>5.0000000000000001E-3</v>
      </c>
      <c r="F41" s="61">
        <f>VLOOKUP(C41,[1]VL!$B$3:$D$523,3,0)</f>
        <v>10000</v>
      </c>
      <c r="G41" s="62">
        <f t="shared" si="2"/>
        <v>50</v>
      </c>
    </row>
    <row r="42" spans="1:7" ht="15.75">
      <c r="A42" s="205"/>
      <c r="B42" s="273">
        <v>5</v>
      </c>
      <c r="C42" s="162" t="s">
        <v>90</v>
      </c>
      <c r="D42" s="4" t="s">
        <v>247</v>
      </c>
      <c r="E42" s="4">
        <v>0.01</v>
      </c>
      <c r="F42" s="61">
        <f>VLOOKUP(C42,[1]VL!$B$3:$D$523,3,0)</f>
        <v>80000</v>
      </c>
      <c r="G42" s="62">
        <f t="shared" si="2"/>
        <v>800</v>
      </c>
    </row>
    <row r="43" spans="1:7" ht="15.75">
      <c r="A43" s="205"/>
      <c r="B43" s="273">
        <v>6</v>
      </c>
      <c r="C43" s="162" t="s">
        <v>329</v>
      </c>
      <c r="D43" s="4" t="s">
        <v>247</v>
      </c>
      <c r="E43" s="4">
        <v>0.02</v>
      </c>
      <c r="F43" s="61">
        <f>VLOOKUP(C43,[1]VL!$B$3:$D$523,3,0)</f>
        <v>2000</v>
      </c>
      <c r="G43" s="62">
        <f t="shared" si="2"/>
        <v>40</v>
      </c>
    </row>
    <row r="44" spans="1:7" ht="15.75">
      <c r="A44" s="205"/>
      <c r="B44" s="273">
        <v>7</v>
      </c>
      <c r="C44" s="162" t="s">
        <v>330</v>
      </c>
      <c r="D44" s="4" t="s">
        <v>247</v>
      </c>
      <c r="E44" s="4">
        <v>0.02</v>
      </c>
      <c r="F44" s="61">
        <f>VLOOKUP(C44,[1]VL!$B$3:$D$523,3,0)</f>
        <v>2000</v>
      </c>
      <c r="G44" s="62">
        <f t="shared" si="2"/>
        <v>40</v>
      </c>
    </row>
    <row r="45" spans="1:7" ht="15.75">
      <c r="A45" s="205"/>
      <c r="B45" s="273">
        <v>8</v>
      </c>
      <c r="C45" s="19" t="s">
        <v>85</v>
      </c>
      <c r="D45" s="4" t="s">
        <v>80</v>
      </c>
      <c r="E45" s="203">
        <v>20</v>
      </c>
      <c r="F45" s="61">
        <f>VLOOKUP(C45,[1]VL!$B$3:$D$523,3,0)</f>
        <v>35</v>
      </c>
      <c r="G45" s="62">
        <f t="shared" si="2"/>
        <v>700</v>
      </c>
    </row>
    <row r="46" spans="1:7" ht="15.75">
      <c r="A46" s="205"/>
      <c r="B46" s="273">
        <v>9</v>
      </c>
      <c r="C46" s="31" t="s">
        <v>331</v>
      </c>
      <c r="D46" s="4" t="s">
        <v>332</v>
      </c>
      <c r="E46" s="4">
        <v>0.02</v>
      </c>
      <c r="F46" s="61">
        <f>VLOOKUP(C46,[1]VL!$B$3:$D$523,3,0)</f>
        <v>70000</v>
      </c>
      <c r="G46" s="62">
        <f t="shared" si="2"/>
        <v>1400</v>
      </c>
    </row>
    <row r="47" spans="1:7" ht="17.25">
      <c r="A47" s="269">
        <v>6</v>
      </c>
      <c r="B47" s="189" t="s">
        <v>304</v>
      </c>
      <c r="C47" s="263" t="s">
        <v>219</v>
      </c>
      <c r="D47" s="399" t="s">
        <v>374</v>
      </c>
      <c r="E47" s="397"/>
      <c r="F47" s="398"/>
      <c r="G47" s="270">
        <f>G38</f>
        <v>11372.400000000001</v>
      </c>
    </row>
    <row r="48" spans="1:7" ht="15.75">
      <c r="A48" s="269">
        <v>7</v>
      </c>
      <c r="B48" s="189" t="s">
        <v>305</v>
      </c>
      <c r="C48" s="173" t="s">
        <v>213</v>
      </c>
      <c r="D48" s="399" t="s">
        <v>374</v>
      </c>
      <c r="E48" s="397"/>
      <c r="F48" s="398"/>
      <c r="G48" s="270">
        <f>G38</f>
        <v>11372.400000000001</v>
      </c>
    </row>
    <row r="49" spans="1:7" ht="15.75">
      <c r="A49" s="269">
        <v>8</v>
      </c>
      <c r="B49" s="296" t="s">
        <v>419</v>
      </c>
      <c r="C49" s="265" t="s">
        <v>462</v>
      </c>
      <c r="D49" s="399" t="s">
        <v>374</v>
      </c>
      <c r="E49" s="397"/>
      <c r="F49" s="398"/>
      <c r="G49" s="270">
        <f>G38</f>
        <v>11372.400000000001</v>
      </c>
    </row>
    <row r="50" spans="1:7" ht="15.75">
      <c r="A50" s="269">
        <v>9</v>
      </c>
      <c r="B50" s="296" t="s">
        <v>421</v>
      </c>
      <c r="C50" s="265" t="s">
        <v>448</v>
      </c>
      <c r="D50" s="399" t="s">
        <v>374</v>
      </c>
      <c r="E50" s="397"/>
      <c r="F50" s="398"/>
      <c r="G50" s="270">
        <f>G49</f>
        <v>11372.400000000001</v>
      </c>
    </row>
    <row r="51" spans="1:7" ht="15.75">
      <c r="A51" s="269">
        <v>10</v>
      </c>
      <c r="B51" s="296" t="s">
        <v>424</v>
      </c>
      <c r="C51" s="265" t="s">
        <v>463</v>
      </c>
      <c r="D51" s="399" t="s">
        <v>374</v>
      </c>
      <c r="E51" s="397"/>
      <c r="F51" s="398"/>
      <c r="G51" s="270">
        <f>G38</f>
        <v>11372.400000000001</v>
      </c>
    </row>
    <row r="52" spans="1:7" ht="15.75">
      <c r="A52" s="269">
        <v>11</v>
      </c>
      <c r="B52" s="296" t="s">
        <v>425</v>
      </c>
      <c r="C52" s="265" t="s">
        <v>464</v>
      </c>
      <c r="D52" s="399" t="s">
        <v>374</v>
      </c>
      <c r="E52" s="397"/>
      <c r="F52" s="398"/>
      <c r="G52" s="270">
        <f>G51</f>
        <v>11372.400000000001</v>
      </c>
    </row>
    <row r="53" spans="1:7" ht="15.75">
      <c r="A53" s="269">
        <v>12</v>
      </c>
      <c r="B53" s="296" t="s">
        <v>427</v>
      </c>
      <c r="C53" s="265" t="s">
        <v>451</v>
      </c>
      <c r="D53" s="399" t="s">
        <v>374</v>
      </c>
      <c r="E53" s="397"/>
      <c r="F53" s="398"/>
      <c r="G53" s="270">
        <f>G38</f>
        <v>11372.400000000001</v>
      </c>
    </row>
    <row r="54" spans="1:7" ht="15.75">
      <c r="A54" s="269">
        <v>13</v>
      </c>
      <c r="B54" s="296" t="s">
        <v>433</v>
      </c>
      <c r="C54" s="265" t="s">
        <v>457</v>
      </c>
      <c r="D54" s="399" t="s">
        <v>374</v>
      </c>
      <c r="E54" s="397"/>
      <c r="F54" s="398"/>
      <c r="G54" s="270">
        <f>G53</f>
        <v>11372.400000000001</v>
      </c>
    </row>
    <row r="55" spans="1:7" ht="15.75">
      <c r="A55" s="269">
        <v>14</v>
      </c>
      <c r="B55" s="296" t="s">
        <v>434</v>
      </c>
      <c r="C55" s="265" t="s">
        <v>458</v>
      </c>
      <c r="D55" s="399" t="s">
        <v>374</v>
      </c>
      <c r="E55" s="397"/>
      <c r="F55" s="398"/>
      <c r="G55" s="270">
        <f>G54</f>
        <v>11372.400000000001</v>
      </c>
    </row>
    <row r="56" spans="1:7" ht="15.75">
      <c r="A56" s="269">
        <v>15</v>
      </c>
      <c r="B56" s="296" t="s">
        <v>435</v>
      </c>
      <c r="C56" s="265" t="s">
        <v>459</v>
      </c>
      <c r="D56" s="399" t="s">
        <v>374</v>
      </c>
      <c r="E56" s="397"/>
      <c r="F56" s="398"/>
      <c r="G56" s="270">
        <f>G54</f>
        <v>11372.400000000001</v>
      </c>
    </row>
    <row r="57" spans="1:7" ht="15.75">
      <c r="A57" s="269">
        <v>16</v>
      </c>
      <c r="B57" s="296" t="s">
        <v>436</v>
      </c>
      <c r="C57" s="265" t="s">
        <v>460</v>
      </c>
      <c r="D57" s="399" t="s">
        <v>374</v>
      </c>
      <c r="E57" s="397"/>
      <c r="F57" s="398"/>
      <c r="G57" s="270">
        <f>G54</f>
        <v>11372.400000000001</v>
      </c>
    </row>
    <row r="58" spans="1:7" ht="18.75">
      <c r="A58" s="269">
        <v>17</v>
      </c>
      <c r="B58" s="296" t="s">
        <v>306</v>
      </c>
      <c r="C58" s="263" t="s">
        <v>378</v>
      </c>
      <c r="D58" s="399" t="s">
        <v>374</v>
      </c>
      <c r="E58" s="397"/>
      <c r="F58" s="398"/>
      <c r="G58" s="270">
        <f>G38</f>
        <v>11372.400000000001</v>
      </c>
    </row>
    <row r="59" spans="1:7" s="165" customFormat="1" ht="18.75" customHeight="1">
      <c r="A59" s="164">
        <v>18</v>
      </c>
      <c r="B59" s="259" t="s">
        <v>307</v>
      </c>
      <c r="C59" s="426" t="s">
        <v>8</v>
      </c>
      <c r="D59" s="427"/>
      <c r="E59" s="427"/>
      <c r="F59" s="428"/>
      <c r="G59" s="210">
        <f>SUM(G60:G67)*1.08</f>
        <v>10994.400000000001</v>
      </c>
    </row>
    <row r="60" spans="1:7" s="57" customFormat="1" ht="15.75">
      <c r="A60" s="166"/>
      <c r="B60" s="273">
        <v>2</v>
      </c>
      <c r="C60" s="31" t="s">
        <v>333</v>
      </c>
      <c r="D60" s="4" t="s">
        <v>334</v>
      </c>
      <c r="E60" s="4">
        <v>1</v>
      </c>
      <c r="F60" s="61">
        <f>VLOOKUP(C60,[1]VL!$B$3:$D$523,3,0)</f>
        <v>500</v>
      </c>
      <c r="G60" s="62">
        <f t="shared" ref="G60:G67" si="3">F60*E60</f>
        <v>500</v>
      </c>
    </row>
    <row r="61" spans="1:7" s="57" customFormat="1" ht="15.75">
      <c r="A61" s="166"/>
      <c r="B61" s="273">
        <v>3</v>
      </c>
      <c r="C61" s="31" t="s">
        <v>327</v>
      </c>
      <c r="D61" s="4" t="s">
        <v>328</v>
      </c>
      <c r="E61" s="4">
        <v>2</v>
      </c>
      <c r="F61" s="61">
        <f>VLOOKUP(C61,[1]VL!$B$3:$D$523,3,0)</f>
        <v>3500</v>
      </c>
      <c r="G61" s="62">
        <f t="shared" si="3"/>
        <v>7000</v>
      </c>
    </row>
    <row r="62" spans="1:7" s="57" customFormat="1" ht="15.75">
      <c r="A62" s="166"/>
      <c r="B62" s="273">
        <v>4</v>
      </c>
      <c r="C62" s="162" t="s">
        <v>87</v>
      </c>
      <c r="D62" s="4" t="s">
        <v>88</v>
      </c>
      <c r="E62" s="4">
        <v>5.0000000000000001E-3</v>
      </c>
      <c r="F62" s="61">
        <f>VLOOKUP(C62,[1]VL!$B$3:$D$523,3,0)</f>
        <v>10000</v>
      </c>
      <c r="G62" s="62">
        <f t="shared" si="3"/>
        <v>50</v>
      </c>
    </row>
    <row r="63" spans="1:7" s="57" customFormat="1" ht="15.75">
      <c r="A63" s="166"/>
      <c r="B63" s="273">
        <v>5</v>
      </c>
      <c r="C63" s="162" t="s">
        <v>90</v>
      </c>
      <c r="D63" s="4" t="s">
        <v>247</v>
      </c>
      <c r="E63" s="4">
        <v>0.01</v>
      </c>
      <c r="F63" s="61">
        <f>VLOOKUP(C63,[1]VL!$B$3:$D$523,3,0)</f>
        <v>80000</v>
      </c>
      <c r="G63" s="62">
        <f t="shared" si="3"/>
        <v>800</v>
      </c>
    </row>
    <row r="64" spans="1:7" s="57" customFormat="1" ht="15.75">
      <c r="A64" s="166"/>
      <c r="B64" s="273">
        <v>6</v>
      </c>
      <c r="C64" s="162" t="s">
        <v>329</v>
      </c>
      <c r="D64" s="4" t="s">
        <v>247</v>
      </c>
      <c r="E64" s="4">
        <v>0.02</v>
      </c>
      <c r="F64" s="61">
        <f>VLOOKUP(C64,[1]VL!$B$3:$D$523,3,0)</f>
        <v>2000</v>
      </c>
      <c r="G64" s="62">
        <f t="shared" si="3"/>
        <v>40</v>
      </c>
    </row>
    <row r="65" spans="1:7" ht="15.75">
      <c r="A65" s="205"/>
      <c r="B65" s="273">
        <v>7</v>
      </c>
      <c r="C65" s="162" t="s">
        <v>330</v>
      </c>
      <c r="D65" s="4" t="s">
        <v>247</v>
      </c>
      <c r="E65" s="4">
        <v>0.02</v>
      </c>
      <c r="F65" s="61">
        <f>VLOOKUP(C65,[1]VL!$B$3:$D$523,3,0)</f>
        <v>2000</v>
      </c>
      <c r="G65" s="62">
        <f t="shared" si="3"/>
        <v>40</v>
      </c>
    </row>
    <row r="66" spans="1:7" ht="15.75">
      <c r="A66" s="205"/>
      <c r="B66" s="273">
        <v>8</v>
      </c>
      <c r="C66" s="19" t="s">
        <v>85</v>
      </c>
      <c r="D66" s="4" t="s">
        <v>80</v>
      </c>
      <c r="E66" s="203">
        <v>10</v>
      </c>
      <c r="F66" s="61">
        <f>VLOOKUP(C66,[1]VL!$B$3:$D$523,3,0)</f>
        <v>35</v>
      </c>
      <c r="G66" s="62">
        <f t="shared" si="3"/>
        <v>350</v>
      </c>
    </row>
    <row r="67" spans="1:7" ht="15.75">
      <c r="A67" s="205"/>
      <c r="B67" s="274">
        <v>9</v>
      </c>
      <c r="C67" s="31" t="s">
        <v>331</v>
      </c>
      <c r="D67" s="4" t="s">
        <v>332</v>
      </c>
      <c r="E67" s="4">
        <v>0.02</v>
      </c>
      <c r="F67" s="61">
        <f>VLOOKUP(C67,[1]VL!$B$3:$D$523,3,0)</f>
        <v>70000</v>
      </c>
      <c r="G67" s="62">
        <f t="shared" si="3"/>
        <v>1400</v>
      </c>
    </row>
    <row r="68" spans="1:7" ht="30" customHeight="1">
      <c r="A68" s="205">
        <v>19</v>
      </c>
      <c r="B68" s="189" t="s">
        <v>308</v>
      </c>
      <c r="C68" s="265" t="s">
        <v>214</v>
      </c>
      <c r="D68" s="399" t="s">
        <v>377</v>
      </c>
      <c r="E68" s="397"/>
      <c r="F68" s="397"/>
      <c r="G68" s="268">
        <f>G59</f>
        <v>10994.400000000001</v>
      </c>
    </row>
    <row r="69" spans="1:7" ht="20.25" customHeight="1">
      <c r="A69" s="205">
        <v>20</v>
      </c>
      <c r="B69" s="189" t="s">
        <v>309</v>
      </c>
      <c r="C69" s="266" t="s">
        <v>215</v>
      </c>
      <c r="D69" s="399" t="s">
        <v>377</v>
      </c>
      <c r="E69" s="397"/>
      <c r="F69" s="397"/>
      <c r="G69" s="268">
        <f>G59</f>
        <v>10994.400000000001</v>
      </c>
    </row>
    <row r="70" spans="1:7" ht="31.5">
      <c r="A70" s="205">
        <v>21</v>
      </c>
      <c r="B70" s="189" t="s">
        <v>310</v>
      </c>
      <c r="C70" s="265" t="s">
        <v>10</v>
      </c>
      <c r="D70" s="399" t="s">
        <v>377</v>
      </c>
      <c r="E70" s="397"/>
      <c r="F70" s="397"/>
      <c r="G70" s="268">
        <f>G59</f>
        <v>10994.400000000001</v>
      </c>
    </row>
    <row r="71" spans="1:7" ht="15.75">
      <c r="A71" s="205">
        <v>22</v>
      </c>
      <c r="B71" s="189" t="s">
        <v>311</v>
      </c>
      <c r="C71" s="267" t="s">
        <v>11</v>
      </c>
      <c r="D71" s="399" t="s">
        <v>377</v>
      </c>
      <c r="E71" s="397"/>
      <c r="F71" s="397"/>
      <c r="G71" s="268">
        <f>G59</f>
        <v>10994.400000000001</v>
      </c>
    </row>
    <row r="72" spans="1:7" ht="15.75">
      <c r="A72" s="205" t="s">
        <v>183</v>
      </c>
      <c r="B72" s="418" t="s">
        <v>192</v>
      </c>
      <c r="C72" s="419"/>
      <c r="D72" s="419"/>
      <c r="E72" s="419"/>
      <c r="F72" s="419"/>
      <c r="G72" s="420"/>
    </row>
    <row r="73" spans="1:7" ht="18.75">
      <c r="A73" s="207">
        <v>1</v>
      </c>
      <c r="B73" s="275" t="s">
        <v>290</v>
      </c>
      <c r="C73" s="390" t="s">
        <v>225</v>
      </c>
      <c r="D73" s="390"/>
      <c r="E73" s="390"/>
      <c r="G73" s="63">
        <f>SUM(G74:G84)*1.08</f>
        <v>110261.952</v>
      </c>
    </row>
    <row r="74" spans="1:7" ht="15.75">
      <c r="A74" s="207"/>
      <c r="B74" s="276">
        <v>1</v>
      </c>
      <c r="C74" s="19" t="s">
        <v>227</v>
      </c>
      <c r="D74" s="4" t="s">
        <v>78</v>
      </c>
      <c r="E74" s="20">
        <v>0.75</v>
      </c>
      <c r="F74" s="61">
        <f>VLOOKUP(C74,[1]VL!$B$3:$D$523,3,0)</f>
        <v>1650</v>
      </c>
      <c r="G74" s="62">
        <f>F74*E74</f>
        <v>1237.5</v>
      </c>
    </row>
    <row r="75" spans="1:7" ht="15.75">
      <c r="A75" s="207"/>
      <c r="B75" s="276">
        <v>2</v>
      </c>
      <c r="C75" s="19" t="s">
        <v>228</v>
      </c>
      <c r="D75" s="4" t="s">
        <v>78</v>
      </c>
      <c r="E75" s="20">
        <v>0.14699999999999999</v>
      </c>
      <c r="F75" s="61">
        <f>VLOOKUP(C75,[1]VL!$B$3:$D$523,3,0)</f>
        <v>1200</v>
      </c>
      <c r="G75" s="62">
        <f t="shared" ref="G75:G84" si="4">F75*E75</f>
        <v>176.39999999999998</v>
      </c>
    </row>
    <row r="76" spans="1:7" ht="15.75">
      <c r="A76" s="207"/>
      <c r="B76" s="276">
        <v>3</v>
      </c>
      <c r="C76" s="98" t="s">
        <v>229</v>
      </c>
      <c r="D76" s="4" t="s">
        <v>80</v>
      </c>
      <c r="E76" s="20">
        <v>10</v>
      </c>
      <c r="F76" s="61">
        <f>VLOOKUP(C76,[1]VL!$B$3:$D$523,3,0)</f>
        <v>5500</v>
      </c>
      <c r="G76" s="62">
        <f t="shared" si="4"/>
        <v>55000</v>
      </c>
    </row>
    <row r="77" spans="1:7" ht="15.75">
      <c r="A77" s="207"/>
      <c r="B77" s="276">
        <v>4</v>
      </c>
      <c r="C77" s="99" t="s">
        <v>230</v>
      </c>
      <c r="D77" s="4" t="s">
        <v>78</v>
      </c>
      <c r="E77" s="20">
        <v>1.0209999999999999</v>
      </c>
      <c r="F77" s="61">
        <f>VLOOKUP(C77,[1]VL!$B$3:$D$523,3,0)</f>
        <v>2500</v>
      </c>
      <c r="G77" s="62">
        <f t="shared" si="4"/>
        <v>2552.4999999999995</v>
      </c>
    </row>
    <row r="78" spans="1:7" ht="18.75">
      <c r="A78" s="207"/>
      <c r="B78" s="276">
        <v>5</v>
      </c>
      <c r="C78" s="99" t="s">
        <v>231</v>
      </c>
      <c r="D78" s="4" t="s">
        <v>78</v>
      </c>
      <c r="E78" s="20">
        <v>0.38</v>
      </c>
      <c r="F78" s="61">
        <f>VLOOKUP(C78,[1]VL!$B$3:$D$523,3,0)</f>
        <v>1500</v>
      </c>
      <c r="G78" s="62">
        <f t="shared" si="4"/>
        <v>570</v>
      </c>
    </row>
    <row r="79" spans="1:7" ht="18.75">
      <c r="A79" s="207"/>
      <c r="B79" s="276">
        <v>6</v>
      </c>
      <c r="C79" s="100" t="s">
        <v>232</v>
      </c>
      <c r="D79" s="4" t="s">
        <v>78</v>
      </c>
      <c r="E79" s="20">
        <v>0.34</v>
      </c>
      <c r="F79" s="61">
        <f>VLOOKUP(C79,[1]VL!$B$3:$D$523,3,0)</f>
        <v>1400</v>
      </c>
      <c r="G79" s="62">
        <f t="shared" si="4"/>
        <v>476.00000000000006</v>
      </c>
    </row>
    <row r="80" spans="1:7" ht="21.75" customHeight="1">
      <c r="A80" s="207"/>
      <c r="B80" s="276">
        <v>7</v>
      </c>
      <c r="C80" s="101" t="s">
        <v>233</v>
      </c>
      <c r="D80" s="4" t="s">
        <v>78</v>
      </c>
      <c r="E80" s="20">
        <v>0.38</v>
      </c>
      <c r="F80" s="61">
        <f>VLOOKUP(C80,[1]VL!$B$3:$D$523,3,0)</f>
        <v>8900</v>
      </c>
      <c r="G80" s="62">
        <f t="shared" si="4"/>
        <v>3382</v>
      </c>
    </row>
    <row r="81" spans="1:7" ht="15.75">
      <c r="A81" s="207"/>
      <c r="B81" s="276">
        <v>8</v>
      </c>
      <c r="C81" s="19" t="s">
        <v>85</v>
      </c>
      <c r="D81" s="4" t="s">
        <v>80</v>
      </c>
      <c r="E81" s="20">
        <v>10</v>
      </c>
      <c r="F81" s="61">
        <f>VLOOKUP(C81,[1]VL!$B$3:$D$523,3,0)</f>
        <v>35</v>
      </c>
      <c r="G81" s="62">
        <f>F81*E81</f>
        <v>350</v>
      </c>
    </row>
    <row r="82" spans="1:7" ht="15.75">
      <c r="A82" s="207"/>
      <c r="B82" s="276">
        <v>9</v>
      </c>
      <c r="C82" s="19" t="s">
        <v>398</v>
      </c>
      <c r="D82" s="4" t="s">
        <v>86</v>
      </c>
      <c r="E82" s="20">
        <v>0.05</v>
      </c>
      <c r="F82" s="61">
        <f>VLOOKUP(C82,[1]VL!$B$3:$D$523,3,0)</f>
        <v>750000</v>
      </c>
      <c r="G82" s="62">
        <f t="shared" si="4"/>
        <v>37500</v>
      </c>
    </row>
    <row r="83" spans="1:7" ht="21.75" customHeight="1">
      <c r="A83" s="207"/>
      <c r="B83" s="276">
        <v>10</v>
      </c>
      <c r="C83" s="5" t="s">
        <v>90</v>
      </c>
      <c r="D83" s="4" t="s">
        <v>247</v>
      </c>
      <c r="E83" s="20">
        <v>0.01</v>
      </c>
      <c r="F83" s="61">
        <f>VLOOKUP(C83,[1]VL!$B$3:$D$523,3,0)</f>
        <v>80000</v>
      </c>
      <c r="G83" s="62">
        <f t="shared" si="4"/>
        <v>800</v>
      </c>
    </row>
    <row r="84" spans="1:7" ht="15.75">
      <c r="A84" s="207"/>
      <c r="B84" s="276">
        <v>11</v>
      </c>
      <c r="C84" s="19" t="s">
        <v>87</v>
      </c>
      <c r="D84" s="4" t="s">
        <v>88</v>
      </c>
      <c r="E84" s="20">
        <v>5.0000000000000001E-3</v>
      </c>
      <c r="F84" s="61">
        <f>VLOOKUP(C84,[1]VL!$B$3:$D$523,3,0)</f>
        <v>10000</v>
      </c>
      <c r="G84" s="62">
        <f t="shared" si="4"/>
        <v>50</v>
      </c>
    </row>
    <row r="85" spans="1:7" ht="15.75">
      <c r="A85" s="207">
        <v>2</v>
      </c>
      <c r="B85" s="275" t="s">
        <v>298</v>
      </c>
      <c r="C85" s="262" t="s">
        <v>387</v>
      </c>
      <c r="D85" s="17"/>
      <c r="E85" s="18"/>
      <c r="G85" s="63">
        <f>SUM(G86:G96)*1.08</f>
        <v>231300.90000000002</v>
      </c>
    </row>
    <row r="86" spans="1:7" ht="18.75">
      <c r="A86" s="207"/>
      <c r="B86" s="276">
        <v>1</v>
      </c>
      <c r="C86" s="19" t="s">
        <v>77</v>
      </c>
      <c r="D86" s="4" t="s">
        <v>78</v>
      </c>
      <c r="E86" s="20">
        <v>12.3</v>
      </c>
      <c r="F86" s="61">
        <f>VLOOKUP(C86,[1]VL!$B$3:$D$523,3,0)</f>
        <v>3100</v>
      </c>
      <c r="G86" s="62">
        <f>F86*E86</f>
        <v>38130</v>
      </c>
    </row>
    <row r="87" spans="1:7" ht="18.75">
      <c r="A87" s="207"/>
      <c r="B87" s="276">
        <v>2</v>
      </c>
      <c r="C87" s="19" t="s">
        <v>79</v>
      </c>
      <c r="D87" s="4" t="s">
        <v>80</v>
      </c>
      <c r="E87" s="20">
        <v>12.5</v>
      </c>
      <c r="F87" s="61">
        <f>VLOOKUP(C87,[1]VL!$B$3:$D$523,3,0)</f>
        <v>575</v>
      </c>
      <c r="G87" s="62">
        <f t="shared" ref="G87:G202" si="5">F87*E87</f>
        <v>7187.5</v>
      </c>
    </row>
    <row r="88" spans="1:7" ht="18.75">
      <c r="A88" s="207"/>
      <c r="B88" s="276">
        <v>3</v>
      </c>
      <c r="C88" s="19" t="s">
        <v>81</v>
      </c>
      <c r="D88" s="4" t="s">
        <v>78</v>
      </c>
      <c r="E88" s="20">
        <v>24.5</v>
      </c>
      <c r="F88" s="61">
        <f>VLOOKUP(C88,[1]VL!$B$3:$D$523,3,0)</f>
        <v>3000</v>
      </c>
      <c r="G88" s="62">
        <f t="shared" si="5"/>
        <v>73500</v>
      </c>
    </row>
    <row r="89" spans="1:7" ht="18.75">
      <c r="A89" s="207"/>
      <c r="B89" s="276">
        <v>4</v>
      </c>
      <c r="C89" s="19" t="s">
        <v>82</v>
      </c>
      <c r="D89" s="4" t="s">
        <v>78</v>
      </c>
      <c r="E89" s="20">
        <v>0.4</v>
      </c>
      <c r="F89" s="61">
        <f>VLOOKUP(C89,[1]VL!$B$3:$D$523,3,0)</f>
        <v>40000</v>
      </c>
      <c r="G89" s="62">
        <f t="shared" si="5"/>
        <v>16000</v>
      </c>
    </row>
    <row r="90" spans="1:7" ht="18.75">
      <c r="A90" s="207"/>
      <c r="B90" s="276">
        <v>5</v>
      </c>
      <c r="C90" s="19" t="s">
        <v>83</v>
      </c>
      <c r="D90" s="4" t="s">
        <v>80</v>
      </c>
      <c r="E90" s="20">
        <v>25</v>
      </c>
      <c r="F90" s="61">
        <f>VLOOKUP(C90,[1]VL!$B$3:$D$523,3,0)</f>
        <v>1450</v>
      </c>
      <c r="G90" s="62">
        <f t="shared" si="5"/>
        <v>36250</v>
      </c>
    </row>
    <row r="91" spans="1:7" ht="15.75">
      <c r="A91" s="207"/>
      <c r="B91" s="276">
        <v>6</v>
      </c>
      <c r="C91" s="19" t="s">
        <v>84</v>
      </c>
      <c r="D91" s="4" t="s">
        <v>78</v>
      </c>
      <c r="E91" s="20">
        <v>1</v>
      </c>
      <c r="F91" s="61">
        <f>VLOOKUP(C91,[1]VL!$B$3:$D$523,3,0)</f>
        <v>2400</v>
      </c>
      <c r="G91" s="62">
        <f t="shared" si="5"/>
        <v>2400</v>
      </c>
    </row>
    <row r="92" spans="1:7" ht="15.75">
      <c r="A92" s="207"/>
      <c r="B92" s="276">
        <v>7</v>
      </c>
      <c r="C92" s="19" t="s">
        <v>85</v>
      </c>
      <c r="D92" s="4" t="s">
        <v>80</v>
      </c>
      <c r="E92" s="20">
        <v>10</v>
      </c>
      <c r="F92" s="61">
        <f>VLOOKUP(C92,[1]VL!$B$3:$D$523,3,0)</f>
        <v>35</v>
      </c>
      <c r="G92" s="62">
        <f t="shared" si="5"/>
        <v>350</v>
      </c>
    </row>
    <row r="93" spans="1:7" ht="21.75" customHeight="1">
      <c r="A93" s="207"/>
      <c r="B93" s="276">
        <v>8</v>
      </c>
      <c r="C93" s="21" t="s">
        <v>66</v>
      </c>
      <c r="D93" s="4" t="s">
        <v>48</v>
      </c>
      <c r="E93" s="20">
        <v>1</v>
      </c>
      <c r="F93" s="61">
        <f>VLOOKUP(C93,[1]VL!$B$3:$D$523,3,0)</f>
        <v>2000</v>
      </c>
      <c r="G93" s="62">
        <f t="shared" si="5"/>
        <v>2000</v>
      </c>
    </row>
    <row r="94" spans="1:7" ht="15.75">
      <c r="A94" s="207"/>
      <c r="B94" s="276">
        <v>9</v>
      </c>
      <c r="C94" s="19" t="s">
        <v>398</v>
      </c>
      <c r="D94" s="4" t="s">
        <v>86</v>
      </c>
      <c r="E94" s="20">
        <v>0.05</v>
      </c>
      <c r="F94" s="61">
        <f>VLOOKUP(C94,[1]VL!$B$3:$D$523,3,0)</f>
        <v>750000</v>
      </c>
      <c r="G94" s="62">
        <f t="shared" si="5"/>
        <v>37500</v>
      </c>
    </row>
    <row r="95" spans="1:7" ht="21.75" customHeight="1">
      <c r="A95" s="207"/>
      <c r="B95" s="276">
        <v>10</v>
      </c>
      <c r="C95" s="5" t="s">
        <v>90</v>
      </c>
      <c r="D95" s="4" t="s">
        <v>247</v>
      </c>
      <c r="E95" s="20">
        <v>0.01</v>
      </c>
      <c r="F95" s="61">
        <f>VLOOKUP(C95,[1]VL!$B$3:$D$523,3,0)</f>
        <v>80000</v>
      </c>
      <c r="G95" s="62">
        <f t="shared" si="5"/>
        <v>800</v>
      </c>
    </row>
    <row r="96" spans="1:7" ht="15.75">
      <c r="A96" s="207"/>
      <c r="B96" s="276">
        <v>11</v>
      </c>
      <c r="C96" s="19" t="s">
        <v>87</v>
      </c>
      <c r="D96" s="4" t="s">
        <v>88</v>
      </c>
      <c r="E96" s="20">
        <v>5.0000000000000001E-3</v>
      </c>
      <c r="F96" s="61">
        <f>VLOOKUP(C96,[1]VL!$B$3:$D$523,3,0)</f>
        <v>10000</v>
      </c>
      <c r="G96" s="62">
        <f t="shared" si="5"/>
        <v>50</v>
      </c>
    </row>
    <row r="97" spans="1:7" s="16" customFormat="1" ht="15.75">
      <c r="A97" s="208">
        <v>3</v>
      </c>
      <c r="B97" s="257" t="s">
        <v>313</v>
      </c>
      <c r="C97" s="23" t="s">
        <v>12</v>
      </c>
      <c r="D97" s="24"/>
      <c r="E97" s="25"/>
      <c r="F97" s="61"/>
      <c r="G97" s="63">
        <f>SUM(G98:G108)*1.08</f>
        <v>279858.24</v>
      </c>
    </row>
    <row r="98" spans="1:7" ht="15.75">
      <c r="A98" s="207"/>
      <c r="B98" s="6">
        <v>1</v>
      </c>
      <c r="C98" s="5" t="s">
        <v>101</v>
      </c>
      <c r="D98" s="6" t="s">
        <v>80</v>
      </c>
      <c r="E98" s="26">
        <v>4</v>
      </c>
      <c r="F98" s="61">
        <f>VLOOKUP(C98,[1]VL!$B$3:$D$523,3,0)</f>
        <v>550</v>
      </c>
      <c r="G98" s="62">
        <f t="shared" si="5"/>
        <v>2200</v>
      </c>
    </row>
    <row r="99" spans="1:7" ht="15.75">
      <c r="A99" s="207"/>
      <c r="B99" s="6">
        <v>2</v>
      </c>
      <c r="C99" s="5" t="s">
        <v>94</v>
      </c>
      <c r="D99" s="6" t="s">
        <v>95</v>
      </c>
      <c r="E99" s="26">
        <v>0.2</v>
      </c>
      <c r="F99" s="61">
        <f>VLOOKUP(C99,[1]VL!$B$3:$D$523,3,0)</f>
        <v>1340</v>
      </c>
      <c r="G99" s="62">
        <f t="shared" si="5"/>
        <v>268</v>
      </c>
    </row>
    <row r="100" spans="1:7" ht="15.75">
      <c r="A100" s="207"/>
      <c r="B100" s="6">
        <v>3</v>
      </c>
      <c r="C100" s="5" t="s">
        <v>121</v>
      </c>
      <c r="D100" s="6" t="s">
        <v>80</v>
      </c>
      <c r="E100" s="26">
        <v>150</v>
      </c>
      <c r="F100" s="61">
        <f>VLOOKUP(C100,[1]VL!$B$3:$D$523,3,0)</f>
        <v>700</v>
      </c>
      <c r="G100" s="62">
        <f t="shared" si="5"/>
        <v>105000</v>
      </c>
    </row>
    <row r="101" spans="1:7" ht="15.75">
      <c r="A101" s="207"/>
      <c r="B101" s="6">
        <v>4</v>
      </c>
      <c r="C101" s="99" t="s">
        <v>112</v>
      </c>
      <c r="D101" s="6" t="s">
        <v>80</v>
      </c>
      <c r="E101" s="26">
        <v>50</v>
      </c>
      <c r="F101" s="61">
        <f>VLOOKUP(C101,[1]VL!$B$3:$D$523,3,0)</f>
        <v>1600</v>
      </c>
      <c r="G101" s="62">
        <f t="shared" ref="G101" si="6">F101*E101</f>
        <v>80000</v>
      </c>
    </row>
    <row r="102" spans="1:7" ht="18.75">
      <c r="A102" s="207"/>
      <c r="B102" s="6">
        <v>5</v>
      </c>
      <c r="C102" s="5" t="s">
        <v>122</v>
      </c>
      <c r="D102" s="6" t="s">
        <v>95</v>
      </c>
      <c r="E102" s="26">
        <v>20</v>
      </c>
      <c r="F102" s="61">
        <f>VLOOKUP(C102,[1]VL!$B$3:$D$523,3,0)</f>
        <v>1000</v>
      </c>
      <c r="G102" s="62">
        <f t="shared" si="5"/>
        <v>20000</v>
      </c>
    </row>
    <row r="103" spans="1:7" ht="15.75">
      <c r="A103" s="207"/>
      <c r="B103" s="6">
        <v>6</v>
      </c>
      <c r="C103" s="5" t="s">
        <v>91</v>
      </c>
      <c r="D103" s="6" t="s">
        <v>80</v>
      </c>
      <c r="E103" s="26">
        <v>0.4</v>
      </c>
      <c r="F103" s="61">
        <f>VLOOKUP(C103,[1]VL!$B$3:$D$523,3,0)</f>
        <v>2400</v>
      </c>
      <c r="G103" s="62">
        <f t="shared" si="5"/>
        <v>960</v>
      </c>
    </row>
    <row r="104" spans="1:7" ht="15.75">
      <c r="A104" s="207"/>
      <c r="B104" s="6">
        <v>7</v>
      </c>
      <c r="C104" s="5" t="s">
        <v>85</v>
      </c>
      <c r="D104" s="6" t="s">
        <v>80</v>
      </c>
      <c r="E104" s="26">
        <v>10</v>
      </c>
      <c r="F104" s="61">
        <f>VLOOKUP(C104,[1]VL!$B$3:$D$523,3,0)</f>
        <v>35</v>
      </c>
      <c r="G104" s="62">
        <f t="shared" si="5"/>
        <v>350</v>
      </c>
    </row>
    <row r="105" spans="1:7" ht="15.75">
      <c r="A105" s="207"/>
      <c r="B105" s="6">
        <v>8</v>
      </c>
      <c r="C105" s="5" t="s">
        <v>123</v>
      </c>
      <c r="D105" s="6" t="s">
        <v>86</v>
      </c>
      <c r="E105" s="26">
        <v>0.1</v>
      </c>
      <c r="F105" s="61">
        <f>VLOOKUP(C105,[1]VL!$B$3:$D$523,3,0)</f>
        <v>120000</v>
      </c>
      <c r="G105" s="62">
        <f t="shared" si="5"/>
        <v>12000</v>
      </c>
    </row>
    <row r="106" spans="1:7" ht="15.75">
      <c r="A106" s="207"/>
      <c r="B106" s="6">
        <v>9</v>
      </c>
      <c r="C106" s="19" t="s">
        <v>398</v>
      </c>
      <c r="D106" s="6" t="s">
        <v>86</v>
      </c>
      <c r="E106" s="20">
        <v>0.05</v>
      </c>
      <c r="F106" s="61">
        <f>VLOOKUP(C106,[1]VL!$B$3:$D$523,3,0)</f>
        <v>750000</v>
      </c>
      <c r="G106" s="62">
        <f t="shared" si="5"/>
        <v>37500</v>
      </c>
    </row>
    <row r="107" spans="1:7" ht="15.75">
      <c r="A107" s="207"/>
      <c r="B107" s="6">
        <v>10</v>
      </c>
      <c r="C107" s="5" t="s">
        <v>87</v>
      </c>
      <c r="D107" s="6" t="s">
        <v>88</v>
      </c>
      <c r="E107" s="20">
        <v>5.0000000000000001E-3</v>
      </c>
      <c r="F107" s="61">
        <f>VLOOKUP(C107,[1]VL!$B$3:$D$523,3,0)</f>
        <v>10000</v>
      </c>
      <c r="G107" s="62">
        <f t="shared" si="5"/>
        <v>50</v>
      </c>
    </row>
    <row r="108" spans="1:7" ht="15.75">
      <c r="A108" s="207"/>
      <c r="B108" s="6">
        <v>11</v>
      </c>
      <c r="C108" s="5" t="s">
        <v>90</v>
      </c>
      <c r="D108" s="4" t="s">
        <v>247</v>
      </c>
      <c r="E108" s="26">
        <v>0.01</v>
      </c>
      <c r="F108" s="61">
        <f>VLOOKUP(C108,[1]VL!$B$3:$D$523,3,0)</f>
        <v>80000</v>
      </c>
      <c r="G108" s="62">
        <f t="shared" si="5"/>
        <v>800</v>
      </c>
    </row>
    <row r="109" spans="1:7" ht="18.75">
      <c r="A109" s="207">
        <v>4</v>
      </c>
      <c r="B109" s="135" t="s">
        <v>314</v>
      </c>
      <c r="C109" s="28" t="s">
        <v>124</v>
      </c>
      <c r="D109" s="28"/>
      <c r="E109" s="26"/>
      <c r="F109" s="61"/>
      <c r="G109" s="63">
        <f>SUM(G110:G123)*1.08</f>
        <v>183866.76</v>
      </c>
    </row>
    <row r="110" spans="1:7" ht="15.75">
      <c r="A110" s="207"/>
      <c r="B110" s="136">
        <v>1</v>
      </c>
      <c r="C110" s="5" t="s">
        <v>94</v>
      </c>
      <c r="D110" s="6" t="s">
        <v>95</v>
      </c>
      <c r="E110" s="30">
        <v>0.5</v>
      </c>
      <c r="F110" s="61">
        <f>VLOOKUP(C110,[1]VL!$B$3:$D$523,3,0)</f>
        <v>1340</v>
      </c>
      <c r="G110" s="62">
        <f t="shared" si="5"/>
        <v>670</v>
      </c>
    </row>
    <row r="111" spans="1:7" ht="18.75">
      <c r="A111" s="207"/>
      <c r="B111" s="136">
        <v>2</v>
      </c>
      <c r="C111" s="7" t="s">
        <v>100</v>
      </c>
      <c r="D111" s="3" t="s">
        <v>108</v>
      </c>
      <c r="E111" s="30">
        <v>25</v>
      </c>
      <c r="F111" s="61">
        <f>VLOOKUP(C111,[1]VL!$B$3:$D$523,3,0)</f>
        <v>575</v>
      </c>
      <c r="G111" s="62">
        <f t="shared" si="5"/>
        <v>14375</v>
      </c>
    </row>
    <row r="112" spans="1:7" ht="18.75">
      <c r="A112" s="207"/>
      <c r="B112" s="136">
        <v>3</v>
      </c>
      <c r="C112" s="7" t="s">
        <v>125</v>
      </c>
      <c r="D112" s="4" t="s">
        <v>78</v>
      </c>
      <c r="E112" s="30">
        <v>10.199999999999999</v>
      </c>
      <c r="F112" s="61">
        <f>VLOOKUP(C112,[1]VL!$B$3:$D$523,3,0)</f>
        <v>1350</v>
      </c>
      <c r="G112" s="62">
        <f t="shared" si="5"/>
        <v>13769.999999999998</v>
      </c>
    </row>
    <row r="113" spans="1:7" ht="18.75">
      <c r="A113" s="207"/>
      <c r="B113" s="136">
        <v>4</v>
      </c>
      <c r="C113" s="7" t="s">
        <v>126</v>
      </c>
      <c r="D113" s="3" t="s">
        <v>114</v>
      </c>
      <c r="E113" s="30">
        <v>0.8</v>
      </c>
      <c r="F113" s="61">
        <f>VLOOKUP(C113,[1]VL!$B$3:$D$523,3,0)</f>
        <v>940</v>
      </c>
      <c r="G113" s="62">
        <f t="shared" si="5"/>
        <v>752</v>
      </c>
    </row>
    <row r="114" spans="1:7" ht="18.75">
      <c r="A114" s="207"/>
      <c r="B114" s="136">
        <v>5</v>
      </c>
      <c r="C114" s="7" t="s">
        <v>127</v>
      </c>
      <c r="D114" s="3" t="s">
        <v>108</v>
      </c>
      <c r="E114" s="30">
        <v>1</v>
      </c>
      <c r="F114" s="61">
        <f>VLOOKUP(C114,[1]VL!$B$3:$D$523,3,0)</f>
        <v>2800</v>
      </c>
      <c r="G114" s="62">
        <f t="shared" si="5"/>
        <v>2800</v>
      </c>
    </row>
    <row r="115" spans="1:7" ht="15.75">
      <c r="A115" s="207"/>
      <c r="B115" s="136">
        <v>6</v>
      </c>
      <c r="C115" s="7" t="s">
        <v>128</v>
      </c>
      <c r="D115" s="3" t="s">
        <v>114</v>
      </c>
      <c r="E115" s="30">
        <v>0.2</v>
      </c>
      <c r="F115" s="61">
        <f>VLOOKUP(C115,[1]VL!$B$3:$D$523,3,0)</f>
        <v>25000</v>
      </c>
      <c r="G115" s="62">
        <f t="shared" si="5"/>
        <v>5000</v>
      </c>
    </row>
    <row r="116" spans="1:7" ht="15.75">
      <c r="A116" s="207"/>
      <c r="B116" s="136">
        <v>7</v>
      </c>
      <c r="C116" s="7" t="s">
        <v>129</v>
      </c>
      <c r="D116" s="3" t="s">
        <v>114</v>
      </c>
      <c r="E116" s="30">
        <v>0.9</v>
      </c>
      <c r="F116" s="61">
        <f>VLOOKUP(C116,[1]VL!$B$3:$D$523,3,0)</f>
        <v>32000</v>
      </c>
      <c r="G116" s="62">
        <f t="shared" si="5"/>
        <v>28800</v>
      </c>
    </row>
    <row r="117" spans="1:7" ht="15.75">
      <c r="A117" s="207"/>
      <c r="B117" s="136">
        <v>8</v>
      </c>
      <c r="C117" s="5" t="s">
        <v>101</v>
      </c>
      <c r="D117" s="3" t="s">
        <v>108</v>
      </c>
      <c r="E117" s="30">
        <v>0.9</v>
      </c>
      <c r="F117" s="61">
        <f>VLOOKUP(C117,[1]VL!$B$3:$D$523,3,0)</f>
        <v>550</v>
      </c>
      <c r="G117" s="62">
        <f t="shared" si="5"/>
        <v>495</v>
      </c>
    </row>
    <row r="118" spans="1:7" ht="15.75">
      <c r="A118" s="207"/>
      <c r="B118" s="136">
        <v>9</v>
      </c>
      <c r="C118" s="7" t="s">
        <v>130</v>
      </c>
      <c r="D118" s="3" t="s">
        <v>114</v>
      </c>
      <c r="E118" s="30">
        <v>0.5</v>
      </c>
      <c r="F118" s="61">
        <f>VLOOKUP(C118,[1]VL!$B$3:$D$523,3,0)</f>
        <v>1770</v>
      </c>
      <c r="G118" s="62">
        <f t="shared" si="5"/>
        <v>885</v>
      </c>
    </row>
    <row r="119" spans="1:7" ht="18.75">
      <c r="A119" s="207"/>
      <c r="B119" s="136">
        <v>10</v>
      </c>
      <c r="C119" s="7" t="s">
        <v>131</v>
      </c>
      <c r="D119" s="3" t="s">
        <v>114</v>
      </c>
      <c r="E119" s="30">
        <v>0.5</v>
      </c>
      <c r="F119" s="61">
        <f>VLOOKUP(C119,[1]VL!$B$3:$D$523,3,0)</f>
        <v>128000</v>
      </c>
      <c r="G119" s="62">
        <f t="shared" si="5"/>
        <v>64000</v>
      </c>
    </row>
    <row r="120" spans="1:7" ht="15.75">
      <c r="A120" s="207"/>
      <c r="B120" s="136">
        <v>11</v>
      </c>
      <c r="C120" s="7" t="s">
        <v>85</v>
      </c>
      <c r="D120" s="3" t="s">
        <v>80</v>
      </c>
      <c r="E120" s="30">
        <v>10</v>
      </c>
      <c r="F120" s="61">
        <f>VLOOKUP(C120,[1]VL!$B$3:$D$523,3,0)</f>
        <v>35</v>
      </c>
      <c r="G120" s="62">
        <f t="shared" si="5"/>
        <v>350</v>
      </c>
    </row>
    <row r="121" spans="1:7" ht="15.75">
      <c r="A121" s="207"/>
      <c r="B121" s="136">
        <v>12</v>
      </c>
      <c r="C121" s="19" t="s">
        <v>398</v>
      </c>
      <c r="D121" s="3" t="s">
        <v>86</v>
      </c>
      <c r="E121" s="20">
        <v>0.05</v>
      </c>
      <c r="F121" s="61">
        <f>VLOOKUP(C121,[1]VL!$B$3:$D$523,3,0)</f>
        <v>750000</v>
      </c>
      <c r="G121" s="62">
        <f t="shared" si="5"/>
        <v>37500</v>
      </c>
    </row>
    <row r="122" spans="1:7" ht="15.75">
      <c r="A122" s="207"/>
      <c r="B122" s="136">
        <v>13</v>
      </c>
      <c r="C122" s="7" t="s">
        <v>90</v>
      </c>
      <c r="D122" s="4" t="s">
        <v>247</v>
      </c>
      <c r="E122" s="30">
        <v>0.01</v>
      </c>
      <c r="F122" s="61">
        <f>VLOOKUP(C122,[1]VL!$B$3:$D$523,3,0)</f>
        <v>80000</v>
      </c>
      <c r="G122" s="62">
        <f t="shared" si="5"/>
        <v>800</v>
      </c>
    </row>
    <row r="123" spans="1:7" ht="15.75">
      <c r="A123" s="207"/>
      <c r="B123" s="136">
        <v>14</v>
      </c>
      <c r="C123" s="7" t="s">
        <v>87</v>
      </c>
      <c r="D123" s="3" t="s">
        <v>88</v>
      </c>
      <c r="E123" s="20">
        <v>5.0000000000000001E-3</v>
      </c>
      <c r="F123" s="61">
        <f>VLOOKUP(C123,[1]VL!$B$3:$D$523,3,0)</f>
        <v>10000</v>
      </c>
      <c r="G123" s="62">
        <f t="shared" si="5"/>
        <v>50</v>
      </c>
    </row>
    <row r="124" spans="1:7" ht="15.75">
      <c r="A124" s="207"/>
      <c r="B124" s="136">
        <v>15</v>
      </c>
      <c r="C124" s="31" t="s">
        <v>90</v>
      </c>
      <c r="D124" s="4" t="s">
        <v>247</v>
      </c>
      <c r="E124" s="30">
        <v>0.01</v>
      </c>
      <c r="F124" s="61">
        <f>VLOOKUP(C124,[1]VL!$B$3:$D$523,3,0)</f>
        <v>80000</v>
      </c>
      <c r="G124" s="62">
        <f t="shared" si="5"/>
        <v>800</v>
      </c>
    </row>
    <row r="125" spans="1:7" ht="15.75">
      <c r="A125" s="207">
        <v>5</v>
      </c>
      <c r="B125" s="275" t="s">
        <v>315</v>
      </c>
      <c r="C125" s="91" t="s">
        <v>218</v>
      </c>
      <c r="D125" s="17"/>
      <c r="E125" s="18"/>
      <c r="F125" s="105"/>
      <c r="G125" s="111">
        <f>SUM(G126:G139)*1.08</f>
        <v>68002.200000000012</v>
      </c>
    </row>
    <row r="126" spans="1:7" ht="16.5">
      <c r="A126" s="207"/>
      <c r="B126" s="276">
        <v>1</v>
      </c>
      <c r="C126" s="5" t="s">
        <v>94</v>
      </c>
      <c r="D126" s="6" t="s">
        <v>95</v>
      </c>
      <c r="E126" s="108">
        <v>1</v>
      </c>
      <c r="F126" s="61">
        <f>VLOOKUP(C126,[1]VL!$B$3:$D$523,3,0)</f>
        <v>1340</v>
      </c>
      <c r="G126" s="62">
        <f t="shared" si="5"/>
        <v>1340</v>
      </c>
    </row>
    <row r="127" spans="1:7" ht="19.5">
      <c r="A127" s="207"/>
      <c r="B127" s="276">
        <v>2</v>
      </c>
      <c r="C127" s="106" t="s">
        <v>239</v>
      </c>
      <c r="D127" s="3" t="s">
        <v>108</v>
      </c>
      <c r="E127" s="108">
        <v>0.2</v>
      </c>
      <c r="F127" s="61">
        <f>VLOOKUP(C127,[1]VL!$B$3:$D$523,3,0)</f>
        <v>800</v>
      </c>
      <c r="G127" s="62">
        <f t="shared" si="5"/>
        <v>160</v>
      </c>
    </row>
    <row r="128" spans="1:7" ht="19.5">
      <c r="A128" s="207"/>
      <c r="B128" s="276">
        <v>3</v>
      </c>
      <c r="C128" s="106" t="s">
        <v>240</v>
      </c>
      <c r="D128" s="107" t="s">
        <v>95</v>
      </c>
      <c r="E128" s="108">
        <v>0.2</v>
      </c>
      <c r="F128" s="61">
        <f>VLOOKUP(C128,[1]VL!$B$3:$D$523,3,0)</f>
        <v>2400</v>
      </c>
      <c r="G128" s="62">
        <f t="shared" si="5"/>
        <v>480</v>
      </c>
    </row>
    <row r="129" spans="1:7" ht="19.5">
      <c r="A129" s="207"/>
      <c r="B129" s="276">
        <v>4</v>
      </c>
      <c r="C129" s="109" t="s">
        <v>241</v>
      </c>
      <c r="D129" s="107" t="s">
        <v>95</v>
      </c>
      <c r="E129" s="108">
        <v>0.6</v>
      </c>
      <c r="F129" s="61">
        <f>VLOOKUP(C129,[1]VL!$B$3:$D$523,3,0)</f>
        <v>1600</v>
      </c>
      <c r="G129" s="62">
        <f t="shared" si="5"/>
        <v>960</v>
      </c>
    </row>
    <row r="130" spans="1:7" ht="16.5">
      <c r="A130" s="207"/>
      <c r="B130" s="276">
        <v>5</v>
      </c>
      <c r="C130" s="109" t="s">
        <v>242</v>
      </c>
      <c r="D130" s="107" t="s">
        <v>95</v>
      </c>
      <c r="E130" s="108">
        <v>0.5</v>
      </c>
      <c r="F130" s="61">
        <f>VLOOKUP(C130,[1]VL!$B$3:$D$523,3,0)</f>
        <v>1360</v>
      </c>
      <c r="G130" s="62">
        <f t="shared" si="5"/>
        <v>680</v>
      </c>
    </row>
    <row r="131" spans="1:7" ht="19.5">
      <c r="A131" s="207"/>
      <c r="B131" s="276">
        <v>6</v>
      </c>
      <c r="C131" s="106" t="s">
        <v>243</v>
      </c>
      <c r="D131" s="107" t="s">
        <v>95</v>
      </c>
      <c r="E131" s="108">
        <v>0.5</v>
      </c>
      <c r="F131" s="61">
        <f>VLOOKUP(C131,[1]VL!$B$3:$D$523,3,0)</f>
        <v>4440</v>
      </c>
      <c r="G131" s="62">
        <f t="shared" si="5"/>
        <v>2220</v>
      </c>
    </row>
    <row r="132" spans="1:7" ht="19.5">
      <c r="A132" s="207"/>
      <c r="B132" s="276">
        <v>7</v>
      </c>
      <c r="C132" s="106" t="s">
        <v>244</v>
      </c>
      <c r="D132" s="107" t="s">
        <v>95</v>
      </c>
      <c r="E132" s="108">
        <v>2</v>
      </c>
      <c r="F132" s="61">
        <f>VLOOKUP(C132,[1]VL!$B$3:$D$523,3,0)</f>
        <v>3000</v>
      </c>
      <c r="G132" s="62">
        <f t="shared" si="5"/>
        <v>6000</v>
      </c>
    </row>
    <row r="133" spans="1:7" ht="16.5">
      <c r="A133" s="207"/>
      <c r="B133" s="276">
        <v>8</v>
      </c>
      <c r="C133" s="5" t="s">
        <v>101</v>
      </c>
      <c r="D133" s="107" t="s">
        <v>80</v>
      </c>
      <c r="E133" s="108">
        <v>0.5</v>
      </c>
      <c r="F133" s="61">
        <f>VLOOKUP(C133,[1]VL!$B$3:$D$523,3,0)</f>
        <v>550</v>
      </c>
      <c r="G133" s="62">
        <f t="shared" si="5"/>
        <v>275</v>
      </c>
    </row>
    <row r="134" spans="1:7" ht="19.5">
      <c r="A134" s="207"/>
      <c r="B134" s="276">
        <v>9</v>
      </c>
      <c r="C134" s="106" t="s">
        <v>245</v>
      </c>
      <c r="D134" s="107" t="s">
        <v>80</v>
      </c>
      <c r="E134" s="108">
        <v>2</v>
      </c>
      <c r="F134" s="61">
        <f>VLOOKUP(C134,[1]VL!$B$3:$D$523,3,0)</f>
        <v>575</v>
      </c>
      <c r="G134" s="62">
        <f t="shared" si="5"/>
        <v>1150</v>
      </c>
    </row>
    <row r="135" spans="1:7" ht="16.5">
      <c r="A135" s="207"/>
      <c r="B135" s="276">
        <v>10</v>
      </c>
      <c r="C135" s="106" t="s">
        <v>246</v>
      </c>
      <c r="D135" s="107" t="s">
        <v>95</v>
      </c>
      <c r="E135" s="108">
        <v>0.2</v>
      </c>
      <c r="F135" s="61">
        <f>VLOOKUP(C135,[1]VL!$B$3:$D$523,3,0)</f>
        <v>55000</v>
      </c>
      <c r="G135" s="62">
        <f t="shared" si="5"/>
        <v>11000</v>
      </c>
    </row>
    <row r="136" spans="1:7" ht="16.5">
      <c r="A136" s="207"/>
      <c r="B136" s="276">
        <v>11</v>
      </c>
      <c r="C136" s="106" t="s">
        <v>85</v>
      </c>
      <c r="D136" s="107" t="s">
        <v>80</v>
      </c>
      <c r="E136" s="108">
        <v>10</v>
      </c>
      <c r="F136" s="61">
        <f>VLOOKUP(C136,[1]VL!$B$3:$D$523,3,0)</f>
        <v>35</v>
      </c>
      <c r="G136" s="62">
        <f t="shared" si="5"/>
        <v>350</v>
      </c>
    </row>
    <row r="137" spans="1:7" ht="16.5">
      <c r="A137" s="207"/>
      <c r="B137" s="276">
        <v>12</v>
      </c>
      <c r="C137" s="19" t="s">
        <v>398</v>
      </c>
      <c r="D137" s="107" t="s">
        <v>86</v>
      </c>
      <c r="E137" s="20">
        <v>0.05</v>
      </c>
      <c r="F137" s="61">
        <f>VLOOKUP(C137,[1]VL!$B$3:$D$523,3,0)</f>
        <v>750000</v>
      </c>
      <c r="G137" s="62">
        <f t="shared" si="5"/>
        <v>37500</v>
      </c>
    </row>
    <row r="138" spans="1:7" ht="16.5">
      <c r="A138" s="207"/>
      <c r="B138" s="276">
        <v>13</v>
      </c>
      <c r="C138" s="106" t="s">
        <v>87</v>
      </c>
      <c r="D138" s="107" t="s">
        <v>88</v>
      </c>
      <c r="E138" s="26">
        <v>5.0000000000000001E-3</v>
      </c>
      <c r="F138" s="61">
        <f>VLOOKUP(C138,[1]VL!$B$3:$D$523,3,0)</f>
        <v>10000</v>
      </c>
      <c r="G138" s="62">
        <f t="shared" si="5"/>
        <v>50</v>
      </c>
    </row>
    <row r="139" spans="1:7" ht="16.5">
      <c r="A139" s="207"/>
      <c r="B139" s="276">
        <v>14</v>
      </c>
      <c r="C139" s="5" t="s">
        <v>90</v>
      </c>
      <c r="D139" s="4" t="s">
        <v>247</v>
      </c>
      <c r="E139" s="108">
        <v>0.01</v>
      </c>
      <c r="F139" s="61">
        <f>VLOOKUP(C139,[1]VL!$B$3:$D$523,3,0)</f>
        <v>80000</v>
      </c>
      <c r="G139" s="62">
        <f t="shared" si="5"/>
        <v>800</v>
      </c>
    </row>
    <row r="140" spans="1:7" ht="15.75">
      <c r="A140" s="207">
        <v>6</v>
      </c>
      <c r="B140" s="275" t="s">
        <v>316</v>
      </c>
      <c r="C140" s="91" t="s">
        <v>219</v>
      </c>
      <c r="D140" s="17"/>
      <c r="E140" s="18"/>
      <c r="F140" s="105"/>
      <c r="G140" s="111">
        <f>SUM(G141:G152)*1.08</f>
        <v>57294.000000000007</v>
      </c>
    </row>
    <row r="141" spans="1:7" ht="18.75">
      <c r="A141" s="207"/>
      <c r="B141" s="276">
        <v>1</v>
      </c>
      <c r="C141" s="19" t="s">
        <v>79</v>
      </c>
      <c r="D141" s="4" t="s">
        <v>80</v>
      </c>
      <c r="E141" s="110">
        <v>2</v>
      </c>
      <c r="F141" s="61">
        <f>VLOOKUP(C141,[1]VL!$B$3:$D$523,3,0)</f>
        <v>575</v>
      </c>
      <c r="G141" s="62">
        <f t="shared" si="5"/>
        <v>1150</v>
      </c>
    </row>
    <row r="142" spans="1:7" ht="16.5">
      <c r="A142" s="207"/>
      <c r="B142" s="276">
        <v>2</v>
      </c>
      <c r="C142" s="19" t="s">
        <v>248</v>
      </c>
      <c r="D142" s="4" t="s">
        <v>78</v>
      </c>
      <c r="E142" s="110">
        <v>0.2</v>
      </c>
      <c r="F142" s="61">
        <f>VLOOKUP(C142,[1]VL!$B$3:$D$523,3,0)</f>
        <v>16000</v>
      </c>
      <c r="G142" s="62">
        <f t="shared" si="5"/>
        <v>3200</v>
      </c>
    </row>
    <row r="143" spans="1:7" ht="18.75">
      <c r="A143" s="207"/>
      <c r="B143" s="276">
        <v>3</v>
      </c>
      <c r="C143" s="19" t="s">
        <v>249</v>
      </c>
      <c r="D143" s="4" t="s">
        <v>78</v>
      </c>
      <c r="E143" s="110">
        <v>0.2</v>
      </c>
      <c r="F143" s="61">
        <f>VLOOKUP(C143,[1]VL!$B$3:$D$523,3,0)</f>
        <v>2400</v>
      </c>
      <c r="G143" s="62">
        <f t="shared" si="5"/>
        <v>480</v>
      </c>
    </row>
    <row r="144" spans="1:7" ht="18.75">
      <c r="A144" s="207"/>
      <c r="B144" s="276">
        <v>4</v>
      </c>
      <c r="C144" s="19" t="s">
        <v>250</v>
      </c>
      <c r="D144" s="4" t="s">
        <v>78</v>
      </c>
      <c r="E144" s="110">
        <v>0.5</v>
      </c>
      <c r="F144" s="61">
        <f>VLOOKUP(C144,[1]VL!$B$3:$D$523,3,0)</f>
        <v>11200</v>
      </c>
      <c r="G144" s="62">
        <f t="shared" si="5"/>
        <v>5600</v>
      </c>
    </row>
    <row r="145" spans="1:7" ht="16.5">
      <c r="A145" s="207"/>
      <c r="B145" s="276">
        <v>5</v>
      </c>
      <c r="C145" s="5" t="s">
        <v>94</v>
      </c>
      <c r="D145" s="6" t="s">
        <v>95</v>
      </c>
      <c r="E145" s="110">
        <v>0.5</v>
      </c>
      <c r="F145" s="61">
        <f>VLOOKUP(C145,[1]VL!$B$3:$D$523,3,0)</f>
        <v>1340</v>
      </c>
      <c r="G145" s="62">
        <f t="shared" si="5"/>
        <v>670</v>
      </c>
    </row>
    <row r="146" spans="1:7" ht="16.5">
      <c r="A146" s="207"/>
      <c r="B146" s="276">
        <v>6</v>
      </c>
      <c r="C146" s="19" t="s">
        <v>251</v>
      </c>
      <c r="D146" s="4" t="s">
        <v>78</v>
      </c>
      <c r="E146" s="110">
        <v>0.4</v>
      </c>
      <c r="F146" s="61">
        <f>VLOOKUP(C146,[1]VL!$B$3:$D$523,3,0)</f>
        <v>2500</v>
      </c>
      <c r="G146" s="62">
        <f t="shared" si="5"/>
        <v>1000</v>
      </c>
    </row>
    <row r="147" spans="1:7" ht="16.5">
      <c r="A147" s="207"/>
      <c r="B147" s="276">
        <v>7</v>
      </c>
      <c r="C147" s="19" t="s">
        <v>252</v>
      </c>
      <c r="D147" s="4" t="s">
        <v>78</v>
      </c>
      <c r="E147" s="110">
        <v>0.3</v>
      </c>
      <c r="F147" s="61">
        <f>VLOOKUP(C147,[1]VL!$B$3:$D$523,3,0)</f>
        <v>3500</v>
      </c>
      <c r="G147" s="62">
        <f t="shared" si="5"/>
        <v>1050</v>
      </c>
    </row>
    <row r="148" spans="1:7" ht="18.75">
      <c r="A148" s="207"/>
      <c r="B148" s="276">
        <v>8</v>
      </c>
      <c r="C148" s="19" t="s">
        <v>253</v>
      </c>
      <c r="D148" s="4" t="s">
        <v>80</v>
      </c>
      <c r="E148" s="110">
        <v>0.5</v>
      </c>
      <c r="F148" s="61">
        <f>VLOOKUP(C148,[1]VL!$B$3:$D$523,3,0)</f>
        <v>2400</v>
      </c>
      <c r="G148" s="62">
        <f t="shared" si="5"/>
        <v>1200</v>
      </c>
    </row>
    <row r="149" spans="1:7" ht="16.5">
      <c r="A149" s="207"/>
      <c r="B149" s="276">
        <v>9</v>
      </c>
      <c r="C149" s="19" t="s">
        <v>85</v>
      </c>
      <c r="D149" s="4" t="s">
        <v>80</v>
      </c>
      <c r="E149" s="110">
        <v>10</v>
      </c>
      <c r="F149" s="61">
        <f>VLOOKUP(C149,[1]VL!$B$3:$D$523,3,0)</f>
        <v>35</v>
      </c>
      <c r="G149" s="62">
        <f t="shared" si="5"/>
        <v>350</v>
      </c>
    </row>
    <row r="150" spans="1:7" ht="15.75">
      <c r="A150" s="207"/>
      <c r="B150" s="276">
        <v>10</v>
      </c>
      <c r="C150" s="19" t="s">
        <v>398</v>
      </c>
      <c r="D150" s="4" t="s">
        <v>86</v>
      </c>
      <c r="E150" s="20">
        <v>0.05</v>
      </c>
      <c r="F150" s="61">
        <f>VLOOKUP(C150,[1]VL!$B$3:$D$523,3,0)</f>
        <v>750000</v>
      </c>
      <c r="G150" s="62">
        <f t="shared" si="5"/>
        <v>37500</v>
      </c>
    </row>
    <row r="151" spans="1:7" ht="16.5">
      <c r="A151" s="207"/>
      <c r="B151" s="276">
        <v>11</v>
      </c>
      <c r="C151" s="5" t="s">
        <v>90</v>
      </c>
      <c r="D151" s="4" t="s">
        <v>247</v>
      </c>
      <c r="E151" s="110">
        <v>0.01</v>
      </c>
      <c r="F151" s="61">
        <f>VLOOKUP(C151,[1]VL!$B$3:$D$523,3,0)</f>
        <v>80000</v>
      </c>
      <c r="G151" s="62">
        <f t="shared" si="5"/>
        <v>800</v>
      </c>
    </row>
    <row r="152" spans="1:7" ht="15.75">
      <c r="A152" s="207"/>
      <c r="B152" s="276">
        <v>12</v>
      </c>
      <c r="C152" s="19" t="s">
        <v>87</v>
      </c>
      <c r="D152" s="4" t="s">
        <v>88</v>
      </c>
      <c r="E152" s="26">
        <v>5.0000000000000001E-3</v>
      </c>
      <c r="F152" s="61">
        <f>VLOOKUP(C152,[1]VL!$B$3:$D$523,3,0)</f>
        <v>10000</v>
      </c>
      <c r="G152" s="62">
        <f t="shared" si="5"/>
        <v>50</v>
      </c>
    </row>
    <row r="153" spans="1:7" ht="15.75">
      <c r="A153" s="207">
        <v>7</v>
      </c>
      <c r="B153" s="277" t="s">
        <v>317</v>
      </c>
      <c r="C153" s="112" t="s">
        <v>213</v>
      </c>
      <c r="D153" s="113"/>
      <c r="E153" s="30"/>
      <c r="F153" s="61"/>
      <c r="G153" s="111">
        <f>SUM(G154:G174)*1.08</f>
        <v>365897.52</v>
      </c>
    </row>
    <row r="154" spans="1:7" ht="15.75">
      <c r="A154" s="207"/>
      <c r="B154" s="278">
        <v>1</v>
      </c>
      <c r="C154" s="99" t="s">
        <v>112</v>
      </c>
      <c r="D154" s="115" t="s">
        <v>80</v>
      </c>
      <c r="E154" s="103">
        <v>100</v>
      </c>
      <c r="F154" s="61">
        <f>VLOOKUP(C154,[1]VL!$B$3:$D$523,3,0)</f>
        <v>1600</v>
      </c>
      <c r="G154" s="62">
        <f t="shared" si="5"/>
        <v>160000</v>
      </c>
    </row>
    <row r="155" spans="1:7" ht="18.75">
      <c r="A155" s="207"/>
      <c r="B155" s="278">
        <v>2</v>
      </c>
      <c r="C155" s="100" t="s">
        <v>265</v>
      </c>
      <c r="D155" s="115" t="s">
        <v>80</v>
      </c>
      <c r="E155" s="103">
        <v>100</v>
      </c>
      <c r="F155" s="61">
        <f>VLOOKUP(C155,[1]VL!$B$3:$D$523,3,0)</f>
        <v>750</v>
      </c>
      <c r="G155" s="62">
        <f t="shared" si="5"/>
        <v>75000</v>
      </c>
    </row>
    <row r="156" spans="1:7" ht="18.75">
      <c r="A156" s="207"/>
      <c r="B156" s="278">
        <v>3</v>
      </c>
      <c r="C156" s="114" t="s">
        <v>254</v>
      </c>
      <c r="D156" s="115" t="s">
        <v>114</v>
      </c>
      <c r="E156" s="116">
        <v>0.3</v>
      </c>
      <c r="F156" s="61">
        <f>VLOOKUP(C156,[1]VL!$B$3:$D$523,3,0)</f>
        <v>8400</v>
      </c>
      <c r="G156" s="62">
        <f t="shared" si="5"/>
        <v>2520</v>
      </c>
    </row>
    <row r="157" spans="1:7" ht="15.75">
      <c r="A157" s="207"/>
      <c r="B157" s="278">
        <v>4</v>
      </c>
      <c r="C157" s="114" t="s">
        <v>394</v>
      </c>
      <c r="D157" s="115" t="s">
        <v>114</v>
      </c>
      <c r="E157" s="116">
        <v>1.04</v>
      </c>
      <c r="F157" s="61">
        <f>VLOOKUP(C157,[1]VL!$B$3:$D$523,3,0)</f>
        <v>1600</v>
      </c>
      <c r="G157" s="62">
        <f t="shared" si="5"/>
        <v>1664</v>
      </c>
    </row>
    <row r="158" spans="1:7" ht="15.75">
      <c r="A158" s="207"/>
      <c r="B158" s="278">
        <v>5</v>
      </c>
      <c r="C158" s="114" t="s">
        <v>395</v>
      </c>
      <c r="D158" s="115" t="s">
        <v>114</v>
      </c>
      <c r="E158" s="116">
        <v>1</v>
      </c>
      <c r="F158" s="61">
        <f>VLOOKUP(C158,[1]VL!$B$3:$D$523,3,0)</f>
        <v>1500</v>
      </c>
      <c r="G158" s="62">
        <f t="shared" si="5"/>
        <v>1500</v>
      </c>
    </row>
    <row r="159" spans="1:7" ht="15.75">
      <c r="A159" s="207"/>
      <c r="B159" s="278">
        <v>6</v>
      </c>
      <c r="C159" s="114" t="s">
        <v>255</v>
      </c>
      <c r="D159" s="115" t="s">
        <v>114</v>
      </c>
      <c r="E159" s="116">
        <v>0.8</v>
      </c>
      <c r="F159" s="61">
        <f>VLOOKUP(C159,[1]VL!$B$3:$D$523,3,0)</f>
        <v>24000</v>
      </c>
      <c r="G159" s="62">
        <f t="shared" si="5"/>
        <v>19200</v>
      </c>
    </row>
    <row r="160" spans="1:7" ht="18.75">
      <c r="A160" s="207"/>
      <c r="B160" s="278">
        <v>7</v>
      </c>
      <c r="C160" s="114" t="s">
        <v>256</v>
      </c>
      <c r="D160" s="115" t="s">
        <v>114</v>
      </c>
      <c r="E160" s="116">
        <v>0.3</v>
      </c>
      <c r="F160" s="61">
        <f>VLOOKUP(C160,[1]VL!$B$3:$D$523,3,0)</f>
        <v>800</v>
      </c>
      <c r="G160" s="62">
        <f t="shared" si="5"/>
        <v>240</v>
      </c>
    </row>
    <row r="161" spans="1:7" ht="18.75">
      <c r="A161" s="207"/>
      <c r="B161" s="278">
        <v>8</v>
      </c>
      <c r="C161" s="99" t="s">
        <v>257</v>
      </c>
      <c r="D161" s="115" t="s">
        <v>114</v>
      </c>
      <c r="E161" s="116">
        <v>2</v>
      </c>
      <c r="F161" s="61">
        <f>VLOOKUP(C161,[1]VL!$B$3:$D$523,3,0)</f>
        <v>2800</v>
      </c>
      <c r="G161" s="62">
        <f t="shared" si="5"/>
        <v>5600</v>
      </c>
    </row>
    <row r="162" spans="1:7" ht="18.75">
      <c r="A162" s="207"/>
      <c r="B162" s="278">
        <v>9</v>
      </c>
      <c r="C162" s="114" t="s">
        <v>258</v>
      </c>
      <c r="D162" s="115" t="s">
        <v>108</v>
      </c>
      <c r="E162" s="116">
        <v>4</v>
      </c>
      <c r="F162" s="61">
        <f>VLOOKUP(C162,[1]VL!$B$3:$D$523,3,0)</f>
        <v>500</v>
      </c>
      <c r="G162" s="62">
        <f t="shared" si="5"/>
        <v>2000</v>
      </c>
    </row>
    <row r="163" spans="1:7" ht="15.75">
      <c r="A163" s="207"/>
      <c r="B163" s="278">
        <v>10</v>
      </c>
      <c r="C163" s="99" t="s">
        <v>259</v>
      </c>
      <c r="D163" s="115" t="s">
        <v>114</v>
      </c>
      <c r="E163" s="116">
        <v>0.15</v>
      </c>
      <c r="F163" s="61">
        <f>VLOOKUP(C163,[1]VL!$B$3:$D$523,3,0)</f>
        <v>2200</v>
      </c>
      <c r="G163" s="62">
        <f t="shared" si="5"/>
        <v>330</v>
      </c>
    </row>
    <row r="164" spans="1:7" ht="15.75">
      <c r="A164" s="207"/>
      <c r="B164" s="278">
        <v>11</v>
      </c>
      <c r="C164" s="5" t="s">
        <v>101</v>
      </c>
      <c r="D164" s="3" t="s">
        <v>108</v>
      </c>
      <c r="E164" s="116">
        <v>10</v>
      </c>
      <c r="F164" s="61">
        <f>VLOOKUP(C164,[1]VL!$B$3:$D$523,3,0)</f>
        <v>550</v>
      </c>
      <c r="G164" s="62">
        <f t="shared" si="5"/>
        <v>5500</v>
      </c>
    </row>
    <row r="165" spans="1:7" ht="15.75">
      <c r="A165" s="207"/>
      <c r="B165" s="278">
        <v>12</v>
      </c>
      <c r="C165" s="114" t="s">
        <v>260</v>
      </c>
      <c r="D165" s="115" t="s">
        <v>114</v>
      </c>
      <c r="E165" s="116">
        <v>2</v>
      </c>
      <c r="F165" s="61">
        <f>VLOOKUP(C165,[1]VL!$B$3:$D$523,3,0)</f>
        <v>6000</v>
      </c>
      <c r="G165" s="62">
        <f t="shared" si="5"/>
        <v>12000</v>
      </c>
    </row>
    <row r="166" spans="1:7" ht="18.75">
      <c r="A166" s="207"/>
      <c r="B166" s="278">
        <v>13</v>
      </c>
      <c r="C166" s="114" t="s">
        <v>261</v>
      </c>
      <c r="D166" s="115" t="s">
        <v>114</v>
      </c>
      <c r="E166" s="116">
        <v>2</v>
      </c>
      <c r="F166" s="61">
        <f>VLOOKUP(C166,[1]VL!$B$3:$D$523,3,0)</f>
        <v>800</v>
      </c>
      <c r="G166" s="62">
        <f t="shared" si="5"/>
        <v>1600</v>
      </c>
    </row>
    <row r="167" spans="1:7" ht="18.75">
      <c r="A167" s="207"/>
      <c r="B167" s="278">
        <v>14</v>
      </c>
      <c r="C167" s="114" t="s">
        <v>262</v>
      </c>
      <c r="D167" s="115" t="s">
        <v>114</v>
      </c>
      <c r="E167" s="116">
        <v>1.9</v>
      </c>
      <c r="F167" s="61">
        <f>VLOOKUP(C167,[1]VL!$B$3:$D$523,3,0)</f>
        <v>2200</v>
      </c>
      <c r="G167" s="62">
        <f t="shared" si="5"/>
        <v>4180</v>
      </c>
    </row>
    <row r="168" spans="1:7" ht="18.75">
      <c r="A168" s="207"/>
      <c r="B168" s="278">
        <v>15</v>
      </c>
      <c r="C168" s="114" t="s">
        <v>263</v>
      </c>
      <c r="D168" s="3" t="s">
        <v>108</v>
      </c>
      <c r="E168" s="116">
        <v>2</v>
      </c>
      <c r="F168" s="61">
        <f>VLOOKUP(C168,[1]VL!$B$3:$D$523,3,0)</f>
        <v>1450</v>
      </c>
      <c r="G168" s="62">
        <f t="shared" si="5"/>
        <v>2900</v>
      </c>
    </row>
    <row r="169" spans="1:7" ht="15.75">
      <c r="A169" s="207"/>
      <c r="B169" s="278">
        <v>16</v>
      </c>
      <c r="C169" s="114" t="s">
        <v>94</v>
      </c>
      <c r="D169" s="6" t="s">
        <v>95</v>
      </c>
      <c r="E169" s="116">
        <v>4</v>
      </c>
      <c r="F169" s="61">
        <f>VLOOKUP(C169,[1]VL!$B$3:$D$523,3,0)</f>
        <v>1340</v>
      </c>
      <c r="G169" s="62">
        <f t="shared" si="5"/>
        <v>5360</v>
      </c>
    </row>
    <row r="170" spans="1:7" ht="15.75">
      <c r="A170" s="207"/>
      <c r="B170" s="278">
        <v>17</v>
      </c>
      <c r="C170" s="114" t="s">
        <v>264</v>
      </c>
      <c r="D170" s="115" t="s">
        <v>114</v>
      </c>
      <c r="E170" s="116">
        <v>0.2</v>
      </c>
      <c r="F170" s="61">
        <f>VLOOKUP(C170,[1]VL!$B$3:$D$523,3,0)</f>
        <v>2500</v>
      </c>
      <c r="G170" s="62">
        <f t="shared" si="5"/>
        <v>500</v>
      </c>
    </row>
    <row r="171" spans="1:7" ht="15.75">
      <c r="A171" s="207"/>
      <c r="B171" s="278">
        <v>18</v>
      </c>
      <c r="C171" s="114" t="s">
        <v>85</v>
      </c>
      <c r="D171" s="115" t="s">
        <v>80</v>
      </c>
      <c r="E171" s="116">
        <v>10</v>
      </c>
      <c r="F171" s="61">
        <f>VLOOKUP(C171,[1]VL!$B$3:$D$523,3,0)</f>
        <v>35</v>
      </c>
      <c r="G171" s="62">
        <f t="shared" si="5"/>
        <v>350</v>
      </c>
    </row>
    <row r="172" spans="1:7" ht="15.75">
      <c r="A172" s="207"/>
      <c r="B172" s="278">
        <v>19</v>
      </c>
      <c r="C172" s="19" t="s">
        <v>398</v>
      </c>
      <c r="D172" s="115" t="s">
        <v>86</v>
      </c>
      <c r="E172" s="20">
        <v>0.05</v>
      </c>
      <c r="F172" s="61">
        <f>VLOOKUP(C172,[1]VL!$B$3:$D$523,3,0)</f>
        <v>750000</v>
      </c>
      <c r="G172" s="62">
        <f t="shared" si="5"/>
        <v>37500</v>
      </c>
    </row>
    <row r="173" spans="1:7" ht="15.75">
      <c r="A173" s="207"/>
      <c r="B173" s="278">
        <v>20</v>
      </c>
      <c r="C173" s="114" t="s">
        <v>90</v>
      </c>
      <c r="D173" s="4" t="s">
        <v>247</v>
      </c>
      <c r="E173" s="116">
        <v>0.01</v>
      </c>
      <c r="F173" s="61">
        <f>VLOOKUP(C173,[1]VL!$B$3:$D$523,3,0)</f>
        <v>80000</v>
      </c>
      <c r="G173" s="62">
        <f t="shared" si="5"/>
        <v>800</v>
      </c>
    </row>
    <row r="174" spans="1:7" ht="16.5">
      <c r="A174" s="207"/>
      <c r="B174" s="278">
        <v>21</v>
      </c>
      <c r="C174" s="114" t="s">
        <v>87</v>
      </c>
      <c r="D174" s="115" t="s">
        <v>88</v>
      </c>
      <c r="E174" s="117">
        <v>5.0000000000000001E-3</v>
      </c>
      <c r="F174" s="61">
        <f>VLOOKUP(C174,[1]VL!$B$3:$D$523,3,0)</f>
        <v>10000</v>
      </c>
      <c r="G174" s="62">
        <f t="shared" si="5"/>
        <v>50</v>
      </c>
    </row>
    <row r="175" spans="1:7" ht="15.75">
      <c r="A175" s="207">
        <v>8</v>
      </c>
      <c r="B175" s="174" t="s">
        <v>437</v>
      </c>
      <c r="C175" s="319" t="s">
        <v>447</v>
      </c>
      <c r="D175" s="32"/>
      <c r="E175" s="33"/>
      <c r="F175" s="61"/>
      <c r="G175" s="63">
        <f>SUM(G176:G186)*1.08</f>
        <v>95796</v>
      </c>
    </row>
    <row r="176" spans="1:7" ht="15.75">
      <c r="A176" s="207"/>
      <c r="B176" s="280">
        <v>1</v>
      </c>
      <c r="C176" s="5" t="s">
        <v>91</v>
      </c>
      <c r="D176" s="6" t="s">
        <v>80</v>
      </c>
      <c r="E176" s="26">
        <v>1</v>
      </c>
      <c r="F176" s="61">
        <f>VLOOKUP(C176,[1]VL!$B$3:$D$523,3,0)</f>
        <v>2400</v>
      </c>
      <c r="G176" s="62">
        <f t="shared" si="5"/>
        <v>2400</v>
      </c>
    </row>
    <row r="177" spans="1:7" ht="18.75">
      <c r="A177" s="207"/>
      <c r="B177" s="280">
        <v>2</v>
      </c>
      <c r="C177" s="5" t="s">
        <v>92</v>
      </c>
      <c r="D177" s="6" t="s">
        <v>80</v>
      </c>
      <c r="E177" s="26">
        <v>10</v>
      </c>
      <c r="F177" s="61">
        <f>VLOOKUP(C177,[1]VL!$B$3:$D$523,3,0)</f>
        <v>660</v>
      </c>
      <c r="G177" s="62">
        <f t="shared" si="5"/>
        <v>6600</v>
      </c>
    </row>
    <row r="178" spans="1:7" ht="18.75">
      <c r="A178" s="207"/>
      <c r="B178" s="280">
        <v>3</v>
      </c>
      <c r="C178" s="5" t="s">
        <v>93</v>
      </c>
      <c r="D178" s="6" t="s">
        <v>80</v>
      </c>
      <c r="E178" s="26">
        <v>10</v>
      </c>
      <c r="F178" s="61">
        <f>VLOOKUP(C178,[1]VL!$B$3:$D$523,3,0)</f>
        <v>1100</v>
      </c>
      <c r="G178" s="62">
        <f t="shared" si="5"/>
        <v>11000</v>
      </c>
    </row>
    <row r="179" spans="1:7" ht="15.75">
      <c r="A179" s="207"/>
      <c r="B179" s="280">
        <v>4</v>
      </c>
      <c r="C179" s="5" t="s">
        <v>94</v>
      </c>
      <c r="D179" s="6" t="s">
        <v>95</v>
      </c>
      <c r="E179" s="26">
        <v>10</v>
      </c>
      <c r="F179" s="61">
        <f>VLOOKUP(C179,[1]VL!$B$3:$D$523,3,0)</f>
        <v>1340</v>
      </c>
      <c r="G179" s="62">
        <f t="shared" si="5"/>
        <v>13400</v>
      </c>
    </row>
    <row r="180" spans="1:7" ht="18.75">
      <c r="A180" s="207"/>
      <c r="B180" s="280">
        <v>5</v>
      </c>
      <c r="C180" s="5" t="s">
        <v>96</v>
      </c>
      <c r="D180" s="6" t="s">
        <v>95</v>
      </c>
      <c r="E180" s="26">
        <v>10</v>
      </c>
      <c r="F180" s="61">
        <f>VLOOKUP(C180,[1]VL!$B$3:$D$523,3,0)</f>
        <v>980</v>
      </c>
      <c r="G180" s="62">
        <f t="shared" si="5"/>
        <v>9800</v>
      </c>
    </row>
    <row r="181" spans="1:7" ht="15.75">
      <c r="A181" s="207"/>
      <c r="B181" s="280">
        <v>6</v>
      </c>
      <c r="C181" s="5" t="s">
        <v>97</v>
      </c>
      <c r="D181" s="6" t="s">
        <v>95</v>
      </c>
      <c r="E181" s="26">
        <v>1E-3</v>
      </c>
      <c r="F181" s="61">
        <f>VLOOKUP(C181,[1]VL!$B$3:$D$523,3,0)</f>
        <v>5500000</v>
      </c>
      <c r="G181" s="62">
        <f t="shared" si="5"/>
        <v>5500</v>
      </c>
    </row>
    <row r="182" spans="1:7" ht="15.75">
      <c r="A182" s="207"/>
      <c r="B182" s="280">
        <v>7</v>
      </c>
      <c r="C182" s="5" t="s">
        <v>85</v>
      </c>
      <c r="D182" s="6" t="s">
        <v>80</v>
      </c>
      <c r="E182" s="26">
        <v>10</v>
      </c>
      <c r="F182" s="61">
        <f>VLOOKUP(C182,[1]VL!$B$3:$D$523,3,0)</f>
        <v>35</v>
      </c>
      <c r="G182" s="62">
        <f t="shared" si="5"/>
        <v>350</v>
      </c>
    </row>
    <row r="183" spans="1:7" ht="15.75">
      <c r="A183" s="207"/>
      <c r="B183" s="280">
        <v>8</v>
      </c>
      <c r="C183" s="19" t="s">
        <v>398</v>
      </c>
      <c r="D183" s="6" t="s">
        <v>86</v>
      </c>
      <c r="E183" s="20">
        <v>0.05</v>
      </c>
      <c r="F183" s="61">
        <f>VLOOKUP(C183,[1]VL!$B$3:$D$523,3,0)</f>
        <v>750000</v>
      </c>
      <c r="G183" s="62">
        <f t="shared" si="5"/>
        <v>37500</v>
      </c>
    </row>
    <row r="184" spans="1:7" ht="15.75">
      <c r="A184" s="207"/>
      <c r="B184" s="280">
        <v>9</v>
      </c>
      <c r="C184" s="5" t="s">
        <v>87</v>
      </c>
      <c r="D184" s="6" t="s">
        <v>88</v>
      </c>
      <c r="E184" s="20">
        <v>5.0000000000000001E-3</v>
      </c>
      <c r="F184" s="61">
        <f>VLOOKUP(C184,[1]VL!$B$3:$D$523,3,0)</f>
        <v>10000</v>
      </c>
      <c r="G184" s="62">
        <f t="shared" si="5"/>
        <v>50</v>
      </c>
    </row>
    <row r="185" spans="1:7" ht="15.75">
      <c r="A185" s="207"/>
      <c r="B185" s="280">
        <v>10</v>
      </c>
      <c r="C185" s="5" t="s">
        <v>90</v>
      </c>
      <c r="D185" s="4" t="s">
        <v>247</v>
      </c>
      <c r="E185" s="26">
        <v>0.01</v>
      </c>
      <c r="F185" s="61">
        <f>VLOOKUP(C185,[1]VL!$B$3:$D$523,3,0)</f>
        <v>80000</v>
      </c>
      <c r="G185" s="62">
        <f t="shared" si="5"/>
        <v>800</v>
      </c>
    </row>
    <row r="186" spans="1:7" ht="15.75">
      <c r="A186" s="207"/>
      <c r="B186" s="280">
        <v>11</v>
      </c>
      <c r="C186" s="5" t="s">
        <v>98</v>
      </c>
      <c r="D186" s="35" t="s">
        <v>99</v>
      </c>
      <c r="E186" s="26">
        <v>2E-3</v>
      </c>
      <c r="F186" s="61">
        <f>VLOOKUP(C186,[1]VL!$B$3:$D$523,3,0)</f>
        <v>650000</v>
      </c>
      <c r="G186" s="62">
        <f t="shared" si="5"/>
        <v>1300</v>
      </c>
    </row>
    <row r="187" spans="1:7" ht="15.75">
      <c r="A187" s="207">
        <v>9</v>
      </c>
      <c r="B187" s="311" t="s">
        <v>438</v>
      </c>
      <c r="C187" s="265" t="s">
        <v>448</v>
      </c>
      <c r="D187" s="402" t="s">
        <v>446</v>
      </c>
      <c r="E187" s="403"/>
      <c r="F187" s="404"/>
      <c r="G187" s="62">
        <f>G175</f>
        <v>95796</v>
      </c>
    </row>
    <row r="188" spans="1:7" ht="15.75">
      <c r="A188" s="207">
        <v>10</v>
      </c>
      <c r="B188" s="172" t="s">
        <v>439</v>
      </c>
      <c r="C188" s="312" t="s">
        <v>449</v>
      </c>
      <c r="D188" s="312"/>
      <c r="E188" s="312"/>
      <c r="F188" s="312"/>
      <c r="G188" s="63">
        <f>SUM(G189:G203)*1.08</f>
        <v>97794</v>
      </c>
    </row>
    <row r="189" spans="1:7" ht="15.75">
      <c r="A189" s="207"/>
      <c r="B189" s="280">
        <v>1</v>
      </c>
      <c r="C189" s="5" t="s">
        <v>91</v>
      </c>
      <c r="D189" s="6" t="s">
        <v>80</v>
      </c>
      <c r="E189" s="26">
        <v>1</v>
      </c>
      <c r="F189" s="61">
        <f>VLOOKUP(C189,[1]VL!$B$3:$D$523,3,0)</f>
        <v>2400</v>
      </c>
      <c r="G189" s="62">
        <f t="shared" si="5"/>
        <v>2400</v>
      </c>
    </row>
    <row r="190" spans="1:7" ht="18.75">
      <c r="A190" s="207"/>
      <c r="B190" s="280">
        <v>2</v>
      </c>
      <c r="C190" s="5" t="s">
        <v>93</v>
      </c>
      <c r="D190" s="6" t="s">
        <v>80</v>
      </c>
      <c r="E190" s="26">
        <v>10</v>
      </c>
      <c r="F190" s="61">
        <f>VLOOKUP(C190,[1]VL!$B$3:$D$523,3,0)</f>
        <v>1100</v>
      </c>
      <c r="G190" s="62">
        <f t="shared" si="5"/>
        <v>11000</v>
      </c>
    </row>
    <row r="191" spans="1:7" ht="18.75">
      <c r="A191" s="207"/>
      <c r="B191" s="280">
        <v>3</v>
      </c>
      <c r="C191" s="5" t="s">
        <v>92</v>
      </c>
      <c r="D191" s="6" t="s">
        <v>80</v>
      </c>
      <c r="E191" s="26">
        <v>10</v>
      </c>
      <c r="F191" s="61">
        <f>VLOOKUP(C191,[1]VL!$B$3:$D$523,3,0)</f>
        <v>660</v>
      </c>
      <c r="G191" s="62">
        <f t="shared" si="5"/>
        <v>6600</v>
      </c>
    </row>
    <row r="192" spans="1:7" ht="18.75">
      <c r="A192" s="207"/>
      <c r="B192" s="280">
        <v>4</v>
      </c>
      <c r="C192" s="5" t="s">
        <v>100</v>
      </c>
      <c r="D192" s="6" t="s">
        <v>80</v>
      </c>
      <c r="E192" s="26">
        <v>2</v>
      </c>
      <c r="F192" s="61">
        <f>VLOOKUP(C192,[1]VL!$B$3:$D$523,3,0)</f>
        <v>575</v>
      </c>
      <c r="G192" s="62">
        <f t="shared" si="5"/>
        <v>1150</v>
      </c>
    </row>
    <row r="193" spans="1:7" ht="15.75">
      <c r="A193" s="207"/>
      <c r="B193" s="280">
        <v>5</v>
      </c>
      <c r="C193" s="5" t="s">
        <v>101</v>
      </c>
      <c r="D193" s="3" t="s">
        <v>108</v>
      </c>
      <c r="E193" s="26">
        <v>5</v>
      </c>
      <c r="F193" s="61">
        <f>VLOOKUP(C193,[1]VL!$B$3:$D$523,3,0)</f>
        <v>550</v>
      </c>
      <c r="G193" s="62">
        <f t="shared" si="5"/>
        <v>2750</v>
      </c>
    </row>
    <row r="194" spans="1:7" ht="18.75">
      <c r="A194" s="207"/>
      <c r="B194" s="280">
        <v>6</v>
      </c>
      <c r="C194" s="5" t="s">
        <v>102</v>
      </c>
      <c r="D194" s="6" t="s">
        <v>95</v>
      </c>
      <c r="E194" s="26">
        <v>1</v>
      </c>
      <c r="F194" s="61">
        <f>VLOOKUP(C194,[1]VL!$B$3:$D$523,3,0)</f>
        <v>2250</v>
      </c>
      <c r="G194" s="62">
        <f t="shared" si="5"/>
        <v>2250</v>
      </c>
    </row>
    <row r="195" spans="1:7" ht="18.75">
      <c r="A195" s="207"/>
      <c r="B195" s="280">
        <v>7</v>
      </c>
      <c r="C195" s="5" t="s">
        <v>103</v>
      </c>
      <c r="D195" s="6" t="s">
        <v>95</v>
      </c>
      <c r="E195" s="26">
        <v>1</v>
      </c>
      <c r="F195" s="61">
        <f>VLOOKUP(C195,[1]VL!$B$3:$D$523,3,0)</f>
        <v>2400</v>
      </c>
      <c r="G195" s="62">
        <f t="shared" si="5"/>
        <v>2400</v>
      </c>
    </row>
    <row r="196" spans="1:7" ht="18.75">
      <c r="A196" s="207"/>
      <c r="B196" s="280">
        <v>8</v>
      </c>
      <c r="C196" s="5" t="s">
        <v>104</v>
      </c>
      <c r="D196" s="115" t="s">
        <v>108</v>
      </c>
      <c r="E196" s="26">
        <v>1</v>
      </c>
      <c r="F196" s="61">
        <f>VLOOKUP(C196,[1]VL!$B$3:$D$523,3,0)</f>
        <v>12000</v>
      </c>
      <c r="G196" s="62">
        <f t="shared" si="5"/>
        <v>12000</v>
      </c>
    </row>
    <row r="197" spans="1:7" ht="18.75">
      <c r="A197" s="207"/>
      <c r="B197" s="280">
        <v>9</v>
      </c>
      <c r="C197" s="5" t="s">
        <v>105</v>
      </c>
      <c r="D197" s="6" t="s">
        <v>95</v>
      </c>
      <c r="E197" s="26">
        <v>0.5</v>
      </c>
      <c r="F197" s="61">
        <f>VLOOKUP(C197,[1]VL!$B$3:$D$523,3,0)</f>
        <v>16000</v>
      </c>
      <c r="G197" s="62">
        <f t="shared" si="5"/>
        <v>8000</v>
      </c>
    </row>
    <row r="198" spans="1:7" ht="15.75">
      <c r="A198" s="207"/>
      <c r="B198" s="280">
        <v>10</v>
      </c>
      <c r="C198" s="5" t="s">
        <v>85</v>
      </c>
      <c r="D198" s="6" t="s">
        <v>80</v>
      </c>
      <c r="E198" s="26">
        <v>10</v>
      </c>
      <c r="F198" s="61">
        <f>VLOOKUP(C198,[1]VL!$B$3:$D$523,3,0)</f>
        <v>35</v>
      </c>
      <c r="G198" s="62">
        <f t="shared" si="5"/>
        <v>350</v>
      </c>
    </row>
    <row r="199" spans="1:7" ht="15.75">
      <c r="A199" s="207"/>
      <c r="B199" s="280">
        <v>11</v>
      </c>
      <c r="C199" s="19" t="s">
        <v>398</v>
      </c>
      <c r="D199" s="6" t="s">
        <v>86</v>
      </c>
      <c r="E199" s="20">
        <v>0.05</v>
      </c>
      <c r="F199" s="61">
        <f>VLOOKUP(C199,[1]VL!$B$3:$D$523,3,0)</f>
        <v>750000</v>
      </c>
      <c r="G199" s="62">
        <f t="shared" si="5"/>
        <v>37500</v>
      </c>
    </row>
    <row r="200" spans="1:7" ht="15.75">
      <c r="A200" s="207"/>
      <c r="B200" s="280">
        <v>12</v>
      </c>
      <c r="C200" s="5" t="s">
        <v>87</v>
      </c>
      <c r="D200" s="6" t="s">
        <v>88</v>
      </c>
      <c r="E200" s="20">
        <v>5.0000000000000001E-3</v>
      </c>
      <c r="F200" s="61">
        <f>VLOOKUP(C200,[1]VL!$B$3:$D$523,3,0)</f>
        <v>10000</v>
      </c>
      <c r="G200" s="62">
        <f t="shared" si="5"/>
        <v>50</v>
      </c>
    </row>
    <row r="201" spans="1:7" ht="15.75">
      <c r="A201" s="207"/>
      <c r="B201" s="280">
        <v>13</v>
      </c>
      <c r="C201" s="5" t="s">
        <v>90</v>
      </c>
      <c r="D201" s="4" t="s">
        <v>247</v>
      </c>
      <c r="E201" s="26">
        <v>0.01</v>
      </c>
      <c r="F201" s="61">
        <f>VLOOKUP(C201,[1]VL!$B$3:$D$523,3,0)</f>
        <v>80000</v>
      </c>
      <c r="G201" s="62">
        <f t="shared" si="5"/>
        <v>800</v>
      </c>
    </row>
    <row r="202" spans="1:7" ht="15.75">
      <c r="A202" s="207"/>
      <c r="B202" s="280">
        <v>14</v>
      </c>
      <c r="C202" s="5" t="s">
        <v>98</v>
      </c>
      <c r="D202" s="6" t="s">
        <v>99</v>
      </c>
      <c r="E202" s="26">
        <v>2E-3</v>
      </c>
      <c r="F202" s="61">
        <f>VLOOKUP(C202,[1]VL!$B$3:$D$523,3,0)</f>
        <v>650000</v>
      </c>
      <c r="G202" s="62">
        <f t="shared" si="5"/>
        <v>1300</v>
      </c>
    </row>
    <row r="203" spans="1:7" ht="15.75">
      <c r="A203" s="207"/>
      <c r="B203" s="280">
        <v>15</v>
      </c>
      <c r="C203" s="5" t="s">
        <v>106</v>
      </c>
      <c r="D203" s="6" t="s">
        <v>99</v>
      </c>
      <c r="E203" s="26">
        <v>2E-3</v>
      </c>
      <c r="F203" s="61">
        <f>VLOOKUP(C203,[1]VL!$B$3:$D$523,3,0)</f>
        <v>1000000</v>
      </c>
      <c r="G203" s="62">
        <f t="shared" ref="G203:G284" si="7">F203*E203</f>
        <v>2000</v>
      </c>
    </row>
    <row r="204" spans="1:7" ht="15.75" customHeight="1">
      <c r="A204" s="207">
        <v>11</v>
      </c>
      <c r="B204" s="174" t="s">
        <v>440</v>
      </c>
      <c r="C204" s="310" t="s">
        <v>465</v>
      </c>
      <c r="D204" s="402" t="s">
        <v>450</v>
      </c>
      <c r="E204" s="403"/>
      <c r="F204" s="403"/>
      <c r="G204" s="324">
        <f>G188</f>
        <v>97794</v>
      </c>
    </row>
    <row r="205" spans="1:7" ht="15.75">
      <c r="A205" s="207">
        <v>12</v>
      </c>
      <c r="B205" s="174" t="s">
        <v>441</v>
      </c>
      <c r="C205" s="312" t="s">
        <v>451</v>
      </c>
      <c r="D205" s="322"/>
      <c r="E205" s="323"/>
      <c r="F205" s="61"/>
      <c r="G205" s="63">
        <f>SUM(G206:G215)*1.08</f>
        <v>81432</v>
      </c>
    </row>
    <row r="206" spans="1:7" ht="15.75">
      <c r="A206" s="207"/>
      <c r="B206" s="280">
        <v>1</v>
      </c>
      <c r="C206" s="5" t="s">
        <v>91</v>
      </c>
      <c r="D206" s="6" t="s">
        <v>80</v>
      </c>
      <c r="E206" s="26">
        <v>1</v>
      </c>
      <c r="F206" s="61">
        <f>VLOOKUP(C206,[1]VL!$B$3:$D$523,3,0)</f>
        <v>2400</v>
      </c>
      <c r="G206" s="62">
        <f t="shared" si="7"/>
        <v>2400</v>
      </c>
    </row>
    <row r="207" spans="1:7" ht="18.75">
      <c r="A207" s="207"/>
      <c r="B207" s="280">
        <v>2</v>
      </c>
      <c r="C207" s="5" t="s">
        <v>92</v>
      </c>
      <c r="D207" s="6" t="s">
        <v>80</v>
      </c>
      <c r="E207" s="26">
        <v>10</v>
      </c>
      <c r="F207" s="61">
        <f>VLOOKUP(C207,[1]VL!$B$3:$D$523,3,0)</f>
        <v>660</v>
      </c>
      <c r="G207" s="62">
        <f t="shared" si="7"/>
        <v>6600</v>
      </c>
    </row>
    <row r="208" spans="1:7" ht="15.75">
      <c r="A208" s="207"/>
      <c r="B208" s="280">
        <v>3</v>
      </c>
      <c r="C208" s="5" t="s">
        <v>94</v>
      </c>
      <c r="D208" s="6" t="s">
        <v>95</v>
      </c>
      <c r="E208" s="26">
        <v>10</v>
      </c>
      <c r="F208" s="61">
        <f>VLOOKUP(C208,[1]VL!$B$3:$D$523,3,0)</f>
        <v>1340</v>
      </c>
      <c r="G208" s="62">
        <f t="shared" si="7"/>
        <v>13400</v>
      </c>
    </row>
    <row r="209" spans="1:7" ht="18.75">
      <c r="A209" s="207"/>
      <c r="B209" s="280">
        <v>4</v>
      </c>
      <c r="C209" s="5" t="s">
        <v>93</v>
      </c>
      <c r="D209" s="6" t="s">
        <v>80</v>
      </c>
      <c r="E209" s="26">
        <v>10</v>
      </c>
      <c r="F209" s="61">
        <f>VLOOKUP(C209,[1]VL!$B$3:$D$523,3,0)</f>
        <v>1100</v>
      </c>
      <c r="G209" s="62">
        <f t="shared" si="7"/>
        <v>11000</v>
      </c>
    </row>
    <row r="210" spans="1:7" ht="15.75">
      <c r="A210" s="207"/>
      <c r="B210" s="280">
        <v>5</v>
      </c>
      <c r="C210" s="5" t="s">
        <v>85</v>
      </c>
      <c r="D210" s="6" t="s">
        <v>80</v>
      </c>
      <c r="E210" s="26">
        <v>10</v>
      </c>
      <c r="F210" s="61">
        <f>VLOOKUP(C210,[1]VL!$B$3:$D$523,3,0)</f>
        <v>35</v>
      </c>
      <c r="G210" s="62">
        <f t="shared" si="7"/>
        <v>350</v>
      </c>
    </row>
    <row r="211" spans="1:7" ht="15.75">
      <c r="A211" s="207"/>
      <c r="B211" s="280">
        <v>6</v>
      </c>
      <c r="C211" s="19" t="s">
        <v>398</v>
      </c>
      <c r="D211" s="6" t="s">
        <v>86</v>
      </c>
      <c r="E211" s="20">
        <v>0.05</v>
      </c>
      <c r="F211" s="61">
        <f>VLOOKUP(C211,[1]VL!$B$3:$D$523,3,0)</f>
        <v>750000</v>
      </c>
      <c r="G211" s="62">
        <f t="shared" si="7"/>
        <v>37500</v>
      </c>
    </row>
    <row r="212" spans="1:7" ht="15.75">
      <c r="A212" s="207"/>
      <c r="B212" s="280">
        <v>7</v>
      </c>
      <c r="C212" s="5" t="s">
        <v>87</v>
      </c>
      <c r="D212" s="6" t="s">
        <v>88</v>
      </c>
      <c r="E212" s="20">
        <v>5.0000000000000001E-3</v>
      </c>
      <c r="F212" s="61">
        <f>VLOOKUP(C212,[1]VL!$B$3:$D$523,3,0)</f>
        <v>10000</v>
      </c>
      <c r="G212" s="62">
        <f t="shared" si="7"/>
        <v>50</v>
      </c>
    </row>
    <row r="213" spans="1:7" ht="15.75">
      <c r="A213" s="207"/>
      <c r="B213" s="280">
        <v>8</v>
      </c>
      <c r="C213" s="5" t="s">
        <v>90</v>
      </c>
      <c r="D213" s="4" t="s">
        <v>247</v>
      </c>
      <c r="E213" s="26">
        <v>0.01</v>
      </c>
      <c r="F213" s="61">
        <f>VLOOKUP(C213,[1]VL!$B$3:$D$523,3,0)</f>
        <v>80000</v>
      </c>
      <c r="G213" s="62">
        <f t="shared" si="7"/>
        <v>800</v>
      </c>
    </row>
    <row r="214" spans="1:7" ht="15.75">
      <c r="A214" s="207"/>
      <c r="B214" s="280">
        <v>9</v>
      </c>
      <c r="C214" s="5" t="s">
        <v>98</v>
      </c>
      <c r="D214" s="6" t="s">
        <v>99</v>
      </c>
      <c r="E214" s="26">
        <v>2E-3</v>
      </c>
      <c r="F214" s="61">
        <f>VLOOKUP(C214,[1]VL!$B$3:$D$523,3,0)</f>
        <v>650000</v>
      </c>
      <c r="G214" s="62">
        <f t="shared" si="7"/>
        <v>1300</v>
      </c>
    </row>
    <row r="215" spans="1:7" ht="15.75">
      <c r="A215" s="207"/>
      <c r="B215" s="280">
        <v>10</v>
      </c>
      <c r="C215" s="5" t="s">
        <v>106</v>
      </c>
      <c r="D215" s="6" t="s">
        <v>99</v>
      </c>
      <c r="E215" s="26">
        <v>2E-3</v>
      </c>
      <c r="F215" s="61">
        <f>VLOOKUP(C215,[1]VL!$B$3:$D$523,3,0)</f>
        <v>1000000</v>
      </c>
      <c r="G215" s="62">
        <f t="shared" si="7"/>
        <v>2000</v>
      </c>
    </row>
    <row r="216" spans="1:7" ht="15.75">
      <c r="A216" s="174">
        <v>13</v>
      </c>
      <c r="B216" s="174" t="s">
        <v>442</v>
      </c>
      <c r="C216" s="312" t="s">
        <v>457</v>
      </c>
      <c r="D216" s="402" t="s">
        <v>461</v>
      </c>
      <c r="E216" s="403"/>
      <c r="F216" s="404"/>
      <c r="G216" s="270">
        <f>G205</f>
        <v>81432</v>
      </c>
    </row>
    <row r="217" spans="1:7" ht="15.75">
      <c r="A217" s="174">
        <v>14</v>
      </c>
      <c r="B217" s="174" t="s">
        <v>443</v>
      </c>
      <c r="C217" s="312" t="s">
        <v>458</v>
      </c>
      <c r="D217" s="402" t="s">
        <v>461</v>
      </c>
      <c r="E217" s="403"/>
      <c r="F217" s="404"/>
      <c r="G217" s="270">
        <f>G205</f>
        <v>81432</v>
      </c>
    </row>
    <row r="218" spans="1:7" ht="15.75">
      <c r="A218" s="174">
        <v>15</v>
      </c>
      <c r="B218" s="174" t="s">
        <v>444</v>
      </c>
      <c r="C218" s="312" t="s">
        <v>459</v>
      </c>
      <c r="D218" s="402" t="s">
        <v>461</v>
      </c>
      <c r="E218" s="403"/>
      <c r="F218" s="404"/>
      <c r="G218" s="270">
        <f>G205</f>
        <v>81432</v>
      </c>
    </row>
    <row r="219" spans="1:7" ht="15.75">
      <c r="A219" s="174">
        <v>16</v>
      </c>
      <c r="B219" s="174" t="s">
        <v>445</v>
      </c>
      <c r="C219" s="312" t="s">
        <v>460</v>
      </c>
      <c r="D219" s="402" t="s">
        <v>461</v>
      </c>
      <c r="E219" s="403"/>
      <c r="F219" s="404"/>
      <c r="G219" s="270">
        <f>G205</f>
        <v>81432</v>
      </c>
    </row>
    <row r="220" spans="1:7" ht="18.75">
      <c r="A220" s="207">
        <v>17</v>
      </c>
      <c r="B220" s="275" t="s">
        <v>318</v>
      </c>
      <c r="C220" s="390" t="s">
        <v>266</v>
      </c>
      <c r="D220" s="390"/>
      <c r="E220" s="26"/>
      <c r="F220" s="61"/>
      <c r="G220" s="111">
        <f>SUM(G221:G230)*1.08</f>
        <v>78451.200000000012</v>
      </c>
    </row>
    <row r="221" spans="1:7" ht="15.75">
      <c r="A221" s="207"/>
      <c r="B221" s="276">
        <v>1</v>
      </c>
      <c r="C221" s="19" t="s">
        <v>267</v>
      </c>
      <c r="D221" s="6" t="s">
        <v>80</v>
      </c>
      <c r="E221" s="20">
        <v>0.8</v>
      </c>
      <c r="F221" s="61">
        <f>VLOOKUP(C221,[1]VL!$B$3:$D$523,3,0)</f>
        <v>2400</v>
      </c>
      <c r="G221" s="62">
        <f t="shared" ref="G221" si="8">F221*E221</f>
        <v>1920</v>
      </c>
    </row>
    <row r="222" spans="1:7" ht="18.75">
      <c r="A222" s="207"/>
      <c r="B222" s="276">
        <v>2</v>
      </c>
      <c r="C222" s="19" t="s">
        <v>268</v>
      </c>
      <c r="D222" s="4" t="s">
        <v>80</v>
      </c>
      <c r="E222" s="20">
        <v>0.4</v>
      </c>
      <c r="F222" s="61">
        <f>VLOOKUP(C222,[1]VL!$B$3:$D$523,3,0)</f>
        <v>2700</v>
      </c>
      <c r="G222" s="62">
        <f t="shared" ref="G222:G230" si="9">F222*E222</f>
        <v>1080</v>
      </c>
    </row>
    <row r="223" spans="1:7" ht="15.75">
      <c r="A223" s="207"/>
      <c r="B223" s="276">
        <v>3</v>
      </c>
      <c r="C223" s="19" t="s">
        <v>101</v>
      </c>
      <c r="D223" s="3" t="s">
        <v>108</v>
      </c>
      <c r="E223" s="20">
        <v>0.4</v>
      </c>
      <c r="F223" s="61">
        <f>VLOOKUP(C223,[1]VL!$B$3:$D$523,3,0)</f>
        <v>550</v>
      </c>
      <c r="G223" s="62">
        <f t="shared" si="9"/>
        <v>220</v>
      </c>
    </row>
    <row r="224" spans="1:7" ht="15.75">
      <c r="A224" s="207"/>
      <c r="B224" s="276">
        <v>4</v>
      </c>
      <c r="C224" s="19" t="s">
        <v>269</v>
      </c>
      <c r="D224" s="4" t="s">
        <v>80</v>
      </c>
      <c r="E224" s="20">
        <v>10</v>
      </c>
      <c r="F224" s="61">
        <f>VLOOKUP(C224,[1]VL!$B$3:$D$523,3,0)</f>
        <v>2400</v>
      </c>
      <c r="G224" s="62">
        <f t="shared" si="9"/>
        <v>24000</v>
      </c>
    </row>
    <row r="225" spans="1:7" ht="15.75">
      <c r="A225" s="207"/>
      <c r="B225" s="276">
        <v>5</v>
      </c>
      <c r="C225" s="19" t="s">
        <v>270</v>
      </c>
      <c r="D225" s="4" t="s">
        <v>78</v>
      </c>
      <c r="E225" s="20">
        <v>0.4</v>
      </c>
      <c r="F225" s="61">
        <f>VLOOKUP(C225,[1]VL!$B$3:$D$523,3,0)</f>
        <v>12800</v>
      </c>
      <c r="G225" s="62">
        <f t="shared" si="9"/>
        <v>5120</v>
      </c>
    </row>
    <row r="226" spans="1:7" ht="18.75">
      <c r="A226" s="207"/>
      <c r="B226" s="276">
        <v>6</v>
      </c>
      <c r="C226" s="19" t="s">
        <v>271</v>
      </c>
      <c r="D226" s="4" t="s">
        <v>80</v>
      </c>
      <c r="E226" s="20">
        <v>0.5</v>
      </c>
      <c r="F226" s="61">
        <f>VLOOKUP(C226,[1]VL!$B$3:$D$523,3,0)</f>
        <v>3200</v>
      </c>
      <c r="G226" s="62">
        <f t="shared" si="9"/>
        <v>1600</v>
      </c>
    </row>
    <row r="227" spans="1:7" ht="15.75">
      <c r="A227" s="207"/>
      <c r="B227" s="276">
        <v>7</v>
      </c>
      <c r="C227" s="19" t="s">
        <v>85</v>
      </c>
      <c r="D227" s="4" t="s">
        <v>80</v>
      </c>
      <c r="E227" s="20">
        <v>10</v>
      </c>
      <c r="F227" s="61">
        <f>VLOOKUP(C227,[1]VL!$B$3:$D$523,3,0)</f>
        <v>35</v>
      </c>
      <c r="G227" s="62">
        <f t="shared" si="9"/>
        <v>350</v>
      </c>
    </row>
    <row r="228" spans="1:7" ht="15.75">
      <c r="A228" s="207"/>
      <c r="B228" s="276">
        <v>8</v>
      </c>
      <c r="C228" s="19" t="s">
        <v>398</v>
      </c>
      <c r="D228" s="4" t="s">
        <v>86</v>
      </c>
      <c r="E228" s="20">
        <v>0.05</v>
      </c>
      <c r="F228" s="61">
        <f>VLOOKUP(C228,[1]VL!$B$3:$D$523,3,0)</f>
        <v>750000</v>
      </c>
      <c r="G228" s="62">
        <f t="shared" si="9"/>
        <v>37500</v>
      </c>
    </row>
    <row r="229" spans="1:7" ht="15.75">
      <c r="A229" s="207"/>
      <c r="B229" s="276">
        <v>9</v>
      </c>
      <c r="C229" s="5" t="s">
        <v>90</v>
      </c>
      <c r="D229" s="4" t="s">
        <v>247</v>
      </c>
      <c r="E229" s="20">
        <v>0.01</v>
      </c>
      <c r="F229" s="61">
        <f>VLOOKUP(C229,[1]VL!$B$3:$D$523,3,0)</f>
        <v>80000</v>
      </c>
      <c r="G229" s="62">
        <f t="shared" si="9"/>
        <v>800</v>
      </c>
    </row>
    <row r="230" spans="1:7" ht="15.75">
      <c r="A230" s="207"/>
      <c r="B230" s="276">
        <v>10</v>
      </c>
      <c r="C230" s="19" t="s">
        <v>87</v>
      </c>
      <c r="D230" s="4" t="s">
        <v>88</v>
      </c>
      <c r="E230" s="26">
        <v>5.0000000000000001E-3</v>
      </c>
      <c r="F230" s="61">
        <f>VLOOKUP(C230,[1]VL!$B$3:$D$523,3,0)</f>
        <v>10000</v>
      </c>
      <c r="G230" s="62">
        <f t="shared" si="9"/>
        <v>50</v>
      </c>
    </row>
    <row r="231" spans="1:7" ht="21.75" customHeight="1">
      <c r="A231" s="207">
        <v>18</v>
      </c>
      <c r="B231" s="279" t="s">
        <v>220</v>
      </c>
      <c r="C231" s="414" t="s">
        <v>8</v>
      </c>
      <c r="D231" s="414"/>
      <c r="E231" s="36"/>
      <c r="F231" s="61"/>
      <c r="G231" s="63">
        <f>SUM(G232:G247)*1.08</f>
        <v>1129356</v>
      </c>
    </row>
    <row r="232" spans="1:7" ht="15.75">
      <c r="A232" s="207"/>
      <c r="B232" s="276">
        <v>1</v>
      </c>
      <c r="C232" s="7" t="s">
        <v>107</v>
      </c>
      <c r="D232" s="3" t="s">
        <v>108</v>
      </c>
      <c r="E232" s="30">
        <v>5.0000000000000001E-3</v>
      </c>
      <c r="F232" s="61">
        <f>VLOOKUP(C232,[1]VL!$B$3:$D$523,3,0)</f>
        <v>17000000</v>
      </c>
      <c r="G232" s="62">
        <f t="shared" si="7"/>
        <v>85000</v>
      </c>
    </row>
    <row r="233" spans="1:7" ht="15.75">
      <c r="A233" s="207"/>
      <c r="B233" s="276">
        <v>2</v>
      </c>
      <c r="C233" s="7" t="s">
        <v>109</v>
      </c>
      <c r="D233" s="3" t="s">
        <v>108</v>
      </c>
      <c r="E233" s="30">
        <v>5.0000000000000001E-3</v>
      </c>
      <c r="F233" s="61">
        <f>VLOOKUP(C233,[1]VL!$B$3:$D$523,3,0)</f>
        <v>14500000</v>
      </c>
      <c r="G233" s="62">
        <f t="shared" si="7"/>
        <v>72500</v>
      </c>
    </row>
    <row r="234" spans="1:7" ht="18.75">
      <c r="A234" s="207"/>
      <c r="B234" s="276">
        <v>3</v>
      </c>
      <c r="C234" s="7" t="s">
        <v>110</v>
      </c>
      <c r="D234" s="3" t="s">
        <v>108</v>
      </c>
      <c r="E234" s="30">
        <v>150</v>
      </c>
      <c r="F234" s="61">
        <f>VLOOKUP(C234,[1]VL!$B$3:$D$523,3,0)</f>
        <v>450</v>
      </c>
      <c r="G234" s="62">
        <f t="shared" si="7"/>
        <v>67500</v>
      </c>
    </row>
    <row r="235" spans="1:7" ht="15.75">
      <c r="A235" s="207"/>
      <c r="B235" s="276">
        <v>4</v>
      </c>
      <c r="C235" s="7" t="s">
        <v>111</v>
      </c>
      <c r="D235" s="3" t="s">
        <v>108</v>
      </c>
      <c r="E235" s="30">
        <v>150</v>
      </c>
      <c r="F235" s="61">
        <f>VLOOKUP(C235,[1]VL!$B$3:$D$523,3,0)</f>
        <v>500</v>
      </c>
      <c r="G235" s="62">
        <f t="shared" si="7"/>
        <v>75000</v>
      </c>
    </row>
    <row r="236" spans="1:7" ht="15.75">
      <c r="A236" s="207"/>
      <c r="B236" s="276">
        <v>5</v>
      </c>
      <c r="C236" s="7" t="s">
        <v>112</v>
      </c>
      <c r="D236" s="3" t="s">
        <v>108</v>
      </c>
      <c r="E236" s="30">
        <v>300</v>
      </c>
      <c r="F236" s="61">
        <f>VLOOKUP(C236,[1]VL!$B$3:$D$523,3,0)</f>
        <v>1600</v>
      </c>
      <c r="G236" s="62">
        <f t="shared" si="7"/>
        <v>480000</v>
      </c>
    </row>
    <row r="237" spans="1:7" ht="18.75">
      <c r="A237" s="207"/>
      <c r="B237" s="276">
        <v>6</v>
      </c>
      <c r="C237" s="7" t="s">
        <v>113</v>
      </c>
      <c r="D237" s="3" t="s">
        <v>114</v>
      </c>
      <c r="E237" s="30">
        <v>50</v>
      </c>
      <c r="F237" s="61">
        <f>VLOOKUP(C237,[1]VL!$B$3:$D$523,3,0)</f>
        <v>1000</v>
      </c>
      <c r="G237" s="62">
        <f t="shared" si="7"/>
        <v>50000</v>
      </c>
    </row>
    <row r="238" spans="1:7" ht="15.75">
      <c r="A238" s="207"/>
      <c r="B238" s="276">
        <v>7</v>
      </c>
      <c r="C238" s="7" t="s">
        <v>391</v>
      </c>
      <c r="D238" s="3" t="s">
        <v>48</v>
      </c>
      <c r="E238" s="30">
        <v>1</v>
      </c>
      <c r="F238" s="61">
        <f>VLOOKUP(C238,[1]VL!$B$3:$D$523,3,0)</f>
        <v>120000</v>
      </c>
      <c r="G238" s="62">
        <f t="shared" si="7"/>
        <v>120000</v>
      </c>
    </row>
    <row r="239" spans="1:7" ht="15.75">
      <c r="A239" s="207"/>
      <c r="B239" s="276">
        <v>8</v>
      </c>
      <c r="C239" s="7" t="s">
        <v>115</v>
      </c>
      <c r="D239" s="3" t="s">
        <v>48</v>
      </c>
      <c r="E239" s="30">
        <v>1</v>
      </c>
      <c r="F239" s="61">
        <f>VLOOKUP(C239,[1]VL!$B$3:$D$523,3,0)</f>
        <v>7500</v>
      </c>
      <c r="G239" s="62">
        <f t="shared" si="7"/>
        <v>7500</v>
      </c>
    </row>
    <row r="240" spans="1:7" ht="15.75">
      <c r="A240" s="207"/>
      <c r="B240" s="276">
        <v>9</v>
      </c>
      <c r="C240" s="7" t="s">
        <v>116</v>
      </c>
      <c r="D240" s="3" t="s">
        <v>48</v>
      </c>
      <c r="E240" s="30">
        <v>1</v>
      </c>
      <c r="F240" s="61">
        <f>VLOOKUP(C240,[1]VL!$B$3:$D$523,3,0)</f>
        <v>45000</v>
      </c>
      <c r="G240" s="62">
        <f t="shared" si="7"/>
        <v>45000</v>
      </c>
    </row>
    <row r="241" spans="1:7" ht="15.75">
      <c r="A241" s="207"/>
      <c r="B241" s="276">
        <v>10</v>
      </c>
      <c r="C241" s="7" t="s">
        <v>117</v>
      </c>
      <c r="D241" s="3" t="s">
        <v>95</v>
      </c>
      <c r="E241" s="30">
        <v>10</v>
      </c>
      <c r="F241" s="61">
        <f>VLOOKUP(C241,[1]VL!$B$3:$D$523,3,0)</f>
        <v>1200</v>
      </c>
      <c r="G241" s="62">
        <f t="shared" si="7"/>
        <v>12000</v>
      </c>
    </row>
    <row r="242" spans="1:7" ht="15.75">
      <c r="A242" s="207"/>
      <c r="B242" s="276">
        <v>11</v>
      </c>
      <c r="C242" s="7" t="s">
        <v>118</v>
      </c>
      <c r="D242" s="3" t="s">
        <v>15</v>
      </c>
      <c r="E242" s="30">
        <v>1</v>
      </c>
      <c r="F242" s="61">
        <f>VLOOKUP(C242,[1]VL!$B$3:$D$523,3,0)</f>
        <v>500</v>
      </c>
      <c r="G242" s="62">
        <f t="shared" si="7"/>
        <v>500</v>
      </c>
    </row>
    <row r="243" spans="1:7" ht="15.75">
      <c r="A243" s="207"/>
      <c r="B243" s="276">
        <v>12</v>
      </c>
      <c r="C243" s="7" t="s">
        <v>85</v>
      </c>
      <c r="D243" s="3" t="s">
        <v>80</v>
      </c>
      <c r="E243" s="30">
        <v>10</v>
      </c>
      <c r="F243" s="61">
        <f>VLOOKUP(C243,[1]VL!$B$3:$D$523,3,0)</f>
        <v>35</v>
      </c>
      <c r="G243" s="62">
        <f t="shared" si="7"/>
        <v>350</v>
      </c>
    </row>
    <row r="244" spans="1:7" ht="15.75">
      <c r="A244" s="207"/>
      <c r="B244" s="276">
        <v>13</v>
      </c>
      <c r="C244" s="5" t="s">
        <v>90</v>
      </c>
      <c r="D244" s="3" t="s">
        <v>48</v>
      </c>
      <c r="E244" s="30">
        <v>0.01</v>
      </c>
      <c r="F244" s="61">
        <f>VLOOKUP(C244,[1]VL!$B$3:$D$523,3,0)</f>
        <v>80000</v>
      </c>
      <c r="G244" s="62">
        <f t="shared" si="7"/>
        <v>800</v>
      </c>
    </row>
    <row r="245" spans="1:7" ht="15.75">
      <c r="A245" s="207"/>
      <c r="B245" s="276">
        <v>14</v>
      </c>
      <c r="C245" s="7" t="s">
        <v>87</v>
      </c>
      <c r="D245" s="3" t="s">
        <v>88</v>
      </c>
      <c r="E245" s="20">
        <v>5.0000000000000001E-3</v>
      </c>
      <c r="F245" s="61">
        <f>VLOOKUP(C245,[1]VL!$B$3:$D$523,3,0)</f>
        <v>10000</v>
      </c>
      <c r="G245" s="62">
        <f t="shared" si="7"/>
        <v>50</v>
      </c>
    </row>
    <row r="246" spans="1:7" ht="15.75">
      <c r="A246" s="207"/>
      <c r="B246" s="276">
        <v>15</v>
      </c>
      <c r="C246" s="7" t="s">
        <v>119</v>
      </c>
      <c r="D246" s="3" t="s">
        <v>99</v>
      </c>
      <c r="E246" s="30">
        <v>5.0000000000000001E-3</v>
      </c>
      <c r="F246" s="61">
        <f>VLOOKUP(C246,[1]VL!$B$3:$D$523,3,0)</f>
        <v>1200000</v>
      </c>
      <c r="G246" s="62">
        <f t="shared" si="7"/>
        <v>6000</v>
      </c>
    </row>
    <row r="247" spans="1:7" ht="15.75">
      <c r="A247" s="207"/>
      <c r="B247" s="276">
        <v>16</v>
      </c>
      <c r="C247" s="7" t="s">
        <v>120</v>
      </c>
      <c r="D247" s="3" t="s">
        <v>99</v>
      </c>
      <c r="E247" s="30">
        <v>5.0000000000000001E-3</v>
      </c>
      <c r="F247" s="61">
        <f>VLOOKUP(C247,[1]VL!$B$3:$D$523,3,0)</f>
        <v>4700000</v>
      </c>
      <c r="G247" s="62">
        <f t="shared" si="7"/>
        <v>23500</v>
      </c>
    </row>
    <row r="248" spans="1:7" ht="15.75">
      <c r="A248" s="207">
        <v>19</v>
      </c>
      <c r="B248" s="281" t="s">
        <v>319</v>
      </c>
      <c r="C248" s="414" t="s">
        <v>272</v>
      </c>
      <c r="D248" s="414"/>
      <c r="E248" s="415" t="s">
        <v>339</v>
      </c>
      <c r="F248" s="416"/>
      <c r="G248" s="111">
        <f>G231</f>
        <v>1129356</v>
      </c>
    </row>
    <row r="249" spans="1:7" ht="15.75" customHeight="1">
      <c r="A249" s="207">
        <v>20</v>
      </c>
      <c r="B249" s="281" t="s">
        <v>320</v>
      </c>
      <c r="C249" s="414" t="s">
        <v>215</v>
      </c>
      <c r="D249" s="414"/>
      <c r="E249" s="415" t="s">
        <v>339</v>
      </c>
      <c r="F249" s="416"/>
      <c r="G249" s="111">
        <f>G231</f>
        <v>1129356</v>
      </c>
    </row>
    <row r="250" spans="1:7" ht="15.75">
      <c r="A250" s="207">
        <v>21</v>
      </c>
      <c r="B250" s="279" t="s">
        <v>321</v>
      </c>
      <c r="C250" s="414" t="s">
        <v>65</v>
      </c>
      <c r="D250" s="414"/>
      <c r="E250" s="36"/>
      <c r="F250" s="61"/>
      <c r="G250" s="63">
        <f>SUM(G251:G267)*1.08</f>
        <v>1001376.0000000001</v>
      </c>
    </row>
    <row r="251" spans="1:7" ht="15.75">
      <c r="A251" s="207"/>
      <c r="B251" s="276">
        <v>1</v>
      </c>
      <c r="C251" s="118" t="s">
        <v>133</v>
      </c>
      <c r="D251" s="3" t="s">
        <v>108</v>
      </c>
      <c r="E251" s="30">
        <v>5.0000000000000001E-3</v>
      </c>
      <c r="F251" s="61">
        <f>VLOOKUP(C251,[1]VL!$B$3:$D$523,3,0)</f>
        <v>13500000</v>
      </c>
      <c r="G251" s="62">
        <f t="shared" si="7"/>
        <v>67500</v>
      </c>
    </row>
    <row r="252" spans="1:7" ht="15.75">
      <c r="A252" s="207"/>
      <c r="B252" s="276">
        <v>2</v>
      </c>
      <c r="C252" s="7" t="s">
        <v>109</v>
      </c>
      <c r="D252" s="3" t="s">
        <v>108</v>
      </c>
      <c r="E252" s="30">
        <v>5.0000000000000001E-3</v>
      </c>
      <c r="F252" s="61">
        <f>VLOOKUP(C252,[1]VL!$B$3:$D$523,3,0)</f>
        <v>14500000</v>
      </c>
      <c r="G252" s="62">
        <f t="shared" si="7"/>
        <v>72500</v>
      </c>
    </row>
    <row r="253" spans="1:7" ht="18.75">
      <c r="A253" s="207"/>
      <c r="B253" s="276">
        <v>3</v>
      </c>
      <c r="C253" s="7" t="s">
        <v>110</v>
      </c>
      <c r="D253" s="3" t="s">
        <v>108</v>
      </c>
      <c r="E253" s="30">
        <v>150</v>
      </c>
      <c r="F253" s="61">
        <f>VLOOKUP(C253,[1]VL!$B$3:$D$523,3,0)</f>
        <v>450</v>
      </c>
      <c r="G253" s="62">
        <f t="shared" si="7"/>
        <v>67500</v>
      </c>
    </row>
    <row r="254" spans="1:7" ht="15.75">
      <c r="A254" s="207"/>
      <c r="B254" s="276">
        <v>4</v>
      </c>
      <c r="C254" s="7" t="s">
        <v>111</v>
      </c>
      <c r="D254" s="3" t="s">
        <v>108</v>
      </c>
      <c r="E254" s="30">
        <v>150</v>
      </c>
      <c r="F254" s="61">
        <f>VLOOKUP(C254,[1]VL!$B$3:$D$523,3,0)</f>
        <v>500</v>
      </c>
      <c r="G254" s="62">
        <f t="shared" si="7"/>
        <v>75000</v>
      </c>
    </row>
    <row r="255" spans="1:7" ht="15.75">
      <c r="A255" s="207"/>
      <c r="B255" s="276">
        <v>5</v>
      </c>
      <c r="C255" s="7" t="s">
        <v>112</v>
      </c>
      <c r="D255" s="3" t="s">
        <v>108</v>
      </c>
      <c r="E255" s="30">
        <v>300</v>
      </c>
      <c r="F255" s="61">
        <f>VLOOKUP(C255,[1]VL!$B$3:$D$523,3,0)</f>
        <v>1600</v>
      </c>
      <c r="G255" s="62">
        <f t="shared" si="7"/>
        <v>480000</v>
      </c>
    </row>
    <row r="256" spans="1:7" ht="18.75">
      <c r="A256" s="207"/>
      <c r="B256" s="276">
        <v>6</v>
      </c>
      <c r="C256" s="7" t="s">
        <v>113</v>
      </c>
      <c r="D256" s="3" t="s">
        <v>114</v>
      </c>
      <c r="E256" s="30">
        <v>50</v>
      </c>
      <c r="F256" s="61">
        <f>VLOOKUP(C256,[1]VL!$B$3:$D$523,3,0)</f>
        <v>1000</v>
      </c>
      <c r="G256" s="62">
        <f t="shared" si="7"/>
        <v>50000</v>
      </c>
    </row>
    <row r="257" spans="1:7" ht="15.75">
      <c r="A257" s="207"/>
      <c r="B257" s="276">
        <v>7</v>
      </c>
      <c r="C257" s="7" t="s">
        <v>134</v>
      </c>
      <c r="D257" s="3" t="s">
        <v>95</v>
      </c>
      <c r="E257" s="30">
        <v>0.01</v>
      </c>
      <c r="F257" s="61">
        <f>VLOOKUP(C257,[1]VL!$B$3:$D$523,3,0)</f>
        <v>700000</v>
      </c>
      <c r="G257" s="62">
        <f t="shared" si="7"/>
        <v>7000</v>
      </c>
    </row>
    <row r="258" spans="1:7" ht="15.75">
      <c r="A258" s="207"/>
      <c r="B258" s="276">
        <v>8</v>
      </c>
      <c r="C258" s="7" t="s">
        <v>391</v>
      </c>
      <c r="D258" s="3" t="s">
        <v>48</v>
      </c>
      <c r="E258" s="30">
        <v>0.1</v>
      </c>
      <c r="F258" s="61">
        <f>VLOOKUP(C258,[1]VL!$B$3:$D$523,3,0)</f>
        <v>120000</v>
      </c>
      <c r="G258" s="62">
        <f t="shared" si="7"/>
        <v>12000</v>
      </c>
    </row>
    <row r="259" spans="1:7" ht="15.75">
      <c r="A259" s="207"/>
      <c r="B259" s="276">
        <v>9</v>
      </c>
      <c r="C259" s="7" t="s">
        <v>115</v>
      </c>
      <c r="D259" s="3" t="s">
        <v>48</v>
      </c>
      <c r="E259" s="30">
        <v>1</v>
      </c>
      <c r="F259" s="61">
        <f>VLOOKUP(C259,[1]VL!$B$3:$D$523,3,0)</f>
        <v>7500</v>
      </c>
      <c r="G259" s="62">
        <f t="shared" si="7"/>
        <v>7500</v>
      </c>
    </row>
    <row r="260" spans="1:7" ht="15.75">
      <c r="A260" s="207"/>
      <c r="B260" s="276">
        <v>10</v>
      </c>
      <c r="C260" s="7" t="s">
        <v>116</v>
      </c>
      <c r="D260" s="3" t="s">
        <v>48</v>
      </c>
      <c r="E260" s="30">
        <v>1</v>
      </c>
      <c r="F260" s="61">
        <f>VLOOKUP(C260,[1]VL!$B$3:$D$523,3,0)</f>
        <v>45000</v>
      </c>
      <c r="G260" s="62">
        <f t="shared" si="7"/>
        <v>45000</v>
      </c>
    </row>
    <row r="261" spans="1:7" ht="15.75">
      <c r="A261" s="207"/>
      <c r="B261" s="276">
        <v>11</v>
      </c>
      <c r="C261" s="7" t="s">
        <v>117</v>
      </c>
      <c r="D261" s="3" t="s">
        <v>95</v>
      </c>
      <c r="E261" s="30">
        <v>10</v>
      </c>
      <c r="F261" s="61">
        <f>VLOOKUP(C261,[1]VL!$B$3:$D$523,3,0)</f>
        <v>1200</v>
      </c>
      <c r="G261" s="62">
        <f t="shared" si="7"/>
        <v>12000</v>
      </c>
    </row>
    <row r="262" spans="1:7" ht="15.75">
      <c r="A262" s="207"/>
      <c r="B262" s="276">
        <v>12</v>
      </c>
      <c r="C262" s="7" t="s">
        <v>118</v>
      </c>
      <c r="D262" s="3" t="s">
        <v>15</v>
      </c>
      <c r="E262" s="30">
        <v>1</v>
      </c>
      <c r="F262" s="61">
        <f>VLOOKUP(C262,[1]VL!$B$3:$D$523,3,0)</f>
        <v>500</v>
      </c>
      <c r="G262" s="62">
        <f t="shared" si="7"/>
        <v>500</v>
      </c>
    </row>
    <row r="263" spans="1:7" ht="15.75">
      <c r="A263" s="207"/>
      <c r="B263" s="276">
        <v>13</v>
      </c>
      <c r="C263" s="7" t="s">
        <v>85</v>
      </c>
      <c r="D263" s="3" t="s">
        <v>80</v>
      </c>
      <c r="E263" s="30">
        <v>10</v>
      </c>
      <c r="F263" s="61">
        <f>VLOOKUP(C263,[1]VL!$B$3:$D$523,3,0)</f>
        <v>35</v>
      </c>
      <c r="G263" s="62">
        <f t="shared" si="7"/>
        <v>350</v>
      </c>
    </row>
    <row r="264" spans="1:7" ht="15.75">
      <c r="A264" s="207"/>
      <c r="B264" s="276">
        <v>14</v>
      </c>
      <c r="C264" s="5" t="s">
        <v>90</v>
      </c>
      <c r="D264" s="3" t="s">
        <v>48</v>
      </c>
      <c r="E264" s="30">
        <v>0.01</v>
      </c>
      <c r="F264" s="61">
        <f>VLOOKUP(C264,[1]VL!$B$3:$D$523,3,0)</f>
        <v>80000</v>
      </c>
      <c r="G264" s="62">
        <f t="shared" si="7"/>
        <v>800</v>
      </c>
    </row>
    <row r="265" spans="1:7" ht="15.75">
      <c r="A265" s="207"/>
      <c r="B265" s="276">
        <v>15</v>
      </c>
      <c r="C265" s="7" t="s">
        <v>87</v>
      </c>
      <c r="D265" s="3" t="s">
        <v>88</v>
      </c>
      <c r="E265" s="20">
        <v>5.0000000000000001E-3</v>
      </c>
      <c r="F265" s="61">
        <f>VLOOKUP(C265,[1]VL!$B$3:$D$523,3,0)</f>
        <v>10000</v>
      </c>
      <c r="G265" s="62">
        <f t="shared" si="7"/>
        <v>50</v>
      </c>
    </row>
    <row r="266" spans="1:7" ht="15.75">
      <c r="A266" s="207"/>
      <c r="B266" s="276">
        <v>16</v>
      </c>
      <c r="C266" s="7" t="s">
        <v>119</v>
      </c>
      <c r="D266" s="3" t="s">
        <v>99</v>
      </c>
      <c r="E266" s="30">
        <v>5.0000000000000001E-3</v>
      </c>
      <c r="F266" s="61">
        <f>VLOOKUP(C266,[1]VL!$B$3:$D$523,3,0)</f>
        <v>1200000</v>
      </c>
      <c r="G266" s="62">
        <f t="shared" si="7"/>
        <v>6000</v>
      </c>
    </row>
    <row r="267" spans="1:7" ht="15.75">
      <c r="A267" s="207"/>
      <c r="B267" s="276">
        <v>17</v>
      </c>
      <c r="C267" s="7" t="s">
        <v>120</v>
      </c>
      <c r="D267" s="3" t="s">
        <v>99</v>
      </c>
      <c r="E267" s="30">
        <v>5.0000000000000001E-3</v>
      </c>
      <c r="F267" s="61">
        <f>VLOOKUP(C267,[1]VL!$B$3:$D$523,3,0)</f>
        <v>4700000</v>
      </c>
      <c r="G267" s="62">
        <f t="shared" si="7"/>
        <v>23500</v>
      </c>
    </row>
    <row r="268" spans="1:7" ht="15.75">
      <c r="A268" s="207">
        <v>22</v>
      </c>
      <c r="B268" s="285" t="s">
        <v>322</v>
      </c>
      <c r="C268" s="8" t="s">
        <v>11</v>
      </c>
      <c r="D268" s="1"/>
      <c r="E268" s="1"/>
      <c r="F268" s="61"/>
      <c r="G268" s="63">
        <f>SUM(G269:G284)*1.08</f>
        <v>1115856</v>
      </c>
    </row>
    <row r="269" spans="1:7" ht="15.75">
      <c r="A269" s="207"/>
      <c r="B269" s="276">
        <v>1</v>
      </c>
      <c r="C269" s="7" t="s">
        <v>132</v>
      </c>
      <c r="D269" s="3" t="s">
        <v>108</v>
      </c>
      <c r="E269" s="30">
        <v>5.0000000000000001E-3</v>
      </c>
      <c r="F269" s="61">
        <f>VLOOKUP(C269,[1]VL!$B$3:$D$523,3,0)</f>
        <v>14500000</v>
      </c>
      <c r="G269" s="62">
        <f t="shared" si="7"/>
        <v>72500</v>
      </c>
    </row>
    <row r="270" spans="1:7" ht="15.75">
      <c r="A270" s="207"/>
      <c r="B270" s="276">
        <v>2</v>
      </c>
      <c r="C270" s="7" t="s">
        <v>109</v>
      </c>
      <c r="D270" s="3" t="s">
        <v>108</v>
      </c>
      <c r="E270" s="30">
        <v>5.0000000000000001E-3</v>
      </c>
      <c r="F270" s="61">
        <f>VLOOKUP(C270,[1]VL!$B$3:$D$523,3,0)</f>
        <v>14500000</v>
      </c>
      <c r="G270" s="62">
        <f t="shared" si="7"/>
        <v>72500</v>
      </c>
    </row>
    <row r="271" spans="1:7" ht="18.75">
      <c r="A271" s="207"/>
      <c r="B271" s="276">
        <v>3</v>
      </c>
      <c r="C271" s="7" t="s">
        <v>110</v>
      </c>
      <c r="D271" s="3" t="s">
        <v>108</v>
      </c>
      <c r="E271" s="30">
        <v>150</v>
      </c>
      <c r="F271" s="61">
        <f>VLOOKUP(C271,[1]VL!$B$3:$D$523,3,0)</f>
        <v>450</v>
      </c>
      <c r="G271" s="62">
        <f t="shared" si="7"/>
        <v>67500</v>
      </c>
    </row>
    <row r="272" spans="1:7" ht="15.75">
      <c r="A272" s="207"/>
      <c r="B272" s="276">
        <v>4</v>
      </c>
      <c r="C272" s="7" t="s">
        <v>111</v>
      </c>
      <c r="D272" s="3" t="s">
        <v>108</v>
      </c>
      <c r="E272" s="30">
        <v>150</v>
      </c>
      <c r="F272" s="61">
        <f>VLOOKUP(C272,[1]VL!$B$3:$D$523,3,0)</f>
        <v>500</v>
      </c>
      <c r="G272" s="62">
        <f t="shared" si="7"/>
        <v>75000</v>
      </c>
    </row>
    <row r="273" spans="1:7" ht="15.75">
      <c r="A273" s="207"/>
      <c r="B273" s="276">
        <v>5</v>
      </c>
      <c r="C273" s="7" t="s">
        <v>112</v>
      </c>
      <c r="D273" s="3" t="s">
        <v>108</v>
      </c>
      <c r="E273" s="30">
        <v>300</v>
      </c>
      <c r="F273" s="61">
        <f>VLOOKUP(C273,[1]VL!$B$3:$D$523,3,0)</f>
        <v>1600</v>
      </c>
      <c r="G273" s="62">
        <f t="shared" si="7"/>
        <v>480000</v>
      </c>
    </row>
    <row r="274" spans="1:7" ht="18.75">
      <c r="A274" s="207"/>
      <c r="B274" s="276">
        <v>6</v>
      </c>
      <c r="C274" s="7" t="s">
        <v>113</v>
      </c>
      <c r="D274" s="3" t="s">
        <v>114</v>
      </c>
      <c r="E274" s="30">
        <v>50</v>
      </c>
      <c r="F274" s="61">
        <f>VLOOKUP(C274,[1]VL!$B$3:$D$523,3,0)</f>
        <v>1000</v>
      </c>
      <c r="G274" s="62">
        <f t="shared" si="7"/>
        <v>50000</v>
      </c>
    </row>
    <row r="275" spans="1:7" ht="15.75">
      <c r="A275" s="207"/>
      <c r="B275" s="276">
        <v>7</v>
      </c>
      <c r="C275" s="7" t="s">
        <v>391</v>
      </c>
      <c r="D275" s="3" t="s">
        <v>48</v>
      </c>
      <c r="E275" s="30">
        <v>1</v>
      </c>
      <c r="F275" s="61">
        <f>VLOOKUP(C275,[1]VL!$B$3:$D$523,3,0)</f>
        <v>120000</v>
      </c>
      <c r="G275" s="62">
        <f t="shared" si="7"/>
        <v>120000</v>
      </c>
    </row>
    <row r="276" spans="1:7" ht="15.75">
      <c r="A276" s="207"/>
      <c r="B276" s="276">
        <v>8</v>
      </c>
      <c r="C276" s="7" t="s">
        <v>115</v>
      </c>
      <c r="D276" s="3" t="s">
        <v>48</v>
      </c>
      <c r="E276" s="30">
        <v>1</v>
      </c>
      <c r="F276" s="61">
        <f>VLOOKUP(C276,[1]VL!$B$3:$D$523,3,0)</f>
        <v>7500</v>
      </c>
      <c r="G276" s="62">
        <f t="shared" si="7"/>
        <v>7500</v>
      </c>
    </row>
    <row r="277" spans="1:7" ht="15.75">
      <c r="A277" s="207"/>
      <c r="B277" s="276">
        <v>9</v>
      </c>
      <c r="C277" s="7" t="s">
        <v>116</v>
      </c>
      <c r="D277" s="3" t="s">
        <v>48</v>
      </c>
      <c r="E277" s="30">
        <v>1</v>
      </c>
      <c r="F277" s="61">
        <f>VLOOKUP(C277,[1]VL!$B$3:$D$523,3,0)</f>
        <v>45000</v>
      </c>
      <c r="G277" s="62">
        <f t="shared" si="7"/>
        <v>45000</v>
      </c>
    </row>
    <row r="278" spans="1:7" ht="15.75">
      <c r="A278" s="207"/>
      <c r="B278" s="276">
        <v>10</v>
      </c>
      <c r="C278" s="7" t="s">
        <v>117</v>
      </c>
      <c r="D278" s="3" t="s">
        <v>95</v>
      </c>
      <c r="E278" s="30">
        <v>10</v>
      </c>
      <c r="F278" s="61">
        <f>VLOOKUP(C278,[1]VL!$B$3:$D$523,3,0)</f>
        <v>1200</v>
      </c>
      <c r="G278" s="62">
        <f t="shared" si="7"/>
        <v>12000</v>
      </c>
    </row>
    <row r="279" spans="1:7" ht="15.75">
      <c r="A279" s="207"/>
      <c r="B279" s="276">
        <v>11</v>
      </c>
      <c r="C279" s="7" t="s">
        <v>118</v>
      </c>
      <c r="D279" s="3" t="s">
        <v>15</v>
      </c>
      <c r="E279" s="30">
        <v>1</v>
      </c>
      <c r="F279" s="61">
        <f>VLOOKUP(C279,[1]VL!$B$3:$D$523,3,0)</f>
        <v>500</v>
      </c>
      <c r="G279" s="62">
        <f t="shared" si="7"/>
        <v>500</v>
      </c>
    </row>
    <row r="280" spans="1:7" ht="15.75">
      <c r="A280" s="207"/>
      <c r="B280" s="276">
        <v>12</v>
      </c>
      <c r="C280" s="7" t="s">
        <v>85</v>
      </c>
      <c r="D280" s="3" t="s">
        <v>80</v>
      </c>
      <c r="E280" s="30">
        <v>10</v>
      </c>
      <c r="F280" s="61">
        <f>VLOOKUP(C280,[1]VL!$B$3:$D$523,3,0)</f>
        <v>35</v>
      </c>
      <c r="G280" s="62">
        <f t="shared" si="7"/>
        <v>350</v>
      </c>
    </row>
    <row r="281" spans="1:7" ht="15.75">
      <c r="A281" s="207"/>
      <c r="B281" s="276">
        <v>13</v>
      </c>
      <c r="C281" s="5" t="s">
        <v>90</v>
      </c>
      <c r="D281" s="3" t="s">
        <v>48</v>
      </c>
      <c r="E281" s="30">
        <v>0.01</v>
      </c>
      <c r="F281" s="61">
        <f>VLOOKUP(C281,[1]VL!$B$3:$D$523,3,0)</f>
        <v>80000</v>
      </c>
      <c r="G281" s="62">
        <f t="shared" si="7"/>
        <v>800</v>
      </c>
    </row>
    <row r="282" spans="1:7" ht="15.75">
      <c r="A282" s="207"/>
      <c r="B282" s="276">
        <v>14</v>
      </c>
      <c r="C282" s="7" t="s">
        <v>87</v>
      </c>
      <c r="D282" s="3" t="s">
        <v>88</v>
      </c>
      <c r="E282" s="20">
        <v>5.0000000000000001E-3</v>
      </c>
      <c r="F282" s="61">
        <f>VLOOKUP(C282,[1]VL!$B$3:$D$523,3,0)</f>
        <v>10000</v>
      </c>
      <c r="G282" s="62">
        <f t="shared" si="7"/>
        <v>50</v>
      </c>
    </row>
    <row r="283" spans="1:7" ht="15.75">
      <c r="A283" s="207"/>
      <c r="B283" s="276">
        <v>15</v>
      </c>
      <c r="C283" s="7" t="s">
        <v>119</v>
      </c>
      <c r="D283" s="3" t="s">
        <v>99</v>
      </c>
      <c r="E283" s="30">
        <v>5.0000000000000001E-3</v>
      </c>
      <c r="F283" s="61">
        <f>VLOOKUP(C283,[1]VL!$B$3:$D$523,3,0)</f>
        <v>1200000</v>
      </c>
      <c r="G283" s="62">
        <f t="shared" si="7"/>
        <v>6000</v>
      </c>
    </row>
    <row r="284" spans="1:7" ht="15.75">
      <c r="A284" s="207"/>
      <c r="B284" s="276">
        <v>16</v>
      </c>
      <c r="C284" s="7" t="s">
        <v>120</v>
      </c>
      <c r="D284" s="3" t="s">
        <v>99</v>
      </c>
      <c r="E284" s="30">
        <v>5.0000000000000001E-3</v>
      </c>
      <c r="F284" s="61">
        <f>VLOOKUP(C284,[1]VL!$B$3:$D$523,3,0)</f>
        <v>4700000</v>
      </c>
      <c r="G284" s="62">
        <f t="shared" si="7"/>
        <v>23500</v>
      </c>
    </row>
    <row r="285" spans="1:7" ht="15.75">
      <c r="A285" s="209">
        <v>23</v>
      </c>
      <c r="B285" s="275" t="s">
        <v>5</v>
      </c>
      <c r="C285" s="91" t="s">
        <v>275</v>
      </c>
      <c r="D285" s="91"/>
      <c r="E285" s="123"/>
      <c r="F285" s="61"/>
      <c r="G285" s="111">
        <f>SUM(G286:G297)*1.08</f>
        <v>633744</v>
      </c>
    </row>
    <row r="286" spans="1:7" ht="31.5">
      <c r="B286" s="6">
        <v>1</v>
      </c>
      <c r="C286" s="7" t="s">
        <v>276</v>
      </c>
      <c r="D286" s="3" t="s">
        <v>80</v>
      </c>
      <c r="E286" s="30">
        <v>5</v>
      </c>
      <c r="F286" s="61">
        <f>VLOOKUP(C286,[1]VL!$B$3:$D$523,3,0)</f>
        <v>25000</v>
      </c>
      <c r="G286" s="62">
        <f t="shared" ref="G286:G297" si="10">F286*E286</f>
        <v>125000</v>
      </c>
    </row>
    <row r="287" spans="1:7" ht="31.5">
      <c r="B287" s="6">
        <v>2</v>
      </c>
      <c r="C287" s="7" t="s">
        <v>277</v>
      </c>
      <c r="D287" s="3" t="s">
        <v>80</v>
      </c>
      <c r="E287" s="30">
        <v>1</v>
      </c>
      <c r="F287" s="61">
        <f>VLOOKUP(C287,[1]VL!$B$3:$D$523,3,0)</f>
        <v>60000</v>
      </c>
      <c r="G287" s="62">
        <f t="shared" si="10"/>
        <v>60000</v>
      </c>
    </row>
    <row r="288" spans="1:7" ht="18.75">
      <c r="B288" s="6">
        <v>3</v>
      </c>
      <c r="C288" s="7" t="s">
        <v>278</v>
      </c>
      <c r="D288" s="3" t="s">
        <v>80</v>
      </c>
      <c r="E288" s="30">
        <v>10</v>
      </c>
      <c r="F288" s="61">
        <f>VLOOKUP(C288,[1]VL!$B$3:$D$523,3,0)</f>
        <v>660</v>
      </c>
      <c r="G288" s="62">
        <f t="shared" si="10"/>
        <v>6600</v>
      </c>
    </row>
    <row r="289" spans="2:7" ht="18.75">
      <c r="B289" s="6">
        <v>4</v>
      </c>
      <c r="C289" s="7" t="s">
        <v>279</v>
      </c>
      <c r="D289" s="3" t="s">
        <v>80</v>
      </c>
      <c r="E289" s="30">
        <v>10</v>
      </c>
      <c r="F289" s="61">
        <f>VLOOKUP(C289,[1]VL!$B$3:$D$523,3,0)</f>
        <v>1100</v>
      </c>
      <c r="G289" s="62">
        <f t="shared" si="10"/>
        <v>11000</v>
      </c>
    </row>
    <row r="290" spans="2:7" ht="15.75">
      <c r="B290" s="6">
        <v>5</v>
      </c>
      <c r="C290" s="7" t="s">
        <v>101</v>
      </c>
      <c r="D290" s="3" t="s">
        <v>108</v>
      </c>
      <c r="E290" s="30">
        <v>10</v>
      </c>
      <c r="F290" s="61">
        <f>VLOOKUP(C290,[1]VL!$B$3:$D$523,3,0)</f>
        <v>550</v>
      </c>
      <c r="G290" s="62">
        <f t="shared" si="10"/>
        <v>5500</v>
      </c>
    </row>
    <row r="291" spans="2:7" ht="18.75">
      <c r="B291" s="6">
        <v>6</v>
      </c>
      <c r="C291" s="7" t="s">
        <v>280</v>
      </c>
      <c r="D291" s="3" t="s">
        <v>95</v>
      </c>
      <c r="E291" s="30">
        <v>10</v>
      </c>
      <c r="F291" s="61">
        <f>VLOOKUP(C291,[1]VL!$B$3:$D$523,3,0)</f>
        <v>1000</v>
      </c>
      <c r="G291" s="62">
        <f t="shared" si="10"/>
        <v>10000</v>
      </c>
    </row>
    <row r="292" spans="2:7" ht="15.75">
      <c r="B292" s="6">
        <v>7</v>
      </c>
      <c r="C292" s="7" t="s">
        <v>85</v>
      </c>
      <c r="D292" s="3" t="s">
        <v>80</v>
      </c>
      <c r="E292" s="30">
        <v>10</v>
      </c>
      <c r="F292" s="61">
        <f>VLOOKUP(C292,[1]VL!$B$3:$D$523,3,0)</f>
        <v>35</v>
      </c>
      <c r="G292" s="62">
        <f t="shared" si="10"/>
        <v>350</v>
      </c>
    </row>
    <row r="293" spans="2:7" ht="15.75">
      <c r="B293" s="6">
        <v>8</v>
      </c>
      <c r="C293" s="19" t="s">
        <v>398</v>
      </c>
      <c r="D293" s="3" t="s">
        <v>86</v>
      </c>
      <c r="E293" s="20">
        <v>0.05</v>
      </c>
      <c r="F293" s="61">
        <f>VLOOKUP(C293,[1]VL!$B$3:$D$523,3,0)</f>
        <v>750000</v>
      </c>
      <c r="G293" s="62">
        <f t="shared" si="10"/>
        <v>37500</v>
      </c>
    </row>
    <row r="294" spans="2:7" ht="15.75">
      <c r="B294" s="6">
        <v>9</v>
      </c>
      <c r="C294" s="7" t="s">
        <v>87</v>
      </c>
      <c r="D294" s="3" t="s">
        <v>88</v>
      </c>
      <c r="E294" s="26">
        <v>5.0000000000000001E-3</v>
      </c>
      <c r="F294" s="61">
        <f>VLOOKUP(C294,[1]VL!$B$3:$D$523,3,0)</f>
        <v>10000</v>
      </c>
      <c r="G294" s="62">
        <f t="shared" si="10"/>
        <v>50</v>
      </c>
    </row>
    <row r="295" spans="2:7" ht="15.75">
      <c r="B295" s="6">
        <v>10</v>
      </c>
      <c r="C295" s="7" t="s">
        <v>90</v>
      </c>
      <c r="D295" s="4" t="s">
        <v>247</v>
      </c>
      <c r="E295" s="30">
        <v>0.01</v>
      </c>
      <c r="F295" s="61">
        <f>VLOOKUP(C295,[1]VL!$B$3:$D$523,3,0)</f>
        <v>80000</v>
      </c>
      <c r="G295" s="62">
        <f>F295*E295</f>
        <v>800</v>
      </c>
    </row>
    <row r="296" spans="2:7" ht="15.75">
      <c r="B296" s="6">
        <v>11</v>
      </c>
      <c r="C296" s="7" t="s">
        <v>106</v>
      </c>
      <c r="D296" s="4" t="s">
        <v>99</v>
      </c>
      <c r="E296" s="30">
        <v>0.2</v>
      </c>
      <c r="F296" s="61">
        <f>VLOOKUP(C296,[1]VL!$B$3:$D$523,3,0)</f>
        <v>1000000</v>
      </c>
      <c r="G296" s="62">
        <f>F296*E296</f>
        <v>200000</v>
      </c>
    </row>
    <row r="297" spans="2:7" ht="15.75">
      <c r="B297" s="6">
        <v>12</v>
      </c>
      <c r="C297" s="7" t="s">
        <v>98</v>
      </c>
      <c r="D297" s="3" t="s">
        <v>99</v>
      </c>
      <c r="E297" s="30">
        <v>0.2</v>
      </c>
      <c r="F297" s="61">
        <f>VLOOKUP(C297,[1]VL!$B$3:$D$523,3,0)</f>
        <v>650000</v>
      </c>
      <c r="G297" s="62">
        <f t="shared" si="10"/>
        <v>130000</v>
      </c>
    </row>
  </sheetData>
  <autoFilter ref="A3:G297"/>
  <mergeCells count="39">
    <mergeCell ref="D219:F219"/>
    <mergeCell ref="D187:F187"/>
    <mergeCell ref="D204:F204"/>
    <mergeCell ref="D216:F216"/>
    <mergeCell ref="D217:F217"/>
    <mergeCell ref="D54:F54"/>
    <mergeCell ref="D55:F55"/>
    <mergeCell ref="D56:F56"/>
    <mergeCell ref="D57:F57"/>
    <mergeCell ref="D218:F218"/>
    <mergeCell ref="D47:F47"/>
    <mergeCell ref="D48:F48"/>
    <mergeCell ref="D49:F49"/>
    <mergeCell ref="D51:F51"/>
    <mergeCell ref="D53:F53"/>
    <mergeCell ref="D50:F50"/>
    <mergeCell ref="D52:F52"/>
    <mergeCell ref="A1:G1"/>
    <mergeCell ref="F2:G2"/>
    <mergeCell ref="B72:G72"/>
    <mergeCell ref="C73:E73"/>
    <mergeCell ref="C220:D220"/>
    <mergeCell ref="B4:G4"/>
    <mergeCell ref="B5:F5"/>
    <mergeCell ref="C14:E14"/>
    <mergeCell ref="C38:F38"/>
    <mergeCell ref="C22:E22"/>
    <mergeCell ref="C59:F59"/>
    <mergeCell ref="D68:F68"/>
    <mergeCell ref="D69:F69"/>
    <mergeCell ref="D70:F70"/>
    <mergeCell ref="D71:F71"/>
    <mergeCell ref="D58:F58"/>
    <mergeCell ref="C231:D231"/>
    <mergeCell ref="C250:D250"/>
    <mergeCell ref="C248:D248"/>
    <mergeCell ref="E248:F248"/>
    <mergeCell ref="C249:D249"/>
    <mergeCell ref="E249:F24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64"/>
  <sheetViews>
    <sheetView topLeftCell="A67" zoomScale="95" zoomScaleNormal="95" workbookViewId="0">
      <selection activeCell="F141" sqref="F141"/>
    </sheetView>
  </sheetViews>
  <sheetFormatPr defaultRowHeight="15"/>
  <cols>
    <col min="1" max="1" width="4.7109375" style="219" customWidth="1"/>
    <col min="2" max="2" width="9.140625" style="220"/>
    <col min="3" max="3" width="28.7109375" style="37" customWidth="1"/>
    <col min="4" max="5" width="11.140625" style="37" customWidth="1"/>
    <col min="6" max="6" width="10.5703125" style="37" customWidth="1"/>
    <col min="7" max="7" width="11.7109375" style="37" customWidth="1"/>
    <col min="8" max="8" width="16.140625" style="37" customWidth="1"/>
    <col min="9" max="9" width="12.140625" style="37" customWidth="1"/>
    <col min="10" max="16384" width="9.140625" style="37"/>
  </cols>
  <sheetData>
    <row r="1" spans="1:12" ht="31.5" customHeight="1">
      <c r="A1" s="379" t="s">
        <v>195</v>
      </c>
      <c r="B1" s="379"/>
      <c r="C1" s="379"/>
      <c r="D1" s="379"/>
      <c r="E1" s="379"/>
      <c r="F1" s="379"/>
      <c r="G1" s="379"/>
      <c r="H1" s="379"/>
    </row>
    <row r="2" spans="1:12" ht="15.75">
      <c r="A2" s="169"/>
      <c r="B2" s="152"/>
      <c r="C2" s="152"/>
      <c r="D2" s="152"/>
      <c r="E2" s="224"/>
      <c r="F2" s="152"/>
      <c r="G2" s="417" t="s">
        <v>185</v>
      </c>
      <c r="H2" s="417"/>
      <c r="I2" s="417"/>
    </row>
    <row r="3" spans="1:12" ht="39.75" customHeight="1">
      <c r="A3" s="135" t="s">
        <v>60</v>
      </c>
      <c r="B3" s="127" t="s">
        <v>61</v>
      </c>
      <c r="C3" s="155" t="s">
        <v>152</v>
      </c>
      <c r="D3" s="155" t="s">
        <v>63</v>
      </c>
      <c r="E3" s="225" t="s">
        <v>364</v>
      </c>
      <c r="F3" s="128" t="s">
        <v>153</v>
      </c>
      <c r="G3" s="155" t="s">
        <v>193</v>
      </c>
      <c r="H3" s="64" t="s">
        <v>194</v>
      </c>
      <c r="I3" s="155" t="s">
        <v>187</v>
      </c>
    </row>
    <row r="4" spans="1:12" s="165" customFormat="1" ht="21.75" customHeight="1">
      <c r="A4" s="184" t="s">
        <v>207</v>
      </c>
      <c r="B4" s="388" t="s">
        <v>287</v>
      </c>
      <c r="C4" s="388"/>
      <c r="D4" s="388"/>
      <c r="E4" s="388"/>
      <c r="F4" s="388"/>
      <c r="G4" s="388"/>
      <c r="H4" s="388"/>
      <c r="I4" s="140"/>
    </row>
    <row r="5" spans="1:12" s="165" customFormat="1" ht="21" customHeight="1">
      <c r="A5" s="185" t="s">
        <v>288</v>
      </c>
      <c r="B5" s="391" t="s">
        <v>289</v>
      </c>
      <c r="C5" s="391"/>
      <c r="D5" s="391"/>
      <c r="E5" s="391"/>
      <c r="F5" s="391"/>
      <c r="G5" s="391"/>
      <c r="H5" s="29"/>
      <c r="I5" s="140"/>
      <c r="J5" s="165">
        <v>250</v>
      </c>
    </row>
    <row r="6" spans="1:12" s="57" customFormat="1" ht="21" customHeight="1">
      <c r="A6" s="189">
        <v>1</v>
      </c>
      <c r="B6" s="172" t="s">
        <v>299</v>
      </c>
      <c r="C6" s="157" t="s">
        <v>337</v>
      </c>
      <c r="D6" s="96"/>
      <c r="E6" s="96"/>
      <c r="F6" s="96"/>
      <c r="G6" s="146"/>
      <c r="H6" s="97"/>
      <c r="I6" s="216">
        <f>SUM(I7:I8)</f>
        <v>3370.4</v>
      </c>
    </row>
    <row r="7" spans="1:12" ht="15.75">
      <c r="A7" s="135"/>
      <c r="B7" s="93">
        <v>1</v>
      </c>
      <c r="C7" s="7" t="s">
        <v>335</v>
      </c>
      <c r="D7" s="34" t="s">
        <v>48</v>
      </c>
      <c r="E7" s="34">
        <v>1</v>
      </c>
      <c r="F7" s="104">
        <v>0.12</v>
      </c>
      <c r="G7" s="65">
        <f>H7/(J7*$J$5)</f>
        <v>25300</v>
      </c>
      <c r="H7" s="66">
        <f>VLOOKUP(C7,[1]TB!$B$3:$D$503,3,0)</f>
        <v>50600000</v>
      </c>
      <c r="I7" s="65">
        <f>F7*G7</f>
        <v>3036</v>
      </c>
      <c r="J7" s="37">
        <v>8</v>
      </c>
    </row>
    <row r="8" spans="1:12" ht="15.75">
      <c r="A8" s="135"/>
      <c r="B8" s="93">
        <v>2</v>
      </c>
      <c r="C8" s="7" t="s">
        <v>336</v>
      </c>
      <c r="D8" s="34" t="s">
        <v>48</v>
      </c>
      <c r="E8" s="3" t="s">
        <v>365</v>
      </c>
      <c r="F8" s="104">
        <v>0.08</v>
      </c>
      <c r="G8" s="65">
        <f t="shared" ref="G8:G35" si="0">H8/(J8*$J$5)</f>
        <v>4180</v>
      </c>
      <c r="H8" s="66">
        <f>VLOOKUP(C8,[1]TB!$B$3:$D$503,3,0)</f>
        <v>10450000</v>
      </c>
      <c r="I8" s="65">
        <f t="shared" ref="I8:I35" si="1">F8*G8</f>
        <v>334.40000000000003</v>
      </c>
      <c r="J8" s="37">
        <v>10</v>
      </c>
    </row>
    <row r="9" spans="1:12" ht="15.75">
      <c r="A9" s="189">
        <v>2</v>
      </c>
      <c r="B9" s="154" t="s">
        <v>300</v>
      </c>
      <c r="C9" s="434" t="s">
        <v>387</v>
      </c>
      <c r="D9" s="435"/>
      <c r="E9" s="435"/>
      <c r="F9" s="436"/>
      <c r="G9" s="65"/>
      <c r="H9" s="60"/>
      <c r="I9" s="217">
        <f>SUM(I10:I11)</f>
        <v>3370.4</v>
      </c>
    </row>
    <row r="10" spans="1:12" s="211" customFormat="1" ht="15.75">
      <c r="A10" s="174"/>
      <c r="B10" s="93">
        <v>1</v>
      </c>
      <c r="C10" s="7" t="s">
        <v>335</v>
      </c>
      <c r="D10" s="34" t="s">
        <v>48</v>
      </c>
      <c r="E10" s="34">
        <v>1</v>
      </c>
      <c r="F10" s="104">
        <v>0.12</v>
      </c>
      <c r="G10" s="65">
        <f t="shared" si="0"/>
        <v>25300</v>
      </c>
      <c r="H10" s="66">
        <f>VLOOKUP(C10,[1]TB!$B$3:$D$503,3,0)</f>
        <v>50600000</v>
      </c>
      <c r="I10" s="65">
        <f t="shared" si="1"/>
        <v>3036</v>
      </c>
      <c r="J10" s="212">
        <f>VLOOKUP(C10,'[2]Ng.gia thiêtbi'!$B$3:$E$202,4,0)</f>
        <v>8</v>
      </c>
      <c r="L10" s="213"/>
    </row>
    <row r="11" spans="1:12" s="211" customFormat="1" ht="15.75">
      <c r="A11" s="174"/>
      <c r="B11" s="93">
        <v>2</v>
      </c>
      <c r="C11" s="7" t="s">
        <v>336</v>
      </c>
      <c r="D11" s="34" t="s">
        <v>48</v>
      </c>
      <c r="E11" s="3" t="s">
        <v>365</v>
      </c>
      <c r="F11" s="104">
        <v>0.08</v>
      </c>
      <c r="G11" s="65">
        <f t="shared" si="0"/>
        <v>4180</v>
      </c>
      <c r="H11" s="66">
        <f>VLOOKUP(C11,[1]TB!$B$3:$D$503,3,0)</f>
        <v>10450000</v>
      </c>
      <c r="I11" s="65">
        <f t="shared" si="1"/>
        <v>334.40000000000003</v>
      </c>
      <c r="J11" s="212">
        <f>VLOOKUP(C11,'[2]Ng.gia thiêtbi'!$B$3:$E$202,4,0)</f>
        <v>10</v>
      </c>
      <c r="L11" s="213"/>
    </row>
    <row r="12" spans="1:12" ht="15.75">
      <c r="A12" s="189">
        <v>3</v>
      </c>
      <c r="B12" s="129" t="s">
        <v>301</v>
      </c>
      <c r="C12" s="139" t="s">
        <v>12</v>
      </c>
      <c r="D12" s="34"/>
      <c r="E12" s="34"/>
      <c r="F12" s="34"/>
      <c r="G12" s="65"/>
      <c r="H12" s="60"/>
      <c r="I12" s="217">
        <f>SUM(I13:I14)</f>
        <v>3370.4</v>
      </c>
    </row>
    <row r="13" spans="1:12" s="211" customFormat="1" ht="15.75">
      <c r="A13" s="174"/>
      <c r="B13" s="93">
        <v>1</v>
      </c>
      <c r="C13" s="7" t="s">
        <v>335</v>
      </c>
      <c r="D13" s="34" t="s">
        <v>48</v>
      </c>
      <c r="E13" s="34">
        <v>1</v>
      </c>
      <c r="F13" s="104">
        <v>0.12</v>
      </c>
      <c r="G13" s="65">
        <f t="shared" si="0"/>
        <v>25300</v>
      </c>
      <c r="H13" s="66">
        <f>VLOOKUP(C13,[1]TB!$B$3:$D$503,3,0)</f>
        <v>50600000</v>
      </c>
      <c r="I13" s="65">
        <f t="shared" si="1"/>
        <v>3036</v>
      </c>
      <c r="J13" s="212">
        <f>VLOOKUP(C13,'[2]Ng.gia thiêtbi'!$B$3:$E$202,4,0)</f>
        <v>8</v>
      </c>
      <c r="L13" s="213"/>
    </row>
    <row r="14" spans="1:12" s="211" customFormat="1" ht="15.75">
      <c r="A14" s="174"/>
      <c r="B14" s="93">
        <v>2</v>
      </c>
      <c r="C14" s="7" t="s">
        <v>336</v>
      </c>
      <c r="D14" s="34" t="s">
        <v>48</v>
      </c>
      <c r="E14" s="3" t="s">
        <v>365</v>
      </c>
      <c r="F14" s="104">
        <v>0.08</v>
      </c>
      <c r="G14" s="65">
        <f t="shared" si="0"/>
        <v>4180</v>
      </c>
      <c r="H14" s="66">
        <f>VLOOKUP(C14,[1]TB!$B$3:$D$503,3,0)</f>
        <v>10450000</v>
      </c>
      <c r="I14" s="65">
        <f t="shared" si="1"/>
        <v>334.40000000000003</v>
      </c>
      <c r="J14" s="212">
        <f>VLOOKUP(C14,'[2]Ng.gia thiêtbi'!$B$3:$E$202,4,0)</f>
        <v>10</v>
      </c>
      <c r="L14" s="213"/>
    </row>
    <row r="15" spans="1:12" ht="15.75">
      <c r="A15" s="189">
        <v>4</v>
      </c>
      <c r="B15" s="129" t="s">
        <v>302</v>
      </c>
      <c r="C15" s="139" t="s">
        <v>323</v>
      </c>
      <c r="D15" s="34"/>
      <c r="E15" s="34"/>
      <c r="F15" s="34"/>
      <c r="G15" s="65"/>
      <c r="H15" s="60"/>
      <c r="I15" s="217">
        <f>SUM(I16:I17)</f>
        <v>3370.4</v>
      </c>
    </row>
    <row r="16" spans="1:12" s="211" customFormat="1" ht="15.75">
      <c r="A16" s="174"/>
      <c r="B16" s="93">
        <v>1</v>
      </c>
      <c r="C16" s="7" t="s">
        <v>335</v>
      </c>
      <c r="D16" s="34" t="s">
        <v>48</v>
      </c>
      <c r="E16" s="34">
        <v>1</v>
      </c>
      <c r="F16" s="104">
        <v>0.12</v>
      </c>
      <c r="G16" s="65">
        <f t="shared" ref="G16:G17" si="2">H16/(J16*$J$5)</f>
        <v>25300</v>
      </c>
      <c r="H16" s="66">
        <f>VLOOKUP(C16,[1]TB!$B$3:$D$503,3,0)</f>
        <v>50600000</v>
      </c>
      <c r="I16" s="65">
        <f t="shared" ref="I16:I17" si="3">F16*G16</f>
        <v>3036</v>
      </c>
      <c r="J16" s="212">
        <f>VLOOKUP(C16,'[2]Ng.gia thiêtbi'!$B$3:$E$202,4,0)</f>
        <v>8</v>
      </c>
      <c r="L16" s="213"/>
    </row>
    <row r="17" spans="1:12" s="211" customFormat="1" ht="15.75">
      <c r="A17" s="174"/>
      <c r="B17" s="93">
        <v>2</v>
      </c>
      <c r="C17" s="7" t="s">
        <v>336</v>
      </c>
      <c r="D17" s="34" t="s">
        <v>48</v>
      </c>
      <c r="E17" s="3" t="s">
        <v>365</v>
      </c>
      <c r="F17" s="104">
        <v>0.08</v>
      </c>
      <c r="G17" s="65">
        <f t="shared" si="2"/>
        <v>4180</v>
      </c>
      <c r="H17" s="66">
        <f>VLOOKUP(C17,[1]TB!$B$3:$D$503,3,0)</f>
        <v>10450000</v>
      </c>
      <c r="I17" s="65">
        <f t="shared" si="3"/>
        <v>334.40000000000003</v>
      </c>
      <c r="J17" s="212">
        <f>VLOOKUP(C17,'[2]Ng.gia thiêtbi'!$B$3:$E$202,4,0)</f>
        <v>10</v>
      </c>
      <c r="L17" s="213"/>
    </row>
    <row r="18" spans="1:12" s="57" customFormat="1" ht="20.25" customHeight="1">
      <c r="A18" s="189">
        <v>5</v>
      </c>
      <c r="B18" s="129" t="s">
        <v>303</v>
      </c>
      <c r="C18" s="385" t="s">
        <v>218</v>
      </c>
      <c r="D18" s="385"/>
      <c r="E18" s="385"/>
      <c r="F18" s="385"/>
      <c r="G18" s="385"/>
      <c r="H18" s="147"/>
      <c r="I18" s="217">
        <f>SUM(I19:I20)</f>
        <v>3370.4</v>
      </c>
    </row>
    <row r="19" spans="1:12" s="211" customFormat="1" ht="15.75">
      <c r="A19" s="174"/>
      <c r="B19" s="93">
        <v>1</v>
      </c>
      <c r="C19" s="7" t="s">
        <v>335</v>
      </c>
      <c r="D19" s="34" t="s">
        <v>48</v>
      </c>
      <c r="E19" s="34">
        <v>1</v>
      </c>
      <c r="F19" s="104">
        <v>0.12</v>
      </c>
      <c r="G19" s="65">
        <f t="shared" si="0"/>
        <v>25300</v>
      </c>
      <c r="H19" s="66">
        <f>VLOOKUP(C19,[1]TB!$B$3:$D$503,3,0)</f>
        <v>50600000</v>
      </c>
      <c r="I19" s="65">
        <f t="shared" si="1"/>
        <v>3036</v>
      </c>
      <c r="J19" s="212">
        <f>VLOOKUP(C19,'[2]Ng.gia thiêtbi'!$B$3:$E$202,4,0)</f>
        <v>8</v>
      </c>
      <c r="L19" s="213"/>
    </row>
    <row r="20" spans="1:12" s="211" customFormat="1" ht="15.75">
      <c r="A20" s="174"/>
      <c r="B20" s="93">
        <v>2</v>
      </c>
      <c r="C20" s="7" t="s">
        <v>336</v>
      </c>
      <c r="D20" s="34" t="s">
        <v>48</v>
      </c>
      <c r="E20" s="3" t="s">
        <v>365</v>
      </c>
      <c r="F20" s="104">
        <v>0.08</v>
      </c>
      <c r="G20" s="65">
        <f t="shared" si="0"/>
        <v>4180</v>
      </c>
      <c r="H20" s="66">
        <f>VLOOKUP(C20,[1]TB!$B$3:$D$503,3,0)</f>
        <v>10450000</v>
      </c>
      <c r="I20" s="65">
        <f t="shared" si="1"/>
        <v>334.40000000000003</v>
      </c>
      <c r="J20" s="212">
        <f>VLOOKUP(C20,'[2]Ng.gia thiêtbi'!$B$3:$E$202,4,0)</f>
        <v>10</v>
      </c>
      <c r="L20" s="213"/>
    </row>
    <row r="21" spans="1:12" s="211" customFormat="1" ht="17.25">
      <c r="A21" s="174">
        <v>6</v>
      </c>
      <c r="B21" s="260" t="s">
        <v>304</v>
      </c>
      <c r="C21" s="263" t="s">
        <v>219</v>
      </c>
      <c r="D21" s="261"/>
      <c r="E21" s="286"/>
      <c r="F21" s="429" t="s">
        <v>374</v>
      </c>
      <c r="G21" s="430"/>
      <c r="H21" s="431"/>
      <c r="I21" s="217">
        <f>I18</f>
        <v>3370.4</v>
      </c>
      <c r="J21" s="212"/>
      <c r="L21" s="213"/>
    </row>
    <row r="22" spans="1:12" s="211" customFormat="1" ht="15.75">
      <c r="A22" s="174">
        <v>7</v>
      </c>
      <c r="B22" s="260" t="s">
        <v>305</v>
      </c>
      <c r="C22" s="173" t="s">
        <v>213</v>
      </c>
      <c r="D22" s="261"/>
      <c r="E22" s="286"/>
      <c r="F22" s="429" t="s">
        <v>374</v>
      </c>
      <c r="G22" s="430"/>
      <c r="H22" s="431"/>
      <c r="I22" s="217">
        <f>I18</f>
        <v>3370.4</v>
      </c>
      <c r="J22" s="212"/>
      <c r="L22" s="213"/>
    </row>
    <row r="23" spans="1:12" s="211" customFormat="1" ht="15.75">
      <c r="A23" s="174">
        <v>8</v>
      </c>
      <c r="B23" s="316" t="s">
        <v>419</v>
      </c>
      <c r="C23" s="265" t="s">
        <v>462</v>
      </c>
      <c r="D23" s="325"/>
      <c r="E23" s="326"/>
      <c r="F23" s="429" t="s">
        <v>374</v>
      </c>
      <c r="G23" s="430"/>
      <c r="H23" s="431"/>
      <c r="I23" s="217">
        <f>I18</f>
        <v>3370.4</v>
      </c>
      <c r="J23" s="212"/>
      <c r="L23" s="213"/>
    </row>
    <row r="24" spans="1:12" s="211" customFormat="1" ht="15.75">
      <c r="A24" s="174">
        <v>9</v>
      </c>
      <c r="B24" s="316" t="s">
        <v>421</v>
      </c>
      <c r="C24" s="265" t="s">
        <v>448</v>
      </c>
      <c r="D24" s="325"/>
      <c r="E24" s="326"/>
      <c r="F24" s="429" t="s">
        <v>374</v>
      </c>
      <c r="G24" s="430"/>
      <c r="H24" s="431"/>
      <c r="I24" s="217">
        <f>I23</f>
        <v>3370.4</v>
      </c>
      <c r="J24" s="212"/>
      <c r="L24" s="213"/>
    </row>
    <row r="25" spans="1:12" s="211" customFormat="1" ht="15.75">
      <c r="A25" s="174">
        <v>10</v>
      </c>
      <c r="B25" s="316" t="s">
        <v>424</v>
      </c>
      <c r="C25" s="265" t="s">
        <v>463</v>
      </c>
      <c r="D25" s="325"/>
      <c r="E25" s="326"/>
      <c r="F25" s="429" t="s">
        <v>374</v>
      </c>
      <c r="G25" s="430"/>
      <c r="H25" s="431"/>
      <c r="I25" s="217">
        <f>I18</f>
        <v>3370.4</v>
      </c>
      <c r="J25" s="212"/>
      <c r="L25" s="213"/>
    </row>
    <row r="26" spans="1:12" s="211" customFormat="1" ht="15.75">
      <c r="A26" s="174">
        <v>11</v>
      </c>
      <c r="B26" s="316" t="s">
        <v>425</v>
      </c>
      <c r="C26" s="265" t="s">
        <v>464</v>
      </c>
      <c r="D26" s="325"/>
      <c r="E26" s="326"/>
      <c r="F26" s="429" t="s">
        <v>374</v>
      </c>
      <c r="G26" s="430"/>
      <c r="H26" s="431"/>
      <c r="I26" s="217">
        <f>I23</f>
        <v>3370.4</v>
      </c>
      <c r="J26" s="212"/>
      <c r="L26" s="213"/>
    </row>
    <row r="27" spans="1:12" s="211" customFormat="1" ht="15.75">
      <c r="A27" s="174">
        <v>12</v>
      </c>
      <c r="B27" s="316" t="s">
        <v>427</v>
      </c>
      <c r="C27" s="265" t="s">
        <v>451</v>
      </c>
      <c r="D27" s="325"/>
      <c r="E27" s="326"/>
      <c r="F27" s="429" t="s">
        <v>374</v>
      </c>
      <c r="G27" s="430"/>
      <c r="H27" s="431"/>
      <c r="I27" s="217">
        <f>I18</f>
        <v>3370.4</v>
      </c>
      <c r="J27" s="212"/>
      <c r="L27" s="213"/>
    </row>
    <row r="28" spans="1:12" s="211" customFormat="1" ht="15.75">
      <c r="A28" s="174">
        <v>13</v>
      </c>
      <c r="B28" s="316" t="s">
        <v>433</v>
      </c>
      <c r="C28" s="265" t="s">
        <v>457</v>
      </c>
      <c r="D28" s="325"/>
      <c r="E28" s="326"/>
      <c r="F28" s="429" t="s">
        <v>374</v>
      </c>
      <c r="G28" s="430"/>
      <c r="H28" s="431"/>
      <c r="I28" s="217">
        <f>I23</f>
        <v>3370.4</v>
      </c>
      <c r="J28" s="212"/>
      <c r="L28" s="213"/>
    </row>
    <row r="29" spans="1:12" s="211" customFormat="1" ht="15.75">
      <c r="A29" s="174">
        <v>14</v>
      </c>
      <c r="B29" s="316" t="s">
        <v>434</v>
      </c>
      <c r="C29" s="265" t="s">
        <v>458</v>
      </c>
      <c r="D29" s="325"/>
      <c r="E29" s="326"/>
      <c r="F29" s="429" t="s">
        <v>374</v>
      </c>
      <c r="G29" s="430"/>
      <c r="H29" s="431"/>
      <c r="I29" s="217">
        <f>I23</f>
        <v>3370.4</v>
      </c>
      <c r="J29" s="212"/>
      <c r="L29" s="213"/>
    </row>
    <row r="30" spans="1:12" s="211" customFormat="1" ht="15.75">
      <c r="A30" s="174">
        <v>15</v>
      </c>
      <c r="B30" s="316" t="s">
        <v>435</v>
      </c>
      <c r="C30" s="265" t="s">
        <v>459</v>
      </c>
      <c r="D30" s="325"/>
      <c r="E30" s="326"/>
      <c r="F30" s="429" t="s">
        <v>374</v>
      </c>
      <c r="G30" s="430"/>
      <c r="H30" s="431"/>
      <c r="I30" s="217">
        <f>I23</f>
        <v>3370.4</v>
      </c>
      <c r="J30" s="212"/>
      <c r="L30" s="213"/>
    </row>
    <row r="31" spans="1:12" s="211" customFormat="1" ht="15.75">
      <c r="A31" s="174">
        <v>16</v>
      </c>
      <c r="B31" s="316" t="s">
        <v>436</v>
      </c>
      <c r="C31" s="265" t="s">
        <v>460</v>
      </c>
      <c r="D31" s="325"/>
      <c r="E31" s="326"/>
      <c r="F31" s="429" t="s">
        <v>374</v>
      </c>
      <c r="G31" s="430"/>
      <c r="H31" s="431"/>
      <c r="I31" s="217">
        <f>I23</f>
        <v>3370.4</v>
      </c>
      <c r="J31" s="212"/>
      <c r="L31" s="213"/>
    </row>
    <row r="32" spans="1:12" s="211" customFormat="1" ht="18.75">
      <c r="A32" s="174">
        <v>17</v>
      </c>
      <c r="B32" s="316" t="s">
        <v>306</v>
      </c>
      <c r="C32" s="263" t="s">
        <v>378</v>
      </c>
      <c r="D32" s="261"/>
      <c r="E32" s="286"/>
      <c r="F32" s="429" t="s">
        <v>374</v>
      </c>
      <c r="G32" s="430"/>
      <c r="H32" s="431"/>
      <c r="I32" s="217">
        <f>I18</f>
        <v>3370.4</v>
      </c>
      <c r="J32" s="212"/>
      <c r="L32" s="213"/>
    </row>
    <row r="33" spans="1:12" s="57" customFormat="1" ht="15.75">
      <c r="A33" s="189">
        <v>18</v>
      </c>
      <c r="B33" s="154" t="s">
        <v>307</v>
      </c>
      <c r="C33" s="385" t="s">
        <v>8</v>
      </c>
      <c r="D33" s="385"/>
      <c r="E33" s="385"/>
      <c r="F33" s="385"/>
      <c r="G33" s="385"/>
      <c r="H33" s="385"/>
      <c r="I33" s="217">
        <f>SUM(I34:I35)</f>
        <v>3370.4</v>
      </c>
    </row>
    <row r="34" spans="1:12" s="211" customFormat="1" ht="15.75">
      <c r="A34" s="174"/>
      <c r="B34" s="93">
        <v>1</v>
      </c>
      <c r="C34" s="7" t="s">
        <v>335</v>
      </c>
      <c r="D34" s="34" t="s">
        <v>48</v>
      </c>
      <c r="E34" s="34">
        <v>1</v>
      </c>
      <c r="F34" s="104">
        <v>0.12</v>
      </c>
      <c r="G34" s="65">
        <f t="shared" si="0"/>
        <v>25300</v>
      </c>
      <c r="H34" s="66">
        <f>VLOOKUP(C34,[1]TB!$B$3:$D$503,3,0)</f>
        <v>50600000</v>
      </c>
      <c r="I34" s="65">
        <f t="shared" si="1"/>
        <v>3036</v>
      </c>
      <c r="J34" s="212">
        <f>VLOOKUP(C34,'[2]Ng.gia thiêtbi'!$B$3:$E$202,4,0)</f>
        <v>8</v>
      </c>
      <c r="L34" s="213"/>
    </row>
    <row r="35" spans="1:12" s="211" customFormat="1" ht="15.75">
      <c r="A35" s="174"/>
      <c r="B35" s="93">
        <v>2</v>
      </c>
      <c r="C35" s="7" t="s">
        <v>336</v>
      </c>
      <c r="D35" s="34" t="s">
        <v>48</v>
      </c>
      <c r="E35" s="3" t="s">
        <v>365</v>
      </c>
      <c r="F35" s="104">
        <v>0.08</v>
      </c>
      <c r="G35" s="65">
        <f t="shared" si="0"/>
        <v>4180</v>
      </c>
      <c r="H35" s="66">
        <f>VLOOKUP(C35,[1]TB!$B$3:$D$503,3,0)</f>
        <v>10450000</v>
      </c>
      <c r="I35" s="65">
        <f t="shared" si="1"/>
        <v>334.40000000000003</v>
      </c>
      <c r="J35" s="212">
        <f>VLOOKUP(C35,'[2]Ng.gia thiêtbi'!$B$3:$E$202,4,0)</f>
        <v>10</v>
      </c>
      <c r="L35" s="213"/>
    </row>
    <row r="36" spans="1:12" s="211" customFormat="1" ht="31.5">
      <c r="A36" s="174">
        <v>19</v>
      </c>
      <c r="B36" s="260" t="s">
        <v>308</v>
      </c>
      <c r="C36" s="265" t="s">
        <v>214</v>
      </c>
      <c r="D36" s="261"/>
      <c r="E36" s="286"/>
      <c r="F36" s="429" t="s">
        <v>376</v>
      </c>
      <c r="G36" s="430"/>
      <c r="H36" s="431"/>
      <c r="I36" s="217">
        <f>I33</f>
        <v>3370.4</v>
      </c>
      <c r="J36" s="212"/>
      <c r="L36" s="213"/>
    </row>
    <row r="37" spans="1:12" s="211" customFormat="1" ht="34.5">
      <c r="A37" s="174">
        <v>20</v>
      </c>
      <c r="B37" s="260" t="s">
        <v>309</v>
      </c>
      <c r="C37" s="266" t="s">
        <v>215</v>
      </c>
      <c r="D37" s="261"/>
      <c r="E37" s="286"/>
      <c r="F37" s="429" t="s">
        <v>376</v>
      </c>
      <c r="G37" s="430"/>
      <c r="H37" s="431"/>
      <c r="I37" s="217">
        <f>I33</f>
        <v>3370.4</v>
      </c>
      <c r="J37" s="212"/>
      <c r="L37" s="213"/>
    </row>
    <row r="38" spans="1:12" s="211" customFormat="1" ht="31.5">
      <c r="A38" s="174">
        <v>21</v>
      </c>
      <c r="B38" s="260" t="s">
        <v>310</v>
      </c>
      <c r="C38" s="265" t="s">
        <v>10</v>
      </c>
      <c r="D38" s="261"/>
      <c r="E38" s="286"/>
      <c r="F38" s="429" t="s">
        <v>376</v>
      </c>
      <c r="G38" s="430"/>
      <c r="H38" s="431"/>
      <c r="I38" s="217">
        <f>I33</f>
        <v>3370.4</v>
      </c>
      <c r="J38" s="212"/>
      <c r="L38" s="213"/>
    </row>
    <row r="39" spans="1:12" s="211" customFormat="1" ht="15.75">
      <c r="A39" s="174">
        <v>22</v>
      </c>
      <c r="B39" s="260" t="s">
        <v>311</v>
      </c>
      <c r="C39" s="267" t="s">
        <v>11</v>
      </c>
      <c r="D39" s="261"/>
      <c r="E39" s="286"/>
      <c r="F39" s="429" t="s">
        <v>376</v>
      </c>
      <c r="G39" s="430"/>
      <c r="H39" s="431"/>
      <c r="I39" s="217">
        <f>I33</f>
        <v>3370.4</v>
      </c>
      <c r="J39" s="212"/>
      <c r="L39" s="213"/>
    </row>
    <row r="40" spans="1:12" ht="15.75">
      <c r="A40" s="135"/>
      <c r="B40" s="388" t="s">
        <v>196</v>
      </c>
      <c r="C40" s="388"/>
      <c r="D40" s="388"/>
      <c r="E40" s="388"/>
      <c r="F40" s="388"/>
      <c r="G40" s="388"/>
      <c r="H40" s="388"/>
      <c r="I40" s="388"/>
      <c r="J40" s="37">
        <v>500</v>
      </c>
    </row>
    <row r="41" spans="1:12" ht="21" customHeight="1">
      <c r="A41" s="218">
        <v>1</v>
      </c>
      <c r="B41" s="130" t="s">
        <v>290</v>
      </c>
      <c r="C41" s="28" t="s">
        <v>285</v>
      </c>
      <c r="D41" s="28"/>
      <c r="E41" s="28"/>
      <c r="F41" s="131"/>
      <c r="G41" s="131"/>
      <c r="H41" s="131"/>
      <c r="I41" s="142">
        <f>SUM(I42:I47)</f>
        <v>11930.440000000002</v>
      </c>
    </row>
    <row r="42" spans="1:12" ht="15.75">
      <c r="A42" s="218"/>
      <c r="B42" s="96">
        <v>1</v>
      </c>
      <c r="C42" s="132" t="s">
        <v>135</v>
      </c>
      <c r="D42" s="34" t="s">
        <v>48</v>
      </c>
      <c r="E42" s="34">
        <v>0.3</v>
      </c>
      <c r="F42" s="104">
        <v>0.4</v>
      </c>
      <c r="G42" s="65">
        <f>H42/(J42*$J$40)</f>
        <v>6208</v>
      </c>
      <c r="H42" s="66">
        <f>VLOOKUP(C42,[1]TB!$B$3:$D$503,3,0)</f>
        <v>31040000</v>
      </c>
      <c r="I42" s="65">
        <f>F42*G42</f>
        <v>2483.2000000000003</v>
      </c>
      <c r="J42" s="214">
        <f>VLOOKUP(C42,'[3]Ng.gia thiêtbi'!$B$3:$E$202,4,0)</f>
        <v>10</v>
      </c>
    </row>
    <row r="43" spans="1:12" ht="15.75">
      <c r="A43" s="218"/>
      <c r="B43" s="96">
        <v>2</v>
      </c>
      <c r="C43" s="132" t="s">
        <v>221</v>
      </c>
      <c r="D43" s="34" t="s">
        <v>39</v>
      </c>
      <c r="E43" s="34"/>
      <c r="F43" s="104">
        <v>0.2</v>
      </c>
      <c r="G43" s="65">
        <f t="shared" ref="G43:G47" si="4">H43/(J43*$J$40)</f>
        <v>13538.4</v>
      </c>
      <c r="H43" s="66">
        <f>VLOOKUP(C43,[1]TB!$B$3:$D$503,3,0)</f>
        <v>33846000</v>
      </c>
      <c r="I43" s="65">
        <f t="shared" ref="I43:I47" si="5">F43*G43</f>
        <v>2707.6800000000003</v>
      </c>
      <c r="J43" s="214">
        <f>VLOOKUP(C43,'[3]Ng.gia thiêtbi'!$B$3:$E$202,4,0)</f>
        <v>5</v>
      </c>
    </row>
    <row r="44" spans="1:12" ht="15.75">
      <c r="A44" s="218"/>
      <c r="B44" s="96">
        <v>3</v>
      </c>
      <c r="C44" s="132" t="s">
        <v>222</v>
      </c>
      <c r="D44" s="34" t="s">
        <v>48</v>
      </c>
      <c r="E44" s="3" t="s">
        <v>365</v>
      </c>
      <c r="F44" s="104">
        <v>0.4</v>
      </c>
      <c r="G44" s="65">
        <f t="shared" si="4"/>
        <v>13538.4</v>
      </c>
      <c r="H44" s="66">
        <f>VLOOKUP(C44,[1]TB!$B$3:$D$503,3,0)</f>
        <v>33846000</v>
      </c>
      <c r="I44" s="65">
        <f t="shared" si="5"/>
        <v>5415.3600000000006</v>
      </c>
      <c r="J44" s="214">
        <f>VLOOKUP(C44,'[3]Ng.gia thiêtbi'!$B$3:$E$202,4,0)</f>
        <v>5</v>
      </c>
    </row>
    <row r="45" spans="1:12" ht="15.75">
      <c r="A45" s="218"/>
      <c r="B45" s="96">
        <v>4</v>
      </c>
      <c r="C45" s="132" t="s">
        <v>224</v>
      </c>
      <c r="D45" s="34" t="s">
        <v>39</v>
      </c>
      <c r="E45" s="3" t="s">
        <v>365</v>
      </c>
      <c r="F45" s="104">
        <v>0.4</v>
      </c>
      <c r="G45" s="65">
        <f t="shared" si="4"/>
        <v>1354</v>
      </c>
      <c r="H45" s="66">
        <f>VLOOKUP(C45,[1]TB!$B$3:$D$503,3,0)</f>
        <v>3385000</v>
      </c>
      <c r="I45" s="65">
        <f t="shared" si="5"/>
        <v>541.6</v>
      </c>
      <c r="J45" s="214">
        <f>VLOOKUP(C45,'[3]Ng.gia thiêtbi'!$B$3:$E$202,4,0)</f>
        <v>5</v>
      </c>
    </row>
    <row r="46" spans="1:12" ht="15.75">
      <c r="A46" s="218"/>
      <c r="B46" s="96">
        <v>5</v>
      </c>
      <c r="C46" s="132" t="s">
        <v>223</v>
      </c>
      <c r="D46" s="34" t="s">
        <v>48</v>
      </c>
      <c r="E46" s="3" t="s">
        <v>365</v>
      </c>
      <c r="F46" s="104">
        <v>0.4</v>
      </c>
      <c r="G46" s="65">
        <f t="shared" ref="G46" si="6">H46/(J46*$J$40)</f>
        <v>1320.0000000000002</v>
      </c>
      <c r="H46" s="66">
        <f>VLOOKUP(C46,[1]TB!$B$3:$D$503,3,0)</f>
        <v>3300000.0000000005</v>
      </c>
      <c r="I46" s="65">
        <f t="shared" si="5"/>
        <v>528.00000000000011</v>
      </c>
      <c r="J46" s="214">
        <f>VLOOKUP(C46,'[3]Ng.gia thiêtbi'!$B$3:$E$202,4,0)</f>
        <v>5</v>
      </c>
    </row>
    <row r="47" spans="1:12" ht="15.75">
      <c r="A47" s="218"/>
      <c r="B47" s="96">
        <v>6</v>
      </c>
      <c r="C47" s="132" t="s">
        <v>138</v>
      </c>
      <c r="D47" s="34" t="s">
        <v>48</v>
      </c>
      <c r="E47" s="34">
        <v>2.2000000000000002</v>
      </c>
      <c r="F47" s="104">
        <v>6.7000000000000004E-2</v>
      </c>
      <c r="G47" s="65">
        <f t="shared" si="4"/>
        <v>3800</v>
      </c>
      <c r="H47" s="66">
        <f>VLOOKUP(C47,[1]TB!$B$3:$D$503,3,0)</f>
        <v>9500000</v>
      </c>
      <c r="I47" s="65">
        <f t="shared" si="5"/>
        <v>254.60000000000002</v>
      </c>
      <c r="J47" s="214">
        <f>VLOOKUP(C47,'[3]Ng.gia thiêtbi'!$B$3:$E$202,4,0)</f>
        <v>5</v>
      </c>
    </row>
    <row r="48" spans="1:12" ht="15.75">
      <c r="A48" s="218"/>
      <c r="B48" s="96">
        <v>7</v>
      </c>
      <c r="C48" s="132" t="s">
        <v>43</v>
      </c>
      <c r="D48" s="3" t="s">
        <v>44</v>
      </c>
      <c r="E48" s="34"/>
      <c r="F48" s="104">
        <v>3.84</v>
      </c>
      <c r="G48" s="65"/>
      <c r="H48" s="66">
        <f>VLOOKUP(C48,[1]TB!$B$3:$D$503,3,0)</f>
        <v>1838</v>
      </c>
      <c r="I48" s="65">
        <f>H48*F48</f>
        <v>7057.92</v>
      </c>
      <c r="J48" s="214" t="e">
        <f>VLOOKUP(C48,'[3]Ng.gia thiêtbi'!$B$3:$E$202,4,0)</f>
        <v>#REF!</v>
      </c>
    </row>
    <row r="49" spans="1:10" ht="17.25" customHeight="1">
      <c r="A49" s="218">
        <v>2</v>
      </c>
      <c r="B49" s="130" t="s">
        <v>298</v>
      </c>
      <c r="C49" s="28" t="s">
        <v>387</v>
      </c>
      <c r="D49" s="28"/>
      <c r="E49" s="28"/>
      <c r="F49" s="131"/>
      <c r="G49" s="131"/>
      <c r="H49" s="131"/>
      <c r="I49" s="142">
        <f>SUM(I50:I54)</f>
        <v>11435.800000000001</v>
      </c>
    </row>
    <row r="50" spans="1:10" ht="15.75">
      <c r="A50" s="218"/>
      <c r="B50" s="96">
        <v>1</v>
      </c>
      <c r="C50" s="132" t="s">
        <v>135</v>
      </c>
      <c r="D50" s="34" t="s">
        <v>48</v>
      </c>
      <c r="E50" s="34">
        <v>0.3</v>
      </c>
      <c r="F50" s="104">
        <v>0.4</v>
      </c>
      <c r="G50" s="65">
        <f>H50/(J50*$J$40)</f>
        <v>6208</v>
      </c>
      <c r="H50" s="66">
        <f>VLOOKUP(C50,[1]TB!$B$3:$D$503,3,0)</f>
        <v>31040000</v>
      </c>
      <c r="I50" s="65">
        <f>F50*G50</f>
        <v>2483.2000000000003</v>
      </c>
      <c r="J50" s="214">
        <f>VLOOKUP(C50,'[3]Ng.gia thiêtbi'!$B$3:$E$202,4,0)</f>
        <v>10</v>
      </c>
    </row>
    <row r="51" spans="1:10" ht="15.75">
      <c r="A51" s="218"/>
      <c r="B51" s="96">
        <v>2</v>
      </c>
      <c r="C51" s="132" t="s">
        <v>136</v>
      </c>
      <c r="D51" s="34" t="s">
        <v>39</v>
      </c>
      <c r="E51" s="34">
        <v>2.2999999999999998</v>
      </c>
      <c r="F51" s="104">
        <v>0.2</v>
      </c>
      <c r="G51" s="65">
        <f t="shared" ref="G51:G147" si="7">H51/(J51*$J$40)</f>
        <v>11340</v>
      </c>
      <c r="H51" s="66">
        <f>VLOOKUP(C51,[1]TB!$B$3:$D$503,3,0)</f>
        <v>28350000</v>
      </c>
      <c r="I51" s="65">
        <f t="shared" ref="I51:I147" si="8">F51*G51</f>
        <v>2268</v>
      </c>
      <c r="J51" s="214">
        <f>VLOOKUP(C51,'[3]Ng.gia thiêtbi'!$B$3:$E$202,4,0)</f>
        <v>5</v>
      </c>
    </row>
    <row r="52" spans="1:10" ht="15.75">
      <c r="A52" s="218"/>
      <c r="B52" s="96">
        <v>3</v>
      </c>
      <c r="C52" s="132" t="s">
        <v>389</v>
      </c>
      <c r="D52" s="34" t="s">
        <v>48</v>
      </c>
      <c r="E52" s="34">
        <v>0.06</v>
      </c>
      <c r="F52" s="104">
        <v>0.2</v>
      </c>
      <c r="G52" s="65">
        <f t="shared" si="7"/>
        <v>12000</v>
      </c>
      <c r="H52" s="66">
        <f>VLOOKUP(C52,[1]TB!$B$3:$D$503,3,0)</f>
        <v>30000000</v>
      </c>
      <c r="I52" s="65">
        <f t="shared" si="8"/>
        <v>2400</v>
      </c>
      <c r="J52" s="214">
        <f>VLOOKUP(C52,'[3]Ng.gia thiêtbi'!$B$3:$E$202,4,0)</f>
        <v>5</v>
      </c>
    </row>
    <row r="53" spans="1:10" ht="15.75">
      <c r="A53" s="218"/>
      <c r="B53" s="96">
        <v>4</v>
      </c>
      <c r="C53" s="132" t="s">
        <v>137</v>
      </c>
      <c r="D53" s="34" t="s">
        <v>39</v>
      </c>
      <c r="E53" s="34">
        <v>0.55000000000000004</v>
      </c>
      <c r="F53" s="104">
        <v>0.2</v>
      </c>
      <c r="G53" s="65">
        <f t="shared" si="7"/>
        <v>20150</v>
      </c>
      <c r="H53" s="66">
        <f>VLOOKUP(C53,[1]TB!$B$3:$D$503,3,0)</f>
        <v>100750000</v>
      </c>
      <c r="I53" s="65">
        <f t="shared" si="8"/>
        <v>4030</v>
      </c>
      <c r="J53" s="214">
        <f>VLOOKUP(C53,'[3]Ng.gia thiêtbi'!$B$3:$E$202,4,0)</f>
        <v>10</v>
      </c>
    </row>
    <row r="54" spans="1:10" ht="15.75">
      <c r="A54" s="218"/>
      <c r="B54" s="96">
        <v>5</v>
      </c>
      <c r="C54" s="132" t="s">
        <v>138</v>
      </c>
      <c r="D54" s="34" t="s">
        <v>48</v>
      </c>
      <c r="E54" s="34">
        <v>2.2000000000000002</v>
      </c>
      <c r="F54" s="104">
        <v>6.7000000000000004E-2</v>
      </c>
      <c r="G54" s="65">
        <f t="shared" si="7"/>
        <v>3800</v>
      </c>
      <c r="H54" s="66">
        <f>VLOOKUP(C54,[1]TB!$B$3:$D$503,3,0)</f>
        <v>9500000</v>
      </c>
      <c r="I54" s="65">
        <f t="shared" si="8"/>
        <v>254.60000000000002</v>
      </c>
      <c r="J54" s="214">
        <f>VLOOKUP(C54,'[3]Ng.gia thiêtbi'!$B$3:$E$202,4,0)</f>
        <v>5</v>
      </c>
    </row>
    <row r="55" spans="1:10" ht="15.75">
      <c r="A55" s="218"/>
      <c r="B55" s="96">
        <v>6</v>
      </c>
      <c r="C55" s="132" t="s">
        <v>43</v>
      </c>
      <c r="D55" s="3" t="s">
        <v>44</v>
      </c>
      <c r="E55" s="34"/>
      <c r="F55" s="104">
        <v>13.84</v>
      </c>
      <c r="G55" s="65"/>
      <c r="H55" s="66">
        <f>VLOOKUP(C55,[1]TB!$B$3:$D$503,3,0)</f>
        <v>1838</v>
      </c>
      <c r="I55" s="65">
        <f>H55*F55</f>
        <v>25437.919999999998</v>
      </c>
      <c r="J55" s="214" t="e">
        <f>VLOOKUP(C55,'[3]Ng.gia thiêtbi'!$B$3:$E$202,4,0)</f>
        <v>#REF!</v>
      </c>
    </row>
    <row r="56" spans="1:10" ht="15.75">
      <c r="A56" s="218">
        <v>3</v>
      </c>
      <c r="B56" s="133" t="s">
        <v>313</v>
      </c>
      <c r="C56" s="28" t="s">
        <v>12</v>
      </c>
      <c r="D56" s="131"/>
      <c r="E56" s="131"/>
      <c r="F56" s="131"/>
      <c r="G56" s="65"/>
      <c r="H56" s="66"/>
      <c r="I56" s="142">
        <f>SUM(I57:I63)</f>
        <v>36153.480000000003</v>
      </c>
      <c r="J56" s="214"/>
    </row>
    <row r="57" spans="1:10" ht="15.75">
      <c r="A57" s="218"/>
      <c r="B57" s="6">
        <v>1</v>
      </c>
      <c r="C57" s="2" t="s">
        <v>135</v>
      </c>
      <c r="D57" s="3" t="s">
        <v>15</v>
      </c>
      <c r="E57" s="34">
        <v>0.3</v>
      </c>
      <c r="F57" s="104">
        <v>0.4</v>
      </c>
      <c r="G57" s="65">
        <f t="shared" si="7"/>
        <v>6208</v>
      </c>
      <c r="H57" s="66">
        <f>VLOOKUP(C57,[1]TB!$B$3:$D$503,3,0)</f>
        <v>31040000</v>
      </c>
      <c r="I57" s="65">
        <f t="shared" si="8"/>
        <v>2483.2000000000003</v>
      </c>
      <c r="J57" s="214">
        <f>VLOOKUP(C57,'[3]Ng.gia thiêtbi'!$B$3:$E$202,4,0)</f>
        <v>10</v>
      </c>
    </row>
    <row r="58" spans="1:10" ht="15.75">
      <c r="A58" s="218"/>
      <c r="B58" s="6">
        <v>2</v>
      </c>
      <c r="C58" s="126" t="s">
        <v>221</v>
      </c>
      <c r="D58" s="3" t="s">
        <v>39</v>
      </c>
      <c r="E58" s="3"/>
      <c r="F58" s="134">
        <v>0.2</v>
      </c>
      <c r="G58" s="65">
        <f t="shared" si="7"/>
        <v>13538.4</v>
      </c>
      <c r="H58" s="66">
        <f>VLOOKUP(C58,[1]TB!$B$3:$D$503,3,0)</f>
        <v>33846000</v>
      </c>
      <c r="I58" s="65">
        <f t="shared" si="8"/>
        <v>2707.6800000000003</v>
      </c>
      <c r="J58" s="214">
        <f>VLOOKUP(C58,'[3]Ng.gia thiêtbi'!$B$3:$E$202,4,0)</f>
        <v>5</v>
      </c>
    </row>
    <row r="59" spans="1:10" ht="15.75">
      <c r="A59" s="218"/>
      <c r="B59" s="6">
        <v>3</v>
      </c>
      <c r="C59" s="2" t="s">
        <v>390</v>
      </c>
      <c r="D59" s="3" t="s">
        <v>15</v>
      </c>
      <c r="E59" s="3">
        <v>0.16</v>
      </c>
      <c r="F59" s="134">
        <v>0.2</v>
      </c>
      <c r="G59" s="65">
        <f t="shared" si="7"/>
        <v>14700</v>
      </c>
      <c r="H59" s="66">
        <f>VLOOKUP(C59,[1]TB!$B$3:$D$503,3,0)</f>
        <v>58800000</v>
      </c>
      <c r="I59" s="65">
        <f t="shared" si="8"/>
        <v>2940</v>
      </c>
      <c r="J59" s="214">
        <f>VLOOKUP(C59,'[3]Ng.gia thiêtbi'!$B$3:$E$202,4,0)</f>
        <v>8</v>
      </c>
    </row>
    <row r="60" spans="1:10" ht="15.75">
      <c r="A60" s="218"/>
      <c r="B60" s="6">
        <v>4</v>
      </c>
      <c r="C60" s="2" t="s">
        <v>144</v>
      </c>
      <c r="D60" s="3" t="s">
        <v>15</v>
      </c>
      <c r="E60" s="3">
        <v>0.16</v>
      </c>
      <c r="F60" s="134">
        <v>0.2</v>
      </c>
      <c r="G60" s="65">
        <f t="shared" si="7"/>
        <v>23520</v>
      </c>
      <c r="H60" s="66">
        <f>VLOOKUP(C60,[1]TB!$B$3:$D$503,3,0)</f>
        <v>58800000</v>
      </c>
      <c r="I60" s="65">
        <f t="shared" si="8"/>
        <v>4704</v>
      </c>
      <c r="J60" s="214">
        <f>VLOOKUP(C60,'[3]Ng.gia thiêtbi'!$B$3:$E$202,4,0)</f>
        <v>5</v>
      </c>
    </row>
    <row r="61" spans="1:10" ht="15.75">
      <c r="A61" s="218"/>
      <c r="B61" s="6">
        <v>5</v>
      </c>
      <c r="C61" s="132" t="s">
        <v>389</v>
      </c>
      <c r="D61" s="3" t="s">
        <v>15</v>
      </c>
      <c r="E61" s="34">
        <v>0.06</v>
      </c>
      <c r="F61" s="104">
        <v>0.2</v>
      </c>
      <c r="G61" s="65">
        <f t="shared" si="7"/>
        <v>12000</v>
      </c>
      <c r="H61" s="66">
        <f>VLOOKUP(C61,[1]TB!$B$3:$D$503,3,0)</f>
        <v>30000000</v>
      </c>
      <c r="I61" s="65">
        <f t="shared" si="8"/>
        <v>2400</v>
      </c>
      <c r="J61" s="214">
        <f>VLOOKUP(C61,'[3]Ng.gia thiêtbi'!$B$3:$E$202,4,0)</f>
        <v>5</v>
      </c>
    </row>
    <row r="62" spans="1:10" ht="20.25" customHeight="1">
      <c r="A62" s="218"/>
      <c r="B62" s="6">
        <v>6</v>
      </c>
      <c r="C62" s="2" t="s">
        <v>142</v>
      </c>
      <c r="D62" s="3" t="s">
        <v>39</v>
      </c>
      <c r="E62" s="3">
        <v>0.18</v>
      </c>
      <c r="F62" s="134">
        <v>0.4</v>
      </c>
      <c r="G62" s="65">
        <f t="shared" si="7"/>
        <v>51660</v>
      </c>
      <c r="H62" s="66">
        <f>VLOOKUP(C62,[1]TB!$B$3:$D$503,3,0)</f>
        <v>129150000</v>
      </c>
      <c r="I62" s="65">
        <f t="shared" si="8"/>
        <v>20664</v>
      </c>
      <c r="J62" s="214">
        <f>VLOOKUP(C62,'[3]Ng.gia thiêtbi'!$B$3:$E$202,4,0)</f>
        <v>5</v>
      </c>
    </row>
    <row r="63" spans="1:10" ht="15.75">
      <c r="A63" s="218"/>
      <c r="B63" s="6">
        <v>7</v>
      </c>
      <c r="C63" s="2" t="s">
        <v>138</v>
      </c>
      <c r="D63" s="3" t="s">
        <v>15</v>
      </c>
      <c r="E63" s="34">
        <v>2.2000000000000002</v>
      </c>
      <c r="F63" s="104">
        <v>6.7000000000000004E-2</v>
      </c>
      <c r="G63" s="65">
        <f t="shared" si="7"/>
        <v>3800</v>
      </c>
      <c r="H63" s="66">
        <f>VLOOKUP(C63,[1]TB!$B$3:$D$503,3,0)</f>
        <v>9500000</v>
      </c>
      <c r="I63" s="65">
        <f t="shared" si="8"/>
        <v>254.60000000000002</v>
      </c>
      <c r="J63" s="214">
        <f>VLOOKUP(C63,'[3]Ng.gia thiêtbi'!$B$3:$E$202,4,0)</f>
        <v>5</v>
      </c>
    </row>
    <row r="64" spans="1:10" ht="15.75">
      <c r="A64" s="218"/>
      <c r="B64" s="6">
        <v>8</v>
      </c>
      <c r="C64" s="2" t="s">
        <v>43</v>
      </c>
      <c r="D64" s="3" t="s">
        <v>44</v>
      </c>
      <c r="E64" s="3"/>
      <c r="F64" s="134">
        <v>27.25</v>
      </c>
      <c r="G64" s="65"/>
      <c r="H64" s="66">
        <f>VLOOKUP(C64,[1]TB!$B$3:$D$503,3,0)</f>
        <v>1838</v>
      </c>
      <c r="I64" s="65">
        <f>H64*F64</f>
        <v>50085.5</v>
      </c>
      <c r="J64" s="214" t="e">
        <f>VLOOKUP(C64,'[3]Ng.gia thiêtbi'!$B$3:$E$202,4,0)</f>
        <v>#REF!</v>
      </c>
    </row>
    <row r="65" spans="1:10" ht="15.75">
      <c r="A65" s="218">
        <v>4</v>
      </c>
      <c r="B65" s="135" t="s">
        <v>314</v>
      </c>
      <c r="C65" s="432" t="s">
        <v>286</v>
      </c>
      <c r="D65" s="432"/>
      <c r="E65" s="432"/>
      <c r="F65" s="432"/>
      <c r="G65" s="65"/>
      <c r="H65" s="66"/>
      <c r="I65" s="142">
        <f>SUM(I66:I72)</f>
        <v>37475.799999999996</v>
      </c>
      <c r="J65" s="214"/>
    </row>
    <row r="66" spans="1:10" ht="15.75">
      <c r="A66" s="218"/>
      <c r="B66" s="136">
        <v>1</v>
      </c>
      <c r="C66" s="7" t="s">
        <v>135</v>
      </c>
      <c r="D66" s="3" t="s">
        <v>48</v>
      </c>
      <c r="E66" s="34">
        <v>0.3</v>
      </c>
      <c r="F66" s="104">
        <v>0.4</v>
      </c>
      <c r="G66" s="65">
        <f t="shared" si="7"/>
        <v>6208</v>
      </c>
      <c r="H66" s="66">
        <f>VLOOKUP(C66,[1]TB!$B$3:$D$503,3,0)</f>
        <v>31040000</v>
      </c>
      <c r="I66" s="65">
        <f t="shared" si="8"/>
        <v>2483.2000000000003</v>
      </c>
      <c r="J66" s="214">
        <f>VLOOKUP(C66,'[3]Ng.gia thiêtbi'!$B$3:$E$202,4,0)</f>
        <v>10</v>
      </c>
    </row>
    <row r="67" spans="1:10" ht="15.75">
      <c r="A67" s="218"/>
      <c r="B67" s="136">
        <v>2</v>
      </c>
      <c r="C67" s="2" t="s">
        <v>390</v>
      </c>
      <c r="D67" s="3" t="s">
        <v>48</v>
      </c>
      <c r="E67" s="3">
        <v>0.16</v>
      </c>
      <c r="F67" s="134">
        <v>0.2</v>
      </c>
      <c r="G67" s="65">
        <f t="shared" si="7"/>
        <v>14700</v>
      </c>
      <c r="H67" s="66">
        <f>VLOOKUP(C67,[1]TB!$B$3:$D$503,3,0)</f>
        <v>58800000</v>
      </c>
      <c r="I67" s="65">
        <f t="shared" si="8"/>
        <v>2940</v>
      </c>
      <c r="J67" s="214">
        <f>VLOOKUP(C67,'[3]Ng.gia thiêtbi'!$B$3:$E$202,4,0)</f>
        <v>8</v>
      </c>
    </row>
    <row r="68" spans="1:10" ht="15.75">
      <c r="A68" s="218"/>
      <c r="B68" s="136">
        <v>3</v>
      </c>
      <c r="C68" s="7" t="s">
        <v>144</v>
      </c>
      <c r="D68" s="3" t="s">
        <v>48</v>
      </c>
      <c r="E68" s="3">
        <v>0.16</v>
      </c>
      <c r="F68" s="134">
        <v>0.2</v>
      </c>
      <c r="G68" s="65">
        <f t="shared" si="7"/>
        <v>23520</v>
      </c>
      <c r="H68" s="66">
        <f>VLOOKUP(C68,[1]TB!$B$3:$D$503,3,0)</f>
        <v>58800000</v>
      </c>
      <c r="I68" s="65">
        <f t="shared" si="8"/>
        <v>4704</v>
      </c>
      <c r="J68" s="214">
        <f>VLOOKUP(C68,'[3]Ng.gia thiêtbi'!$B$3:$E$202,4,0)</f>
        <v>5</v>
      </c>
    </row>
    <row r="69" spans="1:10" ht="15.75">
      <c r="A69" s="218"/>
      <c r="B69" s="136">
        <v>4</v>
      </c>
      <c r="C69" s="132" t="s">
        <v>389</v>
      </c>
      <c r="D69" s="3" t="s">
        <v>48</v>
      </c>
      <c r="E69" s="34">
        <v>0.06</v>
      </c>
      <c r="F69" s="104">
        <v>0.2</v>
      </c>
      <c r="G69" s="65">
        <f t="shared" si="7"/>
        <v>12000</v>
      </c>
      <c r="H69" s="66">
        <f>VLOOKUP(C69,[1]TB!$B$3:$D$503,3,0)</f>
        <v>30000000</v>
      </c>
      <c r="I69" s="65">
        <f t="shared" si="8"/>
        <v>2400</v>
      </c>
      <c r="J69" s="214">
        <f>VLOOKUP(C69,'[3]Ng.gia thiêtbi'!$B$3:$E$202,4,0)</f>
        <v>5</v>
      </c>
    </row>
    <row r="70" spans="1:10" ht="15.75">
      <c r="A70" s="218"/>
      <c r="B70" s="136">
        <v>5</v>
      </c>
      <c r="C70" s="132" t="s">
        <v>137</v>
      </c>
      <c r="D70" s="3" t="s">
        <v>39</v>
      </c>
      <c r="E70" s="34">
        <v>0.55000000000000004</v>
      </c>
      <c r="F70" s="30">
        <v>0.2</v>
      </c>
      <c r="G70" s="65">
        <f t="shared" si="7"/>
        <v>20150</v>
      </c>
      <c r="H70" s="66">
        <f>VLOOKUP(C70,[1]TB!$B$3:$D$503,3,0)</f>
        <v>100750000</v>
      </c>
      <c r="I70" s="65">
        <f t="shared" si="8"/>
        <v>4030</v>
      </c>
      <c r="J70" s="214">
        <f>VLOOKUP(C70,'[3]Ng.gia thiêtbi'!$B$3:$E$202,4,0)</f>
        <v>10</v>
      </c>
    </row>
    <row r="71" spans="1:10" ht="18.75" customHeight="1">
      <c r="A71" s="218"/>
      <c r="B71" s="136">
        <v>6</v>
      </c>
      <c r="C71" s="7" t="s">
        <v>142</v>
      </c>
      <c r="D71" s="3" t="s">
        <v>39</v>
      </c>
      <c r="E71" s="3">
        <v>0.18</v>
      </c>
      <c r="F71" s="134">
        <v>0.4</v>
      </c>
      <c r="G71" s="65">
        <f t="shared" si="7"/>
        <v>51660</v>
      </c>
      <c r="H71" s="66">
        <f>VLOOKUP(C71,[1]TB!$B$3:$D$503,3,0)</f>
        <v>129150000</v>
      </c>
      <c r="I71" s="65">
        <f t="shared" si="8"/>
        <v>20664</v>
      </c>
      <c r="J71" s="214">
        <f>VLOOKUP(C71,'[3]Ng.gia thiêtbi'!$B$3:$E$202,4,0)</f>
        <v>5</v>
      </c>
    </row>
    <row r="72" spans="1:10" ht="15.75">
      <c r="A72" s="218"/>
      <c r="B72" s="136">
        <v>7</v>
      </c>
      <c r="C72" s="7" t="s">
        <v>138</v>
      </c>
      <c r="D72" s="3" t="s">
        <v>48</v>
      </c>
      <c r="E72" s="34">
        <v>2.2000000000000002</v>
      </c>
      <c r="F72" s="104">
        <v>6.7000000000000004E-2</v>
      </c>
      <c r="G72" s="65">
        <f t="shared" si="7"/>
        <v>3800</v>
      </c>
      <c r="H72" s="66">
        <f>VLOOKUP(C72,[1]TB!$B$3:$D$503,3,0)</f>
        <v>9500000</v>
      </c>
      <c r="I72" s="65">
        <f t="shared" si="8"/>
        <v>254.60000000000002</v>
      </c>
      <c r="J72" s="214">
        <f>VLOOKUP(C72,'[3]Ng.gia thiêtbi'!$B$3:$E$202,4,0)</f>
        <v>5</v>
      </c>
    </row>
    <row r="73" spans="1:10" ht="15.75">
      <c r="A73" s="218"/>
      <c r="B73" s="136">
        <v>8</v>
      </c>
      <c r="C73" s="7" t="s">
        <v>43</v>
      </c>
      <c r="D73" s="3" t="s">
        <v>44</v>
      </c>
      <c r="E73" s="3"/>
      <c r="F73" s="30">
        <v>8.27</v>
      </c>
      <c r="G73" s="65"/>
      <c r="H73" s="66">
        <f>VLOOKUP(C73,[1]TB!$B$3:$D$503,3,0)</f>
        <v>1838</v>
      </c>
      <c r="I73" s="65">
        <f>H73*F73</f>
        <v>15200.259999999998</v>
      </c>
      <c r="J73" s="214" t="e">
        <f>VLOOKUP(C73,'[3]Ng.gia thiêtbi'!$B$3:$E$202,4,0)</f>
        <v>#REF!</v>
      </c>
    </row>
    <row r="74" spans="1:10" ht="15.75">
      <c r="A74" s="218">
        <v>5</v>
      </c>
      <c r="B74" s="174" t="s">
        <v>315</v>
      </c>
      <c r="C74" s="156" t="s">
        <v>218</v>
      </c>
      <c r="D74" s="17"/>
      <c r="E74" s="227"/>
      <c r="F74" s="30"/>
      <c r="G74" s="65"/>
      <c r="H74" s="66"/>
      <c r="I74" s="124">
        <f>SUM(I75:I81)</f>
        <v>70369.8</v>
      </c>
      <c r="J74" s="214"/>
    </row>
    <row r="75" spans="1:10" ht="15.75">
      <c r="A75" s="218"/>
      <c r="B75" s="93">
        <v>1</v>
      </c>
      <c r="C75" s="132" t="s">
        <v>135</v>
      </c>
      <c r="D75" s="34" t="s">
        <v>48</v>
      </c>
      <c r="E75" s="34">
        <v>0.3</v>
      </c>
      <c r="F75" s="104">
        <v>0.4</v>
      </c>
      <c r="G75" s="65">
        <f t="shared" ref="G75" si="9">H75/(J75*$J$40)</f>
        <v>6208</v>
      </c>
      <c r="H75" s="66">
        <f>VLOOKUP(C75,[1]TB!$B$3:$D$503,3,0)</f>
        <v>31040000</v>
      </c>
      <c r="I75" s="65">
        <f t="shared" ref="I75" si="10">F75*G75</f>
        <v>2483.2000000000003</v>
      </c>
      <c r="J75" s="214">
        <f>VLOOKUP(C75,'[3]Ng.gia thiêtbi'!$B$3:$E$202,4,0)</f>
        <v>10</v>
      </c>
    </row>
    <row r="76" spans="1:10" ht="15.75">
      <c r="A76" s="218"/>
      <c r="B76" s="93">
        <v>2</v>
      </c>
      <c r="C76" s="132" t="s">
        <v>281</v>
      </c>
      <c r="D76" s="34" t="s">
        <v>48</v>
      </c>
      <c r="E76" s="34">
        <v>0.16</v>
      </c>
      <c r="F76" s="104">
        <v>0.2</v>
      </c>
      <c r="G76" s="65">
        <f t="shared" ref="G76:G81" si="11">H76/(J76*$J$40)</f>
        <v>81900</v>
      </c>
      <c r="H76" s="66">
        <f>VLOOKUP(C76,[1]TB!$B$3:$D$503,3,0)</f>
        <v>204750000</v>
      </c>
      <c r="I76" s="65">
        <f t="shared" ref="I76:I81" si="12">F76*G76</f>
        <v>16380</v>
      </c>
      <c r="J76" s="214">
        <f>VLOOKUP(C76,'[3]Ng.gia thiêtbi'!$B$3:$E$202,4,0)</f>
        <v>5</v>
      </c>
    </row>
    <row r="77" spans="1:10" ht="15.75">
      <c r="A77" s="218"/>
      <c r="B77" s="93">
        <v>3</v>
      </c>
      <c r="C77" s="132" t="s">
        <v>136</v>
      </c>
      <c r="D77" s="34" t="s">
        <v>39</v>
      </c>
      <c r="E77" s="34">
        <v>2.2999999999999998</v>
      </c>
      <c r="F77" s="104">
        <v>0.2</v>
      </c>
      <c r="G77" s="65">
        <f t="shared" si="11"/>
        <v>11340</v>
      </c>
      <c r="H77" s="66">
        <f>VLOOKUP(C77,[1]TB!$B$3:$D$503,3,0)</f>
        <v>28350000</v>
      </c>
      <c r="I77" s="65">
        <f t="shared" si="12"/>
        <v>2268</v>
      </c>
      <c r="J77" s="214">
        <f>VLOOKUP(C77,'[3]Ng.gia thiêtbi'!$B$3:$E$202,4,0)</f>
        <v>5</v>
      </c>
    </row>
    <row r="78" spans="1:10" ht="15.75">
      <c r="A78" s="218"/>
      <c r="B78" s="93">
        <v>4</v>
      </c>
      <c r="C78" s="132" t="s">
        <v>282</v>
      </c>
      <c r="D78" s="34" t="s">
        <v>39</v>
      </c>
      <c r="E78" s="34"/>
      <c r="F78" s="136">
        <v>0.4</v>
      </c>
      <c r="G78" s="65">
        <f t="shared" si="11"/>
        <v>64800</v>
      </c>
      <c r="H78" s="66">
        <f>VLOOKUP(C78,[1]TB!$B$3:$D$503,3,0)</f>
        <v>162000000</v>
      </c>
      <c r="I78" s="65">
        <f t="shared" si="12"/>
        <v>25920</v>
      </c>
      <c r="J78" s="214">
        <f>VLOOKUP(C78,'[3]Ng.gia thiêtbi'!$B$3:$E$202,4,0)</f>
        <v>5</v>
      </c>
    </row>
    <row r="79" spans="1:10" ht="15.75">
      <c r="A79" s="218"/>
      <c r="B79" s="93">
        <v>5</v>
      </c>
      <c r="C79" s="132" t="s">
        <v>389</v>
      </c>
      <c r="D79" s="34" t="s">
        <v>48</v>
      </c>
      <c r="E79" s="34">
        <v>0.06</v>
      </c>
      <c r="F79" s="104">
        <v>0.2</v>
      </c>
      <c r="G79" s="65">
        <f t="shared" si="11"/>
        <v>12000</v>
      </c>
      <c r="H79" s="66">
        <f>VLOOKUP(C79,[1]TB!$B$3:$D$503,3,0)</f>
        <v>30000000</v>
      </c>
      <c r="I79" s="65">
        <f t="shared" si="12"/>
        <v>2400</v>
      </c>
      <c r="J79" s="214">
        <f>VLOOKUP(C79,'[3]Ng.gia thiêtbi'!$B$3:$E$202,4,0)</f>
        <v>5</v>
      </c>
    </row>
    <row r="80" spans="1:10" ht="15.75">
      <c r="A80" s="218"/>
      <c r="B80" s="93">
        <v>7</v>
      </c>
      <c r="C80" s="132" t="s">
        <v>142</v>
      </c>
      <c r="D80" s="34" t="s">
        <v>39</v>
      </c>
      <c r="E80" s="3">
        <v>0.18</v>
      </c>
      <c r="F80" s="134">
        <v>0.4</v>
      </c>
      <c r="G80" s="65">
        <f t="shared" si="11"/>
        <v>51660</v>
      </c>
      <c r="H80" s="66">
        <f>VLOOKUP(C80,[1]TB!$B$3:$D$503,3,0)</f>
        <v>129150000</v>
      </c>
      <c r="I80" s="65">
        <f t="shared" si="12"/>
        <v>20664</v>
      </c>
      <c r="J80" s="214">
        <f>VLOOKUP(C80,'[3]Ng.gia thiêtbi'!$B$3:$E$202,4,0)</f>
        <v>5</v>
      </c>
    </row>
    <row r="81" spans="1:10" ht="15.75">
      <c r="A81" s="218"/>
      <c r="B81" s="93">
        <v>8</v>
      </c>
      <c r="C81" s="132" t="s">
        <v>138</v>
      </c>
      <c r="D81" s="34" t="s">
        <v>48</v>
      </c>
      <c r="E81" s="34">
        <v>2.2000000000000002</v>
      </c>
      <c r="F81" s="104">
        <v>6.7000000000000004E-2</v>
      </c>
      <c r="G81" s="65">
        <f t="shared" si="11"/>
        <v>3800</v>
      </c>
      <c r="H81" s="66">
        <f>VLOOKUP(C81,[1]TB!$B$3:$D$503,3,0)</f>
        <v>9500000</v>
      </c>
      <c r="I81" s="65">
        <f t="shared" si="12"/>
        <v>254.60000000000002</v>
      </c>
      <c r="J81" s="214">
        <f>VLOOKUP(C81,'[3]Ng.gia thiêtbi'!$B$3:$E$202,4,0)</f>
        <v>5</v>
      </c>
    </row>
    <row r="82" spans="1:10" ht="15.75">
      <c r="A82" s="218"/>
      <c r="B82" s="93">
        <v>9</v>
      </c>
      <c r="C82" s="132" t="s">
        <v>43</v>
      </c>
      <c r="D82" s="3" t="s">
        <v>44</v>
      </c>
      <c r="E82" s="34"/>
      <c r="F82" s="136">
        <v>10.49</v>
      </c>
      <c r="G82" s="65"/>
      <c r="H82" s="66">
        <f>VLOOKUP(C82,[1]TB!$B$3:$D$503,3,0)</f>
        <v>1838</v>
      </c>
      <c r="I82" s="65">
        <f>H82*F82</f>
        <v>19280.62</v>
      </c>
      <c r="J82" s="214" t="e">
        <f>VLOOKUP(C82,'[3]Ng.gia thiêtbi'!$B$3:$E$202,4,0)</f>
        <v>#REF!</v>
      </c>
    </row>
    <row r="83" spans="1:10" ht="15.75">
      <c r="A83" s="218">
        <v>6</v>
      </c>
      <c r="B83" s="174" t="s">
        <v>316</v>
      </c>
      <c r="C83" s="156" t="s">
        <v>219</v>
      </c>
      <c r="D83" s="433" t="s">
        <v>338</v>
      </c>
      <c r="E83" s="433"/>
      <c r="F83" s="433"/>
      <c r="G83" s="433"/>
      <c r="H83" s="66"/>
      <c r="I83" s="124">
        <f>I74</f>
        <v>70369.8</v>
      </c>
      <c r="J83" s="214"/>
    </row>
    <row r="84" spans="1:10" ht="15.75">
      <c r="A84" s="218">
        <v>7</v>
      </c>
      <c r="B84" s="127" t="s">
        <v>317</v>
      </c>
      <c r="C84" s="8" t="s">
        <v>213</v>
      </c>
      <c r="D84" s="155"/>
      <c r="E84" s="225"/>
      <c r="F84" s="128"/>
      <c r="G84" s="124"/>
      <c r="H84" s="125"/>
      <c r="I84" s="124">
        <f>SUM(I85:I92)</f>
        <v>42608.799999999996</v>
      </c>
      <c r="J84" s="214"/>
    </row>
    <row r="85" spans="1:10" ht="15.75">
      <c r="A85" s="218"/>
      <c r="B85" s="136">
        <v>1</v>
      </c>
      <c r="C85" s="137" t="s">
        <v>135</v>
      </c>
      <c r="D85" s="136" t="s">
        <v>15</v>
      </c>
      <c r="E85" s="34">
        <v>0.3</v>
      </c>
      <c r="F85" s="104">
        <v>0.4</v>
      </c>
      <c r="G85" s="65">
        <f t="shared" ref="G85" si="13">H85/(J85*$J$40)</f>
        <v>6208</v>
      </c>
      <c r="H85" s="66">
        <f>VLOOKUP(C85,[1]TB!$B$3:$D$503,3,0)</f>
        <v>31040000</v>
      </c>
      <c r="I85" s="65">
        <f t="shared" ref="I85" si="14">F85*G85</f>
        <v>2483.2000000000003</v>
      </c>
      <c r="J85" s="214">
        <f>VLOOKUP(C85,'[3]Ng.gia thiêtbi'!$B$3:$E$202,4,0)</f>
        <v>10</v>
      </c>
    </row>
    <row r="86" spans="1:10" ht="15.75">
      <c r="A86" s="218"/>
      <c r="B86" s="136">
        <v>2</v>
      </c>
      <c r="C86" s="2" t="s">
        <v>390</v>
      </c>
      <c r="D86" s="136" t="s">
        <v>15</v>
      </c>
      <c r="E86" s="3">
        <v>0.16</v>
      </c>
      <c r="F86" s="134">
        <v>0.2</v>
      </c>
      <c r="G86" s="65">
        <f t="shared" ref="G86:G92" si="15">H86/(J86*$J$40)</f>
        <v>14700</v>
      </c>
      <c r="H86" s="66">
        <f>VLOOKUP(C86,[1]TB!$B$3:$D$503,3,0)</f>
        <v>58800000</v>
      </c>
      <c r="I86" s="65">
        <f t="shared" ref="I86:I92" si="16">F86*G86</f>
        <v>2940</v>
      </c>
      <c r="J86" s="214">
        <f>VLOOKUP(C86,'[3]Ng.gia thiêtbi'!$B$3:$E$202,4,0)</f>
        <v>8</v>
      </c>
    </row>
    <row r="87" spans="1:10" ht="15.75">
      <c r="A87" s="218"/>
      <c r="B87" s="136">
        <v>3</v>
      </c>
      <c r="C87" s="137" t="s">
        <v>144</v>
      </c>
      <c r="D87" s="136" t="s">
        <v>15</v>
      </c>
      <c r="E87" s="3">
        <v>0.16</v>
      </c>
      <c r="F87" s="134">
        <v>0.2</v>
      </c>
      <c r="G87" s="65">
        <f t="shared" si="15"/>
        <v>23520</v>
      </c>
      <c r="H87" s="66">
        <f>VLOOKUP(C87,[1]TB!$B$3:$D$503,3,0)</f>
        <v>58800000</v>
      </c>
      <c r="I87" s="65">
        <f t="shared" si="16"/>
        <v>4704</v>
      </c>
      <c r="J87" s="214">
        <f>VLOOKUP(C87,'[3]Ng.gia thiêtbi'!$B$3:$E$202,4,0)</f>
        <v>5</v>
      </c>
    </row>
    <row r="88" spans="1:10" ht="15.75">
      <c r="A88" s="218"/>
      <c r="B88" s="136">
        <v>4</v>
      </c>
      <c r="C88" s="132" t="s">
        <v>389</v>
      </c>
      <c r="D88" s="136" t="s">
        <v>15</v>
      </c>
      <c r="E88" s="34">
        <v>0.06</v>
      </c>
      <c r="F88" s="136">
        <v>0.2</v>
      </c>
      <c r="G88" s="65">
        <f t="shared" si="15"/>
        <v>12000</v>
      </c>
      <c r="H88" s="66">
        <f>VLOOKUP(C88,[1]TB!$B$3:$D$503,3,0)</f>
        <v>30000000</v>
      </c>
      <c r="I88" s="65">
        <f t="shared" si="16"/>
        <v>2400</v>
      </c>
      <c r="J88" s="214">
        <f>VLOOKUP(C88,'[3]Ng.gia thiêtbi'!$B$3:$E$202,4,0)</f>
        <v>5</v>
      </c>
    </row>
    <row r="89" spans="1:10" ht="15.75">
      <c r="A89" s="218"/>
      <c r="B89" s="136">
        <v>5</v>
      </c>
      <c r="C89" s="215" t="s">
        <v>283</v>
      </c>
      <c r="D89" s="136" t="s">
        <v>15</v>
      </c>
      <c r="E89" s="136"/>
      <c r="F89" s="138">
        <v>0.25</v>
      </c>
      <c r="G89" s="65">
        <f t="shared" si="15"/>
        <v>32000</v>
      </c>
      <c r="H89" s="66">
        <f>VLOOKUP(C89,[1]TB!$B$3:$D$503,3,0)</f>
        <v>80000000</v>
      </c>
      <c r="I89" s="65">
        <f t="shared" si="16"/>
        <v>8000</v>
      </c>
      <c r="J89" s="214">
        <f>VLOOKUP(C89,'[3]Ng.gia thiêtbi'!$B$3:$E$202,4,0)</f>
        <v>5</v>
      </c>
    </row>
    <row r="90" spans="1:10" ht="15.75">
      <c r="A90" s="218"/>
      <c r="B90" s="136">
        <v>6</v>
      </c>
      <c r="C90" s="132" t="s">
        <v>137</v>
      </c>
      <c r="D90" s="136" t="s">
        <v>39</v>
      </c>
      <c r="E90" s="34">
        <v>0.55000000000000004</v>
      </c>
      <c r="F90" s="136">
        <v>0.02</v>
      </c>
      <c r="G90" s="65">
        <f t="shared" si="15"/>
        <v>20150</v>
      </c>
      <c r="H90" s="66">
        <f>VLOOKUP(C90,[1]TB!$B$3:$D$503,3,0)</f>
        <v>100750000</v>
      </c>
      <c r="I90" s="65">
        <f t="shared" si="16"/>
        <v>403</v>
      </c>
      <c r="J90" s="214">
        <f>VLOOKUP(C90,'[3]Ng.gia thiêtbi'!$B$3:$E$202,4,0)</f>
        <v>10</v>
      </c>
    </row>
    <row r="91" spans="1:10" ht="18.75" customHeight="1">
      <c r="A91" s="218"/>
      <c r="B91" s="136">
        <v>7</v>
      </c>
      <c r="C91" s="137" t="s">
        <v>142</v>
      </c>
      <c r="D91" s="136" t="s">
        <v>39</v>
      </c>
      <c r="E91" s="3">
        <v>0.18</v>
      </c>
      <c r="F91" s="134">
        <v>0.4</v>
      </c>
      <c r="G91" s="65">
        <f t="shared" si="15"/>
        <v>51660</v>
      </c>
      <c r="H91" s="66">
        <f>VLOOKUP(C91,[1]TB!$B$3:$D$503,3,0)</f>
        <v>129150000</v>
      </c>
      <c r="I91" s="65">
        <f t="shared" si="16"/>
        <v>20664</v>
      </c>
      <c r="J91" s="214">
        <f>VLOOKUP(C91,'[3]Ng.gia thiêtbi'!$B$3:$E$202,4,0)</f>
        <v>5</v>
      </c>
    </row>
    <row r="92" spans="1:10" ht="15.75">
      <c r="A92" s="218"/>
      <c r="B92" s="136">
        <v>8</v>
      </c>
      <c r="C92" s="137" t="s">
        <v>138</v>
      </c>
      <c r="D92" s="136" t="s">
        <v>15</v>
      </c>
      <c r="E92" s="34">
        <v>2.2000000000000002</v>
      </c>
      <c r="F92" s="136">
        <v>0.26700000000000002</v>
      </c>
      <c r="G92" s="65">
        <f t="shared" si="15"/>
        <v>3800</v>
      </c>
      <c r="H92" s="66">
        <f>VLOOKUP(C92,[1]TB!$B$3:$D$503,3,0)</f>
        <v>9500000</v>
      </c>
      <c r="I92" s="65">
        <f t="shared" si="16"/>
        <v>1014.6</v>
      </c>
      <c r="J92" s="214">
        <f>VLOOKUP(C92,'[3]Ng.gia thiêtbi'!$B$3:$E$202,4,0)</f>
        <v>5</v>
      </c>
    </row>
    <row r="93" spans="1:10" ht="15.75">
      <c r="A93" s="218"/>
      <c r="B93" s="136">
        <v>9</v>
      </c>
      <c r="C93" s="137" t="s">
        <v>43</v>
      </c>
      <c r="D93" s="3" t="s">
        <v>44</v>
      </c>
      <c r="E93" s="136"/>
      <c r="F93" s="136">
        <v>17.25</v>
      </c>
      <c r="G93" s="65"/>
      <c r="H93" s="66">
        <f>VLOOKUP(C93,[1]TB!$B$3:$D$503,3,0)</f>
        <v>1838</v>
      </c>
      <c r="I93" s="65">
        <f>H93*F93</f>
        <v>31705.5</v>
      </c>
      <c r="J93" s="214" t="e">
        <f>VLOOKUP(C93,'[3]Ng.gia thiêtbi'!$B$3:$E$202,4,0)</f>
        <v>#REF!</v>
      </c>
    </row>
    <row r="94" spans="1:10" ht="18.75" customHeight="1">
      <c r="A94" s="218">
        <v>8</v>
      </c>
      <c r="B94" s="317" t="s">
        <v>437</v>
      </c>
      <c r="C94" s="265" t="s">
        <v>462</v>
      </c>
      <c r="D94" s="28"/>
      <c r="E94" s="28"/>
      <c r="F94" s="131"/>
      <c r="G94" s="65"/>
      <c r="H94" s="66"/>
      <c r="I94" s="142">
        <f>SUM(I95:I102)</f>
        <v>128521</v>
      </c>
      <c r="J94" s="214"/>
    </row>
    <row r="95" spans="1:10" ht="15.75">
      <c r="A95" s="218"/>
      <c r="B95" s="6">
        <v>1</v>
      </c>
      <c r="C95" s="2" t="s">
        <v>139</v>
      </c>
      <c r="D95" s="3" t="s">
        <v>15</v>
      </c>
      <c r="E95" s="3">
        <v>0.16</v>
      </c>
      <c r="F95" s="30">
        <v>0.2</v>
      </c>
      <c r="G95" s="65">
        <f t="shared" si="7"/>
        <v>57960</v>
      </c>
      <c r="H95" s="66">
        <f>VLOOKUP(C95,[1]TB!$B$3:$D$503,3,0)</f>
        <v>144900000</v>
      </c>
      <c r="I95" s="65">
        <f t="shared" si="8"/>
        <v>11592</v>
      </c>
      <c r="J95" s="214">
        <f>VLOOKUP(C95,'[3]Ng.gia thiêtbi'!$B$3:$E$202,4,0)</f>
        <v>5</v>
      </c>
    </row>
    <row r="96" spans="1:10" ht="15.75">
      <c r="A96" s="218"/>
      <c r="B96" s="6">
        <v>2</v>
      </c>
      <c r="C96" s="2" t="s">
        <v>135</v>
      </c>
      <c r="D96" s="3" t="s">
        <v>15</v>
      </c>
      <c r="E96" s="34">
        <v>0.3</v>
      </c>
      <c r="F96" s="104">
        <v>0.4</v>
      </c>
      <c r="G96" s="65">
        <f t="shared" si="7"/>
        <v>6208</v>
      </c>
      <c r="H96" s="66">
        <f>VLOOKUP(C96,[1]TB!$B$3:$D$503,3,0)</f>
        <v>31040000</v>
      </c>
      <c r="I96" s="65">
        <f t="shared" si="8"/>
        <v>2483.2000000000003</v>
      </c>
      <c r="J96" s="214">
        <f>VLOOKUP(C96,'[3]Ng.gia thiêtbi'!$B$3:$E$202,4,0)</f>
        <v>10</v>
      </c>
    </row>
    <row r="97" spans="1:10" ht="15.75">
      <c r="A97" s="218"/>
      <c r="B97" s="6">
        <v>3</v>
      </c>
      <c r="C97" s="2" t="s">
        <v>140</v>
      </c>
      <c r="D97" s="3" t="s">
        <v>15</v>
      </c>
      <c r="E97" s="3">
        <v>0.1</v>
      </c>
      <c r="F97" s="30">
        <v>0.2</v>
      </c>
      <c r="G97" s="65">
        <f t="shared" si="7"/>
        <v>126896</v>
      </c>
      <c r="H97" s="66">
        <f>VLOOKUP(C97,[1]TB!$B$3:$D$503,3,0)</f>
        <v>317240000</v>
      </c>
      <c r="I97" s="65">
        <f t="shared" si="8"/>
        <v>25379.200000000001</v>
      </c>
      <c r="J97" s="214">
        <f>VLOOKUP(C97,'[3]Ng.gia thiêtbi'!$B$3:$E$202,4,0)</f>
        <v>5</v>
      </c>
    </row>
    <row r="98" spans="1:10" ht="15.75">
      <c r="A98" s="218"/>
      <c r="B98" s="6">
        <v>4</v>
      </c>
      <c r="C98" s="2" t="s">
        <v>136</v>
      </c>
      <c r="D98" s="3" t="s">
        <v>39</v>
      </c>
      <c r="E98" s="34">
        <v>2.2999999999999998</v>
      </c>
      <c r="F98" s="104">
        <v>0.2</v>
      </c>
      <c r="G98" s="65">
        <f t="shared" si="7"/>
        <v>11340</v>
      </c>
      <c r="H98" s="66">
        <f>VLOOKUP(C98,[1]TB!$B$3:$D$503,3,0)</f>
        <v>28350000</v>
      </c>
      <c r="I98" s="65">
        <f t="shared" si="8"/>
        <v>2268</v>
      </c>
      <c r="J98" s="214">
        <f>VLOOKUP(C98,'[3]Ng.gia thiêtbi'!$B$3:$E$202,4,0)</f>
        <v>5</v>
      </c>
    </row>
    <row r="99" spans="1:10" ht="15.75">
      <c r="A99" s="218"/>
      <c r="B99" s="6">
        <v>5</v>
      </c>
      <c r="C99" s="132" t="s">
        <v>389</v>
      </c>
      <c r="D99" s="3" t="s">
        <v>15</v>
      </c>
      <c r="E99" s="34">
        <v>0.06</v>
      </c>
      <c r="F99" s="104">
        <v>0.2</v>
      </c>
      <c r="G99" s="65">
        <f t="shared" si="7"/>
        <v>12000</v>
      </c>
      <c r="H99" s="66">
        <f>VLOOKUP(C99,[1]TB!$B$3:$D$503,3,0)</f>
        <v>30000000</v>
      </c>
      <c r="I99" s="65">
        <f t="shared" si="8"/>
        <v>2400</v>
      </c>
      <c r="J99" s="214">
        <f>VLOOKUP(C99,'[3]Ng.gia thiêtbi'!$B$3:$E$202,4,0)</f>
        <v>5</v>
      </c>
    </row>
    <row r="100" spans="1:10" ht="19.5" customHeight="1">
      <c r="A100" s="218"/>
      <c r="B100" s="6">
        <v>6</v>
      </c>
      <c r="C100" s="2" t="s">
        <v>141</v>
      </c>
      <c r="D100" s="3" t="s">
        <v>39</v>
      </c>
      <c r="E100" s="3">
        <v>3</v>
      </c>
      <c r="F100" s="30">
        <v>0.3</v>
      </c>
      <c r="G100" s="65">
        <f t="shared" si="7"/>
        <v>211600</v>
      </c>
      <c r="H100" s="66">
        <f>VLOOKUP(C100,[1]TB!$B$3:$D$503,3,0)</f>
        <v>1058000000</v>
      </c>
      <c r="I100" s="65">
        <f t="shared" si="8"/>
        <v>63480</v>
      </c>
      <c r="J100" s="214">
        <f>VLOOKUP(C100,'[3]Ng.gia thiêtbi'!$B$3:$E$202,4,0)</f>
        <v>10</v>
      </c>
    </row>
    <row r="101" spans="1:10" ht="20.25" customHeight="1">
      <c r="A101" s="218"/>
      <c r="B101" s="6">
        <v>7</v>
      </c>
      <c r="C101" s="2" t="s">
        <v>142</v>
      </c>
      <c r="D101" s="3" t="s">
        <v>39</v>
      </c>
      <c r="E101" s="3">
        <v>0.18</v>
      </c>
      <c r="F101" s="134">
        <v>0.4</v>
      </c>
      <c r="G101" s="65">
        <f t="shared" si="7"/>
        <v>51660</v>
      </c>
      <c r="H101" s="66">
        <f>VLOOKUP(C101,[1]TB!$B$3:$D$503,3,0)</f>
        <v>129150000</v>
      </c>
      <c r="I101" s="65">
        <f t="shared" si="8"/>
        <v>20664</v>
      </c>
      <c r="J101" s="214">
        <f>VLOOKUP(C101,'[3]Ng.gia thiêtbi'!$B$3:$E$202,4,0)</f>
        <v>5</v>
      </c>
    </row>
    <row r="102" spans="1:10" ht="15.75">
      <c r="A102" s="218"/>
      <c r="B102" s="6">
        <v>8</v>
      </c>
      <c r="C102" s="2" t="s">
        <v>138</v>
      </c>
      <c r="D102" s="3" t="s">
        <v>15</v>
      </c>
      <c r="E102" s="34">
        <v>2.2000000000000002</v>
      </c>
      <c r="F102" s="104">
        <v>6.7000000000000004E-2</v>
      </c>
      <c r="G102" s="65">
        <f t="shared" si="7"/>
        <v>3800</v>
      </c>
      <c r="H102" s="66">
        <f>VLOOKUP(C102,[1]TB!$B$3:$D$503,3,0)</f>
        <v>9500000</v>
      </c>
      <c r="I102" s="65">
        <f t="shared" si="8"/>
        <v>254.60000000000002</v>
      </c>
      <c r="J102" s="214">
        <f>VLOOKUP(C102,'[3]Ng.gia thiêtbi'!$B$3:$E$202,4,0)</f>
        <v>5</v>
      </c>
    </row>
    <row r="103" spans="1:10" ht="15.75">
      <c r="A103" s="218"/>
      <c r="B103" s="6">
        <v>9</v>
      </c>
      <c r="C103" s="2" t="s">
        <v>43</v>
      </c>
      <c r="D103" s="3" t="s">
        <v>44</v>
      </c>
      <c r="E103" s="3"/>
      <c r="F103" s="30">
        <v>30.1</v>
      </c>
      <c r="G103" s="65"/>
      <c r="H103" s="66">
        <f>VLOOKUP(C103,[1]TB!$B$3:$D$503,3,0)</f>
        <v>1838</v>
      </c>
      <c r="I103" s="65">
        <f>H103*F103</f>
        <v>55323.8</v>
      </c>
      <c r="J103" s="214" t="e">
        <f>VLOOKUP(C103,'[3]Ng.gia thiêtbi'!$B$3:$E$202,4,0)</f>
        <v>#REF!</v>
      </c>
    </row>
    <row r="104" spans="1:10" ht="15.75">
      <c r="A104" s="218">
        <v>9</v>
      </c>
      <c r="B104" s="317" t="s">
        <v>438</v>
      </c>
      <c r="C104" s="265" t="s">
        <v>448</v>
      </c>
      <c r="D104" s="399" t="s">
        <v>446</v>
      </c>
      <c r="E104" s="397"/>
      <c r="F104" s="398"/>
      <c r="G104" s="65"/>
      <c r="H104" s="66"/>
      <c r="I104" s="65"/>
      <c r="J104" s="214"/>
    </row>
    <row r="105" spans="1:10" ht="19.5" customHeight="1">
      <c r="A105" s="218">
        <v>10</v>
      </c>
      <c r="B105" s="317" t="s">
        <v>439</v>
      </c>
      <c r="C105" s="265" t="s">
        <v>463</v>
      </c>
      <c r="D105" s="325"/>
      <c r="E105" s="326"/>
      <c r="F105" s="327"/>
      <c r="G105" s="65"/>
      <c r="H105" s="66"/>
      <c r="I105" s="142">
        <f>SUM(I106:I114)</f>
        <v>146841</v>
      </c>
      <c r="J105" s="214"/>
    </row>
    <row r="106" spans="1:10" ht="15.75">
      <c r="A106" s="218"/>
      <c r="B106" s="6">
        <v>1</v>
      </c>
      <c r="C106" s="2" t="s">
        <v>139</v>
      </c>
      <c r="D106" s="3" t="s">
        <v>15</v>
      </c>
      <c r="E106" s="3">
        <v>0.1</v>
      </c>
      <c r="F106" s="30">
        <v>0.2</v>
      </c>
      <c r="G106" s="65">
        <f t="shared" si="7"/>
        <v>57960</v>
      </c>
      <c r="H106" s="66">
        <f>VLOOKUP(C106,[1]TB!$B$3:$D$503,3,0)</f>
        <v>144900000</v>
      </c>
      <c r="I106" s="65">
        <f t="shared" si="8"/>
        <v>11592</v>
      </c>
      <c r="J106" s="214">
        <f>VLOOKUP(C106,'[3]Ng.gia thiêtbi'!$B$3:$E$202,4,0)</f>
        <v>5</v>
      </c>
    </row>
    <row r="107" spans="1:10" ht="15.75">
      <c r="A107" s="218"/>
      <c r="B107" s="6">
        <v>2</v>
      </c>
      <c r="C107" s="2" t="s">
        <v>135</v>
      </c>
      <c r="D107" s="3" t="s">
        <v>15</v>
      </c>
      <c r="E107" s="34">
        <v>0.3</v>
      </c>
      <c r="F107" s="104">
        <v>0.4</v>
      </c>
      <c r="G107" s="65">
        <f t="shared" si="7"/>
        <v>6208</v>
      </c>
      <c r="H107" s="66">
        <f>VLOOKUP(C107,[1]TB!$B$3:$D$503,3,0)</f>
        <v>31040000</v>
      </c>
      <c r="I107" s="65">
        <f t="shared" si="8"/>
        <v>2483.2000000000003</v>
      </c>
      <c r="J107" s="214">
        <f>VLOOKUP(C107,'[3]Ng.gia thiêtbi'!$B$3:$E$202,4,0)</f>
        <v>10</v>
      </c>
    </row>
    <row r="108" spans="1:10" ht="15.75">
      <c r="A108" s="218"/>
      <c r="B108" s="6">
        <v>3</v>
      </c>
      <c r="C108" s="2" t="s">
        <v>140</v>
      </c>
      <c r="D108" s="3" t="s">
        <v>15</v>
      </c>
      <c r="E108" s="3">
        <v>0.1</v>
      </c>
      <c r="F108" s="30">
        <v>0.2</v>
      </c>
      <c r="G108" s="65">
        <f t="shared" si="7"/>
        <v>126896</v>
      </c>
      <c r="H108" s="66">
        <f>VLOOKUP(C108,[1]TB!$B$3:$D$503,3,0)</f>
        <v>317240000</v>
      </c>
      <c r="I108" s="65">
        <f t="shared" si="8"/>
        <v>25379.200000000001</v>
      </c>
      <c r="J108" s="214">
        <f>VLOOKUP(C108,'[3]Ng.gia thiêtbi'!$B$3:$E$202,4,0)</f>
        <v>5</v>
      </c>
    </row>
    <row r="109" spans="1:10" ht="15.75">
      <c r="A109" s="218"/>
      <c r="B109" s="6">
        <v>4</v>
      </c>
      <c r="C109" s="2" t="s">
        <v>136</v>
      </c>
      <c r="D109" s="3" t="s">
        <v>39</v>
      </c>
      <c r="E109" s="34">
        <v>2.2999999999999998</v>
      </c>
      <c r="F109" s="104">
        <v>0.2</v>
      </c>
      <c r="G109" s="65">
        <f t="shared" si="7"/>
        <v>11340</v>
      </c>
      <c r="H109" s="66">
        <f>VLOOKUP(C109,[1]TB!$B$3:$D$503,3,0)</f>
        <v>28350000</v>
      </c>
      <c r="I109" s="65">
        <f t="shared" si="8"/>
        <v>2268</v>
      </c>
      <c r="J109" s="214">
        <f>VLOOKUP(C109,'[3]Ng.gia thiêtbi'!$B$3:$E$202,4,0)</f>
        <v>5</v>
      </c>
    </row>
    <row r="110" spans="1:10" ht="15.75">
      <c r="A110" s="218"/>
      <c r="B110" s="6">
        <v>5</v>
      </c>
      <c r="C110" s="132" t="s">
        <v>389</v>
      </c>
      <c r="D110" s="3" t="s">
        <v>15</v>
      </c>
      <c r="E110" s="34">
        <v>0.06</v>
      </c>
      <c r="F110" s="104">
        <v>0.2</v>
      </c>
      <c r="G110" s="65">
        <f t="shared" si="7"/>
        <v>12000</v>
      </c>
      <c r="H110" s="66">
        <f>VLOOKUP(C110,[1]TB!$B$3:$D$503,3,0)</f>
        <v>30000000</v>
      </c>
      <c r="I110" s="65">
        <f t="shared" si="8"/>
        <v>2400</v>
      </c>
      <c r="J110" s="214">
        <f>VLOOKUP(C110,'[3]Ng.gia thiêtbi'!$B$3:$E$202,4,0)</f>
        <v>5</v>
      </c>
    </row>
    <row r="111" spans="1:10" ht="15.75">
      <c r="A111" s="218"/>
      <c r="B111" s="6">
        <v>6</v>
      </c>
      <c r="C111" s="2" t="s">
        <v>141</v>
      </c>
      <c r="D111" s="3" t="s">
        <v>39</v>
      </c>
      <c r="E111" s="3">
        <v>3</v>
      </c>
      <c r="F111" s="30">
        <v>0.3</v>
      </c>
      <c r="G111" s="65">
        <f t="shared" si="7"/>
        <v>211600</v>
      </c>
      <c r="H111" s="66">
        <f>VLOOKUP(C111,[1]TB!$B$3:$D$503,3,0)</f>
        <v>1058000000</v>
      </c>
      <c r="I111" s="65">
        <f t="shared" si="8"/>
        <v>63480</v>
      </c>
      <c r="J111" s="214">
        <f>VLOOKUP(C111,'[3]Ng.gia thiêtbi'!$B$3:$E$202,4,0)</f>
        <v>10</v>
      </c>
    </row>
    <row r="112" spans="1:10" ht="31.5">
      <c r="A112" s="218"/>
      <c r="B112" s="6">
        <v>7</v>
      </c>
      <c r="C112" s="2" t="s">
        <v>143</v>
      </c>
      <c r="D112" s="3" t="s">
        <v>39</v>
      </c>
      <c r="E112" s="3">
        <v>0.6</v>
      </c>
      <c r="F112" s="30">
        <v>0.4</v>
      </c>
      <c r="G112" s="65">
        <f t="shared" si="7"/>
        <v>45800</v>
      </c>
      <c r="H112" s="66">
        <f>VLOOKUP(C112,[1]TB!$B$3:$D$503,3,0)</f>
        <v>229000000</v>
      </c>
      <c r="I112" s="65">
        <f t="shared" si="8"/>
        <v>18320</v>
      </c>
      <c r="J112" s="214">
        <f>VLOOKUP(C112,'[3]Ng.gia thiêtbi'!$B$3:$E$202,4,0)</f>
        <v>10</v>
      </c>
    </row>
    <row r="113" spans="1:10" ht="19.5" customHeight="1">
      <c r="A113" s="218"/>
      <c r="B113" s="6">
        <v>8</v>
      </c>
      <c r="C113" s="2" t="s">
        <v>142</v>
      </c>
      <c r="D113" s="3" t="s">
        <v>39</v>
      </c>
      <c r="E113" s="3">
        <v>0.18</v>
      </c>
      <c r="F113" s="134">
        <v>0.4</v>
      </c>
      <c r="G113" s="65">
        <f t="shared" si="7"/>
        <v>51660</v>
      </c>
      <c r="H113" s="66">
        <f>VLOOKUP(C113,[1]TB!$B$3:$D$503,3,0)</f>
        <v>129150000</v>
      </c>
      <c r="I113" s="65">
        <f t="shared" si="8"/>
        <v>20664</v>
      </c>
      <c r="J113" s="214">
        <f>VLOOKUP(C113,'[3]Ng.gia thiêtbi'!$B$3:$E$202,4,0)</f>
        <v>5</v>
      </c>
    </row>
    <row r="114" spans="1:10" ht="15.75">
      <c r="A114" s="218"/>
      <c r="B114" s="6">
        <v>9</v>
      </c>
      <c r="C114" s="2" t="s">
        <v>138</v>
      </c>
      <c r="D114" s="3" t="s">
        <v>15</v>
      </c>
      <c r="E114" s="34">
        <v>2.2000000000000002</v>
      </c>
      <c r="F114" s="104">
        <v>6.7000000000000004E-2</v>
      </c>
      <c r="G114" s="65">
        <f t="shared" si="7"/>
        <v>3800</v>
      </c>
      <c r="H114" s="66">
        <f>VLOOKUP(C114,[1]TB!$B$3:$D$503,3,0)</f>
        <v>9500000</v>
      </c>
      <c r="I114" s="65">
        <f t="shared" si="8"/>
        <v>254.60000000000002</v>
      </c>
      <c r="J114" s="214">
        <f>VLOOKUP(C114,'[3]Ng.gia thiêtbi'!$B$3:$E$202,4,0)</f>
        <v>5</v>
      </c>
    </row>
    <row r="115" spans="1:10" ht="15.75">
      <c r="A115" s="218"/>
      <c r="B115" s="6">
        <v>10</v>
      </c>
      <c r="C115" s="2" t="s">
        <v>43</v>
      </c>
      <c r="D115" s="3" t="s">
        <v>44</v>
      </c>
      <c r="E115" s="3"/>
      <c r="F115" s="30">
        <v>39.159999999999997</v>
      </c>
      <c r="G115" s="65"/>
      <c r="H115" s="66">
        <f>VLOOKUP(C115,[1]TB!$B$3:$D$503,3,0)</f>
        <v>1838</v>
      </c>
      <c r="I115" s="65">
        <f>H115*F115</f>
        <v>71976.079999999987</v>
      </c>
      <c r="J115" s="214" t="e">
        <f>VLOOKUP(C115,'[3]Ng.gia thiêtbi'!$B$3:$E$202,4,0)</f>
        <v>#REF!</v>
      </c>
    </row>
    <row r="116" spans="1:10" ht="15.75">
      <c r="A116" s="218">
        <v>11</v>
      </c>
      <c r="B116" s="317" t="s">
        <v>440</v>
      </c>
      <c r="C116" s="265" t="s">
        <v>464</v>
      </c>
      <c r="D116" s="399" t="s">
        <v>450</v>
      </c>
      <c r="E116" s="397"/>
      <c r="F116" s="398"/>
      <c r="G116" s="65"/>
      <c r="H116" s="66"/>
      <c r="I116" s="65"/>
      <c r="J116" s="214"/>
    </row>
    <row r="117" spans="1:10" ht="19.5" customHeight="1">
      <c r="A117" s="218">
        <v>12</v>
      </c>
      <c r="B117" s="317" t="s">
        <v>441</v>
      </c>
      <c r="C117" s="265" t="s">
        <v>451</v>
      </c>
      <c r="D117" s="328"/>
      <c r="E117" s="328"/>
      <c r="F117" s="329"/>
      <c r="G117" s="65"/>
      <c r="H117" s="66"/>
      <c r="I117" s="142">
        <f>SUM(I118:I125)</f>
        <v>128521</v>
      </c>
      <c r="J117" s="214"/>
    </row>
    <row r="118" spans="1:10" ht="15.75">
      <c r="A118" s="218"/>
      <c r="B118" s="6">
        <v>1</v>
      </c>
      <c r="C118" s="2" t="s">
        <v>139</v>
      </c>
      <c r="D118" s="3" t="s">
        <v>15</v>
      </c>
      <c r="E118" s="3">
        <v>0.1</v>
      </c>
      <c r="F118" s="30">
        <v>0.2</v>
      </c>
      <c r="G118" s="65">
        <f t="shared" si="7"/>
        <v>57960</v>
      </c>
      <c r="H118" s="66">
        <f>VLOOKUP(C118,[1]TB!$B$3:$D$503,3,0)</f>
        <v>144900000</v>
      </c>
      <c r="I118" s="65">
        <f t="shared" si="8"/>
        <v>11592</v>
      </c>
      <c r="J118" s="214">
        <f>VLOOKUP(C118,'[3]Ng.gia thiêtbi'!$B$3:$E$202,4,0)</f>
        <v>5</v>
      </c>
    </row>
    <row r="119" spans="1:10" ht="15.75">
      <c r="A119" s="218"/>
      <c r="B119" s="6">
        <v>2</v>
      </c>
      <c r="C119" s="2" t="s">
        <v>135</v>
      </c>
      <c r="D119" s="3" t="s">
        <v>15</v>
      </c>
      <c r="E119" s="34">
        <v>0.3</v>
      </c>
      <c r="F119" s="104">
        <v>0.4</v>
      </c>
      <c r="G119" s="65">
        <f t="shared" si="7"/>
        <v>6208</v>
      </c>
      <c r="H119" s="66">
        <f>VLOOKUP(C119,[1]TB!$B$3:$D$503,3,0)</f>
        <v>31040000</v>
      </c>
      <c r="I119" s="65">
        <f t="shared" si="8"/>
        <v>2483.2000000000003</v>
      </c>
      <c r="J119" s="214">
        <f>VLOOKUP(C119,'[3]Ng.gia thiêtbi'!$B$3:$E$202,4,0)</f>
        <v>10</v>
      </c>
    </row>
    <row r="120" spans="1:10" ht="15.75">
      <c r="A120" s="218"/>
      <c r="B120" s="6">
        <v>3</v>
      </c>
      <c r="C120" s="2" t="s">
        <v>140</v>
      </c>
      <c r="D120" s="3" t="s">
        <v>15</v>
      </c>
      <c r="E120" s="3">
        <v>0.1</v>
      </c>
      <c r="F120" s="30">
        <v>0.2</v>
      </c>
      <c r="G120" s="65">
        <f t="shared" si="7"/>
        <v>126896</v>
      </c>
      <c r="H120" s="66">
        <f>VLOOKUP(C120,[1]TB!$B$3:$D$503,3,0)</f>
        <v>317240000</v>
      </c>
      <c r="I120" s="65">
        <f t="shared" si="8"/>
        <v>25379.200000000001</v>
      </c>
      <c r="J120" s="214">
        <f>VLOOKUP(C120,'[3]Ng.gia thiêtbi'!$B$3:$E$202,4,0)</f>
        <v>5</v>
      </c>
    </row>
    <row r="121" spans="1:10" ht="15.75">
      <c r="A121" s="218"/>
      <c r="B121" s="6">
        <v>4</v>
      </c>
      <c r="C121" s="2" t="s">
        <v>136</v>
      </c>
      <c r="D121" s="3" t="s">
        <v>39</v>
      </c>
      <c r="E121" s="34">
        <v>2.2999999999999998</v>
      </c>
      <c r="F121" s="104">
        <v>0.2</v>
      </c>
      <c r="G121" s="65">
        <f t="shared" si="7"/>
        <v>11340</v>
      </c>
      <c r="H121" s="66">
        <f>VLOOKUP(C121,[1]TB!$B$3:$D$503,3,0)</f>
        <v>28350000</v>
      </c>
      <c r="I121" s="65">
        <f t="shared" si="8"/>
        <v>2268</v>
      </c>
      <c r="J121" s="214">
        <f>VLOOKUP(C121,'[3]Ng.gia thiêtbi'!$B$3:$E$202,4,0)</f>
        <v>5</v>
      </c>
    </row>
    <row r="122" spans="1:10" ht="15.75">
      <c r="A122" s="218"/>
      <c r="B122" s="6">
        <v>5</v>
      </c>
      <c r="C122" s="132" t="s">
        <v>389</v>
      </c>
      <c r="D122" s="3" t="s">
        <v>15</v>
      </c>
      <c r="E122" s="34">
        <v>0.06</v>
      </c>
      <c r="F122" s="104">
        <v>0.2</v>
      </c>
      <c r="G122" s="65">
        <f t="shared" si="7"/>
        <v>12000</v>
      </c>
      <c r="H122" s="66">
        <f>VLOOKUP(C122,[1]TB!$B$3:$D$503,3,0)</f>
        <v>30000000</v>
      </c>
      <c r="I122" s="65">
        <f t="shared" si="8"/>
        <v>2400</v>
      </c>
      <c r="J122" s="214">
        <f>VLOOKUP(C122,'[3]Ng.gia thiêtbi'!$B$3:$E$202,4,0)</f>
        <v>5</v>
      </c>
    </row>
    <row r="123" spans="1:10" ht="15.75">
      <c r="A123" s="218"/>
      <c r="B123" s="6">
        <v>6</v>
      </c>
      <c r="C123" s="2" t="s">
        <v>141</v>
      </c>
      <c r="D123" s="3" t="s">
        <v>39</v>
      </c>
      <c r="E123" s="3">
        <v>3</v>
      </c>
      <c r="F123" s="30">
        <v>0.3</v>
      </c>
      <c r="G123" s="65">
        <f t="shared" si="7"/>
        <v>211600</v>
      </c>
      <c r="H123" s="66">
        <f>VLOOKUP(C123,[1]TB!$B$3:$D$503,3,0)</f>
        <v>1058000000</v>
      </c>
      <c r="I123" s="65">
        <f t="shared" si="8"/>
        <v>63480</v>
      </c>
      <c r="J123" s="214">
        <f>VLOOKUP(C123,'[3]Ng.gia thiêtbi'!$B$3:$E$202,4,0)</f>
        <v>10</v>
      </c>
    </row>
    <row r="124" spans="1:10" ht="20.25" customHeight="1">
      <c r="A124" s="218"/>
      <c r="B124" s="6">
        <v>7</v>
      </c>
      <c r="C124" s="2" t="s">
        <v>142</v>
      </c>
      <c r="D124" s="3" t="s">
        <v>39</v>
      </c>
      <c r="E124" s="3">
        <v>0.18</v>
      </c>
      <c r="F124" s="134">
        <v>0.4</v>
      </c>
      <c r="G124" s="65">
        <f t="shared" si="7"/>
        <v>51660</v>
      </c>
      <c r="H124" s="66">
        <f>VLOOKUP(C124,[1]TB!$B$3:$D$503,3,0)</f>
        <v>129150000</v>
      </c>
      <c r="I124" s="65">
        <f t="shared" si="8"/>
        <v>20664</v>
      </c>
      <c r="J124" s="214">
        <f>VLOOKUP(C124,'[3]Ng.gia thiêtbi'!$B$3:$E$202,4,0)</f>
        <v>5</v>
      </c>
    </row>
    <row r="125" spans="1:10" ht="15.75">
      <c r="A125" s="218"/>
      <c r="B125" s="6">
        <v>8</v>
      </c>
      <c r="C125" s="2" t="s">
        <v>138</v>
      </c>
      <c r="D125" s="3" t="s">
        <v>15</v>
      </c>
      <c r="E125" s="34">
        <v>2.2000000000000002</v>
      </c>
      <c r="F125" s="104">
        <v>6.7000000000000004E-2</v>
      </c>
      <c r="G125" s="65">
        <f t="shared" si="7"/>
        <v>3800</v>
      </c>
      <c r="H125" s="66">
        <f>VLOOKUP(C125,[1]TB!$B$3:$D$503,3,0)</f>
        <v>9500000</v>
      </c>
      <c r="I125" s="65">
        <f t="shared" si="8"/>
        <v>254.60000000000002</v>
      </c>
      <c r="J125" s="214">
        <f>VLOOKUP(C125,'[3]Ng.gia thiêtbi'!$B$3:$E$202,4,0)</f>
        <v>5</v>
      </c>
    </row>
    <row r="126" spans="1:10" ht="15.75">
      <c r="A126" s="218"/>
      <c r="B126" s="6">
        <v>9</v>
      </c>
      <c r="C126" s="2" t="s">
        <v>43</v>
      </c>
      <c r="D126" s="3" t="s">
        <v>44</v>
      </c>
      <c r="E126" s="3"/>
      <c r="F126" s="30">
        <v>26.86</v>
      </c>
      <c r="G126" s="65"/>
      <c r="H126" s="66">
        <f>VLOOKUP(C126,[1]TB!$B$3:$D$503,3,0)</f>
        <v>1838</v>
      </c>
      <c r="I126" s="65">
        <f>H126*F126</f>
        <v>49368.68</v>
      </c>
      <c r="J126" s="214" t="e">
        <f>VLOOKUP(C126,'[3]Ng.gia thiêtbi'!$B$3:$E$202,4,0)</f>
        <v>#REF!</v>
      </c>
    </row>
    <row r="127" spans="1:10" ht="15.75">
      <c r="A127" s="218">
        <v>13</v>
      </c>
      <c r="B127" s="317" t="s">
        <v>442</v>
      </c>
      <c r="C127" s="265" t="s">
        <v>457</v>
      </c>
      <c r="D127" s="402" t="s">
        <v>466</v>
      </c>
      <c r="E127" s="403"/>
      <c r="F127" s="404"/>
      <c r="G127" s="65"/>
      <c r="H127" s="66"/>
      <c r="I127" s="217">
        <f>I117</f>
        <v>128521</v>
      </c>
      <c r="J127" s="214"/>
    </row>
    <row r="128" spans="1:10" ht="15.75">
      <c r="A128" s="218">
        <v>14</v>
      </c>
      <c r="B128" s="317" t="s">
        <v>443</v>
      </c>
      <c r="C128" s="265" t="s">
        <v>458</v>
      </c>
      <c r="D128" s="402" t="s">
        <v>466</v>
      </c>
      <c r="E128" s="403"/>
      <c r="F128" s="404"/>
      <c r="G128" s="65"/>
      <c r="H128" s="66"/>
      <c r="I128" s="217">
        <f>I117</f>
        <v>128521</v>
      </c>
      <c r="J128" s="214"/>
    </row>
    <row r="129" spans="1:10" ht="15.75">
      <c r="A129" s="218">
        <v>15</v>
      </c>
      <c r="B129" s="317" t="s">
        <v>444</v>
      </c>
      <c r="C129" s="265" t="s">
        <v>459</v>
      </c>
      <c r="D129" s="402" t="s">
        <v>466</v>
      </c>
      <c r="E129" s="403"/>
      <c r="F129" s="404"/>
      <c r="G129" s="65"/>
      <c r="H129" s="66"/>
      <c r="I129" s="217">
        <f>I117</f>
        <v>128521</v>
      </c>
      <c r="J129" s="214"/>
    </row>
    <row r="130" spans="1:10" ht="15.75">
      <c r="A130" s="218">
        <v>16</v>
      </c>
      <c r="B130" s="317" t="s">
        <v>445</v>
      </c>
      <c r="C130" s="265" t="s">
        <v>460</v>
      </c>
      <c r="D130" s="402" t="s">
        <v>466</v>
      </c>
      <c r="E130" s="403"/>
      <c r="F130" s="404"/>
      <c r="G130" s="65"/>
      <c r="H130" s="66"/>
      <c r="I130" s="217">
        <f>I117</f>
        <v>128521</v>
      </c>
      <c r="J130" s="214"/>
    </row>
    <row r="131" spans="1:10" ht="18.75">
      <c r="A131" s="218">
        <v>17</v>
      </c>
      <c r="B131" s="60" t="s">
        <v>318</v>
      </c>
      <c r="C131" s="390" t="s">
        <v>266</v>
      </c>
      <c r="D131" s="390"/>
      <c r="E131" s="390"/>
      <c r="F131" s="390"/>
      <c r="G131" s="65"/>
      <c r="H131" s="66"/>
      <c r="I131" s="124">
        <f>SUM(I132:I137)</f>
        <v>91549.8</v>
      </c>
      <c r="J131" s="214"/>
    </row>
    <row r="132" spans="1:10" ht="15.75">
      <c r="A132" s="218"/>
      <c r="B132" s="6">
        <v>1</v>
      </c>
      <c r="C132" s="132" t="s">
        <v>135</v>
      </c>
      <c r="D132" s="34" t="s">
        <v>48</v>
      </c>
      <c r="E132" s="34">
        <v>0.3</v>
      </c>
      <c r="F132" s="104">
        <v>0.4</v>
      </c>
      <c r="G132" s="65">
        <f t="shared" ref="G132" si="17">H132/(J132*$J$40)</f>
        <v>6208</v>
      </c>
      <c r="H132" s="66">
        <f>VLOOKUP(C132,[1]TB!$B$3:$D$503,3,0)</f>
        <v>31040000</v>
      </c>
      <c r="I132" s="65">
        <f t="shared" ref="I132" si="18">F132*G132</f>
        <v>2483.2000000000003</v>
      </c>
      <c r="J132" s="214">
        <f>VLOOKUP(C132,'[3]Ng.gia thiêtbi'!$B$3:$E$202,4,0)</f>
        <v>10</v>
      </c>
    </row>
    <row r="133" spans="1:10" ht="15.75">
      <c r="A133" s="218"/>
      <c r="B133" s="6">
        <v>2</v>
      </c>
      <c r="C133" s="132" t="s">
        <v>136</v>
      </c>
      <c r="D133" s="34" t="s">
        <v>39</v>
      </c>
      <c r="E133" s="34">
        <v>2.2999999999999998</v>
      </c>
      <c r="F133" s="104">
        <v>0.2</v>
      </c>
      <c r="G133" s="65">
        <f t="shared" ref="G133:G137" si="19">H133/(J133*$J$40)</f>
        <v>11340</v>
      </c>
      <c r="H133" s="66">
        <f>VLOOKUP(C133,[1]TB!$B$3:$D$503,3,0)</f>
        <v>28350000</v>
      </c>
      <c r="I133" s="65">
        <f t="shared" ref="I133:I137" si="20">F133*G133</f>
        <v>2268</v>
      </c>
      <c r="J133" s="214">
        <f>VLOOKUP(C133,'[3]Ng.gia thiêtbi'!$B$3:$E$202,4,0)</f>
        <v>5</v>
      </c>
    </row>
    <row r="134" spans="1:10" ht="15.75">
      <c r="A134" s="218"/>
      <c r="B134" s="6">
        <v>3</v>
      </c>
      <c r="C134" s="132" t="s">
        <v>389</v>
      </c>
      <c r="D134" s="34" t="s">
        <v>48</v>
      </c>
      <c r="E134" s="34">
        <v>0.06</v>
      </c>
      <c r="F134" s="104">
        <v>0.2</v>
      </c>
      <c r="G134" s="65">
        <f t="shared" si="19"/>
        <v>12000</v>
      </c>
      <c r="H134" s="66">
        <f>VLOOKUP(C134,[1]TB!$B$3:$D$503,3,0)</f>
        <v>30000000</v>
      </c>
      <c r="I134" s="65">
        <f t="shared" si="20"/>
        <v>2400</v>
      </c>
      <c r="J134" s="214">
        <f>VLOOKUP(C134,'[3]Ng.gia thiêtbi'!$B$3:$E$202,4,0)</f>
        <v>5</v>
      </c>
    </row>
    <row r="135" spans="1:10" ht="16.5">
      <c r="A135" s="218"/>
      <c r="B135" s="6">
        <v>4</v>
      </c>
      <c r="C135" s="2" t="s">
        <v>141</v>
      </c>
      <c r="D135" s="34" t="s">
        <v>39</v>
      </c>
      <c r="E135" s="34">
        <v>3</v>
      </c>
      <c r="F135" s="107">
        <v>0.3</v>
      </c>
      <c r="G135" s="65">
        <f t="shared" si="19"/>
        <v>211600</v>
      </c>
      <c r="H135" s="66">
        <f>VLOOKUP(C135,[1]TB!$B$3:$D$503,3,0)</f>
        <v>1058000000</v>
      </c>
      <c r="I135" s="65">
        <f t="shared" si="20"/>
        <v>63480</v>
      </c>
      <c r="J135" s="214">
        <f>VLOOKUP(C135,'[3]Ng.gia thiêtbi'!$B$3:$E$202,4,0)</f>
        <v>10</v>
      </c>
    </row>
    <row r="136" spans="1:10" ht="15.75">
      <c r="A136" s="218"/>
      <c r="B136" s="6">
        <v>5</v>
      </c>
      <c r="C136" s="132" t="s">
        <v>142</v>
      </c>
      <c r="D136" s="34" t="s">
        <v>39</v>
      </c>
      <c r="E136" s="3">
        <v>0.18</v>
      </c>
      <c r="F136" s="104">
        <v>0.4</v>
      </c>
      <c r="G136" s="65">
        <f t="shared" si="19"/>
        <v>51660</v>
      </c>
      <c r="H136" s="66">
        <f>VLOOKUP(C136,[1]TB!$B$3:$D$503,3,0)</f>
        <v>129150000</v>
      </c>
      <c r="I136" s="65">
        <f t="shared" si="20"/>
        <v>20664</v>
      </c>
      <c r="J136" s="214">
        <f>VLOOKUP(C136,'[3]Ng.gia thiêtbi'!$B$3:$E$202,4,0)</f>
        <v>5</v>
      </c>
    </row>
    <row r="137" spans="1:10" ht="15.75">
      <c r="A137" s="218"/>
      <c r="B137" s="6">
        <v>6</v>
      </c>
      <c r="C137" s="132" t="s">
        <v>138</v>
      </c>
      <c r="D137" s="34" t="s">
        <v>48</v>
      </c>
      <c r="E137" s="34">
        <v>2.2000000000000002</v>
      </c>
      <c r="F137" s="104">
        <v>6.7000000000000004E-2</v>
      </c>
      <c r="G137" s="65">
        <f t="shared" si="19"/>
        <v>3800</v>
      </c>
      <c r="H137" s="66">
        <f>VLOOKUP(C137,[1]TB!$B$3:$D$503,3,0)</f>
        <v>9500000</v>
      </c>
      <c r="I137" s="65">
        <f t="shared" si="20"/>
        <v>254.60000000000002</v>
      </c>
      <c r="J137" s="214">
        <f>VLOOKUP(C137,'[3]Ng.gia thiêtbi'!$B$3:$E$202,4,0)</f>
        <v>5</v>
      </c>
    </row>
    <row r="138" spans="1:10" ht="16.5">
      <c r="A138" s="218"/>
      <c r="B138" s="6">
        <v>7</v>
      </c>
      <c r="C138" s="132" t="s">
        <v>43</v>
      </c>
      <c r="D138" s="3" t="s">
        <v>44</v>
      </c>
      <c r="E138" s="34"/>
      <c r="F138" s="107">
        <v>12.68</v>
      </c>
      <c r="G138" s="65"/>
      <c r="H138" s="66">
        <f>VLOOKUP(C138,[1]TB!$B$3:$D$503,3,0)</f>
        <v>1838</v>
      </c>
      <c r="I138" s="65">
        <f>H138*F138</f>
        <v>23305.84</v>
      </c>
      <c r="J138" s="214" t="e">
        <f>VLOOKUP(C138,'[3]Ng.gia thiêtbi'!$B$3:$E$202,4,0)</f>
        <v>#REF!</v>
      </c>
    </row>
    <row r="139" spans="1:10" ht="20.25" customHeight="1">
      <c r="A139" s="218">
        <v>18</v>
      </c>
      <c r="B139" s="129" t="s">
        <v>220</v>
      </c>
      <c r="C139" s="439" t="s">
        <v>145</v>
      </c>
      <c r="D139" s="440"/>
      <c r="E139" s="440"/>
      <c r="F139" s="441"/>
      <c r="G139" s="65"/>
      <c r="H139" s="66"/>
      <c r="I139" s="142">
        <f>SUM(I140:I149)</f>
        <v>162301.40000000002</v>
      </c>
      <c r="J139" s="214"/>
    </row>
    <row r="140" spans="1:10" ht="15.75">
      <c r="A140" s="218"/>
      <c r="B140" s="144">
        <v>1</v>
      </c>
      <c r="C140" s="7" t="s">
        <v>135</v>
      </c>
      <c r="D140" s="3" t="s">
        <v>48</v>
      </c>
      <c r="E140" s="34">
        <v>0.3</v>
      </c>
      <c r="F140" s="104">
        <v>0.4</v>
      </c>
      <c r="G140" s="65">
        <f t="shared" si="7"/>
        <v>6208</v>
      </c>
      <c r="H140" s="66">
        <f>VLOOKUP(C140,[1]TB!$B$3:$D$503,3,0)</f>
        <v>31040000</v>
      </c>
      <c r="I140" s="65">
        <f t="shared" si="8"/>
        <v>2483.2000000000003</v>
      </c>
      <c r="J140" s="214">
        <f>VLOOKUP(C140,'[3]Ng.gia thiêtbi'!$B$3:$E$202,4,0)</f>
        <v>10</v>
      </c>
    </row>
    <row r="141" spans="1:10" ht="15.75">
      <c r="A141" s="218"/>
      <c r="B141" s="144">
        <v>2</v>
      </c>
      <c r="C141" s="132" t="s">
        <v>389</v>
      </c>
      <c r="D141" s="3" t="s">
        <v>48</v>
      </c>
      <c r="E141" s="34">
        <v>0.06</v>
      </c>
      <c r="F141" s="104">
        <v>0.2</v>
      </c>
      <c r="G141" s="65">
        <f t="shared" si="7"/>
        <v>12000</v>
      </c>
      <c r="H141" s="66">
        <f>VLOOKUP(C141,[1]TB!$B$3:$D$503,3,0)</f>
        <v>30000000</v>
      </c>
      <c r="I141" s="65">
        <f t="shared" si="8"/>
        <v>2400</v>
      </c>
      <c r="J141" s="214">
        <f>VLOOKUP(C141,'[3]Ng.gia thiêtbi'!$B$3:$E$202,4,0)</f>
        <v>5</v>
      </c>
    </row>
    <row r="142" spans="1:10" ht="15.75">
      <c r="A142" s="218"/>
      <c r="B142" s="144">
        <v>3</v>
      </c>
      <c r="C142" s="100" t="s">
        <v>146</v>
      </c>
      <c r="D142" s="3" t="s">
        <v>39</v>
      </c>
      <c r="E142" s="3"/>
      <c r="F142" s="30">
        <v>0.6</v>
      </c>
      <c r="G142" s="65">
        <f t="shared" si="7"/>
        <v>38892</v>
      </c>
      <c r="H142" s="66">
        <f>VLOOKUP(C142,[1]TB!$B$3:$D$503,3,0)</f>
        <v>97230000</v>
      </c>
      <c r="I142" s="65">
        <f t="shared" si="8"/>
        <v>23335.200000000001</v>
      </c>
      <c r="J142" s="214">
        <f>VLOOKUP(C142,'[3]Ng.gia thiêtbi'!$B$3:$E$202,4,0)</f>
        <v>5</v>
      </c>
    </row>
    <row r="143" spans="1:10" ht="19.5" customHeight="1">
      <c r="A143" s="218"/>
      <c r="B143" s="144">
        <v>4</v>
      </c>
      <c r="C143" s="7" t="s">
        <v>146</v>
      </c>
      <c r="D143" s="3" t="s">
        <v>39</v>
      </c>
      <c r="E143" s="3"/>
      <c r="F143" s="30">
        <v>0.6</v>
      </c>
      <c r="G143" s="65">
        <f t="shared" si="7"/>
        <v>38892</v>
      </c>
      <c r="H143" s="66">
        <f>VLOOKUP(C143,[1]TB!$B$3:$D$503,3,0)</f>
        <v>97230000</v>
      </c>
      <c r="I143" s="65">
        <f t="shared" si="8"/>
        <v>23335.200000000001</v>
      </c>
      <c r="J143" s="214">
        <f>VLOOKUP(C143,'[3]Ng.gia thiêtbi'!$B$3:$E$202,4,0)</f>
        <v>5</v>
      </c>
    </row>
    <row r="144" spans="1:10" ht="15.75">
      <c r="A144" s="218"/>
      <c r="B144" s="144">
        <v>5</v>
      </c>
      <c r="C144" s="7" t="s">
        <v>147</v>
      </c>
      <c r="D144" s="3" t="s">
        <v>48</v>
      </c>
      <c r="E144" s="3"/>
      <c r="F144" s="30">
        <v>0.6</v>
      </c>
      <c r="G144" s="65">
        <f t="shared" si="7"/>
        <v>52500</v>
      </c>
      <c r="H144" s="66">
        <f>VLOOKUP(C144,[1]TB!$B$3:$D$503,3,0)</f>
        <v>131250000</v>
      </c>
      <c r="I144" s="65">
        <f t="shared" si="8"/>
        <v>31500</v>
      </c>
      <c r="J144" s="214">
        <f>VLOOKUP(C144,'[3]Ng.gia thiêtbi'!$B$3:$E$202,4,0)</f>
        <v>5</v>
      </c>
    </row>
    <row r="145" spans="1:10" ht="15.75">
      <c r="A145" s="218"/>
      <c r="B145" s="144">
        <v>6</v>
      </c>
      <c r="C145" s="7" t="s">
        <v>148</v>
      </c>
      <c r="D145" s="3" t="s">
        <v>48</v>
      </c>
      <c r="E145" s="3"/>
      <c r="F145" s="30">
        <v>0.6</v>
      </c>
      <c r="G145" s="65">
        <f t="shared" si="7"/>
        <v>19740</v>
      </c>
      <c r="H145" s="66">
        <f>VLOOKUP(C145,[1]TB!$B$3:$D$503,3,0)</f>
        <v>49350000</v>
      </c>
      <c r="I145" s="65">
        <f t="shared" si="8"/>
        <v>11844</v>
      </c>
      <c r="J145" s="214">
        <f>VLOOKUP(C145,'[3]Ng.gia thiêtbi'!$B$3:$E$202,4,0)</f>
        <v>5</v>
      </c>
    </row>
    <row r="146" spans="1:10" ht="15.75">
      <c r="A146" s="218"/>
      <c r="B146" s="144">
        <v>7</v>
      </c>
      <c r="C146" s="7" t="s">
        <v>149</v>
      </c>
      <c r="D146" s="3" t="s">
        <v>39</v>
      </c>
      <c r="E146" s="3">
        <v>0.37</v>
      </c>
      <c r="F146" s="30">
        <v>0.6</v>
      </c>
      <c r="G146" s="65">
        <f t="shared" si="7"/>
        <v>12936</v>
      </c>
      <c r="H146" s="66">
        <f>VLOOKUP(C146,[1]TB!$B$3:$D$503,3,0)</f>
        <v>32340000</v>
      </c>
      <c r="I146" s="65">
        <f t="shared" si="8"/>
        <v>7761.5999999999995</v>
      </c>
      <c r="J146" s="214">
        <f>VLOOKUP(C146,'[3]Ng.gia thiêtbi'!$B$3:$E$202,4,0)</f>
        <v>5</v>
      </c>
    </row>
    <row r="147" spans="1:10" ht="15.75">
      <c r="A147" s="218"/>
      <c r="B147" s="144">
        <v>8</v>
      </c>
      <c r="C147" s="7" t="s">
        <v>150</v>
      </c>
      <c r="D147" s="3" t="s">
        <v>39</v>
      </c>
      <c r="E147" s="3">
        <v>3</v>
      </c>
      <c r="F147" s="30">
        <v>0.2</v>
      </c>
      <c r="G147" s="65">
        <f t="shared" si="7"/>
        <v>240938</v>
      </c>
      <c r="H147" s="66">
        <f>VLOOKUP(C147,[1]TB!$B$3:$D$503,3,0)</f>
        <v>1204690000</v>
      </c>
      <c r="I147" s="65">
        <f t="shared" si="8"/>
        <v>48187.600000000006</v>
      </c>
      <c r="J147" s="214">
        <f>VLOOKUP(C147,'[3]Ng.gia thiêtbi'!$B$3:$E$202,4,0)</f>
        <v>10</v>
      </c>
    </row>
    <row r="148" spans="1:10" ht="15.75">
      <c r="A148" s="218"/>
      <c r="B148" s="144">
        <v>9</v>
      </c>
      <c r="C148" s="7" t="s">
        <v>138</v>
      </c>
      <c r="D148" s="3" t="s">
        <v>48</v>
      </c>
      <c r="E148" s="34">
        <v>2.2000000000000002</v>
      </c>
      <c r="F148" s="104">
        <v>6.7000000000000004E-2</v>
      </c>
      <c r="G148" s="65">
        <f t="shared" ref="G148:G149" si="21">H148/(J148*$J$40)</f>
        <v>3800</v>
      </c>
      <c r="H148" s="66">
        <f>VLOOKUP(C148,[1]TB!$B$3:$D$503,3,0)</f>
        <v>9500000</v>
      </c>
      <c r="I148" s="65">
        <f t="shared" ref="I148:I149" si="22">F148*G148</f>
        <v>254.60000000000002</v>
      </c>
      <c r="J148" s="214">
        <f>VLOOKUP(C148,'[3]Ng.gia thiêtbi'!$B$3:$E$202,4,0)</f>
        <v>5</v>
      </c>
    </row>
    <row r="149" spans="1:10" ht="15.75">
      <c r="A149" s="218"/>
      <c r="B149" s="144">
        <v>10</v>
      </c>
      <c r="C149" s="7" t="s">
        <v>151</v>
      </c>
      <c r="D149" s="3" t="s">
        <v>39</v>
      </c>
      <c r="E149" s="3"/>
      <c r="F149" s="30">
        <v>0.4</v>
      </c>
      <c r="G149" s="65">
        <f t="shared" si="21"/>
        <v>28000</v>
      </c>
      <c r="H149" s="66">
        <f>VLOOKUP(C149,[1]TB!$B$3:$D$503,3,0)</f>
        <v>70000000</v>
      </c>
      <c r="I149" s="65">
        <f t="shared" si="22"/>
        <v>11200</v>
      </c>
      <c r="J149" s="214">
        <f>VLOOKUP(C149,'[3]Ng.gia thiêtbi'!$B$3:$E$202,4,0)</f>
        <v>5</v>
      </c>
    </row>
    <row r="150" spans="1:10" ht="15.75">
      <c r="A150" s="218"/>
      <c r="B150" s="144">
        <v>11</v>
      </c>
      <c r="C150" s="7" t="s">
        <v>43</v>
      </c>
      <c r="D150" s="3" t="s">
        <v>59</v>
      </c>
      <c r="E150" s="3"/>
      <c r="F150" s="30">
        <v>90.48</v>
      </c>
      <c r="G150" s="65"/>
      <c r="H150" s="66">
        <f>VLOOKUP(C150,[1]TB!$B$3:$D$503,3,0)</f>
        <v>1838</v>
      </c>
      <c r="I150" s="65">
        <f>H150*F150</f>
        <v>166302.24000000002</v>
      </c>
      <c r="J150" s="214" t="e">
        <f>VLOOKUP(C150,'[3]Ng.gia thiêtbi'!$B$3:$E$202,4,0)</f>
        <v>#REF!</v>
      </c>
    </row>
    <row r="151" spans="1:10" ht="31.5" customHeight="1">
      <c r="A151" s="218">
        <v>19</v>
      </c>
      <c r="B151" s="189" t="s">
        <v>319</v>
      </c>
      <c r="C151" s="393" t="s">
        <v>214</v>
      </c>
      <c r="D151" s="395"/>
      <c r="E151" s="226"/>
      <c r="F151" s="402" t="s">
        <v>339</v>
      </c>
      <c r="G151" s="404"/>
      <c r="H151" s="125"/>
      <c r="I151" s="217">
        <f>I139</f>
        <v>162301.40000000002</v>
      </c>
      <c r="J151" s="214"/>
    </row>
    <row r="152" spans="1:10" ht="20.25" customHeight="1">
      <c r="A152" s="218">
        <v>20</v>
      </c>
      <c r="B152" s="189" t="s">
        <v>320</v>
      </c>
      <c r="C152" s="437" t="s">
        <v>215</v>
      </c>
      <c r="D152" s="438"/>
      <c r="E152" s="247"/>
      <c r="F152" s="402" t="s">
        <v>339</v>
      </c>
      <c r="G152" s="404"/>
      <c r="H152" s="125"/>
      <c r="I152" s="217">
        <f>I139</f>
        <v>162301.40000000002</v>
      </c>
      <c r="J152" s="214"/>
    </row>
    <row r="153" spans="1:10" ht="15.75">
      <c r="A153" s="218">
        <v>21</v>
      </c>
      <c r="B153" s="218" t="s">
        <v>321</v>
      </c>
      <c r="C153" s="168" t="s">
        <v>65</v>
      </c>
      <c r="F153" s="402" t="s">
        <v>339</v>
      </c>
      <c r="G153" s="404"/>
      <c r="H153" s="66"/>
      <c r="I153" s="217">
        <f>I139</f>
        <v>162301.40000000002</v>
      </c>
      <c r="J153" s="214"/>
    </row>
    <row r="154" spans="1:10" ht="15.75">
      <c r="A154" s="218">
        <v>22</v>
      </c>
      <c r="B154" s="218" t="s">
        <v>322</v>
      </c>
      <c r="C154" s="168" t="s">
        <v>11</v>
      </c>
      <c r="F154" s="402" t="s">
        <v>339</v>
      </c>
      <c r="G154" s="404"/>
      <c r="H154" s="66"/>
      <c r="I154" s="217">
        <f>I139</f>
        <v>162301.40000000002</v>
      </c>
      <c r="J154" s="214"/>
    </row>
    <row r="155" spans="1:10" ht="15.75">
      <c r="A155" s="218">
        <v>23</v>
      </c>
      <c r="B155" s="218" t="s">
        <v>5</v>
      </c>
      <c r="C155" s="221" t="s">
        <v>380</v>
      </c>
      <c r="D155" s="141"/>
      <c r="E155" s="141"/>
      <c r="F155" s="131"/>
      <c r="G155" s="131"/>
      <c r="H155" s="131"/>
      <c r="I155" s="216">
        <f>SUM(I156:I163)</f>
        <v>98521</v>
      </c>
    </row>
    <row r="156" spans="1:10" ht="15.75">
      <c r="A156" s="218"/>
      <c r="B156" s="144">
        <v>1</v>
      </c>
      <c r="C156" s="2" t="s">
        <v>139</v>
      </c>
      <c r="D156" s="3" t="s">
        <v>15</v>
      </c>
      <c r="E156" s="3">
        <v>0.1</v>
      </c>
      <c r="F156" s="30">
        <v>0.2</v>
      </c>
      <c r="G156" s="65">
        <f t="shared" ref="G156" si="23">H156/(J156*$J$40)</f>
        <v>57960</v>
      </c>
      <c r="H156" s="66">
        <f>VLOOKUP(C156,[1]TB!$B$3:$D$503,3,0)</f>
        <v>144900000</v>
      </c>
      <c r="I156" s="65">
        <f t="shared" ref="I156" si="24">F156*G156</f>
        <v>11592</v>
      </c>
      <c r="J156" s="214">
        <f>VLOOKUP(C156,'[3]Ng.gia thiêtbi'!$B$3:$E$202,4,0)</f>
        <v>5</v>
      </c>
    </row>
    <row r="157" spans="1:10" ht="15.75">
      <c r="A157" s="218"/>
      <c r="B157" s="144">
        <v>2</v>
      </c>
      <c r="C157" s="2" t="s">
        <v>135</v>
      </c>
      <c r="D157" s="3" t="s">
        <v>15</v>
      </c>
      <c r="E157" s="34">
        <v>0.3</v>
      </c>
      <c r="F157" s="104">
        <v>0.4</v>
      </c>
      <c r="G157" s="65">
        <f t="shared" ref="G157:G163" si="25">H157/(J157*$J$40)</f>
        <v>6208</v>
      </c>
      <c r="H157" s="66">
        <f>VLOOKUP(C157,[1]TB!$B$3:$D$503,3,0)</f>
        <v>31040000</v>
      </c>
      <c r="I157" s="65">
        <f t="shared" ref="I157:I163" si="26">F157*G157</f>
        <v>2483.2000000000003</v>
      </c>
      <c r="J157" s="214">
        <f>VLOOKUP(C157,'[3]Ng.gia thiêtbi'!$B$3:$E$202,4,0)</f>
        <v>10</v>
      </c>
    </row>
    <row r="158" spans="1:10" ht="15.75">
      <c r="A158" s="218"/>
      <c r="B158" s="144">
        <v>3</v>
      </c>
      <c r="C158" s="2" t="s">
        <v>140</v>
      </c>
      <c r="D158" s="3" t="s">
        <v>15</v>
      </c>
      <c r="E158" s="3">
        <v>0.1</v>
      </c>
      <c r="F158" s="104">
        <v>0.2</v>
      </c>
      <c r="G158" s="65">
        <f t="shared" si="25"/>
        <v>126896</v>
      </c>
      <c r="H158" s="66">
        <f>VLOOKUP(C158,[1]TB!$B$3:$D$503,3,0)</f>
        <v>317240000</v>
      </c>
      <c r="I158" s="65">
        <f t="shared" si="26"/>
        <v>25379.200000000001</v>
      </c>
      <c r="J158" s="214">
        <f>VLOOKUP(C158,'[3]Ng.gia thiêtbi'!$B$3:$E$202,4,0)</f>
        <v>5</v>
      </c>
    </row>
    <row r="159" spans="1:10" ht="15.75">
      <c r="A159" s="218"/>
      <c r="B159" s="144">
        <v>4</v>
      </c>
      <c r="C159" s="2" t="s">
        <v>136</v>
      </c>
      <c r="D159" s="3" t="s">
        <v>39</v>
      </c>
      <c r="E159" s="34">
        <v>2.2999999999999998</v>
      </c>
      <c r="F159" s="104">
        <v>0.2</v>
      </c>
      <c r="G159" s="65">
        <f t="shared" si="25"/>
        <v>11340</v>
      </c>
      <c r="H159" s="66">
        <f>VLOOKUP(C159,[1]TB!$B$3:$D$503,3,0)</f>
        <v>28350000</v>
      </c>
      <c r="I159" s="65">
        <f t="shared" si="26"/>
        <v>2268</v>
      </c>
      <c r="J159" s="214">
        <f>VLOOKUP(C159,'[3]Ng.gia thiêtbi'!$B$3:$E$202,4,0)</f>
        <v>5</v>
      </c>
    </row>
    <row r="160" spans="1:10" ht="15.75">
      <c r="A160" s="218"/>
      <c r="B160" s="144">
        <v>5</v>
      </c>
      <c r="C160" s="132" t="s">
        <v>389</v>
      </c>
      <c r="D160" s="3" t="s">
        <v>15</v>
      </c>
      <c r="E160" s="34">
        <v>0.06</v>
      </c>
      <c r="F160" s="143">
        <v>0.2</v>
      </c>
      <c r="G160" s="65">
        <f t="shared" si="25"/>
        <v>12000</v>
      </c>
      <c r="H160" s="66">
        <f>VLOOKUP(C160,[1]TB!$B$3:$D$503,3,0)</f>
        <v>30000000</v>
      </c>
      <c r="I160" s="65">
        <f t="shared" si="26"/>
        <v>2400</v>
      </c>
      <c r="J160" s="214">
        <f>VLOOKUP(C160,'[3]Ng.gia thiêtbi'!$B$3:$E$202,4,0)</f>
        <v>5</v>
      </c>
    </row>
    <row r="161" spans="1:10" ht="15.75">
      <c r="A161" s="218"/>
      <c r="B161" s="144">
        <v>6</v>
      </c>
      <c r="C161" s="2" t="s">
        <v>284</v>
      </c>
      <c r="D161" s="3" t="s">
        <v>39</v>
      </c>
      <c r="E161" s="3">
        <v>3</v>
      </c>
      <c r="F161" s="143">
        <v>0.03</v>
      </c>
      <c r="G161" s="65">
        <f t="shared" si="25"/>
        <v>1116000</v>
      </c>
      <c r="H161" s="66">
        <f>VLOOKUP(C161,[1]TB!$B$3:$D$503,3,0)</f>
        <v>5580000000</v>
      </c>
      <c r="I161" s="65">
        <f t="shared" si="26"/>
        <v>33480</v>
      </c>
      <c r="J161" s="214">
        <f>VLOOKUP(C161,'[3]Ng.gia thiêtbi'!$B$3:$E$202,4,0)</f>
        <v>10</v>
      </c>
    </row>
    <row r="162" spans="1:10" ht="17.25" customHeight="1">
      <c r="A162" s="218"/>
      <c r="B162" s="144">
        <v>7</v>
      </c>
      <c r="C162" s="2" t="s">
        <v>142</v>
      </c>
      <c r="D162" s="3" t="s">
        <v>39</v>
      </c>
      <c r="E162" s="3">
        <v>0.18</v>
      </c>
      <c r="F162" s="104">
        <v>0.4</v>
      </c>
      <c r="G162" s="65">
        <f t="shared" si="25"/>
        <v>51660</v>
      </c>
      <c r="H162" s="66">
        <f>VLOOKUP(C162,[1]TB!$B$3:$D$503,3,0)</f>
        <v>129150000</v>
      </c>
      <c r="I162" s="65">
        <f t="shared" si="26"/>
        <v>20664</v>
      </c>
      <c r="J162" s="214">
        <f>VLOOKUP(C162,'[3]Ng.gia thiêtbi'!$B$3:$E$202,4,0)</f>
        <v>5</v>
      </c>
    </row>
    <row r="163" spans="1:10" ht="15.75">
      <c r="A163" s="218"/>
      <c r="B163" s="144">
        <v>8</v>
      </c>
      <c r="C163" s="2" t="s">
        <v>138</v>
      </c>
      <c r="D163" s="3" t="s">
        <v>15</v>
      </c>
      <c r="E163" s="34">
        <v>2.2000000000000002</v>
      </c>
      <c r="F163" s="104">
        <v>6.7000000000000004E-2</v>
      </c>
      <c r="G163" s="65">
        <f t="shared" si="25"/>
        <v>3800</v>
      </c>
      <c r="H163" s="66">
        <f>VLOOKUP(C163,[1]TB!$B$3:$D$503,3,0)</f>
        <v>9500000</v>
      </c>
      <c r="I163" s="65">
        <f t="shared" si="26"/>
        <v>254.60000000000002</v>
      </c>
      <c r="J163" s="214">
        <f>VLOOKUP(C163,'[3]Ng.gia thiêtbi'!$B$3:$E$202,4,0)</f>
        <v>5</v>
      </c>
    </row>
    <row r="164" spans="1:10" ht="15.75">
      <c r="A164" s="218"/>
      <c r="B164" s="144">
        <v>9</v>
      </c>
      <c r="C164" s="2" t="s">
        <v>43</v>
      </c>
      <c r="D164" s="3" t="s">
        <v>44</v>
      </c>
      <c r="E164" s="3"/>
      <c r="F164" s="143">
        <v>35.75</v>
      </c>
      <c r="G164" s="65"/>
      <c r="H164" s="66">
        <f>VLOOKUP(C164,[1]TB!$B$3:$D$503,3,0)</f>
        <v>1838</v>
      </c>
      <c r="I164" s="65">
        <f>H164*F164</f>
        <v>65708.5</v>
      </c>
      <c r="J164" s="214" t="e">
        <f>VLOOKUP(C164,'[3]Ng.gia thiêtbi'!$B$3:$E$202,4,0)</f>
        <v>#REF!</v>
      </c>
    </row>
  </sheetData>
  <autoFilter ref="A3:I164"/>
  <mergeCells count="40">
    <mergeCell ref="F32:H32"/>
    <mergeCell ref="F36:H36"/>
    <mergeCell ref="F37:H37"/>
    <mergeCell ref="F38:H38"/>
    <mergeCell ref="F39:H39"/>
    <mergeCell ref="F152:G152"/>
    <mergeCell ref="C152:D152"/>
    <mergeCell ref="F153:G153"/>
    <mergeCell ref="F154:G154"/>
    <mergeCell ref="C139:F139"/>
    <mergeCell ref="F151:G151"/>
    <mergeCell ref="C151:D151"/>
    <mergeCell ref="F31:H31"/>
    <mergeCell ref="G2:I2"/>
    <mergeCell ref="C131:F131"/>
    <mergeCell ref="C65:F65"/>
    <mergeCell ref="A1:H1"/>
    <mergeCell ref="B40:I40"/>
    <mergeCell ref="D83:G83"/>
    <mergeCell ref="B4:H4"/>
    <mergeCell ref="B5:G5"/>
    <mergeCell ref="C9:F9"/>
    <mergeCell ref="C18:G18"/>
    <mergeCell ref="C33:H33"/>
    <mergeCell ref="F21:H21"/>
    <mergeCell ref="F22:H22"/>
    <mergeCell ref="F23:H23"/>
    <mergeCell ref="F25:H25"/>
    <mergeCell ref="F24:H24"/>
    <mergeCell ref="F26:H26"/>
    <mergeCell ref="F28:H28"/>
    <mergeCell ref="F29:H29"/>
    <mergeCell ref="F30:H30"/>
    <mergeCell ref="F27:H27"/>
    <mergeCell ref="D129:F129"/>
    <mergeCell ref="D130:F130"/>
    <mergeCell ref="D104:F104"/>
    <mergeCell ref="D116:F116"/>
    <mergeCell ref="D127:F127"/>
    <mergeCell ref="D128:F1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sheetPr>
    <tabColor rgb="FFFF0000"/>
  </sheetPr>
  <dimension ref="A1:V59"/>
  <sheetViews>
    <sheetView zoomScale="80" zoomScaleNormal="80" workbookViewId="0">
      <selection activeCell="Q8" sqref="Q8"/>
    </sheetView>
  </sheetViews>
  <sheetFormatPr defaultRowHeight="15"/>
  <cols>
    <col min="1" max="1" width="4.5703125" style="88" customWidth="1"/>
    <col min="2" max="2" width="9.85546875" style="88" customWidth="1"/>
    <col min="3" max="3" width="34.42578125" style="89" customWidth="1"/>
    <col min="4" max="4" width="12.5703125" style="69" customWidth="1"/>
    <col min="5" max="5" width="12" style="69" customWidth="1"/>
    <col min="6" max="6" width="12.140625" style="69" customWidth="1"/>
    <col min="7" max="7" width="11.42578125" style="69" customWidth="1"/>
    <col min="8" max="8" width="12.140625" style="90" customWidth="1"/>
    <col min="9" max="9" width="12.28515625" style="68" customWidth="1"/>
    <col min="10" max="10" width="11" style="68" customWidth="1"/>
    <col min="11" max="11" width="14.7109375" style="71" customWidth="1"/>
    <col min="12" max="12" width="11.28515625" style="67" hidden="1" customWidth="1"/>
    <col min="13" max="13" width="0" style="68" hidden="1" customWidth="1"/>
    <col min="14" max="14" width="14.7109375" style="351" customWidth="1"/>
    <col min="15" max="15" width="13.85546875" style="351" customWidth="1"/>
    <col min="16" max="249" width="9.140625" style="69"/>
    <col min="250" max="250" width="4.5703125" style="69" customWidth="1"/>
    <col min="251" max="251" width="6.85546875" style="69" customWidth="1"/>
    <col min="252" max="252" width="38" style="69" customWidth="1"/>
    <col min="253" max="253" width="9.5703125" style="69" customWidth="1"/>
    <col min="254" max="254" width="0" style="69" hidden="1" customWidth="1"/>
    <col min="255" max="255" width="9.28515625" style="69" customWidth="1"/>
    <col min="256" max="256" width="9.42578125" style="69" customWidth="1"/>
    <col min="257" max="257" width="9.28515625" style="69" customWidth="1"/>
    <col min="258" max="258" width="10" style="69" customWidth="1"/>
    <col min="259" max="264" width="0" style="69" hidden="1" customWidth="1"/>
    <col min="265" max="265" width="12.28515625" style="69" customWidth="1"/>
    <col min="266" max="266" width="13.140625" style="69" customWidth="1"/>
    <col min="267" max="267" width="16.28515625" style="69" customWidth="1"/>
    <col min="268" max="269" width="0" style="69" hidden="1" customWidth="1"/>
    <col min="270" max="270" width="12" style="69" customWidth="1"/>
    <col min="271" max="505" width="9.140625" style="69"/>
    <col min="506" max="506" width="4.5703125" style="69" customWidth="1"/>
    <col min="507" max="507" width="6.85546875" style="69" customWidth="1"/>
    <col min="508" max="508" width="38" style="69" customWidth="1"/>
    <col min="509" max="509" width="9.5703125" style="69" customWidth="1"/>
    <col min="510" max="510" width="0" style="69" hidden="1" customWidth="1"/>
    <col min="511" max="511" width="9.28515625" style="69" customWidth="1"/>
    <col min="512" max="512" width="9.42578125" style="69" customWidth="1"/>
    <col min="513" max="513" width="9.28515625" style="69" customWidth="1"/>
    <col min="514" max="514" width="10" style="69" customWidth="1"/>
    <col min="515" max="520" width="0" style="69" hidden="1" customWidth="1"/>
    <col min="521" max="521" width="12.28515625" style="69" customWidth="1"/>
    <col min="522" max="522" width="13.140625" style="69" customWidth="1"/>
    <col min="523" max="523" width="16.28515625" style="69" customWidth="1"/>
    <col min="524" max="525" width="0" style="69" hidden="1" customWidth="1"/>
    <col min="526" max="526" width="12" style="69" customWidth="1"/>
    <col min="527" max="761" width="9.140625" style="69"/>
    <col min="762" max="762" width="4.5703125" style="69" customWidth="1"/>
    <col min="763" max="763" width="6.85546875" style="69" customWidth="1"/>
    <col min="764" max="764" width="38" style="69" customWidth="1"/>
    <col min="765" max="765" width="9.5703125" style="69" customWidth="1"/>
    <col min="766" max="766" width="0" style="69" hidden="1" customWidth="1"/>
    <col min="767" max="767" width="9.28515625" style="69" customWidth="1"/>
    <col min="768" max="768" width="9.42578125" style="69" customWidth="1"/>
    <col min="769" max="769" width="9.28515625" style="69" customWidth="1"/>
    <col min="770" max="770" width="10" style="69" customWidth="1"/>
    <col min="771" max="776" width="0" style="69" hidden="1" customWidth="1"/>
    <col min="777" max="777" width="12.28515625" style="69" customWidth="1"/>
    <col min="778" max="778" width="13.140625" style="69" customWidth="1"/>
    <col min="779" max="779" width="16.28515625" style="69" customWidth="1"/>
    <col min="780" max="781" width="0" style="69" hidden="1" customWidth="1"/>
    <col min="782" max="782" width="12" style="69" customWidth="1"/>
    <col min="783" max="1017" width="9.140625" style="69"/>
    <col min="1018" max="1018" width="4.5703125" style="69" customWidth="1"/>
    <col min="1019" max="1019" width="6.85546875" style="69" customWidth="1"/>
    <col min="1020" max="1020" width="38" style="69" customWidth="1"/>
    <col min="1021" max="1021" width="9.5703125" style="69" customWidth="1"/>
    <col min="1022" max="1022" width="0" style="69" hidden="1" customWidth="1"/>
    <col min="1023" max="1023" width="9.28515625" style="69" customWidth="1"/>
    <col min="1024" max="1024" width="9.42578125" style="69" customWidth="1"/>
    <col min="1025" max="1025" width="9.28515625" style="69" customWidth="1"/>
    <col min="1026" max="1026" width="10" style="69" customWidth="1"/>
    <col min="1027" max="1032" width="0" style="69" hidden="1" customWidth="1"/>
    <col min="1033" max="1033" width="12.28515625" style="69" customWidth="1"/>
    <col min="1034" max="1034" width="13.140625" style="69" customWidth="1"/>
    <col min="1035" max="1035" width="16.28515625" style="69" customWidth="1"/>
    <col min="1036" max="1037" width="0" style="69" hidden="1" customWidth="1"/>
    <col min="1038" max="1038" width="12" style="69" customWidth="1"/>
    <col min="1039" max="1273" width="9.140625" style="69"/>
    <col min="1274" max="1274" width="4.5703125" style="69" customWidth="1"/>
    <col min="1275" max="1275" width="6.85546875" style="69" customWidth="1"/>
    <col min="1276" max="1276" width="38" style="69" customWidth="1"/>
    <col min="1277" max="1277" width="9.5703125" style="69" customWidth="1"/>
    <col min="1278" max="1278" width="0" style="69" hidden="1" customWidth="1"/>
    <col min="1279" max="1279" width="9.28515625" style="69" customWidth="1"/>
    <col min="1280" max="1280" width="9.42578125" style="69" customWidth="1"/>
    <col min="1281" max="1281" width="9.28515625" style="69" customWidth="1"/>
    <col min="1282" max="1282" width="10" style="69" customWidth="1"/>
    <col min="1283" max="1288" width="0" style="69" hidden="1" customWidth="1"/>
    <col min="1289" max="1289" width="12.28515625" style="69" customWidth="1"/>
    <col min="1290" max="1290" width="13.140625" style="69" customWidth="1"/>
    <col min="1291" max="1291" width="16.28515625" style="69" customWidth="1"/>
    <col min="1292" max="1293" width="0" style="69" hidden="1" customWidth="1"/>
    <col min="1294" max="1294" width="12" style="69" customWidth="1"/>
    <col min="1295" max="1529" width="9.140625" style="69"/>
    <col min="1530" max="1530" width="4.5703125" style="69" customWidth="1"/>
    <col min="1531" max="1531" width="6.85546875" style="69" customWidth="1"/>
    <col min="1532" max="1532" width="38" style="69" customWidth="1"/>
    <col min="1533" max="1533" width="9.5703125" style="69" customWidth="1"/>
    <col min="1534" max="1534" width="0" style="69" hidden="1" customWidth="1"/>
    <col min="1535" max="1535" width="9.28515625" style="69" customWidth="1"/>
    <col min="1536" max="1536" width="9.42578125" style="69" customWidth="1"/>
    <col min="1537" max="1537" width="9.28515625" style="69" customWidth="1"/>
    <col min="1538" max="1538" width="10" style="69" customWidth="1"/>
    <col min="1539" max="1544" width="0" style="69" hidden="1" customWidth="1"/>
    <col min="1545" max="1545" width="12.28515625" style="69" customWidth="1"/>
    <col min="1546" max="1546" width="13.140625" style="69" customWidth="1"/>
    <col min="1547" max="1547" width="16.28515625" style="69" customWidth="1"/>
    <col min="1548" max="1549" width="0" style="69" hidden="1" customWidth="1"/>
    <col min="1550" max="1550" width="12" style="69" customWidth="1"/>
    <col min="1551" max="1785" width="9.140625" style="69"/>
    <col min="1786" max="1786" width="4.5703125" style="69" customWidth="1"/>
    <col min="1787" max="1787" width="6.85546875" style="69" customWidth="1"/>
    <col min="1788" max="1788" width="38" style="69" customWidth="1"/>
    <col min="1789" max="1789" width="9.5703125" style="69" customWidth="1"/>
    <col min="1790" max="1790" width="0" style="69" hidden="1" customWidth="1"/>
    <col min="1791" max="1791" width="9.28515625" style="69" customWidth="1"/>
    <col min="1792" max="1792" width="9.42578125" style="69" customWidth="1"/>
    <col min="1793" max="1793" width="9.28515625" style="69" customWidth="1"/>
    <col min="1794" max="1794" width="10" style="69" customWidth="1"/>
    <col min="1795" max="1800" width="0" style="69" hidden="1" customWidth="1"/>
    <col min="1801" max="1801" width="12.28515625" style="69" customWidth="1"/>
    <col min="1802" max="1802" width="13.140625" style="69" customWidth="1"/>
    <col min="1803" max="1803" width="16.28515625" style="69" customWidth="1"/>
    <col min="1804" max="1805" width="0" style="69" hidden="1" customWidth="1"/>
    <col min="1806" max="1806" width="12" style="69" customWidth="1"/>
    <col min="1807" max="2041" width="9.140625" style="69"/>
    <col min="2042" max="2042" width="4.5703125" style="69" customWidth="1"/>
    <col min="2043" max="2043" width="6.85546875" style="69" customWidth="1"/>
    <col min="2044" max="2044" width="38" style="69" customWidth="1"/>
    <col min="2045" max="2045" width="9.5703125" style="69" customWidth="1"/>
    <col min="2046" max="2046" width="0" style="69" hidden="1" customWidth="1"/>
    <col min="2047" max="2047" width="9.28515625" style="69" customWidth="1"/>
    <col min="2048" max="2048" width="9.42578125" style="69" customWidth="1"/>
    <col min="2049" max="2049" width="9.28515625" style="69" customWidth="1"/>
    <col min="2050" max="2050" width="10" style="69" customWidth="1"/>
    <col min="2051" max="2056" width="0" style="69" hidden="1" customWidth="1"/>
    <col min="2057" max="2057" width="12.28515625" style="69" customWidth="1"/>
    <col min="2058" max="2058" width="13.140625" style="69" customWidth="1"/>
    <col min="2059" max="2059" width="16.28515625" style="69" customWidth="1"/>
    <col min="2060" max="2061" width="0" style="69" hidden="1" customWidth="1"/>
    <col min="2062" max="2062" width="12" style="69" customWidth="1"/>
    <col min="2063" max="2297" width="9.140625" style="69"/>
    <col min="2298" max="2298" width="4.5703125" style="69" customWidth="1"/>
    <col min="2299" max="2299" width="6.85546875" style="69" customWidth="1"/>
    <col min="2300" max="2300" width="38" style="69" customWidth="1"/>
    <col min="2301" max="2301" width="9.5703125" style="69" customWidth="1"/>
    <col min="2302" max="2302" width="0" style="69" hidden="1" customWidth="1"/>
    <col min="2303" max="2303" width="9.28515625" style="69" customWidth="1"/>
    <col min="2304" max="2304" width="9.42578125" style="69" customWidth="1"/>
    <col min="2305" max="2305" width="9.28515625" style="69" customWidth="1"/>
    <col min="2306" max="2306" width="10" style="69" customWidth="1"/>
    <col min="2307" max="2312" width="0" style="69" hidden="1" customWidth="1"/>
    <col min="2313" max="2313" width="12.28515625" style="69" customWidth="1"/>
    <col min="2314" max="2314" width="13.140625" style="69" customWidth="1"/>
    <col min="2315" max="2315" width="16.28515625" style="69" customWidth="1"/>
    <col min="2316" max="2317" width="0" style="69" hidden="1" customWidth="1"/>
    <col min="2318" max="2318" width="12" style="69" customWidth="1"/>
    <col min="2319" max="2553" width="9.140625" style="69"/>
    <col min="2554" max="2554" width="4.5703125" style="69" customWidth="1"/>
    <col min="2555" max="2555" width="6.85546875" style="69" customWidth="1"/>
    <col min="2556" max="2556" width="38" style="69" customWidth="1"/>
    <col min="2557" max="2557" width="9.5703125" style="69" customWidth="1"/>
    <col min="2558" max="2558" width="0" style="69" hidden="1" customWidth="1"/>
    <col min="2559" max="2559" width="9.28515625" style="69" customWidth="1"/>
    <col min="2560" max="2560" width="9.42578125" style="69" customWidth="1"/>
    <col min="2561" max="2561" width="9.28515625" style="69" customWidth="1"/>
    <col min="2562" max="2562" width="10" style="69" customWidth="1"/>
    <col min="2563" max="2568" width="0" style="69" hidden="1" customWidth="1"/>
    <col min="2569" max="2569" width="12.28515625" style="69" customWidth="1"/>
    <col min="2570" max="2570" width="13.140625" style="69" customWidth="1"/>
    <col min="2571" max="2571" width="16.28515625" style="69" customWidth="1"/>
    <col min="2572" max="2573" width="0" style="69" hidden="1" customWidth="1"/>
    <col min="2574" max="2574" width="12" style="69" customWidth="1"/>
    <col min="2575" max="2809" width="9.140625" style="69"/>
    <col min="2810" max="2810" width="4.5703125" style="69" customWidth="1"/>
    <col min="2811" max="2811" width="6.85546875" style="69" customWidth="1"/>
    <col min="2812" max="2812" width="38" style="69" customWidth="1"/>
    <col min="2813" max="2813" width="9.5703125" style="69" customWidth="1"/>
    <col min="2814" max="2814" width="0" style="69" hidden="1" customWidth="1"/>
    <col min="2815" max="2815" width="9.28515625" style="69" customWidth="1"/>
    <col min="2816" max="2816" width="9.42578125" style="69" customWidth="1"/>
    <col min="2817" max="2817" width="9.28515625" style="69" customWidth="1"/>
    <col min="2818" max="2818" width="10" style="69" customWidth="1"/>
    <col min="2819" max="2824" width="0" style="69" hidden="1" customWidth="1"/>
    <col min="2825" max="2825" width="12.28515625" style="69" customWidth="1"/>
    <col min="2826" max="2826" width="13.140625" style="69" customWidth="1"/>
    <col min="2827" max="2827" width="16.28515625" style="69" customWidth="1"/>
    <col min="2828" max="2829" width="0" style="69" hidden="1" customWidth="1"/>
    <col min="2830" max="2830" width="12" style="69" customWidth="1"/>
    <col min="2831" max="3065" width="9.140625" style="69"/>
    <col min="3066" max="3066" width="4.5703125" style="69" customWidth="1"/>
    <col min="3067" max="3067" width="6.85546875" style="69" customWidth="1"/>
    <col min="3068" max="3068" width="38" style="69" customWidth="1"/>
    <col min="3069" max="3069" width="9.5703125" style="69" customWidth="1"/>
    <col min="3070" max="3070" width="0" style="69" hidden="1" customWidth="1"/>
    <col min="3071" max="3071" width="9.28515625" style="69" customWidth="1"/>
    <col min="3072" max="3072" width="9.42578125" style="69" customWidth="1"/>
    <col min="3073" max="3073" width="9.28515625" style="69" customWidth="1"/>
    <col min="3074" max="3074" width="10" style="69" customWidth="1"/>
    <col min="3075" max="3080" width="0" style="69" hidden="1" customWidth="1"/>
    <col min="3081" max="3081" width="12.28515625" style="69" customWidth="1"/>
    <col min="3082" max="3082" width="13.140625" style="69" customWidth="1"/>
    <col min="3083" max="3083" width="16.28515625" style="69" customWidth="1"/>
    <col min="3084" max="3085" width="0" style="69" hidden="1" customWidth="1"/>
    <col min="3086" max="3086" width="12" style="69" customWidth="1"/>
    <col min="3087" max="3321" width="9.140625" style="69"/>
    <col min="3322" max="3322" width="4.5703125" style="69" customWidth="1"/>
    <col min="3323" max="3323" width="6.85546875" style="69" customWidth="1"/>
    <col min="3324" max="3324" width="38" style="69" customWidth="1"/>
    <col min="3325" max="3325" width="9.5703125" style="69" customWidth="1"/>
    <col min="3326" max="3326" width="0" style="69" hidden="1" customWidth="1"/>
    <col min="3327" max="3327" width="9.28515625" style="69" customWidth="1"/>
    <col min="3328" max="3328" width="9.42578125" style="69" customWidth="1"/>
    <col min="3329" max="3329" width="9.28515625" style="69" customWidth="1"/>
    <col min="3330" max="3330" width="10" style="69" customWidth="1"/>
    <col min="3331" max="3336" width="0" style="69" hidden="1" customWidth="1"/>
    <col min="3337" max="3337" width="12.28515625" style="69" customWidth="1"/>
    <col min="3338" max="3338" width="13.140625" style="69" customWidth="1"/>
    <col min="3339" max="3339" width="16.28515625" style="69" customWidth="1"/>
    <col min="3340" max="3341" width="0" style="69" hidden="1" customWidth="1"/>
    <col min="3342" max="3342" width="12" style="69" customWidth="1"/>
    <col min="3343" max="3577" width="9.140625" style="69"/>
    <col min="3578" max="3578" width="4.5703125" style="69" customWidth="1"/>
    <col min="3579" max="3579" width="6.85546875" style="69" customWidth="1"/>
    <col min="3580" max="3580" width="38" style="69" customWidth="1"/>
    <col min="3581" max="3581" width="9.5703125" style="69" customWidth="1"/>
    <col min="3582" max="3582" width="0" style="69" hidden="1" customWidth="1"/>
    <col min="3583" max="3583" width="9.28515625" style="69" customWidth="1"/>
    <col min="3584" max="3584" width="9.42578125" style="69" customWidth="1"/>
    <col min="3585" max="3585" width="9.28515625" style="69" customWidth="1"/>
    <col min="3586" max="3586" width="10" style="69" customWidth="1"/>
    <col min="3587" max="3592" width="0" style="69" hidden="1" customWidth="1"/>
    <col min="3593" max="3593" width="12.28515625" style="69" customWidth="1"/>
    <col min="3594" max="3594" width="13.140625" style="69" customWidth="1"/>
    <col min="3595" max="3595" width="16.28515625" style="69" customWidth="1"/>
    <col min="3596" max="3597" width="0" style="69" hidden="1" customWidth="1"/>
    <col min="3598" max="3598" width="12" style="69" customWidth="1"/>
    <col min="3599" max="3833" width="9.140625" style="69"/>
    <col min="3834" max="3834" width="4.5703125" style="69" customWidth="1"/>
    <col min="3835" max="3835" width="6.85546875" style="69" customWidth="1"/>
    <col min="3836" max="3836" width="38" style="69" customWidth="1"/>
    <col min="3837" max="3837" width="9.5703125" style="69" customWidth="1"/>
    <col min="3838" max="3838" width="0" style="69" hidden="1" customWidth="1"/>
    <col min="3839" max="3839" width="9.28515625" style="69" customWidth="1"/>
    <col min="3840" max="3840" width="9.42578125" style="69" customWidth="1"/>
    <col min="3841" max="3841" width="9.28515625" style="69" customWidth="1"/>
    <col min="3842" max="3842" width="10" style="69" customWidth="1"/>
    <col min="3843" max="3848" width="0" style="69" hidden="1" customWidth="1"/>
    <col min="3849" max="3849" width="12.28515625" style="69" customWidth="1"/>
    <col min="3850" max="3850" width="13.140625" style="69" customWidth="1"/>
    <col min="3851" max="3851" width="16.28515625" style="69" customWidth="1"/>
    <col min="3852" max="3853" width="0" style="69" hidden="1" customWidth="1"/>
    <col min="3854" max="3854" width="12" style="69" customWidth="1"/>
    <col min="3855" max="4089" width="9.140625" style="69"/>
    <col min="4090" max="4090" width="4.5703125" style="69" customWidth="1"/>
    <col min="4091" max="4091" width="6.85546875" style="69" customWidth="1"/>
    <col min="4092" max="4092" width="38" style="69" customWidth="1"/>
    <col min="4093" max="4093" width="9.5703125" style="69" customWidth="1"/>
    <col min="4094" max="4094" width="0" style="69" hidden="1" customWidth="1"/>
    <col min="4095" max="4095" width="9.28515625" style="69" customWidth="1"/>
    <col min="4096" max="4096" width="9.42578125" style="69" customWidth="1"/>
    <col min="4097" max="4097" width="9.28515625" style="69" customWidth="1"/>
    <col min="4098" max="4098" width="10" style="69" customWidth="1"/>
    <col min="4099" max="4104" width="0" style="69" hidden="1" customWidth="1"/>
    <col min="4105" max="4105" width="12.28515625" style="69" customWidth="1"/>
    <col min="4106" max="4106" width="13.140625" style="69" customWidth="1"/>
    <col min="4107" max="4107" width="16.28515625" style="69" customWidth="1"/>
    <col min="4108" max="4109" width="0" style="69" hidden="1" customWidth="1"/>
    <col min="4110" max="4110" width="12" style="69" customWidth="1"/>
    <col min="4111" max="4345" width="9.140625" style="69"/>
    <col min="4346" max="4346" width="4.5703125" style="69" customWidth="1"/>
    <col min="4347" max="4347" width="6.85546875" style="69" customWidth="1"/>
    <col min="4348" max="4348" width="38" style="69" customWidth="1"/>
    <col min="4349" max="4349" width="9.5703125" style="69" customWidth="1"/>
    <col min="4350" max="4350" width="0" style="69" hidden="1" customWidth="1"/>
    <col min="4351" max="4351" width="9.28515625" style="69" customWidth="1"/>
    <col min="4352" max="4352" width="9.42578125" style="69" customWidth="1"/>
    <col min="4353" max="4353" width="9.28515625" style="69" customWidth="1"/>
    <col min="4354" max="4354" width="10" style="69" customWidth="1"/>
    <col min="4355" max="4360" width="0" style="69" hidden="1" customWidth="1"/>
    <col min="4361" max="4361" width="12.28515625" style="69" customWidth="1"/>
    <col min="4362" max="4362" width="13.140625" style="69" customWidth="1"/>
    <col min="4363" max="4363" width="16.28515625" style="69" customWidth="1"/>
    <col min="4364" max="4365" width="0" style="69" hidden="1" customWidth="1"/>
    <col min="4366" max="4366" width="12" style="69" customWidth="1"/>
    <col min="4367" max="4601" width="9.140625" style="69"/>
    <col min="4602" max="4602" width="4.5703125" style="69" customWidth="1"/>
    <col min="4603" max="4603" width="6.85546875" style="69" customWidth="1"/>
    <col min="4604" max="4604" width="38" style="69" customWidth="1"/>
    <col min="4605" max="4605" width="9.5703125" style="69" customWidth="1"/>
    <col min="4606" max="4606" width="0" style="69" hidden="1" customWidth="1"/>
    <col min="4607" max="4607" width="9.28515625" style="69" customWidth="1"/>
    <col min="4608" max="4608" width="9.42578125" style="69" customWidth="1"/>
    <col min="4609" max="4609" width="9.28515625" style="69" customWidth="1"/>
    <col min="4610" max="4610" width="10" style="69" customWidth="1"/>
    <col min="4611" max="4616" width="0" style="69" hidden="1" customWidth="1"/>
    <col min="4617" max="4617" width="12.28515625" style="69" customWidth="1"/>
    <col min="4618" max="4618" width="13.140625" style="69" customWidth="1"/>
    <col min="4619" max="4619" width="16.28515625" style="69" customWidth="1"/>
    <col min="4620" max="4621" width="0" style="69" hidden="1" customWidth="1"/>
    <col min="4622" max="4622" width="12" style="69" customWidth="1"/>
    <col min="4623" max="4857" width="9.140625" style="69"/>
    <col min="4858" max="4858" width="4.5703125" style="69" customWidth="1"/>
    <col min="4859" max="4859" width="6.85546875" style="69" customWidth="1"/>
    <col min="4860" max="4860" width="38" style="69" customWidth="1"/>
    <col min="4861" max="4861" width="9.5703125" style="69" customWidth="1"/>
    <col min="4862" max="4862" width="0" style="69" hidden="1" customWidth="1"/>
    <col min="4863" max="4863" width="9.28515625" style="69" customWidth="1"/>
    <col min="4864" max="4864" width="9.42578125" style="69" customWidth="1"/>
    <col min="4865" max="4865" width="9.28515625" style="69" customWidth="1"/>
    <col min="4866" max="4866" width="10" style="69" customWidth="1"/>
    <col min="4867" max="4872" width="0" style="69" hidden="1" customWidth="1"/>
    <col min="4873" max="4873" width="12.28515625" style="69" customWidth="1"/>
    <col min="4874" max="4874" width="13.140625" style="69" customWidth="1"/>
    <col min="4875" max="4875" width="16.28515625" style="69" customWidth="1"/>
    <col min="4876" max="4877" width="0" style="69" hidden="1" customWidth="1"/>
    <col min="4878" max="4878" width="12" style="69" customWidth="1"/>
    <col min="4879" max="5113" width="9.140625" style="69"/>
    <col min="5114" max="5114" width="4.5703125" style="69" customWidth="1"/>
    <col min="5115" max="5115" width="6.85546875" style="69" customWidth="1"/>
    <col min="5116" max="5116" width="38" style="69" customWidth="1"/>
    <col min="5117" max="5117" width="9.5703125" style="69" customWidth="1"/>
    <col min="5118" max="5118" width="0" style="69" hidden="1" customWidth="1"/>
    <col min="5119" max="5119" width="9.28515625" style="69" customWidth="1"/>
    <col min="5120" max="5120" width="9.42578125" style="69" customWidth="1"/>
    <col min="5121" max="5121" width="9.28515625" style="69" customWidth="1"/>
    <col min="5122" max="5122" width="10" style="69" customWidth="1"/>
    <col min="5123" max="5128" width="0" style="69" hidden="1" customWidth="1"/>
    <col min="5129" max="5129" width="12.28515625" style="69" customWidth="1"/>
    <col min="5130" max="5130" width="13.140625" style="69" customWidth="1"/>
    <col min="5131" max="5131" width="16.28515625" style="69" customWidth="1"/>
    <col min="5132" max="5133" width="0" style="69" hidden="1" customWidth="1"/>
    <col min="5134" max="5134" width="12" style="69" customWidth="1"/>
    <col min="5135" max="5369" width="9.140625" style="69"/>
    <col min="5370" max="5370" width="4.5703125" style="69" customWidth="1"/>
    <col min="5371" max="5371" width="6.85546875" style="69" customWidth="1"/>
    <col min="5372" max="5372" width="38" style="69" customWidth="1"/>
    <col min="5373" max="5373" width="9.5703125" style="69" customWidth="1"/>
    <col min="5374" max="5374" width="0" style="69" hidden="1" customWidth="1"/>
    <col min="5375" max="5375" width="9.28515625" style="69" customWidth="1"/>
    <col min="5376" max="5376" width="9.42578125" style="69" customWidth="1"/>
    <col min="5377" max="5377" width="9.28515625" style="69" customWidth="1"/>
    <col min="5378" max="5378" width="10" style="69" customWidth="1"/>
    <col min="5379" max="5384" width="0" style="69" hidden="1" customWidth="1"/>
    <col min="5385" max="5385" width="12.28515625" style="69" customWidth="1"/>
    <col min="5386" max="5386" width="13.140625" style="69" customWidth="1"/>
    <col min="5387" max="5387" width="16.28515625" style="69" customWidth="1"/>
    <col min="5388" max="5389" width="0" style="69" hidden="1" customWidth="1"/>
    <col min="5390" max="5390" width="12" style="69" customWidth="1"/>
    <col min="5391" max="5625" width="9.140625" style="69"/>
    <col min="5626" max="5626" width="4.5703125" style="69" customWidth="1"/>
    <col min="5627" max="5627" width="6.85546875" style="69" customWidth="1"/>
    <col min="5628" max="5628" width="38" style="69" customWidth="1"/>
    <col min="5629" max="5629" width="9.5703125" style="69" customWidth="1"/>
    <col min="5630" max="5630" width="0" style="69" hidden="1" customWidth="1"/>
    <col min="5631" max="5631" width="9.28515625" style="69" customWidth="1"/>
    <col min="5632" max="5632" width="9.42578125" style="69" customWidth="1"/>
    <col min="5633" max="5633" width="9.28515625" style="69" customWidth="1"/>
    <col min="5634" max="5634" width="10" style="69" customWidth="1"/>
    <col min="5635" max="5640" width="0" style="69" hidden="1" customWidth="1"/>
    <col min="5641" max="5641" width="12.28515625" style="69" customWidth="1"/>
    <col min="5642" max="5642" width="13.140625" style="69" customWidth="1"/>
    <col min="5643" max="5643" width="16.28515625" style="69" customWidth="1"/>
    <col min="5644" max="5645" width="0" style="69" hidden="1" customWidth="1"/>
    <col min="5646" max="5646" width="12" style="69" customWidth="1"/>
    <col min="5647" max="5881" width="9.140625" style="69"/>
    <col min="5882" max="5882" width="4.5703125" style="69" customWidth="1"/>
    <col min="5883" max="5883" width="6.85546875" style="69" customWidth="1"/>
    <col min="5884" max="5884" width="38" style="69" customWidth="1"/>
    <col min="5885" max="5885" width="9.5703125" style="69" customWidth="1"/>
    <col min="5886" max="5886" width="0" style="69" hidden="1" customWidth="1"/>
    <col min="5887" max="5887" width="9.28515625" style="69" customWidth="1"/>
    <col min="5888" max="5888" width="9.42578125" style="69" customWidth="1"/>
    <col min="5889" max="5889" width="9.28515625" style="69" customWidth="1"/>
    <col min="5890" max="5890" width="10" style="69" customWidth="1"/>
    <col min="5891" max="5896" width="0" style="69" hidden="1" customWidth="1"/>
    <col min="5897" max="5897" width="12.28515625" style="69" customWidth="1"/>
    <col min="5898" max="5898" width="13.140625" style="69" customWidth="1"/>
    <col min="5899" max="5899" width="16.28515625" style="69" customWidth="1"/>
    <col min="5900" max="5901" width="0" style="69" hidden="1" customWidth="1"/>
    <col min="5902" max="5902" width="12" style="69" customWidth="1"/>
    <col min="5903" max="6137" width="9.140625" style="69"/>
    <col min="6138" max="6138" width="4.5703125" style="69" customWidth="1"/>
    <col min="6139" max="6139" width="6.85546875" style="69" customWidth="1"/>
    <col min="6140" max="6140" width="38" style="69" customWidth="1"/>
    <col min="6141" max="6141" width="9.5703125" style="69" customWidth="1"/>
    <col min="6142" max="6142" width="0" style="69" hidden="1" customWidth="1"/>
    <col min="6143" max="6143" width="9.28515625" style="69" customWidth="1"/>
    <col min="6144" max="6144" width="9.42578125" style="69" customWidth="1"/>
    <col min="6145" max="6145" width="9.28515625" style="69" customWidth="1"/>
    <col min="6146" max="6146" width="10" style="69" customWidth="1"/>
    <col min="6147" max="6152" width="0" style="69" hidden="1" customWidth="1"/>
    <col min="6153" max="6153" width="12.28515625" style="69" customWidth="1"/>
    <col min="6154" max="6154" width="13.140625" style="69" customWidth="1"/>
    <col min="6155" max="6155" width="16.28515625" style="69" customWidth="1"/>
    <col min="6156" max="6157" width="0" style="69" hidden="1" customWidth="1"/>
    <col min="6158" max="6158" width="12" style="69" customWidth="1"/>
    <col min="6159" max="6393" width="9.140625" style="69"/>
    <col min="6394" max="6394" width="4.5703125" style="69" customWidth="1"/>
    <col min="6395" max="6395" width="6.85546875" style="69" customWidth="1"/>
    <col min="6396" max="6396" width="38" style="69" customWidth="1"/>
    <col min="6397" max="6397" width="9.5703125" style="69" customWidth="1"/>
    <col min="6398" max="6398" width="0" style="69" hidden="1" customWidth="1"/>
    <col min="6399" max="6399" width="9.28515625" style="69" customWidth="1"/>
    <col min="6400" max="6400" width="9.42578125" style="69" customWidth="1"/>
    <col min="6401" max="6401" width="9.28515625" style="69" customWidth="1"/>
    <col min="6402" max="6402" width="10" style="69" customWidth="1"/>
    <col min="6403" max="6408" width="0" style="69" hidden="1" customWidth="1"/>
    <col min="6409" max="6409" width="12.28515625" style="69" customWidth="1"/>
    <col min="6410" max="6410" width="13.140625" style="69" customWidth="1"/>
    <col min="6411" max="6411" width="16.28515625" style="69" customWidth="1"/>
    <col min="6412" max="6413" width="0" style="69" hidden="1" customWidth="1"/>
    <col min="6414" max="6414" width="12" style="69" customWidth="1"/>
    <col min="6415" max="6649" width="9.140625" style="69"/>
    <col min="6650" max="6650" width="4.5703125" style="69" customWidth="1"/>
    <col min="6651" max="6651" width="6.85546875" style="69" customWidth="1"/>
    <col min="6652" max="6652" width="38" style="69" customWidth="1"/>
    <col min="6653" max="6653" width="9.5703125" style="69" customWidth="1"/>
    <col min="6654" max="6654" width="0" style="69" hidden="1" customWidth="1"/>
    <col min="6655" max="6655" width="9.28515625" style="69" customWidth="1"/>
    <col min="6656" max="6656" width="9.42578125" style="69" customWidth="1"/>
    <col min="6657" max="6657" width="9.28515625" style="69" customWidth="1"/>
    <col min="6658" max="6658" width="10" style="69" customWidth="1"/>
    <col min="6659" max="6664" width="0" style="69" hidden="1" customWidth="1"/>
    <col min="6665" max="6665" width="12.28515625" style="69" customWidth="1"/>
    <col min="6666" max="6666" width="13.140625" style="69" customWidth="1"/>
    <col min="6667" max="6667" width="16.28515625" style="69" customWidth="1"/>
    <col min="6668" max="6669" width="0" style="69" hidden="1" customWidth="1"/>
    <col min="6670" max="6670" width="12" style="69" customWidth="1"/>
    <col min="6671" max="6905" width="9.140625" style="69"/>
    <col min="6906" max="6906" width="4.5703125" style="69" customWidth="1"/>
    <col min="6907" max="6907" width="6.85546875" style="69" customWidth="1"/>
    <col min="6908" max="6908" width="38" style="69" customWidth="1"/>
    <col min="6909" max="6909" width="9.5703125" style="69" customWidth="1"/>
    <col min="6910" max="6910" width="0" style="69" hidden="1" customWidth="1"/>
    <col min="6911" max="6911" width="9.28515625" style="69" customWidth="1"/>
    <col min="6912" max="6912" width="9.42578125" style="69" customWidth="1"/>
    <col min="6913" max="6913" width="9.28515625" style="69" customWidth="1"/>
    <col min="6914" max="6914" width="10" style="69" customWidth="1"/>
    <col min="6915" max="6920" width="0" style="69" hidden="1" customWidth="1"/>
    <col min="6921" max="6921" width="12.28515625" style="69" customWidth="1"/>
    <col min="6922" max="6922" width="13.140625" style="69" customWidth="1"/>
    <col min="6923" max="6923" width="16.28515625" style="69" customWidth="1"/>
    <col min="6924" max="6925" width="0" style="69" hidden="1" customWidth="1"/>
    <col min="6926" max="6926" width="12" style="69" customWidth="1"/>
    <col min="6927" max="7161" width="9.140625" style="69"/>
    <col min="7162" max="7162" width="4.5703125" style="69" customWidth="1"/>
    <col min="7163" max="7163" width="6.85546875" style="69" customWidth="1"/>
    <col min="7164" max="7164" width="38" style="69" customWidth="1"/>
    <col min="7165" max="7165" width="9.5703125" style="69" customWidth="1"/>
    <col min="7166" max="7166" width="0" style="69" hidden="1" customWidth="1"/>
    <col min="7167" max="7167" width="9.28515625" style="69" customWidth="1"/>
    <col min="7168" max="7168" width="9.42578125" style="69" customWidth="1"/>
    <col min="7169" max="7169" width="9.28515625" style="69" customWidth="1"/>
    <col min="7170" max="7170" width="10" style="69" customWidth="1"/>
    <col min="7171" max="7176" width="0" style="69" hidden="1" customWidth="1"/>
    <col min="7177" max="7177" width="12.28515625" style="69" customWidth="1"/>
    <col min="7178" max="7178" width="13.140625" style="69" customWidth="1"/>
    <col min="7179" max="7179" width="16.28515625" style="69" customWidth="1"/>
    <col min="7180" max="7181" width="0" style="69" hidden="1" customWidth="1"/>
    <col min="7182" max="7182" width="12" style="69" customWidth="1"/>
    <col min="7183" max="7417" width="9.140625" style="69"/>
    <col min="7418" max="7418" width="4.5703125" style="69" customWidth="1"/>
    <col min="7419" max="7419" width="6.85546875" style="69" customWidth="1"/>
    <col min="7420" max="7420" width="38" style="69" customWidth="1"/>
    <col min="7421" max="7421" width="9.5703125" style="69" customWidth="1"/>
    <col min="7422" max="7422" width="0" style="69" hidden="1" customWidth="1"/>
    <col min="7423" max="7423" width="9.28515625" style="69" customWidth="1"/>
    <col min="7424" max="7424" width="9.42578125" style="69" customWidth="1"/>
    <col min="7425" max="7425" width="9.28515625" style="69" customWidth="1"/>
    <col min="7426" max="7426" width="10" style="69" customWidth="1"/>
    <col min="7427" max="7432" width="0" style="69" hidden="1" customWidth="1"/>
    <col min="7433" max="7433" width="12.28515625" style="69" customWidth="1"/>
    <col min="7434" max="7434" width="13.140625" style="69" customWidth="1"/>
    <col min="7435" max="7435" width="16.28515625" style="69" customWidth="1"/>
    <col min="7436" max="7437" width="0" style="69" hidden="1" customWidth="1"/>
    <col min="7438" max="7438" width="12" style="69" customWidth="1"/>
    <col min="7439" max="7673" width="9.140625" style="69"/>
    <col min="7674" max="7674" width="4.5703125" style="69" customWidth="1"/>
    <col min="7675" max="7675" width="6.85546875" style="69" customWidth="1"/>
    <col min="7676" max="7676" width="38" style="69" customWidth="1"/>
    <col min="7677" max="7677" width="9.5703125" style="69" customWidth="1"/>
    <col min="7678" max="7678" width="0" style="69" hidden="1" customWidth="1"/>
    <col min="7679" max="7679" width="9.28515625" style="69" customWidth="1"/>
    <col min="7680" max="7680" width="9.42578125" style="69" customWidth="1"/>
    <col min="7681" max="7681" width="9.28515625" style="69" customWidth="1"/>
    <col min="7682" max="7682" width="10" style="69" customWidth="1"/>
    <col min="7683" max="7688" width="0" style="69" hidden="1" customWidth="1"/>
    <col min="7689" max="7689" width="12.28515625" style="69" customWidth="1"/>
    <col min="7690" max="7690" width="13.140625" style="69" customWidth="1"/>
    <col min="7691" max="7691" width="16.28515625" style="69" customWidth="1"/>
    <col min="7692" max="7693" width="0" style="69" hidden="1" customWidth="1"/>
    <col min="7694" max="7694" width="12" style="69" customWidth="1"/>
    <col min="7695" max="7929" width="9.140625" style="69"/>
    <col min="7930" max="7930" width="4.5703125" style="69" customWidth="1"/>
    <col min="7931" max="7931" width="6.85546875" style="69" customWidth="1"/>
    <col min="7932" max="7932" width="38" style="69" customWidth="1"/>
    <col min="7933" max="7933" width="9.5703125" style="69" customWidth="1"/>
    <col min="7934" max="7934" width="0" style="69" hidden="1" customWidth="1"/>
    <col min="7935" max="7935" width="9.28515625" style="69" customWidth="1"/>
    <col min="7936" max="7936" width="9.42578125" style="69" customWidth="1"/>
    <col min="7937" max="7937" width="9.28515625" style="69" customWidth="1"/>
    <col min="7938" max="7938" width="10" style="69" customWidth="1"/>
    <col min="7939" max="7944" width="0" style="69" hidden="1" customWidth="1"/>
    <col min="7945" max="7945" width="12.28515625" style="69" customWidth="1"/>
    <col min="7946" max="7946" width="13.140625" style="69" customWidth="1"/>
    <col min="7947" max="7947" width="16.28515625" style="69" customWidth="1"/>
    <col min="7948" max="7949" width="0" style="69" hidden="1" customWidth="1"/>
    <col min="7950" max="7950" width="12" style="69" customWidth="1"/>
    <col min="7951" max="8185" width="9.140625" style="69"/>
    <col min="8186" max="8186" width="4.5703125" style="69" customWidth="1"/>
    <col min="8187" max="8187" width="6.85546875" style="69" customWidth="1"/>
    <col min="8188" max="8188" width="38" style="69" customWidth="1"/>
    <col min="8189" max="8189" width="9.5703125" style="69" customWidth="1"/>
    <col min="8190" max="8190" width="0" style="69" hidden="1" customWidth="1"/>
    <col min="8191" max="8191" width="9.28515625" style="69" customWidth="1"/>
    <col min="8192" max="8192" width="9.42578125" style="69" customWidth="1"/>
    <col min="8193" max="8193" width="9.28515625" style="69" customWidth="1"/>
    <col min="8194" max="8194" width="10" style="69" customWidth="1"/>
    <col min="8195" max="8200" width="0" style="69" hidden="1" customWidth="1"/>
    <col min="8201" max="8201" width="12.28515625" style="69" customWidth="1"/>
    <col min="8202" max="8202" width="13.140625" style="69" customWidth="1"/>
    <col min="8203" max="8203" width="16.28515625" style="69" customWidth="1"/>
    <col min="8204" max="8205" width="0" style="69" hidden="1" customWidth="1"/>
    <col min="8206" max="8206" width="12" style="69" customWidth="1"/>
    <col min="8207" max="8441" width="9.140625" style="69"/>
    <col min="8442" max="8442" width="4.5703125" style="69" customWidth="1"/>
    <col min="8443" max="8443" width="6.85546875" style="69" customWidth="1"/>
    <col min="8444" max="8444" width="38" style="69" customWidth="1"/>
    <col min="8445" max="8445" width="9.5703125" style="69" customWidth="1"/>
    <col min="8446" max="8446" width="0" style="69" hidden="1" customWidth="1"/>
    <col min="8447" max="8447" width="9.28515625" style="69" customWidth="1"/>
    <col min="8448" max="8448" width="9.42578125" style="69" customWidth="1"/>
    <col min="8449" max="8449" width="9.28515625" style="69" customWidth="1"/>
    <col min="8450" max="8450" width="10" style="69" customWidth="1"/>
    <col min="8451" max="8456" width="0" style="69" hidden="1" customWidth="1"/>
    <col min="8457" max="8457" width="12.28515625" style="69" customWidth="1"/>
    <col min="8458" max="8458" width="13.140625" style="69" customWidth="1"/>
    <col min="8459" max="8459" width="16.28515625" style="69" customWidth="1"/>
    <col min="8460" max="8461" width="0" style="69" hidden="1" customWidth="1"/>
    <col min="8462" max="8462" width="12" style="69" customWidth="1"/>
    <col min="8463" max="8697" width="9.140625" style="69"/>
    <col min="8698" max="8698" width="4.5703125" style="69" customWidth="1"/>
    <col min="8699" max="8699" width="6.85546875" style="69" customWidth="1"/>
    <col min="8700" max="8700" width="38" style="69" customWidth="1"/>
    <col min="8701" max="8701" width="9.5703125" style="69" customWidth="1"/>
    <col min="8702" max="8702" width="0" style="69" hidden="1" customWidth="1"/>
    <col min="8703" max="8703" width="9.28515625" style="69" customWidth="1"/>
    <col min="8704" max="8704" width="9.42578125" style="69" customWidth="1"/>
    <col min="8705" max="8705" width="9.28515625" style="69" customWidth="1"/>
    <col min="8706" max="8706" width="10" style="69" customWidth="1"/>
    <col min="8707" max="8712" width="0" style="69" hidden="1" customWidth="1"/>
    <col min="8713" max="8713" width="12.28515625" style="69" customWidth="1"/>
    <col min="8714" max="8714" width="13.140625" style="69" customWidth="1"/>
    <col min="8715" max="8715" width="16.28515625" style="69" customWidth="1"/>
    <col min="8716" max="8717" width="0" style="69" hidden="1" customWidth="1"/>
    <col min="8718" max="8718" width="12" style="69" customWidth="1"/>
    <col min="8719" max="8953" width="9.140625" style="69"/>
    <col min="8954" max="8954" width="4.5703125" style="69" customWidth="1"/>
    <col min="8955" max="8955" width="6.85546875" style="69" customWidth="1"/>
    <col min="8956" max="8956" width="38" style="69" customWidth="1"/>
    <col min="8957" max="8957" width="9.5703125" style="69" customWidth="1"/>
    <col min="8958" max="8958" width="0" style="69" hidden="1" customWidth="1"/>
    <col min="8959" max="8959" width="9.28515625" style="69" customWidth="1"/>
    <col min="8960" max="8960" width="9.42578125" style="69" customWidth="1"/>
    <col min="8961" max="8961" width="9.28515625" style="69" customWidth="1"/>
    <col min="8962" max="8962" width="10" style="69" customWidth="1"/>
    <col min="8963" max="8968" width="0" style="69" hidden="1" customWidth="1"/>
    <col min="8969" max="8969" width="12.28515625" style="69" customWidth="1"/>
    <col min="8970" max="8970" width="13.140625" style="69" customWidth="1"/>
    <col min="8971" max="8971" width="16.28515625" style="69" customWidth="1"/>
    <col min="8972" max="8973" width="0" style="69" hidden="1" customWidth="1"/>
    <col min="8974" max="8974" width="12" style="69" customWidth="1"/>
    <col min="8975" max="9209" width="9.140625" style="69"/>
    <col min="9210" max="9210" width="4.5703125" style="69" customWidth="1"/>
    <col min="9211" max="9211" width="6.85546875" style="69" customWidth="1"/>
    <col min="9212" max="9212" width="38" style="69" customWidth="1"/>
    <col min="9213" max="9213" width="9.5703125" style="69" customWidth="1"/>
    <col min="9214" max="9214" width="0" style="69" hidden="1" customWidth="1"/>
    <col min="9215" max="9215" width="9.28515625" style="69" customWidth="1"/>
    <col min="9216" max="9216" width="9.42578125" style="69" customWidth="1"/>
    <col min="9217" max="9217" width="9.28515625" style="69" customWidth="1"/>
    <col min="9218" max="9218" width="10" style="69" customWidth="1"/>
    <col min="9219" max="9224" width="0" style="69" hidden="1" customWidth="1"/>
    <col min="9225" max="9225" width="12.28515625" style="69" customWidth="1"/>
    <col min="9226" max="9226" width="13.140625" style="69" customWidth="1"/>
    <col min="9227" max="9227" width="16.28515625" style="69" customWidth="1"/>
    <col min="9228" max="9229" width="0" style="69" hidden="1" customWidth="1"/>
    <col min="9230" max="9230" width="12" style="69" customWidth="1"/>
    <col min="9231" max="9465" width="9.140625" style="69"/>
    <col min="9466" max="9466" width="4.5703125" style="69" customWidth="1"/>
    <col min="9467" max="9467" width="6.85546875" style="69" customWidth="1"/>
    <col min="9468" max="9468" width="38" style="69" customWidth="1"/>
    <col min="9469" max="9469" width="9.5703125" style="69" customWidth="1"/>
    <col min="9470" max="9470" width="0" style="69" hidden="1" customWidth="1"/>
    <col min="9471" max="9471" width="9.28515625" style="69" customWidth="1"/>
    <col min="9472" max="9472" width="9.42578125" style="69" customWidth="1"/>
    <col min="9473" max="9473" width="9.28515625" style="69" customWidth="1"/>
    <col min="9474" max="9474" width="10" style="69" customWidth="1"/>
    <col min="9475" max="9480" width="0" style="69" hidden="1" customWidth="1"/>
    <col min="9481" max="9481" width="12.28515625" style="69" customWidth="1"/>
    <col min="9482" max="9482" width="13.140625" style="69" customWidth="1"/>
    <col min="9483" max="9483" width="16.28515625" style="69" customWidth="1"/>
    <col min="9484" max="9485" width="0" style="69" hidden="1" customWidth="1"/>
    <col min="9486" max="9486" width="12" style="69" customWidth="1"/>
    <col min="9487" max="9721" width="9.140625" style="69"/>
    <col min="9722" max="9722" width="4.5703125" style="69" customWidth="1"/>
    <col min="9723" max="9723" width="6.85546875" style="69" customWidth="1"/>
    <col min="9724" max="9724" width="38" style="69" customWidth="1"/>
    <col min="9725" max="9725" width="9.5703125" style="69" customWidth="1"/>
    <col min="9726" max="9726" width="0" style="69" hidden="1" customWidth="1"/>
    <col min="9727" max="9727" width="9.28515625" style="69" customWidth="1"/>
    <col min="9728" max="9728" width="9.42578125" style="69" customWidth="1"/>
    <col min="9729" max="9729" width="9.28515625" style="69" customWidth="1"/>
    <col min="9730" max="9730" width="10" style="69" customWidth="1"/>
    <col min="9731" max="9736" width="0" style="69" hidden="1" customWidth="1"/>
    <col min="9737" max="9737" width="12.28515625" style="69" customWidth="1"/>
    <col min="9738" max="9738" width="13.140625" style="69" customWidth="1"/>
    <col min="9739" max="9739" width="16.28515625" style="69" customWidth="1"/>
    <col min="9740" max="9741" width="0" style="69" hidden="1" customWidth="1"/>
    <col min="9742" max="9742" width="12" style="69" customWidth="1"/>
    <col min="9743" max="9977" width="9.140625" style="69"/>
    <col min="9978" max="9978" width="4.5703125" style="69" customWidth="1"/>
    <col min="9979" max="9979" width="6.85546875" style="69" customWidth="1"/>
    <col min="9980" max="9980" width="38" style="69" customWidth="1"/>
    <col min="9981" max="9981" width="9.5703125" style="69" customWidth="1"/>
    <col min="9982" max="9982" width="0" style="69" hidden="1" customWidth="1"/>
    <col min="9983" max="9983" width="9.28515625" style="69" customWidth="1"/>
    <col min="9984" max="9984" width="9.42578125" style="69" customWidth="1"/>
    <col min="9985" max="9985" width="9.28515625" style="69" customWidth="1"/>
    <col min="9986" max="9986" width="10" style="69" customWidth="1"/>
    <col min="9987" max="9992" width="0" style="69" hidden="1" customWidth="1"/>
    <col min="9993" max="9993" width="12.28515625" style="69" customWidth="1"/>
    <col min="9994" max="9994" width="13.140625" style="69" customWidth="1"/>
    <col min="9995" max="9995" width="16.28515625" style="69" customWidth="1"/>
    <col min="9996" max="9997" width="0" style="69" hidden="1" customWidth="1"/>
    <col min="9998" max="9998" width="12" style="69" customWidth="1"/>
    <col min="9999" max="10233" width="9.140625" style="69"/>
    <col min="10234" max="10234" width="4.5703125" style="69" customWidth="1"/>
    <col min="10235" max="10235" width="6.85546875" style="69" customWidth="1"/>
    <col min="10236" max="10236" width="38" style="69" customWidth="1"/>
    <col min="10237" max="10237" width="9.5703125" style="69" customWidth="1"/>
    <col min="10238" max="10238" width="0" style="69" hidden="1" customWidth="1"/>
    <col min="10239" max="10239" width="9.28515625" style="69" customWidth="1"/>
    <col min="10240" max="10240" width="9.42578125" style="69" customWidth="1"/>
    <col min="10241" max="10241" width="9.28515625" style="69" customWidth="1"/>
    <col min="10242" max="10242" width="10" style="69" customWidth="1"/>
    <col min="10243" max="10248" width="0" style="69" hidden="1" customWidth="1"/>
    <col min="10249" max="10249" width="12.28515625" style="69" customWidth="1"/>
    <col min="10250" max="10250" width="13.140625" style="69" customWidth="1"/>
    <col min="10251" max="10251" width="16.28515625" style="69" customWidth="1"/>
    <col min="10252" max="10253" width="0" style="69" hidden="1" customWidth="1"/>
    <col min="10254" max="10254" width="12" style="69" customWidth="1"/>
    <col min="10255" max="10489" width="9.140625" style="69"/>
    <col min="10490" max="10490" width="4.5703125" style="69" customWidth="1"/>
    <col min="10491" max="10491" width="6.85546875" style="69" customWidth="1"/>
    <col min="10492" max="10492" width="38" style="69" customWidth="1"/>
    <col min="10493" max="10493" width="9.5703125" style="69" customWidth="1"/>
    <col min="10494" max="10494" width="0" style="69" hidden="1" customWidth="1"/>
    <col min="10495" max="10495" width="9.28515625" style="69" customWidth="1"/>
    <col min="10496" max="10496" width="9.42578125" style="69" customWidth="1"/>
    <col min="10497" max="10497" width="9.28515625" style="69" customWidth="1"/>
    <col min="10498" max="10498" width="10" style="69" customWidth="1"/>
    <col min="10499" max="10504" width="0" style="69" hidden="1" customWidth="1"/>
    <col min="10505" max="10505" width="12.28515625" style="69" customWidth="1"/>
    <col min="10506" max="10506" width="13.140625" style="69" customWidth="1"/>
    <col min="10507" max="10507" width="16.28515625" style="69" customWidth="1"/>
    <col min="10508" max="10509" width="0" style="69" hidden="1" customWidth="1"/>
    <col min="10510" max="10510" width="12" style="69" customWidth="1"/>
    <col min="10511" max="10745" width="9.140625" style="69"/>
    <col min="10746" max="10746" width="4.5703125" style="69" customWidth="1"/>
    <col min="10747" max="10747" width="6.85546875" style="69" customWidth="1"/>
    <col min="10748" max="10748" width="38" style="69" customWidth="1"/>
    <col min="10749" max="10749" width="9.5703125" style="69" customWidth="1"/>
    <col min="10750" max="10750" width="0" style="69" hidden="1" customWidth="1"/>
    <col min="10751" max="10751" width="9.28515625" style="69" customWidth="1"/>
    <col min="10752" max="10752" width="9.42578125" style="69" customWidth="1"/>
    <col min="10753" max="10753" width="9.28515625" style="69" customWidth="1"/>
    <col min="10754" max="10754" width="10" style="69" customWidth="1"/>
    <col min="10755" max="10760" width="0" style="69" hidden="1" customWidth="1"/>
    <col min="10761" max="10761" width="12.28515625" style="69" customWidth="1"/>
    <col min="10762" max="10762" width="13.140625" style="69" customWidth="1"/>
    <col min="10763" max="10763" width="16.28515625" style="69" customWidth="1"/>
    <col min="10764" max="10765" width="0" style="69" hidden="1" customWidth="1"/>
    <col min="10766" max="10766" width="12" style="69" customWidth="1"/>
    <col min="10767" max="11001" width="9.140625" style="69"/>
    <col min="11002" max="11002" width="4.5703125" style="69" customWidth="1"/>
    <col min="11003" max="11003" width="6.85546875" style="69" customWidth="1"/>
    <col min="11004" max="11004" width="38" style="69" customWidth="1"/>
    <col min="11005" max="11005" width="9.5703125" style="69" customWidth="1"/>
    <col min="11006" max="11006" width="0" style="69" hidden="1" customWidth="1"/>
    <col min="11007" max="11007" width="9.28515625" style="69" customWidth="1"/>
    <col min="11008" max="11008" width="9.42578125" style="69" customWidth="1"/>
    <col min="11009" max="11009" width="9.28515625" style="69" customWidth="1"/>
    <col min="11010" max="11010" width="10" style="69" customWidth="1"/>
    <col min="11011" max="11016" width="0" style="69" hidden="1" customWidth="1"/>
    <col min="11017" max="11017" width="12.28515625" style="69" customWidth="1"/>
    <col min="11018" max="11018" width="13.140625" style="69" customWidth="1"/>
    <col min="11019" max="11019" width="16.28515625" style="69" customWidth="1"/>
    <col min="11020" max="11021" width="0" style="69" hidden="1" customWidth="1"/>
    <col min="11022" max="11022" width="12" style="69" customWidth="1"/>
    <col min="11023" max="11257" width="9.140625" style="69"/>
    <col min="11258" max="11258" width="4.5703125" style="69" customWidth="1"/>
    <col min="11259" max="11259" width="6.85546875" style="69" customWidth="1"/>
    <col min="11260" max="11260" width="38" style="69" customWidth="1"/>
    <col min="11261" max="11261" width="9.5703125" style="69" customWidth="1"/>
    <col min="11262" max="11262" width="0" style="69" hidden="1" customWidth="1"/>
    <col min="11263" max="11263" width="9.28515625" style="69" customWidth="1"/>
    <col min="11264" max="11264" width="9.42578125" style="69" customWidth="1"/>
    <col min="11265" max="11265" width="9.28515625" style="69" customWidth="1"/>
    <col min="11266" max="11266" width="10" style="69" customWidth="1"/>
    <col min="11267" max="11272" width="0" style="69" hidden="1" customWidth="1"/>
    <col min="11273" max="11273" width="12.28515625" style="69" customWidth="1"/>
    <col min="11274" max="11274" width="13.140625" style="69" customWidth="1"/>
    <col min="11275" max="11275" width="16.28515625" style="69" customWidth="1"/>
    <col min="11276" max="11277" width="0" style="69" hidden="1" customWidth="1"/>
    <col min="11278" max="11278" width="12" style="69" customWidth="1"/>
    <col min="11279" max="11513" width="9.140625" style="69"/>
    <col min="11514" max="11514" width="4.5703125" style="69" customWidth="1"/>
    <col min="11515" max="11515" width="6.85546875" style="69" customWidth="1"/>
    <col min="11516" max="11516" width="38" style="69" customWidth="1"/>
    <col min="11517" max="11517" width="9.5703125" style="69" customWidth="1"/>
    <col min="11518" max="11518" width="0" style="69" hidden="1" customWidth="1"/>
    <col min="11519" max="11519" width="9.28515625" style="69" customWidth="1"/>
    <col min="11520" max="11520" width="9.42578125" style="69" customWidth="1"/>
    <col min="11521" max="11521" width="9.28515625" style="69" customWidth="1"/>
    <col min="11522" max="11522" width="10" style="69" customWidth="1"/>
    <col min="11523" max="11528" width="0" style="69" hidden="1" customWidth="1"/>
    <col min="11529" max="11529" width="12.28515625" style="69" customWidth="1"/>
    <col min="11530" max="11530" width="13.140625" style="69" customWidth="1"/>
    <col min="11531" max="11531" width="16.28515625" style="69" customWidth="1"/>
    <col min="11532" max="11533" width="0" style="69" hidden="1" customWidth="1"/>
    <col min="11534" max="11534" width="12" style="69" customWidth="1"/>
    <col min="11535" max="11769" width="9.140625" style="69"/>
    <col min="11770" max="11770" width="4.5703125" style="69" customWidth="1"/>
    <col min="11771" max="11771" width="6.85546875" style="69" customWidth="1"/>
    <col min="11772" max="11772" width="38" style="69" customWidth="1"/>
    <col min="11773" max="11773" width="9.5703125" style="69" customWidth="1"/>
    <col min="11774" max="11774" width="0" style="69" hidden="1" customWidth="1"/>
    <col min="11775" max="11775" width="9.28515625" style="69" customWidth="1"/>
    <col min="11776" max="11776" width="9.42578125" style="69" customWidth="1"/>
    <col min="11777" max="11777" width="9.28515625" style="69" customWidth="1"/>
    <col min="11778" max="11778" width="10" style="69" customWidth="1"/>
    <col min="11779" max="11784" width="0" style="69" hidden="1" customWidth="1"/>
    <col min="11785" max="11785" width="12.28515625" style="69" customWidth="1"/>
    <col min="11786" max="11786" width="13.140625" style="69" customWidth="1"/>
    <col min="11787" max="11787" width="16.28515625" style="69" customWidth="1"/>
    <col min="11788" max="11789" width="0" style="69" hidden="1" customWidth="1"/>
    <col min="11790" max="11790" width="12" style="69" customWidth="1"/>
    <col min="11791" max="12025" width="9.140625" style="69"/>
    <col min="12026" max="12026" width="4.5703125" style="69" customWidth="1"/>
    <col min="12027" max="12027" width="6.85546875" style="69" customWidth="1"/>
    <col min="12028" max="12028" width="38" style="69" customWidth="1"/>
    <col min="12029" max="12029" width="9.5703125" style="69" customWidth="1"/>
    <col min="12030" max="12030" width="0" style="69" hidden="1" customWidth="1"/>
    <col min="12031" max="12031" width="9.28515625" style="69" customWidth="1"/>
    <col min="12032" max="12032" width="9.42578125" style="69" customWidth="1"/>
    <col min="12033" max="12033" width="9.28515625" style="69" customWidth="1"/>
    <col min="12034" max="12034" width="10" style="69" customWidth="1"/>
    <col min="12035" max="12040" width="0" style="69" hidden="1" customWidth="1"/>
    <col min="12041" max="12041" width="12.28515625" style="69" customWidth="1"/>
    <col min="12042" max="12042" width="13.140625" style="69" customWidth="1"/>
    <col min="12043" max="12043" width="16.28515625" style="69" customWidth="1"/>
    <col min="12044" max="12045" width="0" style="69" hidden="1" customWidth="1"/>
    <col min="12046" max="12046" width="12" style="69" customWidth="1"/>
    <col min="12047" max="12281" width="9.140625" style="69"/>
    <col min="12282" max="12282" width="4.5703125" style="69" customWidth="1"/>
    <col min="12283" max="12283" width="6.85546875" style="69" customWidth="1"/>
    <col min="12284" max="12284" width="38" style="69" customWidth="1"/>
    <col min="12285" max="12285" width="9.5703125" style="69" customWidth="1"/>
    <col min="12286" max="12286" width="0" style="69" hidden="1" customWidth="1"/>
    <col min="12287" max="12287" width="9.28515625" style="69" customWidth="1"/>
    <col min="12288" max="12288" width="9.42578125" style="69" customWidth="1"/>
    <col min="12289" max="12289" width="9.28515625" style="69" customWidth="1"/>
    <col min="12290" max="12290" width="10" style="69" customWidth="1"/>
    <col min="12291" max="12296" width="0" style="69" hidden="1" customWidth="1"/>
    <col min="12297" max="12297" width="12.28515625" style="69" customWidth="1"/>
    <col min="12298" max="12298" width="13.140625" style="69" customWidth="1"/>
    <col min="12299" max="12299" width="16.28515625" style="69" customWidth="1"/>
    <col min="12300" max="12301" width="0" style="69" hidden="1" customWidth="1"/>
    <col min="12302" max="12302" width="12" style="69" customWidth="1"/>
    <col min="12303" max="12537" width="9.140625" style="69"/>
    <col min="12538" max="12538" width="4.5703125" style="69" customWidth="1"/>
    <col min="12539" max="12539" width="6.85546875" style="69" customWidth="1"/>
    <col min="12540" max="12540" width="38" style="69" customWidth="1"/>
    <col min="12541" max="12541" width="9.5703125" style="69" customWidth="1"/>
    <col min="12542" max="12542" width="0" style="69" hidden="1" customWidth="1"/>
    <col min="12543" max="12543" width="9.28515625" style="69" customWidth="1"/>
    <col min="12544" max="12544" width="9.42578125" style="69" customWidth="1"/>
    <col min="12545" max="12545" width="9.28515625" style="69" customWidth="1"/>
    <col min="12546" max="12546" width="10" style="69" customWidth="1"/>
    <col min="12547" max="12552" width="0" style="69" hidden="1" customWidth="1"/>
    <col min="12553" max="12553" width="12.28515625" style="69" customWidth="1"/>
    <col min="12554" max="12554" width="13.140625" style="69" customWidth="1"/>
    <col min="12555" max="12555" width="16.28515625" style="69" customWidth="1"/>
    <col min="12556" max="12557" width="0" style="69" hidden="1" customWidth="1"/>
    <col min="12558" max="12558" width="12" style="69" customWidth="1"/>
    <col min="12559" max="12793" width="9.140625" style="69"/>
    <col min="12794" max="12794" width="4.5703125" style="69" customWidth="1"/>
    <col min="12795" max="12795" width="6.85546875" style="69" customWidth="1"/>
    <col min="12796" max="12796" width="38" style="69" customWidth="1"/>
    <col min="12797" max="12797" width="9.5703125" style="69" customWidth="1"/>
    <col min="12798" max="12798" width="0" style="69" hidden="1" customWidth="1"/>
    <col min="12799" max="12799" width="9.28515625" style="69" customWidth="1"/>
    <col min="12800" max="12800" width="9.42578125" style="69" customWidth="1"/>
    <col min="12801" max="12801" width="9.28515625" style="69" customWidth="1"/>
    <col min="12802" max="12802" width="10" style="69" customWidth="1"/>
    <col min="12803" max="12808" width="0" style="69" hidden="1" customWidth="1"/>
    <col min="12809" max="12809" width="12.28515625" style="69" customWidth="1"/>
    <col min="12810" max="12810" width="13.140625" style="69" customWidth="1"/>
    <col min="12811" max="12811" width="16.28515625" style="69" customWidth="1"/>
    <col min="12812" max="12813" width="0" style="69" hidden="1" customWidth="1"/>
    <col min="12814" max="12814" width="12" style="69" customWidth="1"/>
    <col min="12815" max="13049" width="9.140625" style="69"/>
    <col min="13050" max="13050" width="4.5703125" style="69" customWidth="1"/>
    <col min="13051" max="13051" width="6.85546875" style="69" customWidth="1"/>
    <col min="13052" max="13052" width="38" style="69" customWidth="1"/>
    <col min="13053" max="13053" width="9.5703125" style="69" customWidth="1"/>
    <col min="13054" max="13054" width="0" style="69" hidden="1" customWidth="1"/>
    <col min="13055" max="13055" width="9.28515625" style="69" customWidth="1"/>
    <col min="13056" max="13056" width="9.42578125" style="69" customWidth="1"/>
    <col min="13057" max="13057" width="9.28515625" style="69" customWidth="1"/>
    <col min="13058" max="13058" width="10" style="69" customWidth="1"/>
    <col min="13059" max="13064" width="0" style="69" hidden="1" customWidth="1"/>
    <col min="13065" max="13065" width="12.28515625" style="69" customWidth="1"/>
    <col min="13066" max="13066" width="13.140625" style="69" customWidth="1"/>
    <col min="13067" max="13067" width="16.28515625" style="69" customWidth="1"/>
    <col min="13068" max="13069" width="0" style="69" hidden="1" customWidth="1"/>
    <col min="13070" max="13070" width="12" style="69" customWidth="1"/>
    <col min="13071" max="13305" width="9.140625" style="69"/>
    <col min="13306" max="13306" width="4.5703125" style="69" customWidth="1"/>
    <col min="13307" max="13307" width="6.85546875" style="69" customWidth="1"/>
    <col min="13308" max="13308" width="38" style="69" customWidth="1"/>
    <col min="13309" max="13309" width="9.5703125" style="69" customWidth="1"/>
    <col min="13310" max="13310" width="0" style="69" hidden="1" customWidth="1"/>
    <col min="13311" max="13311" width="9.28515625" style="69" customWidth="1"/>
    <col min="13312" max="13312" width="9.42578125" style="69" customWidth="1"/>
    <col min="13313" max="13313" width="9.28515625" style="69" customWidth="1"/>
    <col min="13314" max="13314" width="10" style="69" customWidth="1"/>
    <col min="13315" max="13320" width="0" style="69" hidden="1" customWidth="1"/>
    <col min="13321" max="13321" width="12.28515625" style="69" customWidth="1"/>
    <col min="13322" max="13322" width="13.140625" style="69" customWidth="1"/>
    <col min="13323" max="13323" width="16.28515625" style="69" customWidth="1"/>
    <col min="13324" max="13325" width="0" style="69" hidden="1" customWidth="1"/>
    <col min="13326" max="13326" width="12" style="69" customWidth="1"/>
    <col min="13327" max="13561" width="9.140625" style="69"/>
    <col min="13562" max="13562" width="4.5703125" style="69" customWidth="1"/>
    <col min="13563" max="13563" width="6.85546875" style="69" customWidth="1"/>
    <col min="13564" max="13564" width="38" style="69" customWidth="1"/>
    <col min="13565" max="13565" width="9.5703125" style="69" customWidth="1"/>
    <col min="13566" max="13566" width="0" style="69" hidden="1" customWidth="1"/>
    <col min="13567" max="13567" width="9.28515625" style="69" customWidth="1"/>
    <col min="13568" max="13568" width="9.42578125" style="69" customWidth="1"/>
    <col min="13569" max="13569" width="9.28515625" style="69" customWidth="1"/>
    <col min="13570" max="13570" width="10" style="69" customWidth="1"/>
    <col min="13571" max="13576" width="0" style="69" hidden="1" customWidth="1"/>
    <col min="13577" max="13577" width="12.28515625" style="69" customWidth="1"/>
    <col min="13578" max="13578" width="13.140625" style="69" customWidth="1"/>
    <col min="13579" max="13579" width="16.28515625" style="69" customWidth="1"/>
    <col min="13580" max="13581" width="0" style="69" hidden="1" customWidth="1"/>
    <col min="13582" max="13582" width="12" style="69" customWidth="1"/>
    <col min="13583" max="13817" width="9.140625" style="69"/>
    <col min="13818" max="13818" width="4.5703125" style="69" customWidth="1"/>
    <col min="13819" max="13819" width="6.85546875" style="69" customWidth="1"/>
    <col min="13820" max="13820" width="38" style="69" customWidth="1"/>
    <col min="13821" max="13821" width="9.5703125" style="69" customWidth="1"/>
    <col min="13822" max="13822" width="0" style="69" hidden="1" customWidth="1"/>
    <col min="13823" max="13823" width="9.28515625" style="69" customWidth="1"/>
    <col min="13824" max="13824" width="9.42578125" style="69" customWidth="1"/>
    <col min="13825" max="13825" width="9.28515625" style="69" customWidth="1"/>
    <col min="13826" max="13826" width="10" style="69" customWidth="1"/>
    <col min="13827" max="13832" width="0" style="69" hidden="1" customWidth="1"/>
    <col min="13833" max="13833" width="12.28515625" style="69" customWidth="1"/>
    <col min="13834" max="13834" width="13.140625" style="69" customWidth="1"/>
    <col min="13835" max="13835" width="16.28515625" style="69" customWidth="1"/>
    <col min="13836" max="13837" width="0" style="69" hidden="1" customWidth="1"/>
    <col min="13838" max="13838" width="12" style="69" customWidth="1"/>
    <col min="13839" max="14073" width="9.140625" style="69"/>
    <col min="14074" max="14074" width="4.5703125" style="69" customWidth="1"/>
    <col min="14075" max="14075" width="6.85546875" style="69" customWidth="1"/>
    <col min="14076" max="14076" width="38" style="69" customWidth="1"/>
    <col min="14077" max="14077" width="9.5703125" style="69" customWidth="1"/>
    <col min="14078" max="14078" width="0" style="69" hidden="1" customWidth="1"/>
    <col min="14079" max="14079" width="9.28515625" style="69" customWidth="1"/>
    <col min="14080" max="14080" width="9.42578125" style="69" customWidth="1"/>
    <col min="14081" max="14081" width="9.28515625" style="69" customWidth="1"/>
    <col min="14082" max="14082" width="10" style="69" customWidth="1"/>
    <col min="14083" max="14088" width="0" style="69" hidden="1" customWidth="1"/>
    <col min="14089" max="14089" width="12.28515625" style="69" customWidth="1"/>
    <col min="14090" max="14090" width="13.140625" style="69" customWidth="1"/>
    <col min="14091" max="14091" width="16.28515625" style="69" customWidth="1"/>
    <col min="14092" max="14093" width="0" style="69" hidden="1" customWidth="1"/>
    <col min="14094" max="14094" width="12" style="69" customWidth="1"/>
    <col min="14095" max="14329" width="9.140625" style="69"/>
    <col min="14330" max="14330" width="4.5703125" style="69" customWidth="1"/>
    <col min="14331" max="14331" width="6.85546875" style="69" customWidth="1"/>
    <col min="14332" max="14332" width="38" style="69" customWidth="1"/>
    <col min="14333" max="14333" width="9.5703125" style="69" customWidth="1"/>
    <col min="14334" max="14334" width="0" style="69" hidden="1" customWidth="1"/>
    <col min="14335" max="14335" width="9.28515625" style="69" customWidth="1"/>
    <col min="14336" max="14336" width="9.42578125" style="69" customWidth="1"/>
    <col min="14337" max="14337" width="9.28515625" style="69" customWidth="1"/>
    <col min="14338" max="14338" width="10" style="69" customWidth="1"/>
    <col min="14339" max="14344" width="0" style="69" hidden="1" customWidth="1"/>
    <col min="14345" max="14345" width="12.28515625" style="69" customWidth="1"/>
    <col min="14346" max="14346" width="13.140625" style="69" customWidth="1"/>
    <col min="14347" max="14347" width="16.28515625" style="69" customWidth="1"/>
    <col min="14348" max="14349" width="0" style="69" hidden="1" customWidth="1"/>
    <col min="14350" max="14350" width="12" style="69" customWidth="1"/>
    <col min="14351" max="14585" width="9.140625" style="69"/>
    <col min="14586" max="14586" width="4.5703125" style="69" customWidth="1"/>
    <col min="14587" max="14587" width="6.85546875" style="69" customWidth="1"/>
    <col min="14588" max="14588" width="38" style="69" customWidth="1"/>
    <col min="14589" max="14589" width="9.5703125" style="69" customWidth="1"/>
    <col min="14590" max="14590" width="0" style="69" hidden="1" customWidth="1"/>
    <col min="14591" max="14591" width="9.28515625" style="69" customWidth="1"/>
    <col min="14592" max="14592" width="9.42578125" style="69" customWidth="1"/>
    <col min="14593" max="14593" width="9.28515625" style="69" customWidth="1"/>
    <col min="14594" max="14594" width="10" style="69" customWidth="1"/>
    <col min="14595" max="14600" width="0" style="69" hidden="1" customWidth="1"/>
    <col min="14601" max="14601" width="12.28515625" style="69" customWidth="1"/>
    <col min="14602" max="14602" width="13.140625" style="69" customWidth="1"/>
    <col min="14603" max="14603" width="16.28515625" style="69" customWidth="1"/>
    <col min="14604" max="14605" width="0" style="69" hidden="1" customWidth="1"/>
    <col min="14606" max="14606" width="12" style="69" customWidth="1"/>
    <col min="14607" max="14841" width="9.140625" style="69"/>
    <col min="14842" max="14842" width="4.5703125" style="69" customWidth="1"/>
    <col min="14843" max="14843" width="6.85546875" style="69" customWidth="1"/>
    <col min="14844" max="14844" width="38" style="69" customWidth="1"/>
    <col min="14845" max="14845" width="9.5703125" style="69" customWidth="1"/>
    <col min="14846" max="14846" width="0" style="69" hidden="1" customWidth="1"/>
    <col min="14847" max="14847" width="9.28515625" style="69" customWidth="1"/>
    <col min="14848" max="14848" width="9.42578125" style="69" customWidth="1"/>
    <col min="14849" max="14849" width="9.28515625" style="69" customWidth="1"/>
    <col min="14850" max="14850" width="10" style="69" customWidth="1"/>
    <col min="14851" max="14856" width="0" style="69" hidden="1" customWidth="1"/>
    <col min="14857" max="14857" width="12.28515625" style="69" customWidth="1"/>
    <col min="14858" max="14858" width="13.140625" style="69" customWidth="1"/>
    <col min="14859" max="14859" width="16.28515625" style="69" customWidth="1"/>
    <col min="14860" max="14861" width="0" style="69" hidden="1" customWidth="1"/>
    <col min="14862" max="14862" width="12" style="69" customWidth="1"/>
    <col min="14863" max="15097" width="9.140625" style="69"/>
    <col min="15098" max="15098" width="4.5703125" style="69" customWidth="1"/>
    <col min="15099" max="15099" width="6.85546875" style="69" customWidth="1"/>
    <col min="15100" max="15100" width="38" style="69" customWidth="1"/>
    <col min="15101" max="15101" width="9.5703125" style="69" customWidth="1"/>
    <col min="15102" max="15102" width="0" style="69" hidden="1" customWidth="1"/>
    <col min="15103" max="15103" width="9.28515625" style="69" customWidth="1"/>
    <col min="15104" max="15104" width="9.42578125" style="69" customWidth="1"/>
    <col min="15105" max="15105" width="9.28515625" style="69" customWidth="1"/>
    <col min="15106" max="15106" width="10" style="69" customWidth="1"/>
    <col min="15107" max="15112" width="0" style="69" hidden="1" customWidth="1"/>
    <col min="15113" max="15113" width="12.28515625" style="69" customWidth="1"/>
    <col min="15114" max="15114" width="13.140625" style="69" customWidth="1"/>
    <col min="15115" max="15115" width="16.28515625" style="69" customWidth="1"/>
    <col min="15116" max="15117" width="0" style="69" hidden="1" customWidth="1"/>
    <col min="15118" max="15118" width="12" style="69" customWidth="1"/>
    <col min="15119" max="15353" width="9.140625" style="69"/>
    <col min="15354" max="15354" width="4.5703125" style="69" customWidth="1"/>
    <col min="15355" max="15355" width="6.85546875" style="69" customWidth="1"/>
    <col min="15356" max="15356" width="38" style="69" customWidth="1"/>
    <col min="15357" max="15357" width="9.5703125" style="69" customWidth="1"/>
    <col min="15358" max="15358" width="0" style="69" hidden="1" customWidth="1"/>
    <col min="15359" max="15359" width="9.28515625" style="69" customWidth="1"/>
    <col min="15360" max="15360" width="9.42578125" style="69" customWidth="1"/>
    <col min="15361" max="15361" width="9.28515625" style="69" customWidth="1"/>
    <col min="15362" max="15362" width="10" style="69" customWidth="1"/>
    <col min="15363" max="15368" width="0" style="69" hidden="1" customWidth="1"/>
    <col min="15369" max="15369" width="12.28515625" style="69" customWidth="1"/>
    <col min="15370" max="15370" width="13.140625" style="69" customWidth="1"/>
    <col min="15371" max="15371" width="16.28515625" style="69" customWidth="1"/>
    <col min="15372" max="15373" width="0" style="69" hidden="1" customWidth="1"/>
    <col min="15374" max="15374" width="12" style="69" customWidth="1"/>
    <col min="15375" max="15609" width="9.140625" style="69"/>
    <col min="15610" max="15610" width="4.5703125" style="69" customWidth="1"/>
    <col min="15611" max="15611" width="6.85546875" style="69" customWidth="1"/>
    <col min="15612" max="15612" width="38" style="69" customWidth="1"/>
    <col min="15613" max="15613" width="9.5703125" style="69" customWidth="1"/>
    <col min="15614" max="15614" width="0" style="69" hidden="1" customWidth="1"/>
    <col min="15615" max="15615" width="9.28515625" style="69" customWidth="1"/>
    <col min="15616" max="15616" width="9.42578125" style="69" customWidth="1"/>
    <col min="15617" max="15617" width="9.28515625" style="69" customWidth="1"/>
    <col min="15618" max="15618" width="10" style="69" customWidth="1"/>
    <col min="15619" max="15624" width="0" style="69" hidden="1" customWidth="1"/>
    <col min="15625" max="15625" width="12.28515625" style="69" customWidth="1"/>
    <col min="15626" max="15626" width="13.140625" style="69" customWidth="1"/>
    <col min="15627" max="15627" width="16.28515625" style="69" customWidth="1"/>
    <col min="15628" max="15629" width="0" style="69" hidden="1" customWidth="1"/>
    <col min="15630" max="15630" width="12" style="69" customWidth="1"/>
    <col min="15631" max="15865" width="9.140625" style="69"/>
    <col min="15866" max="15866" width="4.5703125" style="69" customWidth="1"/>
    <col min="15867" max="15867" width="6.85546875" style="69" customWidth="1"/>
    <col min="15868" max="15868" width="38" style="69" customWidth="1"/>
    <col min="15869" max="15869" width="9.5703125" style="69" customWidth="1"/>
    <col min="15870" max="15870" width="0" style="69" hidden="1" customWidth="1"/>
    <col min="15871" max="15871" width="9.28515625" style="69" customWidth="1"/>
    <col min="15872" max="15872" width="9.42578125" style="69" customWidth="1"/>
    <col min="15873" max="15873" width="9.28515625" style="69" customWidth="1"/>
    <col min="15874" max="15874" width="10" style="69" customWidth="1"/>
    <col min="15875" max="15880" width="0" style="69" hidden="1" customWidth="1"/>
    <col min="15881" max="15881" width="12.28515625" style="69" customWidth="1"/>
    <col min="15882" max="15882" width="13.140625" style="69" customWidth="1"/>
    <col min="15883" max="15883" width="16.28515625" style="69" customWidth="1"/>
    <col min="15884" max="15885" width="0" style="69" hidden="1" customWidth="1"/>
    <col min="15886" max="15886" width="12" style="69" customWidth="1"/>
    <col min="15887" max="16121" width="9.140625" style="69"/>
    <col min="16122" max="16122" width="4.5703125" style="69" customWidth="1"/>
    <col min="16123" max="16123" width="6.85546875" style="69" customWidth="1"/>
    <col min="16124" max="16124" width="38" style="69" customWidth="1"/>
    <col min="16125" max="16125" width="9.5703125" style="69" customWidth="1"/>
    <col min="16126" max="16126" width="0" style="69" hidden="1" customWidth="1"/>
    <col min="16127" max="16127" width="9.28515625" style="69" customWidth="1"/>
    <col min="16128" max="16128" width="9.42578125" style="69" customWidth="1"/>
    <col min="16129" max="16129" width="9.28515625" style="69" customWidth="1"/>
    <col min="16130" max="16130" width="10" style="69" customWidth="1"/>
    <col min="16131" max="16136" width="0" style="69" hidden="1" customWidth="1"/>
    <col min="16137" max="16137" width="12.28515625" style="69" customWidth="1"/>
    <col min="16138" max="16138" width="13.140625" style="69" customWidth="1"/>
    <col min="16139" max="16139" width="16.28515625" style="69" customWidth="1"/>
    <col min="16140" max="16141" width="0" style="69" hidden="1" customWidth="1"/>
    <col min="16142" max="16142" width="12" style="69" customWidth="1"/>
    <col min="16143" max="16384" width="9.140625" style="69"/>
  </cols>
  <sheetData>
    <row r="1" spans="1:15" ht="19.5">
      <c r="A1" s="443" t="s">
        <v>340</v>
      </c>
      <c r="B1" s="443"/>
      <c r="C1" s="443"/>
      <c r="D1" s="443"/>
      <c r="E1" s="443"/>
      <c r="F1" s="443"/>
      <c r="G1" s="443"/>
      <c r="H1" s="443"/>
      <c r="I1" s="443"/>
      <c r="J1" s="443"/>
      <c r="K1" s="443"/>
    </row>
    <row r="2" spans="1:15" s="71" customFormat="1" ht="23.25" customHeight="1">
      <c r="A2" s="444" t="s">
        <v>212</v>
      </c>
      <c r="B2" s="444"/>
      <c r="C2" s="444"/>
      <c r="D2" s="444"/>
      <c r="E2" s="444"/>
      <c r="F2" s="444"/>
      <c r="G2" s="444"/>
      <c r="H2" s="444"/>
      <c r="I2" s="444"/>
      <c r="J2" s="444"/>
      <c r="K2" s="444"/>
      <c r="L2" s="70"/>
      <c r="M2" s="70"/>
      <c r="N2" s="352"/>
      <c r="O2" s="351"/>
    </row>
    <row r="3" spans="1:15" s="74" customFormat="1" ht="22.5" customHeight="1">
      <c r="A3" s="72"/>
      <c r="B3" s="72"/>
      <c r="C3" s="73"/>
      <c r="H3" s="75"/>
      <c r="J3" s="445" t="s">
        <v>372</v>
      </c>
      <c r="K3" s="445"/>
      <c r="L3" s="67"/>
      <c r="N3" s="346"/>
      <c r="O3" s="346"/>
    </row>
    <row r="4" spans="1:15" s="77" customFormat="1" ht="45" customHeight="1">
      <c r="A4" s="78" t="s">
        <v>156</v>
      </c>
      <c r="B4" s="78" t="s">
        <v>61</v>
      </c>
      <c r="C4" s="79" t="s">
        <v>197</v>
      </c>
      <c r="D4" s="254" t="s">
        <v>198</v>
      </c>
      <c r="E4" s="78" t="s">
        <v>199</v>
      </c>
      <c r="F4" s="78" t="s">
        <v>200</v>
      </c>
      <c r="G4" s="80" t="s">
        <v>201</v>
      </c>
      <c r="H4" s="78" t="s">
        <v>202</v>
      </c>
      <c r="I4" s="255" t="s">
        <v>203</v>
      </c>
      <c r="J4" s="255" t="s">
        <v>204</v>
      </c>
      <c r="K4" s="255" t="s">
        <v>418</v>
      </c>
      <c r="L4" s="76" t="s">
        <v>205</v>
      </c>
      <c r="M4" s="338" t="s">
        <v>206</v>
      </c>
      <c r="N4" s="230" t="s">
        <v>467</v>
      </c>
      <c r="O4" s="230" t="s">
        <v>468</v>
      </c>
    </row>
    <row r="5" spans="1:15" s="77" customFormat="1" ht="24" customHeight="1">
      <c r="A5" s="78" t="s">
        <v>207</v>
      </c>
      <c r="B5" s="78" t="s">
        <v>208</v>
      </c>
      <c r="C5" s="79" t="s">
        <v>209</v>
      </c>
      <c r="D5" s="80">
        <v>1</v>
      </c>
      <c r="E5" s="80">
        <v>2</v>
      </c>
      <c r="F5" s="80">
        <v>3</v>
      </c>
      <c r="G5" s="80">
        <v>4</v>
      </c>
      <c r="H5" s="80">
        <v>5</v>
      </c>
      <c r="I5" s="81" t="s">
        <v>361</v>
      </c>
      <c r="J5" s="81" t="s">
        <v>362</v>
      </c>
      <c r="K5" s="81" t="s">
        <v>363</v>
      </c>
      <c r="L5" s="82">
        <v>9</v>
      </c>
      <c r="M5" s="339" t="s">
        <v>210</v>
      </c>
      <c r="N5" s="353"/>
      <c r="O5" s="354"/>
    </row>
    <row r="6" spans="1:15" s="158" customFormat="1" ht="21.75" customHeight="1">
      <c r="A6" s="256" t="s">
        <v>207</v>
      </c>
      <c r="B6" s="447" t="s">
        <v>367</v>
      </c>
      <c r="C6" s="447"/>
      <c r="D6" s="447"/>
      <c r="E6" s="447"/>
      <c r="F6" s="447"/>
      <c r="G6" s="447"/>
      <c r="H6" s="447"/>
      <c r="I6" s="447"/>
      <c r="J6" s="447"/>
      <c r="K6" s="447"/>
      <c r="N6" s="129"/>
      <c r="O6" s="144"/>
    </row>
    <row r="7" spans="1:15" s="158" customFormat="1" ht="21" customHeight="1">
      <c r="A7" s="257" t="s">
        <v>288</v>
      </c>
      <c r="B7" s="385" t="s">
        <v>371</v>
      </c>
      <c r="C7" s="385"/>
      <c r="D7" s="385"/>
      <c r="E7" s="385"/>
      <c r="F7" s="385"/>
      <c r="G7" s="385"/>
      <c r="H7" s="385"/>
      <c r="I7" s="385"/>
      <c r="J7" s="385"/>
      <c r="K7" s="385"/>
      <c r="N7" s="129"/>
      <c r="O7" s="144"/>
    </row>
    <row r="8" spans="1:15" s="158" customFormat="1" ht="21" customHeight="1">
      <c r="A8" s="223">
        <v>1</v>
      </c>
      <c r="B8" s="248" t="s">
        <v>299</v>
      </c>
      <c r="C8" s="248" t="s">
        <v>216</v>
      </c>
      <c r="D8" s="287">
        <f>VLOOKUP(B8,LDKT!$B$5:$G$214,6,0)</f>
        <v>88495.2</v>
      </c>
      <c r="E8" s="287">
        <f>VLOOKUP(B8,Dcu!$B$6:$H$919,7,0)</f>
        <v>5923.0769230769229</v>
      </c>
      <c r="F8" s="287">
        <f>VLOOKUP(B8,VL!$B$5:$G$915,6,0)</f>
        <v>10832.400000000001</v>
      </c>
      <c r="G8" s="12">
        <v>0</v>
      </c>
      <c r="H8" s="249">
        <f>VLOOKUP(B8,TB!$B$4:$I$2022,8,0)</f>
        <v>3370.4</v>
      </c>
      <c r="I8" s="249">
        <f>D8+E8+F8+G8</f>
        <v>105250.67692307691</v>
      </c>
      <c r="J8" s="249">
        <f>I8*20%</f>
        <v>21050.135384615383</v>
      </c>
      <c r="K8" s="250">
        <f>ROUND((I8+J8),-2)</f>
        <v>126300</v>
      </c>
      <c r="N8" s="146">
        <v>181900</v>
      </c>
      <c r="O8" s="357">
        <f>K8-N8</f>
        <v>-55600</v>
      </c>
    </row>
    <row r="9" spans="1:15" s="158" customFormat="1" ht="21" customHeight="1">
      <c r="A9" s="223">
        <v>2</v>
      </c>
      <c r="B9" s="10" t="s">
        <v>300</v>
      </c>
      <c r="C9" s="137" t="s">
        <v>76</v>
      </c>
      <c r="D9" s="287">
        <f>VLOOKUP(B9,LDKT!$B$5:$G$214,6,0)</f>
        <v>88495.2</v>
      </c>
      <c r="E9" s="287">
        <f>VLOOKUP(B9,Dcu!$B$6:$H$919,7,0)</f>
        <v>5923.0769230769229</v>
      </c>
      <c r="F9" s="287">
        <f>VLOOKUP(B9,VL!$B$5:$G$915,6,0)</f>
        <v>10832.400000000001</v>
      </c>
      <c r="G9" s="12">
        <v>0</v>
      </c>
      <c r="H9" s="249">
        <f>VLOOKUP(B9,TB!$B$4:$I$2022,8,0)</f>
        <v>3370.4</v>
      </c>
      <c r="I9" s="249">
        <f t="shared" ref="I9:I53" si="0">D9+E9+F9+G9</f>
        <v>105250.67692307691</v>
      </c>
      <c r="J9" s="249">
        <f t="shared" ref="J9:J29" si="1">I9*20%</f>
        <v>21050.135384615383</v>
      </c>
      <c r="K9" s="250">
        <f t="shared" ref="K9:K53" si="2">ROUND((I9+J9),-2)</f>
        <v>126300</v>
      </c>
      <c r="N9" s="146">
        <v>84200</v>
      </c>
      <c r="O9" s="357">
        <f t="shared" ref="O9:O53" si="3">K9-N9</f>
        <v>42100</v>
      </c>
    </row>
    <row r="10" spans="1:15" s="158" customFormat="1" ht="21" customHeight="1">
      <c r="A10" s="223">
        <v>3</v>
      </c>
      <c r="B10" s="148" t="s">
        <v>301</v>
      </c>
      <c r="C10" s="248" t="s">
        <v>12</v>
      </c>
      <c r="D10" s="287">
        <f>VLOOKUP(B10,LDKT!$B$5:$G$214,6,0)</f>
        <v>86754.15</v>
      </c>
      <c r="E10" s="287">
        <f>VLOOKUP(B10,Dcu!$B$6:$H$919,7,0)</f>
        <v>5923.0769230769229</v>
      </c>
      <c r="F10" s="287">
        <f>VLOOKUP(B10,VL!$B$5:$G$915,6,0)</f>
        <v>10832.400000000001</v>
      </c>
      <c r="G10" s="12">
        <v>0</v>
      </c>
      <c r="H10" s="249">
        <f>VLOOKUP(B10,TB!$B$4:$I$2022,8,0)</f>
        <v>3370.4</v>
      </c>
      <c r="I10" s="249">
        <f t="shared" si="0"/>
        <v>103509.62692307692</v>
      </c>
      <c r="J10" s="249">
        <f t="shared" si="1"/>
        <v>20701.925384615388</v>
      </c>
      <c r="K10" s="250">
        <f t="shared" si="2"/>
        <v>124200</v>
      </c>
      <c r="N10" s="146">
        <v>84200</v>
      </c>
      <c r="O10" s="357">
        <f t="shared" si="3"/>
        <v>40000</v>
      </c>
    </row>
    <row r="11" spans="1:15" s="158" customFormat="1" ht="21" customHeight="1">
      <c r="A11" s="223">
        <v>4</v>
      </c>
      <c r="B11" s="9" t="s">
        <v>302</v>
      </c>
      <c r="C11" s="248" t="s">
        <v>13</v>
      </c>
      <c r="D11" s="287">
        <f>VLOOKUP(B11,LDKT!$B$5:$G$214,6,0)</f>
        <v>86754.15</v>
      </c>
      <c r="E11" s="287">
        <f>VLOOKUP(B11,Dcu!$B$6:$H$919,7,0)</f>
        <v>5923.0769230769229</v>
      </c>
      <c r="F11" s="287">
        <f>VLOOKUP(B11,VL!$B$5:$G$915,6,0)</f>
        <v>10832.400000000001</v>
      </c>
      <c r="G11" s="12">
        <v>0</v>
      </c>
      <c r="H11" s="249">
        <f>VLOOKUP(B11,TB!$B$4:$I$2022,8,0)</f>
        <v>3370.4</v>
      </c>
      <c r="I11" s="249">
        <f t="shared" si="0"/>
        <v>103509.62692307692</v>
      </c>
      <c r="J11" s="249">
        <f t="shared" si="1"/>
        <v>20701.925384615388</v>
      </c>
      <c r="K11" s="250">
        <f t="shared" si="2"/>
        <v>124200</v>
      </c>
      <c r="N11" s="146">
        <v>107900</v>
      </c>
      <c r="O11" s="357">
        <f t="shared" si="3"/>
        <v>16300</v>
      </c>
    </row>
    <row r="12" spans="1:15" s="158" customFormat="1" ht="21" customHeight="1">
      <c r="A12" s="223">
        <v>5</v>
      </c>
      <c r="B12" s="10" t="s">
        <v>303</v>
      </c>
      <c r="C12" s="106" t="s">
        <v>218</v>
      </c>
      <c r="D12" s="287">
        <f>VLOOKUP(B12,LDKT!$B$5:$G$214,6,0)</f>
        <v>86754.15</v>
      </c>
      <c r="E12" s="287">
        <f>VLOOKUP(B12,Dcu!$B$6:$H$919,7,0)</f>
        <v>5923.0769230769229</v>
      </c>
      <c r="F12" s="287">
        <f>VLOOKUP(B12,VL!$B$5:$G$915,6,0)</f>
        <v>11372.400000000001</v>
      </c>
      <c r="G12" s="12">
        <v>0</v>
      </c>
      <c r="H12" s="249">
        <f>VLOOKUP(B12,TB!$B$4:$I$2022,8,0)</f>
        <v>3370.4</v>
      </c>
      <c r="I12" s="249">
        <f t="shared" si="0"/>
        <v>104049.62692307692</v>
      </c>
      <c r="J12" s="249">
        <f t="shared" si="1"/>
        <v>20809.925384615388</v>
      </c>
      <c r="K12" s="250">
        <f t="shared" si="2"/>
        <v>124900</v>
      </c>
      <c r="N12" s="146">
        <v>120900</v>
      </c>
      <c r="O12" s="357">
        <f t="shared" si="3"/>
        <v>4000</v>
      </c>
    </row>
    <row r="13" spans="1:15" s="158" customFormat="1" ht="21" customHeight="1">
      <c r="A13" s="223">
        <v>6</v>
      </c>
      <c r="B13" s="10" t="s">
        <v>304</v>
      </c>
      <c r="C13" s="106" t="s">
        <v>219</v>
      </c>
      <c r="D13" s="287">
        <f>VLOOKUP(B13,LDKT!$B$5:$G$214,6,0)</f>
        <v>86754.15</v>
      </c>
      <c r="E13" s="287">
        <f>VLOOKUP(B13,Dcu!$B$6:$H$919,7,0)</f>
        <v>5923.0769230769229</v>
      </c>
      <c r="F13" s="287">
        <f>VLOOKUP(B13,VL!$B$5:$G$915,6,0)</f>
        <v>11372.400000000001</v>
      </c>
      <c r="G13" s="12">
        <v>0</v>
      </c>
      <c r="H13" s="249">
        <f>VLOOKUP(B13,TB!$B$4:$I$2022,8,0)</f>
        <v>3370.4</v>
      </c>
      <c r="I13" s="249">
        <f t="shared" si="0"/>
        <v>104049.62692307692</v>
      </c>
      <c r="J13" s="249">
        <f t="shared" si="1"/>
        <v>20809.925384615388</v>
      </c>
      <c r="K13" s="250">
        <f t="shared" si="2"/>
        <v>124900</v>
      </c>
      <c r="N13" s="146">
        <v>120900</v>
      </c>
      <c r="O13" s="357">
        <f t="shared" si="3"/>
        <v>4000</v>
      </c>
    </row>
    <row r="14" spans="1:15" s="158" customFormat="1" ht="21" customHeight="1">
      <c r="A14" s="223">
        <v>7</v>
      </c>
      <c r="B14" s="10" t="s">
        <v>305</v>
      </c>
      <c r="C14" s="248" t="s">
        <v>213</v>
      </c>
      <c r="D14" s="287">
        <f>VLOOKUP(B14,LDKT!$B$5:$G$214,6,0)</f>
        <v>86754.15</v>
      </c>
      <c r="E14" s="287">
        <f>VLOOKUP(B14,Dcu!$B$6:$H$919,7,0)</f>
        <v>5923.0769230769229</v>
      </c>
      <c r="F14" s="287">
        <f>VLOOKUP(B14,VL!$B$5:$G$915,6,0)</f>
        <v>11372.400000000001</v>
      </c>
      <c r="G14" s="12">
        <v>0</v>
      </c>
      <c r="H14" s="249">
        <f>VLOOKUP(B14,TB!$B$4:$I$2022,8,0)</f>
        <v>3370.4</v>
      </c>
      <c r="I14" s="249">
        <f t="shared" si="0"/>
        <v>104049.62692307692</v>
      </c>
      <c r="J14" s="249">
        <f t="shared" si="1"/>
        <v>20809.925384615388</v>
      </c>
      <c r="K14" s="250">
        <f t="shared" si="2"/>
        <v>124900</v>
      </c>
      <c r="N14" s="146">
        <v>107900</v>
      </c>
      <c r="O14" s="357">
        <f t="shared" si="3"/>
        <v>17000</v>
      </c>
    </row>
    <row r="15" spans="1:15" s="158" customFormat="1" ht="21" customHeight="1">
      <c r="A15" s="223">
        <v>8</v>
      </c>
      <c r="B15" s="296" t="s">
        <v>419</v>
      </c>
      <c r="C15" s="150" t="s">
        <v>462</v>
      </c>
      <c r="D15" s="287">
        <f>VLOOKUP(B15,LDKT!$B$5:$G$214,6,0)</f>
        <v>86754.15</v>
      </c>
      <c r="E15" s="287">
        <f>VLOOKUP(B15,Dcu!$B$6:$H$919,7,0)</f>
        <v>5923.0769230769229</v>
      </c>
      <c r="F15" s="287">
        <f>VLOOKUP(B15,VL!$B$5:$G$915,6,0)</f>
        <v>11372.400000000001</v>
      </c>
      <c r="G15" s="12">
        <v>0</v>
      </c>
      <c r="H15" s="249">
        <f>VLOOKUP(B15,TB!$B$4:$I$2022,8,0)</f>
        <v>3370.4</v>
      </c>
      <c r="I15" s="249">
        <f t="shared" si="0"/>
        <v>104049.62692307692</v>
      </c>
      <c r="J15" s="249">
        <f t="shared" si="1"/>
        <v>20809.925384615388</v>
      </c>
      <c r="K15" s="250">
        <f t="shared" si="2"/>
        <v>124900</v>
      </c>
      <c r="N15" s="146">
        <v>84200</v>
      </c>
      <c r="O15" s="357">
        <f t="shared" si="3"/>
        <v>40700</v>
      </c>
    </row>
    <row r="16" spans="1:15" s="158" customFormat="1" ht="21" customHeight="1">
      <c r="A16" s="223">
        <v>9</v>
      </c>
      <c r="B16" s="296" t="s">
        <v>421</v>
      </c>
      <c r="C16" s="150" t="s">
        <v>448</v>
      </c>
      <c r="D16" s="287">
        <f>VLOOKUP(B16,LDKT!$B$5:$G$214,6,0)</f>
        <v>86754.15</v>
      </c>
      <c r="E16" s="287">
        <f>VLOOKUP(B16,Dcu!$B$6:$H$919,7,0)</f>
        <v>5923.0769230769229</v>
      </c>
      <c r="F16" s="287">
        <f>VLOOKUP(B16,VL!$B$5:$G$915,6,0)</f>
        <v>11372.400000000001</v>
      </c>
      <c r="G16" s="12">
        <v>0</v>
      </c>
      <c r="H16" s="249">
        <f>VLOOKUP(B16,TB!$B$4:$I$2022,8,0)</f>
        <v>3370.4</v>
      </c>
      <c r="I16" s="249">
        <f t="shared" si="0"/>
        <v>104049.62692307692</v>
      </c>
      <c r="J16" s="249">
        <f t="shared" ref="J16:J23" si="4">I16*20%</f>
        <v>20809.925384615388</v>
      </c>
      <c r="K16" s="250">
        <f t="shared" ref="K16:K23" si="5">ROUND((I16+J16),-2)</f>
        <v>124900</v>
      </c>
      <c r="N16" s="146">
        <v>84200</v>
      </c>
      <c r="O16" s="357">
        <f t="shared" si="3"/>
        <v>40700</v>
      </c>
    </row>
    <row r="17" spans="1:15" s="158" customFormat="1" ht="21" customHeight="1">
      <c r="A17" s="223">
        <v>10</v>
      </c>
      <c r="B17" s="296" t="s">
        <v>424</v>
      </c>
      <c r="C17" s="150" t="s">
        <v>463</v>
      </c>
      <c r="D17" s="287">
        <f>VLOOKUP(B17,LDKT!$B$5:$G$214,6,0)</f>
        <v>86754.15</v>
      </c>
      <c r="E17" s="287">
        <f>VLOOKUP(B17,Dcu!$B$6:$H$919,7,0)</f>
        <v>5923.0769230769229</v>
      </c>
      <c r="F17" s="287">
        <f>VLOOKUP(B17,VL!$B$5:$G$915,6,0)</f>
        <v>11372.400000000001</v>
      </c>
      <c r="G17" s="12">
        <v>0</v>
      </c>
      <c r="H17" s="249">
        <f>VLOOKUP(B17,TB!$B$4:$I$2022,8,0)</f>
        <v>3370.4</v>
      </c>
      <c r="I17" s="249">
        <f t="shared" si="0"/>
        <v>104049.62692307692</v>
      </c>
      <c r="J17" s="249">
        <f t="shared" si="4"/>
        <v>20809.925384615388</v>
      </c>
      <c r="K17" s="250">
        <f t="shared" si="5"/>
        <v>124900</v>
      </c>
      <c r="N17" s="146">
        <v>84200</v>
      </c>
      <c r="O17" s="357">
        <f t="shared" si="3"/>
        <v>40700</v>
      </c>
    </row>
    <row r="18" spans="1:15" s="158" customFormat="1" ht="21" customHeight="1">
      <c r="A18" s="223">
        <v>11</v>
      </c>
      <c r="B18" s="296" t="s">
        <v>425</v>
      </c>
      <c r="C18" s="150" t="s">
        <v>464</v>
      </c>
      <c r="D18" s="287">
        <f>VLOOKUP(B18,LDKT!$B$5:$G$214,6,0)</f>
        <v>86754.15</v>
      </c>
      <c r="E18" s="287">
        <f>VLOOKUP(B18,Dcu!$B$6:$H$919,7,0)</f>
        <v>5923.0769230769229</v>
      </c>
      <c r="F18" s="287">
        <f>VLOOKUP(B18,VL!$B$5:$G$915,6,0)</f>
        <v>11372.400000000001</v>
      </c>
      <c r="G18" s="12">
        <v>0</v>
      </c>
      <c r="H18" s="249">
        <f>VLOOKUP(B18,TB!$B$4:$I$2022,8,0)</f>
        <v>3370.4</v>
      </c>
      <c r="I18" s="249">
        <f t="shared" si="0"/>
        <v>104049.62692307692</v>
      </c>
      <c r="J18" s="249">
        <f t="shared" si="4"/>
        <v>20809.925384615388</v>
      </c>
      <c r="K18" s="250">
        <f t="shared" si="5"/>
        <v>124900</v>
      </c>
      <c r="N18" s="146">
        <v>84200</v>
      </c>
      <c r="O18" s="357">
        <f t="shared" si="3"/>
        <v>40700</v>
      </c>
    </row>
    <row r="19" spans="1:15" s="158" customFormat="1" ht="21" customHeight="1">
      <c r="A19" s="223">
        <v>12</v>
      </c>
      <c r="B19" s="296" t="s">
        <v>427</v>
      </c>
      <c r="C19" s="150" t="s">
        <v>451</v>
      </c>
      <c r="D19" s="287">
        <f>VLOOKUP(B19,LDKT!$B$5:$G$214,6,0)</f>
        <v>86754.15</v>
      </c>
      <c r="E19" s="287">
        <f>VLOOKUP(B19,Dcu!$B$6:$H$919,7,0)</f>
        <v>5923.0769230769229</v>
      </c>
      <c r="F19" s="287">
        <f>VLOOKUP(B19,VL!$B$5:$G$915,6,0)</f>
        <v>11372.400000000001</v>
      </c>
      <c r="G19" s="12">
        <v>0</v>
      </c>
      <c r="H19" s="249">
        <f>VLOOKUP(B19,TB!$B$4:$I$2022,8,0)</f>
        <v>3370.4</v>
      </c>
      <c r="I19" s="249">
        <f t="shared" si="0"/>
        <v>104049.62692307692</v>
      </c>
      <c r="J19" s="249">
        <f t="shared" si="4"/>
        <v>20809.925384615388</v>
      </c>
      <c r="K19" s="250">
        <f t="shared" si="5"/>
        <v>124900</v>
      </c>
      <c r="N19" s="146">
        <v>84200</v>
      </c>
      <c r="O19" s="357">
        <f t="shared" si="3"/>
        <v>40700</v>
      </c>
    </row>
    <row r="20" spans="1:15" s="158" customFormat="1" ht="21" customHeight="1">
      <c r="A20" s="223">
        <v>13</v>
      </c>
      <c r="B20" s="296" t="s">
        <v>433</v>
      </c>
      <c r="C20" s="150" t="s">
        <v>457</v>
      </c>
      <c r="D20" s="287">
        <f>VLOOKUP(B20,LDKT!$B$5:$G$214,6,0)</f>
        <v>86754.15</v>
      </c>
      <c r="E20" s="287">
        <f>VLOOKUP(B20,Dcu!$B$6:$H$919,7,0)</f>
        <v>5923.0769230769229</v>
      </c>
      <c r="F20" s="287">
        <f>VLOOKUP(B20,VL!$B$5:$G$915,6,0)</f>
        <v>11372.400000000001</v>
      </c>
      <c r="G20" s="12">
        <v>0</v>
      </c>
      <c r="H20" s="249">
        <f>VLOOKUP(B20,TB!$B$4:$I$2022,8,0)</f>
        <v>3370.4</v>
      </c>
      <c r="I20" s="249">
        <f t="shared" si="0"/>
        <v>104049.62692307692</v>
      </c>
      <c r="J20" s="249">
        <f t="shared" si="4"/>
        <v>20809.925384615388</v>
      </c>
      <c r="K20" s="250">
        <f t="shared" si="5"/>
        <v>124900</v>
      </c>
      <c r="N20" s="146">
        <v>84200</v>
      </c>
      <c r="O20" s="357">
        <f t="shared" si="3"/>
        <v>40700</v>
      </c>
    </row>
    <row r="21" spans="1:15" s="158" customFormat="1" ht="21" customHeight="1">
      <c r="A21" s="223">
        <v>14</v>
      </c>
      <c r="B21" s="296" t="s">
        <v>434</v>
      </c>
      <c r="C21" s="150" t="s">
        <v>458</v>
      </c>
      <c r="D21" s="287">
        <f>VLOOKUP(B21,LDKT!$B$5:$G$214,6,0)</f>
        <v>86754.15</v>
      </c>
      <c r="E21" s="287">
        <f>VLOOKUP(B21,Dcu!$B$6:$H$919,7,0)</f>
        <v>5923.0769230769229</v>
      </c>
      <c r="F21" s="287">
        <f>VLOOKUP(B21,VL!$B$5:$G$915,6,0)</f>
        <v>11372.400000000001</v>
      </c>
      <c r="G21" s="12">
        <v>0</v>
      </c>
      <c r="H21" s="249">
        <f>VLOOKUP(B21,TB!$B$4:$I$2022,8,0)</f>
        <v>3370.4</v>
      </c>
      <c r="I21" s="249">
        <f t="shared" si="0"/>
        <v>104049.62692307692</v>
      </c>
      <c r="J21" s="249">
        <f t="shared" si="4"/>
        <v>20809.925384615388</v>
      </c>
      <c r="K21" s="250">
        <f t="shared" si="5"/>
        <v>124900</v>
      </c>
      <c r="N21" s="146">
        <v>84200</v>
      </c>
      <c r="O21" s="357">
        <f t="shared" si="3"/>
        <v>40700</v>
      </c>
    </row>
    <row r="22" spans="1:15" s="158" customFormat="1" ht="21" customHeight="1">
      <c r="A22" s="223">
        <v>15</v>
      </c>
      <c r="B22" s="296" t="s">
        <v>435</v>
      </c>
      <c r="C22" s="150" t="s">
        <v>459</v>
      </c>
      <c r="D22" s="287">
        <f>VLOOKUP(B22,LDKT!$B$5:$G$214,6,0)</f>
        <v>86754.15</v>
      </c>
      <c r="E22" s="287">
        <f>VLOOKUP(B22,Dcu!$B$6:$H$919,7,0)</f>
        <v>5923.0769230769229</v>
      </c>
      <c r="F22" s="287">
        <f>VLOOKUP(B22,VL!$B$5:$G$915,6,0)</f>
        <v>11372.400000000001</v>
      </c>
      <c r="G22" s="12">
        <v>0</v>
      </c>
      <c r="H22" s="249">
        <f>VLOOKUP(B22,TB!$B$4:$I$2022,8,0)</f>
        <v>3370.4</v>
      </c>
      <c r="I22" s="249">
        <f t="shared" si="0"/>
        <v>104049.62692307692</v>
      </c>
      <c r="J22" s="249">
        <f t="shared" si="4"/>
        <v>20809.925384615388</v>
      </c>
      <c r="K22" s="250">
        <f t="shared" si="5"/>
        <v>124900</v>
      </c>
      <c r="N22" s="146">
        <v>84200</v>
      </c>
      <c r="O22" s="357">
        <f t="shared" si="3"/>
        <v>40700</v>
      </c>
    </row>
    <row r="23" spans="1:15" s="158" customFormat="1" ht="21" customHeight="1">
      <c r="A23" s="223">
        <v>16</v>
      </c>
      <c r="B23" s="296" t="s">
        <v>436</v>
      </c>
      <c r="C23" s="150" t="s">
        <v>460</v>
      </c>
      <c r="D23" s="287">
        <f>VLOOKUP(B23,LDKT!$B$5:$G$214,6,0)</f>
        <v>86754.15</v>
      </c>
      <c r="E23" s="287">
        <f>VLOOKUP(B23,Dcu!$B$6:$H$919,7,0)</f>
        <v>1025.6410256410256</v>
      </c>
      <c r="F23" s="287">
        <f>VLOOKUP(B23,VL!$B$5:$G$915,6,0)</f>
        <v>11372.400000000001</v>
      </c>
      <c r="G23" s="12">
        <v>0</v>
      </c>
      <c r="H23" s="249">
        <f>VLOOKUP(B23,TB!$B$4:$I$2022,8,0)</f>
        <v>3370.4</v>
      </c>
      <c r="I23" s="249">
        <f t="shared" si="0"/>
        <v>99152.191025641019</v>
      </c>
      <c r="J23" s="249">
        <f t="shared" si="4"/>
        <v>19830.438205128205</v>
      </c>
      <c r="K23" s="250">
        <f t="shared" si="5"/>
        <v>119000</v>
      </c>
      <c r="N23" s="146">
        <v>84200</v>
      </c>
      <c r="O23" s="357">
        <f t="shared" si="3"/>
        <v>34800</v>
      </c>
    </row>
    <row r="24" spans="1:15" s="158" customFormat="1" ht="21" customHeight="1">
      <c r="A24" s="223">
        <v>17</v>
      </c>
      <c r="B24" s="296" t="s">
        <v>306</v>
      </c>
      <c r="C24" s="95" t="s">
        <v>217</v>
      </c>
      <c r="D24" s="287">
        <f>VLOOKUP(B24,LDKT!$B$5:$G$214,6,0)</f>
        <v>77433.299999999988</v>
      </c>
      <c r="E24" s="287">
        <f>VLOOKUP(B24,Dcu!$B$6:$H$919,7,0)</f>
        <v>5923.0769230769229</v>
      </c>
      <c r="F24" s="287">
        <f>VLOOKUP(B24,VL!$B$5:$G$915,6,0)</f>
        <v>11372.400000000001</v>
      </c>
      <c r="G24" s="12">
        <v>0</v>
      </c>
      <c r="H24" s="249">
        <f>VLOOKUP(B24,TB!$B$4:$I$2022,8,0)</f>
        <v>3370.4</v>
      </c>
      <c r="I24" s="249">
        <f t="shared" si="0"/>
        <v>94728.776923076919</v>
      </c>
      <c r="J24" s="249">
        <f t="shared" si="1"/>
        <v>18945.755384615386</v>
      </c>
      <c r="K24" s="250">
        <f t="shared" si="2"/>
        <v>113700</v>
      </c>
      <c r="N24" s="146">
        <v>84200</v>
      </c>
      <c r="O24" s="357">
        <f t="shared" si="3"/>
        <v>29500</v>
      </c>
    </row>
    <row r="25" spans="1:15" s="158" customFormat="1" ht="30.75" customHeight="1">
      <c r="A25" s="223">
        <v>18</v>
      </c>
      <c r="B25" s="10" t="s">
        <v>307</v>
      </c>
      <c r="C25" s="150" t="s">
        <v>373</v>
      </c>
      <c r="D25" s="287">
        <f>VLOOKUP(B25,LDKT!$B$5:$G$214,6,0)</f>
        <v>86754.15</v>
      </c>
      <c r="E25" s="287">
        <f>VLOOKUP(B25,Dcu!$B$6:$H$919,7,0)</f>
        <v>5923.0769230769229</v>
      </c>
      <c r="F25" s="287">
        <f>VLOOKUP(B25,VL!$B$5:$G$915,6,0)</f>
        <v>10994.400000000001</v>
      </c>
      <c r="G25" s="12">
        <v>0</v>
      </c>
      <c r="H25" s="249">
        <f>VLOOKUP(B25,TB!$B$4:$I$2022,8,0)</f>
        <v>3370.4</v>
      </c>
      <c r="I25" s="249">
        <f t="shared" si="0"/>
        <v>103671.62692307692</v>
      </c>
      <c r="J25" s="249">
        <f t="shared" si="1"/>
        <v>20734.325384615386</v>
      </c>
      <c r="K25" s="250">
        <f t="shared" si="2"/>
        <v>124400</v>
      </c>
      <c r="N25" s="146">
        <v>104900</v>
      </c>
      <c r="O25" s="357">
        <f t="shared" si="3"/>
        <v>19500</v>
      </c>
    </row>
    <row r="26" spans="1:15" s="158" customFormat="1" ht="21" customHeight="1">
      <c r="A26" s="223">
        <v>19</v>
      </c>
      <c r="B26" s="10" t="s">
        <v>308</v>
      </c>
      <c r="C26" s="150" t="s">
        <v>214</v>
      </c>
      <c r="D26" s="287">
        <f>VLOOKUP(B26,LDKT!$B$5:$G$214,6,0)</f>
        <v>86754.15</v>
      </c>
      <c r="E26" s="287">
        <f>VLOOKUP(B26,Dcu!$B$6:$H$919,7,0)</f>
        <v>5923.0769230769229</v>
      </c>
      <c r="F26" s="287">
        <f>VLOOKUP(B26,VL!$B$5:$G$915,6,0)</f>
        <v>10994.400000000001</v>
      </c>
      <c r="G26" s="12">
        <v>0</v>
      </c>
      <c r="H26" s="249">
        <f>VLOOKUP(B26,TB!$B$4:$I$2022,8,0)</f>
        <v>3370.4</v>
      </c>
      <c r="I26" s="249">
        <f t="shared" si="0"/>
        <v>103671.62692307692</v>
      </c>
      <c r="J26" s="249">
        <f t="shared" si="1"/>
        <v>20734.325384615386</v>
      </c>
      <c r="K26" s="250">
        <f t="shared" si="2"/>
        <v>124400</v>
      </c>
      <c r="N26" s="146">
        <v>104900</v>
      </c>
      <c r="O26" s="357">
        <f t="shared" si="3"/>
        <v>19500</v>
      </c>
    </row>
    <row r="27" spans="1:15" s="158" customFormat="1" ht="21" customHeight="1">
      <c r="A27" s="223">
        <v>20</v>
      </c>
      <c r="B27" s="10" t="s">
        <v>309</v>
      </c>
      <c r="C27" s="298" t="s">
        <v>215</v>
      </c>
      <c r="D27" s="287">
        <f>VLOOKUP(B27,LDKT!$B$5:$G$214,6,0)</f>
        <v>86754.15</v>
      </c>
      <c r="E27" s="287">
        <f>VLOOKUP(B27,Dcu!$B$6:$H$919,7,0)</f>
        <v>5923.0769230769229</v>
      </c>
      <c r="F27" s="287">
        <f>VLOOKUP(B27,VL!$B$5:$G$915,6,0)</f>
        <v>10994.400000000001</v>
      </c>
      <c r="G27" s="12">
        <v>0</v>
      </c>
      <c r="H27" s="249">
        <f>VLOOKUP(B27,TB!$B$4:$I$2022,8,0)</f>
        <v>3370.4</v>
      </c>
      <c r="I27" s="249">
        <f t="shared" si="0"/>
        <v>103671.62692307692</v>
      </c>
      <c r="J27" s="249">
        <f t="shared" si="1"/>
        <v>20734.325384615386</v>
      </c>
      <c r="K27" s="250">
        <f t="shared" si="2"/>
        <v>124400</v>
      </c>
      <c r="N27" s="146">
        <v>104900</v>
      </c>
      <c r="O27" s="357">
        <f t="shared" si="3"/>
        <v>19500</v>
      </c>
    </row>
    <row r="28" spans="1:15" s="158" customFormat="1" ht="21" customHeight="1">
      <c r="A28" s="223">
        <v>21</v>
      </c>
      <c r="B28" s="10" t="s">
        <v>310</v>
      </c>
      <c r="C28" s="150" t="s">
        <v>10</v>
      </c>
      <c r="D28" s="287">
        <f>VLOOKUP(B28,LDKT!$B$5:$G$214,6,0)</f>
        <v>86754.15</v>
      </c>
      <c r="E28" s="287">
        <f>VLOOKUP(B28,Dcu!$B$6:$H$919,7,0)</f>
        <v>5923.0769230769229</v>
      </c>
      <c r="F28" s="287">
        <f>VLOOKUP(B28,VL!$B$5:$G$915,6,0)</f>
        <v>10994.400000000001</v>
      </c>
      <c r="G28" s="12">
        <v>0</v>
      </c>
      <c r="H28" s="249">
        <f>VLOOKUP(B28,TB!$B$4:$I$2022,8,0)</f>
        <v>3370.4</v>
      </c>
      <c r="I28" s="249">
        <f t="shared" si="0"/>
        <v>103671.62692307692</v>
      </c>
      <c r="J28" s="249">
        <f t="shared" si="1"/>
        <v>20734.325384615386</v>
      </c>
      <c r="K28" s="250">
        <f t="shared" si="2"/>
        <v>124400</v>
      </c>
      <c r="N28" s="146">
        <v>104900</v>
      </c>
      <c r="O28" s="357">
        <f t="shared" si="3"/>
        <v>19500</v>
      </c>
    </row>
    <row r="29" spans="1:15" s="158" customFormat="1" ht="21" customHeight="1">
      <c r="A29" s="223">
        <v>22</v>
      </c>
      <c r="B29" s="10" t="s">
        <v>311</v>
      </c>
      <c r="C29" s="137" t="s">
        <v>11</v>
      </c>
      <c r="D29" s="287">
        <f>VLOOKUP(B29,LDKT!$B$5:$G$214,6,0)</f>
        <v>86754.15</v>
      </c>
      <c r="E29" s="287">
        <f>VLOOKUP(B29,Dcu!$B$6:$H$919,7,0)</f>
        <v>5923.0769230769229</v>
      </c>
      <c r="F29" s="287">
        <f>VLOOKUP(B29,VL!$B$5:$G$915,6,0)</f>
        <v>10994.400000000001</v>
      </c>
      <c r="G29" s="12">
        <v>0</v>
      </c>
      <c r="H29" s="249">
        <f>VLOOKUP(B29,TB!$B$4:$I$2022,8,0)</f>
        <v>3370.4</v>
      </c>
      <c r="I29" s="249">
        <f t="shared" si="0"/>
        <v>103671.62692307692</v>
      </c>
      <c r="J29" s="249">
        <f t="shared" si="1"/>
        <v>20734.325384615386</v>
      </c>
      <c r="K29" s="250">
        <f t="shared" si="2"/>
        <v>124400</v>
      </c>
      <c r="N29" s="146">
        <v>104900</v>
      </c>
      <c r="O29" s="357">
        <f t="shared" si="3"/>
        <v>19500</v>
      </c>
    </row>
    <row r="30" spans="1:15" s="87" customFormat="1" ht="19.5" customHeight="1">
      <c r="A30" s="83" t="s">
        <v>177</v>
      </c>
      <c r="B30" s="446" t="s">
        <v>188</v>
      </c>
      <c r="C30" s="446"/>
      <c r="D30" s="446"/>
      <c r="E30" s="446"/>
      <c r="F30" s="446"/>
      <c r="G30" s="446"/>
      <c r="H30" s="446"/>
      <c r="I30" s="446"/>
      <c r="J30" s="446"/>
      <c r="K30" s="446"/>
      <c r="L30" s="86"/>
      <c r="M30" s="340"/>
      <c r="N30" s="347"/>
      <c r="O30" s="357"/>
    </row>
    <row r="31" spans="1:15" ht="19.5" customHeight="1">
      <c r="A31" s="84">
        <v>1</v>
      </c>
      <c r="B31" s="248" t="s">
        <v>290</v>
      </c>
      <c r="C31" s="248" t="s">
        <v>216</v>
      </c>
      <c r="D31" s="287">
        <f>VLOOKUP(B31,LDKT!$B$5:$G$214,6,0)</f>
        <v>110619</v>
      </c>
      <c r="E31" s="287">
        <f>VLOOKUP(B31,Dcu!$B$6:$H$919,7,0)</f>
        <v>30247.232589743591</v>
      </c>
      <c r="F31" s="287">
        <f>VLOOKUP(B31,VL!$B$5:$G$915,6,0)</f>
        <v>110261.952</v>
      </c>
      <c r="G31" s="251">
        <f>TB!I48</f>
        <v>7057.92</v>
      </c>
      <c r="H31" s="252">
        <f>TB!I41</f>
        <v>11930.440000000002</v>
      </c>
      <c r="I31" s="249">
        <f t="shared" si="0"/>
        <v>258186.10458974363</v>
      </c>
      <c r="J31" s="249">
        <f>I31*20%</f>
        <v>51637.220917948725</v>
      </c>
      <c r="K31" s="250">
        <f t="shared" si="2"/>
        <v>309800</v>
      </c>
      <c r="L31" s="85">
        <f>'[4]Don gia 1050'!$R$32</f>
        <v>619198.02508923074</v>
      </c>
      <c r="M31" s="340">
        <f>K31-L31</f>
        <v>-309398.02508923074</v>
      </c>
      <c r="N31" s="348">
        <v>181900</v>
      </c>
      <c r="O31" s="357">
        <f t="shared" si="3"/>
        <v>127900</v>
      </c>
    </row>
    <row r="32" spans="1:15" ht="19.5" customHeight="1">
      <c r="A32" s="84">
        <v>2</v>
      </c>
      <c r="B32" s="10" t="s">
        <v>298</v>
      </c>
      <c r="C32" s="137" t="s">
        <v>379</v>
      </c>
      <c r="D32" s="287">
        <f>VLOOKUP(B32,LDKT!$B$5:$G$214,6,0)</f>
        <v>125250</v>
      </c>
      <c r="E32" s="287">
        <f>VLOOKUP(B32,Dcu!$B$6:$H$919,7,0)</f>
        <v>15060.463358974361</v>
      </c>
      <c r="F32" s="287">
        <f>VLOOKUP(B32,VL!$B$5:$G$915,6,0)</f>
        <v>231300.90000000002</v>
      </c>
      <c r="G32" s="252">
        <f>TB!I55</f>
        <v>25437.919999999998</v>
      </c>
      <c r="H32" s="253">
        <f>TB!I49</f>
        <v>11435.800000000001</v>
      </c>
      <c r="I32" s="249">
        <f t="shared" si="0"/>
        <v>397049.28335897438</v>
      </c>
      <c r="J32" s="249">
        <f t="shared" ref="J32:J53" si="6">I32*20%</f>
        <v>79409.856671794885</v>
      </c>
      <c r="K32" s="250">
        <f t="shared" si="2"/>
        <v>476500</v>
      </c>
      <c r="L32" s="85">
        <v>649250</v>
      </c>
      <c r="M32" s="340">
        <f t="shared" ref="M32:M53" si="7">K32-L32</f>
        <v>-172750</v>
      </c>
      <c r="N32" s="348">
        <v>463200</v>
      </c>
      <c r="O32" s="357">
        <f t="shared" si="3"/>
        <v>13300</v>
      </c>
    </row>
    <row r="33" spans="1:15" ht="19.5" customHeight="1">
      <c r="A33" s="84">
        <v>3</v>
      </c>
      <c r="B33" s="11" t="s">
        <v>313</v>
      </c>
      <c r="C33" s="305" t="s">
        <v>12</v>
      </c>
      <c r="D33" s="287">
        <f>VLOOKUP(B33,LDKT!$B$5:$G$214,6,0)</f>
        <v>206557.5</v>
      </c>
      <c r="E33" s="287">
        <f>VLOOKUP(B33,Dcu!$B$6:$H$919,7,0)</f>
        <v>17182.899256410259</v>
      </c>
      <c r="F33" s="287">
        <f>VLOOKUP(B33,VL!$B$5:$G$915,6,0)</f>
        <v>279858.24</v>
      </c>
      <c r="G33" s="252">
        <f>TB!I64</f>
        <v>50085.5</v>
      </c>
      <c r="H33" s="253">
        <f>TB!I56</f>
        <v>36153.480000000003</v>
      </c>
      <c r="I33" s="249">
        <f t="shared" si="0"/>
        <v>553684.1392564103</v>
      </c>
      <c r="J33" s="249">
        <f t="shared" si="6"/>
        <v>110736.82785128207</v>
      </c>
      <c r="K33" s="250">
        <f t="shared" si="2"/>
        <v>664400</v>
      </c>
      <c r="L33" s="85">
        <v>649250</v>
      </c>
      <c r="M33" s="340">
        <f t="shared" si="7"/>
        <v>15150</v>
      </c>
      <c r="N33" s="348">
        <v>842300</v>
      </c>
      <c r="O33" s="357">
        <f t="shared" si="3"/>
        <v>-177900</v>
      </c>
    </row>
    <row r="34" spans="1:15" ht="19.5" customHeight="1">
      <c r="A34" s="84">
        <v>4</v>
      </c>
      <c r="B34" s="9" t="s">
        <v>314</v>
      </c>
      <c r="C34" s="305" t="s">
        <v>13</v>
      </c>
      <c r="D34" s="287">
        <f>VLOOKUP(B34,LDKT!$B$5:$G$214,6,0)</f>
        <v>206557.5</v>
      </c>
      <c r="E34" s="287">
        <f>VLOOKUP(B34,Dcu!$B$6:$H$919,7,0)</f>
        <v>31941.232589743599</v>
      </c>
      <c r="F34" s="287">
        <f>VLOOKUP(B34,VL!$B$5:$G$915,6,0)</f>
        <v>183866.76</v>
      </c>
      <c r="G34" s="252">
        <f>TB!I73</f>
        <v>15200.259999999998</v>
      </c>
      <c r="H34" s="253">
        <f>TB!I65</f>
        <v>37475.799999999996</v>
      </c>
      <c r="I34" s="249">
        <f t="shared" si="0"/>
        <v>437565.75258974358</v>
      </c>
      <c r="J34" s="249">
        <f t="shared" si="6"/>
        <v>87513.150517948729</v>
      </c>
      <c r="K34" s="250">
        <f t="shared" si="2"/>
        <v>525100</v>
      </c>
      <c r="L34" s="85">
        <v>643210</v>
      </c>
      <c r="M34" s="340">
        <f t="shared" si="7"/>
        <v>-118110</v>
      </c>
      <c r="N34" s="348">
        <v>484900</v>
      </c>
      <c r="O34" s="357">
        <f t="shared" si="3"/>
        <v>40200</v>
      </c>
    </row>
    <row r="35" spans="1:15" ht="19.5" customHeight="1">
      <c r="A35" s="84">
        <v>5</v>
      </c>
      <c r="B35" s="10" t="s">
        <v>315</v>
      </c>
      <c r="C35" s="106" t="s">
        <v>218</v>
      </c>
      <c r="D35" s="287">
        <f>VLOOKUP(B35,LDKT!$B$5:$G$214,6,0)</f>
        <v>154918.125</v>
      </c>
      <c r="E35" s="287">
        <f>VLOOKUP(B35,Dcu!$B$6:$H$919,7,0)</f>
        <v>51963.771051282041</v>
      </c>
      <c r="F35" s="287">
        <f>VLOOKUP(B35,VL!$B$5:$G$915,6,0)</f>
        <v>68002.200000000012</v>
      </c>
      <c r="G35" s="252">
        <f>TB!I82</f>
        <v>19280.62</v>
      </c>
      <c r="H35" s="253">
        <f>TB!I74</f>
        <v>70369.8</v>
      </c>
      <c r="I35" s="249">
        <f t="shared" si="0"/>
        <v>294164.71605128201</v>
      </c>
      <c r="J35" s="249">
        <f t="shared" si="6"/>
        <v>58832.943210256402</v>
      </c>
      <c r="K35" s="250">
        <f t="shared" si="2"/>
        <v>353000</v>
      </c>
      <c r="L35" s="85"/>
      <c r="M35" s="340"/>
      <c r="N35" s="355">
        <v>350800</v>
      </c>
      <c r="O35" s="357">
        <f t="shared" si="3"/>
        <v>2200</v>
      </c>
    </row>
    <row r="36" spans="1:15" ht="19.5" customHeight="1">
      <c r="A36" s="84">
        <v>6</v>
      </c>
      <c r="B36" s="10" t="s">
        <v>316</v>
      </c>
      <c r="C36" s="106" t="s">
        <v>219</v>
      </c>
      <c r="D36" s="287">
        <f>VLOOKUP(B36,LDKT!$B$5:$G$214,6,0)</f>
        <v>154918.125</v>
      </c>
      <c r="E36" s="287">
        <f>VLOOKUP(B36,Dcu!$B$6:$H$919,7,0)</f>
        <v>51620.331273504271</v>
      </c>
      <c r="F36" s="287">
        <f>VLOOKUP(B36,VL!$B$5:$G$915,6,0)</f>
        <v>57294.000000000007</v>
      </c>
      <c r="G36" s="252">
        <f>TB!I82</f>
        <v>19280.62</v>
      </c>
      <c r="H36" s="253">
        <f>TB!I74</f>
        <v>70369.8</v>
      </c>
      <c r="I36" s="249">
        <f t="shared" si="0"/>
        <v>283113.0762735043</v>
      </c>
      <c r="J36" s="249">
        <f t="shared" si="6"/>
        <v>56622.615254700861</v>
      </c>
      <c r="K36" s="250">
        <f t="shared" si="2"/>
        <v>339700</v>
      </c>
      <c r="L36" s="85"/>
      <c r="M36" s="340"/>
      <c r="N36" s="348">
        <v>302200</v>
      </c>
      <c r="O36" s="357">
        <f t="shared" si="3"/>
        <v>37500</v>
      </c>
    </row>
    <row r="37" spans="1:15" ht="19.5" customHeight="1">
      <c r="A37" s="84">
        <v>7</v>
      </c>
      <c r="B37" s="10" t="s">
        <v>317</v>
      </c>
      <c r="C37" s="305" t="s">
        <v>213</v>
      </c>
      <c r="D37" s="287">
        <f>VLOOKUP(B37,LDKT!$B$5:$G$214,6,0)</f>
        <v>208750</v>
      </c>
      <c r="E37" s="287">
        <f>VLOOKUP(B37,Dcu!$B$6:$H$919,7,0)</f>
        <v>100801.25761538463</v>
      </c>
      <c r="F37" s="287">
        <f>VLOOKUP(B37,VL!$B$5:$G$915,6,0)</f>
        <v>365897.52</v>
      </c>
      <c r="G37" s="252">
        <f>TB!I93</f>
        <v>31705.5</v>
      </c>
      <c r="H37" s="253">
        <f>TB!I84</f>
        <v>42608.799999999996</v>
      </c>
      <c r="I37" s="249">
        <f t="shared" si="0"/>
        <v>707154.27761538466</v>
      </c>
      <c r="J37" s="249">
        <f t="shared" si="6"/>
        <v>141430.85552307693</v>
      </c>
      <c r="K37" s="250">
        <f t="shared" si="2"/>
        <v>848600</v>
      </c>
      <c r="L37" s="85"/>
      <c r="M37" s="340"/>
      <c r="N37" s="348">
        <v>700000</v>
      </c>
      <c r="O37" s="357">
        <f t="shared" si="3"/>
        <v>148600</v>
      </c>
    </row>
    <row r="38" spans="1:15" ht="19.5" customHeight="1">
      <c r="A38" s="84">
        <v>8</v>
      </c>
      <c r="B38" s="296" t="s">
        <v>437</v>
      </c>
      <c r="C38" s="150" t="s">
        <v>462</v>
      </c>
      <c r="D38" s="287">
        <f>VLOOKUP(B38,LDKT!$B$5:$G$214,6,0)</f>
        <v>167000</v>
      </c>
      <c r="E38" s="287">
        <f>VLOOKUP(B38,Dcu!$B$6:$H$919,7,0)</f>
        <v>135641.78074358974</v>
      </c>
      <c r="F38" s="287">
        <f>VLOOKUP(B38,VL!$B$5:$G$915,6,0)</f>
        <v>95796</v>
      </c>
      <c r="G38" s="252">
        <f>TB!I103</f>
        <v>55323.8</v>
      </c>
      <c r="H38" s="253">
        <f>TB!I94</f>
        <v>128521</v>
      </c>
      <c r="I38" s="249">
        <f t="shared" si="0"/>
        <v>453761.58074358973</v>
      </c>
      <c r="J38" s="249">
        <f t="shared" si="6"/>
        <v>90752.316148717946</v>
      </c>
      <c r="K38" s="250">
        <f t="shared" si="2"/>
        <v>544500</v>
      </c>
      <c r="L38" s="85"/>
      <c r="M38" s="340"/>
      <c r="N38" s="342">
        <v>529500</v>
      </c>
      <c r="O38" s="357">
        <f t="shared" si="3"/>
        <v>15000</v>
      </c>
    </row>
    <row r="39" spans="1:15" ht="19.5" customHeight="1">
      <c r="A39" s="84">
        <v>9</v>
      </c>
      <c r="B39" s="296" t="s">
        <v>438</v>
      </c>
      <c r="C39" s="150" t="s">
        <v>448</v>
      </c>
      <c r="D39" s="287">
        <f>VLOOKUP(B39,LDKT!$B$5:$G$214,6,0)</f>
        <v>167000</v>
      </c>
      <c r="E39" s="287">
        <f>VLOOKUP(B39,Dcu!$B$6:$H$919,7,0)</f>
        <v>135641.78074358974</v>
      </c>
      <c r="F39" s="287">
        <f>VLOOKUP(B39,VL!$B$5:$G$915,6,0)</f>
        <v>95796</v>
      </c>
      <c r="G39" s="252">
        <f>G38</f>
        <v>55323.8</v>
      </c>
      <c r="H39" s="253">
        <f>TB!I95</f>
        <v>11592</v>
      </c>
      <c r="I39" s="249">
        <f t="shared" si="0"/>
        <v>453761.58074358973</v>
      </c>
      <c r="J39" s="249">
        <f t="shared" ref="J39:J46" si="8">I39*20%</f>
        <v>90752.316148717946</v>
      </c>
      <c r="K39" s="250">
        <f t="shared" ref="K39:K46" si="9">ROUND((I39+J39),-2)</f>
        <v>544500</v>
      </c>
      <c r="L39" s="85"/>
      <c r="M39" s="340"/>
      <c r="N39" s="342">
        <v>529500</v>
      </c>
      <c r="O39" s="357">
        <f t="shared" si="3"/>
        <v>15000</v>
      </c>
    </row>
    <row r="40" spans="1:15" ht="19.5" customHeight="1">
      <c r="A40" s="84">
        <v>10</v>
      </c>
      <c r="B40" s="296" t="s">
        <v>439</v>
      </c>
      <c r="C40" s="150" t="s">
        <v>463</v>
      </c>
      <c r="D40" s="287">
        <f>VLOOKUP(B40,LDKT!$B$5:$G$214,6,0)</f>
        <v>208750</v>
      </c>
      <c r="E40" s="287">
        <f>VLOOKUP(B40,Dcu!$B$6:$H$919,7,0)</f>
        <v>188094.12774358978</v>
      </c>
      <c r="F40" s="287">
        <f>VLOOKUP(B40,VL!$B$5:$G$915,6,0)</f>
        <v>97794</v>
      </c>
      <c r="G40" s="252">
        <f>TB!I115</f>
        <v>71976.079999999987</v>
      </c>
      <c r="H40" s="253">
        <f>TB!I96</f>
        <v>2483.2000000000003</v>
      </c>
      <c r="I40" s="249">
        <f t="shared" si="0"/>
        <v>566614.20774358977</v>
      </c>
      <c r="J40" s="249">
        <f t="shared" si="8"/>
        <v>113322.84154871796</v>
      </c>
      <c r="K40" s="250">
        <f t="shared" si="9"/>
        <v>679900</v>
      </c>
      <c r="L40" s="85"/>
      <c r="M40" s="340"/>
      <c r="N40" s="349">
        <v>591600</v>
      </c>
      <c r="O40" s="357">
        <f t="shared" si="3"/>
        <v>88300</v>
      </c>
    </row>
    <row r="41" spans="1:15" ht="19.5" customHeight="1">
      <c r="A41" s="84">
        <v>11</v>
      </c>
      <c r="B41" s="296" t="s">
        <v>440</v>
      </c>
      <c r="C41" s="150" t="s">
        <v>464</v>
      </c>
      <c r="D41" s="287">
        <f>VLOOKUP(B41,LDKT!$B$5:$G$214,6,0)</f>
        <v>208750</v>
      </c>
      <c r="E41" s="287">
        <f>VLOOKUP(B41,Dcu!$B$6:$H$919,7,0)</f>
        <v>188094.12774358978</v>
      </c>
      <c r="F41" s="287">
        <f>VLOOKUP(B41,VL!$B$5:$G$915,6,0)</f>
        <v>97794</v>
      </c>
      <c r="G41" s="252">
        <f>G40</f>
        <v>71976.079999999987</v>
      </c>
      <c r="H41" s="253">
        <f>TB!I97</f>
        <v>25379.200000000001</v>
      </c>
      <c r="I41" s="249">
        <f t="shared" si="0"/>
        <v>566614.20774358977</v>
      </c>
      <c r="J41" s="249">
        <f t="shared" si="8"/>
        <v>113322.84154871796</v>
      </c>
      <c r="K41" s="250">
        <f t="shared" si="9"/>
        <v>679900</v>
      </c>
      <c r="L41" s="85"/>
      <c r="M41" s="340"/>
      <c r="N41" s="349">
        <v>602600</v>
      </c>
      <c r="O41" s="357">
        <f t="shared" si="3"/>
        <v>77300</v>
      </c>
    </row>
    <row r="42" spans="1:15" ht="19.5" customHeight="1">
      <c r="A42" s="84">
        <v>12</v>
      </c>
      <c r="B42" s="296" t="s">
        <v>441</v>
      </c>
      <c r="C42" s="150" t="s">
        <v>451</v>
      </c>
      <c r="D42" s="287">
        <f>VLOOKUP(B42,LDKT!$B$5:$G$214,6,0)</f>
        <v>165246</v>
      </c>
      <c r="E42" s="287">
        <f>VLOOKUP(B42,Dcu!$B$6:$H$919,7,0)</f>
        <v>60285.423615384614</v>
      </c>
      <c r="F42" s="287">
        <f>VLOOKUP(B42,VL!$B$5:$G$915,6,0)</f>
        <v>81432</v>
      </c>
      <c r="G42" s="252">
        <f>TB!I126</f>
        <v>49368.68</v>
      </c>
      <c r="H42" s="253">
        <f>TB!I98</f>
        <v>2268</v>
      </c>
      <c r="I42" s="249">
        <f t="shared" si="0"/>
        <v>356332.10361538461</v>
      </c>
      <c r="J42" s="249">
        <f t="shared" si="8"/>
        <v>71266.420723076924</v>
      </c>
      <c r="K42" s="250">
        <f t="shared" si="9"/>
        <v>427600</v>
      </c>
      <c r="L42" s="85"/>
      <c r="M42" s="340"/>
      <c r="N42" s="349">
        <v>426500</v>
      </c>
      <c r="O42" s="357">
        <f t="shared" si="3"/>
        <v>1100</v>
      </c>
    </row>
    <row r="43" spans="1:15" ht="19.5" customHeight="1">
      <c r="A43" s="84">
        <v>13</v>
      </c>
      <c r="B43" s="296" t="s">
        <v>442</v>
      </c>
      <c r="C43" s="150" t="s">
        <v>457</v>
      </c>
      <c r="D43" s="287">
        <f>VLOOKUP(B43,LDKT!$B$5:$G$214,6,0)</f>
        <v>165246</v>
      </c>
      <c r="E43" s="287">
        <f>VLOOKUP(B43,Dcu!$B$6:$H$919,7,0)</f>
        <v>60285.423615384614</v>
      </c>
      <c r="F43" s="287">
        <f>VLOOKUP(B43,VL!$B$5:$G$915,6,0)</f>
        <v>81432</v>
      </c>
      <c r="G43" s="252">
        <f>G42</f>
        <v>49368.68</v>
      </c>
      <c r="H43" s="253">
        <f>TB!I99</f>
        <v>2400</v>
      </c>
      <c r="I43" s="249">
        <f t="shared" si="0"/>
        <v>356332.10361538461</v>
      </c>
      <c r="J43" s="249">
        <f t="shared" si="8"/>
        <v>71266.420723076924</v>
      </c>
      <c r="K43" s="250">
        <f t="shared" si="9"/>
        <v>427600</v>
      </c>
      <c r="L43" s="85"/>
      <c r="M43" s="340"/>
      <c r="N43" s="349">
        <v>426500</v>
      </c>
      <c r="O43" s="357">
        <f t="shared" si="3"/>
        <v>1100</v>
      </c>
    </row>
    <row r="44" spans="1:15" ht="19.5" customHeight="1">
      <c r="A44" s="84">
        <v>14</v>
      </c>
      <c r="B44" s="296" t="s">
        <v>443</v>
      </c>
      <c r="C44" s="150" t="s">
        <v>458</v>
      </c>
      <c r="D44" s="287">
        <f>VLOOKUP(B44,LDKT!$B$5:$G$214,6,0)</f>
        <v>165246</v>
      </c>
      <c r="E44" s="287">
        <f>VLOOKUP(B44,Dcu!$B$6:$H$919,7,0)</f>
        <v>60285.423615384614</v>
      </c>
      <c r="F44" s="287">
        <f>VLOOKUP(B44,VL!$B$5:$G$915,6,0)</f>
        <v>81432</v>
      </c>
      <c r="G44" s="252">
        <f>G42</f>
        <v>49368.68</v>
      </c>
      <c r="H44" s="253">
        <f>TB!I100</f>
        <v>63480</v>
      </c>
      <c r="I44" s="249">
        <f t="shared" si="0"/>
        <v>356332.10361538461</v>
      </c>
      <c r="J44" s="249">
        <f t="shared" si="8"/>
        <v>71266.420723076924</v>
      </c>
      <c r="K44" s="250">
        <f t="shared" si="9"/>
        <v>427600</v>
      </c>
      <c r="L44" s="85"/>
      <c r="M44" s="340"/>
      <c r="N44" s="349">
        <v>426500</v>
      </c>
      <c r="O44" s="357">
        <f t="shared" si="3"/>
        <v>1100</v>
      </c>
    </row>
    <row r="45" spans="1:15" ht="19.5" customHeight="1">
      <c r="A45" s="84">
        <v>15</v>
      </c>
      <c r="B45" s="296" t="s">
        <v>444</v>
      </c>
      <c r="C45" s="150" t="s">
        <v>459</v>
      </c>
      <c r="D45" s="287">
        <f>VLOOKUP(B45,LDKT!$B$5:$G$214,6,0)</f>
        <v>165246</v>
      </c>
      <c r="E45" s="287">
        <f>VLOOKUP(B45,Dcu!$B$6:$H$919,7,0)</f>
        <v>60285.423615384614</v>
      </c>
      <c r="F45" s="287">
        <f>VLOOKUP(B45,VL!$B$5:$G$915,6,0)</f>
        <v>81432</v>
      </c>
      <c r="G45" s="252">
        <f>G42</f>
        <v>49368.68</v>
      </c>
      <c r="H45" s="253">
        <f>TB!I101</f>
        <v>20664</v>
      </c>
      <c r="I45" s="249">
        <f t="shared" si="0"/>
        <v>356332.10361538461</v>
      </c>
      <c r="J45" s="249">
        <f t="shared" si="8"/>
        <v>71266.420723076924</v>
      </c>
      <c r="K45" s="250">
        <f t="shared" si="9"/>
        <v>427600</v>
      </c>
      <c r="L45" s="85"/>
      <c r="M45" s="340"/>
      <c r="N45" s="349">
        <v>426500</v>
      </c>
      <c r="O45" s="357">
        <f t="shared" si="3"/>
        <v>1100</v>
      </c>
    </row>
    <row r="46" spans="1:15" ht="19.5" customHeight="1">
      <c r="A46" s="84">
        <v>16</v>
      </c>
      <c r="B46" s="296" t="s">
        <v>445</v>
      </c>
      <c r="C46" s="150" t="s">
        <v>460</v>
      </c>
      <c r="D46" s="287">
        <f>VLOOKUP(B46,LDKT!$B$5:$G$214,6,0)</f>
        <v>165246</v>
      </c>
      <c r="E46" s="287">
        <f>VLOOKUP(B46,Dcu!$B$6:$H$919,7,0)</f>
        <v>60285.423615384614</v>
      </c>
      <c r="F46" s="287">
        <f>VLOOKUP(B46,VL!$B$5:$G$915,6,0)</f>
        <v>81432</v>
      </c>
      <c r="G46" s="252">
        <f>G43</f>
        <v>49368.68</v>
      </c>
      <c r="H46" s="253">
        <f>TB!I102</f>
        <v>254.60000000000002</v>
      </c>
      <c r="I46" s="249">
        <f t="shared" si="0"/>
        <v>356332.10361538461</v>
      </c>
      <c r="J46" s="249">
        <f t="shared" si="8"/>
        <v>71266.420723076924</v>
      </c>
      <c r="K46" s="250">
        <f t="shared" si="9"/>
        <v>427600</v>
      </c>
      <c r="L46" s="85"/>
      <c r="M46" s="340"/>
      <c r="N46" s="349">
        <v>426500</v>
      </c>
      <c r="O46" s="357">
        <f t="shared" si="3"/>
        <v>1100</v>
      </c>
    </row>
    <row r="47" spans="1:15" ht="19.5" customHeight="1">
      <c r="A47" s="84">
        <v>17</v>
      </c>
      <c r="B47" s="10" t="s">
        <v>318</v>
      </c>
      <c r="C47" s="95" t="s">
        <v>217</v>
      </c>
      <c r="D47" s="287">
        <f>VLOOKUP(B47,LDKT!$B$5:$G$214,6,0)</f>
        <v>92182.5</v>
      </c>
      <c r="E47" s="287">
        <f>VLOOKUP(B47,Dcu!$B$6:$H$919,7,0)</f>
        <v>32213.694128205138</v>
      </c>
      <c r="F47" s="287">
        <f>VLOOKUP(B47,VL!$B$5:$G$915,6,0)</f>
        <v>78451.200000000012</v>
      </c>
      <c r="G47" s="252">
        <f>TB!I138</f>
        <v>23305.84</v>
      </c>
      <c r="H47" s="253">
        <f>TB!I131</f>
        <v>91549.8</v>
      </c>
      <c r="I47" s="249">
        <f t="shared" si="0"/>
        <v>226153.23412820513</v>
      </c>
      <c r="J47" s="249">
        <f t="shared" si="6"/>
        <v>45230.64682564103</v>
      </c>
      <c r="K47" s="250">
        <f t="shared" si="2"/>
        <v>271400</v>
      </c>
      <c r="L47" s="85"/>
      <c r="M47" s="340"/>
      <c r="N47" s="348">
        <v>297600</v>
      </c>
      <c r="O47" s="357">
        <f t="shared" si="3"/>
        <v>-26200</v>
      </c>
    </row>
    <row r="48" spans="1:15" ht="23.25" customHeight="1">
      <c r="A48" s="84">
        <v>18</v>
      </c>
      <c r="B48" s="10" t="s">
        <v>220</v>
      </c>
      <c r="C48" s="13" t="s">
        <v>399</v>
      </c>
      <c r="D48" s="287">
        <f>VLOOKUP(B48,LDKT!$B$5:$G$214,6,0)</f>
        <v>250500</v>
      </c>
      <c r="E48" s="287">
        <f>VLOOKUP(B48,Dcu!$B$6:$H$919,7,0)</f>
        <v>230197.58347008549</v>
      </c>
      <c r="F48" s="287">
        <f>VLOOKUP(B48,VL!$B$5:$G$915,6,0)</f>
        <v>1129356</v>
      </c>
      <c r="G48" s="252">
        <f>TB!I150</f>
        <v>166302.24000000002</v>
      </c>
      <c r="H48" s="253">
        <f>TB!I139</f>
        <v>162301.40000000002</v>
      </c>
      <c r="I48" s="249">
        <f t="shared" si="0"/>
        <v>1776355.8234700856</v>
      </c>
      <c r="J48" s="249">
        <f t="shared" si="6"/>
        <v>355271.16469401715</v>
      </c>
      <c r="K48" s="250">
        <f t="shared" si="2"/>
        <v>2131600</v>
      </c>
      <c r="L48" s="85"/>
      <c r="M48" s="340"/>
      <c r="N48" s="348">
        <v>2362000</v>
      </c>
      <c r="O48" s="357">
        <f t="shared" si="3"/>
        <v>-230400</v>
      </c>
    </row>
    <row r="49" spans="1:22" ht="19.5" customHeight="1">
      <c r="A49" s="84">
        <v>19</v>
      </c>
      <c r="B49" s="10" t="s">
        <v>319</v>
      </c>
      <c r="C49" s="13" t="s">
        <v>214</v>
      </c>
      <c r="D49" s="287">
        <f>VLOOKUP(B49,LDKT!$B$5:$G$214,6,0)</f>
        <v>250500</v>
      </c>
      <c r="E49" s="287">
        <f>VLOOKUP(B49,Dcu!$B$6:$H$919,7,0)</f>
        <v>230197.58347008549</v>
      </c>
      <c r="F49" s="287">
        <f>VLOOKUP(B49,VL!$B$5:$G$915,6,0)</f>
        <v>1129356</v>
      </c>
      <c r="G49" s="252">
        <f>G48</f>
        <v>166302.24000000002</v>
      </c>
      <c r="H49" s="253">
        <f>TB!I139</f>
        <v>162301.40000000002</v>
      </c>
      <c r="I49" s="249">
        <f t="shared" si="0"/>
        <v>1776355.8234700856</v>
      </c>
      <c r="J49" s="249">
        <f t="shared" si="6"/>
        <v>355271.16469401715</v>
      </c>
      <c r="K49" s="250">
        <f t="shared" si="2"/>
        <v>2131600</v>
      </c>
      <c r="L49" s="85"/>
      <c r="M49" s="340"/>
      <c r="N49" s="348">
        <v>2570700</v>
      </c>
      <c r="O49" s="357">
        <f t="shared" si="3"/>
        <v>-439100</v>
      </c>
    </row>
    <row r="50" spans="1:22" ht="19.5" customHeight="1">
      <c r="A50" s="84">
        <v>20</v>
      </c>
      <c r="B50" s="10" t="s">
        <v>320</v>
      </c>
      <c r="C50" s="298" t="s">
        <v>215</v>
      </c>
      <c r="D50" s="287">
        <f>VLOOKUP(B50,LDKT!$B$5:$G$214,6,0)</f>
        <v>250500</v>
      </c>
      <c r="E50" s="287">
        <f>VLOOKUP(B50,Dcu!$B$6:$H$919,7,0)</f>
        <v>230197.58347008549</v>
      </c>
      <c r="F50" s="287">
        <f>VLOOKUP(B50,VL!$B$5:$G$915,6,0)</f>
        <v>1129356</v>
      </c>
      <c r="G50" s="252">
        <f>G48</f>
        <v>166302.24000000002</v>
      </c>
      <c r="H50" s="253">
        <f>TB!I152</f>
        <v>162301.40000000002</v>
      </c>
      <c r="I50" s="249">
        <f t="shared" si="0"/>
        <v>1776355.8234700856</v>
      </c>
      <c r="J50" s="249">
        <f t="shared" si="6"/>
        <v>355271.16469401715</v>
      </c>
      <c r="K50" s="250">
        <f t="shared" si="2"/>
        <v>2131600</v>
      </c>
      <c r="L50" s="85"/>
      <c r="M50" s="340"/>
      <c r="N50" s="348">
        <v>2570700</v>
      </c>
      <c r="O50" s="357">
        <f t="shared" si="3"/>
        <v>-439100</v>
      </c>
    </row>
    <row r="51" spans="1:22" ht="21.75" customHeight="1">
      <c r="A51" s="84">
        <v>21</v>
      </c>
      <c r="B51" s="10" t="s">
        <v>321</v>
      </c>
      <c r="C51" s="13" t="s">
        <v>400</v>
      </c>
      <c r="D51" s="287">
        <f>VLOOKUP(B51,LDKT!$B$5:$G$214,6,0)</f>
        <v>250500</v>
      </c>
      <c r="E51" s="287">
        <f>VLOOKUP(B51,Dcu!$B$6:$H$919,7,0)</f>
        <v>230197.58347008549</v>
      </c>
      <c r="F51" s="287">
        <f>VLOOKUP(B51,VL!$B$5:$G$915,6,0)</f>
        <v>1001376.0000000001</v>
      </c>
      <c r="G51" s="252">
        <f>TB!I150</f>
        <v>166302.24000000002</v>
      </c>
      <c r="H51" s="253">
        <f>TB!I153</f>
        <v>162301.40000000002</v>
      </c>
      <c r="I51" s="249">
        <f t="shared" si="0"/>
        <v>1648375.8234700856</v>
      </c>
      <c r="J51" s="249">
        <f t="shared" si="6"/>
        <v>329675.16469401715</v>
      </c>
      <c r="K51" s="250">
        <f t="shared" si="2"/>
        <v>1978100</v>
      </c>
      <c r="L51" s="85"/>
      <c r="M51" s="340"/>
      <c r="N51" s="348">
        <v>2570700</v>
      </c>
      <c r="O51" s="357">
        <f t="shared" si="3"/>
        <v>-592600</v>
      </c>
    </row>
    <row r="52" spans="1:22" ht="19.5" customHeight="1">
      <c r="A52" s="84">
        <v>22</v>
      </c>
      <c r="B52" s="10" t="s">
        <v>322</v>
      </c>
      <c r="C52" s="137" t="s">
        <v>11</v>
      </c>
      <c r="D52" s="287">
        <f>VLOOKUP(B52,LDKT!$B$5:$G$214,6,0)</f>
        <v>250500</v>
      </c>
      <c r="E52" s="287">
        <f>VLOOKUP(B52,Dcu!$B$6:$H$919,7,0)</f>
        <v>230197.58347008549</v>
      </c>
      <c r="F52" s="287">
        <f>VLOOKUP(B52,VL!$B$5:$G$915,6,0)</f>
        <v>1115856</v>
      </c>
      <c r="G52" s="252">
        <f>G51</f>
        <v>166302.24000000002</v>
      </c>
      <c r="H52" s="253">
        <f>TB!I154</f>
        <v>162301.40000000002</v>
      </c>
      <c r="I52" s="249">
        <f t="shared" si="0"/>
        <v>1762855.8234700856</v>
      </c>
      <c r="J52" s="249">
        <f t="shared" si="6"/>
        <v>352571.16469401715</v>
      </c>
      <c r="K52" s="250">
        <f t="shared" si="2"/>
        <v>2115400</v>
      </c>
      <c r="L52" s="85"/>
      <c r="M52" s="340"/>
      <c r="N52" s="348">
        <v>2570700</v>
      </c>
      <c r="O52" s="357">
        <f t="shared" si="3"/>
        <v>-455300</v>
      </c>
    </row>
    <row r="53" spans="1:22" ht="19.5" customHeight="1">
      <c r="A53" s="84">
        <v>23</v>
      </c>
      <c r="B53" s="11" t="s">
        <v>5</v>
      </c>
      <c r="C53" s="305" t="s">
        <v>273</v>
      </c>
      <c r="D53" s="287">
        <f>VLOOKUP(B53,LDKT!$B$5:$G$214,6,0)</f>
        <v>229625.00000000003</v>
      </c>
      <c r="E53" s="287">
        <f>VLOOKUP(B53,Dcu!$B$6:$H$919,7,0)</f>
        <v>45799.310897435891</v>
      </c>
      <c r="F53" s="287">
        <f>VLOOKUP(B53,VL!$B$5:$G$915,6,0)</f>
        <v>633744</v>
      </c>
      <c r="G53" s="252">
        <f>TB!I164</f>
        <v>65708.5</v>
      </c>
      <c r="H53" s="253">
        <f>TB!I155</f>
        <v>98521</v>
      </c>
      <c r="I53" s="249">
        <f t="shared" si="0"/>
        <v>974876.81089743599</v>
      </c>
      <c r="J53" s="249">
        <f t="shared" si="6"/>
        <v>194975.36217948722</v>
      </c>
      <c r="K53" s="250">
        <f t="shared" si="2"/>
        <v>1169900</v>
      </c>
      <c r="L53" s="85">
        <v>649250</v>
      </c>
      <c r="M53" s="340">
        <f t="shared" si="7"/>
        <v>520650</v>
      </c>
      <c r="N53" s="348">
        <v>1194600</v>
      </c>
      <c r="O53" s="357">
        <f t="shared" si="3"/>
        <v>-24700</v>
      </c>
    </row>
    <row r="54" spans="1:22" ht="19.5" customHeight="1">
      <c r="A54" s="331"/>
      <c r="B54" s="332"/>
      <c r="C54" s="333"/>
      <c r="D54" s="334"/>
      <c r="E54" s="334"/>
      <c r="F54" s="334"/>
      <c r="G54" s="335"/>
      <c r="H54" s="336"/>
      <c r="I54" s="451" t="s">
        <v>469</v>
      </c>
      <c r="J54" s="452"/>
      <c r="K54" s="337">
        <f>SUM(K8:K53)</f>
        <v>22763100</v>
      </c>
      <c r="L54" s="337">
        <f t="shared" ref="L54:N54" si="10">SUM(L8:L53)</f>
        <v>3210158.0250892309</v>
      </c>
      <c r="M54" s="341">
        <f t="shared" si="10"/>
        <v>-64458.025089230738</v>
      </c>
      <c r="N54" s="350">
        <f t="shared" si="10"/>
        <v>24022400</v>
      </c>
      <c r="O54" s="358">
        <f>K54-N54</f>
        <v>-1259300</v>
      </c>
    </row>
    <row r="55" spans="1:22" s="291" customFormat="1" ht="33.75" customHeight="1">
      <c r="A55" s="448" t="s">
        <v>401</v>
      </c>
      <c r="B55" s="448"/>
      <c r="C55" s="448"/>
      <c r="D55" s="448"/>
      <c r="E55" s="448"/>
      <c r="F55" s="448"/>
      <c r="G55" s="448"/>
      <c r="H55" s="448"/>
      <c r="I55" s="448"/>
      <c r="J55" s="448"/>
      <c r="K55" s="448"/>
      <c r="L55" s="313"/>
      <c r="M55" s="313"/>
      <c r="N55" s="343"/>
      <c r="O55" s="343"/>
      <c r="P55" s="313"/>
      <c r="Q55" s="313"/>
      <c r="R55" s="313"/>
      <c r="S55" s="313"/>
      <c r="T55" s="313"/>
      <c r="U55" s="313"/>
      <c r="V55" s="313"/>
    </row>
    <row r="56" spans="1:22" s="291" customFormat="1" ht="33.75" customHeight="1">
      <c r="A56" s="330" t="s">
        <v>402</v>
      </c>
      <c r="B56" s="330"/>
      <c r="C56" s="330"/>
      <c r="D56" s="330"/>
      <c r="E56" s="330"/>
      <c r="F56" s="330"/>
      <c r="G56" s="330"/>
      <c r="H56" s="330"/>
      <c r="I56" s="330"/>
      <c r="J56" s="330"/>
      <c r="K56" s="330"/>
      <c r="L56" s="314"/>
      <c r="M56" s="314"/>
      <c r="N56" s="344"/>
      <c r="O56" s="344"/>
      <c r="P56" s="314"/>
      <c r="Q56" s="314"/>
      <c r="R56" s="314"/>
      <c r="S56" s="314"/>
      <c r="T56" s="314"/>
      <c r="U56" s="314"/>
      <c r="V56" s="314"/>
    </row>
    <row r="57" spans="1:22" s="292" customFormat="1" ht="27.75" customHeight="1">
      <c r="A57" s="449" t="s">
        <v>403</v>
      </c>
      <c r="B57" s="449"/>
      <c r="C57" s="449"/>
      <c r="D57" s="449"/>
      <c r="E57" s="449"/>
      <c r="F57" s="449"/>
      <c r="G57" s="449"/>
      <c r="H57" s="449"/>
      <c r="I57" s="449"/>
      <c r="J57" s="449"/>
      <c r="K57" s="449"/>
      <c r="L57" s="307"/>
      <c r="M57" s="307"/>
      <c r="N57" s="356"/>
      <c r="O57" s="356"/>
      <c r="P57" s="307"/>
      <c r="Q57" s="307"/>
      <c r="R57" s="307"/>
      <c r="S57" s="307"/>
      <c r="T57" s="307"/>
      <c r="U57" s="307"/>
      <c r="V57" s="307"/>
    </row>
    <row r="58" spans="1:22" s="291" customFormat="1" ht="33.75" customHeight="1">
      <c r="A58" s="450" t="s">
        <v>404</v>
      </c>
      <c r="B58" s="450"/>
      <c r="C58" s="450"/>
      <c r="D58" s="450"/>
      <c r="E58" s="450"/>
      <c r="F58" s="450"/>
      <c r="G58" s="450"/>
      <c r="H58" s="450"/>
      <c r="I58" s="450"/>
      <c r="J58" s="450"/>
      <c r="K58" s="450"/>
      <c r="L58" s="315"/>
      <c r="M58" s="315"/>
      <c r="N58" s="345"/>
      <c r="O58" s="345"/>
      <c r="P58" s="315"/>
      <c r="Q58" s="315"/>
      <c r="R58" s="315"/>
      <c r="S58" s="315"/>
      <c r="T58" s="315"/>
      <c r="U58" s="315"/>
      <c r="V58" s="315"/>
    </row>
    <row r="59" spans="1:22" ht="33.75" customHeight="1">
      <c r="A59" s="442" t="s">
        <v>405</v>
      </c>
      <c r="B59" s="442"/>
      <c r="C59" s="442"/>
      <c r="D59" s="442"/>
      <c r="E59" s="442"/>
      <c r="F59" s="442"/>
      <c r="G59" s="442"/>
      <c r="H59" s="442"/>
      <c r="I59" s="442"/>
      <c r="J59" s="442"/>
      <c r="K59" s="442"/>
    </row>
  </sheetData>
  <sheetProtection selectLockedCells="1" selectUnlockedCells="1"/>
  <mergeCells count="11">
    <mergeCell ref="A59:K59"/>
    <mergeCell ref="A1:K1"/>
    <mergeCell ref="A2:K2"/>
    <mergeCell ref="J3:K3"/>
    <mergeCell ref="B30:K30"/>
    <mergeCell ref="B6:K6"/>
    <mergeCell ref="B7:K7"/>
    <mergeCell ref="A55:K55"/>
    <mergeCell ref="A57:K57"/>
    <mergeCell ref="A58:K58"/>
    <mergeCell ref="I54:J54"/>
  </mergeCells>
  <printOptions horizontalCentered="1"/>
  <pageMargins left="0.75" right="0.25" top="0.25" bottom="0.25" header="0" footer="0"/>
  <pageSetup paperSize="9" orientation="landscape" r:id="rId1"/>
  <headerFooter alignWithMargins="0">
    <oddFooter>&amp;C&amp;"Times New Roman,Regular"&amp;12&amp;P - Đ</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Phuong phap</vt:lpstr>
      <vt:lpstr>DGl</vt:lpstr>
      <vt:lpstr>LDKT</vt:lpstr>
      <vt:lpstr>Dcu</vt:lpstr>
      <vt:lpstr>VL</vt:lpstr>
      <vt:lpstr>TB</vt:lpstr>
      <vt:lpstr>Don gia TH</vt:lpstr>
      <vt:lpstr>'Don gia TH'!Print_Titles</vt:lpstr>
      <vt:lpstr>'Phuong phap'!Print_Titles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2016-01-07T08:24:54Z</cp:lastPrinted>
  <dcterms:created xsi:type="dcterms:W3CDTF">2015-07-28T03:31:06Z</dcterms:created>
  <dcterms:modified xsi:type="dcterms:W3CDTF">2017-08-04T01:56:25Z</dcterms:modified>
</cp:coreProperties>
</file>